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himank/Claude_Himank/Turnover Data/Excel Files/"/>
    </mc:Choice>
  </mc:AlternateContent>
  <xr:revisionPtr revIDLastSave="0" documentId="11_DF3A70C3019C62190270BA8E6ED1DE1EDFC7E45C" xr6:coauthVersionLast="47" xr6:coauthVersionMax="47" xr10:uidLastSave="{00000000-0000-0000-0000-000000000000}"/>
  <bookViews>
    <workbookView xWindow="0" yWindow="600" windowWidth="28800" windowHeight="16140" xr2:uid="{00000000-000D-0000-FFFF-FFFF00000000}"/>
  </bookViews>
  <sheets>
    <sheet name="Quality Check" sheetId="1" r:id="rId1"/>
    <sheet name="Year Equity Futures Mkt Share" sheetId="2" r:id="rId2"/>
    <sheet name="Qrtr Equity Futures Mkt Share" sheetId="3" r:id="rId3"/>
    <sheet name="Mth Equity Futures Mkt Share" sheetId="4" r:id="rId4"/>
    <sheet name="Day Equity Futures Mkt Share" sheetId="5" r:id="rId5"/>
    <sheet name="Year NSE Equity Futures" sheetId="6" r:id="rId6"/>
    <sheet name="Monthly NSE Equity Futures" sheetId="7" r:id="rId7"/>
    <sheet name="Daily NSE Equity Futures" sheetId="8" r:id="rId8"/>
    <sheet name="Year BSE Equity Futures" sheetId="9" r:id="rId9"/>
    <sheet name="Monthly BSE Equity Futures" sheetId="10" r:id="rId10"/>
    <sheet name="Daily BSE Equity Future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93" i="5" l="1"/>
  <c r="P1593" i="5"/>
  <c r="R1593" i="5" s="1"/>
  <c r="F1593" i="5"/>
  <c r="E1593" i="5"/>
  <c r="G1593" i="5" s="1"/>
  <c r="B1590" i="5"/>
  <c r="B1589" i="5"/>
  <c r="C1590" i="5" s="1"/>
  <c r="Q1586" i="5"/>
  <c r="P1586" i="5"/>
  <c r="R1586" i="5" s="1"/>
  <c r="F1586" i="5"/>
  <c r="E1586" i="5"/>
  <c r="Q1585" i="5"/>
  <c r="P1585" i="5"/>
  <c r="R1585" i="5" s="1"/>
  <c r="F1585" i="5"/>
  <c r="E1585" i="5"/>
  <c r="Q1584" i="5"/>
  <c r="P1584" i="5"/>
  <c r="R1584" i="5" s="1"/>
  <c r="F1584" i="5"/>
  <c r="E1584" i="5"/>
  <c r="Q1583" i="5"/>
  <c r="P1583" i="5"/>
  <c r="R1583" i="5" s="1"/>
  <c r="F1583" i="5"/>
  <c r="E1583" i="5"/>
  <c r="Q1582" i="5"/>
  <c r="P1582" i="5"/>
  <c r="R1582" i="5" s="1"/>
  <c r="F1582" i="5"/>
  <c r="E1582" i="5"/>
  <c r="Q1581" i="5"/>
  <c r="P1581" i="5"/>
  <c r="R1581" i="5" s="1"/>
  <c r="F1581" i="5"/>
  <c r="E1581" i="5"/>
  <c r="Q1580" i="5"/>
  <c r="P1580" i="5"/>
  <c r="R1580" i="5" s="1"/>
  <c r="F1580" i="5"/>
  <c r="E1580" i="5"/>
  <c r="Q1579" i="5"/>
  <c r="P1579" i="5"/>
  <c r="R1579" i="5" s="1"/>
  <c r="F1579" i="5"/>
  <c r="E1579" i="5"/>
  <c r="Q1578" i="5"/>
  <c r="P1578" i="5"/>
  <c r="R1578" i="5" s="1"/>
  <c r="F1578" i="5"/>
  <c r="E1578" i="5"/>
  <c r="Q1577" i="5"/>
  <c r="P1577" i="5"/>
  <c r="R1577" i="5" s="1"/>
  <c r="F1577" i="5"/>
  <c r="E1577" i="5"/>
  <c r="Q1576" i="5"/>
  <c r="P1576" i="5"/>
  <c r="R1576" i="5" s="1"/>
  <c r="F1576" i="5"/>
  <c r="E1576" i="5"/>
  <c r="Q1575" i="5"/>
  <c r="P1575" i="5"/>
  <c r="R1575" i="5" s="1"/>
  <c r="F1575" i="5"/>
  <c r="E1575" i="5"/>
  <c r="Q1574" i="5"/>
  <c r="P1574" i="5"/>
  <c r="R1574" i="5" s="1"/>
  <c r="F1574" i="5"/>
  <c r="E1574" i="5"/>
  <c r="Q1573" i="5"/>
  <c r="P1573" i="5"/>
  <c r="R1573" i="5" s="1"/>
  <c r="F1573" i="5"/>
  <c r="E1573" i="5"/>
  <c r="Q1572" i="5"/>
  <c r="P1572" i="5"/>
  <c r="R1572" i="5" s="1"/>
  <c r="F1572" i="5"/>
  <c r="E1572" i="5"/>
  <c r="Q1571" i="5"/>
  <c r="P1571" i="5"/>
  <c r="R1571" i="5" s="1"/>
  <c r="F1571" i="5"/>
  <c r="E1571" i="5"/>
  <c r="Q1570" i="5"/>
  <c r="P1570" i="5"/>
  <c r="R1570" i="5" s="1"/>
  <c r="F1570" i="5"/>
  <c r="E1570" i="5"/>
  <c r="Q1569" i="5"/>
  <c r="P1569" i="5"/>
  <c r="R1569" i="5" s="1"/>
  <c r="F1569" i="5"/>
  <c r="E1569" i="5"/>
  <c r="Q1568" i="5"/>
  <c r="P1568" i="5"/>
  <c r="R1568" i="5" s="1"/>
  <c r="F1568" i="5"/>
  <c r="E1568" i="5"/>
  <c r="Q1567" i="5"/>
  <c r="P1567" i="5"/>
  <c r="R1567" i="5" s="1"/>
  <c r="F1567" i="5"/>
  <c r="E1567" i="5"/>
  <c r="Q1566" i="5"/>
  <c r="P1566" i="5"/>
  <c r="R1566" i="5" s="1"/>
  <c r="F1566" i="5"/>
  <c r="E1566" i="5"/>
  <c r="Q1565" i="5"/>
  <c r="P1565" i="5"/>
  <c r="R1565" i="5" s="1"/>
  <c r="F1565" i="5"/>
  <c r="E1565" i="5"/>
  <c r="Q1564" i="5"/>
  <c r="P1564" i="5"/>
  <c r="R1564" i="5" s="1"/>
  <c r="F1564" i="5"/>
  <c r="E1564" i="5"/>
  <c r="Q1563" i="5"/>
  <c r="P1563" i="5"/>
  <c r="R1563" i="5" s="1"/>
  <c r="F1563" i="5"/>
  <c r="E1563" i="5"/>
  <c r="Q1562" i="5"/>
  <c r="P1562" i="5"/>
  <c r="R1562" i="5" s="1"/>
  <c r="F1562" i="5"/>
  <c r="E1562" i="5"/>
  <c r="Q1561" i="5"/>
  <c r="P1561" i="5"/>
  <c r="R1561" i="5" s="1"/>
  <c r="F1561" i="5"/>
  <c r="E1561" i="5"/>
  <c r="Q1560" i="5"/>
  <c r="P1560" i="5"/>
  <c r="R1560" i="5" s="1"/>
  <c r="F1560" i="5"/>
  <c r="E1560" i="5"/>
  <c r="Q1559" i="5"/>
  <c r="P1559" i="5"/>
  <c r="R1559" i="5" s="1"/>
  <c r="F1559" i="5"/>
  <c r="E1559" i="5"/>
  <c r="Q1558" i="5"/>
  <c r="P1558" i="5"/>
  <c r="R1558" i="5" s="1"/>
  <c r="F1558" i="5"/>
  <c r="E1558" i="5"/>
  <c r="Q1557" i="5"/>
  <c r="P1557" i="5"/>
  <c r="R1557" i="5" s="1"/>
  <c r="F1557" i="5"/>
  <c r="E1557" i="5"/>
  <c r="Q1556" i="5"/>
  <c r="P1556" i="5"/>
  <c r="R1556" i="5" s="1"/>
  <c r="F1556" i="5"/>
  <c r="E1556" i="5"/>
  <c r="Q1555" i="5"/>
  <c r="P1555" i="5"/>
  <c r="R1555" i="5" s="1"/>
  <c r="F1555" i="5"/>
  <c r="E1555" i="5"/>
  <c r="Q1554" i="5"/>
  <c r="P1554" i="5"/>
  <c r="R1554" i="5" s="1"/>
  <c r="F1554" i="5"/>
  <c r="E1554" i="5"/>
  <c r="Q1553" i="5"/>
  <c r="P1553" i="5"/>
  <c r="R1553" i="5" s="1"/>
  <c r="F1553" i="5"/>
  <c r="E1553" i="5"/>
  <c r="Q1552" i="5"/>
  <c r="P1552" i="5"/>
  <c r="R1552" i="5" s="1"/>
  <c r="F1552" i="5"/>
  <c r="E1552" i="5"/>
  <c r="Q1551" i="5"/>
  <c r="P1551" i="5"/>
  <c r="R1551" i="5" s="1"/>
  <c r="F1551" i="5"/>
  <c r="E1551" i="5"/>
  <c r="Q1550" i="5"/>
  <c r="P1550" i="5"/>
  <c r="R1550" i="5" s="1"/>
  <c r="F1550" i="5"/>
  <c r="E1550" i="5"/>
  <c r="Q1549" i="5"/>
  <c r="P1549" i="5"/>
  <c r="R1549" i="5" s="1"/>
  <c r="F1549" i="5"/>
  <c r="E1549" i="5"/>
  <c r="Q1548" i="5"/>
  <c r="P1548" i="5"/>
  <c r="R1548" i="5" s="1"/>
  <c r="F1548" i="5"/>
  <c r="E1548" i="5"/>
  <c r="Q1547" i="5"/>
  <c r="P1547" i="5"/>
  <c r="R1547" i="5" s="1"/>
  <c r="F1547" i="5"/>
  <c r="E1547" i="5"/>
  <c r="Q1546" i="5"/>
  <c r="P1546" i="5"/>
  <c r="R1546" i="5" s="1"/>
  <c r="F1546" i="5"/>
  <c r="E1546" i="5"/>
  <c r="Q1545" i="5"/>
  <c r="P1545" i="5"/>
  <c r="R1545" i="5" s="1"/>
  <c r="F1545" i="5"/>
  <c r="E1545" i="5"/>
  <c r="Q1544" i="5"/>
  <c r="P1544" i="5"/>
  <c r="R1544" i="5" s="1"/>
  <c r="F1544" i="5"/>
  <c r="E1544" i="5"/>
  <c r="Q1543" i="5"/>
  <c r="P1543" i="5"/>
  <c r="R1543" i="5" s="1"/>
  <c r="F1543" i="5"/>
  <c r="E1543" i="5"/>
  <c r="Q1542" i="5"/>
  <c r="P1542" i="5"/>
  <c r="R1542" i="5" s="1"/>
  <c r="F1542" i="5"/>
  <c r="E1542" i="5"/>
  <c r="Q1541" i="5"/>
  <c r="P1541" i="5"/>
  <c r="R1541" i="5" s="1"/>
  <c r="F1541" i="5"/>
  <c r="E1541" i="5"/>
  <c r="Q1540" i="5"/>
  <c r="P1540" i="5"/>
  <c r="R1540" i="5" s="1"/>
  <c r="F1540" i="5"/>
  <c r="E1540" i="5"/>
  <c r="Q1539" i="5"/>
  <c r="P1539" i="5"/>
  <c r="R1539" i="5" s="1"/>
  <c r="F1539" i="5"/>
  <c r="E1539" i="5"/>
  <c r="Q1538" i="5"/>
  <c r="P1538" i="5"/>
  <c r="R1538" i="5" s="1"/>
  <c r="F1538" i="5"/>
  <c r="E1538" i="5"/>
  <c r="Q1537" i="5"/>
  <c r="P1537" i="5"/>
  <c r="R1537" i="5" s="1"/>
  <c r="F1537" i="5"/>
  <c r="E1537" i="5"/>
  <c r="Q1536" i="5"/>
  <c r="P1536" i="5"/>
  <c r="R1536" i="5" s="1"/>
  <c r="F1536" i="5"/>
  <c r="E1536" i="5"/>
  <c r="Q1535" i="5"/>
  <c r="P1535" i="5"/>
  <c r="R1535" i="5" s="1"/>
  <c r="F1535" i="5"/>
  <c r="E1535" i="5"/>
  <c r="Q1534" i="5"/>
  <c r="P1534" i="5"/>
  <c r="R1534" i="5" s="1"/>
  <c r="F1534" i="5"/>
  <c r="E1534" i="5"/>
  <c r="Q1533" i="5"/>
  <c r="P1533" i="5"/>
  <c r="R1533" i="5" s="1"/>
  <c r="F1533" i="5"/>
  <c r="E1533" i="5"/>
  <c r="Q1532" i="5"/>
  <c r="P1532" i="5"/>
  <c r="R1532" i="5" s="1"/>
  <c r="F1532" i="5"/>
  <c r="E1532" i="5"/>
  <c r="Q1531" i="5"/>
  <c r="P1531" i="5"/>
  <c r="R1531" i="5" s="1"/>
  <c r="F1531" i="5"/>
  <c r="E1531" i="5"/>
  <c r="Q1530" i="5"/>
  <c r="P1530" i="5"/>
  <c r="R1530" i="5" s="1"/>
  <c r="F1530" i="5"/>
  <c r="E1530" i="5"/>
  <c r="Q1529" i="5"/>
  <c r="P1529" i="5"/>
  <c r="R1529" i="5" s="1"/>
  <c r="F1529" i="5"/>
  <c r="E1529" i="5"/>
  <c r="Q1528" i="5"/>
  <c r="P1528" i="5"/>
  <c r="R1528" i="5" s="1"/>
  <c r="F1528" i="5"/>
  <c r="E1528" i="5"/>
  <c r="Q1527" i="5"/>
  <c r="P1527" i="5"/>
  <c r="R1527" i="5" s="1"/>
  <c r="F1527" i="5"/>
  <c r="E1527" i="5"/>
  <c r="Q1526" i="5"/>
  <c r="P1526" i="5"/>
  <c r="R1526" i="5" s="1"/>
  <c r="F1526" i="5"/>
  <c r="E1526" i="5"/>
  <c r="Q1525" i="5"/>
  <c r="P1525" i="5"/>
  <c r="R1525" i="5" s="1"/>
  <c r="F1525" i="5"/>
  <c r="E1525" i="5"/>
  <c r="Q1524" i="5"/>
  <c r="P1524" i="5"/>
  <c r="R1524" i="5" s="1"/>
  <c r="F1524" i="5"/>
  <c r="E1524" i="5"/>
  <c r="Q1523" i="5"/>
  <c r="P1523" i="5"/>
  <c r="R1523" i="5" s="1"/>
  <c r="F1523" i="5"/>
  <c r="E1523" i="5"/>
  <c r="Q1522" i="5"/>
  <c r="P1522" i="5"/>
  <c r="R1522" i="5" s="1"/>
  <c r="F1522" i="5"/>
  <c r="E1522" i="5"/>
  <c r="Q1521" i="5"/>
  <c r="P1521" i="5"/>
  <c r="R1521" i="5" s="1"/>
  <c r="F1521" i="5"/>
  <c r="E1521" i="5"/>
  <c r="Q1520" i="5"/>
  <c r="P1520" i="5"/>
  <c r="R1520" i="5" s="1"/>
  <c r="F1520" i="5"/>
  <c r="E1520" i="5"/>
  <c r="Q1519" i="5"/>
  <c r="P1519" i="5"/>
  <c r="R1519" i="5" s="1"/>
  <c r="F1519" i="5"/>
  <c r="E1519" i="5"/>
  <c r="Q1518" i="5"/>
  <c r="P1518" i="5"/>
  <c r="R1518" i="5" s="1"/>
  <c r="F1518" i="5"/>
  <c r="E1518" i="5"/>
  <c r="Q1517" i="5"/>
  <c r="P1517" i="5"/>
  <c r="R1517" i="5" s="1"/>
  <c r="F1517" i="5"/>
  <c r="E1517" i="5"/>
  <c r="Q1516" i="5"/>
  <c r="P1516" i="5"/>
  <c r="R1516" i="5" s="1"/>
  <c r="F1516" i="5"/>
  <c r="E1516" i="5"/>
  <c r="Q1515" i="5"/>
  <c r="P1515" i="5"/>
  <c r="R1515" i="5" s="1"/>
  <c r="F1515" i="5"/>
  <c r="E1515" i="5"/>
  <c r="Q1514" i="5"/>
  <c r="P1514" i="5"/>
  <c r="R1514" i="5" s="1"/>
  <c r="F1514" i="5"/>
  <c r="E1514" i="5"/>
  <c r="Q1513" i="5"/>
  <c r="P1513" i="5"/>
  <c r="R1513" i="5" s="1"/>
  <c r="F1513" i="5"/>
  <c r="E1513" i="5"/>
  <c r="Q1512" i="5"/>
  <c r="P1512" i="5"/>
  <c r="R1512" i="5" s="1"/>
  <c r="F1512" i="5"/>
  <c r="E1512" i="5"/>
  <c r="Q1511" i="5"/>
  <c r="P1511" i="5"/>
  <c r="R1511" i="5" s="1"/>
  <c r="F1511" i="5"/>
  <c r="E1511" i="5"/>
  <c r="Q1510" i="5"/>
  <c r="P1510" i="5"/>
  <c r="R1510" i="5" s="1"/>
  <c r="F1510" i="5"/>
  <c r="E1510" i="5"/>
  <c r="Q1509" i="5"/>
  <c r="P1509" i="5"/>
  <c r="R1509" i="5" s="1"/>
  <c r="F1509" i="5"/>
  <c r="E1509" i="5"/>
  <c r="Q1508" i="5"/>
  <c r="P1508" i="5"/>
  <c r="R1508" i="5" s="1"/>
  <c r="F1508" i="5"/>
  <c r="E1508" i="5"/>
  <c r="Q1507" i="5"/>
  <c r="P1507" i="5"/>
  <c r="R1507" i="5" s="1"/>
  <c r="F1507" i="5"/>
  <c r="E1507" i="5"/>
  <c r="Q1506" i="5"/>
  <c r="P1506" i="5"/>
  <c r="R1506" i="5" s="1"/>
  <c r="F1506" i="5"/>
  <c r="E1506" i="5"/>
  <c r="Q1505" i="5"/>
  <c r="P1505" i="5"/>
  <c r="R1505" i="5" s="1"/>
  <c r="F1505" i="5"/>
  <c r="E1505" i="5"/>
  <c r="Q1504" i="5"/>
  <c r="P1504" i="5"/>
  <c r="R1504" i="5" s="1"/>
  <c r="F1504" i="5"/>
  <c r="E1504" i="5"/>
  <c r="Q1503" i="5"/>
  <c r="P1503" i="5"/>
  <c r="R1503" i="5" s="1"/>
  <c r="F1503" i="5"/>
  <c r="E1503" i="5"/>
  <c r="Q1502" i="5"/>
  <c r="P1502" i="5"/>
  <c r="R1502" i="5" s="1"/>
  <c r="F1502" i="5"/>
  <c r="E1502" i="5"/>
  <c r="Q1501" i="5"/>
  <c r="P1501" i="5"/>
  <c r="R1501" i="5" s="1"/>
  <c r="F1501" i="5"/>
  <c r="E1501" i="5"/>
  <c r="Q1500" i="5"/>
  <c r="P1500" i="5"/>
  <c r="R1500" i="5" s="1"/>
  <c r="F1500" i="5"/>
  <c r="E1500" i="5"/>
  <c r="Q1499" i="5"/>
  <c r="P1499" i="5"/>
  <c r="R1499" i="5" s="1"/>
  <c r="F1499" i="5"/>
  <c r="E1499" i="5"/>
  <c r="Q1498" i="5"/>
  <c r="P1498" i="5"/>
  <c r="R1498" i="5" s="1"/>
  <c r="F1498" i="5"/>
  <c r="E1498" i="5"/>
  <c r="Q1497" i="5"/>
  <c r="P1497" i="5"/>
  <c r="R1497" i="5" s="1"/>
  <c r="F1497" i="5"/>
  <c r="E1497" i="5"/>
  <c r="Q1496" i="5"/>
  <c r="P1496" i="5"/>
  <c r="R1496" i="5" s="1"/>
  <c r="F1496" i="5"/>
  <c r="E1496" i="5"/>
  <c r="Q1495" i="5"/>
  <c r="P1495" i="5"/>
  <c r="R1495" i="5" s="1"/>
  <c r="F1495" i="5"/>
  <c r="E1495" i="5"/>
  <c r="Q1494" i="5"/>
  <c r="P1494" i="5"/>
  <c r="R1494" i="5" s="1"/>
  <c r="F1494" i="5"/>
  <c r="E1494" i="5"/>
  <c r="Q1493" i="5"/>
  <c r="P1493" i="5"/>
  <c r="R1493" i="5" s="1"/>
  <c r="F1493" i="5"/>
  <c r="E1493" i="5"/>
  <c r="Q1492" i="5"/>
  <c r="P1492" i="5"/>
  <c r="R1492" i="5" s="1"/>
  <c r="F1492" i="5"/>
  <c r="E1492" i="5"/>
  <c r="Q1491" i="5"/>
  <c r="P1491" i="5"/>
  <c r="R1491" i="5" s="1"/>
  <c r="F1491" i="5"/>
  <c r="E1491" i="5"/>
  <c r="Q1490" i="5"/>
  <c r="P1490" i="5"/>
  <c r="R1490" i="5" s="1"/>
  <c r="F1490" i="5"/>
  <c r="E1490" i="5"/>
  <c r="Q1489" i="5"/>
  <c r="P1489" i="5"/>
  <c r="R1489" i="5" s="1"/>
  <c r="F1489" i="5"/>
  <c r="E1489" i="5"/>
  <c r="Q1488" i="5"/>
  <c r="P1488" i="5"/>
  <c r="R1488" i="5" s="1"/>
  <c r="F1488" i="5"/>
  <c r="E1488" i="5"/>
  <c r="Q1487" i="5"/>
  <c r="P1487" i="5"/>
  <c r="R1487" i="5" s="1"/>
  <c r="F1487" i="5"/>
  <c r="E1487" i="5"/>
  <c r="Q1486" i="5"/>
  <c r="P1486" i="5"/>
  <c r="R1486" i="5" s="1"/>
  <c r="F1486" i="5"/>
  <c r="E1486" i="5"/>
  <c r="Q1485" i="5"/>
  <c r="P1485" i="5"/>
  <c r="R1485" i="5" s="1"/>
  <c r="F1485" i="5"/>
  <c r="E1485" i="5"/>
  <c r="Q1484" i="5"/>
  <c r="P1484" i="5"/>
  <c r="R1484" i="5" s="1"/>
  <c r="F1484" i="5"/>
  <c r="E1484" i="5"/>
  <c r="Q1483" i="5"/>
  <c r="P1483" i="5"/>
  <c r="R1483" i="5" s="1"/>
  <c r="F1483" i="5"/>
  <c r="E1483" i="5"/>
  <c r="Q1482" i="5"/>
  <c r="P1482" i="5"/>
  <c r="R1482" i="5" s="1"/>
  <c r="F1482" i="5"/>
  <c r="E1482" i="5"/>
  <c r="Q1481" i="5"/>
  <c r="P1481" i="5"/>
  <c r="R1481" i="5" s="1"/>
  <c r="F1481" i="5"/>
  <c r="E1481" i="5"/>
  <c r="Q1480" i="5"/>
  <c r="P1480" i="5"/>
  <c r="R1480" i="5" s="1"/>
  <c r="F1480" i="5"/>
  <c r="E1480" i="5"/>
  <c r="Q1479" i="5"/>
  <c r="P1479" i="5"/>
  <c r="R1479" i="5" s="1"/>
  <c r="F1479" i="5"/>
  <c r="E1479" i="5"/>
  <c r="Q1478" i="5"/>
  <c r="P1478" i="5"/>
  <c r="R1478" i="5" s="1"/>
  <c r="F1478" i="5"/>
  <c r="E1478" i="5"/>
  <c r="Q1477" i="5"/>
  <c r="P1477" i="5"/>
  <c r="R1477" i="5" s="1"/>
  <c r="F1477" i="5"/>
  <c r="E1477" i="5"/>
  <c r="Q1476" i="5"/>
  <c r="P1476" i="5"/>
  <c r="R1476" i="5" s="1"/>
  <c r="F1476" i="5"/>
  <c r="E1476" i="5"/>
  <c r="Q1475" i="5"/>
  <c r="P1475" i="5"/>
  <c r="R1475" i="5" s="1"/>
  <c r="F1475" i="5"/>
  <c r="E1475" i="5"/>
  <c r="Q1474" i="5"/>
  <c r="P1474" i="5"/>
  <c r="R1474" i="5" s="1"/>
  <c r="F1474" i="5"/>
  <c r="E1474" i="5"/>
  <c r="Q1473" i="5"/>
  <c r="P1473" i="5"/>
  <c r="R1473" i="5" s="1"/>
  <c r="F1473" i="5"/>
  <c r="E1473" i="5"/>
  <c r="Q1472" i="5"/>
  <c r="P1472" i="5"/>
  <c r="R1472" i="5" s="1"/>
  <c r="F1472" i="5"/>
  <c r="E1472" i="5"/>
  <c r="Q1471" i="5"/>
  <c r="P1471" i="5"/>
  <c r="R1471" i="5" s="1"/>
  <c r="F1471" i="5"/>
  <c r="E1471" i="5"/>
  <c r="Q1470" i="5"/>
  <c r="P1470" i="5"/>
  <c r="R1470" i="5" s="1"/>
  <c r="F1470" i="5"/>
  <c r="E1470" i="5"/>
  <c r="Q1469" i="5"/>
  <c r="P1469" i="5"/>
  <c r="R1469" i="5" s="1"/>
  <c r="F1469" i="5"/>
  <c r="E1469" i="5"/>
  <c r="Q1468" i="5"/>
  <c r="P1468" i="5"/>
  <c r="R1468" i="5" s="1"/>
  <c r="F1468" i="5"/>
  <c r="E1468" i="5"/>
  <c r="Q1467" i="5"/>
  <c r="P1467" i="5"/>
  <c r="R1467" i="5" s="1"/>
  <c r="F1467" i="5"/>
  <c r="E1467" i="5"/>
  <c r="Q1466" i="5"/>
  <c r="P1466" i="5"/>
  <c r="R1466" i="5" s="1"/>
  <c r="F1466" i="5"/>
  <c r="E1466" i="5"/>
  <c r="Q1465" i="5"/>
  <c r="P1465" i="5"/>
  <c r="R1465" i="5" s="1"/>
  <c r="F1465" i="5"/>
  <c r="E1465" i="5"/>
  <c r="Q1464" i="5"/>
  <c r="P1464" i="5"/>
  <c r="R1464" i="5" s="1"/>
  <c r="F1464" i="5"/>
  <c r="E1464" i="5"/>
  <c r="Q1463" i="5"/>
  <c r="P1463" i="5"/>
  <c r="R1463" i="5" s="1"/>
  <c r="F1463" i="5"/>
  <c r="E1463" i="5"/>
  <c r="Q1462" i="5"/>
  <c r="P1462" i="5"/>
  <c r="R1462" i="5" s="1"/>
  <c r="F1462" i="5"/>
  <c r="E1462" i="5"/>
  <c r="Q1461" i="5"/>
  <c r="P1461" i="5"/>
  <c r="R1461" i="5" s="1"/>
  <c r="F1461" i="5"/>
  <c r="E1461" i="5"/>
  <c r="Q1460" i="5"/>
  <c r="P1460" i="5"/>
  <c r="R1460" i="5" s="1"/>
  <c r="F1460" i="5"/>
  <c r="E1460" i="5"/>
  <c r="Q1459" i="5"/>
  <c r="P1459" i="5"/>
  <c r="R1459" i="5" s="1"/>
  <c r="F1459" i="5"/>
  <c r="E1459" i="5"/>
  <c r="Q1458" i="5"/>
  <c r="P1458" i="5"/>
  <c r="R1458" i="5" s="1"/>
  <c r="F1458" i="5"/>
  <c r="E1458" i="5"/>
  <c r="Q1457" i="5"/>
  <c r="P1457" i="5"/>
  <c r="R1457" i="5" s="1"/>
  <c r="F1457" i="5"/>
  <c r="E1457" i="5"/>
  <c r="Q1456" i="5"/>
  <c r="P1456" i="5"/>
  <c r="R1456" i="5" s="1"/>
  <c r="F1456" i="5"/>
  <c r="E1456" i="5"/>
  <c r="Q1455" i="5"/>
  <c r="P1455" i="5"/>
  <c r="R1455" i="5" s="1"/>
  <c r="F1455" i="5"/>
  <c r="E1455" i="5"/>
  <c r="Q1454" i="5"/>
  <c r="P1454" i="5"/>
  <c r="R1454" i="5" s="1"/>
  <c r="F1454" i="5"/>
  <c r="E1454" i="5"/>
  <c r="Q1453" i="5"/>
  <c r="P1453" i="5"/>
  <c r="R1453" i="5" s="1"/>
  <c r="F1453" i="5"/>
  <c r="E1453" i="5"/>
  <c r="Q1452" i="5"/>
  <c r="P1452" i="5"/>
  <c r="R1452" i="5" s="1"/>
  <c r="F1452" i="5"/>
  <c r="E1452" i="5"/>
  <c r="Q1451" i="5"/>
  <c r="P1451" i="5"/>
  <c r="R1451" i="5" s="1"/>
  <c r="F1451" i="5"/>
  <c r="E1451" i="5"/>
  <c r="Q1450" i="5"/>
  <c r="P1450" i="5"/>
  <c r="R1450" i="5" s="1"/>
  <c r="F1450" i="5"/>
  <c r="E1450" i="5"/>
  <c r="Q1449" i="5"/>
  <c r="P1449" i="5"/>
  <c r="R1449" i="5" s="1"/>
  <c r="F1449" i="5"/>
  <c r="E1449" i="5"/>
  <c r="Q1448" i="5"/>
  <c r="P1448" i="5"/>
  <c r="R1448" i="5" s="1"/>
  <c r="F1448" i="5"/>
  <c r="E1448" i="5"/>
  <c r="Q1447" i="5"/>
  <c r="P1447" i="5"/>
  <c r="R1447" i="5" s="1"/>
  <c r="F1447" i="5"/>
  <c r="E1447" i="5"/>
  <c r="Q1446" i="5"/>
  <c r="P1446" i="5"/>
  <c r="R1446" i="5" s="1"/>
  <c r="F1446" i="5"/>
  <c r="E1446" i="5"/>
  <c r="Q1445" i="5"/>
  <c r="P1445" i="5"/>
  <c r="R1445" i="5" s="1"/>
  <c r="F1445" i="5"/>
  <c r="E1445" i="5"/>
  <c r="Q1444" i="5"/>
  <c r="P1444" i="5"/>
  <c r="R1444" i="5" s="1"/>
  <c r="F1444" i="5"/>
  <c r="E1444" i="5"/>
  <c r="Q1443" i="5"/>
  <c r="P1443" i="5"/>
  <c r="R1443" i="5" s="1"/>
  <c r="F1443" i="5"/>
  <c r="E1443" i="5"/>
  <c r="Q1442" i="5"/>
  <c r="P1442" i="5"/>
  <c r="R1442" i="5" s="1"/>
  <c r="F1442" i="5"/>
  <c r="E1442" i="5"/>
  <c r="Q1441" i="5"/>
  <c r="P1441" i="5"/>
  <c r="R1441" i="5" s="1"/>
  <c r="F1441" i="5"/>
  <c r="E1441" i="5"/>
  <c r="Q1440" i="5"/>
  <c r="P1440" i="5"/>
  <c r="R1440" i="5" s="1"/>
  <c r="F1440" i="5"/>
  <c r="E1440" i="5"/>
  <c r="Q1439" i="5"/>
  <c r="P1439" i="5"/>
  <c r="R1439" i="5" s="1"/>
  <c r="F1439" i="5"/>
  <c r="E1439" i="5"/>
  <c r="Q1438" i="5"/>
  <c r="P1438" i="5"/>
  <c r="R1438" i="5" s="1"/>
  <c r="F1438" i="5"/>
  <c r="E1438" i="5"/>
  <c r="Q1437" i="5"/>
  <c r="P1437" i="5"/>
  <c r="R1437" i="5" s="1"/>
  <c r="F1437" i="5"/>
  <c r="E1437" i="5"/>
  <c r="Q1436" i="5"/>
  <c r="P1436" i="5"/>
  <c r="R1436" i="5" s="1"/>
  <c r="F1436" i="5"/>
  <c r="E1436" i="5"/>
  <c r="Q1435" i="5"/>
  <c r="P1435" i="5"/>
  <c r="R1435" i="5" s="1"/>
  <c r="F1435" i="5"/>
  <c r="E1435" i="5"/>
  <c r="Q1434" i="5"/>
  <c r="P1434" i="5"/>
  <c r="R1434" i="5" s="1"/>
  <c r="F1434" i="5"/>
  <c r="E1434" i="5"/>
  <c r="Q1433" i="5"/>
  <c r="P1433" i="5"/>
  <c r="R1433" i="5" s="1"/>
  <c r="F1433" i="5"/>
  <c r="E1433" i="5"/>
  <c r="Q1432" i="5"/>
  <c r="P1432" i="5"/>
  <c r="R1432" i="5" s="1"/>
  <c r="F1432" i="5"/>
  <c r="E1432" i="5"/>
  <c r="Q1431" i="5"/>
  <c r="P1431" i="5"/>
  <c r="R1431" i="5" s="1"/>
  <c r="F1431" i="5"/>
  <c r="E1431" i="5"/>
  <c r="Q1430" i="5"/>
  <c r="P1430" i="5"/>
  <c r="R1430" i="5" s="1"/>
  <c r="F1430" i="5"/>
  <c r="E1430" i="5"/>
  <c r="Q1429" i="5"/>
  <c r="P1429" i="5"/>
  <c r="R1429" i="5" s="1"/>
  <c r="F1429" i="5"/>
  <c r="E1429" i="5"/>
  <c r="Q1428" i="5"/>
  <c r="P1428" i="5"/>
  <c r="R1428" i="5" s="1"/>
  <c r="F1428" i="5"/>
  <c r="E1428" i="5"/>
  <c r="Q1427" i="5"/>
  <c r="P1427" i="5"/>
  <c r="R1427" i="5" s="1"/>
  <c r="F1427" i="5"/>
  <c r="E1427" i="5"/>
  <c r="Q1426" i="5"/>
  <c r="P1426" i="5"/>
  <c r="R1426" i="5" s="1"/>
  <c r="F1426" i="5"/>
  <c r="E1426" i="5"/>
  <c r="Q1425" i="5"/>
  <c r="P1425" i="5"/>
  <c r="R1425" i="5" s="1"/>
  <c r="F1425" i="5"/>
  <c r="E1425" i="5"/>
  <c r="Q1424" i="5"/>
  <c r="P1424" i="5"/>
  <c r="R1424" i="5" s="1"/>
  <c r="F1424" i="5"/>
  <c r="E1424" i="5"/>
  <c r="Q1423" i="5"/>
  <c r="P1423" i="5"/>
  <c r="R1423" i="5" s="1"/>
  <c r="F1423" i="5"/>
  <c r="E1423" i="5"/>
  <c r="Q1422" i="5"/>
  <c r="P1422" i="5"/>
  <c r="R1422" i="5" s="1"/>
  <c r="F1422" i="5"/>
  <c r="E1422" i="5"/>
  <c r="Q1421" i="5"/>
  <c r="P1421" i="5"/>
  <c r="R1421" i="5" s="1"/>
  <c r="F1421" i="5"/>
  <c r="E1421" i="5"/>
  <c r="Q1420" i="5"/>
  <c r="P1420" i="5"/>
  <c r="R1420" i="5" s="1"/>
  <c r="F1420" i="5"/>
  <c r="E1420" i="5"/>
  <c r="Q1419" i="5"/>
  <c r="P1419" i="5"/>
  <c r="R1419" i="5" s="1"/>
  <c r="F1419" i="5"/>
  <c r="E1419" i="5"/>
  <c r="Q1418" i="5"/>
  <c r="P1418" i="5"/>
  <c r="R1418" i="5" s="1"/>
  <c r="F1418" i="5"/>
  <c r="E1418" i="5"/>
  <c r="Q1417" i="5"/>
  <c r="P1417" i="5"/>
  <c r="R1417" i="5" s="1"/>
  <c r="F1417" i="5"/>
  <c r="E1417" i="5"/>
  <c r="Q1416" i="5"/>
  <c r="P1416" i="5"/>
  <c r="R1416" i="5" s="1"/>
  <c r="F1416" i="5"/>
  <c r="E1416" i="5"/>
  <c r="Q1415" i="5"/>
  <c r="P1415" i="5"/>
  <c r="R1415" i="5" s="1"/>
  <c r="F1415" i="5"/>
  <c r="E1415" i="5"/>
  <c r="Q1414" i="5"/>
  <c r="P1414" i="5"/>
  <c r="R1414" i="5" s="1"/>
  <c r="F1414" i="5"/>
  <c r="E1414" i="5"/>
  <c r="Q1413" i="5"/>
  <c r="P1413" i="5"/>
  <c r="R1413" i="5" s="1"/>
  <c r="F1413" i="5"/>
  <c r="E1413" i="5"/>
  <c r="Q1412" i="5"/>
  <c r="P1412" i="5"/>
  <c r="R1412" i="5" s="1"/>
  <c r="F1412" i="5"/>
  <c r="E1412" i="5"/>
  <c r="Q1411" i="5"/>
  <c r="P1411" i="5"/>
  <c r="R1411" i="5" s="1"/>
  <c r="F1411" i="5"/>
  <c r="E1411" i="5"/>
  <c r="Q1410" i="5"/>
  <c r="P1410" i="5"/>
  <c r="R1410" i="5" s="1"/>
  <c r="F1410" i="5"/>
  <c r="E1410" i="5"/>
  <c r="Q1409" i="5"/>
  <c r="P1409" i="5"/>
  <c r="R1409" i="5" s="1"/>
  <c r="F1409" i="5"/>
  <c r="E1409" i="5"/>
  <c r="Q1408" i="5"/>
  <c r="P1408" i="5"/>
  <c r="R1408" i="5" s="1"/>
  <c r="F1408" i="5"/>
  <c r="E1408" i="5"/>
  <c r="Q1407" i="5"/>
  <c r="P1407" i="5"/>
  <c r="R1407" i="5" s="1"/>
  <c r="F1407" i="5"/>
  <c r="E1407" i="5"/>
  <c r="Q1406" i="5"/>
  <c r="P1406" i="5"/>
  <c r="R1406" i="5" s="1"/>
  <c r="F1406" i="5"/>
  <c r="E1406" i="5"/>
  <c r="Q1405" i="5"/>
  <c r="P1405" i="5"/>
  <c r="R1405" i="5" s="1"/>
  <c r="F1405" i="5"/>
  <c r="E1405" i="5"/>
  <c r="Q1404" i="5"/>
  <c r="P1404" i="5"/>
  <c r="R1404" i="5" s="1"/>
  <c r="F1404" i="5"/>
  <c r="E1404" i="5"/>
  <c r="Q1403" i="5"/>
  <c r="P1403" i="5"/>
  <c r="R1403" i="5" s="1"/>
  <c r="F1403" i="5"/>
  <c r="E1403" i="5"/>
  <c r="Q1402" i="5"/>
  <c r="P1402" i="5"/>
  <c r="R1402" i="5" s="1"/>
  <c r="F1402" i="5"/>
  <c r="E1402" i="5"/>
  <c r="Q1401" i="5"/>
  <c r="P1401" i="5"/>
  <c r="R1401" i="5" s="1"/>
  <c r="F1401" i="5"/>
  <c r="E1401" i="5"/>
  <c r="Q1400" i="5"/>
  <c r="P1400" i="5"/>
  <c r="R1400" i="5" s="1"/>
  <c r="F1400" i="5"/>
  <c r="E1400" i="5"/>
  <c r="Q1399" i="5"/>
  <c r="P1399" i="5"/>
  <c r="R1399" i="5" s="1"/>
  <c r="F1399" i="5"/>
  <c r="E1399" i="5"/>
  <c r="Q1398" i="5"/>
  <c r="P1398" i="5"/>
  <c r="R1398" i="5" s="1"/>
  <c r="F1398" i="5"/>
  <c r="E1398" i="5"/>
  <c r="Q1397" i="5"/>
  <c r="P1397" i="5"/>
  <c r="R1397" i="5" s="1"/>
  <c r="F1397" i="5"/>
  <c r="E1397" i="5"/>
  <c r="Q1396" i="5"/>
  <c r="P1396" i="5"/>
  <c r="R1396" i="5" s="1"/>
  <c r="F1396" i="5"/>
  <c r="E1396" i="5"/>
  <c r="Q1395" i="5"/>
  <c r="P1395" i="5"/>
  <c r="R1395" i="5" s="1"/>
  <c r="F1395" i="5"/>
  <c r="E1395" i="5"/>
  <c r="Q1394" i="5"/>
  <c r="P1394" i="5"/>
  <c r="R1394" i="5" s="1"/>
  <c r="F1394" i="5"/>
  <c r="E1394" i="5"/>
  <c r="Q1393" i="5"/>
  <c r="P1393" i="5"/>
  <c r="R1393" i="5" s="1"/>
  <c r="F1393" i="5"/>
  <c r="E1393" i="5"/>
  <c r="Q1392" i="5"/>
  <c r="P1392" i="5"/>
  <c r="R1392" i="5" s="1"/>
  <c r="F1392" i="5"/>
  <c r="E1392" i="5"/>
  <c r="Q1391" i="5"/>
  <c r="P1391" i="5"/>
  <c r="R1391" i="5" s="1"/>
  <c r="F1391" i="5"/>
  <c r="E1391" i="5"/>
  <c r="Q1390" i="5"/>
  <c r="P1390" i="5"/>
  <c r="R1390" i="5" s="1"/>
  <c r="F1390" i="5"/>
  <c r="E1390" i="5"/>
  <c r="Q1389" i="5"/>
  <c r="P1389" i="5"/>
  <c r="R1389" i="5" s="1"/>
  <c r="F1389" i="5"/>
  <c r="E1389" i="5"/>
  <c r="Q1388" i="5"/>
  <c r="P1388" i="5"/>
  <c r="R1388" i="5" s="1"/>
  <c r="F1388" i="5"/>
  <c r="E1388" i="5"/>
  <c r="Q1387" i="5"/>
  <c r="P1387" i="5"/>
  <c r="R1387" i="5" s="1"/>
  <c r="F1387" i="5"/>
  <c r="E1387" i="5"/>
  <c r="Q1386" i="5"/>
  <c r="P1386" i="5"/>
  <c r="R1386" i="5" s="1"/>
  <c r="F1386" i="5"/>
  <c r="E1386" i="5"/>
  <c r="Q1385" i="5"/>
  <c r="P1385" i="5"/>
  <c r="R1385" i="5" s="1"/>
  <c r="F1385" i="5"/>
  <c r="E1385" i="5"/>
  <c r="Q1384" i="5"/>
  <c r="P1384" i="5"/>
  <c r="R1384" i="5" s="1"/>
  <c r="F1384" i="5"/>
  <c r="E1384" i="5"/>
  <c r="Q1383" i="5"/>
  <c r="P1383" i="5"/>
  <c r="R1383" i="5" s="1"/>
  <c r="F1383" i="5"/>
  <c r="E1383" i="5"/>
  <c r="Q1382" i="5"/>
  <c r="P1382" i="5"/>
  <c r="R1382" i="5" s="1"/>
  <c r="F1382" i="5"/>
  <c r="E1382" i="5"/>
  <c r="Q1381" i="5"/>
  <c r="P1381" i="5"/>
  <c r="R1381" i="5" s="1"/>
  <c r="F1381" i="5"/>
  <c r="E1381" i="5"/>
  <c r="Q1380" i="5"/>
  <c r="P1380" i="5"/>
  <c r="R1380" i="5" s="1"/>
  <c r="F1380" i="5"/>
  <c r="E1380" i="5"/>
  <c r="Q1379" i="5"/>
  <c r="P1379" i="5"/>
  <c r="R1379" i="5" s="1"/>
  <c r="F1379" i="5"/>
  <c r="E1379" i="5"/>
  <c r="Q1378" i="5"/>
  <c r="P1378" i="5"/>
  <c r="R1378" i="5" s="1"/>
  <c r="F1378" i="5"/>
  <c r="E1378" i="5"/>
  <c r="Q1377" i="5"/>
  <c r="P1377" i="5"/>
  <c r="R1377" i="5" s="1"/>
  <c r="F1377" i="5"/>
  <c r="E1377" i="5"/>
  <c r="Q1376" i="5"/>
  <c r="P1376" i="5"/>
  <c r="R1376" i="5" s="1"/>
  <c r="F1376" i="5"/>
  <c r="E1376" i="5"/>
  <c r="Q1375" i="5"/>
  <c r="P1375" i="5"/>
  <c r="R1375" i="5" s="1"/>
  <c r="F1375" i="5"/>
  <c r="E1375" i="5"/>
  <c r="Q1374" i="5"/>
  <c r="P1374" i="5"/>
  <c r="R1374" i="5" s="1"/>
  <c r="F1374" i="5"/>
  <c r="E1374" i="5"/>
  <c r="Q1373" i="5"/>
  <c r="P1373" i="5"/>
  <c r="R1373" i="5" s="1"/>
  <c r="F1373" i="5"/>
  <c r="E1373" i="5"/>
  <c r="Q1372" i="5"/>
  <c r="P1372" i="5"/>
  <c r="R1372" i="5" s="1"/>
  <c r="F1372" i="5"/>
  <c r="E1372" i="5"/>
  <c r="Q1371" i="5"/>
  <c r="P1371" i="5"/>
  <c r="R1371" i="5" s="1"/>
  <c r="F1371" i="5"/>
  <c r="E1371" i="5"/>
  <c r="Q1370" i="5"/>
  <c r="P1370" i="5"/>
  <c r="R1370" i="5" s="1"/>
  <c r="F1370" i="5"/>
  <c r="E1370" i="5"/>
  <c r="Q1369" i="5"/>
  <c r="P1369" i="5"/>
  <c r="R1369" i="5" s="1"/>
  <c r="F1369" i="5"/>
  <c r="E1369" i="5"/>
  <c r="Q1368" i="5"/>
  <c r="P1368" i="5"/>
  <c r="R1368" i="5" s="1"/>
  <c r="F1368" i="5"/>
  <c r="E1368" i="5"/>
  <c r="Q1367" i="5"/>
  <c r="P1367" i="5"/>
  <c r="R1367" i="5" s="1"/>
  <c r="F1367" i="5"/>
  <c r="E1367" i="5"/>
  <c r="Q1366" i="5"/>
  <c r="P1366" i="5"/>
  <c r="R1366" i="5" s="1"/>
  <c r="F1366" i="5"/>
  <c r="E1366" i="5"/>
  <c r="Q1365" i="5"/>
  <c r="P1365" i="5"/>
  <c r="R1365" i="5" s="1"/>
  <c r="F1365" i="5"/>
  <c r="E1365" i="5"/>
  <c r="Q1364" i="5"/>
  <c r="P1364" i="5"/>
  <c r="R1364" i="5" s="1"/>
  <c r="F1364" i="5"/>
  <c r="E1364" i="5"/>
  <c r="Q1363" i="5"/>
  <c r="P1363" i="5"/>
  <c r="R1363" i="5" s="1"/>
  <c r="F1363" i="5"/>
  <c r="E1363" i="5"/>
  <c r="Q1362" i="5"/>
  <c r="P1362" i="5"/>
  <c r="R1362" i="5" s="1"/>
  <c r="F1362" i="5"/>
  <c r="E1362" i="5"/>
  <c r="Q1361" i="5"/>
  <c r="P1361" i="5"/>
  <c r="R1361" i="5" s="1"/>
  <c r="F1361" i="5"/>
  <c r="E1361" i="5"/>
  <c r="Q1360" i="5"/>
  <c r="P1360" i="5"/>
  <c r="R1360" i="5" s="1"/>
  <c r="F1360" i="5"/>
  <c r="E1360" i="5"/>
  <c r="Q1359" i="5"/>
  <c r="P1359" i="5"/>
  <c r="R1359" i="5" s="1"/>
  <c r="F1359" i="5"/>
  <c r="E1359" i="5"/>
  <c r="Q1358" i="5"/>
  <c r="P1358" i="5"/>
  <c r="R1358" i="5" s="1"/>
  <c r="F1358" i="5"/>
  <c r="E1358" i="5"/>
  <c r="Q1357" i="5"/>
  <c r="P1357" i="5"/>
  <c r="R1357" i="5" s="1"/>
  <c r="F1357" i="5"/>
  <c r="E1357" i="5"/>
  <c r="Q1356" i="5"/>
  <c r="P1356" i="5"/>
  <c r="R1356" i="5" s="1"/>
  <c r="F1356" i="5"/>
  <c r="E1356" i="5"/>
  <c r="Q1355" i="5"/>
  <c r="P1355" i="5"/>
  <c r="R1355" i="5" s="1"/>
  <c r="F1355" i="5"/>
  <c r="E1355" i="5"/>
  <c r="Q1354" i="5"/>
  <c r="P1354" i="5"/>
  <c r="R1354" i="5" s="1"/>
  <c r="F1354" i="5"/>
  <c r="E1354" i="5"/>
  <c r="Q1353" i="5"/>
  <c r="P1353" i="5"/>
  <c r="R1353" i="5" s="1"/>
  <c r="F1353" i="5"/>
  <c r="E1353" i="5"/>
  <c r="Q1352" i="5"/>
  <c r="P1352" i="5"/>
  <c r="R1352" i="5" s="1"/>
  <c r="F1352" i="5"/>
  <c r="E1352" i="5"/>
  <c r="Q1351" i="5"/>
  <c r="P1351" i="5"/>
  <c r="R1351" i="5" s="1"/>
  <c r="F1351" i="5"/>
  <c r="E1351" i="5"/>
  <c r="Q1350" i="5"/>
  <c r="P1350" i="5"/>
  <c r="R1350" i="5" s="1"/>
  <c r="F1350" i="5"/>
  <c r="E1350" i="5"/>
  <c r="Q1349" i="5"/>
  <c r="P1349" i="5"/>
  <c r="R1349" i="5" s="1"/>
  <c r="F1349" i="5"/>
  <c r="E1349" i="5"/>
  <c r="Q1348" i="5"/>
  <c r="P1348" i="5"/>
  <c r="R1348" i="5" s="1"/>
  <c r="F1348" i="5"/>
  <c r="E1348" i="5"/>
  <c r="Q1347" i="5"/>
  <c r="P1347" i="5"/>
  <c r="R1347" i="5" s="1"/>
  <c r="F1347" i="5"/>
  <c r="E1347" i="5"/>
  <c r="Q1346" i="5"/>
  <c r="P1346" i="5"/>
  <c r="R1346" i="5" s="1"/>
  <c r="F1346" i="5"/>
  <c r="E1346" i="5"/>
  <c r="Q1345" i="5"/>
  <c r="P1345" i="5"/>
  <c r="R1345" i="5" s="1"/>
  <c r="F1345" i="5"/>
  <c r="E1345" i="5"/>
  <c r="Q1344" i="5"/>
  <c r="P1344" i="5"/>
  <c r="R1344" i="5" s="1"/>
  <c r="F1344" i="5"/>
  <c r="E1344" i="5"/>
  <c r="Q1343" i="5"/>
  <c r="P1343" i="5"/>
  <c r="R1343" i="5" s="1"/>
  <c r="F1343" i="5"/>
  <c r="E1343" i="5"/>
  <c r="Q1342" i="5"/>
  <c r="P1342" i="5"/>
  <c r="R1342" i="5" s="1"/>
  <c r="F1342" i="5"/>
  <c r="E1342" i="5"/>
  <c r="Q1341" i="5"/>
  <c r="P1341" i="5"/>
  <c r="R1341" i="5" s="1"/>
  <c r="F1341" i="5"/>
  <c r="E1341" i="5"/>
  <c r="Q1340" i="5"/>
  <c r="P1340" i="5"/>
  <c r="R1340" i="5" s="1"/>
  <c r="F1340" i="5"/>
  <c r="E1340" i="5"/>
  <c r="Q1339" i="5"/>
  <c r="P1339" i="5"/>
  <c r="R1339" i="5" s="1"/>
  <c r="F1339" i="5"/>
  <c r="E1339" i="5"/>
  <c r="Q1338" i="5"/>
  <c r="P1338" i="5"/>
  <c r="R1338" i="5" s="1"/>
  <c r="F1338" i="5"/>
  <c r="E1338" i="5"/>
  <c r="Q1337" i="5"/>
  <c r="P1337" i="5"/>
  <c r="R1337" i="5" s="1"/>
  <c r="F1337" i="5"/>
  <c r="E1337" i="5"/>
  <c r="Q1336" i="5"/>
  <c r="P1336" i="5"/>
  <c r="R1336" i="5" s="1"/>
  <c r="F1336" i="5"/>
  <c r="E1336" i="5"/>
  <c r="Q1335" i="5"/>
  <c r="P1335" i="5"/>
  <c r="R1335" i="5" s="1"/>
  <c r="F1335" i="5"/>
  <c r="E1335" i="5"/>
  <c r="Q1334" i="5"/>
  <c r="P1334" i="5"/>
  <c r="R1334" i="5" s="1"/>
  <c r="F1334" i="5"/>
  <c r="E1334" i="5"/>
  <c r="Q1333" i="5"/>
  <c r="P1333" i="5"/>
  <c r="R1333" i="5" s="1"/>
  <c r="F1333" i="5"/>
  <c r="E1333" i="5"/>
  <c r="Q1332" i="5"/>
  <c r="P1332" i="5"/>
  <c r="R1332" i="5" s="1"/>
  <c r="F1332" i="5"/>
  <c r="E1332" i="5"/>
  <c r="Q1331" i="5"/>
  <c r="P1331" i="5"/>
  <c r="R1331" i="5" s="1"/>
  <c r="F1331" i="5"/>
  <c r="E1331" i="5"/>
  <c r="Q1330" i="5"/>
  <c r="P1330" i="5"/>
  <c r="R1330" i="5" s="1"/>
  <c r="F1330" i="5"/>
  <c r="E1330" i="5"/>
  <c r="Q1329" i="5"/>
  <c r="P1329" i="5"/>
  <c r="R1329" i="5" s="1"/>
  <c r="F1329" i="5"/>
  <c r="E1329" i="5"/>
  <c r="Q1328" i="5"/>
  <c r="P1328" i="5"/>
  <c r="R1328" i="5" s="1"/>
  <c r="F1328" i="5"/>
  <c r="E1328" i="5"/>
  <c r="Q1327" i="5"/>
  <c r="P1327" i="5"/>
  <c r="R1327" i="5" s="1"/>
  <c r="F1327" i="5"/>
  <c r="E1327" i="5"/>
  <c r="Q1326" i="5"/>
  <c r="P1326" i="5"/>
  <c r="R1326" i="5" s="1"/>
  <c r="F1326" i="5"/>
  <c r="E1326" i="5"/>
  <c r="Q1325" i="5"/>
  <c r="P1325" i="5"/>
  <c r="R1325" i="5" s="1"/>
  <c r="F1325" i="5"/>
  <c r="E1325" i="5"/>
  <c r="Q1324" i="5"/>
  <c r="P1324" i="5"/>
  <c r="R1324" i="5" s="1"/>
  <c r="F1324" i="5"/>
  <c r="E1324" i="5"/>
  <c r="Q1323" i="5"/>
  <c r="P1323" i="5"/>
  <c r="R1323" i="5" s="1"/>
  <c r="F1323" i="5"/>
  <c r="E1323" i="5"/>
  <c r="Q1322" i="5"/>
  <c r="P1322" i="5"/>
  <c r="R1322" i="5" s="1"/>
  <c r="F1322" i="5"/>
  <c r="E1322" i="5"/>
  <c r="Q1321" i="5"/>
  <c r="P1321" i="5"/>
  <c r="R1321" i="5" s="1"/>
  <c r="F1321" i="5"/>
  <c r="E1321" i="5"/>
  <c r="Q1320" i="5"/>
  <c r="P1320" i="5"/>
  <c r="R1320" i="5" s="1"/>
  <c r="F1320" i="5"/>
  <c r="E1320" i="5"/>
  <c r="Q1319" i="5"/>
  <c r="P1319" i="5"/>
  <c r="R1319" i="5" s="1"/>
  <c r="F1319" i="5"/>
  <c r="E1319" i="5"/>
  <c r="Q1318" i="5"/>
  <c r="P1318" i="5"/>
  <c r="R1318" i="5" s="1"/>
  <c r="F1318" i="5"/>
  <c r="E1318" i="5"/>
  <c r="Q1317" i="5"/>
  <c r="P1317" i="5"/>
  <c r="R1317" i="5" s="1"/>
  <c r="F1317" i="5"/>
  <c r="E1317" i="5"/>
  <c r="Q1316" i="5"/>
  <c r="P1316" i="5"/>
  <c r="R1316" i="5" s="1"/>
  <c r="F1316" i="5"/>
  <c r="E1316" i="5"/>
  <c r="Q1315" i="5"/>
  <c r="P1315" i="5"/>
  <c r="R1315" i="5" s="1"/>
  <c r="F1315" i="5"/>
  <c r="E1315" i="5"/>
  <c r="Q1314" i="5"/>
  <c r="P1314" i="5"/>
  <c r="R1314" i="5" s="1"/>
  <c r="F1314" i="5"/>
  <c r="E1314" i="5"/>
  <c r="Q1313" i="5"/>
  <c r="P1313" i="5"/>
  <c r="R1313" i="5" s="1"/>
  <c r="F1313" i="5"/>
  <c r="E1313" i="5"/>
  <c r="Q1312" i="5"/>
  <c r="P1312" i="5"/>
  <c r="R1312" i="5" s="1"/>
  <c r="F1312" i="5"/>
  <c r="E1312" i="5"/>
  <c r="Q1311" i="5"/>
  <c r="P1311" i="5"/>
  <c r="R1311" i="5" s="1"/>
  <c r="F1311" i="5"/>
  <c r="E1311" i="5"/>
  <c r="Q1310" i="5"/>
  <c r="P1310" i="5"/>
  <c r="R1310" i="5" s="1"/>
  <c r="F1310" i="5"/>
  <c r="E1310" i="5"/>
  <c r="Q1309" i="5"/>
  <c r="P1309" i="5"/>
  <c r="R1309" i="5" s="1"/>
  <c r="F1309" i="5"/>
  <c r="E1309" i="5"/>
  <c r="Q1308" i="5"/>
  <c r="P1308" i="5"/>
  <c r="R1308" i="5" s="1"/>
  <c r="F1308" i="5"/>
  <c r="E1308" i="5"/>
  <c r="Q1307" i="5"/>
  <c r="P1307" i="5"/>
  <c r="R1307" i="5" s="1"/>
  <c r="F1307" i="5"/>
  <c r="E1307" i="5"/>
  <c r="Q1306" i="5"/>
  <c r="P1306" i="5"/>
  <c r="R1306" i="5" s="1"/>
  <c r="F1306" i="5"/>
  <c r="E1306" i="5"/>
  <c r="Q1305" i="5"/>
  <c r="P1305" i="5"/>
  <c r="R1305" i="5" s="1"/>
  <c r="F1305" i="5"/>
  <c r="E1305" i="5"/>
  <c r="Q1304" i="5"/>
  <c r="P1304" i="5"/>
  <c r="R1304" i="5" s="1"/>
  <c r="F1304" i="5"/>
  <c r="E1304" i="5"/>
  <c r="Q1303" i="5"/>
  <c r="P1303" i="5"/>
  <c r="R1303" i="5" s="1"/>
  <c r="F1303" i="5"/>
  <c r="E1303" i="5"/>
  <c r="Q1302" i="5"/>
  <c r="P1302" i="5"/>
  <c r="R1302" i="5" s="1"/>
  <c r="F1302" i="5"/>
  <c r="E1302" i="5"/>
  <c r="Q1301" i="5"/>
  <c r="P1301" i="5"/>
  <c r="R1301" i="5" s="1"/>
  <c r="F1301" i="5"/>
  <c r="E1301" i="5"/>
  <c r="Q1300" i="5"/>
  <c r="P1300" i="5"/>
  <c r="R1300" i="5" s="1"/>
  <c r="F1300" i="5"/>
  <c r="E1300" i="5"/>
  <c r="Q1299" i="5"/>
  <c r="P1299" i="5"/>
  <c r="R1299" i="5" s="1"/>
  <c r="F1299" i="5"/>
  <c r="E1299" i="5"/>
  <c r="Q1298" i="5"/>
  <c r="P1298" i="5"/>
  <c r="R1298" i="5" s="1"/>
  <c r="F1298" i="5"/>
  <c r="E1298" i="5"/>
  <c r="Q1297" i="5"/>
  <c r="P1297" i="5"/>
  <c r="R1297" i="5" s="1"/>
  <c r="F1297" i="5"/>
  <c r="E1297" i="5"/>
  <c r="Q1296" i="5"/>
  <c r="P1296" i="5"/>
  <c r="R1296" i="5" s="1"/>
  <c r="F1296" i="5"/>
  <c r="E1296" i="5"/>
  <c r="Q1295" i="5"/>
  <c r="P1295" i="5"/>
  <c r="R1295" i="5" s="1"/>
  <c r="F1295" i="5"/>
  <c r="E1295" i="5"/>
  <c r="Q1294" i="5"/>
  <c r="P1294" i="5"/>
  <c r="R1294" i="5" s="1"/>
  <c r="F1294" i="5"/>
  <c r="E1294" i="5"/>
  <c r="Q1293" i="5"/>
  <c r="P1293" i="5"/>
  <c r="R1293" i="5" s="1"/>
  <c r="F1293" i="5"/>
  <c r="E1293" i="5"/>
  <c r="Q1292" i="5"/>
  <c r="P1292" i="5"/>
  <c r="R1292" i="5" s="1"/>
  <c r="F1292" i="5"/>
  <c r="E1292" i="5"/>
  <c r="Q1291" i="5"/>
  <c r="P1291" i="5"/>
  <c r="R1291" i="5" s="1"/>
  <c r="F1291" i="5"/>
  <c r="E1291" i="5"/>
  <c r="Q1290" i="5"/>
  <c r="P1290" i="5"/>
  <c r="R1290" i="5" s="1"/>
  <c r="F1290" i="5"/>
  <c r="E1290" i="5"/>
  <c r="Q1289" i="5"/>
  <c r="P1289" i="5"/>
  <c r="R1289" i="5" s="1"/>
  <c r="F1289" i="5"/>
  <c r="E1289" i="5"/>
  <c r="Q1288" i="5"/>
  <c r="P1288" i="5"/>
  <c r="R1288" i="5" s="1"/>
  <c r="F1288" i="5"/>
  <c r="E1288" i="5"/>
  <c r="Q1287" i="5"/>
  <c r="P1287" i="5"/>
  <c r="R1287" i="5" s="1"/>
  <c r="F1287" i="5"/>
  <c r="E1287" i="5"/>
  <c r="Q1286" i="5"/>
  <c r="P1286" i="5"/>
  <c r="R1286" i="5" s="1"/>
  <c r="F1286" i="5"/>
  <c r="E1286" i="5"/>
  <c r="Q1285" i="5"/>
  <c r="P1285" i="5"/>
  <c r="R1285" i="5" s="1"/>
  <c r="F1285" i="5"/>
  <c r="E1285" i="5"/>
  <c r="Q1284" i="5"/>
  <c r="P1284" i="5"/>
  <c r="R1284" i="5" s="1"/>
  <c r="F1284" i="5"/>
  <c r="E1284" i="5"/>
  <c r="Q1283" i="5"/>
  <c r="P1283" i="5"/>
  <c r="R1283" i="5" s="1"/>
  <c r="F1283" i="5"/>
  <c r="E1283" i="5"/>
  <c r="Q1282" i="5"/>
  <c r="P1282" i="5"/>
  <c r="R1282" i="5" s="1"/>
  <c r="F1282" i="5"/>
  <c r="E1282" i="5"/>
  <c r="Q1281" i="5"/>
  <c r="P1281" i="5"/>
  <c r="R1281" i="5" s="1"/>
  <c r="F1281" i="5"/>
  <c r="E1281" i="5"/>
  <c r="Q1280" i="5"/>
  <c r="P1280" i="5"/>
  <c r="R1280" i="5" s="1"/>
  <c r="F1280" i="5"/>
  <c r="E1280" i="5"/>
  <c r="Q1279" i="5"/>
  <c r="P1279" i="5"/>
  <c r="R1279" i="5" s="1"/>
  <c r="F1279" i="5"/>
  <c r="E1279" i="5"/>
  <c r="Q1278" i="5"/>
  <c r="P1278" i="5"/>
  <c r="R1278" i="5" s="1"/>
  <c r="F1278" i="5"/>
  <c r="E1278" i="5"/>
  <c r="Q1277" i="5"/>
  <c r="P1277" i="5"/>
  <c r="R1277" i="5" s="1"/>
  <c r="F1277" i="5"/>
  <c r="E1277" i="5"/>
  <c r="Q1276" i="5"/>
  <c r="P1276" i="5"/>
  <c r="R1276" i="5" s="1"/>
  <c r="F1276" i="5"/>
  <c r="E1276" i="5"/>
  <c r="Q1275" i="5"/>
  <c r="P1275" i="5"/>
  <c r="R1275" i="5" s="1"/>
  <c r="F1275" i="5"/>
  <c r="E1275" i="5"/>
  <c r="Q1274" i="5"/>
  <c r="P1274" i="5"/>
  <c r="R1274" i="5" s="1"/>
  <c r="F1274" i="5"/>
  <c r="E1274" i="5"/>
  <c r="Q1273" i="5"/>
  <c r="P1273" i="5"/>
  <c r="R1273" i="5" s="1"/>
  <c r="F1273" i="5"/>
  <c r="E1273" i="5"/>
  <c r="Q1272" i="5"/>
  <c r="P1272" i="5"/>
  <c r="R1272" i="5" s="1"/>
  <c r="F1272" i="5"/>
  <c r="E1272" i="5"/>
  <c r="Q1271" i="5"/>
  <c r="P1271" i="5"/>
  <c r="R1271" i="5" s="1"/>
  <c r="F1271" i="5"/>
  <c r="E1271" i="5"/>
  <c r="Q1270" i="5"/>
  <c r="P1270" i="5"/>
  <c r="R1270" i="5" s="1"/>
  <c r="F1270" i="5"/>
  <c r="E1270" i="5"/>
  <c r="Q1269" i="5"/>
  <c r="P1269" i="5"/>
  <c r="R1269" i="5" s="1"/>
  <c r="F1269" i="5"/>
  <c r="E1269" i="5"/>
  <c r="Q1268" i="5"/>
  <c r="P1268" i="5"/>
  <c r="R1268" i="5" s="1"/>
  <c r="F1268" i="5"/>
  <c r="E1268" i="5"/>
  <c r="Q1267" i="5"/>
  <c r="P1267" i="5"/>
  <c r="R1267" i="5" s="1"/>
  <c r="F1267" i="5"/>
  <c r="E1267" i="5"/>
  <c r="Q1266" i="5"/>
  <c r="P1266" i="5"/>
  <c r="R1266" i="5" s="1"/>
  <c r="F1266" i="5"/>
  <c r="E1266" i="5"/>
  <c r="Q1265" i="5"/>
  <c r="P1265" i="5"/>
  <c r="R1265" i="5" s="1"/>
  <c r="F1265" i="5"/>
  <c r="E1265" i="5"/>
  <c r="Q1264" i="5"/>
  <c r="P1264" i="5"/>
  <c r="R1264" i="5" s="1"/>
  <c r="F1264" i="5"/>
  <c r="E1264" i="5"/>
  <c r="Q1263" i="5"/>
  <c r="P1263" i="5"/>
  <c r="R1263" i="5" s="1"/>
  <c r="F1263" i="5"/>
  <c r="E1263" i="5"/>
  <c r="Q1262" i="5"/>
  <c r="P1262" i="5"/>
  <c r="R1262" i="5" s="1"/>
  <c r="F1262" i="5"/>
  <c r="E1262" i="5"/>
  <c r="Q1261" i="5"/>
  <c r="P1261" i="5"/>
  <c r="R1261" i="5" s="1"/>
  <c r="F1261" i="5"/>
  <c r="E1261" i="5"/>
  <c r="Q1260" i="5"/>
  <c r="P1260" i="5"/>
  <c r="R1260" i="5" s="1"/>
  <c r="F1260" i="5"/>
  <c r="E1260" i="5"/>
  <c r="Q1259" i="5"/>
  <c r="P1259" i="5"/>
  <c r="R1259" i="5" s="1"/>
  <c r="F1259" i="5"/>
  <c r="E1259" i="5"/>
  <c r="Q1258" i="5"/>
  <c r="P1258" i="5"/>
  <c r="R1258" i="5" s="1"/>
  <c r="F1258" i="5"/>
  <c r="E1258" i="5"/>
  <c r="Q1257" i="5"/>
  <c r="P1257" i="5"/>
  <c r="R1257" i="5" s="1"/>
  <c r="F1257" i="5"/>
  <c r="E1257" i="5"/>
  <c r="Q1256" i="5"/>
  <c r="P1256" i="5"/>
  <c r="R1256" i="5" s="1"/>
  <c r="F1256" i="5"/>
  <c r="E1256" i="5"/>
  <c r="Q1255" i="5"/>
  <c r="P1255" i="5"/>
  <c r="R1255" i="5" s="1"/>
  <c r="F1255" i="5"/>
  <c r="E1255" i="5"/>
  <c r="Q1254" i="5"/>
  <c r="P1254" i="5"/>
  <c r="R1254" i="5" s="1"/>
  <c r="F1254" i="5"/>
  <c r="E1254" i="5"/>
  <c r="Q1253" i="5"/>
  <c r="P1253" i="5"/>
  <c r="R1253" i="5" s="1"/>
  <c r="F1253" i="5"/>
  <c r="E1253" i="5"/>
  <c r="Q1252" i="5"/>
  <c r="P1252" i="5"/>
  <c r="R1252" i="5" s="1"/>
  <c r="F1252" i="5"/>
  <c r="E1252" i="5"/>
  <c r="Q1251" i="5"/>
  <c r="P1251" i="5"/>
  <c r="R1251" i="5" s="1"/>
  <c r="F1251" i="5"/>
  <c r="E1251" i="5"/>
  <c r="Q1250" i="5"/>
  <c r="P1250" i="5"/>
  <c r="R1250" i="5" s="1"/>
  <c r="F1250" i="5"/>
  <c r="E1250" i="5"/>
  <c r="Q1249" i="5"/>
  <c r="P1249" i="5"/>
  <c r="R1249" i="5" s="1"/>
  <c r="F1249" i="5"/>
  <c r="E1249" i="5"/>
  <c r="Q1248" i="5"/>
  <c r="P1248" i="5"/>
  <c r="R1248" i="5" s="1"/>
  <c r="F1248" i="5"/>
  <c r="E1248" i="5"/>
  <c r="Q1247" i="5"/>
  <c r="P1247" i="5"/>
  <c r="R1247" i="5" s="1"/>
  <c r="F1247" i="5"/>
  <c r="E1247" i="5"/>
  <c r="Q1246" i="5"/>
  <c r="P1246" i="5"/>
  <c r="R1246" i="5" s="1"/>
  <c r="F1246" i="5"/>
  <c r="E1246" i="5"/>
  <c r="Q1245" i="5"/>
  <c r="P1245" i="5"/>
  <c r="R1245" i="5" s="1"/>
  <c r="F1245" i="5"/>
  <c r="E1245" i="5"/>
  <c r="Q1244" i="5"/>
  <c r="P1244" i="5"/>
  <c r="R1244" i="5" s="1"/>
  <c r="F1244" i="5"/>
  <c r="E1244" i="5"/>
  <c r="Q1243" i="5"/>
  <c r="P1243" i="5"/>
  <c r="R1243" i="5" s="1"/>
  <c r="F1243" i="5"/>
  <c r="E1243" i="5"/>
  <c r="Q1242" i="5"/>
  <c r="P1242" i="5"/>
  <c r="R1242" i="5" s="1"/>
  <c r="F1242" i="5"/>
  <c r="E1242" i="5"/>
  <c r="Q1241" i="5"/>
  <c r="P1241" i="5"/>
  <c r="R1241" i="5" s="1"/>
  <c r="F1241" i="5"/>
  <c r="E1241" i="5"/>
  <c r="Q1240" i="5"/>
  <c r="P1240" i="5"/>
  <c r="R1240" i="5" s="1"/>
  <c r="F1240" i="5"/>
  <c r="E1240" i="5"/>
  <c r="Q1239" i="5"/>
  <c r="P1239" i="5"/>
  <c r="R1239" i="5" s="1"/>
  <c r="F1239" i="5"/>
  <c r="E1239" i="5"/>
  <c r="Q1238" i="5"/>
  <c r="P1238" i="5"/>
  <c r="R1238" i="5" s="1"/>
  <c r="F1238" i="5"/>
  <c r="E1238" i="5"/>
  <c r="Q1237" i="5"/>
  <c r="P1237" i="5"/>
  <c r="R1237" i="5" s="1"/>
  <c r="F1237" i="5"/>
  <c r="E1237" i="5"/>
  <c r="Q1236" i="5"/>
  <c r="P1236" i="5"/>
  <c r="R1236" i="5" s="1"/>
  <c r="F1236" i="5"/>
  <c r="E1236" i="5"/>
  <c r="Q1235" i="5"/>
  <c r="P1235" i="5"/>
  <c r="R1235" i="5" s="1"/>
  <c r="F1235" i="5"/>
  <c r="E1235" i="5"/>
  <c r="Q1234" i="5"/>
  <c r="P1234" i="5"/>
  <c r="R1234" i="5" s="1"/>
  <c r="F1234" i="5"/>
  <c r="E1234" i="5"/>
  <c r="Q1233" i="5"/>
  <c r="P1233" i="5"/>
  <c r="R1233" i="5" s="1"/>
  <c r="F1233" i="5"/>
  <c r="E1233" i="5"/>
  <c r="Q1232" i="5"/>
  <c r="P1232" i="5"/>
  <c r="R1232" i="5" s="1"/>
  <c r="F1232" i="5"/>
  <c r="E1232" i="5"/>
  <c r="Q1231" i="5"/>
  <c r="P1231" i="5"/>
  <c r="R1231" i="5" s="1"/>
  <c r="F1231" i="5"/>
  <c r="E1231" i="5"/>
  <c r="Q1230" i="5"/>
  <c r="P1230" i="5"/>
  <c r="R1230" i="5" s="1"/>
  <c r="F1230" i="5"/>
  <c r="E1230" i="5"/>
  <c r="Q1229" i="5"/>
  <c r="P1229" i="5"/>
  <c r="R1229" i="5" s="1"/>
  <c r="F1229" i="5"/>
  <c r="E1229" i="5"/>
  <c r="Q1228" i="5"/>
  <c r="P1228" i="5"/>
  <c r="R1228" i="5" s="1"/>
  <c r="F1228" i="5"/>
  <c r="E1228" i="5"/>
  <c r="Q1227" i="5"/>
  <c r="P1227" i="5"/>
  <c r="R1227" i="5" s="1"/>
  <c r="F1227" i="5"/>
  <c r="E1227" i="5"/>
  <c r="Q1226" i="5"/>
  <c r="P1226" i="5"/>
  <c r="R1226" i="5" s="1"/>
  <c r="F1226" i="5"/>
  <c r="E1226" i="5"/>
  <c r="Q1225" i="5"/>
  <c r="P1225" i="5"/>
  <c r="R1225" i="5" s="1"/>
  <c r="F1225" i="5"/>
  <c r="E1225" i="5"/>
  <c r="Q1224" i="5"/>
  <c r="P1224" i="5"/>
  <c r="R1224" i="5" s="1"/>
  <c r="F1224" i="5"/>
  <c r="E1224" i="5"/>
  <c r="Q1223" i="5"/>
  <c r="P1223" i="5"/>
  <c r="R1223" i="5" s="1"/>
  <c r="F1223" i="5"/>
  <c r="E1223" i="5"/>
  <c r="Q1222" i="5"/>
  <c r="P1222" i="5"/>
  <c r="R1222" i="5" s="1"/>
  <c r="F1222" i="5"/>
  <c r="E1222" i="5"/>
  <c r="Q1221" i="5"/>
  <c r="P1221" i="5"/>
  <c r="R1221" i="5" s="1"/>
  <c r="F1221" i="5"/>
  <c r="E1221" i="5"/>
  <c r="Q1220" i="5"/>
  <c r="P1220" i="5"/>
  <c r="R1220" i="5" s="1"/>
  <c r="F1220" i="5"/>
  <c r="E1220" i="5"/>
  <c r="Q1219" i="5"/>
  <c r="P1219" i="5"/>
  <c r="R1219" i="5" s="1"/>
  <c r="F1219" i="5"/>
  <c r="E1219" i="5"/>
  <c r="Q1218" i="5"/>
  <c r="P1218" i="5"/>
  <c r="R1218" i="5" s="1"/>
  <c r="F1218" i="5"/>
  <c r="E1218" i="5"/>
  <c r="Q1217" i="5"/>
  <c r="P1217" i="5"/>
  <c r="R1217" i="5" s="1"/>
  <c r="F1217" i="5"/>
  <c r="E1217" i="5"/>
  <c r="Q1216" i="5"/>
  <c r="P1216" i="5"/>
  <c r="R1216" i="5" s="1"/>
  <c r="F1216" i="5"/>
  <c r="E1216" i="5"/>
  <c r="Q1215" i="5"/>
  <c r="P1215" i="5"/>
  <c r="R1215" i="5" s="1"/>
  <c r="F1215" i="5"/>
  <c r="E1215" i="5"/>
  <c r="Q1214" i="5"/>
  <c r="P1214" i="5"/>
  <c r="R1214" i="5" s="1"/>
  <c r="F1214" i="5"/>
  <c r="E1214" i="5"/>
  <c r="Q1213" i="5"/>
  <c r="P1213" i="5"/>
  <c r="R1213" i="5" s="1"/>
  <c r="F1213" i="5"/>
  <c r="E1213" i="5"/>
  <c r="Q1212" i="5"/>
  <c r="P1212" i="5"/>
  <c r="R1212" i="5" s="1"/>
  <c r="F1212" i="5"/>
  <c r="E1212" i="5"/>
  <c r="Q1211" i="5"/>
  <c r="P1211" i="5"/>
  <c r="R1211" i="5" s="1"/>
  <c r="F1211" i="5"/>
  <c r="E1211" i="5"/>
  <c r="Q1210" i="5"/>
  <c r="P1210" i="5"/>
  <c r="R1210" i="5" s="1"/>
  <c r="F1210" i="5"/>
  <c r="E1210" i="5"/>
  <c r="Q1209" i="5"/>
  <c r="P1209" i="5"/>
  <c r="R1209" i="5" s="1"/>
  <c r="F1209" i="5"/>
  <c r="E1209" i="5"/>
  <c r="Q1208" i="5"/>
  <c r="P1208" i="5"/>
  <c r="R1208" i="5" s="1"/>
  <c r="F1208" i="5"/>
  <c r="E1208" i="5"/>
  <c r="Q1207" i="5"/>
  <c r="P1207" i="5"/>
  <c r="R1207" i="5" s="1"/>
  <c r="F1207" i="5"/>
  <c r="E1207" i="5"/>
  <c r="Q1206" i="5"/>
  <c r="P1206" i="5"/>
  <c r="R1206" i="5" s="1"/>
  <c r="F1206" i="5"/>
  <c r="E1206" i="5"/>
  <c r="Q1205" i="5"/>
  <c r="P1205" i="5"/>
  <c r="R1205" i="5" s="1"/>
  <c r="F1205" i="5"/>
  <c r="E1205" i="5"/>
  <c r="Q1204" i="5"/>
  <c r="P1204" i="5"/>
  <c r="R1204" i="5" s="1"/>
  <c r="F1204" i="5"/>
  <c r="E1204" i="5"/>
  <c r="Q1203" i="5"/>
  <c r="P1203" i="5"/>
  <c r="R1203" i="5" s="1"/>
  <c r="F1203" i="5"/>
  <c r="E1203" i="5"/>
  <c r="Q1202" i="5"/>
  <c r="P1202" i="5"/>
  <c r="R1202" i="5" s="1"/>
  <c r="F1202" i="5"/>
  <c r="E1202" i="5"/>
  <c r="Q1201" i="5"/>
  <c r="P1201" i="5"/>
  <c r="R1201" i="5" s="1"/>
  <c r="F1201" i="5"/>
  <c r="E1201" i="5"/>
  <c r="Q1200" i="5"/>
  <c r="P1200" i="5"/>
  <c r="R1200" i="5" s="1"/>
  <c r="F1200" i="5"/>
  <c r="E1200" i="5"/>
  <c r="Q1199" i="5"/>
  <c r="P1199" i="5"/>
  <c r="R1199" i="5" s="1"/>
  <c r="F1199" i="5"/>
  <c r="E1199" i="5"/>
  <c r="Q1198" i="5"/>
  <c r="P1198" i="5"/>
  <c r="R1198" i="5" s="1"/>
  <c r="F1198" i="5"/>
  <c r="E1198" i="5"/>
  <c r="Q1197" i="5"/>
  <c r="P1197" i="5"/>
  <c r="R1197" i="5" s="1"/>
  <c r="F1197" i="5"/>
  <c r="E1197" i="5"/>
  <c r="Q1196" i="5"/>
  <c r="P1196" i="5"/>
  <c r="R1196" i="5" s="1"/>
  <c r="F1196" i="5"/>
  <c r="E1196" i="5"/>
  <c r="Q1195" i="5"/>
  <c r="P1195" i="5"/>
  <c r="R1195" i="5" s="1"/>
  <c r="F1195" i="5"/>
  <c r="E1195" i="5"/>
  <c r="Q1194" i="5"/>
  <c r="P1194" i="5"/>
  <c r="R1194" i="5" s="1"/>
  <c r="F1194" i="5"/>
  <c r="E1194" i="5"/>
  <c r="Q1193" i="5"/>
  <c r="P1193" i="5"/>
  <c r="R1193" i="5" s="1"/>
  <c r="F1193" i="5"/>
  <c r="E1193" i="5"/>
  <c r="Q1192" i="5"/>
  <c r="P1192" i="5"/>
  <c r="R1192" i="5" s="1"/>
  <c r="F1192" i="5"/>
  <c r="E1192" i="5"/>
  <c r="Q1191" i="5"/>
  <c r="P1191" i="5"/>
  <c r="R1191" i="5" s="1"/>
  <c r="F1191" i="5"/>
  <c r="E1191" i="5"/>
  <c r="Q1190" i="5"/>
  <c r="P1190" i="5"/>
  <c r="R1190" i="5" s="1"/>
  <c r="F1190" i="5"/>
  <c r="E1190" i="5"/>
  <c r="Q1189" i="5"/>
  <c r="P1189" i="5"/>
  <c r="R1189" i="5" s="1"/>
  <c r="F1189" i="5"/>
  <c r="E1189" i="5"/>
  <c r="Q1188" i="5"/>
  <c r="P1188" i="5"/>
  <c r="R1188" i="5" s="1"/>
  <c r="F1188" i="5"/>
  <c r="E1188" i="5"/>
  <c r="Q1187" i="5"/>
  <c r="P1187" i="5"/>
  <c r="R1187" i="5" s="1"/>
  <c r="F1187" i="5"/>
  <c r="E1187" i="5"/>
  <c r="Q1186" i="5"/>
  <c r="P1186" i="5"/>
  <c r="R1186" i="5" s="1"/>
  <c r="F1186" i="5"/>
  <c r="E1186" i="5"/>
  <c r="Q1185" i="5"/>
  <c r="P1185" i="5"/>
  <c r="R1185" i="5" s="1"/>
  <c r="F1185" i="5"/>
  <c r="E1185" i="5"/>
  <c r="Q1184" i="5"/>
  <c r="P1184" i="5"/>
  <c r="R1184" i="5" s="1"/>
  <c r="F1184" i="5"/>
  <c r="E1184" i="5"/>
  <c r="Q1183" i="5"/>
  <c r="P1183" i="5"/>
  <c r="R1183" i="5" s="1"/>
  <c r="F1183" i="5"/>
  <c r="E1183" i="5"/>
  <c r="Q1182" i="5"/>
  <c r="P1182" i="5"/>
  <c r="R1182" i="5" s="1"/>
  <c r="F1182" i="5"/>
  <c r="E1182" i="5"/>
  <c r="Q1181" i="5"/>
  <c r="P1181" i="5"/>
  <c r="R1181" i="5" s="1"/>
  <c r="F1181" i="5"/>
  <c r="E1181" i="5"/>
  <c r="Q1180" i="5"/>
  <c r="P1180" i="5"/>
  <c r="R1180" i="5" s="1"/>
  <c r="F1180" i="5"/>
  <c r="E1180" i="5"/>
  <c r="Q1179" i="5"/>
  <c r="P1179" i="5"/>
  <c r="R1179" i="5" s="1"/>
  <c r="F1179" i="5"/>
  <c r="E1179" i="5"/>
  <c r="Q1178" i="5"/>
  <c r="P1178" i="5"/>
  <c r="R1178" i="5" s="1"/>
  <c r="F1178" i="5"/>
  <c r="E1178" i="5"/>
  <c r="Q1177" i="5"/>
  <c r="P1177" i="5"/>
  <c r="R1177" i="5" s="1"/>
  <c r="F1177" i="5"/>
  <c r="E1177" i="5"/>
  <c r="Q1176" i="5"/>
  <c r="P1176" i="5"/>
  <c r="R1176" i="5" s="1"/>
  <c r="F1176" i="5"/>
  <c r="E1176" i="5"/>
  <c r="Q1175" i="5"/>
  <c r="P1175" i="5"/>
  <c r="R1175" i="5" s="1"/>
  <c r="F1175" i="5"/>
  <c r="E1175" i="5"/>
  <c r="Q1174" i="5"/>
  <c r="P1174" i="5"/>
  <c r="R1174" i="5" s="1"/>
  <c r="F1174" i="5"/>
  <c r="E1174" i="5"/>
  <c r="Q1173" i="5"/>
  <c r="P1173" i="5"/>
  <c r="R1173" i="5" s="1"/>
  <c r="F1173" i="5"/>
  <c r="E1173" i="5"/>
  <c r="Q1172" i="5"/>
  <c r="P1172" i="5"/>
  <c r="R1172" i="5" s="1"/>
  <c r="F1172" i="5"/>
  <c r="E1172" i="5"/>
  <c r="Q1171" i="5"/>
  <c r="P1171" i="5"/>
  <c r="R1171" i="5" s="1"/>
  <c r="F1171" i="5"/>
  <c r="E1171" i="5"/>
  <c r="Q1170" i="5"/>
  <c r="P1170" i="5"/>
  <c r="R1170" i="5" s="1"/>
  <c r="F1170" i="5"/>
  <c r="E1170" i="5"/>
  <c r="Q1169" i="5"/>
  <c r="P1169" i="5"/>
  <c r="R1169" i="5" s="1"/>
  <c r="F1169" i="5"/>
  <c r="E1169" i="5"/>
  <c r="Q1168" i="5"/>
  <c r="P1168" i="5"/>
  <c r="R1168" i="5" s="1"/>
  <c r="F1168" i="5"/>
  <c r="E1168" i="5"/>
  <c r="Q1167" i="5"/>
  <c r="P1167" i="5"/>
  <c r="R1167" i="5" s="1"/>
  <c r="F1167" i="5"/>
  <c r="E1167" i="5"/>
  <c r="Q1166" i="5"/>
  <c r="P1166" i="5"/>
  <c r="R1166" i="5" s="1"/>
  <c r="F1166" i="5"/>
  <c r="E1166" i="5"/>
  <c r="Q1165" i="5"/>
  <c r="P1165" i="5"/>
  <c r="R1165" i="5" s="1"/>
  <c r="F1165" i="5"/>
  <c r="E1165" i="5"/>
  <c r="Q1164" i="5"/>
  <c r="P1164" i="5"/>
  <c r="R1164" i="5" s="1"/>
  <c r="F1164" i="5"/>
  <c r="E1164" i="5"/>
  <c r="Q1163" i="5"/>
  <c r="P1163" i="5"/>
  <c r="R1163" i="5" s="1"/>
  <c r="F1163" i="5"/>
  <c r="E1163" i="5"/>
  <c r="Q1162" i="5"/>
  <c r="P1162" i="5"/>
  <c r="R1162" i="5" s="1"/>
  <c r="F1162" i="5"/>
  <c r="E1162" i="5"/>
  <c r="Q1161" i="5"/>
  <c r="P1161" i="5"/>
  <c r="R1161" i="5" s="1"/>
  <c r="F1161" i="5"/>
  <c r="E1161" i="5"/>
  <c r="Q1160" i="5"/>
  <c r="P1160" i="5"/>
  <c r="R1160" i="5" s="1"/>
  <c r="F1160" i="5"/>
  <c r="E1160" i="5"/>
  <c r="Q1159" i="5"/>
  <c r="P1159" i="5"/>
  <c r="R1159" i="5" s="1"/>
  <c r="F1159" i="5"/>
  <c r="E1159" i="5"/>
  <c r="Q1158" i="5"/>
  <c r="P1158" i="5"/>
  <c r="R1158" i="5" s="1"/>
  <c r="F1158" i="5"/>
  <c r="E1158" i="5"/>
  <c r="Q1157" i="5"/>
  <c r="P1157" i="5"/>
  <c r="R1157" i="5" s="1"/>
  <c r="F1157" i="5"/>
  <c r="E1157" i="5"/>
  <c r="Q1156" i="5"/>
  <c r="P1156" i="5"/>
  <c r="R1156" i="5" s="1"/>
  <c r="F1156" i="5"/>
  <c r="E1156" i="5"/>
  <c r="Q1155" i="5"/>
  <c r="P1155" i="5"/>
  <c r="R1155" i="5" s="1"/>
  <c r="F1155" i="5"/>
  <c r="E1155" i="5"/>
  <c r="Q1154" i="5"/>
  <c r="P1154" i="5"/>
  <c r="R1154" i="5" s="1"/>
  <c r="F1154" i="5"/>
  <c r="E1154" i="5"/>
  <c r="Q1153" i="5"/>
  <c r="P1153" i="5"/>
  <c r="R1153" i="5" s="1"/>
  <c r="F1153" i="5"/>
  <c r="E1153" i="5"/>
  <c r="Q1152" i="5"/>
  <c r="P1152" i="5"/>
  <c r="R1152" i="5" s="1"/>
  <c r="F1152" i="5"/>
  <c r="E1152" i="5"/>
  <c r="Q1151" i="5"/>
  <c r="P1151" i="5"/>
  <c r="R1151" i="5" s="1"/>
  <c r="F1151" i="5"/>
  <c r="E1151" i="5"/>
  <c r="Q1150" i="5"/>
  <c r="P1150" i="5"/>
  <c r="R1150" i="5" s="1"/>
  <c r="F1150" i="5"/>
  <c r="E1150" i="5"/>
  <c r="Q1149" i="5"/>
  <c r="P1149" i="5"/>
  <c r="R1149" i="5" s="1"/>
  <c r="F1149" i="5"/>
  <c r="E1149" i="5"/>
  <c r="Q1148" i="5"/>
  <c r="P1148" i="5"/>
  <c r="R1148" i="5" s="1"/>
  <c r="F1148" i="5"/>
  <c r="E1148" i="5"/>
  <c r="Q1147" i="5"/>
  <c r="P1147" i="5"/>
  <c r="R1147" i="5" s="1"/>
  <c r="F1147" i="5"/>
  <c r="E1147" i="5"/>
  <c r="Q1146" i="5"/>
  <c r="P1146" i="5"/>
  <c r="R1146" i="5" s="1"/>
  <c r="F1146" i="5"/>
  <c r="E1146" i="5"/>
  <c r="Q1145" i="5"/>
  <c r="P1145" i="5"/>
  <c r="R1145" i="5" s="1"/>
  <c r="F1145" i="5"/>
  <c r="E1145" i="5"/>
  <c r="Q1144" i="5"/>
  <c r="P1144" i="5"/>
  <c r="R1144" i="5" s="1"/>
  <c r="F1144" i="5"/>
  <c r="E1144" i="5"/>
  <c r="Q1143" i="5"/>
  <c r="P1143" i="5"/>
  <c r="R1143" i="5" s="1"/>
  <c r="F1143" i="5"/>
  <c r="E1143" i="5"/>
  <c r="Q1142" i="5"/>
  <c r="P1142" i="5"/>
  <c r="R1142" i="5" s="1"/>
  <c r="F1142" i="5"/>
  <c r="E1142" i="5"/>
  <c r="Q1141" i="5"/>
  <c r="P1141" i="5"/>
  <c r="R1141" i="5" s="1"/>
  <c r="F1141" i="5"/>
  <c r="E1141" i="5"/>
  <c r="Q1140" i="5"/>
  <c r="P1140" i="5"/>
  <c r="R1140" i="5" s="1"/>
  <c r="F1140" i="5"/>
  <c r="E1140" i="5"/>
  <c r="Q1139" i="5"/>
  <c r="P1139" i="5"/>
  <c r="R1139" i="5" s="1"/>
  <c r="F1139" i="5"/>
  <c r="E1139" i="5"/>
  <c r="Q1138" i="5"/>
  <c r="P1138" i="5"/>
  <c r="R1138" i="5" s="1"/>
  <c r="F1138" i="5"/>
  <c r="E1138" i="5"/>
  <c r="Q1137" i="5"/>
  <c r="P1137" i="5"/>
  <c r="R1137" i="5" s="1"/>
  <c r="F1137" i="5"/>
  <c r="E1137" i="5"/>
  <c r="Q1136" i="5"/>
  <c r="P1136" i="5"/>
  <c r="R1136" i="5" s="1"/>
  <c r="F1136" i="5"/>
  <c r="E1136" i="5"/>
  <c r="Q1135" i="5"/>
  <c r="P1135" i="5"/>
  <c r="R1135" i="5" s="1"/>
  <c r="F1135" i="5"/>
  <c r="E1135" i="5"/>
  <c r="Q1134" i="5"/>
  <c r="P1134" i="5"/>
  <c r="R1134" i="5" s="1"/>
  <c r="F1134" i="5"/>
  <c r="E1134" i="5"/>
  <c r="Q1133" i="5"/>
  <c r="P1133" i="5"/>
  <c r="R1133" i="5" s="1"/>
  <c r="F1133" i="5"/>
  <c r="E1133" i="5"/>
  <c r="Q1132" i="5"/>
  <c r="P1132" i="5"/>
  <c r="R1132" i="5" s="1"/>
  <c r="F1132" i="5"/>
  <c r="E1132" i="5"/>
  <c r="Q1131" i="5"/>
  <c r="P1131" i="5"/>
  <c r="R1131" i="5" s="1"/>
  <c r="F1131" i="5"/>
  <c r="E1131" i="5"/>
  <c r="Q1130" i="5"/>
  <c r="P1130" i="5"/>
  <c r="R1130" i="5" s="1"/>
  <c r="F1130" i="5"/>
  <c r="E1130" i="5"/>
  <c r="Q1129" i="5"/>
  <c r="P1129" i="5"/>
  <c r="R1129" i="5" s="1"/>
  <c r="F1129" i="5"/>
  <c r="E1129" i="5"/>
  <c r="Q1128" i="5"/>
  <c r="P1128" i="5"/>
  <c r="R1128" i="5" s="1"/>
  <c r="F1128" i="5"/>
  <c r="E1128" i="5"/>
  <c r="Q1127" i="5"/>
  <c r="P1127" i="5"/>
  <c r="R1127" i="5" s="1"/>
  <c r="F1127" i="5"/>
  <c r="E1127" i="5"/>
  <c r="Q1126" i="5"/>
  <c r="P1126" i="5"/>
  <c r="R1126" i="5" s="1"/>
  <c r="F1126" i="5"/>
  <c r="E1126" i="5"/>
  <c r="Q1125" i="5"/>
  <c r="P1125" i="5"/>
  <c r="R1125" i="5" s="1"/>
  <c r="F1125" i="5"/>
  <c r="E1125" i="5"/>
  <c r="Q1124" i="5"/>
  <c r="P1124" i="5"/>
  <c r="R1124" i="5" s="1"/>
  <c r="F1124" i="5"/>
  <c r="E1124" i="5"/>
  <c r="Q1123" i="5"/>
  <c r="P1123" i="5"/>
  <c r="R1123" i="5" s="1"/>
  <c r="F1123" i="5"/>
  <c r="E1123" i="5"/>
  <c r="Q1122" i="5"/>
  <c r="P1122" i="5"/>
  <c r="R1122" i="5" s="1"/>
  <c r="F1122" i="5"/>
  <c r="E1122" i="5"/>
  <c r="Q1121" i="5"/>
  <c r="P1121" i="5"/>
  <c r="R1121" i="5" s="1"/>
  <c r="F1121" i="5"/>
  <c r="E1121" i="5"/>
  <c r="Q1120" i="5"/>
  <c r="P1120" i="5"/>
  <c r="R1120" i="5" s="1"/>
  <c r="F1120" i="5"/>
  <c r="E1120" i="5"/>
  <c r="Q1119" i="5"/>
  <c r="P1119" i="5"/>
  <c r="R1119" i="5" s="1"/>
  <c r="F1119" i="5"/>
  <c r="E1119" i="5"/>
  <c r="Q1118" i="5"/>
  <c r="P1118" i="5"/>
  <c r="R1118" i="5" s="1"/>
  <c r="F1118" i="5"/>
  <c r="E1118" i="5"/>
  <c r="Q1117" i="5"/>
  <c r="P1117" i="5"/>
  <c r="R1117" i="5" s="1"/>
  <c r="F1117" i="5"/>
  <c r="E1117" i="5"/>
  <c r="Q1116" i="5"/>
  <c r="P1116" i="5"/>
  <c r="R1116" i="5" s="1"/>
  <c r="F1116" i="5"/>
  <c r="E1116" i="5"/>
  <c r="Q1115" i="5"/>
  <c r="P1115" i="5"/>
  <c r="R1115" i="5" s="1"/>
  <c r="F1115" i="5"/>
  <c r="E1115" i="5"/>
  <c r="Q1114" i="5"/>
  <c r="P1114" i="5"/>
  <c r="R1114" i="5" s="1"/>
  <c r="F1114" i="5"/>
  <c r="E1114" i="5"/>
  <c r="Q1113" i="5"/>
  <c r="P1113" i="5"/>
  <c r="R1113" i="5" s="1"/>
  <c r="F1113" i="5"/>
  <c r="E1113" i="5"/>
  <c r="Q1112" i="5"/>
  <c r="P1112" i="5"/>
  <c r="R1112" i="5" s="1"/>
  <c r="F1112" i="5"/>
  <c r="E1112" i="5"/>
  <c r="Q1111" i="5"/>
  <c r="P1111" i="5"/>
  <c r="R1111" i="5" s="1"/>
  <c r="F1111" i="5"/>
  <c r="E1111" i="5"/>
  <c r="Q1110" i="5"/>
  <c r="P1110" i="5"/>
  <c r="R1110" i="5" s="1"/>
  <c r="F1110" i="5"/>
  <c r="E1110" i="5"/>
  <c r="Q1109" i="5"/>
  <c r="P1109" i="5"/>
  <c r="R1109" i="5" s="1"/>
  <c r="F1109" i="5"/>
  <c r="E1109" i="5"/>
  <c r="Q1108" i="5"/>
  <c r="P1108" i="5"/>
  <c r="R1108" i="5" s="1"/>
  <c r="F1108" i="5"/>
  <c r="E1108" i="5"/>
  <c r="Q1107" i="5"/>
  <c r="P1107" i="5"/>
  <c r="R1107" i="5" s="1"/>
  <c r="F1107" i="5"/>
  <c r="E1107" i="5"/>
  <c r="Q1106" i="5"/>
  <c r="P1106" i="5"/>
  <c r="R1106" i="5" s="1"/>
  <c r="F1106" i="5"/>
  <c r="E1106" i="5"/>
  <c r="Q1105" i="5"/>
  <c r="P1105" i="5"/>
  <c r="R1105" i="5" s="1"/>
  <c r="F1105" i="5"/>
  <c r="E1105" i="5"/>
  <c r="Q1104" i="5"/>
  <c r="P1104" i="5"/>
  <c r="R1104" i="5" s="1"/>
  <c r="F1104" i="5"/>
  <c r="E1104" i="5"/>
  <c r="Q1103" i="5"/>
  <c r="P1103" i="5"/>
  <c r="R1103" i="5" s="1"/>
  <c r="F1103" i="5"/>
  <c r="E1103" i="5"/>
  <c r="Q1102" i="5"/>
  <c r="P1102" i="5"/>
  <c r="R1102" i="5" s="1"/>
  <c r="F1102" i="5"/>
  <c r="E1102" i="5"/>
  <c r="Q1101" i="5"/>
  <c r="P1101" i="5"/>
  <c r="R1101" i="5" s="1"/>
  <c r="F1101" i="5"/>
  <c r="E1101" i="5"/>
  <c r="Q1100" i="5"/>
  <c r="P1100" i="5"/>
  <c r="R1100" i="5" s="1"/>
  <c r="F1100" i="5"/>
  <c r="E1100" i="5"/>
  <c r="Q1099" i="5"/>
  <c r="P1099" i="5"/>
  <c r="R1099" i="5" s="1"/>
  <c r="F1099" i="5"/>
  <c r="E1099" i="5"/>
  <c r="Q1098" i="5"/>
  <c r="P1098" i="5"/>
  <c r="R1098" i="5" s="1"/>
  <c r="F1098" i="5"/>
  <c r="E1098" i="5"/>
  <c r="Q1097" i="5"/>
  <c r="P1097" i="5"/>
  <c r="R1097" i="5" s="1"/>
  <c r="F1097" i="5"/>
  <c r="E1097" i="5"/>
  <c r="Q1096" i="5"/>
  <c r="P1096" i="5"/>
  <c r="R1096" i="5" s="1"/>
  <c r="F1096" i="5"/>
  <c r="E1096" i="5"/>
  <c r="Q1095" i="5"/>
  <c r="P1095" i="5"/>
  <c r="R1095" i="5" s="1"/>
  <c r="F1095" i="5"/>
  <c r="E1095" i="5"/>
  <c r="Q1094" i="5"/>
  <c r="P1094" i="5"/>
  <c r="R1094" i="5" s="1"/>
  <c r="F1094" i="5"/>
  <c r="E1094" i="5"/>
  <c r="Q1093" i="5"/>
  <c r="P1093" i="5"/>
  <c r="R1093" i="5" s="1"/>
  <c r="N1093" i="5"/>
  <c r="M1093" i="5"/>
  <c r="K1093" i="5"/>
  <c r="J1093" i="5"/>
  <c r="G1093" i="5"/>
  <c r="F1093" i="5"/>
  <c r="E1093" i="5"/>
  <c r="Q1092" i="5"/>
  <c r="P1092" i="5"/>
  <c r="R1092" i="5" s="1"/>
  <c r="F1092" i="5"/>
  <c r="E1092" i="5"/>
  <c r="Q1091" i="5"/>
  <c r="P1091" i="5"/>
  <c r="R1091" i="5" s="1"/>
  <c r="F1091" i="5"/>
  <c r="E1091" i="5"/>
  <c r="Q1090" i="5"/>
  <c r="P1090" i="5"/>
  <c r="R1090" i="5" s="1"/>
  <c r="F1090" i="5"/>
  <c r="E1090" i="5"/>
  <c r="Q1089" i="5"/>
  <c r="P1089" i="5"/>
  <c r="R1089" i="5" s="1"/>
  <c r="F1089" i="5"/>
  <c r="E1089" i="5"/>
  <c r="Q1088" i="5"/>
  <c r="P1088" i="5"/>
  <c r="R1088" i="5" s="1"/>
  <c r="F1088" i="5"/>
  <c r="E1088" i="5"/>
  <c r="Q1087" i="5"/>
  <c r="P1087" i="5"/>
  <c r="R1087" i="5" s="1"/>
  <c r="F1087" i="5"/>
  <c r="E1087" i="5"/>
  <c r="Q1086" i="5"/>
  <c r="P1086" i="5"/>
  <c r="R1086" i="5" s="1"/>
  <c r="F1086" i="5"/>
  <c r="E1086" i="5"/>
  <c r="Q1085" i="5"/>
  <c r="P1085" i="5"/>
  <c r="R1085" i="5" s="1"/>
  <c r="F1085" i="5"/>
  <c r="E1085" i="5"/>
  <c r="Q1084" i="5"/>
  <c r="P1084" i="5"/>
  <c r="R1084" i="5" s="1"/>
  <c r="F1084" i="5"/>
  <c r="E1084" i="5"/>
  <c r="Q1083" i="5"/>
  <c r="P1083" i="5"/>
  <c r="R1083" i="5" s="1"/>
  <c r="F1083" i="5"/>
  <c r="E1083" i="5"/>
  <c r="Q1082" i="5"/>
  <c r="P1082" i="5"/>
  <c r="R1082" i="5" s="1"/>
  <c r="F1082" i="5"/>
  <c r="E1082" i="5"/>
  <c r="Q1081" i="5"/>
  <c r="P1081" i="5"/>
  <c r="R1081" i="5" s="1"/>
  <c r="F1081" i="5"/>
  <c r="E1081" i="5"/>
  <c r="Q1080" i="5"/>
  <c r="P1080" i="5"/>
  <c r="R1080" i="5" s="1"/>
  <c r="F1080" i="5"/>
  <c r="E1080" i="5"/>
  <c r="Q1079" i="5"/>
  <c r="P1079" i="5"/>
  <c r="R1079" i="5" s="1"/>
  <c r="F1079" i="5"/>
  <c r="E1079" i="5"/>
  <c r="Q1078" i="5"/>
  <c r="P1078" i="5"/>
  <c r="R1078" i="5" s="1"/>
  <c r="F1078" i="5"/>
  <c r="E1078" i="5"/>
  <c r="Q1077" i="5"/>
  <c r="P1077" i="5"/>
  <c r="R1077" i="5" s="1"/>
  <c r="F1077" i="5"/>
  <c r="E1077" i="5"/>
  <c r="Q1076" i="5"/>
  <c r="P1076" i="5"/>
  <c r="R1076" i="5" s="1"/>
  <c r="F1076" i="5"/>
  <c r="E1076" i="5"/>
  <c r="Q1075" i="5"/>
  <c r="P1075" i="5"/>
  <c r="R1075" i="5" s="1"/>
  <c r="F1075" i="5"/>
  <c r="E1075" i="5"/>
  <c r="Q1074" i="5"/>
  <c r="P1074" i="5"/>
  <c r="R1074" i="5" s="1"/>
  <c r="F1074" i="5"/>
  <c r="E1074" i="5"/>
  <c r="Q1073" i="5"/>
  <c r="P1073" i="5"/>
  <c r="R1073" i="5" s="1"/>
  <c r="F1073" i="5"/>
  <c r="E1073" i="5"/>
  <c r="Q1072" i="5"/>
  <c r="P1072" i="5"/>
  <c r="R1072" i="5" s="1"/>
  <c r="F1072" i="5"/>
  <c r="E1072" i="5"/>
  <c r="Q1071" i="5"/>
  <c r="P1071" i="5"/>
  <c r="R1071" i="5" s="1"/>
  <c r="F1071" i="5"/>
  <c r="E1071" i="5"/>
  <c r="Q1070" i="5"/>
  <c r="P1070" i="5"/>
  <c r="R1070" i="5" s="1"/>
  <c r="F1070" i="5"/>
  <c r="E1070" i="5"/>
  <c r="Q1069" i="5"/>
  <c r="P1069" i="5"/>
  <c r="R1069" i="5" s="1"/>
  <c r="F1069" i="5"/>
  <c r="E1069" i="5"/>
  <c r="Q1068" i="5"/>
  <c r="P1068" i="5"/>
  <c r="R1068" i="5" s="1"/>
  <c r="F1068" i="5"/>
  <c r="E1068" i="5"/>
  <c r="Q1067" i="5"/>
  <c r="P1067" i="5"/>
  <c r="R1067" i="5" s="1"/>
  <c r="F1067" i="5"/>
  <c r="E1067" i="5"/>
  <c r="Q1066" i="5"/>
  <c r="P1066" i="5"/>
  <c r="R1066" i="5" s="1"/>
  <c r="F1066" i="5"/>
  <c r="E1066" i="5"/>
  <c r="Q1065" i="5"/>
  <c r="P1065" i="5"/>
  <c r="R1065" i="5" s="1"/>
  <c r="F1065" i="5"/>
  <c r="E1065" i="5"/>
  <c r="Q1064" i="5"/>
  <c r="P1064" i="5"/>
  <c r="R1064" i="5" s="1"/>
  <c r="F1064" i="5"/>
  <c r="E1064" i="5"/>
  <c r="Q1063" i="5"/>
  <c r="P1063" i="5"/>
  <c r="R1063" i="5" s="1"/>
  <c r="F1063" i="5"/>
  <c r="E1063" i="5"/>
  <c r="Q1062" i="5"/>
  <c r="P1062" i="5"/>
  <c r="R1062" i="5" s="1"/>
  <c r="F1062" i="5"/>
  <c r="E1062" i="5"/>
  <c r="Q1061" i="5"/>
  <c r="P1061" i="5"/>
  <c r="R1061" i="5" s="1"/>
  <c r="F1061" i="5"/>
  <c r="E1061" i="5"/>
  <c r="Q1060" i="5"/>
  <c r="P1060" i="5"/>
  <c r="R1060" i="5" s="1"/>
  <c r="F1060" i="5"/>
  <c r="E1060" i="5"/>
  <c r="Q1059" i="5"/>
  <c r="P1059" i="5"/>
  <c r="R1059" i="5" s="1"/>
  <c r="F1059" i="5"/>
  <c r="E1059" i="5"/>
  <c r="Q1058" i="5"/>
  <c r="P1058" i="5"/>
  <c r="R1058" i="5" s="1"/>
  <c r="F1058" i="5"/>
  <c r="E1058" i="5"/>
  <c r="Q1057" i="5"/>
  <c r="P1057" i="5"/>
  <c r="R1057" i="5" s="1"/>
  <c r="F1057" i="5"/>
  <c r="E1057" i="5"/>
  <c r="Q1056" i="5"/>
  <c r="P1056" i="5"/>
  <c r="R1056" i="5" s="1"/>
  <c r="F1056" i="5"/>
  <c r="E1056" i="5"/>
  <c r="Q1055" i="5"/>
  <c r="P1055" i="5"/>
  <c r="R1055" i="5" s="1"/>
  <c r="F1055" i="5"/>
  <c r="E1055" i="5"/>
  <c r="Q1054" i="5"/>
  <c r="P1054" i="5"/>
  <c r="R1054" i="5" s="1"/>
  <c r="F1054" i="5"/>
  <c r="E1054" i="5"/>
  <c r="Q1053" i="5"/>
  <c r="P1053" i="5"/>
  <c r="R1053" i="5" s="1"/>
  <c r="F1053" i="5"/>
  <c r="E1053" i="5"/>
  <c r="Q1052" i="5"/>
  <c r="P1052" i="5"/>
  <c r="R1052" i="5" s="1"/>
  <c r="F1052" i="5"/>
  <c r="E1052" i="5"/>
  <c r="Q1051" i="5"/>
  <c r="P1051" i="5"/>
  <c r="R1051" i="5" s="1"/>
  <c r="F1051" i="5"/>
  <c r="E1051" i="5"/>
  <c r="Q1050" i="5"/>
  <c r="P1050" i="5"/>
  <c r="R1050" i="5" s="1"/>
  <c r="F1050" i="5"/>
  <c r="E1050" i="5"/>
  <c r="Q1049" i="5"/>
  <c r="P1049" i="5"/>
  <c r="R1049" i="5" s="1"/>
  <c r="F1049" i="5"/>
  <c r="E1049" i="5"/>
  <c r="Q1048" i="5"/>
  <c r="P1048" i="5"/>
  <c r="R1048" i="5" s="1"/>
  <c r="F1048" i="5"/>
  <c r="E1048" i="5"/>
  <c r="Q1047" i="5"/>
  <c r="P1047" i="5"/>
  <c r="R1047" i="5" s="1"/>
  <c r="F1047" i="5"/>
  <c r="E1047" i="5"/>
  <c r="Q1046" i="5"/>
  <c r="P1046" i="5"/>
  <c r="R1046" i="5" s="1"/>
  <c r="F1046" i="5"/>
  <c r="E1046" i="5"/>
  <c r="Q1045" i="5"/>
  <c r="P1045" i="5"/>
  <c r="R1045" i="5" s="1"/>
  <c r="F1045" i="5"/>
  <c r="E1045" i="5"/>
  <c r="Q1044" i="5"/>
  <c r="P1044" i="5"/>
  <c r="R1044" i="5" s="1"/>
  <c r="F1044" i="5"/>
  <c r="E1044" i="5"/>
  <c r="Q1043" i="5"/>
  <c r="P1043" i="5"/>
  <c r="R1043" i="5" s="1"/>
  <c r="F1043" i="5"/>
  <c r="E1043" i="5"/>
  <c r="Q1042" i="5"/>
  <c r="P1042" i="5"/>
  <c r="R1042" i="5" s="1"/>
  <c r="F1042" i="5"/>
  <c r="E1042" i="5"/>
  <c r="Q1041" i="5"/>
  <c r="P1041" i="5"/>
  <c r="R1041" i="5" s="1"/>
  <c r="F1041" i="5"/>
  <c r="E1041" i="5"/>
  <c r="Q1040" i="5"/>
  <c r="P1040" i="5"/>
  <c r="R1040" i="5" s="1"/>
  <c r="F1040" i="5"/>
  <c r="E1040" i="5"/>
  <c r="Q1039" i="5"/>
  <c r="P1039" i="5"/>
  <c r="R1039" i="5" s="1"/>
  <c r="F1039" i="5"/>
  <c r="E1039" i="5"/>
  <c r="Q1038" i="5"/>
  <c r="P1038" i="5"/>
  <c r="R1038" i="5" s="1"/>
  <c r="F1038" i="5"/>
  <c r="E1038" i="5"/>
  <c r="Q1037" i="5"/>
  <c r="P1037" i="5"/>
  <c r="R1037" i="5" s="1"/>
  <c r="F1037" i="5"/>
  <c r="E1037" i="5"/>
  <c r="Q1036" i="5"/>
  <c r="P1036" i="5"/>
  <c r="R1036" i="5" s="1"/>
  <c r="F1036" i="5"/>
  <c r="E1036" i="5"/>
  <c r="Q1035" i="5"/>
  <c r="P1035" i="5"/>
  <c r="R1035" i="5" s="1"/>
  <c r="F1035" i="5"/>
  <c r="E1035" i="5"/>
  <c r="Q1034" i="5"/>
  <c r="P1034" i="5"/>
  <c r="R1034" i="5" s="1"/>
  <c r="F1034" i="5"/>
  <c r="E1034" i="5"/>
  <c r="Q1033" i="5"/>
  <c r="P1033" i="5"/>
  <c r="R1033" i="5" s="1"/>
  <c r="F1033" i="5"/>
  <c r="E1033" i="5"/>
  <c r="Q1032" i="5"/>
  <c r="P1032" i="5"/>
  <c r="R1032" i="5" s="1"/>
  <c r="F1032" i="5"/>
  <c r="E1032" i="5"/>
  <c r="Q1031" i="5"/>
  <c r="P1031" i="5"/>
  <c r="R1031" i="5" s="1"/>
  <c r="F1031" i="5"/>
  <c r="E1031" i="5"/>
  <c r="Q1030" i="5"/>
  <c r="P1030" i="5"/>
  <c r="R1030" i="5" s="1"/>
  <c r="F1030" i="5"/>
  <c r="E1030" i="5"/>
  <c r="Q1029" i="5"/>
  <c r="P1029" i="5"/>
  <c r="R1029" i="5" s="1"/>
  <c r="F1029" i="5"/>
  <c r="E1029" i="5"/>
  <c r="Q1028" i="5"/>
  <c r="P1028" i="5"/>
  <c r="R1028" i="5" s="1"/>
  <c r="F1028" i="5"/>
  <c r="E1028" i="5"/>
  <c r="Q1027" i="5"/>
  <c r="P1027" i="5"/>
  <c r="R1027" i="5" s="1"/>
  <c r="F1027" i="5"/>
  <c r="E1027" i="5"/>
  <c r="Q1026" i="5"/>
  <c r="P1026" i="5"/>
  <c r="R1026" i="5" s="1"/>
  <c r="F1026" i="5"/>
  <c r="E1026" i="5"/>
  <c r="Q1025" i="5"/>
  <c r="P1025" i="5"/>
  <c r="R1025" i="5" s="1"/>
  <c r="F1025" i="5"/>
  <c r="E1025" i="5"/>
  <c r="Q1024" i="5"/>
  <c r="P1024" i="5"/>
  <c r="R1024" i="5" s="1"/>
  <c r="F1024" i="5"/>
  <c r="E1024" i="5"/>
  <c r="Q1023" i="5"/>
  <c r="P1023" i="5"/>
  <c r="R1023" i="5" s="1"/>
  <c r="F1023" i="5"/>
  <c r="E1023" i="5"/>
  <c r="Q1022" i="5"/>
  <c r="P1022" i="5"/>
  <c r="R1022" i="5" s="1"/>
  <c r="F1022" i="5"/>
  <c r="E1022" i="5"/>
  <c r="Q1021" i="5"/>
  <c r="P1021" i="5"/>
  <c r="R1021" i="5" s="1"/>
  <c r="F1021" i="5"/>
  <c r="E1021" i="5"/>
  <c r="Q1020" i="5"/>
  <c r="P1020" i="5"/>
  <c r="R1020" i="5" s="1"/>
  <c r="F1020" i="5"/>
  <c r="E1020" i="5"/>
  <c r="Q1019" i="5"/>
  <c r="P1019" i="5"/>
  <c r="R1019" i="5" s="1"/>
  <c r="F1019" i="5"/>
  <c r="E1019" i="5"/>
  <c r="Q1018" i="5"/>
  <c r="P1018" i="5"/>
  <c r="R1018" i="5" s="1"/>
  <c r="F1018" i="5"/>
  <c r="E1018" i="5"/>
  <c r="Q1017" i="5"/>
  <c r="P1017" i="5"/>
  <c r="R1017" i="5" s="1"/>
  <c r="F1017" i="5"/>
  <c r="E1017" i="5"/>
  <c r="Q1016" i="5"/>
  <c r="P1016" i="5"/>
  <c r="R1016" i="5" s="1"/>
  <c r="F1016" i="5"/>
  <c r="E1016" i="5"/>
  <c r="Q1015" i="5"/>
  <c r="P1015" i="5"/>
  <c r="R1015" i="5" s="1"/>
  <c r="F1015" i="5"/>
  <c r="E1015" i="5"/>
  <c r="Q1014" i="5"/>
  <c r="P1014" i="5"/>
  <c r="R1014" i="5" s="1"/>
  <c r="F1014" i="5"/>
  <c r="E1014" i="5"/>
  <c r="Q1013" i="5"/>
  <c r="P1013" i="5"/>
  <c r="R1013" i="5" s="1"/>
  <c r="F1013" i="5"/>
  <c r="E1013" i="5"/>
  <c r="Q1012" i="5"/>
  <c r="P1012" i="5"/>
  <c r="R1012" i="5" s="1"/>
  <c r="F1012" i="5"/>
  <c r="E1012" i="5"/>
  <c r="Q1011" i="5"/>
  <c r="P1011" i="5"/>
  <c r="R1011" i="5" s="1"/>
  <c r="F1011" i="5"/>
  <c r="E1011" i="5"/>
  <c r="Q1010" i="5"/>
  <c r="P1010" i="5"/>
  <c r="R1010" i="5" s="1"/>
  <c r="F1010" i="5"/>
  <c r="E1010" i="5"/>
  <c r="Q1009" i="5"/>
  <c r="P1009" i="5"/>
  <c r="R1009" i="5" s="1"/>
  <c r="F1009" i="5"/>
  <c r="E1009" i="5"/>
  <c r="Q1008" i="5"/>
  <c r="P1008" i="5"/>
  <c r="R1008" i="5" s="1"/>
  <c r="F1008" i="5"/>
  <c r="E1008" i="5"/>
  <c r="Q1007" i="5"/>
  <c r="P1007" i="5"/>
  <c r="R1007" i="5" s="1"/>
  <c r="F1007" i="5"/>
  <c r="E1007" i="5"/>
  <c r="Q1006" i="5"/>
  <c r="P1006" i="5"/>
  <c r="R1006" i="5" s="1"/>
  <c r="F1006" i="5"/>
  <c r="E1006" i="5"/>
  <c r="Q1005" i="5"/>
  <c r="P1005" i="5"/>
  <c r="R1005" i="5" s="1"/>
  <c r="F1005" i="5"/>
  <c r="E1005" i="5"/>
  <c r="Q1004" i="5"/>
  <c r="P1004" i="5"/>
  <c r="R1004" i="5" s="1"/>
  <c r="F1004" i="5"/>
  <c r="E1004" i="5"/>
  <c r="Q1003" i="5"/>
  <c r="P1003" i="5"/>
  <c r="R1003" i="5" s="1"/>
  <c r="F1003" i="5"/>
  <c r="E1003" i="5"/>
  <c r="Q1002" i="5"/>
  <c r="P1002" i="5"/>
  <c r="R1002" i="5" s="1"/>
  <c r="F1002" i="5"/>
  <c r="E1002" i="5"/>
  <c r="Q1001" i="5"/>
  <c r="P1001" i="5"/>
  <c r="R1001" i="5" s="1"/>
  <c r="F1001" i="5"/>
  <c r="E1001" i="5"/>
  <c r="Q1000" i="5"/>
  <c r="P1000" i="5"/>
  <c r="R1000" i="5" s="1"/>
  <c r="F1000" i="5"/>
  <c r="E1000" i="5"/>
  <c r="Q999" i="5"/>
  <c r="P999" i="5"/>
  <c r="R999" i="5" s="1"/>
  <c r="F999" i="5"/>
  <c r="E999" i="5"/>
  <c r="Q998" i="5"/>
  <c r="P998" i="5"/>
  <c r="R998" i="5" s="1"/>
  <c r="F998" i="5"/>
  <c r="E998" i="5"/>
  <c r="Q997" i="5"/>
  <c r="P997" i="5"/>
  <c r="R997" i="5" s="1"/>
  <c r="F997" i="5"/>
  <c r="E997" i="5"/>
  <c r="Q996" i="5"/>
  <c r="P996" i="5"/>
  <c r="R996" i="5" s="1"/>
  <c r="F996" i="5"/>
  <c r="E996" i="5"/>
  <c r="Q995" i="5"/>
  <c r="P995" i="5"/>
  <c r="R995" i="5" s="1"/>
  <c r="F995" i="5"/>
  <c r="E995" i="5"/>
  <c r="Q994" i="5"/>
  <c r="P994" i="5"/>
  <c r="R994" i="5" s="1"/>
  <c r="F994" i="5"/>
  <c r="E994" i="5"/>
  <c r="Q993" i="5"/>
  <c r="P993" i="5"/>
  <c r="R993" i="5" s="1"/>
  <c r="F993" i="5"/>
  <c r="E993" i="5"/>
  <c r="Q992" i="5"/>
  <c r="P992" i="5"/>
  <c r="R992" i="5" s="1"/>
  <c r="F992" i="5"/>
  <c r="E992" i="5"/>
  <c r="Q991" i="5"/>
  <c r="P991" i="5"/>
  <c r="R991" i="5" s="1"/>
  <c r="F991" i="5"/>
  <c r="E991" i="5"/>
  <c r="Q990" i="5"/>
  <c r="P990" i="5"/>
  <c r="R990" i="5" s="1"/>
  <c r="F990" i="5"/>
  <c r="E990" i="5"/>
  <c r="Q989" i="5"/>
  <c r="P989" i="5"/>
  <c r="R989" i="5" s="1"/>
  <c r="F989" i="5"/>
  <c r="E989" i="5"/>
  <c r="Q988" i="5"/>
  <c r="P988" i="5"/>
  <c r="R988" i="5" s="1"/>
  <c r="F988" i="5"/>
  <c r="E988" i="5"/>
  <c r="Q987" i="5"/>
  <c r="P987" i="5"/>
  <c r="R987" i="5" s="1"/>
  <c r="F987" i="5"/>
  <c r="E987" i="5"/>
  <c r="Q986" i="5"/>
  <c r="P986" i="5"/>
  <c r="R986" i="5" s="1"/>
  <c r="F986" i="5"/>
  <c r="E986" i="5"/>
  <c r="Q985" i="5"/>
  <c r="P985" i="5"/>
  <c r="R985" i="5" s="1"/>
  <c r="F985" i="5"/>
  <c r="E985" i="5"/>
  <c r="Q984" i="5"/>
  <c r="P984" i="5"/>
  <c r="R984" i="5" s="1"/>
  <c r="F984" i="5"/>
  <c r="E984" i="5"/>
  <c r="Q983" i="5"/>
  <c r="P983" i="5"/>
  <c r="R983" i="5" s="1"/>
  <c r="F983" i="5"/>
  <c r="E983" i="5"/>
  <c r="Q982" i="5"/>
  <c r="P982" i="5"/>
  <c r="R982" i="5" s="1"/>
  <c r="F982" i="5"/>
  <c r="E982" i="5"/>
  <c r="Q981" i="5"/>
  <c r="P981" i="5"/>
  <c r="R981" i="5" s="1"/>
  <c r="F981" i="5"/>
  <c r="E981" i="5"/>
  <c r="Q980" i="5"/>
  <c r="P980" i="5"/>
  <c r="R980" i="5" s="1"/>
  <c r="F980" i="5"/>
  <c r="E980" i="5"/>
  <c r="Q979" i="5"/>
  <c r="P979" i="5"/>
  <c r="R979" i="5" s="1"/>
  <c r="F979" i="5"/>
  <c r="E979" i="5"/>
  <c r="Q978" i="5"/>
  <c r="P978" i="5"/>
  <c r="R978" i="5" s="1"/>
  <c r="F978" i="5"/>
  <c r="E978" i="5"/>
  <c r="Q977" i="5"/>
  <c r="P977" i="5"/>
  <c r="R977" i="5" s="1"/>
  <c r="F977" i="5"/>
  <c r="E977" i="5"/>
  <c r="Q976" i="5"/>
  <c r="P976" i="5"/>
  <c r="R976" i="5" s="1"/>
  <c r="F976" i="5"/>
  <c r="E976" i="5"/>
  <c r="Q975" i="5"/>
  <c r="P975" i="5"/>
  <c r="R975" i="5" s="1"/>
  <c r="F975" i="5"/>
  <c r="E975" i="5"/>
  <c r="Q974" i="5"/>
  <c r="P974" i="5"/>
  <c r="R974" i="5" s="1"/>
  <c r="F974" i="5"/>
  <c r="E974" i="5"/>
  <c r="Q973" i="5"/>
  <c r="P973" i="5"/>
  <c r="R973" i="5" s="1"/>
  <c r="F973" i="5"/>
  <c r="E973" i="5"/>
  <c r="Q972" i="5"/>
  <c r="P972" i="5"/>
  <c r="R972" i="5" s="1"/>
  <c r="F972" i="5"/>
  <c r="E972" i="5"/>
  <c r="Q971" i="5"/>
  <c r="P971" i="5"/>
  <c r="R971" i="5" s="1"/>
  <c r="F971" i="5"/>
  <c r="E971" i="5"/>
  <c r="Q970" i="5"/>
  <c r="P970" i="5"/>
  <c r="R970" i="5" s="1"/>
  <c r="F970" i="5"/>
  <c r="E970" i="5"/>
  <c r="Q969" i="5"/>
  <c r="P969" i="5"/>
  <c r="R969" i="5" s="1"/>
  <c r="F969" i="5"/>
  <c r="E969" i="5"/>
  <c r="Q968" i="5"/>
  <c r="P968" i="5"/>
  <c r="R968" i="5" s="1"/>
  <c r="F968" i="5"/>
  <c r="E968" i="5"/>
  <c r="Q967" i="5"/>
  <c r="P967" i="5"/>
  <c r="R967" i="5" s="1"/>
  <c r="F967" i="5"/>
  <c r="E967" i="5"/>
  <c r="Q966" i="5"/>
  <c r="P966" i="5"/>
  <c r="R966" i="5" s="1"/>
  <c r="F966" i="5"/>
  <c r="E966" i="5"/>
  <c r="Q965" i="5"/>
  <c r="P965" i="5"/>
  <c r="R965" i="5" s="1"/>
  <c r="F965" i="5"/>
  <c r="E965" i="5"/>
  <c r="Q964" i="5"/>
  <c r="P964" i="5"/>
  <c r="R964" i="5" s="1"/>
  <c r="F964" i="5"/>
  <c r="E964" i="5"/>
  <c r="Q963" i="5"/>
  <c r="P963" i="5"/>
  <c r="R963" i="5" s="1"/>
  <c r="F963" i="5"/>
  <c r="E963" i="5"/>
  <c r="Q962" i="5"/>
  <c r="P962" i="5"/>
  <c r="R962" i="5" s="1"/>
  <c r="F962" i="5"/>
  <c r="E962" i="5"/>
  <c r="Q961" i="5"/>
  <c r="P961" i="5"/>
  <c r="R961" i="5" s="1"/>
  <c r="F961" i="5"/>
  <c r="E961" i="5"/>
  <c r="Q960" i="5"/>
  <c r="P960" i="5"/>
  <c r="R960" i="5" s="1"/>
  <c r="F960" i="5"/>
  <c r="E960" i="5"/>
  <c r="Q959" i="5"/>
  <c r="P959" i="5"/>
  <c r="R959" i="5" s="1"/>
  <c r="F959" i="5"/>
  <c r="E959" i="5"/>
  <c r="Q958" i="5"/>
  <c r="P958" i="5"/>
  <c r="R958" i="5" s="1"/>
  <c r="F958" i="5"/>
  <c r="E958" i="5"/>
  <c r="Q957" i="5"/>
  <c r="P957" i="5"/>
  <c r="R957" i="5" s="1"/>
  <c r="F957" i="5"/>
  <c r="E957" i="5"/>
  <c r="Q956" i="5"/>
  <c r="P956" i="5"/>
  <c r="R956" i="5" s="1"/>
  <c r="F956" i="5"/>
  <c r="E956" i="5"/>
  <c r="Q955" i="5"/>
  <c r="P955" i="5"/>
  <c r="R955" i="5" s="1"/>
  <c r="F955" i="5"/>
  <c r="E955" i="5"/>
  <c r="Q954" i="5"/>
  <c r="P954" i="5"/>
  <c r="R954" i="5" s="1"/>
  <c r="F954" i="5"/>
  <c r="E954" i="5"/>
  <c r="Q953" i="5"/>
  <c r="P953" i="5"/>
  <c r="R953" i="5" s="1"/>
  <c r="F953" i="5"/>
  <c r="E953" i="5"/>
  <c r="Q952" i="5"/>
  <c r="P952" i="5"/>
  <c r="R952" i="5" s="1"/>
  <c r="F952" i="5"/>
  <c r="E952" i="5"/>
  <c r="Q951" i="5"/>
  <c r="P951" i="5"/>
  <c r="R951" i="5" s="1"/>
  <c r="F951" i="5"/>
  <c r="E951" i="5"/>
  <c r="Q950" i="5"/>
  <c r="P950" i="5"/>
  <c r="R950" i="5" s="1"/>
  <c r="F950" i="5"/>
  <c r="E950" i="5"/>
  <c r="Q949" i="5"/>
  <c r="P949" i="5"/>
  <c r="R949" i="5" s="1"/>
  <c r="F949" i="5"/>
  <c r="E949" i="5"/>
  <c r="Q948" i="5"/>
  <c r="P948" i="5"/>
  <c r="R948" i="5" s="1"/>
  <c r="F948" i="5"/>
  <c r="E948" i="5"/>
  <c r="Q947" i="5"/>
  <c r="P947" i="5"/>
  <c r="R947" i="5" s="1"/>
  <c r="F947" i="5"/>
  <c r="E947" i="5"/>
  <c r="Q946" i="5"/>
  <c r="P946" i="5"/>
  <c r="R946" i="5" s="1"/>
  <c r="F946" i="5"/>
  <c r="E946" i="5"/>
  <c r="Q945" i="5"/>
  <c r="P945" i="5"/>
  <c r="R945" i="5" s="1"/>
  <c r="F945" i="5"/>
  <c r="E945" i="5"/>
  <c r="Q944" i="5"/>
  <c r="P944" i="5"/>
  <c r="R944" i="5" s="1"/>
  <c r="F944" i="5"/>
  <c r="E944" i="5"/>
  <c r="Q943" i="5"/>
  <c r="P943" i="5"/>
  <c r="R943" i="5" s="1"/>
  <c r="F943" i="5"/>
  <c r="E943" i="5"/>
  <c r="Q942" i="5"/>
  <c r="P942" i="5"/>
  <c r="R942" i="5" s="1"/>
  <c r="F942" i="5"/>
  <c r="E942" i="5"/>
  <c r="Q941" i="5"/>
  <c r="P941" i="5"/>
  <c r="R941" i="5" s="1"/>
  <c r="F941" i="5"/>
  <c r="E941" i="5"/>
  <c r="Q940" i="5"/>
  <c r="P940" i="5"/>
  <c r="R940" i="5" s="1"/>
  <c r="F940" i="5"/>
  <c r="E940" i="5"/>
  <c r="Q939" i="5"/>
  <c r="P939" i="5"/>
  <c r="R939" i="5" s="1"/>
  <c r="F939" i="5"/>
  <c r="E939" i="5"/>
  <c r="Q938" i="5"/>
  <c r="P938" i="5"/>
  <c r="R938" i="5" s="1"/>
  <c r="F938" i="5"/>
  <c r="E938" i="5"/>
  <c r="Q937" i="5"/>
  <c r="P937" i="5"/>
  <c r="R937" i="5" s="1"/>
  <c r="F937" i="5"/>
  <c r="E937" i="5"/>
  <c r="Q936" i="5"/>
  <c r="P936" i="5"/>
  <c r="R936" i="5" s="1"/>
  <c r="F936" i="5"/>
  <c r="E936" i="5"/>
  <c r="Q935" i="5"/>
  <c r="P935" i="5"/>
  <c r="R935" i="5" s="1"/>
  <c r="F935" i="5"/>
  <c r="E935" i="5"/>
  <c r="Q934" i="5"/>
  <c r="P934" i="5"/>
  <c r="R934" i="5" s="1"/>
  <c r="F934" i="5"/>
  <c r="E934" i="5"/>
  <c r="Q933" i="5"/>
  <c r="P933" i="5"/>
  <c r="R933" i="5" s="1"/>
  <c r="F933" i="5"/>
  <c r="E933" i="5"/>
  <c r="Q932" i="5"/>
  <c r="P932" i="5"/>
  <c r="R932" i="5" s="1"/>
  <c r="F932" i="5"/>
  <c r="E932" i="5"/>
  <c r="Q931" i="5"/>
  <c r="P931" i="5"/>
  <c r="R931" i="5" s="1"/>
  <c r="F931" i="5"/>
  <c r="E931" i="5"/>
  <c r="Q930" i="5"/>
  <c r="P930" i="5"/>
  <c r="R930" i="5" s="1"/>
  <c r="F930" i="5"/>
  <c r="E930" i="5"/>
  <c r="Q929" i="5"/>
  <c r="P929" i="5"/>
  <c r="R929" i="5" s="1"/>
  <c r="F929" i="5"/>
  <c r="E929" i="5"/>
  <c r="Q928" i="5"/>
  <c r="P928" i="5"/>
  <c r="R928" i="5" s="1"/>
  <c r="F928" i="5"/>
  <c r="E928" i="5"/>
  <c r="Q927" i="5"/>
  <c r="P927" i="5"/>
  <c r="R927" i="5" s="1"/>
  <c r="F927" i="5"/>
  <c r="E927" i="5"/>
  <c r="Q926" i="5"/>
  <c r="P926" i="5"/>
  <c r="R926" i="5" s="1"/>
  <c r="F926" i="5"/>
  <c r="E926" i="5"/>
  <c r="Q925" i="5"/>
  <c r="P925" i="5"/>
  <c r="R925" i="5" s="1"/>
  <c r="F925" i="5"/>
  <c r="E925" i="5"/>
  <c r="Q924" i="5"/>
  <c r="P924" i="5"/>
  <c r="R924" i="5" s="1"/>
  <c r="F924" i="5"/>
  <c r="E924" i="5"/>
  <c r="Q923" i="5"/>
  <c r="P923" i="5"/>
  <c r="R923" i="5" s="1"/>
  <c r="F923" i="5"/>
  <c r="E923" i="5"/>
  <c r="Q922" i="5"/>
  <c r="P922" i="5"/>
  <c r="R922" i="5" s="1"/>
  <c r="F922" i="5"/>
  <c r="E922" i="5"/>
  <c r="Q921" i="5"/>
  <c r="P921" i="5"/>
  <c r="R921" i="5" s="1"/>
  <c r="F921" i="5"/>
  <c r="E921" i="5"/>
  <c r="Q920" i="5"/>
  <c r="P920" i="5"/>
  <c r="R920" i="5" s="1"/>
  <c r="F920" i="5"/>
  <c r="E920" i="5"/>
  <c r="Q919" i="5"/>
  <c r="P919" i="5"/>
  <c r="R919" i="5" s="1"/>
  <c r="F919" i="5"/>
  <c r="E919" i="5"/>
  <c r="Q918" i="5"/>
  <c r="P918" i="5"/>
  <c r="R918" i="5" s="1"/>
  <c r="F918" i="5"/>
  <c r="E918" i="5"/>
  <c r="Q917" i="5"/>
  <c r="P917" i="5"/>
  <c r="R917" i="5" s="1"/>
  <c r="F917" i="5"/>
  <c r="E917" i="5"/>
  <c r="Q916" i="5"/>
  <c r="P916" i="5"/>
  <c r="R916" i="5" s="1"/>
  <c r="F916" i="5"/>
  <c r="E916" i="5"/>
  <c r="Q915" i="5"/>
  <c r="P915" i="5"/>
  <c r="R915" i="5" s="1"/>
  <c r="F915" i="5"/>
  <c r="E915" i="5"/>
  <c r="Q914" i="5"/>
  <c r="P914" i="5"/>
  <c r="R914" i="5" s="1"/>
  <c r="F914" i="5"/>
  <c r="E914" i="5"/>
  <c r="Q913" i="5"/>
  <c r="P913" i="5"/>
  <c r="R913" i="5" s="1"/>
  <c r="F913" i="5"/>
  <c r="E913" i="5"/>
  <c r="Q912" i="5"/>
  <c r="P912" i="5"/>
  <c r="R912" i="5" s="1"/>
  <c r="F912" i="5"/>
  <c r="E912" i="5"/>
  <c r="Q911" i="5"/>
  <c r="P911" i="5"/>
  <c r="R911" i="5" s="1"/>
  <c r="F911" i="5"/>
  <c r="E911" i="5"/>
  <c r="Q910" i="5"/>
  <c r="P910" i="5"/>
  <c r="R910" i="5" s="1"/>
  <c r="F910" i="5"/>
  <c r="E910" i="5"/>
  <c r="Q909" i="5"/>
  <c r="P909" i="5"/>
  <c r="R909" i="5" s="1"/>
  <c r="F909" i="5"/>
  <c r="E909" i="5"/>
  <c r="Q908" i="5"/>
  <c r="P908" i="5"/>
  <c r="R908" i="5" s="1"/>
  <c r="F908" i="5"/>
  <c r="E908" i="5"/>
  <c r="Q907" i="5"/>
  <c r="P907" i="5"/>
  <c r="R907" i="5" s="1"/>
  <c r="F907" i="5"/>
  <c r="E907" i="5"/>
  <c r="Q906" i="5"/>
  <c r="P906" i="5"/>
  <c r="R906" i="5" s="1"/>
  <c r="F906" i="5"/>
  <c r="E906" i="5"/>
  <c r="Q905" i="5"/>
  <c r="P905" i="5"/>
  <c r="R905" i="5" s="1"/>
  <c r="F905" i="5"/>
  <c r="E905" i="5"/>
  <c r="Q904" i="5"/>
  <c r="P904" i="5"/>
  <c r="R904" i="5" s="1"/>
  <c r="F904" i="5"/>
  <c r="E904" i="5"/>
  <c r="Q903" i="5"/>
  <c r="P903" i="5"/>
  <c r="R903" i="5" s="1"/>
  <c r="F903" i="5"/>
  <c r="E903" i="5"/>
  <c r="Q902" i="5"/>
  <c r="P902" i="5"/>
  <c r="R902" i="5" s="1"/>
  <c r="F902" i="5"/>
  <c r="E902" i="5"/>
  <c r="Q901" i="5"/>
  <c r="P901" i="5"/>
  <c r="R901" i="5" s="1"/>
  <c r="F901" i="5"/>
  <c r="E901" i="5"/>
  <c r="Q900" i="5"/>
  <c r="P900" i="5"/>
  <c r="R900" i="5" s="1"/>
  <c r="F900" i="5"/>
  <c r="E900" i="5"/>
  <c r="Q899" i="5"/>
  <c r="P899" i="5"/>
  <c r="R899" i="5" s="1"/>
  <c r="F899" i="5"/>
  <c r="E899" i="5"/>
  <c r="Q898" i="5"/>
  <c r="P898" i="5"/>
  <c r="R898" i="5" s="1"/>
  <c r="F898" i="5"/>
  <c r="E898" i="5"/>
  <c r="Q897" i="5"/>
  <c r="P897" i="5"/>
  <c r="R897" i="5" s="1"/>
  <c r="F897" i="5"/>
  <c r="E897" i="5"/>
  <c r="Q896" i="5"/>
  <c r="P896" i="5"/>
  <c r="R896" i="5" s="1"/>
  <c r="F896" i="5"/>
  <c r="E896" i="5"/>
  <c r="Q895" i="5"/>
  <c r="P895" i="5"/>
  <c r="R895" i="5" s="1"/>
  <c r="F895" i="5"/>
  <c r="E895" i="5"/>
  <c r="Q894" i="5"/>
  <c r="P894" i="5"/>
  <c r="R894" i="5" s="1"/>
  <c r="F894" i="5"/>
  <c r="E894" i="5"/>
  <c r="Q893" i="5"/>
  <c r="P893" i="5"/>
  <c r="R893" i="5" s="1"/>
  <c r="F893" i="5"/>
  <c r="E893" i="5"/>
  <c r="Q892" i="5"/>
  <c r="P892" i="5"/>
  <c r="R892" i="5" s="1"/>
  <c r="F892" i="5"/>
  <c r="E892" i="5"/>
  <c r="Q891" i="5"/>
  <c r="P891" i="5"/>
  <c r="R891" i="5" s="1"/>
  <c r="F891" i="5"/>
  <c r="E891" i="5"/>
  <c r="Q890" i="5"/>
  <c r="P890" i="5"/>
  <c r="R890" i="5" s="1"/>
  <c r="F890" i="5"/>
  <c r="E890" i="5"/>
  <c r="Q889" i="5"/>
  <c r="P889" i="5"/>
  <c r="R889" i="5" s="1"/>
  <c r="F889" i="5"/>
  <c r="E889" i="5"/>
  <c r="Q888" i="5"/>
  <c r="P888" i="5"/>
  <c r="R888" i="5" s="1"/>
  <c r="F888" i="5"/>
  <c r="E888" i="5"/>
  <c r="Q887" i="5"/>
  <c r="P887" i="5"/>
  <c r="R887" i="5" s="1"/>
  <c r="F887" i="5"/>
  <c r="E887" i="5"/>
  <c r="Q886" i="5"/>
  <c r="P886" i="5"/>
  <c r="R886" i="5" s="1"/>
  <c r="F886" i="5"/>
  <c r="E886" i="5"/>
  <c r="Q885" i="5"/>
  <c r="P885" i="5"/>
  <c r="R885" i="5" s="1"/>
  <c r="F885" i="5"/>
  <c r="E885" i="5"/>
  <c r="Q884" i="5"/>
  <c r="P884" i="5"/>
  <c r="R884" i="5" s="1"/>
  <c r="F884" i="5"/>
  <c r="E884" i="5"/>
  <c r="Q883" i="5"/>
  <c r="P883" i="5"/>
  <c r="R883" i="5" s="1"/>
  <c r="F883" i="5"/>
  <c r="E883" i="5"/>
  <c r="Q882" i="5"/>
  <c r="P882" i="5"/>
  <c r="R882" i="5" s="1"/>
  <c r="F882" i="5"/>
  <c r="E882" i="5"/>
  <c r="Q881" i="5"/>
  <c r="P881" i="5"/>
  <c r="R881" i="5" s="1"/>
  <c r="F881" i="5"/>
  <c r="E881" i="5"/>
  <c r="Q880" i="5"/>
  <c r="P880" i="5"/>
  <c r="R880" i="5" s="1"/>
  <c r="F880" i="5"/>
  <c r="E880" i="5"/>
  <c r="Q879" i="5"/>
  <c r="P879" i="5"/>
  <c r="R879" i="5" s="1"/>
  <c r="F879" i="5"/>
  <c r="E879" i="5"/>
  <c r="Q878" i="5"/>
  <c r="P878" i="5"/>
  <c r="R878" i="5" s="1"/>
  <c r="F878" i="5"/>
  <c r="E878" i="5"/>
  <c r="Q877" i="5"/>
  <c r="P877" i="5"/>
  <c r="R877" i="5" s="1"/>
  <c r="F877" i="5"/>
  <c r="E877" i="5"/>
  <c r="Q876" i="5"/>
  <c r="P876" i="5"/>
  <c r="R876" i="5" s="1"/>
  <c r="F876" i="5"/>
  <c r="E876" i="5"/>
  <c r="Q875" i="5"/>
  <c r="P875" i="5"/>
  <c r="R875" i="5" s="1"/>
  <c r="F875" i="5"/>
  <c r="E875" i="5"/>
  <c r="Q874" i="5"/>
  <c r="P874" i="5"/>
  <c r="R874" i="5" s="1"/>
  <c r="F874" i="5"/>
  <c r="E874" i="5"/>
  <c r="Q873" i="5"/>
  <c r="P873" i="5"/>
  <c r="R873" i="5" s="1"/>
  <c r="F873" i="5"/>
  <c r="E873" i="5"/>
  <c r="Q872" i="5"/>
  <c r="P872" i="5"/>
  <c r="R872" i="5" s="1"/>
  <c r="F872" i="5"/>
  <c r="E872" i="5"/>
  <c r="Q871" i="5"/>
  <c r="P871" i="5"/>
  <c r="R871" i="5" s="1"/>
  <c r="F871" i="5"/>
  <c r="E871" i="5"/>
  <c r="Q870" i="5"/>
  <c r="P870" i="5"/>
  <c r="R870" i="5" s="1"/>
  <c r="F870" i="5"/>
  <c r="E870" i="5"/>
  <c r="Q869" i="5"/>
  <c r="P869" i="5"/>
  <c r="R869" i="5" s="1"/>
  <c r="F869" i="5"/>
  <c r="E869" i="5"/>
  <c r="Q868" i="5"/>
  <c r="P868" i="5"/>
  <c r="R868" i="5" s="1"/>
  <c r="F868" i="5"/>
  <c r="E868" i="5"/>
  <c r="Q867" i="5"/>
  <c r="P867" i="5"/>
  <c r="R867" i="5" s="1"/>
  <c r="F867" i="5"/>
  <c r="E867" i="5"/>
  <c r="Q866" i="5"/>
  <c r="P866" i="5"/>
  <c r="R866" i="5" s="1"/>
  <c r="F866" i="5"/>
  <c r="E866" i="5"/>
  <c r="Q865" i="5"/>
  <c r="P865" i="5"/>
  <c r="R865" i="5" s="1"/>
  <c r="F865" i="5"/>
  <c r="E865" i="5"/>
  <c r="Q864" i="5"/>
  <c r="P864" i="5"/>
  <c r="R864" i="5" s="1"/>
  <c r="F864" i="5"/>
  <c r="E864" i="5"/>
  <c r="Q863" i="5"/>
  <c r="P863" i="5"/>
  <c r="R863" i="5" s="1"/>
  <c r="F863" i="5"/>
  <c r="E863" i="5"/>
  <c r="Q862" i="5"/>
  <c r="P862" i="5"/>
  <c r="R862" i="5" s="1"/>
  <c r="F862" i="5"/>
  <c r="E862" i="5"/>
  <c r="Q861" i="5"/>
  <c r="P861" i="5"/>
  <c r="R861" i="5" s="1"/>
  <c r="F861" i="5"/>
  <c r="E861" i="5"/>
  <c r="Q860" i="5"/>
  <c r="P860" i="5"/>
  <c r="R860" i="5" s="1"/>
  <c r="F860" i="5"/>
  <c r="E860" i="5"/>
  <c r="Q859" i="5"/>
  <c r="P859" i="5"/>
  <c r="R859" i="5" s="1"/>
  <c r="F859" i="5"/>
  <c r="E859" i="5"/>
  <c r="Q858" i="5"/>
  <c r="P858" i="5"/>
  <c r="R858" i="5" s="1"/>
  <c r="F858" i="5"/>
  <c r="E858" i="5"/>
  <c r="Q857" i="5"/>
  <c r="P857" i="5"/>
  <c r="R857" i="5" s="1"/>
  <c r="F857" i="5"/>
  <c r="E857" i="5"/>
  <c r="Q856" i="5"/>
  <c r="P856" i="5"/>
  <c r="R856" i="5" s="1"/>
  <c r="F856" i="5"/>
  <c r="E856" i="5"/>
  <c r="Q855" i="5"/>
  <c r="P855" i="5"/>
  <c r="R855" i="5" s="1"/>
  <c r="F855" i="5"/>
  <c r="E855" i="5"/>
  <c r="Q854" i="5"/>
  <c r="P854" i="5"/>
  <c r="R854" i="5" s="1"/>
  <c r="F854" i="5"/>
  <c r="E854" i="5"/>
  <c r="Q853" i="5"/>
  <c r="P853" i="5"/>
  <c r="R853" i="5" s="1"/>
  <c r="F853" i="5"/>
  <c r="E853" i="5"/>
  <c r="Q852" i="5"/>
  <c r="P852" i="5"/>
  <c r="R852" i="5" s="1"/>
  <c r="F852" i="5"/>
  <c r="E852" i="5"/>
  <c r="Q851" i="5"/>
  <c r="P851" i="5"/>
  <c r="R851" i="5" s="1"/>
  <c r="F851" i="5"/>
  <c r="E851" i="5"/>
  <c r="Q850" i="5"/>
  <c r="P850" i="5"/>
  <c r="R850" i="5" s="1"/>
  <c r="F850" i="5"/>
  <c r="E850" i="5"/>
  <c r="Q849" i="5"/>
  <c r="P849" i="5"/>
  <c r="R849" i="5" s="1"/>
  <c r="F849" i="5"/>
  <c r="E849" i="5"/>
  <c r="Q848" i="5"/>
  <c r="P848" i="5"/>
  <c r="R848" i="5" s="1"/>
  <c r="F848" i="5"/>
  <c r="E848" i="5"/>
  <c r="Q847" i="5"/>
  <c r="P847" i="5"/>
  <c r="R847" i="5" s="1"/>
  <c r="F847" i="5"/>
  <c r="E847" i="5"/>
  <c r="Q846" i="5"/>
  <c r="P846" i="5"/>
  <c r="R846" i="5" s="1"/>
  <c r="F846" i="5"/>
  <c r="E846" i="5"/>
  <c r="Q845" i="5"/>
  <c r="P845" i="5"/>
  <c r="R845" i="5" s="1"/>
  <c r="N845" i="5"/>
  <c r="M845" i="5"/>
  <c r="K845" i="5"/>
  <c r="J845" i="5"/>
  <c r="F845" i="5"/>
  <c r="E845" i="5"/>
  <c r="G845" i="5" s="1"/>
  <c r="Q844" i="5"/>
  <c r="P844" i="5"/>
  <c r="R844" i="5" s="1"/>
  <c r="F844" i="5"/>
  <c r="E844" i="5"/>
  <c r="Q843" i="5"/>
  <c r="P843" i="5"/>
  <c r="R843" i="5" s="1"/>
  <c r="F843" i="5"/>
  <c r="E843" i="5"/>
  <c r="Q842" i="5"/>
  <c r="P842" i="5"/>
  <c r="R842" i="5" s="1"/>
  <c r="F842" i="5"/>
  <c r="E842" i="5"/>
  <c r="Q841" i="5"/>
  <c r="P841" i="5"/>
  <c r="R841" i="5" s="1"/>
  <c r="F841" i="5"/>
  <c r="E841" i="5"/>
  <c r="Q840" i="5"/>
  <c r="P840" i="5"/>
  <c r="R840" i="5" s="1"/>
  <c r="F840" i="5"/>
  <c r="E840" i="5"/>
  <c r="Q839" i="5"/>
  <c r="P839" i="5"/>
  <c r="R839" i="5" s="1"/>
  <c r="F839" i="5"/>
  <c r="E839" i="5"/>
  <c r="Q838" i="5"/>
  <c r="P838" i="5"/>
  <c r="R838" i="5" s="1"/>
  <c r="F838" i="5"/>
  <c r="E838" i="5"/>
  <c r="Q837" i="5"/>
  <c r="P837" i="5"/>
  <c r="R837" i="5" s="1"/>
  <c r="F837" i="5"/>
  <c r="E837" i="5"/>
  <c r="Q836" i="5"/>
  <c r="P836" i="5"/>
  <c r="R836" i="5" s="1"/>
  <c r="F836" i="5"/>
  <c r="E836" i="5"/>
  <c r="Q835" i="5"/>
  <c r="P835" i="5"/>
  <c r="R835" i="5" s="1"/>
  <c r="F835" i="5"/>
  <c r="E835" i="5"/>
  <c r="Q834" i="5"/>
  <c r="P834" i="5"/>
  <c r="R834" i="5" s="1"/>
  <c r="F834" i="5"/>
  <c r="E834" i="5"/>
  <c r="Q833" i="5"/>
  <c r="P833" i="5"/>
  <c r="R833" i="5" s="1"/>
  <c r="F833" i="5"/>
  <c r="E833" i="5"/>
  <c r="Q832" i="5"/>
  <c r="P832" i="5"/>
  <c r="R832" i="5" s="1"/>
  <c r="F832" i="5"/>
  <c r="E832" i="5"/>
  <c r="Q831" i="5"/>
  <c r="P831" i="5"/>
  <c r="R831" i="5" s="1"/>
  <c r="F831" i="5"/>
  <c r="E831" i="5"/>
  <c r="Q830" i="5"/>
  <c r="P830" i="5"/>
  <c r="R830" i="5" s="1"/>
  <c r="F830" i="5"/>
  <c r="E830" i="5"/>
  <c r="Q829" i="5"/>
  <c r="P829" i="5"/>
  <c r="R829" i="5" s="1"/>
  <c r="F829" i="5"/>
  <c r="E829" i="5"/>
  <c r="Q828" i="5"/>
  <c r="P828" i="5"/>
  <c r="R828" i="5" s="1"/>
  <c r="F828" i="5"/>
  <c r="E828" i="5"/>
  <c r="Q827" i="5"/>
  <c r="P827" i="5"/>
  <c r="R827" i="5" s="1"/>
  <c r="F827" i="5"/>
  <c r="E827" i="5"/>
  <c r="Q826" i="5"/>
  <c r="P826" i="5"/>
  <c r="R826" i="5" s="1"/>
  <c r="F826" i="5"/>
  <c r="E826" i="5"/>
  <c r="Q825" i="5"/>
  <c r="P825" i="5"/>
  <c r="R825" i="5" s="1"/>
  <c r="F825" i="5"/>
  <c r="E825" i="5"/>
  <c r="Q824" i="5"/>
  <c r="P824" i="5"/>
  <c r="R824" i="5" s="1"/>
  <c r="F824" i="5"/>
  <c r="E824" i="5"/>
  <c r="Q823" i="5"/>
  <c r="P823" i="5"/>
  <c r="R823" i="5" s="1"/>
  <c r="F823" i="5"/>
  <c r="E823" i="5"/>
  <c r="Q822" i="5"/>
  <c r="P822" i="5"/>
  <c r="R822" i="5" s="1"/>
  <c r="F822" i="5"/>
  <c r="E822" i="5"/>
  <c r="Q821" i="5"/>
  <c r="P821" i="5"/>
  <c r="R821" i="5" s="1"/>
  <c r="F821" i="5"/>
  <c r="E821" i="5"/>
  <c r="Q820" i="5"/>
  <c r="P820" i="5"/>
  <c r="R820" i="5" s="1"/>
  <c r="F820" i="5"/>
  <c r="E820" i="5"/>
  <c r="Q819" i="5"/>
  <c r="P819" i="5"/>
  <c r="R819" i="5" s="1"/>
  <c r="F819" i="5"/>
  <c r="E819" i="5"/>
  <c r="Q818" i="5"/>
  <c r="P818" i="5"/>
  <c r="R818" i="5" s="1"/>
  <c r="F818" i="5"/>
  <c r="E818" i="5"/>
  <c r="Q817" i="5"/>
  <c r="P817" i="5"/>
  <c r="R817" i="5" s="1"/>
  <c r="F817" i="5"/>
  <c r="E817" i="5"/>
  <c r="Q816" i="5"/>
  <c r="P816" i="5"/>
  <c r="R816" i="5" s="1"/>
  <c r="F816" i="5"/>
  <c r="E816" i="5"/>
  <c r="Q815" i="5"/>
  <c r="P815" i="5"/>
  <c r="R815" i="5" s="1"/>
  <c r="F815" i="5"/>
  <c r="E815" i="5"/>
  <c r="Q814" i="5"/>
  <c r="P814" i="5"/>
  <c r="R814" i="5" s="1"/>
  <c r="F814" i="5"/>
  <c r="E814" i="5"/>
  <c r="Q813" i="5"/>
  <c r="P813" i="5"/>
  <c r="R813" i="5" s="1"/>
  <c r="F813" i="5"/>
  <c r="E813" i="5"/>
  <c r="Q812" i="5"/>
  <c r="P812" i="5"/>
  <c r="R812" i="5" s="1"/>
  <c r="F812" i="5"/>
  <c r="E812" i="5"/>
  <c r="Q811" i="5"/>
  <c r="P811" i="5"/>
  <c r="R811" i="5" s="1"/>
  <c r="F811" i="5"/>
  <c r="E811" i="5"/>
  <c r="Q810" i="5"/>
  <c r="P810" i="5"/>
  <c r="R810" i="5" s="1"/>
  <c r="F810" i="5"/>
  <c r="E810" i="5"/>
  <c r="Q809" i="5"/>
  <c r="P809" i="5"/>
  <c r="R809" i="5" s="1"/>
  <c r="F809" i="5"/>
  <c r="E809" i="5"/>
  <c r="Q808" i="5"/>
  <c r="P808" i="5"/>
  <c r="R808" i="5" s="1"/>
  <c r="F808" i="5"/>
  <c r="E808" i="5"/>
  <c r="Q807" i="5"/>
  <c r="P807" i="5"/>
  <c r="R807" i="5" s="1"/>
  <c r="F807" i="5"/>
  <c r="E807" i="5"/>
  <c r="Q806" i="5"/>
  <c r="P806" i="5"/>
  <c r="R806" i="5" s="1"/>
  <c r="F806" i="5"/>
  <c r="E806" i="5"/>
  <c r="Q805" i="5"/>
  <c r="P805" i="5"/>
  <c r="R805" i="5" s="1"/>
  <c r="F805" i="5"/>
  <c r="E805" i="5"/>
  <c r="Q804" i="5"/>
  <c r="P804" i="5"/>
  <c r="R804" i="5" s="1"/>
  <c r="F804" i="5"/>
  <c r="E804" i="5"/>
  <c r="Q803" i="5"/>
  <c r="P803" i="5"/>
  <c r="R803" i="5" s="1"/>
  <c r="F803" i="5"/>
  <c r="E803" i="5"/>
  <c r="Q802" i="5"/>
  <c r="P802" i="5"/>
  <c r="R802" i="5" s="1"/>
  <c r="F802" i="5"/>
  <c r="E802" i="5"/>
  <c r="Q801" i="5"/>
  <c r="P801" i="5"/>
  <c r="R801" i="5" s="1"/>
  <c r="F801" i="5"/>
  <c r="E801" i="5"/>
  <c r="Q800" i="5"/>
  <c r="P800" i="5"/>
  <c r="R800" i="5" s="1"/>
  <c r="F800" i="5"/>
  <c r="E800" i="5"/>
  <c r="Q799" i="5"/>
  <c r="P799" i="5"/>
  <c r="R799" i="5" s="1"/>
  <c r="F799" i="5"/>
  <c r="E799" i="5"/>
  <c r="Q798" i="5"/>
  <c r="P798" i="5"/>
  <c r="R798" i="5" s="1"/>
  <c r="F798" i="5"/>
  <c r="E798" i="5"/>
  <c r="Q797" i="5"/>
  <c r="P797" i="5"/>
  <c r="R797" i="5" s="1"/>
  <c r="F797" i="5"/>
  <c r="E797" i="5"/>
  <c r="Q796" i="5"/>
  <c r="P796" i="5"/>
  <c r="R796" i="5" s="1"/>
  <c r="F796" i="5"/>
  <c r="E796" i="5"/>
  <c r="Q795" i="5"/>
  <c r="P795" i="5"/>
  <c r="R795" i="5" s="1"/>
  <c r="F795" i="5"/>
  <c r="E795" i="5"/>
  <c r="Q794" i="5"/>
  <c r="P794" i="5"/>
  <c r="R794" i="5" s="1"/>
  <c r="F794" i="5"/>
  <c r="E794" i="5"/>
  <c r="Q793" i="5"/>
  <c r="P793" i="5"/>
  <c r="R793" i="5" s="1"/>
  <c r="F793" i="5"/>
  <c r="E793" i="5"/>
  <c r="Q792" i="5"/>
  <c r="P792" i="5"/>
  <c r="R792" i="5" s="1"/>
  <c r="F792" i="5"/>
  <c r="E792" i="5"/>
  <c r="Q791" i="5"/>
  <c r="P791" i="5"/>
  <c r="R791" i="5" s="1"/>
  <c r="F791" i="5"/>
  <c r="E791" i="5"/>
  <c r="Q790" i="5"/>
  <c r="P790" i="5"/>
  <c r="R790" i="5" s="1"/>
  <c r="F790" i="5"/>
  <c r="E790" i="5"/>
  <c r="Q789" i="5"/>
  <c r="P789" i="5"/>
  <c r="R789" i="5" s="1"/>
  <c r="F789" i="5"/>
  <c r="E789" i="5"/>
  <c r="Q788" i="5"/>
  <c r="P788" i="5"/>
  <c r="R788" i="5" s="1"/>
  <c r="F788" i="5"/>
  <c r="E788" i="5"/>
  <c r="Q787" i="5"/>
  <c r="P787" i="5"/>
  <c r="R787" i="5" s="1"/>
  <c r="F787" i="5"/>
  <c r="E787" i="5"/>
  <c r="Q786" i="5"/>
  <c r="P786" i="5"/>
  <c r="R786" i="5" s="1"/>
  <c r="F786" i="5"/>
  <c r="E786" i="5"/>
  <c r="Q785" i="5"/>
  <c r="P785" i="5"/>
  <c r="R785" i="5" s="1"/>
  <c r="F785" i="5"/>
  <c r="E785" i="5"/>
  <c r="Q784" i="5"/>
  <c r="P784" i="5"/>
  <c r="R784" i="5" s="1"/>
  <c r="F784" i="5"/>
  <c r="E784" i="5"/>
  <c r="Q783" i="5"/>
  <c r="P783" i="5"/>
  <c r="R783" i="5" s="1"/>
  <c r="F783" i="5"/>
  <c r="E783" i="5"/>
  <c r="Q782" i="5"/>
  <c r="P782" i="5"/>
  <c r="R782" i="5" s="1"/>
  <c r="F782" i="5"/>
  <c r="E782" i="5"/>
  <c r="Q781" i="5"/>
  <c r="P781" i="5"/>
  <c r="R781" i="5" s="1"/>
  <c r="F781" i="5"/>
  <c r="E781" i="5"/>
  <c r="Q780" i="5"/>
  <c r="P780" i="5"/>
  <c r="R780" i="5" s="1"/>
  <c r="F780" i="5"/>
  <c r="E780" i="5"/>
  <c r="Q779" i="5"/>
  <c r="P779" i="5"/>
  <c r="R779" i="5" s="1"/>
  <c r="F779" i="5"/>
  <c r="E779" i="5"/>
  <c r="Q778" i="5"/>
  <c r="P778" i="5"/>
  <c r="R778" i="5" s="1"/>
  <c r="F778" i="5"/>
  <c r="E778" i="5"/>
  <c r="Q777" i="5"/>
  <c r="P777" i="5"/>
  <c r="R777" i="5" s="1"/>
  <c r="F777" i="5"/>
  <c r="E777" i="5"/>
  <c r="Q776" i="5"/>
  <c r="P776" i="5"/>
  <c r="R776" i="5" s="1"/>
  <c r="F776" i="5"/>
  <c r="E776" i="5"/>
  <c r="Q775" i="5"/>
  <c r="P775" i="5"/>
  <c r="R775" i="5" s="1"/>
  <c r="F775" i="5"/>
  <c r="E775" i="5"/>
  <c r="Q774" i="5"/>
  <c r="P774" i="5"/>
  <c r="R774" i="5" s="1"/>
  <c r="F774" i="5"/>
  <c r="E774" i="5"/>
  <c r="Q773" i="5"/>
  <c r="P773" i="5"/>
  <c r="R773" i="5" s="1"/>
  <c r="F773" i="5"/>
  <c r="E773" i="5"/>
  <c r="Q772" i="5"/>
  <c r="P772" i="5"/>
  <c r="R772" i="5" s="1"/>
  <c r="F772" i="5"/>
  <c r="E772" i="5"/>
  <c r="Q771" i="5"/>
  <c r="P771" i="5"/>
  <c r="R771" i="5" s="1"/>
  <c r="F771" i="5"/>
  <c r="E771" i="5"/>
  <c r="Q770" i="5"/>
  <c r="P770" i="5"/>
  <c r="R770" i="5" s="1"/>
  <c r="F770" i="5"/>
  <c r="E770" i="5"/>
  <c r="Q769" i="5"/>
  <c r="P769" i="5"/>
  <c r="R769" i="5" s="1"/>
  <c r="F769" i="5"/>
  <c r="E769" i="5"/>
  <c r="Q768" i="5"/>
  <c r="P768" i="5"/>
  <c r="R768" i="5" s="1"/>
  <c r="F768" i="5"/>
  <c r="E768" i="5"/>
  <c r="Q767" i="5"/>
  <c r="P767" i="5"/>
  <c r="R767" i="5" s="1"/>
  <c r="F767" i="5"/>
  <c r="E767" i="5"/>
  <c r="Q766" i="5"/>
  <c r="P766" i="5"/>
  <c r="R766" i="5" s="1"/>
  <c r="F766" i="5"/>
  <c r="E766" i="5"/>
  <c r="Q765" i="5"/>
  <c r="P765" i="5"/>
  <c r="R765" i="5" s="1"/>
  <c r="F765" i="5"/>
  <c r="E765" i="5"/>
  <c r="Q764" i="5"/>
  <c r="P764" i="5"/>
  <c r="R764" i="5" s="1"/>
  <c r="F764" i="5"/>
  <c r="E764" i="5"/>
  <c r="Q763" i="5"/>
  <c r="P763" i="5"/>
  <c r="R763" i="5" s="1"/>
  <c r="F763" i="5"/>
  <c r="E763" i="5"/>
  <c r="Q762" i="5"/>
  <c r="P762" i="5"/>
  <c r="R762" i="5" s="1"/>
  <c r="F762" i="5"/>
  <c r="E762" i="5"/>
  <c r="Q761" i="5"/>
  <c r="P761" i="5"/>
  <c r="R761" i="5" s="1"/>
  <c r="F761" i="5"/>
  <c r="E761" i="5"/>
  <c r="Q760" i="5"/>
  <c r="P760" i="5"/>
  <c r="R760" i="5" s="1"/>
  <c r="F760" i="5"/>
  <c r="E760" i="5"/>
  <c r="Q759" i="5"/>
  <c r="P759" i="5"/>
  <c r="R759" i="5" s="1"/>
  <c r="F759" i="5"/>
  <c r="E759" i="5"/>
  <c r="Q758" i="5"/>
  <c r="P758" i="5"/>
  <c r="R758" i="5" s="1"/>
  <c r="F758" i="5"/>
  <c r="E758" i="5"/>
  <c r="Q757" i="5"/>
  <c r="P757" i="5"/>
  <c r="R757" i="5" s="1"/>
  <c r="F757" i="5"/>
  <c r="E757" i="5"/>
  <c r="Q756" i="5"/>
  <c r="P756" i="5"/>
  <c r="R756" i="5" s="1"/>
  <c r="F756" i="5"/>
  <c r="E756" i="5"/>
  <c r="Q755" i="5"/>
  <c r="P755" i="5"/>
  <c r="R755" i="5" s="1"/>
  <c r="F755" i="5"/>
  <c r="E755" i="5"/>
  <c r="Q754" i="5"/>
  <c r="P754" i="5"/>
  <c r="R754" i="5" s="1"/>
  <c r="F754" i="5"/>
  <c r="E754" i="5"/>
  <c r="Q753" i="5"/>
  <c r="P753" i="5"/>
  <c r="R753" i="5" s="1"/>
  <c r="F753" i="5"/>
  <c r="E753" i="5"/>
  <c r="Q752" i="5"/>
  <c r="P752" i="5"/>
  <c r="R752" i="5" s="1"/>
  <c r="F752" i="5"/>
  <c r="E752" i="5"/>
  <c r="Q751" i="5"/>
  <c r="P751" i="5"/>
  <c r="R751" i="5" s="1"/>
  <c r="F751" i="5"/>
  <c r="E751" i="5"/>
  <c r="Q750" i="5"/>
  <c r="P750" i="5"/>
  <c r="R750" i="5" s="1"/>
  <c r="F750" i="5"/>
  <c r="E750" i="5"/>
  <c r="Q749" i="5"/>
  <c r="P749" i="5"/>
  <c r="R749" i="5" s="1"/>
  <c r="F749" i="5"/>
  <c r="E749" i="5"/>
  <c r="Q748" i="5"/>
  <c r="P748" i="5"/>
  <c r="R748" i="5" s="1"/>
  <c r="F748" i="5"/>
  <c r="E748" i="5"/>
  <c r="Q747" i="5"/>
  <c r="P747" i="5"/>
  <c r="R747" i="5" s="1"/>
  <c r="F747" i="5"/>
  <c r="E747" i="5"/>
  <c r="Q746" i="5"/>
  <c r="P746" i="5"/>
  <c r="R746" i="5" s="1"/>
  <c r="F746" i="5"/>
  <c r="E746" i="5"/>
  <c r="Q745" i="5"/>
  <c r="P745" i="5"/>
  <c r="R745" i="5" s="1"/>
  <c r="F745" i="5"/>
  <c r="E745" i="5"/>
  <c r="Q744" i="5"/>
  <c r="P744" i="5"/>
  <c r="R744" i="5" s="1"/>
  <c r="F744" i="5"/>
  <c r="E744" i="5"/>
  <c r="Q743" i="5"/>
  <c r="P743" i="5"/>
  <c r="R743" i="5" s="1"/>
  <c r="F743" i="5"/>
  <c r="E743" i="5"/>
  <c r="Q742" i="5"/>
  <c r="P742" i="5"/>
  <c r="R742" i="5" s="1"/>
  <c r="F742" i="5"/>
  <c r="E742" i="5"/>
  <c r="Q741" i="5"/>
  <c r="P741" i="5"/>
  <c r="R741" i="5" s="1"/>
  <c r="F741" i="5"/>
  <c r="E741" i="5"/>
  <c r="Q740" i="5"/>
  <c r="P740" i="5"/>
  <c r="R740" i="5" s="1"/>
  <c r="F740" i="5"/>
  <c r="E740" i="5"/>
  <c r="Q739" i="5"/>
  <c r="P739" i="5"/>
  <c r="R739" i="5" s="1"/>
  <c r="F739" i="5"/>
  <c r="E739" i="5"/>
  <c r="Q738" i="5"/>
  <c r="P738" i="5"/>
  <c r="R738" i="5" s="1"/>
  <c r="F738" i="5"/>
  <c r="E738" i="5"/>
  <c r="Q737" i="5"/>
  <c r="P737" i="5"/>
  <c r="R737" i="5" s="1"/>
  <c r="F737" i="5"/>
  <c r="E737" i="5"/>
  <c r="Q736" i="5"/>
  <c r="P736" i="5"/>
  <c r="R736" i="5" s="1"/>
  <c r="F736" i="5"/>
  <c r="E736" i="5"/>
  <c r="Q735" i="5"/>
  <c r="P735" i="5"/>
  <c r="R735" i="5" s="1"/>
  <c r="F735" i="5"/>
  <c r="E735" i="5"/>
  <c r="Q734" i="5"/>
  <c r="P734" i="5"/>
  <c r="R734" i="5" s="1"/>
  <c r="F734" i="5"/>
  <c r="E734" i="5"/>
  <c r="Q733" i="5"/>
  <c r="P733" i="5"/>
  <c r="R733" i="5" s="1"/>
  <c r="F733" i="5"/>
  <c r="E733" i="5"/>
  <c r="Q732" i="5"/>
  <c r="P732" i="5"/>
  <c r="R732" i="5" s="1"/>
  <c r="F732" i="5"/>
  <c r="E732" i="5"/>
  <c r="Q731" i="5"/>
  <c r="P731" i="5"/>
  <c r="R731" i="5" s="1"/>
  <c r="F731" i="5"/>
  <c r="E731" i="5"/>
  <c r="Q730" i="5"/>
  <c r="P730" i="5"/>
  <c r="R730" i="5" s="1"/>
  <c r="F730" i="5"/>
  <c r="E730" i="5"/>
  <c r="Q729" i="5"/>
  <c r="P729" i="5"/>
  <c r="R729" i="5" s="1"/>
  <c r="F729" i="5"/>
  <c r="E729" i="5"/>
  <c r="Q728" i="5"/>
  <c r="P728" i="5"/>
  <c r="R728" i="5" s="1"/>
  <c r="F728" i="5"/>
  <c r="E728" i="5"/>
  <c r="Q727" i="5"/>
  <c r="P727" i="5"/>
  <c r="R727" i="5" s="1"/>
  <c r="F727" i="5"/>
  <c r="E727" i="5"/>
  <c r="Q726" i="5"/>
  <c r="P726" i="5"/>
  <c r="R726" i="5" s="1"/>
  <c r="F726" i="5"/>
  <c r="E726" i="5"/>
  <c r="Q725" i="5"/>
  <c r="P725" i="5"/>
  <c r="R725" i="5" s="1"/>
  <c r="F725" i="5"/>
  <c r="E725" i="5"/>
  <c r="Q724" i="5"/>
  <c r="P724" i="5"/>
  <c r="R724" i="5" s="1"/>
  <c r="F724" i="5"/>
  <c r="E724" i="5"/>
  <c r="Q723" i="5"/>
  <c r="P723" i="5"/>
  <c r="R723" i="5" s="1"/>
  <c r="F723" i="5"/>
  <c r="E723" i="5"/>
  <c r="Q722" i="5"/>
  <c r="P722" i="5"/>
  <c r="R722" i="5" s="1"/>
  <c r="F722" i="5"/>
  <c r="E722" i="5"/>
  <c r="Q721" i="5"/>
  <c r="P721" i="5"/>
  <c r="R721" i="5" s="1"/>
  <c r="F721" i="5"/>
  <c r="E721" i="5"/>
  <c r="Q720" i="5"/>
  <c r="P720" i="5"/>
  <c r="R720" i="5" s="1"/>
  <c r="F720" i="5"/>
  <c r="E720" i="5"/>
  <c r="Q719" i="5"/>
  <c r="P719" i="5"/>
  <c r="R719" i="5" s="1"/>
  <c r="F719" i="5"/>
  <c r="E719" i="5"/>
  <c r="Q718" i="5"/>
  <c r="P718" i="5"/>
  <c r="R718" i="5" s="1"/>
  <c r="F718" i="5"/>
  <c r="E718" i="5"/>
  <c r="Q717" i="5"/>
  <c r="P717" i="5"/>
  <c r="R717" i="5" s="1"/>
  <c r="F717" i="5"/>
  <c r="E717" i="5"/>
  <c r="Q716" i="5"/>
  <c r="P716" i="5"/>
  <c r="R716" i="5" s="1"/>
  <c r="F716" i="5"/>
  <c r="E716" i="5"/>
  <c r="Q715" i="5"/>
  <c r="P715" i="5"/>
  <c r="R715" i="5" s="1"/>
  <c r="F715" i="5"/>
  <c r="E715" i="5"/>
  <c r="Q714" i="5"/>
  <c r="P714" i="5"/>
  <c r="R714" i="5" s="1"/>
  <c r="F714" i="5"/>
  <c r="E714" i="5"/>
  <c r="Q713" i="5"/>
  <c r="P713" i="5"/>
  <c r="R713" i="5" s="1"/>
  <c r="F713" i="5"/>
  <c r="E713" i="5"/>
  <c r="Q712" i="5"/>
  <c r="P712" i="5"/>
  <c r="R712" i="5" s="1"/>
  <c r="F712" i="5"/>
  <c r="E712" i="5"/>
  <c r="Q711" i="5"/>
  <c r="P711" i="5"/>
  <c r="R711" i="5" s="1"/>
  <c r="F711" i="5"/>
  <c r="E711" i="5"/>
  <c r="Q710" i="5"/>
  <c r="P710" i="5"/>
  <c r="R710" i="5" s="1"/>
  <c r="F710" i="5"/>
  <c r="E710" i="5"/>
  <c r="Q709" i="5"/>
  <c r="P709" i="5"/>
  <c r="R709" i="5" s="1"/>
  <c r="F709" i="5"/>
  <c r="E709" i="5"/>
  <c r="Q708" i="5"/>
  <c r="P708" i="5"/>
  <c r="R708" i="5" s="1"/>
  <c r="F708" i="5"/>
  <c r="E708" i="5"/>
  <c r="Q707" i="5"/>
  <c r="P707" i="5"/>
  <c r="R707" i="5" s="1"/>
  <c r="F707" i="5"/>
  <c r="E707" i="5"/>
  <c r="Q706" i="5"/>
  <c r="P706" i="5"/>
  <c r="R706" i="5" s="1"/>
  <c r="F706" i="5"/>
  <c r="E706" i="5"/>
  <c r="Q705" i="5"/>
  <c r="P705" i="5"/>
  <c r="R705" i="5" s="1"/>
  <c r="F705" i="5"/>
  <c r="E705" i="5"/>
  <c r="Q704" i="5"/>
  <c r="P704" i="5"/>
  <c r="R704" i="5" s="1"/>
  <c r="F704" i="5"/>
  <c r="E704" i="5"/>
  <c r="Q703" i="5"/>
  <c r="P703" i="5"/>
  <c r="R703" i="5" s="1"/>
  <c r="F703" i="5"/>
  <c r="E703" i="5"/>
  <c r="Q702" i="5"/>
  <c r="P702" i="5"/>
  <c r="R702" i="5" s="1"/>
  <c r="F702" i="5"/>
  <c r="E702" i="5"/>
  <c r="Q701" i="5"/>
  <c r="P701" i="5"/>
  <c r="R701" i="5" s="1"/>
  <c r="F701" i="5"/>
  <c r="E701" i="5"/>
  <c r="Q700" i="5"/>
  <c r="P700" i="5"/>
  <c r="R700" i="5" s="1"/>
  <c r="F700" i="5"/>
  <c r="E700" i="5"/>
  <c r="Q699" i="5"/>
  <c r="P699" i="5"/>
  <c r="R699" i="5" s="1"/>
  <c r="F699" i="5"/>
  <c r="E699" i="5"/>
  <c r="Q698" i="5"/>
  <c r="P698" i="5"/>
  <c r="R698" i="5" s="1"/>
  <c r="F698" i="5"/>
  <c r="E698" i="5"/>
  <c r="Q697" i="5"/>
  <c r="P697" i="5"/>
  <c r="R697" i="5" s="1"/>
  <c r="F697" i="5"/>
  <c r="E697" i="5"/>
  <c r="Q696" i="5"/>
  <c r="P696" i="5"/>
  <c r="R696" i="5" s="1"/>
  <c r="F696" i="5"/>
  <c r="E696" i="5"/>
  <c r="Q695" i="5"/>
  <c r="P695" i="5"/>
  <c r="R695" i="5" s="1"/>
  <c r="F695" i="5"/>
  <c r="E695" i="5"/>
  <c r="Q694" i="5"/>
  <c r="P694" i="5"/>
  <c r="R694" i="5" s="1"/>
  <c r="F694" i="5"/>
  <c r="E694" i="5"/>
  <c r="Q693" i="5"/>
  <c r="P693" i="5"/>
  <c r="R693" i="5" s="1"/>
  <c r="F693" i="5"/>
  <c r="E693" i="5"/>
  <c r="Q692" i="5"/>
  <c r="P692" i="5"/>
  <c r="R692" i="5" s="1"/>
  <c r="F692" i="5"/>
  <c r="E692" i="5"/>
  <c r="Q691" i="5"/>
  <c r="P691" i="5"/>
  <c r="R691" i="5" s="1"/>
  <c r="F691" i="5"/>
  <c r="E691" i="5"/>
  <c r="Q690" i="5"/>
  <c r="P690" i="5"/>
  <c r="R690" i="5" s="1"/>
  <c r="F690" i="5"/>
  <c r="E690" i="5"/>
  <c r="Q689" i="5"/>
  <c r="P689" i="5"/>
  <c r="R689" i="5" s="1"/>
  <c r="F689" i="5"/>
  <c r="E689" i="5"/>
  <c r="Q688" i="5"/>
  <c r="P688" i="5"/>
  <c r="R688" i="5" s="1"/>
  <c r="F688" i="5"/>
  <c r="E688" i="5"/>
  <c r="Q687" i="5"/>
  <c r="P687" i="5"/>
  <c r="R687" i="5" s="1"/>
  <c r="F687" i="5"/>
  <c r="E687" i="5"/>
  <c r="Q686" i="5"/>
  <c r="P686" i="5"/>
  <c r="R686" i="5" s="1"/>
  <c r="F686" i="5"/>
  <c r="E686" i="5"/>
  <c r="Q685" i="5"/>
  <c r="P685" i="5"/>
  <c r="R685" i="5" s="1"/>
  <c r="F685" i="5"/>
  <c r="E685" i="5"/>
  <c r="Q684" i="5"/>
  <c r="P684" i="5"/>
  <c r="R684" i="5" s="1"/>
  <c r="F684" i="5"/>
  <c r="E684" i="5"/>
  <c r="Q683" i="5"/>
  <c r="P683" i="5"/>
  <c r="R683" i="5" s="1"/>
  <c r="F683" i="5"/>
  <c r="E683" i="5"/>
  <c r="Q682" i="5"/>
  <c r="P682" i="5"/>
  <c r="R682" i="5" s="1"/>
  <c r="F682" i="5"/>
  <c r="E682" i="5"/>
  <c r="Q681" i="5"/>
  <c r="P681" i="5"/>
  <c r="R681" i="5" s="1"/>
  <c r="F681" i="5"/>
  <c r="E681" i="5"/>
  <c r="Q680" i="5"/>
  <c r="P680" i="5"/>
  <c r="R680" i="5" s="1"/>
  <c r="F680" i="5"/>
  <c r="E680" i="5"/>
  <c r="Q679" i="5"/>
  <c r="P679" i="5"/>
  <c r="R679" i="5" s="1"/>
  <c r="F679" i="5"/>
  <c r="E679" i="5"/>
  <c r="Q678" i="5"/>
  <c r="P678" i="5"/>
  <c r="R678" i="5" s="1"/>
  <c r="F678" i="5"/>
  <c r="E678" i="5"/>
  <c r="Q677" i="5"/>
  <c r="P677" i="5"/>
  <c r="R677" i="5" s="1"/>
  <c r="F677" i="5"/>
  <c r="E677" i="5"/>
  <c r="Q676" i="5"/>
  <c r="P676" i="5"/>
  <c r="R676" i="5" s="1"/>
  <c r="F676" i="5"/>
  <c r="E676" i="5"/>
  <c r="Q675" i="5"/>
  <c r="P675" i="5"/>
  <c r="R675" i="5" s="1"/>
  <c r="F675" i="5"/>
  <c r="E675" i="5"/>
  <c r="Q674" i="5"/>
  <c r="P674" i="5"/>
  <c r="R674" i="5" s="1"/>
  <c r="F674" i="5"/>
  <c r="E674" i="5"/>
  <c r="Q673" i="5"/>
  <c r="P673" i="5"/>
  <c r="R673" i="5" s="1"/>
  <c r="F673" i="5"/>
  <c r="E673" i="5"/>
  <c r="Q672" i="5"/>
  <c r="P672" i="5"/>
  <c r="R672" i="5" s="1"/>
  <c r="F672" i="5"/>
  <c r="E672" i="5"/>
  <c r="Q671" i="5"/>
  <c r="P671" i="5"/>
  <c r="R671" i="5" s="1"/>
  <c r="F671" i="5"/>
  <c r="E671" i="5"/>
  <c r="Q670" i="5"/>
  <c r="P670" i="5"/>
  <c r="R670" i="5" s="1"/>
  <c r="F670" i="5"/>
  <c r="E670" i="5"/>
  <c r="Q669" i="5"/>
  <c r="P669" i="5"/>
  <c r="R669" i="5" s="1"/>
  <c r="F669" i="5"/>
  <c r="E669" i="5"/>
  <c r="Q668" i="5"/>
  <c r="P668" i="5"/>
  <c r="R668" i="5" s="1"/>
  <c r="F668" i="5"/>
  <c r="E668" i="5"/>
  <c r="Q667" i="5"/>
  <c r="P667" i="5"/>
  <c r="R667" i="5" s="1"/>
  <c r="F667" i="5"/>
  <c r="E667" i="5"/>
  <c r="Q666" i="5"/>
  <c r="P666" i="5"/>
  <c r="R666" i="5" s="1"/>
  <c r="F666" i="5"/>
  <c r="E666" i="5"/>
  <c r="Q665" i="5"/>
  <c r="P665" i="5"/>
  <c r="R665" i="5" s="1"/>
  <c r="F665" i="5"/>
  <c r="E665" i="5"/>
  <c r="Q664" i="5"/>
  <c r="P664" i="5"/>
  <c r="R664" i="5" s="1"/>
  <c r="F664" i="5"/>
  <c r="E664" i="5"/>
  <c r="Q663" i="5"/>
  <c r="P663" i="5"/>
  <c r="R663" i="5" s="1"/>
  <c r="F663" i="5"/>
  <c r="E663" i="5"/>
  <c r="Q662" i="5"/>
  <c r="P662" i="5"/>
  <c r="R662" i="5" s="1"/>
  <c r="F662" i="5"/>
  <c r="E662" i="5"/>
  <c r="Q661" i="5"/>
  <c r="P661" i="5"/>
  <c r="R661" i="5" s="1"/>
  <c r="F661" i="5"/>
  <c r="E661" i="5"/>
  <c r="Q660" i="5"/>
  <c r="P660" i="5"/>
  <c r="R660" i="5" s="1"/>
  <c r="F660" i="5"/>
  <c r="E660" i="5"/>
  <c r="Q659" i="5"/>
  <c r="P659" i="5"/>
  <c r="R659" i="5" s="1"/>
  <c r="F659" i="5"/>
  <c r="E659" i="5"/>
  <c r="Q658" i="5"/>
  <c r="P658" i="5"/>
  <c r="R658" i="5" s="1"/>
  <c r="F658" i="5"/>
  <c r="E658" i="5"/>
  <c r="Q657" i="5"/>
  <c r="P657" i="5"/>
  <c r="R657" i="5" s="1"/>
  <c r="F657" i="5"/>
  <c r="E657" i="5"/>
  <c r="Q656" i="5"/>
  <c r="P656" i="5"/>
  <c r="R656" i="5" s="1"/>
  <c r="F656" i="5"/>
  <c r="E656" i="5"/>
  <c r="Q655" i="5"/>
  <c r="P655" i="5"/>
  <c r="R655" i="5" s="1"/>
  <c r="F655" i="5"/>
  <c r="E655" i="5"/>
  <c r="Q654" i="5"/>
  <c r="P654" i="5"/>
  <c r="R654" i="5" s="1"/>
  <c r="F654" i="5"/>
  <c r="E654" i="5"/>
  <c r="Q653" i="5"/>
  <c r="P653" i="5"/>
  <c r="R653" i="5" s="1"/>
  <c r="F653" i="5"/>
  <c r="E653" i="5"/>
  <c r="Q652" i="5"/>
  <c r="P652" i="5"/>
  <c r="R652" i="5" s="1"/>
  <c r="F652" i="5"/>
  <c r="E652" i="5"/>
  <c r="Q651" i="5"/>
  <c r="P651" i="5"/>
  <c r="R651" i="5" s="1"/>
  <c r="F651" i="5"/>
  <c r="E651" i="5"/>
  <c r="Q650" i="5"/>
  <c r="P650" i="5"/>
  <c r="R650" i="5" s="1"/>
  <c r="F650" i="5"/>
  <c r="E650" i="5"/>
  <c r="Q649" i="5"/>
  <c r="P649" i="5"/>
  <c r="R649" i="5" s="1"/>
  <c r="F649" i="5"/>
  <c r="E649" i="5"/>
  <c r="Q648" i="5"/>
  <c r="P648" i="5"/>
  <c r="R648" i="5" s="1"/>
  <c r="F648" i="5"/>
  <c r="E648" i="5"/>
  <c r="Q647" i="5"/>
  <c r="P647" i="5"/>
  <c r="R647" i="5" s="1"/>
  <c r="F647" i="5"/>
  <c r="E647" i="5"/>
  <c r="Q646" i="5"/>
  <c r="P646" i="5"/>
  <c r="R646" i="5" s="1"/>
  <c r="F646" i="5"/>
  <c r="E646" i="5"/>
  <c r="Q645" i="5"/>
  <c r="P645" i="5"/>
  <c r="R645" i="5" s="1"/>
  <c r="F645" i="5"/>
  <c r="E645" i="5"/>
  <c r="Q644" i="5"/>
  <c r="P644" i="5"/>
  <c r="R644" i="5" s="1"/>
  <c r="F644" i="5"/>
  <c r="E644" i="5"/>
  <c r="Q643" i="5"/>
  <c r="P643" i="5"/>
  <c r="R643" i="5" s="1"/>
  <c r="F643" i="5"/>
  <c r="E643" i="5"/>
  <c r="Q642" i="5"/>
  <c r="P642" i="5"/>
  <c r="R642" i="5" s="1"/>
  <c r="F642" i="5"/>
  <c r="E642" i="5"/>
  <c r="Q641" i="5"/>
  <c r="P641" i="5"/>
  <c r="R641" i="5" s="1"/>
  <c r="F641" i="5"/>
  <c r="E641" i="5"/>
  <c r="Q640" i="5"/>
  <c r="P640" i="5"/>
  <c r="R640" i="5" s="1"/>
  <c r="F640" i="5"/>
  <c r="E640" i="5"/>
  <c r="Q639" i="5"/>
  <c r="P639" i="5"/>
  <c r="R639" i="5" s="1"/>
  <c r="F639" i="5"/>
  <c r="E639" i="5"/>
  <c r="Q638" i="5"/>
  <c r="P638" i="5"/>
  <c r="R638" i="5" s="1"/>
  <c r="F638" i="5"/>
  <c r="E638" i="5"/>
  <c r="Q637" i="5"/>
  <c r="P637" i="5"/>
  <c r="R637" i="5" s="1"/>
  <c r="F637" i="5"/>
  <c r="E637" i="5"/>
  <c r="Q636" i="5"/>
  <c r="P636" i="5"/>
  <c r="R636" i="5" s="1"/>
  <c r="F636" i="5"/>
  <c r="E636" i="5"/>
  <c r="Q635" i="5"/>
  <c r="P635" i="5"/>
  <c r="R635" i="5" s="1"/>
  <c r="F635" i="5"/>
  <c r="E635" i="5"/>
  <c r="Q634" i="5"/>
  <c r="P634" i="5"/>
  <c r="R634" i="5" s="1"/>
  <c r="F634" i="5"/>
  <c r="E634" i="5"/>
  <c r="Q633" i="5"/>
  <c r="P633" i="5"/>
  <c r="R633" i="5" s="1"/>
  <c r="F633" i="5"/>
  <c r="E633" i="5"/>
  <c r="Q632" i="5"/>
  <c r="P632" i="5"/>
  <c r="R632" i="5" s="1"/>
  <c r="F632" i="5"/>
  <c r="E632" i="5"/>
  <c r="Q631" i="5"/>
  <c r="P631" i="5"/>
  <c r="R631" i="5" s="1"/>
  <c r="F631" i="5"/>
  <c r="E631" i="5"/>
  <c r="Q630" i="5"/>
  <c r="P630" i="5"/>
  <c r="R630" i="5" s="1"/>
  <c r="F630" i="5"/>
  <c r="E630" i="5"/>
  <c r="Q629" i="5"/>
  <c r="P629" i="5"/>
  <c r="R629" i="5" s="1"/>
  <c r="F629" i="5"/>
  <c r="E629" i="5"/>
  <c r="Q628" i="5"/>
  <c r="P628" i="5"/>
  <c r="R628" i="5" s="1"/>
  <c r="F628" i="5"/>
  <c r="E628" i="5"/>
  <c r="Q627" i="5"/>
  <c r="P627" i="5"/>
  <c r="R627" i="5" s="1"/>
  <c r="F627" i="5"/>
  <c r="E627" i="5"/>
  <c r="Q626" i="5"/>
  <c r="P626" i="5"/>
  <c r="R626" i="5" s="1"/>
  <c r="F626" i="5"/>
  <c r="E626" i="5"/>
  <c r="Q625" i="5"/>
  <c r="P625" i="5"/>
  <c r="R625" i="5" s="1"/>
  <c r="F625" i="5"/>
  <c r="E625" i="5"/>
  <c r="Q624" i="5"/>
  <c r="P624" i="5"/>
  <c r="R624" i="5" s="1"/>
  <c r="F624" i="5"/>
  <c r="E624" i="5"/>
  <c r="Q623" i="5"/>
  <c r="P623" i="5"/>
  <c r="R623" i="5" s="1"/>
  <c r="F623" i="5"/>
  <c r="E623" i="5"/>
  <c r="Q622" i="5"/>
  <c r="P622" i="5"/>
  <c r="R622" i="5" s="1"/>
  <c r="F622" i="5"/>
  <c r="E622" i="5"/>
  <c r="Q621" i="5"/>
  <c r="P621" i="5"/>
  <c r="R621" i="5" s="1"/>
  <c r="F621" i="5"/>
  <c r="E621" i="5"/>
  <c r="Q620" i="5"/>
  <c r="P620" i="5"/>
  <c r="R620" i="5" s="1"/>
  <c r="F620" i="5"/>
  <c r="E620" i="5"/>
  <c r="Q619" i="5"/>
  <c r="P619" i="5"/>
  <c r="R619" i="5" s="1"/>
  <c r="F619" i="5"/>
  <c r="E619" i="5"/>
  <c r="Q618" i="5"/>
  <c r="P618" i="5"/>
  <c r="R618" i="5" s="1"/>
  <c r="F618" i="5"/>
  <c r="E618" i="5"/>
  <c r="Q617" i="5"/>
  <c r="P617" i="5"/>
  <c r="R617" i="5" s="1"/>
  <c r="F617" i="5"/>
  <c r="E617" i="5"/>
  <c r="Q616" i="5"/>
  <c r="P616" i="5"/>
  <c r="R616" i="5" s="1"/>
  <c r="F616" i="5"/>
  <c r="E616" i="5"/>
  <c r="Q615" i="5"/>
  <c r="P615" i="5"/>
  <c r="R615" i="5" s="1"/>
  <c r="F615" i="5"/>
  <c r="E615" i="5"/>
  <c r="Q614" i="5"/>
  <c r="P614" i="5"/>
  <c r="R614" i="5" s="1"/>
  <c r="F614" i="5"/>
  <c r="E614" i="5"/>
  <c r="Q613" i="5"/>
  <c r="P613" i="5"/>
  <c r="R613" i="5" s="1"/>
  <c r="F613" i="5"/>
  <c r="E613" i="5"/>
  <c r="Q612" i="5"/>
  <c r="P612" i="5"/>
  <c r="R612" i="5" s="1"/>
  <c r="F612" i="5"/>
  <c r="E612" i="5"/>
  <c r="Q611" i="5"/>
  <c r="P611" i="5"/>
  <c r="R611" i="5" s="1"/>
  <c r="F611" i="5"/>
  <c r="E611" i="5"/>
  <c r="Q610" i="5"/>
  <c r="P610" i="5"/>
  <c r="R610" i="5" s="1"/>
  <c r="F610" i="5"/>
  <c r="E610" i="5"/>
  <c r="Q609" i="5"/>
  <c r="P609" i="5"/>
  <c r="R609" i="5" s="1"/>
  <c r="F609" i="5"/>
  <c r="E609" i="5"/>
  <c r="Q608" i="5"/>
  <c r="P608" i="5"/>
  <c r="R608" i="5" s="1"/>
  <c r="F608" i="5"/>
  <c r="E608" i="5"/>
  <c r="Q607" i="5"/>
  <c r="P607" i="5"/>
  <c r="R607" i="5" s="1"/>
  <c r="F607" i="5"/>
  <c r="E607" i="5"/>
  <c r="Q606" i="5"/>
  <c r="P606" i="5"/>
  <c r="R606" i="5" s="1"/>
  <c r="F606" i="5"/>
  <c r="E606" i="5"/>
  <c r="Q605" i="5"/>
  <c r="P605" i="5"/>
  <c r="R605" i="5" s="1"/>
  <c r="F605" i="5"/>
  <c r="E605" i="5"/>
  <c r="Q604" i="5"/>
  <c r="P604" i="5"/>
  <c r="R604" i="5" s="1"/>
  <c r="F604" i="5"/>
  <c r="E604" i="5"/>
  <c r="Q603" i="5"/>
  <c r="P603" i="5"/>
  <c r="R603" i="5" s="1"/>
  <c r="F603" i="5"/>
  <c r="E603" i="5"/>
  <c r="Q602" i="5"/>
  <c r="P602" i="5"/>
  <c r="R602" i="5" s="1"/>
  <c r="F602" i="5"/>
  <c r="E602" i="5"/>
  <c r="Q601" i="5"/>
  <c r="P601" i="5"/>
  <c r="R601" i="5" s="1"/>
  <c r="F601" i="5"/>
  <c r="E601" i="5"/>
  <c r="Q600" i="5"/>
  <c r="P600" i="5"/>
  <c r="R600" i="5" s="1"/>
  <c r="F600" i="5"/>
  <c r="E600" i="5"/>
  <c r="Q599" i="5"/>
  <c r="P599" i="5"/>
  <c r="R599" i="5" s="1"/>
  <c r="F599" i="5"/>
  <c r="E599" i="5"/>
  <c r="Q598" i="5"/>
  <c r="P598" i="5"/>
  <c r="R598" i="5" s="1"/>
  <c r="F598" i="5"/>
  <c r="E598" i="5"/>
  <c r="Q597" i="5"/>
  <c r="P597" i="5"/>
  <c r="R597" i="5" s="1"/>
  <c r="N597" i="5"/>
  <c r="M597" i="5"/>
  <c r="F597" i="5"/>
  <c r="K597" i="5" s="1"/>
  <c r="E597" i="5"/>
  <c r="Q596" i="5"/>
  <c r="P596" i="5"/>
  <c r="R596" i="5" s="1"/>
  <c r="F596" i="5"/>
  <c r="E596" i="5"/>
  <c r="Q595" i="5"/>
  <c r="P595" i="5"/>
  <c r="R595" i="5" s="1"/>
  <c r="F595" i="5"/>
  <c r="E595" i="5"/>
  <c r="Q594" i="5"/>
  <c r="P594" i="5"/>
  <c r="R594" i="5" s="1"/>
  <c r="F594" i="5"/>
  <c r="E594" i="5"/>
  <c r="Q593" i="5"/>
  <c r="P593" i="5"/>
  <c r="R593" i="5" s="1"/>
  <c r="F593" i="5"/>
  <c r="E593" i="5"/>
  <c r="Q592" i="5"/>
  <c r="P592" i="5"/>
  <c r="R592" i="5" s="1"/>
  <c r="F592" i="5"/>
  <c r="E592" i="5"/>
  <c r="Q591" i="5"/>
  <c r="P591" i="5"/>
  <c r="R591" i="5" s="1"/>
  <c r="F591" i="5"/>
  <c r="E591" i="5"/>
  <c r="Q590" i="5"/>
  <c r="P590" i="5"/>
  <c r="R590" i="5" s="1"/>
  <c r="F590" i="5"/>
  <c r="E590" i="5"/>
  <c r="Q589" i="5"/>
  <c r="P589" i="5"/>
  <c r="R589" i="5" s="1"/>
  <c r="F589" i="5"/>
  <c r="E589" i="5"/>
  <c r="Q588" i="5"/>
  <c r="P588" i="5"/>
  <c r="R588" i="5" s="1"/>
  <c r="F588" i="5"/>
  <c r="E588" i="5"/>
  <c r="Q587" i="5"/>
  <c r="P587" i="5"/>
  <c r="R587" i="5" s="1"/>
  <c r="F587" i="5"/>
  <c r="E587" i="5"/>
  <c r="Q586" i="5"/>
  <c r="P586" i="5"/>
  <c r="R586" i="5" s="1"/>
  <c r="F586" i="5"/>
  <c r="E586" i="5"/>
  <c r="Q585" i="5"/>
  <c r="P585" i="5"/>
  <c r="R585" i="5" s="1"/>
  <c r="F585" i="5"/>
  <c r="E585" i="5"/>
  <c r="Q584" i="5"/>
  <c r="P584" i="5"/>
  <c r="R584" i="5" s="1"/>
  <c r="F584" i="5"/>
  <c r="E584" i="5"/>
  <c r="Q583" i="5"/>
  <c r="P583" i="5"/>
  <c r="R583" i="5" s="1"/>
  <c r="F583" i="5"/>
  <c r="E583" i="5"/>
  <c r="Q582" i="5"/>
  <c r="P582" i="5"/>
  <c r="R582" i="5" s="1"/>
  <c r="F582" i="5"/>
  <c r="E582" i="5"/>
  <c r="Q581" i="5"/>
  <c r="P581" i="5"/>
  <c r="R581" i="5" s="1"/>
  <c r="F581" i="5"/>
  <c r="E581" i="5"/>
  <c r="Q580" i="5"/>
  <c r="P580" i="5"/>
  <c r="R580" i="5" s="1"/>
  <c r="F580" i="5"/>
  <c r="E580" i="5"/>
  <c r="Q579" i="5"/>
  <c r="P579" i="5"/>
  <c r="R579" i="5" s="1"/>
  <c r="F579" i="5"/>
  <c r="E579" i="5"/>
  <c r="Q578" i="5"/>
  <c r="P578" i="5"/>
  <c r="R578" i="5" s="1"/>
  <c r="F578" i="5"/>
  <c r="E578" i="5"/>
  <c r="Q577" i="5"/>
  <c r="P577" i="5"/>
  <c r="R577" i="5" s="1"/>
  <c r="F577" i="5"/>
  <c r="E577" i="5"/>
  <c r="Q576" i="5"/>
  <c r="P576" i="5"/>
  <c r="R576" i="5" s="1"/>
  <c r="F576" i="5"/>
  <c r="E576" i="5"/>
  <c r="Q575" i="5"/>
  <c r="P575" i="5"/>
  <c r="R575" i="5" s="1"/>
  <c r="F575" i="5"/>
  <c r="E575" i="5"/>
  <c r="Q574" i="5"/>
  <c r="P574" i="5"/>
  <c r="R574" i="5" s="1"/>
  <c r="F574" i="5"/>
  <c r="E574" i="5"/>
  <c r="Q573" i="5"/>
  <c r="P573" i="5"/>
  <c r="R573" i="5" s="1"/>
  <c r="F573" i="5"/>
  <c r="E573" i="5"/>
  <c r="Q572" i="5"/>
  <c r="P572" i="5"/>
  <c r="R572" i="5" s="1"/>
  <c r="F572" i="5"/>
  <c r="E572" i="5"/>
  <c r="Q571" i="5"/>
  <c r="P571" i="5"/>
  <c r="R571" i="5" s="1"/>
  <c r="F571" i="5"/>
  <c r="E571" i="5"/>
  <c r="Q570" i="5"/>
  <c r="P570" i="5"/>
  <c r="R570" i="5" s="1"/>
  <c r="F570" i="5"/>
  <c r="E570" i="5"/>
  <c r="Q569" i="5"/>
  <c r="P569" i="5"/>
  <c r="R569" i="5" s="1"/>
  <c r="F569" i="5"/>
  <c r="E569" i="5"/>
  <c r="Q568" i="5"/>
  <c r="P568" i="5"/>
  <c r="R568" i="5" s="1"/>
  <c r="F568" i="5"/>
  <c r="E568" i="5"/>
  <c r="Q567" i="5"/>
  <c r="P567" i="5"/>
  <c r="R567" i="5" s="1"/>
  <c r="F567" i="5"/>
  <c r="E567" i="5"/>
  <c r="Q566" i="5"/>
  <c r="P566" i="5"/>
  <c r="R566" i="5" s="1"/>
  <c r="F566" i="5"/>
  <c r="E566" i="5"/>
  <c r="Q565" i="5"/>
  <c r="P565" i="5"/>
  <c r="R565" i="5" s="1"/>
  <c r="F565" i="5"/>
  <c r="E565" i="5"/>
  <c r="Q564" i="5"/>
  <c r="P564" i="5"/>
  <c r="R564" i="5" s="1"/>
  <c r="F564" i="5"/>
  <c r="E564" i="5"/>
  <c r="Q563" i="5"/>
  <c r="P563" i="5"/>
  <c r="R563" i="5" s="1"/>
  <c r="F563" i="5"/>
  <c r="E563" i="5"/>
  <c r="Q562" i="5"/>
  <c r="P562" i="5"/>
  <c r="R562" i="5" s="1"/>
  <c r="F562" i="5"/>
  <c r="E562" i="5"/>
  <c r="Q561" i="5"/>
  <c r="P561" i="5"/>
  <c r="R561" i="5" s="1"/>
  <c r="F561" i="5"/>
  <c r="E561" i="5"/>
  <c r="Q560" i="5"/>
  <c r="P560" i="5"/>
  <c r="R560" i="5" s="1"/>
  <c r="F560" i="5"/>
  <c r="E560" i="5"/>
  <c r="Q559" i="5"/>
  <c r="P559" i="5"/>
  <c r="R559" i="5" s="1"/>
  <c r="F559" i="5"/>
  <c r="E559" i="5"/>
  <c r="Q558" i="5"/>
  <c r="P558" i="5"/>
  <c r="R558" i="5" s="1"/>
  <c r="F558" i="5"/>
  <c r="E558" i="5"/>
  <c r="Q557" i="5"/>
  <c r="P557" i="5"/>
  <c r="R557" i="5" s="1"/>
  <c r="F557" i="5"/>
  <c r="E557" i="5"/>
  <c r="Q556" i="5"/>
  <c r="P556" i="5"/>
  <c r="R556" i="5" s="1"/>
  <c r="F556" i="5"/>
  <c r="E556" i="5"/>
  <c r="Q555" i="5"/>
  <c r="P555" i="5"/>
  <c r="R555" i="5" s="1"/>
  <c r="F555" i="5"/>
  <c r="E555" i="5"/>
  <c r="Q554" i="5"/>
  <c r="P554" i="5"/>
  <c r="R554" i="5" s="1"/>
  <c r="F554" i="5"/>
  <c r="E554" i="5"/>
  <c r="Q553" i="5"/>
  <c r="P553" i="5"/>
  <c r="R553" i="5" s="1"/>
  <c r="F553" i="5"/>
  <c r="E553" i="5"/>
  <c r="Q552" i="5"/>
  <c r="P552" i="5"/>
  <c r="R552" i="5" s="1"/>
  <c r="F552" i="5"/>
  <c r="E552" i="5"/>
  <c r="Q551" i="5"/>
  <c r="P551" i="5"/>
  <c r="R551" i="5" s="1"/>
  <c r="F551" i="5"/>
  <c r="E551" i="5"/>
  <c r="Q550" i="5"/>
  <c r="P550" i="5"/>
  <c r="R550" i="5" s="1"/>
  <c r="F550" i="5"/>
  <c r="E550" i="5"/>
  <c r="Q549" i="5"/>
  <c r="P549" i="5"/>
  <c r="R549" i="5" s="1"/>
  <c r="F549" i="5"/>
  <c r="E549" i="5"/>
  <c r="Q548" i="5"/>
  <c r="P548" i="5"/>
  <c r="R548" i="5" s="1"/>
  <c r="F548" i="5"/>
  <c r="E548" i="5"/>
  <c r="Q547" i="5"/>
  <c r="P547" i="5"/>
  <c r="R547" i="5" s="1"/>
  <c r="F547" i="5"/>
  <c r="E547" i="5"/>
  <c r="Q546" i="5"/>
  <c r="P546" i="5"/>
  <c r="R546" i="5" s="1"/>
  <c r="F546" i="5"/>
  <c r="E546" i="5"/>
  <c r="Q545" i="5"/>
  <c r="P545" i="5"/>
  <c r="R545" i="5" s="1"/>
  <c r="F545" i="5"/>
  <c r="E545" i="5"/>
  <c r="Q544" i="5"/>
  <c r="P544" i="5"/>
  <c r="R544" i="5" s="1"/>
  <c r="F544" i="5"/>
  <c r="E544" i="5"/>
  <c r="Q543" i="5"/>
  <c r="P543" i="5"/>
  <c r="R543" i="5" s="1"/>
  <c r="F543" i="5"/>
  <c r="E543" i="5"/>
  <c r="Q542" i="5"/>
  <c r="P542" i="5"/>
  <c r="R542" i="5" s="1"/>
  <c r="F542" i="5"/>
  <c r="E542" i="5"/>
  <c r="Q541" i="5"/>
  <c r="P541" i="5"/>
  <c r="R541" i="5" s="1"/>
  <c r="F541" i="5"/>
  <c r="E541" i="5"/>
  <c r="Q540" i="5"/>
  <c r="P540" i="5"/>
  <c r="R540" i="5" s="1"/>
  <c r="F540" i="5"/>
  <c r="E540" i="5"/>
  <c r="Q539" i="5"/>
  <c r="P539" i="5"/>
  <c r="R539" i="5" s="1"/>
  <c r="F539" i="5"/>
  <c r="E539" i="5"/>
  <c r="Q538" i="5"/>
  <c r="P538" i="5"/>
  <c r="R538" i="5" s="1"/>
  <c r="F538" i="5"/>
  <c r="E538" i="5"/>
  <c r="Q537" i="5"/>
  <c r="P537" i="5"/>
  <c r="R537" i="5" s="1"/>
  <c r="F537" i="5"/>
  <c r="E537" i="5"/>
  <c r="Q536" i="5"/>
  <c r="P536" i="5"/>
  <c r="R536" i="5" s="1"/>
  <c r="F536" i="5"/>
  <c r="E536" i="5"/>
  <c r="Q535" i="5"/>
  <c r="P535" i="5"/>
  <c r="R535" i="5" s="1"/>
  <c r="F535" i="5"/>
  <c r="E535" i="5"/>
  <c r="Q534" i="5"/>
  <c r="P534" i="5"/>
  <c r="R534" i="5" s="1"/>
  <c r="F534" i="5"/>
  <c r="E534" i="5"/>
  <c r="Q533" i="5"/>
  <c r="P533" i="5"/>
  <c r="R533" i="5" s="1"/>
  <c r="F533" i="5"/>
  <c r="E533" i="5"/>
  <c r="Q532" i="5"/>
  <c r="P532" i="5"/>
  <c r="R532" i="5" s="1"/>
  <c r="F532" i="5"/>
  <c r="E532" i="5"/>
  <c r="Q531" i="5"/>
  <c r="P531" i="5"/>
  <c r="R531" i="5" s="1"/>
  <c r="F531" i="5"/>
  <c r="E531" i="5"/>
  <c r="Q530" i="5"/>
  <c r="P530" i="5"/>
  <c r="R530" i="5" s="1"/>
  <c r="F530" i="5"/>
  <c r="E530" i="5"/>
  <c r="Q529" i="5"/>
  <c r="P529" i="5"/>
  <c r="R529" i="5" s="1"/>
  <c r="F529" i="5"/>
  <c r="E529" i="5"/>
  <c r="Q528" i="5"/>
  <c r="P528" i="5"/>
  <c r="R528" i="5" s="1"/>
  <c r="F528" i="5"/>
  <c r="E528" i="5"/>
  <c r="Q527" i="5"/>
  <c r="P527" i="5"/>
  <c r="R527" i="5" s="1"/>
  <c r="F527" i="5"/>
  <c r="E527" i="5"/>
  <c r="Q526" i="5"/>
  <c r="P526" i="5"/>
  <c r="R526" i="5" s="1"/>
  <c r="F526" i="5"/>
  <c r="E526" i="5"/>
  <c r="Q525" i="5"/>
  <c r="P525" i="5"/>
  <c r="R525" i="5" s="1"/>
  <c r="F525" i="5"/>
  <c r="E525" i="5"/>
  <c r="Q524" i="5"/>
  <c r="P524" i="5"/>
  <c r="R524" i="5" s="1"/>
  <c r="F524" i="5"/>
  <c r="E524" i="5"/>
  <c r="Q523" i="5"/>
  <c r="P523" i="5"/>
  <c r="R523" i="5" s="1"/>
  <c r="F523" i="5"/>
  <c r="E523" i="5"/>
  <c r="Q522" i="5"/>
  <c r="P522" i="5"/>
  <c r="R522" i="5" s="1"/>
  <c r="F522" i="5"/>
  <c r="E522" i="5"/>
  <c r="Q521" i="5"/>
  <c r="P521" i="5"/>
  <c r="R521" i="5" s="1"/>
  <c r="F521" i="5"/>
  <c r="E521" i="5"/>
  <c r="Q520" i="5"/>
  <c r="P520" i="5"/>
  <c r="R520" i="5" s="1"/>
  <c r="F520" i="5"/>
  <c r="E520" i="5"/>
  <c r="Q519" i="5"/>
  <c r="P519" i="5"/>
  <c r="R519" i="5" s="1"/>
  <c r="F519" i="5"/>
  <c r="E519" i="5"/>
  <c r="Q518" i="5"/>
  <c r="P518" i="5"/>
  <c r="R518" i="5" s="1"/>
  <c r="F518" i="5"/>
  <c r="E518" i="5"/>
  <c r="Q517" i="5"/>
  <c r="P517" i="5"/>
  <c r="R517" i="5" s="1"/>
  <c r="F517" i="5"/>
  <c r="E517" i="5"/>
  <c r="Q516" i="5"/>
  <c r="P516" i="5"/>
  <c r="R516" i="5" s="1"/>
  <c r="F516" i="5"/>
  <c r="E516" i="5"/>
  <c r="Q515" i="5"/>
  <c r="P515" i="5"/>
  <c r="R515" i="5" s="1"/>
  <c r="F515" i="5"/>
  <c r="E515" i="5"/>
  <c r="Q514" i="5"/>
  <c r="P514" i="5"/>
  <c r="R514" i="5" s="1"/>
  <c r="F514" i="5"/>
  <c r="E514" i="5"/>
  <c r="Q513" i="5"/>
  <c r="P513" i="5"/>
  <c r="R513" i="5" s="1"/>
  <c r="F513" i="5"/>
  <c r="E513" i="5"/>
  <c r="Q512" i="5"/>
  <c r="P512" i="5"/>
  <c r="R512" i="5" s="1"/>
  <c r="F512" i="5"/>
  <c r="E512" i="5"/>
  <c r="Q511" i="5"/>
  <c r="P511" i="5"/>
  <c r="R511" i="5" s="1"/>
  <c r="F511" i="5"/>
  <c r="E511" i="5"/>
  <c r="Q510" i="5"/>
  <c r="P510" i="5"/>
  <c r="R510" i="5" s="1"/>
  <c r="F510" i="5"/>
  <c r="E510" i="5"/>
  <c r="Q509" i="5"/>
  <c r="P509" i="5"/>
  <c r="R509" i="5" s="1"/>
  <c r="F509" i="5"/>
  <c r="E509" i="5"/>
  <c r="Q508" i="5"/>
  <c r="P508" i="5"/>
  <c r="R508" i="5" s="1"/>
  <c r="F508" i="5"/>
  <c r="E508" i="5"/>
  <c r="Q507" i="5"/>
  <c r="P507" i="5"/>
  <c r="R507" i="5" s="1"/>
  <c r="F507" i="5"/>
  <c r="E507" i="5"/>
  <c r="Q506" i="5"/>
  <c r="P506" i="5"/>
  <c r="R506" i="5" s="1"/>
  <c r="F506" i="5"/>
  <c r="E506" i="5"/>
  <c r="Q505" i="5"/>
  <c r="P505" i="5"/>
  <c r="R505" i="5" s="1"/>
  <c r="F505" i="5"/>
  <c r="E505" i="5"/>
  <c r="Q504" i="5"/>
  <c r="P504" i="5"/>
  <c r="R504" i="5" s="1"/>
  <c r="F504" i="5"/>
  <c r="E504" i="5"/>
  <c r="Q503" i="5"/>
  <c r="P503" i="5"/>
  <c r="R503" i="5" s="1"/>
  <c r="F503" i="5"/>
  <c r="E503" i="5"/>
  <c r="Q502" i="5"/>
  <c r="P502" i="5"/>
  <c r="R502" i="5" s="1"/>
  <c r="F502" i="5"/>
  <c r="E502" i="5"/>
  <c r="Q501" i="5"/>
  <c r="P501" i="5"/>
  <c r="R501" i="5" s="1"/>
  <c r="F501" i="5"/>
  <c r="E501" i="5"/>
  <c r="Q500" i="5"/>
  <c r="P500" i="5"/>
  <c r="R500" i="5" s="1"/>
  <c r="F500" i="5"/>
  <c r="E500" i="5"/>
  <c r="Q499" i="5"/>
  <c r="P499" i="5"/>
  <c r="R499" i="5" s="1"/>
  <c r="F499" i="5"/>
  <c r="E499" i="5"/>
  <c r="Q498" i="5"/>
  <c r="P498" i="5"/>
  <c r="R498" i="5" s="1"/>
  <c r="F498" i="5"/>
  <c r="E498" i="5"/>
  <c r="Q497" i="5"/>
  <c r="P497" i="5"/>
  <c r="R497" i="5" s="1"/>
  <c r="F497" i="5"/>
  <c r="E497" i="5"/>
  <c r="Q496" i="5"/>
  <c r="P496" i="5"/>
  <c r="R496" i="5" s="1"/>
  <c r="F496" i="5"/>
  <c r="E496" i="5"/>
  <c r="Q495" i="5"/>
  <c r="P495" i="5"/>
  <c r="R495" i="5" s="1"/>
  <c r="F495" i="5"/>
  <c r="E495" i="5"/>
  <c r="Q494" i="5"/>
  <c r="P494" i="5"/>
  <c r="R494" i="5" s="1"/>
  <c r="F494" i="5"/>
  <c r="E494" i="5"/>
  <c r="Q493" i="5"/>
  <c r="P493" i="5"/>
  <c r="R493" i="5" s="1"/>
  <c r="F493" i="5"/>
  <c r="E493" i="5"/>
  <c r="Q492" i="5"/>
  <c r="P492" i="5"/>
  <c r="R492" i="5" s="1"/>
  <c r="F492" i="5"/>
  <c r="E492" i="5"/>
  <c r="Q491" i="5"/>
  <c r="P491" i="5"/>
  <c r="R491" i="5" s="1"/>
  <c r="F491" i="5"/>
  <c r="E491" i="5"/>
  <c r="Q490" i="5"/>
  <c r="P490" i="5"/>
  <c r="R490" i="5" s="1"/>
  <c r="F490" i="5"/>
  <c r="E490" i="5"/>
  <c r="Q489" i="5"/>
  <c r="P489" i="5"/>
  <c r="R489" i="5" s="1"/>
  <c r="F489" i="5"/>
  <c r="E489" i="5"/>
  <c r="Q488" i="5"/>
  <c r="P488" i="5"/>
  <c r="R488" i="5" s="1"/>
  <c r="F488" i="5"/>
  <c r="E488" i="5"/>
  <c r="Q487" i="5"/>
  <c r="P487" i="5"/>
  <c r="R487" i="5" s="1"/>
  <c r="F487" i="5"/>
  <c r="E487" i="5"/>
  <c r="Q486" i="5"/>
  <c r="P486" i="5"/>
  <c r="R486" i="5" s="1"/>
  <c r="F486" i="5"/>
  <c r="E486" i="5"/>
  <c r="Q485" i="5"/>
  <c r="P485" i="5"/>
  <c r="R485" i="5" s="1"/>
  <c r="F485" i="5"/>
  <c r="E485" i="5"/>
  <c r="Q484" i="5"/>
  <c r="P484" i="5"/>
  <c r="R484" i="5" s="1"/>
  <c r="F484" i="5"/>
  <c r="E484" i="5"/>
  <c r="Q483" i="5"/>
  <c r="P483" i="5"/>
  <c r="R483" i="5" s="1"/>
  <c r="F483" i="5"/>
  <c r="E483" i="5"/>
  <c r="Q482" i="5"/>
  <c r="P482" i="5"/>
  <c r="R482" i="5" s="1"/>
  <c r="F482" i="5"/>
  <c r="E482" i="5"/>
  <c r="Q481" i="5"/>
  <c r="P481" i="5"/>
  <c r="R481" i="5" s="1"/>
  <c r="F481" i="5"/>
  <c r="E481" i="5"/>
  <c r="Q480" i="5"/>
  <c r="P480" i="5"/>
  <c r="R480" i="5" s="1"/>
  <c r="F480" i="5"/>
  <c r="E480" i="5"/>
  <c r="Q479" i="5"/>
  <c r="P479" i="5"/>
  <c r="R479" i="5" s="1"/>
  <c r="F479" i="5"/>
  <c r="E479" i="5"/>
  <c r="Q478" i="5"/>
  <c r="P478" i="5"/>
  <c r="R478" i="5" s="1"/>
  <c r="F478" i="5"/>
  <c r="E478" i="5"/>
  <c r="Q477" i="5"/>
  <c r="P477" i="5"/>
  <c r="R477" i="5" s="1"/>
  <c r="F477" i="5"/>
  <c r="E477" i="5"/>
  <c r="Q476" i="5"/>
  <c r="P476" i="5"/>
  <c r="R476" i="5" s="1"/>
  <c r="F476" i="5"/>
  <c r="E476" i="5"/>
  <c r="Q475" i="5"/>
  <c r="P475" i="5"/>
  <c r="R475" i="5" s="1"/>
  <c r="F475" i="5"/>
  <c r="E475" i="5"/>
  <c r="Q474" i="5"/>
  <c r="P474" i="5"/>
  <c r="R474" i="5" s="1"/>
  <c r="F474" i="5"/>
  <c r="E474" i="5"/>
  <c r="Q473" i="5"/>
  <c r="P473" i="5"/>
  <c r="R473" i="5" s="1"/>
  <c r="F473" i="5"/>
  <c r="E473" i="5"/>
  <c r="Q472" i="5"/>
  <c r="P472" i="5"/>
  <c r="R472" i="5" s="1"/>
  <c r="F472" i="5"/>
  <c r="E472" i="5"/>
  <c r="Q471" i="5"/>
  <c r="P471" i="5"/>
  <c r="R471" i="5" s="1"/>
  <c r="F471" i="5"/>
  <c r="E471" i="5"/>
  <c r="Q470" i="5"/>
  <c r="P470" i="5"/>
  <c r="R470" i="5" s="1"/>
  <c r="F470" i="5"/>
  <c r="E470" i="5"/>
  <c r="Q469" i="5"/>
  <c r="P469" i="5"/>
  <c r="R469" i="5" s="1"/>
  <c r="F469" i="5"/>
  <c r="E469" i="5"/>
  <c r="Q468" i="5"/>
  <c r="P468" i="5"/>
  <c r="R468" i="5" s="1"/>
  <c r="F468" i="5"/>
  <c r="E468" i="5"/>
  <c r="Q467" i="5"/>
  <c r="P467" i="5"/>
  <c r="R467" i="5" s="1"/>
  <c r="F467" i="5"/>
  <c r="E467" i="5"/>
  <c r="Q466" i="5"/>
  <c r="P466" i="5"/>
  <c r="R466" i="5" s="1"/>
  <c r="F466" i="5"/>
  <c r="E466" i="5"/>
  <c r="Q465" i="5"/>
  <c r="P465" i="5"/>
  <c r="R465" i="5" s="1"/>
  <c r="F465" i="5"/>
  <c r="E465" i="5"/>
  <c r="Q464" i="5"/>
  <c r="P464" i="5"/>
  <c r="R464" i="5" s="1"/>
  <c r="F464" i="5"/>
  <c r="E464" i="5"/>
  <c r="Q463" i="5"/>
  <c r="P463" i="5"/>
  <c r="R463" i="5" s="1"/>
  <c r="F463" i="5"/>
  <c r="E463" i="5"/>
  <c r="Q462" i="5"/>
  <c r="P462" i="5"/>
  <c r="R462" i="5" s="1"/>
  <c r="F462" i="5"/>
  <c r="E462" i="5"/>
  <c r="Q461" i="5"/>
  <c r="P461" i="5"/>
  <c r="R461" i="5" s="1"/>
  <c r="F461" i="5"/>
  <c r="E461" i="5"/>
  <c r="Q460" i="5"/>
  <c r="P460" i="5"/>
  <c r="R460" i="5" s="1"/>
  <c r="F460" i="5"/>
  <c r="E460" i="5"/>
  <c r="Q459" i="5"/>
  <c r="P459" i="5"/>
  <c r="R459" i="5" s="1"/>
  <c r="F459" i="5"/>
  <c r="E459" i="5"/>
  <c r="Q458" i="5"/>
  <c r="P458" i="5"/>
  <c r="R458" i="5" s="1"/>
  <c r="F458" i="5"/>
  <c r="E458" i="5"/>
  <c r="Q457" i="5"/>
  <c r="P457" i="5"/>
  <c r="R457" i="5" s="1"/>
  <c r="F457" i="5"/>
  <c r="E457" i="5"/>
  <c r="Q456" i="5"/>
  <c r="P456" i="5"/>
  <c r="R456" i="5" s="1"/>
  <c r="F456" i="5"/>
  <c r="E456" i="5"/>
  <c r="Q455" i="5"/>
  <c r="P455" i="5"/>
  <c r="R455" i="5" s="1"/>
  <c r="F455" i="5"/>
  <c r="E455" i="5"/>
  <c r="Q454" i="5"/>
  <c r="P454" i="5"/>
  <c r="R454" i="5" s="1"/>
  <c r="F454" i="5"/>
  <c r="E454" i="5"/>
  <c r="Q453" i="5"/>
  <c r="P453" i="5"/>
  <c r="R453" i="5" s="1"/>
  <c r="F453" i="5"/>
  <c r="E453" i="5"/>
  <c r="Q452" i="5"/>
  <c r="P452" i="5"/>
  <c r="R452" i="5" s="1"/>
  <c r="F452" i="5"/>
  <c r="E452" i="5"/>
  <c r="Q451" i="5"/>
  <c r="P451" i="5"/>
  <c r="R451" i="5" s="1"/>
  <c r="F451" i="5"/>
  <c r="E451" i="5"/>
  <c r="Q450" i="5"/>
  <c r="P450" i="5"/>
  <c r="R450" i="5" s="1"/>
  <c r="F450" i="5"/>
  <c r="E450" i="5"/>
  <c r="Q449" i="5"/>
  <c r="P449" i="5"/>
  <c r="R449" i="5" s="1"/>
  <c r="F449" i="5"/>
  <c r="E449" i="5"/>
  <c r="Q448" i="5"/>
  <c r="P448" i="5"/>
  <c r="R448" i="5" s="1"/>
  <c r="F448" i="5"/>
  <c r="E448" i="5"/>
  <c r="Q447" i="5"/>
  <c r="P447" i="5"/>
  <c r="R447" i="5" s="1"/>
  <c r="F447" i="5"/>
  <c r="E447" i="5"/>
  <c r="Q446" i="5"/>
  <c r="P446" i="5"/>
  <c r="R446" i="5" s="1"/>
  <c r="F446" i="5"/>
  <c r="E446" i="5"/>
  <c r="Q445" i="5"/>
  <c r="P445" i="5"/>
  <c r="R445" i="5" s="1"/>
  <c r="F445" i="5"/>
  <c r="E445" i="5"/>
  <c r="Q444" i="5"/>
  <c r="P444" i="5"/>
  <c r="R444" i="5" s="1"/>
  <c r="F444" i="5"/>
  <c r="E444" i="5"/>
  <c r="Q443" i="5"/>
  <c r="P443" i="5"/>
  <c r="R443" i="5" s="1"/>
  <c r="F443" i="5"/>
  <c r="E443" i="5"/>
  <c r="Q442" i="5"/>
  <c r="P442" i="5"/>
  <c r="R442" i="5" s="1"/>
  <c r="F442" i="5"/>
  <c r="E442" i="5"/>
  <c r="Q441" i="5"/>
  <c r="P441" i="5"/>
  <c r="R441" i="5" s="1"/>
  <c r="F441" i="5"/>
  <c r="E441" i="5"/>
  <c r="Q440" i="5"/>
  <c r="P440" i="5"/>
  <c r="R440" i="5" s="1"/>
  <c r="F440" i="5"/>
  <c r="E440" i="5"/>
  <c r="Q439" i="5"/>
  <c r="P439" i="5"/>
  <c r="R439" i="5" s="1"/>
  <c r="F439" i="5"/>
  <c r="E439" i="5"/>
  <c r="Q438" i="5"/>
  <c r="P438" i="5"/>
  <c r="R438" i="5" s="1"/>
  <c r="F438" i="5"/>
  <c r="E438" i="5"/>
  <c r="Q437" i="5"/>
  <c r="P437" i="5"/>
  <c r="R437" i="5" s="1"/>
  <c r="F437" i="5"/>
  <c r="E437" i="5"/>
  <c r="Q436" i="5"/>
  <c r="P436" i="5"/>
  <c r="R436" i="5" s="1"/>
  <c r="F436" i="5"/>
  <c r="E436" i="5"/>
  <c r="Q435" i="5"/>
  <c r="P435" i="5"/>
  <c r="R435" i="5" s="1"/>
  <c r="F435" i="5"/>
  <c r="E435" i="5"/>
  <c r="Q434" i="5"/>
  <c r="P434" i="5"/>
  <c r="R434" i="5" s="1"/>
  <c r="F434" i="5"/>
  <c r="E434" i="5"/>
  <c r="Q433" i="5"/>
  <c r="P433" i="5"/>
  <c r="R433" i="5" s="1"/>
  <c r="F433" i="5"/>
  <c r="E433" i="5"/>
  <c r="Q432" i="5"/>
  <c r="P432" i="5"/>
  <c r="R432" i="5" s="1"/>
  <c r="F432" i="5"/>
  <c r="E432" i="5"/>
  <c r="Q431" i="5"/>
  <c r="P431" i="5"/>
  <c r="R431" i="5" s="1"/>
  <c r="F431" i="5"/>
  <c r="E431" i="5"/>
  <c r="Q430" i="5"/>
  <c r="P430" i="5"/>
  <c r="R430" i="5" s="1"/>
  <c r="F430" i="5"/>
  <c r="E430" i="5"/>
  <c r="Q429" i="5"/>
  <c r="P429" i="5"/>
  <c r="R429" i="5" s="1"/>
  <c r="F429" i="5"/>
  <c r="E429" i="5"/>
  <c r="Q428" i="5"/>
  <c r="P428" i="5"/>
  <c r="R428" i="5" s="1"/>
  <c r="F428" i="5"/>
  <c r="E428" i="5"/>
  <c r="Q427" i="5"/>
  <c r="P427" i="5"/>
  <c r="R427" i="5" s="1"/>
  <c r="F427" i="5"/>
  <c r="E427" i="5"/>
  <c r="Q426" i="5"/>
  <c r="P426" i="5"/>
  <c r="R426" i="5" s="1"/>
  <c r="F426" i="5"/>
  <c r="E426" i="5"/>
  <c r="Q425" i="5"/>
  <c r="P425" i="5"/>
  <c r="R425" i="5" s="1"/>
  <c r="F425" i="5"/>
  <c r="E425" i="5"/>
  <c r="Q424" i="5"/>
  <c r="P424" i="5"/>
  <c r="R424" i="5" s="1"/>
  <c r="F424" i="5"/>
  <c r="E424" i="5"/>
  <c r="Q423" i="5"/>
  <c r="P423" i="5"/>
  <c r="R423" i="5" s="1"/>
  <c r="F423" i="5"/>
  <c r="E423" i="5"/>
  <c r="Q422" i="5"/>
  <c r="P422" i="5"/>
  <c r="R422" i="5" s="1"/>
  <c r="F422" i="5"/>
  <c r="E422" i="5"/>
  <c r="Q421" i="5"/>
  <c r="P421" i="5"/>
  <c r="R421" i="5" s="1"/>
  <c r="F421" i="5"/>
  <c r="E421" i="5"/>
  <c r="Q420" i="5"/>
  <c r="P420" i="5"/>
  <c r="R420" i="5" s="1"/>
  <c r="F420" i="5"/>
  <c r="E420" i="5"/>
  <c r="Q419" i="5"/>
  <c r="P419" i="5"/>
  <c r="R419" i="5" s="1"/>
  <c r="F419" i="5"/>
  <c r="E419" i="5"/>
  <c r="Q418" i="5"/>
  <c r="P418" i="5"/>
  <c r="R418" i="5" s="1"/>
  <c r="F418" i="5"/>
  <c r="E418" i="5"/>
  <c r="Q417" i="5"/>
  <c r="P417" i="5"/>
  <c r="R417" i="5" s="1"/>
  <c r="F417" i="5"/>
  <c r="E417" i="5"/>
  <c r="Q416" i="5"/>
  <c r="P416" i="5"/>
  <c r="R416" i="5" s="1"/>
  <c r="F416" i="5"/>
  <c r="E416" i="5"/>
  <c r="Q415" i="5"/>
  <c r="P415" i="5"/>
  <c r="R415" i="5" s="1"/>
  <c r="F415" i="5"/>
  <c r="E415" i="5"/>
  <c r="Q414" i="5"/>
  <c r="P414" i="5"/>
  <c r="R414" i="5" s="1"/>
  <c r="F414" i="5"/>
  <c r="E414" i="5"/>
  <c r="Q413" i="5"/>
  <c r="P413" i="5"/>
  <c r="R413" i="5" s="1"/>
  <c r="F413" i="5"/>
  <c r="E413" i="5"/>
  <c r="Q412" i="5"/>
  <c r="P412" i="5"/>
  <c r="R412" i="5" s="1"/>
  <c r="F412" i="5"/>
  <c r="E412" i="5"/>
  <c r="Q411" i="5"/>
  <c r="P411" i="5"/>
  <c r="R411" i="5" s="1"/>
  <c r="F411" i="5"/>
  <c r="E411" i="5"/>
  <c r="Q410" i="5"/>
  <c r="P410" i="5"/>
  <c r="R410" i="5" s="1"/>
  <c r="F410" i="5"/>
  <c r="E410" i="5"/>
  <c r="Q409" i="5"/>
  <c r="P409" i="5"/>
  <c r="R409" i="5" s="1"/>
  <c r="F409" i="5"/>
  <c r="E409" i="5"/>
  <c r="Q408" i="5"/>
  <c r="P408" i="5"/>
  <c r="R408" i="5" s="1"/>
  <c r="F408" i="5"/>
  <c r="E408" i="5"/>
  <c r="Q407" i="5"/>
  <c r="P407" i="5"/>
  <c r="R407" i="5" s="1"/>
  <c r="F407" i="5"/>
  <c r="E407" i="5"/>
  <c r="Q406" i="5"/>
  <c r="P406" i="5"/>
  <c r="R406" i="5" s="1"/>
  <c r="F406" i="5"/>
  <c r="E406" i="5"/>
  <c r="Q405" i="5"/>
  <c r="P405" i="5"/>
  <c r="R405" i="5" s="1"/>
  <c r="F405" i="5"/>
  <c r="E405" i="5"/>
  <c r="Q404" i="5"/>
  <c r="P404" i="5"/>
  <c r="R404" i="5" s="1"/>
  <c r="F404" i="5"/>
  <c r="E404" i="5"/>
  <c r="Q403" i="5"/>
  <c r="P403" i="5"/>
  <c r="R403" i="5" s="1"/>
  <c r="F403" i="5"/>
  <c r="E403" i="5"/>
  <c r="Q402" i="5"/>
  <c r="P402" i="5"/>
  <c r="R402" i="5" s="1"/>
  <c r="F402" i="5"/>
  <c r="E402" i="5"/>
  <c r="Q401" i="5"/>
  <c r="P401" i="5"/>
  <c r="R401" i="5" s="1"/>
  <c r="F401" i="5"/>
  <c r="E401" i="5"/>
  <c r="Q400" i="5"/>
  <c r="P400" i="5"/>
  <c r="R400" i="5" s="1"/>
  <c r="F400" i="5"/>
  <c r="E400" i="5"/>
  <c r="Q399" i="5"/>
  <c r="P399" i="5"/>
  <c r="R399" i="5" s="1"/>
  <c r="F399" i="5"/>
  <c r="E399" i="5"/>
  <c r="Q398" i="5"/>
  <c r="P398" i="5"/>
  <c r="R398" i="5" s="1"/>
  <c r="F398" i="5"/>
  <c r="E398" i="5"/>
  <c r="Q397" i="5"/>
  <c r="P397" i="5"/>
  <c r="R397" i="5" s="1"/>
  <c r="F397" i="5"/>
  <c r="E397" i="5"/>
  <c r="Q396" i="5"/>
  <c r="P396" i="5"/>
  <c r="R396" i="5" s="1"/>
  <c r="F396" i="5"/>
  <c r="E396" i="5"/>
  <c r="Q395" i="5"/>
  <c r="P395" i="5"/>
  <c r="R395" i="5" s="1"/>
  <c r="F395" i="5"/>
  <c r="E395" i="5"/>
  <c r="Q394" i="5"/>
  <c r="P394" i="5"/>
  <c r="R394" i="5" s="1"/>
  <c r="F394" i="5"/>
  <c r="E394" i="5"/>
  <c r="Q393" i="5"/>
  <c r="P393" i="5"/>
  <c r="R393" i="5" s="1"/>
  <c r="F393" i="5"/>
  <c r="E393" i="5"/>
  <c r="Q392" i="5"/>
  <c r="P392" i="5"/>
  <c r="R392" i="5" s="1"/>
  <c r="F392" i="5"/>
  <c r="E392" i="5"/>
  <c r="Q391" i="5"/>
  <c r="P391" i="5"/>
  <c r="R391" i="5" s="1"/>
  <c r="F391" i="5"/>
  <c r="E391" i="5"/>
  <c r="Q390" i="5"/>
  <c r="P390" i="5"/>
  <c r="R390" i="5" s="1"/>
  <c r="F390" i="5"/>
  <c r="E390" i="5"/>
  <c r="Q389" i="5"/>
  <c r="P389" i="5"/>
  <c r="R389" i="5" s="1"/>
  <c r="F389" i="5"/>
  <c r="E389" i="5"/>
  <c r="Q388" i="5"/>
  <c r="P388" i="5"/>
  <c r="R388" i="5" s="1"/>
  <c r="F388" i="5"/>
  <c r="E388" i="5"/>
  <c r="Q387" i="5"/>
  <c r="P387" i="5"/>
  <c r="R387" i="5" s="1"/>
  <c r="F387" i="5"/>
  <c r="E387" i="5"/>
  <c r="Q386" i="5"/>
  <c r="P386" i="5"/>
  <c r="R386" i="5" s="1"/>
  <c r="F386" i="5"/>
  <c r="E386" i="5"/>
  <c r="Q385" i="5"/>
  <c r="P385" i="5"/>
  <c r="R385" i="5" s="1"/>
  <c r="F385" i="5"/>
  <c r="E385" i="5"/>
  <c r="Q384" i="5"/>
  <c r="P384" i="5"/>
  <c r="R384" i="5" s="1"/>
  <c r="F384" i="5"/>
  <c r="E384" i="5"/>
  <c r="Q383" i="5"/>
  <c r="P383" i="5"/>
  <c r="R383" i="5" s="1"/>
  <c r="F383" i="5"/>
  <c r="E383" i="5"/>
  <c r="Q382" i="5"/>
  <c r="P382" i="5"/>
  <c r="R382" i="5" s="1"/>
  <c r="F382" i="5"/>
  <c r="E382" i="5"/>
  <c r="Q381" i="5"/>
  <c r="P381" i="5"/>
  <c r="R381" i="5" s="1"/>
  <c r="F381" i="5"/>
  <c r="E381" i="5"/>
  <c r="Q380" i="5"/>
  <c r="P380" i="5"/>
  <c r="R380" i="5" s="1"/>
  <c r="F380" i="5"/>
  <c r="E380" i="5"/>
  <c r="Q379" i="5"/>
  <c r="P379" i="5"/>
  <c r="R379" i="5" s="1"/>
  <c r="F379" i="5"/>
  <c r="E379" i="5"/>
  <c r="Q378" i="5"/>
  <c r="P378" i="5"/>
  <c r="R378" i="5" s="1"/>
  <c r="F378" i="5"/>
  <c r="E378" i="5"/>
  <c r="Q377" i="5"/>
  <c r="P377" i="5"/>
  <c r="R377" i="5" s="1"/>
  <c r="F377" i="5"/>
  <c r="E377" i="5"/>
  <c r="Q376" i="5"/>
  <c r="P376" i="5"/>
  <c r="R376" i="5" s="1"/>
  <c r="F376" i="5"/>
  <c r="E376" i="5"/>
  <c r="Q375" i="5"/>
  <c r="P375" i="5"/>
  <c r="R375" i="5" s="1"/>
  <c r="F375" i="5"/>
  <c r="E375" i="5"/>
  <c r="Q374" i="5"/>
  <c r="P374" i="5"/>
  <c r="R374" i="5" s="1"/>
  <c r="F374" i="5"/>
  <c r="E374" i="5"/>
  <c r="Q373" i="5"/>
  <c r="P373" i="5"/>
  <c r="R373" i="5" s="1"/>
  <c r="F373" i="5"/>
  <c r="E373" i="5"/>
  <c r="Q372" i="5"/>
  <c r="P372" i="5"/>
  <c r="R372" i="5" s="1"/>
  <c r="F372" i="5"/>
  <c r="E372" i="5"/>
  <c r="Q371" i="5"/>
  <c r="P371" i="5"/>
  <c r="R371" i="5" s="1"/>
  <c r="F371" i="5"/>
  <c r="E371" i="5"/>
  <c r="Q370" i="5"/>
  <c r="P370" i="5"/>
  <c r="R370" i="5" s="1"/>
  <c r="F370" i="5"/>
  <c r="E370" i="5"/>
  <c r="Q369" i="5"/>
  <c r="P369" i="5"/>
  <c r="R369" i="5" s="1"/>
  <c r="F369" i="5"/>
  <c r="E369" i="5"/>
  <c r="Q368" i="5"/>
  <c r="P368" i="5"/>
  <c r="R368" i="5" s="1"/>
  <c r="F368" i="5"/>
  <c r="E368" i="5"/>
  <c r="Q367" i="5"/>
  <c r="P367" i="5"/>
  <c r="R367" i="5" s="1"/>
  <c r="F367" i="5"/>
  <c r="E367" i="5"/>
  <c r="Q366" i="5"/>
  <c r="P366" i="5"/>
  <c r="R366" i="5" s="1"/>
  <c r="F366" i="5"/>
  <c r="E366" i="5"/>
  <c r="Q365" i="5"/>
  <c r="P365" i="5"/>
  <c r="R365" i="5" s="1"/>
  <c r="F365" i="5"/>
  <c r="E365" i="5"/>
  <c r="Q364" i="5"/>
  <c r="P364" i="5"/>
  <c r="R364" i="5" s="1"/>
  <c r="F364" i="5"/>
  <c r="E364" i="5"/>
  <c r="Q363" i="5"/>
  <c r="P363" i="5"/>
  <c r="R363" i="5" s="1"/>
  <c r="F363" i="5"/>
  <c r="E363" i="5"/>
  <c r="Q362" i="5"/>
  <c r="P362" i="5"/>
  <c r="R362" i="5" s="1"/>
  <c r="F362" i="5"/>
  <c r="E362" i="5"/>
  <c r="Q361" i="5"/>
  <c r="P361" i="5"/>
  <c r="R361" i="5" s="1"/>
  <c r="F361" i="5"/>
  <c r="E361" i="5"/>
  <c r="Q360" i="5"/>
  <c r="P360" i="5"/>
  <c r="R360" i="5" s="1"/>
  <c r="F360" i="5"/>
  <c r="E360" i="5"/>
  <c r="Q359" i="5"/>
  <c r="P359" i="5"/>
  <c r="R359" i="5" s="1"/>
  <c r="F359" i="5"/>
  <c r="E359" i="5"/>
  <c r="Q358" i="5"/>
  <c r="P358" i="5"/>
  <c r="R358" i="5" s="1"/>
  <c r="F358" i="5"/>
  <c r="E358" i="5"/>
  <c r="Q357" i="5"/>
  <c r="P357" i="5"/>
  <c r="R357" i="5" s="1"/>
  <c r="F357" i="5"/>
  <c r="E357" i="5"/>
  <c r="Q356" i="5"/>
  <c r="P356" i="5"/>
  <c r="R356" i="5" s="1"/>
  <c r="F356" i="5"/>
  <c r="E356" i="5"/>
  <c r="Q355" i="5"/>
  <c r="P355" i="5"/>
  <c r="R355" i="5" s="1"/>
  <c r="F355" i="5"/>
  <c r="E355" i="5"/>
  <c r="Q354" i="5"/>
  <c r="P354" i="5"/>
  <c r="R354" i="5" s="1"/>
  <c r="F354" i="5"/>
  <c r="E354" i="5"/>
  <c r="Q353" i="5"/>
  <c r="P353" i="5"/>
  <c r="R353" i="5" s="1"/>
  <c r="F353" i="5"/>
  <c r="E353" i="5"/>
  <c r="Q352" i="5"/>
  <c r="P352" i="5"/>
  <c r="R352" i="5" s="1"/>
  <c r="F352" i="5"/>
  <c r="E352" i="5"/>
  <c r="Q351" i="5"/>
  <c r="P351" i="5"/>
  <c r="R351" i="5" s="1"/>
  <c r="F351" i="5"/>
  <c r="E351" i="5"/>
  <c r="Q350" i="5"/>
  <c r="P350" i="5"/>
  <c r="R350" i="5" s="1"/>
  <c r="F350" i="5"/>
  <c r="E350" i="5"/>
  <c r="Q349" i="5"/>
  <c r="P349" i="5"/>
  <c r="R349" i="5" s="1"/>
  <c r="N349" i="5"/>
  <c r="F349" i="5"/>
  <c r="K349" i="5" s="1"/>
  <c r="E349" i="5"/>
  <c r="Q348" i="5"/>
  <c r="P348" i="5"/>
  <c r="R348" i="5" s="1"/>
  <c r="F348" i="5"/>
  <c r="E348" i="5"/>
  <c r="Q347" i="5"/>
  <c r="P347" i="5"/>
  <c r="R347" i="5" s="1"/>
  <c r="F347" i="5"/>
  <c r="E347" i="5"/>
  <c r="Q346" i="5"/>
  <c r="P346" i="5"/>
  <c r="R346" i="5" s="1"/>
  <c r="F346" i="5"/>
  <c r="E346" i="5"/>
  <c r="Q345" i="5"/>
  <c r="P345" i="5"/>
  <c r="R345" i="5" s="1"/>
  <c r="F345" i="5"/>
  <c r="E345" i="5"/>
  <c r="Q344" i="5"/>
  <c r="P344" i="5"/>
  <c r="R344" i="5" s="1"/>
  <c r="F344" i="5"/>
  <c r="E344" i="5"/>
  <c r="Q343" i="5"/>
  <c r="P343" i="5"/>
  <c r="R343" i="5" s="1"/>
  <c r="F343" i="5"/>
  <c r="E343" i="5"/>
  <c r="Q342" i="5"/>
  <c r="P342" i="5"/>
  <c r="R342" i="5" s="1"/>
  <c r="F342" i="5"/>
  <c r="E342" i="5"/>
  <c r="Q341" i="5"/>
  <c r="P341" i="5"/>
  <c r="R341" i="5" s="1"/>
  <c r="F341" i="5"/>
  <c r="E341" i="5"/>
  <c r="Q340" i="5"/>
  <c r="P340" i="5"/>
  <c r="R340" i="5" s="1"/>
  <c r="F340" i="5"/>
  <c r="E340" i="5"/>
  <c r="Q339" i="5"/>
  <c r="P339" i="5"/>
  <c r="R339" i="5" s="1"/>
  <c r="F339" i="5"/>
  <c r="E339" i="5"/>
  <c r="Q338" i="5"/>
  <c r="P338" i="5"/>
  <c r="R338" i="5" s="1"/>
  <c r="F338" i="5"/>
  <c r="E338" i="5"/>
  <c r="Q337" i="5"/>
  <c r="P337" i="5"/>
  <c r="R337" i="5" s="1"/>
  <c r="F337" i="5"/>
  <c r="E337" i="5"/>
  <c r="Q336" i="5"/>
  <c r="P336" i="5"/>
  <c r="R336" i="5" s="1"/>
  <c r="F336" i="5"/>
  <c r="E336" i="5"/>
  <c r="Q335" i="5"/>
  <c r="P335" i="5"/>
  <c r="R335" i="5" s="1"/>
  <c r="F335" i="5"/>
  <c r="E335" i="5"/>
  <c r="Q334" i="5"/>
  <c r="P334" i="5"/>
  <c r="R334" i="5" s="1"/>
  <c r="F334" i="5"/>
  <c r="E334" i="5"/>
  <c r="Q333" i="5"/>
  <c r="P333" i="5"/>
  <c r="R333" i="5" s="1"/>
  <c r="F333" i="5"/>
  <c r="E333" i="5"/>
  <c r="Q332" i="5"/>
  <c r="P332" i="5"/>
  <c r="R332" i="5" s="1"/>
  <c r="F332" i="5"/>
  <c r="E332" i="5"/>
  <c r="Q331" i="5"/>
  <c r="P331" i="5"/>
  <c r="R331" i="5" s="1"/>
  <c r="F331" i="5"/>
  <c r="E331" i="5"/>
  <c r="Q330" i="5"/>
  <c r="P330" i="5"/>
  <c r="R330" i="5" s="1"/>
  <c r="F330" i="5"/>
  <c r="E330" i="5"/>
  <c r="Q329" i="5"/>
  <c r="P329" i="5"/>
  <c r="R329" i="5" s="1"/>
  <c r="F329" i="5"/>
  <c r="E329" i="5"/>
  <c r="Q328" i="5"/>
  <c r="P328" i="5"/>
  <c r="R328" i="5" s="1"/>
  <c r="F328" i="5"/>
  <c r="E328" i="5"/>
  <c r="Q327" i="5"/>
  <c r="P327" i="5"/>
  <c r="R327" i="5" s="1"/>
  <c r="F327" i="5"/>
  <c r="E327" i="5"/>
  <c r="Q326" i="5"/>
  <c r="P326" i="5"/>
  <c r="R326" i="5" s="1"/>
  <c r="F326" i="5"/>
  <c r="E326" i="5"/>
  <c r="Q325" i="5"/>
  <c r="P325" i="5"/>
  <c r="R325" i="5" s="1"/>
  <c r="F325" i="5"/>
  <c r="E325" i="5"/>
  <c r="Q324" i="5"/>
  <c r="P324" i="5"/>
  <c r="R324" i="5" s="1"/>
  <c r="F324" i="5"/>
  <c r="E324" i="5"/>
  <c r="Q323" i="5"/>
  <c r="P323" i="5"/>
  <c r="R323" i="5" s="1"/>
  <c r="F323" i="5"/>
  <c r="E323" i="5"/>
  <c r="Q322" i="5"/>
  <c r="P322" i="5"/>
  <c r="R322" i="5" s="1"/>
  <c r="F322" i="5"/>
  <c r="E322" i="5"/>
  <c r="Q321" i="5"/>
  <c r="P321" i="5"/>
  <c r="R321" i="5" s="1"/>
  <c r="F321" i="5"/>
  <c r="E321" i="5"/>
  <c r="Q320" i="5"/>
  <c r="P320" i="5"/>
  <c r="R320" i="5" s="1"/>
  <c r="F320" i="5"/>
  <c r="E320" i="5"/>
  <c r="Q319" i="5"/>
  <c r="P319" i="5"/>
  <c r="R319" i="5" s="1"/>
  <c r="F319" i="5"/>
  <c r="E319" i="5"/>
  <c r="Q318" i="5"/>
  <c r="P318" i="5"/>
  <c r="R318" i="5" s="1"/>
  <c r="F318" i="5"/>
  <c r="E318" i="5"/>
  <c r="Q317" i="5"/>
  <c r="P317" i="5"/>
  <c r="R317" i="5" s="1"/>
  <c r="F317" i="5"/>
  <c r="E317" i="5"/>
  <c r="Q316" i="5"/>
  <c r="P316" i="5"/>
  <c r="R316" i="5" s="1"/>
  <c r="F316" i="5"/>
  <c r="E316" i="5"/>
  <c r="Q315" i="5"/>
  <c r="P315" i="5"/>
  <c r="R315" i="5" s="1"/>
  <c r="F315" i="5"/>
  <c r="E315" i="5"/>
  <c r="Q314" i="5"/>
  <c r="P314" i="5"/>
  <c r="R314" i="5" s="1"/>
  <c r="F314" i="5"/>
  <c r="E314" i="5"/>
  <c r="Q313" i="5"/>
  <c r="P313" i="5"/>
  <c r="R313" i="5" s="1"/>
  <c r="F313" i="5"/>
  <c r="E313" i="5"/>
  <c r="Q312" i="5"/>
  <c r="P312" i="5"/>
  <c r="R312" i="5" s="1"/>
  <c r="F312" i="5"/>
  <c r="E312" i="5"/>
  <c r="Q311" i="5"/>
  <c r="P311" i="5"/>
  <c r="R311" i="5" s="1"/>
  <c r="F311" i="5"/>
  <c r="E311" i="5"/>
  <c r="Q310" i="5"/>
  <c r="P310" i="5"/>
  <c r="R310" i="5" s="1"/>
  <c r="F310" i="5"/>
  <c r="E310" i="5"/>
  <c r="Q309" i="5"/>
  <c r="P309" i="5"/>
  <c r="R309" i="5" s="1"/>
  <c r="F309" i="5"/>
  <c r="E309" i="5"/>
  <c r="Q308" i="5"/>
  <c r="P308" i="5"/>
  <c r="R308" i="5" s="1"/>
  <c r="F308" i="5"/>
  <c r="E308" i="5"/>
  <c r="Q307" i="5"/>
  <c r="P307" i="5"/>
  <c r="R307" i="5" s="1"/>
  <c r="F307" i="5"/>
  <c r="E307" i="5"/>
  <c r="Q306" i="5"/>
  <c r="P306" i="5"/>
  <c r="R306" i="5" s="1"/>
  <c r="F306" i="5"/>
  <c r="E306" i="5"/>
  <c r="Q305" i="5"/>
  <c r="P305" i="5"/>
  <c r="R305" i="5" s="1"/>
  <c r="F305" i="5"/>
  <c r="E305" i="5"/>
  <c r="Q304" i="5"/>
  <c r="P304" i="5"/>
  <c r="R304" i="5" s="1"/>
  <c r="F304" i="5"/>
  <c r="E304" i="5"/>
  <c r="Q303" i="5"/>
  <c r="P303" i="5"/>
  <c r="R303" i="5" s="1"/>
  <c r="F303" i="5"/>
  <c r="E303" i="5"/>
  <c r="Q302" i="5"/>
  <c r="P302" i="5"/>
  <c r="R302" i="5" s="1"/>
  <c r="F302" i="5"/>
  <c r="E302" i="5"/>
  <c r="Q301" i="5"/>
  <c r="P301" i="5"/>
  <c r="R301" i="5" s="1"/>
  <c r="F301" i="5"/>
  <c r="E301" i="5"/>
  <c r="Q300" i="5"/>
  <c r="P300" i="5"/>
  <c r="R300" i="5" s="1"/>
  <c r="F300" i="5"/>
  <c r="E300" i="5"/>
  <c r="Q299" i="5"/>
  <c r="P299" i="5"/>
  <c r="R299" i="5" s="1"/>
  <c r="F299" i="5"/>
  <c r="E299" i="5"/>
  <c r="Q298" i="5"/>
  <c r="P298" i="5"/>
  <c r="R298" i="5" s="1"/>
  <c r="F298" i="5"/>
  <c r="E298" i="5"/>
  <c r="Q297" i="5"/>
  <c r="P297" i="5"/>
  <c r="R297" i="5" s="1"/>
  <c r="F297" i="5"/>
  <c r="E297" i="5"/>
  <c r="Q296" i="5"/>
  <c r="P296" i="5"/>
  <c r="R296" i="5" s="1"/>
  <c r="F296" i="5"/>
  <c r="E296" i="5"/>
  <c r="Q295" i="5"/>
  <c r="P295" i="5"/>
  <c r="R295" i="5" s="1"/>
  <c r="F295" i="5"/>
  <c r="E295" i="5"/>
  <c r="Q294" i="5"/>
  <c r="P294" i="5"/>
  <c r="R294" i="5" s="1"/>
  <c r="F294" i="5"/>
  <c r="E294" i="5"/>
  <c r="Q293" i="5"/>
  <c r="P293" i="5"/>
  <c r="R293" i="5" s="1"/>
  <c r="F293" i="5"/>
  <c r="E293" i="5"/>
  <c r="Q292" i="5"/>
  <c r="P292" i="5"/>
  <c r="R292" i="5" s="1"/>
  <c r="F292" i="5"/>
  <c r="E292" i="5"/>
  <c r="Q291" i="5"/>
  <c r="P291" i="5"/>
  <c r="R291" i="5" s="1"/>
  <c r="F291" i="5"/>
  <c r="E291" i="5"/>
  <c r="Q290" i="5"/>
  <c r="P290" i="5"/>
  <c r="R290" i="5" s="1"/>
  <c r="F290" i="5"/>
  <c r="E290" i="5"/>
  <c r="Q289" i="5"/>
  <c r="P289" i="5"/>
  <c r="R289" i="5" s="1"/>
  <c r="F289" i="5"/>
  <c r="E289" i="5"/>
  <c r="Q288" i="5"/>
  <c r="P288" i="5"/>
  <c r="R288" i="5" s="1"/>
  <c r="F288" i="5"/>
  <c r="E288" i="5"/>
  <c r="Q287" i="5"/>
  <c r="P287" i="5"/>
  <c r="R287" i="5" s="1"/>
  <c r="F287" i="5"/>
  <c r="E287" i="5"/>
  <c r="Q286" i="5"/>
  <c r="P286" i="5"/>
  <c r="R286" i="5" s="1"/>
  <c r="F286" i="5"/>
  <c r="E286" i="5"/>
  <c r="Q285" i="5"/>
  <c r="P285" i="5"/>
  <c r="R285" i="5" s="1"/>
  <c r="F285" i="5"/>
  <c r="E285" i="5"/>
  <c r="Q284" i="5"/>
  <c r="P284" i="5"/>
  <c r="R284" i="5" s="1"/>
  <c r="F284" i="5"/>
  <c r="E284" i="5"/>
  <c r="Q283" i="5"/>
  <c r="P283" i="5"/>
  <c r="R283" i="5" s="1"/>
  <c r="F283" i="5"/>
  <c r="E283" i="5"/>
  <c r="Q282" i="5"/>
  <c r="P282" i="5"/>
  <c r="R282" i="5" s="1"/>
  <c r="F282" i="5"/>
  <c r="E282" i="5"/>
  <c r="Q281" i="5"/>
  <c r="P281" i="5"/>
  <c r="R281" i="5" s="1"/>
  <c r="F281" i="5"/>
  <c r="E281" i="5"/>
  <c r="Q280" i="5"/>
  <c r="P280" i="5"/>
  <c r="R280" i="5" s="1"/>
  <c r="F280" i="5"/>
  <c r="E280" i="5"/>
  <c r="Q279" i="5"/>
  <c r="P279" i="5"/>
  <c r="R279" i="5" s="1"/>
  <c r="F279" i="5"/>
  <c r="E279" i="5"/>
  <c r="Q278" i="5"/>
  <c r="P278" i="5"/>
  <c r="R278" i="5" s="1"/>
  <c r="F278" i="5"/>
  <c r="E278" i="5"/>
  <c r="Q277" i="5"/>
  <c r="P277" i="5"/>
  <c r="R277" i="5" s="1"/>
  <c r="F277" i="5"/>
  <c r="E277" i="5"/>
  <c r="Q276" i="5"/>
  <c r="P276" i="5"/>
  <c r="R276" i="5" s="1"/>
  <c r="F276" i="5"/>
  <c r="E276" i="5"/>
  <c r="Q275" i="5"/>
  <c r="P275" i="5"/>
  <c r="R275" i="5" s="1"/>
  <c r="F275" i="5"/>
  <c r="E275" i="5"/>
  <c r="Q274" i="5"/>
  <c r="P274" i="5"/>
  <c r="R274" i="5" s="1"/>
  <c r="F274" i="5"/>
  <c r="E274" i="5"/>
  <c r="Q273" i="5"/>
  <c r="P273" i="5"/>
  <c r="R273" i="5" s="1"/>
  <c r="F273" i="5"/>
  <c r="E273" i="5"/>
  <c r="Q272" i="5"/>
  <c r="P272" i="5"/>
  <c r="R272" i="5" s="1"/>
  <c r="F272" i="5"/>
  <c r="E272" i="5"/>
  <c r="Q271" i="5"/>
  <c r="P271" i="5"/>
  <c r="R271" i="5" s="1"/>
  <c r="F271" i="5"/>
  <c r="E271" i="5"/>
  <c r="Q270" i="5"/>
  <c r="P270" i="5"/>
  <c r="R270" i="5" s="1"/>
  <c r="F270" i="5"/>
  <c r="E270" i="5"/>
  <c r="Q269" i="5"/>
  <c r="P269" i="5"/>
  <c r="R269" i="5" s="1"/>
  <c r="F269" i="5"/>
  <c r="E269" i="5"/>
  <c r="Q268" i="5"/>
  <c r="P268" i="5"/>
  <c r="R268" i="5" s="1"/>
  <c r="F268" i="5"/>
  <c r="E268" i="5"/>
  <c r="Q267" i="5"/>
  <c r="P267" i="5"/>
  <c r="R267" i="5" s="1"/>
  <c r="F267" i="5"/>
  <c r="E267" i="5"/>
  <c r="Q266" i="5"/>
  <c r="P266" i="5"/>
  <c r="R266" i="5" s="1"/>
  <c r="F266" i="5"/>
  <c r="E266" i="5"/>
  <c r="Q265" i="5"/>
  <c r="P265" i="5"/>
  <c r="R265" i="5" s="1"/>
  <c r="F265" i="5"/>
  <c r="E265" i="5"/>
  <c r="Q264" i="5"/>
  <c r="P264" i="5"/>
  <c r="R264" i="5" s="1"/>
  <c r="F264" i="5"/>
  <c r="E264" i="5"/>
  <c r="Q263" i="5"/>
  <c r="P263" i="5"/>
  <c r="R263" i="5" s="1"/>
  <c r="F263" i="5"/>
  <c r="E263" i="5"/>
  <c r="Q262" i="5"/>
  <c r="P262" i="5"/>
  <c r="R262" i="5" s="1"/>
  <c r="F262" i="5"/>
  <c r="E262" i="5"/>
  <c r="Q261" i="5"/>
  <c r="P261" i="5"/>
  <c r="R261" i="5" s="1"/>
  <c r="F261" i="5"/>
  <c r="E261" i="5"/>
  <c r="Q260" i="5"/>
  <c r="P260" i="5"/>
  <c r="R260" i="5" s="1"/>
  <c r="F260" i="5"/>
  <c r="E260" i="5"/>
  <c r="Q259" i="5"/>
  <c r="P259" i="5"/>
  <c r="R259" i="5" s="1"/>
  <c r="F259" i="5"/>
  <c r="E259" i="5"/>
  <c r="Q258" i="5"/>
  <c r="P258" i="5"/>
  <c r="R258" i="5" s="1"/>
  <c r="F258" i="5"/>
  <c r="E258" i="5"/>
  <c r="Q257" i="5"/>
  <c r="P257" i="5"/>
  <c r="R257" i="5" s="1"/>
  <c r="F257" i="5"/>
  <c r="E257" i="5"/>
  <c r="Q256" i="5"/>
  <c r="P256" i="5"/>
  <c r="R256" i="5" s="1"/>
  <c r="F256" i="5"/>
  <c r="E256" i="5"/>
  <c r="Q255" i="5"/>
  <c r="P255" i="5"/>
  <c r="R255" i="5" s="1"/>
  <c r="F255" i="5"/>
  <c r="E255" i="5"/>
  <c r="Q254" i="5"/>
  <c r="P254" i="5"/>
  <c r="R254" i="5" s="1"/>
  <c r="F254" i="5"/>
  <c r="E254" i="5"/>
  <c r="Q253" i="5"/>
  <c r="P253" i="5"/>
  <c r="R253" i="5" s="1"/>
  <c r="F253" i="5"/>
  <c r="E253" i="5"/>
  <c r="Q252" i="5"/>
  <c r="P252" i="5"/>
  <c r="R252" i="5" s="1"/>
  <c r="F252" i="5"/>
  <c r="E252" i="5"/>
  <c r="Q251" i="5"/>
  <c r="P251" i="5"/>
  <c r="R251" i="5" s="1"/>
  <c r="F251" i="5"/>
  <c r="E251" i="5"/>
  <c r="Q250" i="5"/>
  <c r="P250" i="5"/>
  <c r="R250" i="5" s="1"/>
  <c r="F250" i="5"/>
  <c r="E250" i="5"/>
  <c r="Q249" i="5"/>
  <c r="P249" i="5"/>
  <c r="R249" i="5" s="1"/>
  <c r="F249" i="5"/>
  <c r="E249" i="5"/>
  <c r="Q248" i="5"/>
  <c r="P248" i="5"/>
  <c r="R248" i="5" s="1"/>
  <c r="F248" i="5"/>
  <c r="E248" i="5"/>
  <c r="Q247" i="5"/>
  <c r="P247" i="5"/>
  <c r="R247" i="5" s="1"/>
  <c r="F247" i="5"/>
  <c r="E247" i="5"/>
  <c r="Q246" i="5"/>
  <c r="P246" i="5"/>
  <c r="R246" i="5" s="1"/>
  <c r="F246" i="5"/>
  <c r="E246" i="5"/>
  <c r="Q245" i="5"/>
  <c r="P245" i="5"/>
  <c r="R245" i="5" s="1"/>
  <c r="F245" i="5"/>
  <c r="E245" i="5"/>
  <c r="Q244" i="5"/>
  <c r="P244" i="5"/>
  <c r="R244" i="5" s="1"/>
  <c r="F244" i="5"/>
  <c r="E244" i="5"/>
  <c r="Q243" i="5"/>
  <c r="P243" i="5"/>
  <c r="R243" i="5" s="1"/>
  <c r="F243" i="5"/>
  <c r="E243" i="5"/>
  <c r="Q242" i="5"/>
  <c r="P242" i="5"/>
  <c r="R242" i="5" s="1"/>
  <c r="F242" i="5"/>
  <c r="E242" i="5"/>
  <c r="Q241" i="5"/>
  <c r="P241" i="5"/>
  <c r="R241" i="5" s="1"/>
  <c r="F241" i="5"/>
  <c r="E241" i="5"/>
  <c r="Q240" i="5"/>
  <c r="P240" i="5"/>
  <c r="R240" i="5" s="1"/>
  <c r="F240" i="5"/>
  <c r="E240" i="5"/>
  <c r="Q239" i="5"/>
  <c r="P239" i="5"/>
  <c r="R239" i="5" s="1"/>
  <c r="F239" i="5"/>
  <c r="E239" i="5"/>
  <c r="Q238" i="5"/>
  <c r="P238" i="5"/>
  <c r="R238" i="5" s="1"/>
  <c r="F238" i="5"/>
  <c r="E238" i="5"/>
  <c r="Q237" i="5"/>
  <c r="P237" i="5"/>
  <c r="R237" i="5" s="1"/>
  <c r="F237" i="5"/>
  <c r="E237" i="5"/>
  <c r="Q236" i="5"/>
  <c r="P236" i="5"/>
  <c r="R236" i="5" s="1"/>
  <c r="F236" i="5"/>
  <c r="E236" i="5"/>
  <c r="Q235" i="5"/>
  <c r="P235" i="5"/>
  <c r="R235" i="5" s="1"/>
  <c r="F235" i="5"/>
  <c r="E235" i="5"/>
  <c r="Q234" i="5"/>
  <c r="P234" i="5"/>
  <c r="R234" i="5" s="1"/>
  <c r="F234" i="5"/>
  <c r="E234" i="5"/>
  <c r="Q233" i="5"/>
  <c r="P233" i="5"/>
  <c r="R233" i="5" s="1"/>
  <c r="F233" i="5"/>
  <c r="E233" i="5"/>
  <c r="Q232" i="5"/>
  <c r="P232" i="5"/>
  <c r="R232" i="5" s="1"/>
  <c r="F232" i="5"/>
  <c r="E232" i="5"/>
  <c r="Q231" i="5"/>
  <c r="P231" i="5"/>
  <c r="R231" i="5" s="1"/>
  <c r="F231" i="5"/>
  <c r="E231" i="5"/>
  <c r="Q230" i="5"/>
  <c r="P230" i="5"/>
  <c r="R230" i="5" s="1"/>
  <c r="F230" i="5"/>
  <c r="E230" i="5"/>
  <c r="Q229" i="5"/>
  <c r="P229" i="5"/>
  <c r="R229" i="5" s="1"/>
  <c r="F229" i="5"/>
  <c r="E229" i="5"/>
  <c r="Q228" i="5"/>
  <c r="P228" i="5"/>
  <c r="R228" i="5" s="1"/>
  <c r="F228" i="5"/>
  <c r="E228" i="5"/>
  <c r="Q227" i="5"/>
  <c r="P227" i="5"/>
  <c r="R227" i="5" s="1"/>
  <c r="F227" i="5"/>
  <c r="E227" i="5"/>
  <c r="Q226" i="5"/>
  <c r="P226" i="5"/>
  <c r="R226" i="5" s="1"/>
  <c r="F226" i="5"/>
  <c r="E226" i="5"/>
  <c r="Q225" i="5"/>
  <c r="P225" i="5"/>
  <c r="R225" i="5" s="1"/>
  <c r="F225" i="5"/>
  <c r="E225" i="5"/>
  <c r="Q224" i="5"/>
  <c r="P224" i="5"/>
  <c r="R224" i="5" s="1"/>
  <c r="F224" i="5"/>
  <c r="E224" i="5"/>
  <c r="Q223" i="5"/>
  <c r="P223" i="5"/>
  <c r="R223" i="5" s="1"/>
  <c r="F223" i="5"/>
  <c r="E223" i="5"/>
  <c r="Q222" i="5"/>
  <c r="P222" i="5"/>
  <c r="R222" i="5" s="1"/>
  <c r="F222" i="5"/>
  <c r="E222" i="5"/>
  <c r="Q221" i="5"/>
  <c r="P221" i="5"/>
  <c r="R221" i="5" s="1"/>
  <c r="F221" i="5"/>
  <c r="E221" i="5"/>
  <c r="Q220" i="5"/>
  <c r="P220" i="5"/>
  <c r="R220" i="5" s="1"/>
  <c r="F220" i="5"/>
  <c r="E220" i="5"/>
  <c r="Q219" i="5"/>
  <c r="P219" i="5"/>
  <c r="R219" i="5" s="1"/>
  <c r="F219" i="5"/>
  <c r="E219" i="5"/>
  <c r="Q218" i="5"/>
  <c r="P218" i="5"/>
  <c r="R218" i="5" s="1"/>
  <c r="F218" i="5"/>
  <c r="E218" i="5"/>
  <c r="Q217" i="5"/>
  <c r="P217" i="5"/>
  <c r="R217" i="5" s="1"/>
  <c r="F217" i="5"/>
  <c r="E217" i="5"/>
  <c r="Q216" i="5"/>
  <c r="P216" i="5"/>
  <c r="R216" i="5" s="1"/>
  <c r="F216" i="5"/>
  <c r="E216" i="5"/>
  <c r="Q215" i="5"/>
  <c r="P215" i="5"/>
  <c r="R215" i="5" s="1"/>
  <c r="F215" i="5"/>
  <c r="E215" i="5"/>
  <c r="Q214" i="5"/>
  <c r="P214" i="5"/>
  <c r="R214" i="5" s="1"/>
  <c r="F214" i="5"/>
  <c r="E214" i="5"/>
  <c r="Q213" i="5"/>
  <c r="P213" i="5"/>
  <c r="R213" i="5" s="1"/>
  <c r="F213" i="5"/>
  <c r="E213" i="5"/>
  <c r="Q212" i="5"/>
  <c r="P212" i="5"/>
  <c r="R212" i="5" s="1"/>
  <c r="F212" i="5"/>
  <c r="E212" i="5"/>
  <c r="Q211" i="5"/>
  <c r="P211" i="5"/>
  <c r="R211" i="5" s="1"/>
  <c r="F211" i="5"/>
  <c r="E211" i="5"/>
  <c r="Q210" i="5"/>
  <c r="P210" i="5"/>
  <c r="R210" i="5" s="1"/>
  <c r="F210" i="5"/>
  <c r="E210" i="5"/>
  <c r="Q209" i="5"/>
  <c r="P209" i="5"/>
  <c r="R209" i="5" s="1"/>
  <c r="F209" i="5"/>
  <c r="E209" i="5"/>
  <c r="Q208" i="5"/>
  <c r="P208" i="5"/>
  <c r="R208" i="5" s="1"/>
  <c r="F208" i="5"/>
  <c r="E208" i="5"/>
  <c r="Q207" i="5"/>
  <c r="P207" i="5"/>
  <c r="R207" i="5" s="1"/>
  <c r="F207" i="5"/>
  <c r="E207" i="5"/>
  <c r="Q206" i="5"/>
  <c r="P206" i="5"/>
  <c r="R206" i="5" s="1"/>
  <c r="F206" i="5"/>
  <c r="E206" i="5"/>
  <c r="Q205" i="5"/>
  <c r="P205" i="5"/>
  <c r="R205" i="5" s="1"/>
  <c r="F205" i="5"/>
  <c r="E205" i="5"/>
  <c r="Q204" i="5"/>
  <c r="P204" i="5"/>
  <c r="R204" i="5" s="1"/>
  <c r="F204" i="5"/>
  <c r="E204" i="5"/>
  <c r="Q203" i="5"/>
  <c r="P203" i="5"/>
  <c r="R203" i="5" s="1"/>
  <c r="F203" i="5"/>
  <c r="E203" i="5"/>
  <c r="Q202" i="5"/>
  <c r="P202" i="5"/>
  <c r="R202" i="5" s="1"/>
  <c r="F202" i="5"/>
  <c r="E202" i="5"/>
  <c r="Q201" i="5"/>
  <c r="P201" i="5"/>
  <c r="R201" i="5" s="1"/>
  <c r="F201" i="5"/>
  <c r="E201" i="5"/>
  <c r="Q200" i="5"/>
  <c r="P200" i="5"/>
  <c r="R200" i="5" s="1"/>
  <c r="F200" i="5"/>
  <c r="E200" i="5"/>
  <c r="Q199" i="5"/>
  <c r="P199" i="5"/>
  <c r="R199" i="5" s="1"/>
  <c r="F199" i="5"/>
  <c r="E199" i="5"/>
  <c r="Q198" i="5"/>
  <c r="P198" i="5"/>
  <c r="R198" i="5" s="1"/>
  <c r="F198" i="5"/>
  <c r="E198" i="5"/>
  <c r="Q197" i="5"/>
  <c r="P197" i="5"/>
  <c r="R197" i="5" s="1"/>
  <c r="F197" i="5"/>
  <c r="E197" i="5"/>
  <c r="Q196" i="5"/>
  <c r="P196" i="5"/>
  <c r="R196" i="5" s="1"/>
  <c r="F196" i="5"/>
  <c r="E196" i="5"/>
  <c r="Q195" i="5"/>
  <c r="P195" i="5"/>
  <c r="R195" i="5" s="1"/>
  <c r="F195" i="5"/>
  <c r="E195" i="5"/>
  <c r="Q194" i="5"/>
  <c r="P194" i="5"/>
  <c r="R194" i="5" s="1"/>
  <c r="F194" i="5"/>
  <c r="E194" i="5"/>
  <c r="Q193" i="5"/>
  <c r="P193" i="5"/>
  <c r="R193" i="5" s="1"/>
  <c r="F193" i="5"/>
  <c r="E193" i="5"/>
  <c r="Q192" i="5"/>
  <c r="P192" i="5"/>
  <c r="R192" i="5" s="1"/>
  <c r="F192" i="5"/>
  <c r="E192" i="5"/>
  <c r="Q191" i="5"/>
  <c r="P191" i="5"/>
  <c r="R191" i="5" s="1"/>
  <c r="F191" i="5"/>
  <c r="E191" i="5"/>
  <c r="Q190" i="5"/>
  <c r="P190" i="5"/>
  <c r="R190" i="5" s="1"/>
  <c r="F190" i="5"/>
  <c r="E190" i="5"/>
  <c r="Q189" i="5"/>
  <c r="P189" i="5"/>
  <c r="R189" i="5" s="1"/>
  <c r="F189" i="5"/>
  <c r="E189" i="5"/>
  <c r="Q188" i="5"/>
  <c r="P188" i="5"/>
  <c r="R188" i="5" s="1"/>
  <c r="F188" i="5"/>
  <c r="E188" i="5"/>
  <c r="Q187" i="5"/>
  <c r="P187" i="5"/>
  <c r="R187" i="5" s="1"/>
  <c r="F187" i="5"/>
  <c r="E187" i="5"/>
  <c r="Q186" i="5"/>
  <c r="P186" i="5"/>
  <c r="R186" i="5" s="1"/>
  <c r="F186" i="5"/>
  <c r="E186" i="5"/>
  <c r="Q185" i="5"/>
  <c r="P185" i="5"/>
  <c r="R185" i="5" s="1"/>
  <c r="F185" i="5"/>
  <c r="E185" i="5"/>
  <c r="Q184" i="5"/>
  <c r="P184" i="5"/>
  <c r="R184" i="5" s="1"/>
  <c r="F184" i="5"/>
  <c r="E184" i="5"/>
  <c r="Q183" i="5"/>
  <c r="P183" i="5"/>
  <c r="R183" i="5" s="1"/>
  <c r="F183" i="5"/>
  <c r="E183" i="5"/>
  <c r="Q182" i="5"/>
  <c r="P182" i="5"/>
  <c r="R182" i="5" s="1"/>
  <c r="F182" i="5"/>
  <c r="E182" i="5"/>
  <c r="Q181" i="5"/>
  <c r="P181" i="5"/>
  <c r="R181" i="5" s="1"/>
  <c r="F181" i="5"/>
  <c r="E181" i="5"/>
  <c r="Q180" i="5"/>
  <c r="P180" i="5"/>
  <c r="R180" i="5" s="1"/>
  <c r="F180" i="5"/>
  <c r="E180" i="5"/>
  <c r="Q179" i="5"/>
  <c r="P179" i="5"/>
  <c r="R179" i="5" s="1"/>
  <c r="F179" i="5"/>
  <c r="E179" i="5"/>
  <c r="Q178" i="5"/>
  <c r="P178" i="5"/>
  <c r="R178" i="5" s="1"/>
  <c r="F178" i="5"/>
  <c r="E178" i="5"/>
  <c r="Q177" i="5"/>
  <c r="P177" i="5"/>
  <c r="R177" i="5" s="1"/>
  <c r="F177" i="5"/>
  <c r="E177" i="5"/>
  <c r="Q176" i="5"/>
  <c r="P176" i="5"/>
  <c r="R176" i="5" s="1"/>
  <c r="F176" i="5"/>
  <c r="E176" i="5"/>
  <c r="Q175" i="5"/>
  <c r="P175" i="5"/>
  <c r="R175" i="5" s="1"/>
  <c r="F175" i="5"/>
  <c r="E175" i="5"/>
  <c r="Q174" i="5"/>
  <c r="P174" i="5"/>
  <c r="R174" i="5" s="1"/>
  <c r="F174" i="5"/>
  <c r="E174" i="5"/>
  <c r="Q173" i="5"/>
  <c r="P173" i="5"/>
  <c r="R173" i="5" s="1"/>
  <c r="F173" i="5"/>
  <c r="E173" i="5"/>
  <c r="Q172" i="5"/>
  <c r="P172" i="5"/>
  <c r="R172" i="5" s="1"/>
  <c r="F172" i="5"/>
  <c r="E172" i="5"/>
  <c r="Q171" i="5"/>
  <c r="P171" i="5"/>
  <c r="R171" i="5" s="1"/>
  <c r="F171" i="5"/>
  <c r="E171" i="5"/>
  <c r="Q170" i="5"/>
  <c r="P170" i="5"/>
  <c r="R170" i="5" s="1"/>
  <c r="F170" i="5"/>
  <c r="E170" i="5"/>
  <c r="Q169" i="5"/>
  <c r="P169" i="5"/>
  <c r="R169" i="5" s="1"/>
  <c r="F169" i="5"/>
  <c r="E169" i="5"/>
  <c r="Q168" i="5"/>
  <c r="P168" i="5"/>
  <c r="R168" i="5" s="1"/>
  <c r="F168" i="5"/>
  <c r="E168" i="5"/>
  <c r="Q167" i="5"/>
  <c r="P167" i="5"/>
  <c r="R167" i="5" s="1"/>
  <c r="F167" i="5"/>
  <c r="E167" i="5"/>
  <c r="Q166" i="5"/>
  <c r="P166" i="5"/>
  <c r="R166" i="5" s="1"/>
  <c r="F166" i="5"/>
  <c r="E166" i="5"/>
  <c r="Q165" i="5"/>
  <c r="P165" i="5"/>
  <c r="R165" i="5" s="1"/>
  <c r="F165" i="5"/>
  <c r="E165" i="5"/>
  <c r="Q164" i="5"/>
  <c r="P164" i="5"/>
  <c r="R164" i="5" s="1"/>
  <c r="F164" i="5"/>
  <c r="E164" i="5"/>
  <c r="Q163" i="5"/>
  <c r="P163" i="5"/>
  <c r="R163" i="5" s="1"/>
  <c r="F163" i="5"/>
  <c r="E163" i="5"/>
  <c r="Q162" i="5"/>
  <c r="P162" i="5"/>
  <c r="R162" i="5" s="1"/>
  <c r="F162" i="5"/>
  <c r="E162" i="5"/>
  <c r="Q161" i="5"/>
  <c r="P161" i="5"/>
  <c r="R161" i="5" s="1"/>
  <c r="F161" i="5"/>
  <c r="E161" i="5"/>
  <c r="Q160" i="5"/>
  <c r="P160" i="5"/>
  <c r="R160" i="5" s="1"/>
  <c r="F160" i="5"/>
  <c r="E160" i="5"/>
  <c r="Q159" i="5"/>
  <c r="P159" i="5"/>
  <c r="R159" i="5" s="1"/>
  <c r="F159" i="5"/>
  <c r="E159" i="5"/>
  <c r="Q158" i="5"/>
  <c r="P158" i="5"/>
  <c r="R158" i="5" s="1"/>
  <c r="F158" i="5"/>
  <c r="E158" i="5"/>
  <c r="Q157" i="5"/>
  <c r="P157" i="5"/>
  <c r="R157" i="5" s="1"/>
  <c r="F157" i="5"/>
  <c r="E157" i="5"/>
  <c r="Q156" i="5"/>
  <c r="P156" i="5"/>
  <c r="R156" i="5" s="1"/>
  <c r="F156" i="5"/>
  <c r="E156" i="5"/>
  <c r="Q155" i="5"/>
  <c r="P155" i="5"/>
  <c r="R155" i="5" s="1"/>
  <c r="F155" i="5"/>
  <c r="E155" i="5"/>
  <c r="Q154" i="5"/>
  <c r="P154" i="5"/>
  <c r="R154" i="5" s="1"/>
  <c r="F154" i="5"/>
  <c r="E154" i="5"/>
  <c r="Q153" i="5"/>
  <c r="P153" i="5"/>
  <c r="R153" i="5" s="1"/>
  <c r="F153" i="5"/>
  <c r="E153" i="5"/>
  <c r="Q152" i="5"/>
  <c r="P152" i="5"/>
  <c r="R152" i="5" s="1"/>
  <c r="F152" i="5"/>
  <c r="E152" i="5"/>
  <c r="Q151" i="5"/>
  <c r="P151" i="5"/>
  <c r="R151" i="5" s="1"/>
  <c r="F151" i="5"/>
  <c r="E151" i="5"/>
  <c r="Q150" i="5"/>
  <c r="P150" i="5"/>
  <c r="R150" i="5" s="1"/>
  <c r="F150" i="5"/>
  <c r="E150" i="5"/>
  <c r="Q149" i="5"/>
  <c r="P149" i="5"/>
  <c r="R149" i="5" s="1"/>
  <c r="F149" i="5"/>
  <c r="E149" i="5"/>
  <c r="Q148" i="5"/>
  <c r="P148" i="5"/>
  <c r="R148" i="5" s="1"/>
  <c r="F148" i="5"/>
  <c r="E148" i="5"/>
  <c r="Q147" i="5"/>
  <c r="P147" i="5"/>
  <c r="R147" i="5" s="1"/>
  <c r="F147" i="5"/>
  <c r="E147" i="5"/>
  <c r="Q146" i="5"/>
  <c r="P146" i="5"/>
  <c r="R146" i="5" s="1"/>
  <c r="F146" i="5"/>
  <c r="E146" i="5"/>
  <c r="Q145" i="5"/>
  <c r="P145" i="5"/>
  <c r="R145" i="5" s="1"/>
  <c r="F145" i="5"/>
  <c r="E145" i="5"/>
  <c r="Q144" i="5"/>
  <c r="P144" i="5"/>
  <c r="R144" i="5" s="1"/>
  <c r="F144" i="5"/>
  <c r="E144" i="5"/>
  <c r="Q143" i="5"/>
  <c r="P143" i="5"/>
  <c r="R143" i="5" s="1"/>
  <c r="F143" i="5"/>
  <c r="E143" i="5"/>
  <c r="Q142" i="5"/>
  <c r="P142" i="5"/>
  <c r="R142" i="5" s="1"/>
  <c r="F142" i="5"/>
  <c r="E142" i="5"/>
  <c r="Q141" i="5"/>
  <c r="P141" i="5"/>
  <c r="R141" i="5" s="1"/>
  <c r="F141" i="5"/>
  <c r="E141" i="5"/>
  <c r="Q140" i="5"/>
  <c r="P140" i="5"/>
  <c r="R140" i="5" s="1"/>
  <c r="F140" i="5"/>
  <c r="E140" i="5"/>
  <c r="Q139" i="5"/>
  <c r="P139" i="5"/>
  <c r="R139" i="5" s="1"/>
  <c r="F139" i="5"/>
  <c r="E139" i="5"/>
  <c r="Q138" i="5"/>
  <c r="P138" i="5"/>
  <c r="R138" i="5" s="1"/>
  <c r="F138" i="5"/>
  <c r="E138" i="5"/>
  <c r="Q137" i="5"/>
  <c r="P137" i="5"/>
  <c r="R137" i="5" s="1"/>
  <c r="F137" i="5"/>
  <c r="E137" i="5"/>
  <c r="Q136" i="5"/>
  <c r="P136" i="5"/>
  <c r="R136" i="5" s="1"/>
  <c r="F136" i="5"/>
  <c r="E136" i="5"/>
  <c r="Q135" i="5"/>
  <c r="P135" i="5"/>
  <c r="R135" i="5" s="1"/>
  <c r="F135" i="5"/>
  <c r="E135" i="5"/>
  <c r="Q134" i="5"/>
  <c r="P134" i="5"/>
  <c r="R134" i="5" s="1"/>
  <c r="F134" i="5"/>
  <c r="E134" i="5"/>
  <c r="Q133" i="5"/>
  <c r="P133" i="5"/>
  <c r="R133" i="5" s="1"/>
  <c r="F133" i="5"/>
  <c r="E133" i="5"/>
  <c r="Q132" i="5"/>
  <c r="P132" i="5"/>
  <c r="R132" i="5" s="1"/>
  <c r="F132" i="5"/>
  <c r="E132" i="5"/>
  <c r="Q131" i="5"/>
  <c r="P131" i="5"/>
  <c r="R131" i="5" s="1"/>
  <c r="F131" i="5"/>
  <c r="E131" i="5"/>
  <c r="Q130" i="5"/>
  <c r="P130" i="5"/>
  <c r="R130" i="5" s="1"/>
  <c r="F130" i="5"/>
  <c r="E130" i="5"/>
  <c r="Q129" i="5"/>
  <c r="P129" i="5"/>
  <c r="R129" i="5" s="1"/>
  <c r="F129" i="5"/>
  <c r="E129" i="5"/>
  <c r="Q128" i="5"/>
  <c r="P128" i="5"/>
  <c r="R128" i="5" s="1"/>
  <c r="F128" i="5"/>
  <c r="E128" i="5"/>
  <c r="Q127" i="5"/>
  <c r="P127" i="5"/>
  <c r="R127" i="5" s="1"/>
  <c r="F127" i="5"/>
  <c r="E127" i="5"/>
  <c r="Q126" i="5"/>
  <c r="P126" i="5"/>
  <c r="R126" i="5" s="1"/>
  <c r="F126" i="5"/>
  <c r="E126" i="5"/>
  <c r="Q125" i="5"/>
  <c r="P125" i="5"/>
  <c r="R125" i="5" s="1"/>
  <c r="F125" i="5"/>
  <c r="E125" i="5"/>
  <c r="Q124" i="5"/>
  <c r="P124" i="5"/>
  <c r="R124" i="5" s="1"/>
  <c r="F124" i="5"/>
  <c r="E124" i="5"/>
  <c r="Q123" i="5"/>
  <c r="P123" i="5"/>
  <c r="R123" i="5" s="1"/>
  <c r="F123" i="5"/>
  <c r="E123" i="5"/>
  <c r="Q122" i="5"/>
  <c r="P122" i="5"/>
  <c r="R122" i="5" s="1"/>
  <c r="F122" i="5"/>
  <c r="E122" i="5"/>
  <c r="Q121" i="5"/>
  <c r="P121" i="5"/>
  <c r="R121" i="5" s="1"/>
  <c r="F121" i="5"/>
  <c r="E121" i="5"/>
  <c r="Q120" i="5"/>
  <c r="P120" i="5"/>
  <c r="R120" i="5" s="1"/>
  <c r="F120" i="5"/>
  <c r="E120" i="5"/>
  <c r="Q119" i="5"/>
  <c r="P119" i="5"/>
  <c r="R119" i="5" s="1"/>
  <c r="F119" i="5"/>
  <c r="E119" i="5"/>
  <c r="Q118" i="5"/>
  <c r="P118" i="5"/>
  <c r="R118" i="5" s="1"/>
  <c r="F118" i="5"/>
  <c r="E118" i="5"/>
  <c r="Q117" i="5"/>
  <c r="P117" i="5"/>
  <c r="R117" i="5" s="1"/>
  <c r="F117" i="5"/>
  <c r="E117" i="5"/>
  <c r="Q116" i="5"/>
  <c r="P116" i="5"/>
  <c r="R116" i="5" s="1"/>
  <c r="F116" i="5"/>
  <c r="E116" i="5"/>
  <c r="Q115" i="5"/>
  <c r="P115" i="5"/>
  <c r="R115" i="5" s="1"/>
  <c r="F115" i="5"/>
  <c r="E115" i="5"/>
  <c r="Q114" i="5"/>
  <c r="P114" i="5"/>
  <c r="R114" i="5" s="1"/>
  <c r="F114" i="5"/>
  <c r="E114" i="5"/>
  <c r="Q113" i="5"/>
  <c r="P113" i="5"/>
  <c r="R113" i="5" s="1"/>
  <c r="F113" i="5"/>
  <c r="E113" i="5"/>
  <c r="Q112" i="5"/>
  <c r="P112" i="5"/>
  <c r="R112" i="5" s="1"/>
  <c r="F112" i="5"/>
  <c r="E112" i="5"/>
  <c r="Q111" i="5"/>
  <c r="P111" i="5"/>
  <c r="R111" i="5" s="1"/>
  <c r="F111" i="5"/>
  <c r="E111" i="5"/>
  <c r="Q110" i="5"/>
  <c r="P110" i="5"/>
  <c r="R110" i="5" s="1"/>
  <c r="F110" i="5"/>
  <c r="E110" i="5"/>
  <c r="Q109" i="5"/>
  <c r="P109" i="5"/>
  <c r="R109" i="5" s="1"/>
  <c r="F109" i="5"/>
  <c r="E109" i="5"/>
  <c r="Q108" i="5"/>
  <c r="P108" i="5"/>
  <c r="R108" i="5" s="1"/>
  <c r="F108" i="5"/>
  <c r="E108" i="5"/>
  <c r="Q107" i="5"/>
  <c r="P107" i="5"/>
  <c r="R107" i="5" s="1"/>
  <c r="F107" i="5"/>
  <c r="E107" i="5"/>
  <c r="Q106" i="5"/>
  <c r="P106" i="5"/>
  <c r="R106" i="5" s="1"/>
  <c r="F106" i="5"/>
  <c r="E106" i="5"/>
  <c r="Q105" i="5"/>
  <c r="P105" i="5"/>
  <c r="R105" i="5" s="1"/>
  <c r="F105" i="5"/>
  <c r="E105" i="5"/>
  <c r="Q104" i="5"/>
  <c r="P104" i="5"/>
  <c r="R104" i="5" s="1"/>
  <c r="F104" i="5"/>
  <c r="E104" i="5"/>
  <c r="Q103" i="5"/>
  <c r="P103" i="5"/>
  <c r="R103" i="5" s="1"/>
  <c r="F103" i="5"/>
  <c r="E103" i="5"/>
  <c r="Q102" i="5"/>
  <c r="P102" i="5"/>
  <c r="R102" i="5" s="1"/>
  <c r="F102" i="5"/>
  <c r="E102" i="5"/>
  <c r="Q101" i="5"/>
  <c r="R101" i="5" s="1"/>
  <c r="P101" i="5"/>
  <c r="F101" i="5"/>
  <c r="E101" i="5"/>
  <c r="Q100" i="5"/>
  <c r="P100" i="5"/>
  <c r="R100" i="5" s="1"/>
  <c r="F100" i="5"/>
  <c r="E100" i="5"/>
  <c r="Q99" i="5"/>
  <c r="P99" i="5"/>
  <c r="R99" i="5" s="1"/>
  <c r="F99" i="5"/>
  <c r="E99" i="5"/>
  <c r="Q98" i="5"/>
  <c r="P98" i="5"/>
  <c r="R98" i="5" s="1"/>
  <c r="F98" i="5"/>
  <c r="E98" i="5"/>
  <c r="Q97" i="5"/>
  <c r="P97" i="5"/>
  <c r="R97" i="5" s="1"/>
  <c r="F97" i="5"/>
  <c r="E97" i="5"/>
  <c r="Q96" i="5"/>
  <c r="P96" i="5"/>
  <c r="R96" i="5" s="1"/>
  <c r="F96" i="5"/>
  <c r="E96" i="5"/>
  <c r="Q95" i="5"/>
  <c r="P95" i="5"/>
  <c r="R95" i="5" s="1"/>
  <c r="F95" i="5"/>
  <c r="E95" i="5"/>
  <c r="Q94" i="5"/>
  <c r="P94" i="5"/>
  <c r="R94" i="5" s="1"/>
  <c r="F94" i="5"/>
  <c r="E94" i="5"/>
  <c r="Q93" i="5"/>
  <c r="P93" i="5"/>
  <c r="R93" i="5" s="1"/>
  <c r="F93" i="5"/>
  <c r="E93" i="5"/>
  <c r="Q92" i="5"/>
  <c r="P92" i="5"/>
  <c r="R92" i="5" s="1"/>
  <c r="F92" i="5"/>
  <c r="E92" i="5"/>
  <c r="Q91" i="5"/>
  <c r="P91" i="5"/>
  <c r="R91" i="5" s="1"/>
  <c r="F91" i="5"/>
  <c r="E91" i="5"/>
  <c r="Q90" i="5"/>
  <c r="P90" i="5"/>
  <c r="R90" i="5" s="1"/>
  <c r="F90" i="5"/>
  <c r="E90" i="5"/>
  <c r="Q89" i="5"/>
  <c r="P89" i="5"/>
  <c r="R89" i="5" s="1"/>
  <c r="F89" i="5"/>
  <c r="E89" i="5"/>
  <c r="Q88" i="5"/>
  <c r="P88" i="5"/>
  <c r="R88" i="5" s="1"/>
  <c r="F88" i="5"/>
  <c r="E88" i="5"/>
  <c r="Q87" i="5"/>
  <c r="P87" i="5"/>
  <c r="R87" i="5" s="1"/>
  <c r="F87" i="5"/>
  <c r="E87" i="5"/>
  <c r="Q86" i="5"/>
  <c r="P86" i="5"/>
  <c r="R86" i="5" s="1"/>
  <c r="F86" i="5"/>
  <c r="E86" i="5"/>
  <c r="Q85" i="5"/>
  <c r="P85" i="5"/>
  <c r="R85" i="5" s="1"/>
  <c r="F85" i="5"/>
  <c r="E85" i="5"/>
  <c r="Q84" i="5"/>
  <c r="P84" i="5"/>
  <c r="R84" i="5" s="1"/>
  <c r="F84" i="5"/>
  <c r="E84" i="5"/>
  <c r="Q83" i="5"/>
  <c r="P83" i="5"/>
  <c r="R83" i="5" s="1"/>
  <c r="F83" i="5"/>
  <c r="E83" i="5"/>
  <c r="Q82" i="5"/>
  <c r="P82" i="5"/>
  <c r="R82" i="5" s="1"/>
  <c r="F82" i="5"/>
  <c r="E82" i="5"/>
  <c r="Q81" i="5"/>
  <c r="P81" i="5"/>
  <c r="R81" i="5" s="1"/>
  <c r="F81" i="5"/>
  <c r="E81" i="5"/>
  <c r="Q80" i="5"/>
  <c r="P80" i="5"/>
  <c r="R80" i="5" s="1"/>
  <c r="F80" i="5"/>
  <c r="E80" i="5"/>
  <c r="Q79" i="5"/>
  <c r="P79" i="5"/>
  <c r="R79" i="5" s="1"/>
  <c r="F79" i="5"/>
  <c r="E79" i="5"/>
  <c r="Q78" i="5"/>
  <c r="P78" i="5"/>
  <c r="R78" i="5" s="1"/>
  <c r="F78" i="5"/>
  <c r="E78" i="5"/>
  <c r="Q77" i="5"/>
  <c r="P77" i="5"/>
  <c r="R77" i="5" s="1"/>
  <c r="F77" i="5"/>
  <c r="E77" i="5"/>
  <c r="Q76" i="5"/>
  <c r="P76" i="5"/>
  <c r="R76" i="5" s="1"/>
  <c r="F76" i="5"/>
  <c r="E76" i="5"/>
  <c r="Q75" i="5"/>
  <c r="P75" i="5"/>
  <c r="R75" i="5" s="1"/>
  <c r="F75" i="5"/>
  <c r="E75" i="5"/>
  <c r="Q74" i="5"/>
  <c r="P74" i="5"/>
  <c r="R74" i="5" s="1"/>
  <c r="F74" i="5"/>
  <c r="E74" i="5"/>
  <c r="Q73" i="5"/>
  <c r="P73" i="5"/>
  <c r="R73" i="5" s="1"/>
  <c r="F73" i="5"/>
  <c r="E73" i="5"/>
  <c r="Q72" i="5"/>
  <c r="P72" i="5"/>
  <c r="R72" i="5" s="1"/>
  <c r="F72" i="5"/>
  <c r="E72" i="5"/>
  <c r="Q71" i="5"/>
  <c r="P71" i="5"/>
  <c r="R71" i="5" s="1"/>
  <c r="F71" i="5"/>
  <c r="E71" i="5"/>
  <c r="Q70" i="5"/>
  <c r="P70" i="5"/>
  <c r="R70" i="5" s="1"/>
  <c r="F70" i="5"/>
  <c r="E70" i="5"/>
  <c r="Q69" i="5"/>
  <c r="P69" i="5"/>
  <c r="R69" i="5" s="1"/>
  <c r="F69" i="5"/>
  <c r="E69" i="5"/>
  <c r="Q68" i="5"/>
  <c r="P68" i="5"/>
  <c r="R68" i="5" s="1"/>
  <c r="F68" i="5"/>
  <c r="E68" i="5"/>
  <c r="Q67" i="5"/>
  <c r="P67" i="5"/>
  <c r="R67" i="5" s="1"/>
  <c r="F67" i="5"/>
  <c r="E67" i="5"/>
  <c r="Q66" i="5"/>
  <c r="P66" i="5"/>
  <c r="R66" i="5" s="1"/>
  <c r="F66" i="5"/>
  <c r="E66" i="5"/>
  <c r="Q65" i="5"/>
  <c r="P65" i="5"/>
  <c r="R65" i="5" s="1"/>
  <c r="F65" i="5"/>
  <c r="E65" i="5"/>
  <c r="Q64" i="5"/>
  <c r="P64" i="5"/>
  <c r="R64" i="5" s="1"/>
  <c r="F64" i="5"/>
  <c r="E64" i="5"/>
  <c r="Q63" i="5"/>
  <c r="P63" i="5"/>
  <c r="R63" i="5" s="1"/>
  <c r="F63" i="5"/>
  <c r="E63" i="5"/>
  <c r="Q62" i="5"/>
  <c r="P62" i="5"/>
  <c r="R62" i="5" s="1"/>
  <c r="F62" i="5"/>
  <c r="E62" i="5"/>
  <c r="Q61" i="5"/>
  <c r="P61" i="5"/>
  <c r="R61" i="5" s="1"/>
  <c r="F61" i="5"/>
  <c r="E61" i="5"/>
  <c r="Q60" i="5"/>
  <c r="P60" i="5"/>
  <c r="R60" i="5" s="1"/>
  <c r="F60" i="5"/>
  <c r="E60" i="5"/>
  <c r="Q59" i="5"/>
  <c r="P59" i="5"/>
  <c r="R59" i="5" s="1"/>
  <c r="F59" i="5"/>
  <c r="E59" i="5"/>
  <c r="Q58" i="5"/>
  <c r="P58" i="5"/>
  <c r="R58" i="5" s="1"/>
  <c r="F58" i="5"/>
  <c r="E58" i="5"/>
  <c r="Q57" i="5"/>
  <c r="P57" i="5"/>
  <c r="R57" i="5" s="1"/>
  <c r="F57" i="5"/>
  <c r="E57" i="5"/>
  <c r="Q56" i="5"/>
  <c r="P56" i="5"/>
  <c r="R56" i="5" s="1"/>
  <c r="F56" i="5"/>
  <c r="E56" i="5"/>
  <c r="Q55" i="5"/>
  <c r="P55" i="5"/>
  <c r="R55" i="5" s="1"/>
  <c r="F55" i="5"/>
  <c r="E55" i="5"/>
  <c r="Q54" i="5"/>
  <c r="P54" i="5"/>
  <c r="R54" i="5" s="1"/>
  <c r="F54" i="5"/>
  <c r="E54" i="5"/>
  <c r="Q53" i="5"/>
  <c r="P53" i="5"/>
  <c r="R53" i="5" s="1"/>
  <c r="F53" i="5"/>
  <c r="E53" i="5"/>
  <c r="Q52" i="5"/>
  <c r="P52" i="5"/>
  <c r="R52" i="5" s="1"/>
  <c r="F52" i="5"/>
  <c r="E52" i="5"/>
  <c r="Q51" i="5"/>
  <c r="P51" i="5"/>
  <c r="R51" i="5" s="1"/>
  <c r="F51" i="5"/>
  <c r="E51" i="5"/>
  <c r="Q50" i="5"/>
  <c r="P50" i="5"/>
  <c r="R50" i="5" s="1"/>
  <c r="F50" i="5"/>
  <c r="E50" i="5"/>
  <c r="Q49" i="5"/>
  <c r="P49" i="5"/>
  <c r="R49" i="5" s="1"/>
  <c r="F49" i="5"/>
  <c r="E49" i="5"/>
  <c r="Q48" i="5"/>
  <c r="P48" i="5"/>
  <c r="R48" i="5" s="1"/>
  <c r="F48" i="5"/>
  <c r="E48" i="5"/>
  <c r="Q47" i="5"/>
  <c r="P47" i="5"/>
  <c r="R47" i="5" s="1"/>
  <c r="F47" i="5"/>
  <c r="E47" i="5"/>
  <c r="Q46" i="5"/>
  <c r="P46" i="5"/>
  <c r="R46" i="5" s="1"/>
  <c r="F46" i="5"/>
  <c r="E46" i="5"/>
  <c r="Q45" i="5"/>
  <c r="P45" i="5"/>
  <c r="R45" i="5" s="1"/>
  <c r="F45" i="5"/>
  <c r="E45" i="5"/>
  <c r="Q44" i="5"/>
  <c r="P44" i="5"/>
  <c r="R44" i="5" s="1"/>
  <c r="F44" i="5"/>
  <c r="E44" i="5"/>
  <c r="Q43" i="5"/>
  <c r="P43" i="5"/>
  <c r="R43" i="5" s="1"/>
  <c r="F43" i="5"/>
  <c r="E43" i="5"/>
  <c r="Q42" i="5"/>
  <c r="P42" i="5"/>
  <c r="R42" i="5" s="1"/>
  <c r="F42" i="5"/>
  <c r="E42" i="5"/>
  <c r="Q41" i="5"/>
  <c r="P41" i="5"/>
  <c r="R41" i="5" s="1"/>
  <c r="F41" i="5"/>
  <c r="E41" i="5"/>
  <c r="Q40" i="5"/>
  <c r="P40" i="5"/>
  <c r="R40" i="5" s="1"/>
  <c r="F40" i="5"/>
  <c r="E40" i="5"/>
  <c r="Q39" i="5"/>
  <c r="P39" i="5"/>
  <c r="R39" i="5" s="1"/>
  <c r="F39" i="5"/>
  <c r="E39" i="5"/>
  <c r="Q38" i="5"/>
  <c r="P38" i="5"/>
  <c r="R38" i="5" s="1"/>
  <c r="F38" i="5"/>
  <c r="E38" i="5"/>
  <c r="Q37" i="5"/>
  <c r="P37" i="5"/>
  <c r="R37" i="5" s="1"/>
  <c r="F37" i="5"/>
  <c r="E37" i="5"/>
  <c r="Q36" i="5"/>
  <c r="P36" i="5"/>
  <c r="R36" i="5" s="1"/>
  <c r="F36" i="5"/>
  <c r="E36" i="5"/>
  <c r="Q35" i="5"/>
  <c r="P35" i="5"/>
  <c r="R35" i="5" s="1"/>
  <c r="F35" i="5"/>
  <c r="E35" i="5"/>
  <c r="Q34" i="5"/>
  <c r="P34" i="5"/>
  <c r="R34" i="5" s="1"/>
  <c r="F34" i="5"/>
  <c r="E34" i="5"/>
  <c r="Q33" i="5"/>
  <c r="P33" i="5"/>
  <c r="R33" i="5" s="1"/>
  <c r="F33" i="5"/>
  <c r="E33" i="5"/>
  <c r="Q32" i="5"/>
  <c r="P32" i="5"/>
  <c r="R32" i="5" s="1"/>
  <c r="F32" i="5"/>
  <c r="E32" i="5"/>
  <c r="Q31" i="5"/>
  <c r="P31" i="5"/>
  <c r="R31" i="5" s="1"/>
  <c r="F31" i="5"/>
  <c r="E31" i="5"/>
  <c r="Q30" i="5"/>
  <c r="P30" i="5"/>
  <c r="R30" i="5" s="1"/>
  <c r="F30" i="5"/>
  <c r="E30" i="5"/>
  <c r="Q29" i="5"/>
  <c r="P29" i="5"/>
  <c r="R29" i="5" s="1"/>
  <c r="F29" i="5"/>
  <c r="E29" i="5"/>
  <c r="Q28" i="5"/>
  <c r="P28" i="5"/>
  <c r="R28" i="5" s="1"/>
  <c r="F28" i="5"/>
  <c r="E28" i="5"/>
  <c r="Q27" i="5"/>
  <c r="P27" i="5"/>
  <c r="R27" i="5" s="1"/>
  <c r="F27" i="5"/>
  <c r="E27" i="5"/>
  <c r="Q26" i="5"/>
  <c r="P26" i="5"/>
  <c r="R26" i="5" s="1"/>
  <c r="F26" i="5"/>
  <c r="E26" i="5"/>
  <c r="Q25" i="5"/>
  <c r="P25" i="5"/>
  <c r="R25" i="5" s="1"/>
  <c r="F25" i="5"/>
  <c r="E25" i="5"/>
  <c r="Q24" i="5"/>
  <c r="P24" i="5"/>
  <c r="R24" i="5" s="1"/>
  <c r="F24" i="5"/>
  <c r="E24" i="5"/>
  <c r="Q23" i="5"/>
  <c r="P23" i="5"/>
  <c r="R23" i="5" s="1"/>
  <c r="F23" i="5"/>
  <c r="E23" i="5"/>
  <c r="Q22" i="5"/>
  <c r="P22" i="5"/>
  <c r="R22" i="5" s="1"/>
  <c r="F22" i="5"/>
  <c r="E22" i="5"/>
  <c r="Q21" i="5"/>
  <c r="P21" i="5"/>
  <c r="R21" i="5" s="1"/>
  <c r="F21" i="5"/>
  <c r="E21" i="5"/>
  <c r="Q20" i="5"/>
  <c r="P20" i="5"/>
  <c r="R20" i="5" s="1"/>
  <c r="F20" i="5"/>
  <c r="E20" i="5"/>
  <c r="Q19" i="5"/>
  <c r="P19" i="5"/>
  <c r="R19" i="5" s="1"/>
  <c r="F19" i="5"/>
  <c r="E19" i="5"/>
  <c r="Q18" i="5"/>
  <c r="P18" i="5"/>
  <c r="R18" i="5" s="1"/>
  <c r="F18" i="5"/>
  <c r="E18" i="5"/>
  <c r="Q17" i="5"/>
  <c r="P17" i="5"/>
  <c r="R17" i="5" s="1"/>
  <c r="F17" i="5"/>
  <c r="E17" i="5"/>
  <c r="Q16" i="5"/>
  <c r="P16" i="5"/>
  <c r="R16" i="5" s="1"/>
  <c r="F16" i="5"/>
  <c r="E16" i="5"/>
  <c r="Q15" i="5"/>
  <c r="P15" i="5"/>
  <c r="R15" i="5" s="1"/>
  <c r="F15" i="5"/>
  <c r="E15" i="5"/>
  <c r="Q14" i="5"/>
  <c r="P14" i="5"/>
  <c r="R14" i="5" s="1"/>
  <c r="F14" i="5"/>
  <c r="E14" i="5"/>
  <c r="Q13" i="5"/>
  <c r="P13" i="5"/>
  <c r="R13" i="5" s="1"/>
  <c r="F13" i="5"/>
  <c r="E13" i="5"/>
  <c r="Q12" i="5"/>
  <c r="P12" i="5"/>
  <c r="R12" i="5" s="1"/>
  <c r="F12" i="5"/>
  <c r="E12" i="5"/>
  <c r="Q11" i="5"/>
  <c r="P11" i="5"/>
  <c r="R11" i="5" s="1"/>
  <c r="F11" i="5"/>
  <c r="E11" i="5"/>
  <c r="Q10" i="5"/>
  <c r="P10" i="5"/>
  <c r="R10" i="5" s="1"/>
  <c r="F10" i="5"/>
  <c r="E10" i="5"/>
  <c r="Q9" i="5"/>
  <c r="P9" i="5"/>
  <c r="R9" i="5" s="1"/>
  <c r="F9" i="5"/>
  <c r="E9" i="5"/>
  <c r="Q8" i="5"/>
  <c r="P8" i="5"/>
  <c r="R8" i="5" s="1"/>
  <c r="F8" i="5"/>
  <c r="E8" i="5"/>
  <c r="Q7" i="5"/>
  <c r="P7" i="5"/>
  <c r="R7" i="5" s="1"/>
  <c r="F7" i="5"/>
  <c r="E7" i="5"/>
  <c r="Q6" i="5"/>
  <c r="P6" i="5"/>
  <c r="R6" i="5" s="1"/>
  <c r="F6" i="5"/>
  <c r="E6" i="5"/>
  <c r="Q5" i="5"/>
  <c r="P5" i="5"/>
  <c r="R5" i="5" s="1"/>
  <c r="F5" i="5"/>
  <c r="E5" i="5"/>
  <c r="Q4" i="5"/>
  <c r="P4" i="5"/>
  <c r="R4" i="5" s="1"/>
  <c r="F4" i="5"/>
  <c r="E4" i="5"/>
  <c r="Q3" i="5"/>
  <c r="P3" i="5"/>
  <c r="R3" i="5" s="1"/>
  <c r="F3" i="5"/>
  <c r="E3" i="5"/>
  <c r="Q2" i="5"/>
  <c r="P2" i="5"/>
  <c r="R2" i="5" s="1"/>
  <c r="F2" i="5"/>
  <c r="K2" i="5" s="1"/>
  <c r="E2" i="5"/>
  <c r="P280" i="4"/>
  <c r="O280" i="4"/>
  <c r="Q280" i="4" s="1"/>
  <c r="E280" i="4"/>
  <c r="D280" i="4"/>
  <c r="F280" i="4" s="1"/>
  <c r="B277" i="4"/>
  <c r="B276" i="4"/>
  <c r="C277" i="4" s="1"/>
  <c r="P273" i="4"/>
  <c r="O273" i="4"/>
  <c r="Q273" i="4" s="1"/>
  <c r="E273" i="4"/>
  <c r="D273" i="4"/>
  <c r="P272" i="4"/>
  <c r="O272" i="4"/>
  <c r="Q272" i="4" s="1"/>
  <c r="E272" i="4"/>
  <c r="D272" i="4"/>
  <c r="P271" i="4"/>
  <c r="O271" i="4"/>
  <c r="Q271" i="4" s="1"/>
  <c r="E271" i="4"/>
  <c r="D271" i="4"/>
  <c r="P270" i="4"/>
  <c r="O270" i="4"/>
  <c r="Q270" i="4" s="1"/>
  <c r="E270" i="4"/>
  <c r="D270" i="4"/>
  <c r="P269" i="4"/>
  <c r="O269" i="4"/>
  <c r="Q269" i="4" s="1"/>
  <c r="E269" i="4"/>
  <c r="D269" i="4"/>
  <c r="P268" i="4"/>
  <c r="O268" i="4"/>
  <c r="Q268" i="4" s="1"/>
  <c r="E268" i="4"/>
  <c r="D268" i="4"/>
  <c r="P267" i="4"/>
  <c r="O267" i="4"/>
  <c r="Q267" i="4" s="1"/>
  <c r="E267" i="4"/>
  <c r="D267" i="4"/>
  <c r="P266" i="4"/>
  <c r="O266" i="4"/>
  <c r="Q266" i="4" s="1"/>
  <c r="E266" i="4"/>
  <c r="D266" i="4"/>
  <c r="P265" i="4"/>
  <c r="O265" i="4"/>
  <c r="Q265" i="4" s="1"/>
  <c r="E265" i="4"/>
  <c r="D265" i="4"/>
  <c r="P264" i="4"/>
  <c r="O264" i="4"/>
  <c r="Q264" i="4" s="1"/>
  <c r="E264" i="4"/>
  <c r="D264" i="4"/>
  <c r="P263" i="4"/>
  <c r="O263" i="4"/>
  <c r="Q263" i="4" s="1"/>
  <c r="E263" i="4"/>
  <c r="D263" i="4"/>
  <c r="P262" i="4"/>
  <c r="O262" i="4"/>
  <c r="Q262" i="4" s="1"/>
  <c r="E262" i="4"/>
  <c r="D262" i="4"/>
  <c r="P261" i="4"/>
  <c r="O261" i="4"/>
  <c r="Q261" i="4" s="1"/>
  <c r="E261" i="4"/>
  <c r="D261" i="4"/>
  <c r="P260" i="4"/>
  <c r="O260" i="4"/>
  <c r="Q260" i="4" s="1"/>
  <c r="E260" i="4"/>
  <c r="D260" i="4"/>
  <c r="P259" i="4"/>
  <c r="O259" i="4"/>
  <c r="Q259" i="4" s="1"/>
  <c r="E259" i="4"/>
  <c r="D259" i="4"/>
  <c r="P258" i="4"/>
  <c r="O258" i="4"/>
  <c r="Q258" i="4" s="1"/>
  <c r="E258" i="4"/>
  <c r="D258" i="4"/>
  <c r="P257" i="4"/>
  <c r="O257" i="4"/>
  <c r="Q257" i="4" s="1"/>
  <c r="E257" i="4"/>
  <c r="D257" i="4"/>
  <c r="P256" i="4"/>
  <c r="O256" i="4"/>
  <c r="Q256" i="4" s="1"/>
  <c r="E256" i="4"/>
  <c r="D256" i="4"/>
  <c r="P255" i="4"/>
  <c r="O255" i="4"/>
  <c r="Q255" i="4" s="1"/>
  <c r="E255" i="4"/>
  <c r="D255" i="4"/>
  <c r="P254" i="4"/>
  <c r="O254" i="4"/>
  <c r="Q254" i="4" s="1"/>
  <c r="E254" i="4"/>
  <c r="D254" i="4"/>
  <c r="P253" i="4"/>
  <c r="O253" i="4"/>
  <c r="Q253" i="4" s="1"/>
  <c r="E253" i="4"/>
  <c r="D253" i="4"/>
  <c r="P252" i="4"/>
  <c r="O252" i="4"/>
  <c r="Q252" i="4" s="1"/>
  <c r="E252" i="4"/>
  <c r="D252" i="4"/>
  <c r="P251" i="4"/>
  <c r="O251" i="4"/>
  <c r="Q251" i="4" s="1"/>
  <c r="E251" i="4"/>
  <c r="D251" i="4"/>
  <c r="P250" i="4"/>
  <c r="O250" i="4"/>
  <c r="Q250" i="4" s="1"/>
  <c r="E250" i="4"/>
  <c r="D250" i="4"/>
  <c r="P249" i="4"/>
  <c r="O249" i="4"/>
  <c r="Q249" i="4" s="1"/>
  <c r="E249" i="4"/>
  <c r="D249" i="4"/>
  <c r="P248" i="4"/>
  <c r="O248" i="4"/>
  <c r="Q248" i="4" s="1"/>
  <c r="E248" i="4"/>
  <c r="D248" i="4"/>
  <c r="P247" i="4"/>
  <c r="O247" i="4"/>
  <c r="Q247" i="4" s="1"/>
  <c r="E247" i="4"/>
  <c r="D247" i="4"/>
  <c r="P246" i="4"/>
  <c r="O246" i="4"/>
  <c r="Q246" i="4" s="1"/>
  <c r="E246" i="4"/>
  <c r="D246" i="4"/>
  <c r="P245" i="4"/>
  <c r="O245" i="4"/>
  <c r="Q245" i="4" s="1"/>
  <c r="E245" i="4"/>
  <c r="D245" i="4"/>
  <c r="P244" i="4"/>
  <c r="O244" i="4"/>
  <c r="Q244" i="4" s="1"/>
  <c r="E244" i="4"/>
  <c r="D244" i="4"/>
  <c r="P243" i="4"/>
  <c r="O243" i="4"/>
  <c r="Q243" i="4" s="1"/>
  <c r="E243" i="4"/>
  <c r="D243" i="4"/>
  <c r="P242" i="4"/>
  <c r="O242" i="4"/>
  <c r="Q242" i="4" s="1"/>
  <c r="E242" i="4"/>
  <c r="D242" i="4"/>
  <c r="P241" i="4"/>
  <c r="O241" i="4"/>
  <c r="Q241" i="4" s="1"/>
  <c r="E241" i="4"/>
  <c r="D241" i="4"/>
  <c r="P240" i="4"/>
  <c r="O240" i="4"/>
  <c r="Q240" i="4" s="1"/>
  <c r="E240" i="4"/>
  <c r="D240" i="4"/>
  <c r="P239" i="4"/>
  <c r="O239" i="4"/>
  <c r="Q239" i="4" s="1"/>
  <c r="E239" i="4"/>
  <c r="D239" i="4"/>
  <c r="P238" i="4"/>
  <c r="O238" i="4"/>
  <c r="Q238" i="4" s="1"/>
  <c r="E238" i="4"/>
  <c r="D238" i="4"/>
  <c r="P237" i="4"/>
  <c r="O237" i="4"/>
  <c r="Q237" i="4" s="1"/>
  <c r="E237" i="4"/>
  <c r="D237" i="4"/>
  <c r="P236" i="4"/>
  <c r="O236" i="4"/>
  <c r="Q236" i="4" s="1"/>
  <c r="E236" i="4"/>
  <c r="D236" i="4"/>
  <c r="P235" i="4"/>
  <c r="O235" i="4"/>
  <c r="Q235" i="4" s="1"/>
  <c r="E235" i="4"/>
  <c r="D235" i="4"/>
  <c r="P234" i="4"/>
  <c r="O234" i="4"/>
  <c r="Q234" i="4" s="1"/>
  <c r="E234" i="4"/>
  <c r="D234" i="4"/>
  <c r="P233" i="4"/>
  <c r="O233" i="4"/>
  <c r="Q233" i="4" s="1"/>
  <c r="E233" i="4"/>
  <c r="D233" i="4"/>
  <c r="P232" i="4"/>
  <c r="O232" i="4"/>
  <c r="Q232" i="4" s="1"/>
  <c r="E232" i="4"/>
  <c r="D232" i="4"/>
  <c r="P231" i="4"/>
  <c r="O231" i="4"/>
  <c r="Q231" i="4" s="1"/>
  <c r="E231" i="4"/>
  <c r="D231" i="4"/>
  <c r="P230" i="4"/>
  <c r="O230" i="4"/>
  <c r="Q230" i="4" s="1"/>
  <c r="E230" i="4"/>
  <c r="D230" i="4"/>
  <c r="P229" i="4"/>
  <c r="O229" i="4"/>
  <c r="Q229" i="4" s="1"/>
  <c r="E229" i="4"/>
  <c r="D229" i="4"/>
  <c r="P228" i="4"/>
  <c r="O228" i="4"/>
  <c r="Q228" i="4" s="1"/>
  <c r="E228" i="4"/>
  <c r="D228" i="4"/>
  <c r="P227" i="4"/>
  <c r="O227" i="4"/>
  <c r="Q227" i="4" s="1"/>
  <c r="E227" i="4"/>
  <c r="D227" i="4"/>
  <c r="P226" i="4"/>
  <c r="O226" i="4"/>
  <c r="Q226" i="4" s="1"/>
  <c r="E226" i="4"/>
  <c r="D226" i="4"/>
  <c r="P225" i="4"/>
  <c r="O225" i="4"/>
  <c r="Q225" i="4" s="1"/>
  <c r="E225" i="4"/>
  <c r="D225" i="4"/>
  <c r="P224" i="4"/>
  <c r="O224" i="4"/>
  <c r="Q224" i="4" s="1"/>
  <c r="E224" i="4"/>
  <c r="D224" i="4"/>
  <c r="P223" i="4"/>
  <c r="O223" i="4"/>
  <c r="Q223" i="4" s="1"/>
  <c r="E223" i="4"/>
  <c r="D223" i="4"/>
  <c r="P222" i="4"/>
  <c r="O222" i="4"/>
  <c r="Q222" i="4" s="1"/>
  <c r="E222" i="4"/>
  <c r="D222" i="4"/>
  <c r="P221" i="4"/>
  <c r="O221" i="4"/>
  <c r="Q221" i="4" s="1"/>
  <c r="E221" i="4"/>
  <c r="D221" i="4"/>
  <c r="P220" i="4"/>
  <c r="O220" i="4"/>
  <c r="Q220" i="4" s="1"/>
  <c r="E220" i="4"/>
  <c r="D220" i="4"/>
  <c r="P219" i="4"/>
  <c r="O219" i="4"/>
  <c r="Q219" i="4" s="1"/>
  <c r="E219" i="4"/>
  <c r="D219" i="4"/>
  <c r="P218" i="4"/>
  <c r="O218" i="4"/>
  <c r="Q218" i="4" s="1"/>
  <c r="E218" i="4"/>
  <c r="D218" i="4"/>
  <c r="P217" i="4"/>
  <c r="O217" i="4"/>
  <c r="Q217" i="4" s="1"/>
  <c r="E217" i="4"/>
  <c r="D217" i="4"/>
  <c r="P216" i="4"/>
  <c r="O216" i="4"/>
  <c r="Q216" i="4" s="1"/>
  <c r="E216" i="4"/>
  <c r="D216" i="4"/>
  <c r="P215" i="4"/>
  <c r="O215" i="4"/>
  <c r="Q215" i="4" s="1"/>
  <c r="E215" i="4"/>
  <c r="D215" i="4"/>
  <c r="P214" i="4"/>
  <c r="O214" i="4"/>
  <c r="Q214" i="4" s="1"/>
  <c r="E214" i="4"/>
  <c r="D214" i="4"/>
  <c r="P213" i="4"/>
  <c r="O213" i="4"/>
  <c r="Q213" i="4" s="1"/>
  <c r="E213" i="4"/>
  <c r="D213" i="4"/>
  <c r="P212" i="4"/>
  <c r="O212" i="4"/>
  <c r="Q212" i="4" s="1"/>
  <c r="E212" i="4"/>
  <c r="D212" i="4"/>
  <c r="P211" i="4"/>
  <c r="O211" i="4"/>
  <c r="Q211" i="4" s="1"/>
  <c r="E211" i="4"/>
  <c r="D211" i="4"/>
  <c r="P210" i="4"/>
  <c r="O210" i="4"/>
  <c r="Q210" i="4" s="1"/>
  <c r="E210" i="4"/>
  <c r="D210" i="4"/>
  <c r="P209" i="4"/>
  <c r="O209" i="4"/>
  <c r="Q209" i="4" s="1"/>
  <c r="E209" i="4"/>
  <c r="D209" i="4"/>
  <c r="P208" i="4"/>
  <c r="O208" i="4"/>
  <c r="Q208" i="4" s="1"/>
  <c r="E208" i="4"/>
  <c r="D208" i="4"/>
  <c r="P207" i="4"/>
  <c r="O207" i="4"/>
  <c r="Q207" i="4" s="1"/>
  <c r="E207" i="4"/>
  <c r="D207" i="4"/>
  <c r="P206" i="4"/>
  <c r="O206" i="4"/>
  <c r="Q206" i="4" s="1"/>
  <c r="E206" i="4"/>
  <c r="D206" i="4"/>
  <c r="P205" i="4"/>
  <c r="O205" i="4"/>
  <c r="Q205" i="4" s="1"/>
  <c r="E205" i="4"/>
  <c r="D205" i="4"/>
  <c r="P204" i="4"/>
  <c r="O204" i="4"/>
  <c r="Q204" i="4" s="1"/>
  <c r="E204" i="4"/>
  <c r="D204" i="4"/>
  <c r="P203" i="4"/>
  <c r="O203" i="4"/>
  <c r="Q203" i="4" s="1"/>
  <c r="E203" i="4"/>
  <c r="D203" i="4"/>
  <c r="P202" i="4"/>
  <c r="O202" i="4"/>
  <c r="Q202" i="4" s="1"/>
  <c r="E202" i="4"/>
  <c r="D202" i="4"/>
  <c r="P201" i="4"/>
  <c r="O201" i="4"/>
  <c r="Q201" i="4" s="1"/>
  <c r="E201" i="4"/>
  <c r="D201" i="4"/>
  <c r="P200" i="4"/>
  <c r="O200" i="4"/>
  <c r="Q200" i="4" s="1"/>
  <c r="E200" i="4"/>
  <c r="D200" i="4"/>
  <c r="P199" i="4"/>
  <c r="O199" i="4"/>
  <c r="Q199" i="4" s="1"/>
  <c r="E199" i="4"/>
  <c r="D199" i="4"/>
  <c r="P198" i="4"/>
  <c r="O198" i="4"/>
  <c r="Q198" i="4" s="1"/>
  <c r="E198" i="4"/>
  <c r="D198" i="4"/>
  <c r="P197" i="4"/>
  <c r="O197" i="4"/>
  <c r="Q197" i="4" s="1"/>
  <c r="E197" i="4"/>
  <c r="D197" i="4"/>
  <c r="P196" i="4"/>
  <c r="O196" i="4"/>
  <c r="Q196" i="4" s="1"/>
  <c r="E196" i="4"/>
  <c r="D196" i="4"/>
  <c r="P195" i="4"/>
  <c r="O195" i="4"/>
  <c r="Q195" i="4" s="1"/>
  <c r="E195" i="4"/>
  <c r="D195" i="4"/>
  <c r="P194" i="4"/>
  <c r="O194" i="4"/>
  <c r="Q194" i="4" s="1"/>
  <c r="E194" i="4"/>
  <c r="D194" i="4"/>
  <c r="P193" i="4"/>
  <c r="O193" i="4"/>
  <c r="Q193" i="4" s="1"/>
  <c r="E193" i="4"/>
  <c r="D193" i="4"/>
  <c r="P192" i="4"/>
  <c r="O192" i="4"/>
  <c r="Q192" i="4" s="1"/>
  <c r="E192" i="4"/>
  <c r="D192" i="4"/>
  <c r="P191" i="4"/>
  <c r="O191" i="4"/>
  <c r="Q191" i="4" s="1"/>
  <c r="E191" i="4"/>
  <c r="D191" i="4"/>
  <c r="P190" i="4"/>
  <c r="O190" i="4"/>
  <c r="Q190" i="4" s="1"/>
  <c r="E190" i="4"/>
  <c r="D190" i="4"/>
  <c r="P189" i="4"/>
  <c r="O189" i="4"/>
  <c r="Q189" i="4" s="1"/>
  <c r="E189" i="4"/>
  <c r="D189" i="4"/>
  <c r="P188" i="4"/>
  <c r="O188" i="4"/>
  <c r="Q188" i="4" s="1"/>
  <c r="E188" i="4"/>
  <c r="D188" i="4"/>
  <c r="P187" i="4"/>
  <c r="O187" i="4"/>
  <c r="Q187" i="4" s="1"/>
  <c r="E187" i="4"/>
  <c r="D187" i="4"/>
  <c r="P186" i="4"/>
  <c r="O186" i="4"/>
  <c r="Q186" i="4" s="1"/>
  <c r="E186" i="4"/>
  <c r="D186" i="4"/>
  <c r="P185" i="4"/>
  <c r="O185" i="4"/>
  <c r="Q185" i="4" s="1"/>
  <c r="E185" i="4"/>
  <c r="D185" i="4"/>
  <c r="P184" i="4"/>
  <c r="O184" i="4"/>
  <c r="Q184" i="4" s="1"/>
  <c r="E184" i="4"/>
  <c r="D184" i="4"/>
  <c r="P183" i="4"/>
  <c r="O183" i="4"/>
  <c r="Q183" i="4" s="1"/>
  <c r="E183" i="4"/>
  <c r="D183" i="4"/>
  <c r="P182" i="4"/>
  <c r="O182" i="4"/>
  <c r="Q182" i="4" s="1"/>
  <c r="E182" i="4"/>
  <c r="D182" i="4"/>
  <c r="P181" i="4"/>
  <c r="O181" i="4"/>
  <c r="Q181" i="4" s="1"/>
  <c r="E181" i="4"/>
  <c r="D181" i="4"/>
  <c r="P180" i="4"/>
  <c r="O180" i="4"/>
  <c r="Q180" i="4" s="1"/>
  <c r="E180" i="4"/>
  <c r="D180" i="4"/>
  <c r="P179" i="4"/>
  <c r="O179" i="4"/>
  <c r="Q179" i="4" s="1"/>
  <c r="E179" i="4"/>
  <c r="D179" i="4"/>
  <c r="P178" i="4"/>
  <c r="O178" i="4"/>
  <c r="Q178" i="4" s="1"/>
  <c r="E178" i="4"/>
  <c r="D178" i="4"/>
  <c r="P177" i="4"/>
  <c r="O177" i="4"/>
  <c r="Q177" i="4" s="1"/>
  <c r="E177" i="4"/>
  <c r="D177" i="4"/>
  <c r="P176" i="4"/>
  <c r="O176" i="4"/>
  <c r="Q176" i="4" s="1"/>
  <c r="E176" i="4"/>
  <c r="D176" i="4"/>
  <c r="P175" i="4"/>
  <c r="O175" i="4"/>
  <c r="Q175" i="4" s="1"/>
  <c r="E175" i="4"/>
  <c r="D175" i="4"/>
  <c r="P174" i="4"/>
  <c r="O174" i="4"/>
  <c r="Q174" i="4" s="1"/>
  <c r="E174" i="4"/>
  <c r="D174" i="4"/>
  <c r="P173" i="4"/>
  <c r="O173" i="4"/>
  <c r="Q173" i="4" s="1"/>
  <c r="E173" i="4"/>
  <c r="D173" i="4"/>
  <c r="P172" i="4"/>
  <c r="O172" i="4"/>
  <c r="Q172" i="4" s="1"/>
  <c r="E172" i="4"/>
  <c r="D172" i="4"/>
  <c r="P171" i="4"/>
  <c r="O171" i="4"/>
  <c r="Q171" i="4" s="1"/>
  <c r="E171" i="4"/>
  <c r="D171" i="4"/>
  <c r="P170" i="4"/>
  <c r="O170" i="4"/>
  <c r="Q170" i="4" s="1"/>
  <c r="E170" i="4"/>
  <c r="D170" i="4"/>
  <c r="P169" i="4"/>
  <c r="O169" i="4"/>
  <c r="Q169" i="4" s="1"/>
  <c r="E169" i="4"/>
  <c r="D169" i="4"/>
  <c r="P168" i="4"/>
  <c r="O168" i="4"/>
  <c r="Q168" i="4" s="1"/>
  <c r="E168" i="4"/>
  <c r="D168" i="4"/>
  <c r="P167" i="4"/>
  <c r="O167" i="4"/>
  <c r="Q167" i="4" s="1"/>
  <c r="E167" i="4"/>
  <c r="D167" i="4"/>
  <c r="P166" i="4"/>
  <c r="O166" i="4"/>
  <c r="Q166" i="4" s="1"/>
  <c r="E166" i="4"/>
  <c r="D166" i="4"/>
  <c r="P165" i="4"/>
  <c r="O165" i="4"/>
  <c r="Q165" i="4" s="1"/>
  <c r="E165" i="4"/>
  <c r="D165" i="4"/>
  <c r="P164" i="4"/>
  <c r="O164" i="4"/>
  <c r="Q164" i="4" s="1"/>
  <c r="E164" i="4"/>
  <c r="D164" i="4"/>
  <c r="P163" i="4"/>
  <c r="O163" i="4"/>
  <c r="Q163" i="4" s="1"/>
  <c r="E163" i="4"/>
  <c r="D163" i="4"/>
  <c r="P162" i="4"/>
  <c r="O162" i="4"/>
  <c r="Q162" i="4" s="1"/>
  <c r="E162" i="4"/>
  <c r="D162" i="4"/>
  <c r="P161" i="4"/>
  <c r="O161" i="4"/>
  <c r="Q161" i="4" s="1"/>
  <c r="E161" i="4"/>
  <c r="D161" i="4"/>
  <c r="P160" i="4"/>
  <c r="O160" i="4"/>
  <c r="Q160" i="4" s="1"/>
  <c r="E160" i="4"/>
  <c r="D160" i="4"/>
  <c r="P159" i="4"/>
  <c r="O159" i="4"/>
  <c r="Q159" i="4" s="1"/>
  <c r="E159" i="4"/>
  <c r="D159" i="4"/>
  <c r="P158" i="4"/>
  <c r="O158" i="4"/>
  <c r="Q158" i="4" s="1"/>
  <c r="E158" i="4"/>
  <c r="D158" i="4"/>
  <c r="P157" i="4"/>
  <c r="O157" i="4"/>
  <c r="Q157" i="4" s="1"/>
  <c r="E157" i="4"/>
  <c r="D157" i="4"/>
  <c r="P156" i="4"/>
  <c r="O156" i="4"/>
  <c r="Q156" i="4" s="1"/>
  <c r="E156" i="4"/>
  <c r="D156" i="4"/>
  <c r="P155" i="4"/>
  <c r="O155" i="4"/>
  <c r="Q155" i="4" s="1"/>
  <c r="E155" i="4"/>
  <c r="D155" i="4"/>
  <c r="P154" i="4"/>
  <c r="O154" i="4"/>
  <c r="Q154" i="4" s="1"/>
  <c r="E154" i="4"/>
  <c r="D154" i="4"/>
  <c r="P153" i="4"/>
  <c r="O153" i="4"/>
  <c r="Q153" i="4" s="1"/>
  <c r="E153" i="4"/>
  <c r="D153" i="4"/>
  <c r="P152" i="4"/>
  <c r="O152" i="4"/>
  <c r="Q152" i="4" s="1"/>
  <c r="E152" i="4"/>
  <c r="D152" i="4"/>
  <c r="P151" i="4"/>
  <c r="O151" i="4"/>
  <c r="Q151" i="4" s="1"/>
  <c r="E151" i="4"/>
  <c r="D151" i="4"/>
  <c r="P150" i="4"/>
  <c r="O150" i="4"/>
  <c r="Q150" i="4" s="1"/>
  <c r="E150" i="4"/>
  <c r="D150" i="4"/>
  <c r="P149" i="4"/>
  <c r="O149" i="4"/>
  <c r="Q149" i="4" s="1"/>
  <c r="E149" i="4"/>
  <c r="D149" i="4"/>
  <c r="P148" i="4"/>
  <c r="O148" i="4"/>
  <c r="Q148" i="4" s="1"/>
  <c r="E148" i="4"/>
  <c r="D148" i="4"/>
  <c r="P147" i="4"/>
  <c r="O147" i="4"/>
  <c r="Q147" i="4" s="1"/>
  <c r="E147" i="4"/>
  <c r="D147" i="4"/>
  <c r="P146" i="4"/>
  <c r="O146" i="4"/>
  <c r="Q146" i="4" s="1"/>
  <c r="E146" i="4"/>
  <c r="D146" i="4"/>
  <c r="P145" i="4"/>
  <c r="O145" i="4"/>
  <c r="Q145" i="4" s="1"/>
  <c r="E145" i="4"/>
  <c r="D145" i="4"/>
  <c r="P144" i="4"/>
  <c r="O144" i="4"/>
  <c r="Q144" i="4" s="1"/>
  <c r="E144" i="4"/>
  <c r="D144" i="4"/>
  <c r="P143" i="4"/>
  <c r="O143" i="4"/>
  <c r="Q143" i="4" s="1"/>
  <c r="E143" i="4"/>
  <c r="D143" i="4"/>
  <c r="P142" i="4"/>
  <c r="O142" i="4"/>
  <c r="Q142" i="4" s="1"/>
  <c r="E142" i="4"/>
  <c r="D142" i="4"/>
  <c r="P141" i="4"/>
  <c r="O141" i="4"/>
  <c r="Q141" i="4" s="1"/>
  <c r="E141" i="4"/>
  <c r="D141" i="4"/>
  <c r="P140" i="4"/>
  <c r="O140" i="4"/>
  <c r="Q140" i="4" s="1"/>
  <c r="E140" i="4"/>
  <c r="D140" i="4"/>
  <c r="P139" i="4"/>
  <c r="O139" i="4"/>
  <c r="Q139" i="4" s="1"/>
  <c r="E139" i="4"/>
  <c r="D139" i="4"/>
  <c r="P138" i="4"/>
  <c r="O138" i="4"/>
  <c r="Q138" i="4" s="1"/>
  <c r="E138" i="4"/>
  <c r="D138" i="4"/>
  <c r="P137" i="4"/>
  <c r="O137" i="4"/>
  <c r="Q137" i="4" s="1"/>
  <c r="E137" i="4"/>
  <c r="D137" i="4"/>
  <c r="P136" i="4"/>
  <c r="O136" i="4"/>
  <c r="Q136" i="4" s="1"/>
  <c r="E136" i="4"/>
  <c r="D136" i="4"/>
  <c r="P135" i="4"/>
  <c r="O135" i="4"/>
  <c r="Q135" i="4" s="1"/>
  <c r="E135" i="4"/>
  <c r="D135" i="4"/>
  <c r="P134" i="4"/>
  <c r="O134" i="4"/>
  <c r="Q134" i="4" s="1"/>
  <c r="E134" i="4"/>
  <c r="D134" i="4"/>
  <c r="P133" i="4"/>
  <c r="O133" i="4"/>
  <c r="Q133" i="4" s="1"/>
  <c r="E133" i="4"/>
  <c r="D133" i="4"/>
  <c r="P132" i="4"/>
  <c r="O132" i="4"/>
  <c r="Q132" i="4" s="1"/>
  <c r="E132" i="4"/>
  <c r="D132" i="4"/>
  <c r="P131" i="4"/>
  <c r="O131" i="4"/>
  <c r="Q131" i="4" s="1"/>
  <c r="E131" i="4"/>
  <c r="D131" i="4"/>
  <c r="P130" i="4"/>
  <c r="O130" i="4"/>
  <c r="Q130" i="4" s="1"/>
  <c r="E130" i="4"/>
  <c r="D130" i="4"/>
  <c r="P129" i="4"/>
  <c r="O129" i="4"/>
  <c r="Q129" i="4" s="1"/>
  <c r="E129" i="4"/>
  <c r="D129" i="4"/>
  <c r="P128" i="4"/>
  <c r="O128" i="4"/>
  <c r="Q128" i="4" s="1"/>
  <c r="E128" i="4"/>
  <c r="D128" i="4"/>
  <c r="P127" i="4"/>
  <c r="O127" i="4"/>
  <c r="Q127" i="4" s="1"/>
  <c r="M127" i="4"/>
  <c r="L127" i="4"/>
  <c r="E127" i="4"/>
  <c r="J127" i="4" s="1"/>
  <c r="D127" i="4"/>
  <c r="P126" i="4"/>
  <c r="O126" i="4"/>
  <c r="Q126" i="4" s="1"/>
  <c r="E126" i="4"/>
  <c r="D126" i="4"/>
  <c r="P125" i="4"/>
  <c r="O125" i="4"/>
  <c r="Q125" i="4" s="1"/>
  <c r="E125" i="4"/>
  <c r="D125" i="4"/>
  <c r="P124" i="4"/>
  <c r="O124" i="4"/>
  <c r="Q124" i="4" s="1"/>
  <c r="E124" i="4"/>
  <c r="D124" i="4"/>
  <c r="P123" i="4"/>
  <c r="O123" i="4"/>
  <c r="Q123" i="4" s="1"/>
  <c r="E123" i="4"/>
  <c r="D123" i="4"/>
  <c r="P122" i="4"/>
  <c r="O122" i="4"/>
  <c r="Q122" i="4" s="1"/>
  <c r="E122" i="4"/>
  <c r="D122" i="4"/>
  <c r="P121" i="4"/>
  <c r="O121" i="4"/>
  <c r="Q121" i="4" s="1"/>
  <c r="E121" i="4"/>
  <c r="D121" i="4"/>
  <c r="P120" i="4"/>
  <c r="O120" i="4"/>
  <c r="Q120" i="4" s="1"/>
  <c r="E120" i="4"/>
  <c r="D120" i="4"/>
  <c r="P119" i="4"/>
  <c r="O119" i="4"/>
  <c r="Q119" i="4" s="1"/>
  <c r="E119" i="4"/>
  <c r="D119" i="4"/>
  <c r="P118" i="4"/>
  <c r="O118" i="4"/>
  <c r="Q118" i="4" s="1"/>
  <c r="E118" i="4"/>
  <c r="D118" i="4"/>
  <c r="P117" i="4"/>
  <c r="O117" i="4"/>
  <c r="Q117" i="4" s="1"/>
  <c r="E117" i="4"/>
  <c r="D117" i="4"/>
  <c r="P116" i="4"/>
  <c r="O116" i="4"/>
  <c r="Q116" i="4" s="1"/>
  <c r="E116" i="4"/>
  <c r="D116" i="4"/>
  <c r="P115" i="4"/>
  <c r="O115" i="4"/>
  <c r="Q115" i="4" s="1"/>
  <c r="E115" i="4"/>
  <c r="D115" i="4"/>
  <c r="P114" i="4"/>
  <c r="O114" i="4"/>
  <c r="Q114" i="4" s="1"/>
  <c r="E114" i="4"/>
  <c r="D114" i="4"/>
  <c r="P113" i="4"/>
  <c r="O113" i="4"/>
  <c r="Q113" i="4" s="1"/>
  <c r="E113" i="4"/>
  <c r="D113" i="4"/>
  <c r="P112" i="4"/>
  <c r="O112" i="4"/>
  <c r="Q112" i="4" s="1"/>
  <c r="E112" i="4"/>
  <c r="D112" i="4"/>
  <c r="P111" i="4"/>
  <c r="O111" i="4"/>
  <c r="Q111" i="4" s="1"/>
  <c r="E111" i="4"/>
  <c r="D111" i="4"/>
  <c r="P110" i="4"/>
  <c r="O110" i="4"/>
  <c r="Q110" i="4" s="1"/>
  <c r="E110" i="4"/>
  <c r="D110" i="4"/>
  <c r="P109" i="4"/>
  <c r="O109" i="4"/>
  <c r="Q109" i="4" s="1"/>
  <c r="E109" i="4"/>
  <c r="D109" i="4"/>
  <c r="P108" i="4"/>
  <c r="O108" i="4"/>
  <c r="Q108" i="4" s="1"/>
  <c r="E108" i="4"/>
  <c r="D108" i="4"/>
  <c r="P107" i="4"/>
  <c r="O107" i="4"/>
  <c r="Q107" i="4" s="1"/>
  <c r="E107" i="4"/>
  <c r="D107" i="4"/>
  <c r="P106" i="4"/>
  <c r="O106" i="4"/>
  <c r="Q106" i="4" s="1"/>
  <c r="E106" i="4"/>
  <c r="D106" i="4"/>
  <c r="P105" i="4"/>
  <c r="O105" i="4"/>
  <c r="Q105" i="4" s="1"/>
  <c r="E105" i="4"/>
  <c r="D105" i="4"/>
  <c r="P104" i="4"/>
  <c r="O104" i="4"/>
  <c r="Q104" i="4" s="1"/>
  <c r="E104" i="4"/>
  <c r="D104" i="4"/>
  <c r="P103" i="4"/>
  <c r="O103" i="4"/>
  <c r="Q103" i="4" s="1"/>
  <c r="E103" i="4"/>
  <c r="D103" i="4"/>
  <c r="P102" i="4"/>
  <c r="O102" i="4"/>
  <c r="Q102" i="4" s="1"/>
  <c r="E102" i="4"/>
  <c r="D102" i="4"/>
  <c r="P101" i="4"/>
  <c r="O101" i="4"/>
  <c r="Q101" i="4" s="1"/>
  <c r="E101" i="4"/>
  <c r="D101" i="4"/>
  <c r="P100" i="4"/>
  <c r="O100" i="4"/>
  <c r="Q100" i="4" s="1"/>
  <c r="E100" i="4"/>
  <c r="D100" i="4"/>
  <c r="P99" i="4"/>
  <c r="O99" i="4"/>
  <c r="Q99" i="4" s="1"/>
  <c r="E99" i="4"/>
  <c r="D99" i="4"/>
  <c r="P98" i="4"/>
  <c r="O98" i="4"/>
  <c r="Q98" i="4" s="1"/>
  <c r="E98" i="4"/>
  <c r="D98" i="4"/>
  <c r="P97" i="4"/>
  <c r="O97" i="4"/>
  <c r="Q97" i="4" s="1"/>
  <c r="E97" i="4"/>
  <c r="D97" i="4"/>
  <c r="P96" i="4"/>
  <c r="O96" i="4"/>
  <c r="Q96" i="4" s="1"/>
  <c r="E96" i="4"/>
  <c r="D96" i="4"/>
  <c r="P95" i="4"/>
  <c r="O95" i="4"/>
  <c r="Q95" i="4" s="1"/>
  <c r="E95" i="4"/>
  <c r="D95" i="4"/>
  <c r="P94" i="4"/>
  <c r="O94" i="4"/>
  <c r="Q94" i="4" s="1"/>
  <c r="E94" i="4"/>
  <c r="D94" i="4"/>
  <c r="P93" i="4"/>
  <c r="O93" i="4"/>
  <c r="Q93" i="4" s="1"/>
  <c r="E93" i="4"/>
  <c r="D93" i="4"/>
  <c r="P92" i="4"/>
  <c r="O92" i="4"/>
  <c r="Q92" i="4" s="1"/>
  <c r="E92" i="4"/>
  <c r="D92" i="4"/>
  <c r="P91" i="4"/>
  <c r="O91" i="4"/>
  <c r="Q91" i="4" s="1"/>
  <c r="E91" i="4"/>
  <c r="D91" i="4"/>
  <c r="P90" i="4"/>
  <c r="O90" i="4"/>
  <c r="Q90" i="4" s="1"/>
  <c r="E90" i="4"/>
  <c r="D90" i="4"/>
  <c r="P89" i="4"/>
  <c r="O89" i="4"/>
  <c r="Q89" i="4" s="1"/>
  <c r="E89" i="4"/>
  <c r="D89" i="4"/>
  <c r="P88" i="4"/>
  <c r="O88" i="4"/>
  <c r="Q88" i="4" s="1"/>
  <c r="E88" i="4"/>
  <c r="D88" i="4"/>
  <c r="P87" i="4"/>
  <c r="O87" i="4"/>
  <c r="Q87" i="4" s="1"/>
  <c r="E87" i="4"/>
  <c r="D87" i="4"/>
  <c r="P86" i="4"/>
  <c r="O86" i="4"/>
  <c r="Q86" i="4" s="1"/>
  <c r="E86" i="4"/>
  <c r="D86" i="4"/>
  <c r="P85" i="4"/>
  <c r="O85" i="4"/>
  <c r="Q85" i="4" s="1"/>
  <c r="E85" i="4"/>
  <c r="D85" i="4"/>
  <c r="P84" i="4"/>
  <c r="O84" i="4"/>
  <c r="Q84" i="4" s="1"/>
  <c r="E84" i="4"/>
  <c r="D84" i="4"/>
  <c r="P83" i="4"/>
  <c r="O83" i="4"/>
  <c r="Q83" i="4" s="1"/>
  <c r="E83" i="4"/>
  <c r="D83" i="4"/>
  <c r="P82" i="4"/>
  <c r="O82" i="4"/>
  <c r="Q82" i="4" s="1"/>
  <c r="E82" i="4"/>
  <c r="D82" i="4"/>
  <c r="P81" i="4"/>
  <c r="O81" i="4"/>
  <c r="Q81" i="4" s="1"/>
  <c r="E81" i="4"/>
  <c r="D81" i="4"/>
  <c r="P80" i="4"/>
  <c r="O80" i="4"/>
  <c r="Q80" i="4" s="1"/>
  <c r="E80" i="4"/>
  <c r="D80" i="4"/>
  <c r="P79" i="4"/>
  <c r="O79" i="4"/>
  <c r="Q79" i="4" s="1"/>
  <c r="E79" i="4"/>
  <c r="D79" i="4"/>
  <c r="P78" i="4"/>
  <c r="O78" i="4"/>
  <c r="Q78" i="4" s="1"/>
  <c r="E78" i="4"/>
  <c r="D78" i="4"/>
  <c r="P77" i="4"/>
  <c r="O77" i="4"/>
  <c r="Q77" i="4" s="1"/>
  <c r="E77" i="4"/>
  <c r="D77" i="4"/>
  <c r="P76" i="4"/>
  <c r="O76" i="4"/>
  <c r="Q76" i="4" s="1"/>
  <c r="E76" i="4"/>
  <c r="D76" i="4"/>
  <c r="P75" i="4"/>
  <c r="O75" i="4"/>
  <c r="Q75" i="4" s="1"/>
  <c r="E75" i="4"/>
  <c r="D75" i="4"/>
  <c r="P74" i="4"/>
  <c r="O74" i="4"/>
  <c r="Q74" i="4" s="1"/>
  <c r="E74" i="4"/>
  <c r="D74" i="4"/>
  <c r="P73" i="4"/>
  <c r="O73" i="4"/>
  <c r="Q73" i="4" s="1"/>
  <c r="E73" i="4"/>
  <c r="D73" i="4"/>
  <c r="P72" i="4"/>
  <c r="O72" i="4"/>
  <c r="Q72" i="4" s="1"/>
  <c r="E72" i="4"/>
  <c r="D72" i="4"/>
  <c r="P71" i="4"/>
  <c r="O71" i="4"/>
  <c r="Q71" i="4" s="1"/>
  <c r="E71" i="4"/>
  <c r="D71" i="4"/>
  <c r="P70" i="4"/>
  <c r="O70" i="4"/>
  <c r="Q70" i="4" s="1"/>
  <c r="E70" i="4"/>
  <c r="D70" i="4"/>
  <c r="P69" i="4"/>
  <c r="O69" i="4"/>
  <c r="Q69" i="4" s="1"/>
  <c r="E69" i="4"/>
  <c r="D69" i="4"/>
  <c r="P68" i="4"/>
  <c r="O68" i="4"/>
  <c r="Q68" i="4" s="1"/>
  <c r="E68" i="4"/>
  <c r="D68" i="4"/>
  <c r="P67" i="4"/>
  <c r="O67" i="4"/>
  <c r="Q67" i="4" s="1"/>
  <c r="E67" i="4"/>
  <c r="D67" i="4"/>
  <c r="P66" i="4"/>
  <c r="O66" i="4"/>
  <c r="Q66" i="4" s="1"/>
  <c r="E66" i="4"/>
  <c r="D66" i="4"/>
  <c r="P65" i="4"/>
  <c r="O65" i="4"/>
  <c r="Q65" i="4" s="1"/>
  <c r="E65" i="4"/>
  <c r="D65" i="4"/>
  <c r="P64" i="4"/>
  <c r="O64" i="4"/>
  <c r="Q64" i="4" s="1"/>
  <c r="E64" i="4"/>
  <c r="D64" i="4"/>
  <c r="P63" i="4"/>
  <c r="O63" i="4"/>
  <c r="Q63" i="4" s="1"/>
  <c r="E63" i="4"/>
  <c r="D63" i="4"/>
  <c r="P62" i="4"/>
  <c r="O62" i="4"/>
  <c r="Q62" i="4" s="1"/>
  <c r="E62" i="4"/>
  <c r="D62" i="4"/>
  <c r="P61" i="4"/>
  <c r="O61" i="4"/>
  <c r="Q61" i="4" s="1"/>
  <c r="E61" i="4"/>
  <c r="D61" i="4"/>
  <c r="P60" i="4"/>
  <c r="O60" i="4"/>
  <c r="Q60" i="4" s="1"/>
  <c r="E60" i="4"/>
  <c r="D60" i="4"/>
  <c r="P59" i="4"/>
  <c r="O59" i="4"/>
  <c r="Q59" i="4" s="1"/>
  <c r="E59" i="4"/>
  <c r="D59" i="4"/>
  <c r="P58" i="4"/>
  <c r="O58" i="4"/>
  <c r="Q58" i="4" s="1"/>
  <c r="E58" i="4"/>
  <c r="D58" i="4"/>
  <c r="P57" i="4"/>
  <c r="O57" i="4"/>
  <c r="Q57" i="4" s="1"/>
  <c r="E57" i="4"/>
  <c r="D57" i="4"/>
  <c r="P56" i="4"/>
  <c r="O56" i="4"/>
  <c r="Q56" i="4" s="1"/>
  <c r="E56" i="4"/>
  <c r="D56" i="4"/>
  <c r="P55" i="4"/>
  <c r="O55" i="4"/>
  <c r="Q55" i="4" s="1"/>
  <c r="E55" i="4"/>
  <c r="D55" i="4"/>
  <c r="P54" i="4"/>
  <c r="O54" i="4"/>
  <c r="Q54" i="4" s="1"/>
  <c r="E54" i="4"/>
  <c r="D54" i="4"/>
  <c r="P53" i="4"/>
  <c r="O53" i="4"/>
  <c r="Q53" i="4" s="1"/>
  <c r="E53" i="4"/>
  <c r="D53" i="4"/>
  <c r="P52" i="4"/>
  <c r="O52" i="4"/>
  <c r="Q52" i="4" s="1"/>
  <c r="E52" i="4"/>
  <c r="D52" i="4"/>
  <c r="P51" i="4"/>
  <c r="O51" i="4"/>
  <c r="Q51" i="4" s="1"/>
  <c r="E51" i="4"/>
  <c r="D51" i="4"/>
  <c r="P50" i="4"/>
  <c r="O50" i="4"/>
  <c r="Q50" i="4" s="1"/>
  <c r="E50" i="4"/>
  <c r="D50" i="4"/>
  <c r="P49" i="4"/>
  <c r="O49" i="4"/>
  <c r="Q49" i="4" s="1"/>
  <c r="E49" i="4"/>
  <c r="D49" i="4"/>
  <c r="P48" i="4"/>
  <c r="O48" i="4"/>
  <c r="Q48" i="4" s="1"/>
  <c r="E48" i="4"/>
  <c r="D48" i="4"/>
  <c r="P47" i="4"/>
  <c r="O47" i="4"/>
  <c r="Q47" i="4" s="1"/>
  <c r="E47" i="4"/>
  <c r="D47" i="4"/>
  <c r="P46" i="4"/>
  <c r="O46" i="4"/>
  <c r="Q46" i="4" s="1"/>
  <c r="E46" i="4"/>
  <c r="D46" i="4"/>
  <c r="P45" i="4"/>
  <c r="O45" i="4"/>
  <c r="Q45" i="4" s="1"/>
  <c r="E45" i="4"/>
  <c r="D45" i="4"/>
  <c r="P44" i="4"/>
  <c r="O44" i="4"/>
  <c r="Q44" i="4" s="1"/>
  <c r="E44" i="4"/>
  <c r="D44" i="4"/>
  <c r="P43" i="4"/>
  <c r="O43" i="4"/>
  <c r="Q43" i="4" s="1"/>
  <c r="E43" i="4"/>
  <c r="D43" i="4"/>
  <c r="P42" i="4"/>
  <c r="O42" i="4"/>
  <c r="Q42" i="4" s="1"/>
  <c r="E42" i="4"/>
  <c r="D42" i="4"/>
  <c r="P41" i="4"/>
  <c r="O41" i="4"/>
  <c r="Q41" i="4" s="1"/>
  <c r="E41" i="4"/>
  <c r="D41" i="4"/>
  <c r="P40" i="4"/>
  <c r="O40" i="4"/>
  <c r="Q40" i="4" s="1"/>
  <c r="E40" i="4"/>
  <c r="D40" i="4"/>
  <c r="P39" i="4"/>
  <c r="O39" i="4"/>
  <c r="Q39" i="4" s="1"/>
  <c r="E39" i="4"/>
  <c r="D39" i="4"/>
  <c r="P38" i="4"/>
  <c r="O38" i="4"/>
  <c r="Q38" i="4" s="1"/>
  <c r="E38" i="4"/>
  <c r="D38" i="4"/>
  <c r="P37" i="4"/>
  <c r="O37" i="4"/>
  <c r="Q37" i="4" s="1"/>
  <c r="E37" i="4"/>
  <c r="D37" i="4"/>
  <c r="P36" i="4"/>
  <c r="O36" i="4"/>
  <c r="Q36" i="4" s="1"/>
  <c r="E36" i="4"/>
  <c r="D36" i="4"/>
  <c r="P35" i="4"/>
  <c r="O35" i="4"/>
  <c r="Q35" i="4" s="1"/>
  <c r="E35" i="4"/>
  <c r="D35" i="4"/>
  <c r="P34" i="4"/>
  <c r="O34" i="4"/>
  <c r="Q34" i="4" s="1"/>
  <c r="E34" i="4"/>
  <c r="D34" i="4"/>
  <c r="P33" i="4"/>
  <c r="O33" i="4"/>
  <c r="Q33" i="4" s="1"/>
  <c r="E33" i="4"/>
  <c r="D33" i="4"/>
  <c r="P32" i="4"/>
  <c r="O32" i="4"/>
  <c r="Q32" i="4" s="1"/>
  <c r="E32" i="4"/>
  <c r="D32" i="4"/>
  <c r="P31" i="4"/>
  <c r="O31" i="4"/>
  <c r="Q31" i="4" s="1"/>
  <c r="E31" i="4"/>
  <c r="D31" i="4"/>
  <c r="P30" i="4"/>
  <c r="O30" i="4"/>
  <c r="Q30" i="4" s="1"/>
  <c r="E30" i="4"/>
  <c r="D30" i="4"/>
  <c r="P29" i="4"/>
  <c r="O29" i="4"/>
  <c r="Q29" i="4" s="1"/>
  <c r="E29" i="4"/>
  <c r="D29" i="4"/>
  <c r="P28" i="4"/>
  <c r="O28" i="4"/>
  <c r="Q28" i="4" s="1"/>
  <c r="E28" i="4"/>
  <c r="D28" i="4"/>
  <c r="P27" i="4"/>
  <c r="O27" i="4"/>
  <c r="Q27" i="4" s="1"/>
  <c r="E27" i="4"/>
  <c r="D27" i="4"/>
  <c r="P26" i="4"/>
  <c r="O26" i="4"/>
  <c r="Q26" i="4" s="1"/>
  <c r="E26" i="4"/>
  <c r="D26" i="4"/>
  <c r="P25" i="4"/>
  <c r="O25" i="4"/>
  <c r="Q25" i="4" s="1"/>
  <c r="E25" i="4"/>
  <c r="D25" i="4"/>
  <c r="P24" i="4"/>
  <c r="O24" i="4"/>
  <c r="Q24" i="4" s="1"/>
  <c r="E24" i="4"/>
  <c r="D24" i="4"/>
  <c r="P23" i="4"/>
  <c r="O23" i="4"/>
  <c r="Q23" i="4" s="1"/>
  <c r="E23" i="4"/>
  <c r="D23" i="4"/>
  <c r="P22" i="4"/>
  <c r="O22" i="4"/>
  <c r="Q22" i="4" s="1"/>
  <c r="E22" i="4"/>
  <c r="D22" i="4"/>
  <c r="P21" i="4"/>
  <c r="O21" i="4"/>
  <c r="Q21" i="4" s="1"/>
  <c r="E21" i="4"/>
  <c r="D21" i="4"/>
  <c r="P20" i="4"/>
  <c r="O20" i="4"/>
  <c r="Q20" i="4" s="1"/>
  <c r="E20" i="4"/>
  <c r="D20" i="4"/>
  <c r="P19" i="4"/>
  <c r="O19" i="4"/>
  <c r="Q19" i="4" s="1"/>
  <c r="E19" i="4"/>
  <c r="D19" i="4"/>
  <c r="P18" i="4"/>
  <c r="O18" i="4"/>
  <c r="Q18" i="4" s="1"/>
  <c r="E18" i="4"/>
  <c r="D18" i="4"/>
  <c r="P17" i="4"/>
  <c r="O17" i="4"/>
  <c r="Q17" i="4" s="1"/>
  <c r="E17" i="4"/>
  <c r="D17" i="4"/>
  <c r="P16" i="4"/>
  <c r="O16" i="4"/>
  <c r="Q16" i="4" s="1"/>
  <c r="E16" i="4"/>
  <c r="D16" i="4"/>
  <c r="P15" i="4"/>
  <c r="O15" i="4"/>
  <c r="Q15" i="4" s="1"/>
  <c r="E15" i="4"/>
  <c r="D15" i="4"/>
  <c r="P14" i="4"/>
  <c r="O14" i="4"/>
  <c r="Q14" i="4" s="1"/>
  <c r="E14" i="4"/>
  <c r="D14" i="4"/>
  <c r="P13" i="4"/>
  <c r="O13" i="4"/>
  <c r="Q13" i="4" s="1"/>
  <c r="E13" i="4"/>
  <c r="M13" i="4" s="1"/>
  <c r="D13" i="4"/>
  <c r="P12" i="4"/>
  <c r="O12" i="4"/>
  <c r="Q12" i="4" s="1"/>
  <c r="E12" i="4"/>
  <c r="M12" i="4" s="1"/>
  <c r="D12" i="4"/>
  <c r="P11" i="4"/>
  <c r="O11" i="4"/>
  <c r="Q11" i="4" s="1"/>
  <c r="E11" i="4"/>
  <c r="M11" i="4" s="1"/>
  <c r="D11" i="4"/>
  <c r="P10" i="4"/>
  <c r="O10" i="4"/>
  <c r="Q10" i="4" s="1"/>
  <c r="E10" i="4"/>
  <c r="M10" i="4" s="1"/>
  <c r="D10" i="4"/>
  <c r="P9" i="4"/>
  <c r="O9" i="4"/>
  <c r="Q9" i="4" s="1"/>
  <c r="E9" i="4"/>
  <c r="M9" i="4" s="1"/>
  <c r="D9" i="4"/>
  <c r="P8" i="4"/>
  <c r="O8" i="4"/>
  <c r="Q8" i="4" s="1"/>
  <c r="E8" i="4"/>
  <c r="M8" i="4" s="1"/>
  <c r="D8" i="4"/>
  <c r="P7" i="4"/>
  <c r="O7" i="4"/>
  <c r="Q7" i="4" s="1"/>
  <c r="E7" i="4"/>
  <c r="M7" i="4" s="1"/>
  <c r="D7" i="4"/>
  <c r="P6" i="4"/>
  <c r="O6" i="4"/>
  <c r="Q6" i="4" s="1"/>
  <c r="E6" i="4"/>
  <c r="M6" i="4" s="1"/>
  <c r="D6" i="4"/>
  <c r="P5" i="4"/>
  <c r="O5" i="4"/>
  <c r="Q5" i="4" s="1"/>
  <c r="E5" i="4"/>
  <c r="M5" i="4" s="1"/>
  <c r="D5" i="4"/>
  <c r="P4" i="4"/>
  <c r="O4" i="4"/>
  <c r="Q4" i="4" s="1"/>
  <c r="E4" i="4"/>
  <c r="M4" i="4" s="1"/>
  <c r="D4" i="4"/>
  <c r="P3" i="4"/>
  <c r="O3" i="4"/>
  <c r="Q3" i="4" s="1"/>
  <c r="E3" i="4"/>
  <c r="M3" i="4" s="1"/>
  <c r="D3" i="4"/>
  <c r="P2" i="4"/>
  <c r="O2" i="4"/>
  <c r="Q2" i="4" s="1"/>
  <c r="E2" i="4"/>
  <c r="D2" i="4"/>
  <c r="F2" i="4" s="1"/>
  <c r="N99" i="3"/>
  <c r="M99" i="3"/>
  <c r="O99" i="3" s="1"/>
  <c r="C99" i="3"/>
  <c r="B99" i="3"/>
  <c r="D99" i="3" s="1"/>
  <c r="B96" i="3"/>
  <c r="B95" i="3"/>
  <c r="C96" i="3" s="1"/>
  <c r="N92" i="3"/>
  <c r="M92" i="3"/>
  <c r="O92" i="3" s="1"/>
  <c r="C92" i="3"/>
  <c r="B92" i="3"/>
  <c r="N91" i="3"/>
  <c r="M91" i="3"/>
  <c r="O91" i="3" s="1"/>
  <c r="C91" i="3"/>
  <c r="B91" i="3"/>
  <c r="N90" i="3"/>
  <c r="M90" i="3"/>
  <c r="O90" i="3" s="1"/>
  <c r="C90" i="3"/>
  <c r="B90" i="3"/>
  <c r="N89" i="3"/>
  <c r="M89" i="3"/>
  <c r="O89" i="3" s="1"/>
  <c r="C89" i="3"/>
  <c r="B89" i="3"/>
  <c r="N88" i="3"/>
  <c r="M88" i="3"/>
  <c r="O88" i="3" s="1"/>
  <c r="C88" i="3"/>
  <c r="B88" i="3"/>
  <c r="N87" i="3"/>
  <c r="M87" i="3"/>
  <c r="O87" i="3" s="1"/>
  <c r="C87" i="3"/>
  <c r="B87" i="3"/>
  <c r="N86" i="3"/>
  <c r="M86" i="3"/>
  <c r="O86" i="3" s="1"/>
  <c r="C86" i="3"/>
  <c r="B86" i="3"/>
  <c r="N85" i="3"/>
  <c r="M85" i="3"/>
  <c r="O85" i="3" s="1"/>
  <c r="C85" i="3"/>
  <c r="B85" i="3"/>
  <c r="N84" i="3"/>
  <c r="M84" i="3"/>
  <c r="O84" i="3" s="1"/>
  <c r="C84" i="3"/>
  <c r="B84" i="3"/>
  <c r="N83" i="3"/>
  <c r="M83" i="3"/>
  <c r="O83" i="3" s="1"/>
  <c r="C83" i="3"/>
  <c r="B83" i="3"/>
  <c r="N82" i="3"/>
  <c r="M82" i="3"/>
  <c r="O82" i="3" s="1"/>
  <c r="C82" i="3"/>
  <c r="B82" i="3"/>
  <c r="N81" i="3"/>
  <c r="M81" i="3"/>
  <c r="O81" i="3" s="1"/>
  <c r="C81" i="3"/>
  <c r="B81" i="3"/>
  <c r="N80" i="3"/>
  <c r="M80" i="3"/>
  <c r="O80" i="3" s="1"/>
  <c r="C80" i="3"/>
  <c r="B80" i="3"/>
  <c r="N79" i="3"/>
  <c r="M79" i="3"/>
  <c r="O79" i="3" s="1"/>
  <c r="C79" i="3"/>
  <c r="B79" i="3"/>
  <c r="N78" i="3"/>
  <c r="M78" i="3"/>
  <c r="O78" i="3" s="1"/>
  <c r="C78" i="3"/>
  <c r="B78" i="3"/>
  <c r="N77" i="3"/>
  <c r="M77" i="3"/>
  <c r="O77" i="3" s="1"/>
  <c r="C77" i="3"/>
  <c r="B77" i="3"/>
  <c r="N76" i="3"/>
  <c r="M76" i="3"/>
  <c r="O76" i="3" s="1"/>
  <c r="C76" i="3"/>
  <c r="B76" i="3"/>
  <c r="N75" i="3"/>
  <c r="M75" i="3"/>
  <c r="O75" i="3" s="1"/>
  <c r="C75" i="3"/>
  <c r="B75" i="3"/>
  <c r="N74" i="3"/>
  <c r="M74" i="3"/>
  <c r="O74" i="3" s="1"/>
  <c r="C74" i="3"/>
  <c r="B74" i="3"/>
  <c r="N73" i="3"/>
  <c r="M73" i="3"/>
  <c r="O73" i="3" s="1"/>
  <c r="C73" i="3"/>
  <c r="B73" i="3"/>
  <c r="N72" i="3"/>
  <c r="M72" i="3"/>
  <c r="O72" i="3" s="1"/>
  <c r="C72" i="3"/>
  <c r="B72" i="3"/>
  <c r="N71" i="3"/>
  <c r="M71" i="3"/>
  <c r="O71" i="3" s="1"/>
  <c r="C71" i="3"/>
  <c r="B71" i="3"/>
  <c r="N70" i="3"/>
  <c r="M70" i="3"/>
  <c r="O70" i="3" s="1"/>
  <c r="C70" i="3"/>
  <c r="B70" i="3"/>
  <c r="N69" i="3"/>
  <c r="M69" i="3"/>
  <c r="O69" i="3" s="1"/>
  <c r="C69" i="3"/>
  <c r="B69" i="3"/>
  <c r="N68" i="3"/>
  <c r="M68" i="3"/>
  <c r="O68" i="3" s="1"/>
  <c r="C68" i="3"/>
  <c r="B68" i="3"/>
  <c r="N67" i="3"/>
  <c r="M67" i="3"/>
  <c r="O67" i="3" s="1"/>
  <c r="C67" i="3"/>
  <c r="B67" i="3"/>
  <c r="N66" i="3"/>
  <c r="M66" i="3"/>
  <c r="O66" i="3" s="1"/>
  <c r="C66" i="3"/>
  <c r="B66" i="3"/>
  <c r="N65" i="3"/>
  <c r="M65" i="3"/>
  <c r="O65" i="3" s="1"/>
  <c r="C65" i="3"/>
  <c r="B65" i="3"/>
  <c r="N64" i="3"/>
  <c r="M64" i="3"/>
  <c r="O64" i="3" s="1"/>
  <c r="C64" i="3"/>
  <c r="B64" i="3"/>
  <c r="N63" i="3"/>
  <c r="M63" i="3"/>
  <c r="O63" i="3" s="1"/>
  <c r="C63" i="3"/>
  <c r="B63" i="3"/>
  <c r="N62" i="3"/>
  <c r="M62" i="3"/>
  <c r="O62" i="3" s="1"/>
  <c r="C62" i="3"/>
  <c r="B62" i="3"/>
  <c r="N61" i="3"/>
  <c r="M61" i="3"/>
  <c r="O61" i="3" s="1"/>
  <c r="C61" i="3"/>
  <c r="B61" i="3"/>
  <c r="N60" i="3"/>
  <c r="M60" i="3"/>
  <c r="O60" i="3" s="1"/>
  <c r="C60" i="3"/>
  <c r="B60" i="3"/>
  <c r="N59" i="3"/>
  <c r="M59" i="3"/>
  <c r="O59" i="3" s="1"/>
  <c r="C59" i="3"/>
  <c r="B59" i="3"/>
  <c r="N58" i="3"/>
  <c r="M58" i="3"/>
  <c r="O58" i="3" s="1"/>
  <c r="C58" i="3"/>
  <c r="B58" i="3"/>
  <c r="N57" i="3"/>
  <c r="M57" i="3"/>
  <c r="O57" i="3" s="1"/>
  <c r="C57" i="3"/>
  <c r="B57" i="3"/>
  <c r="N56" i="3"/>
  <c r="M56" i="3"/>
  <c r="O56" i="3" s="1"/>
  <c r="C56" i="3"/>
  <c r="B56" i="3"/>
  <c r="N55" i="3"/>
  <c r="M55" i="3"/>
  <c r="O55" i="3" s="1"/>
  <c r="C55" i="3"/>
  <c r="B55" i="3"/>
  <c r="N54" i="3"/>
  <c r="M54" i="3"/>
  <c r="O54" i="3" s="1"/>
  <c r="C54" i="3"/>
  <c r="B54" i="3"/>
  <c r="N53" i="3"/>
  <c r="M53" i="3"/>
  <c r="O53" i="3" s="1"/>
  <c r="C53" i="3"/>
  <c r="B53" i="3"/>
  <c r="N52" i="3"/>
  <c r="M52" i="3"/>
  <c r="O52" i="3" s="1"/>
  <c r="C52" i="3"/>
  <c r="B52" i="3"/>
  <c r="N51" i="3"/>
  <c r="M51" i="3"/>
  <c r="O51" i="3" s="1"/>
  <c r="C51" i="3"/>
  <c r="B51" i="3"/>
  <c r="N50" i="3"/>
  <c r="M50" i="3"/>
  <c r="O50" i="3" s="1"/>
  <c r="C50" i="3"/>
  <c r="B50" i="3"/>
  <c r="N49" i="3"/>
  <c r="M49" i="3"/>
  <c r="O49" i="3" s="1"/>
  <c r="C49" i="3"/>
  <c r="B49" i="3"/>
  <c r="N48" i="3"/>
  <c r="M48" i="3"/>
  <c r="O48" i="3" s="1"/>
  <c r="C48" i="3"/>
  <c r="B48" i="3"/>
  <c r="N47" i="3"/>
  <c r="M47" i="3"/>
  <c r="O47" i="3" s="1"/>
  <c r="C47" i="3"/>
  <c r="B47" i="3"/>
  <c r="N46" i="3"/>
  <c r="M46" i="3"/>
  <c r="O46" i="3" s="1"/>
  <c r="C46" i="3"/>
  <c r="B46" i="3"/>
  <c r="N45" i="3"/>
  <c r="M45" i="3"/>
  <c r="O45" i="3" s="1"/>
  <c r="C45" i="3"/>
  <c r="B45" i="3"/>
  <c r="N44" i="3"/>
  <c r="M44" i="3"/>
  <c r="O44" i="3" s="1"/>
  <c r="C44" i="3"/>
  <c r="B44" i="3"/>
  <c r="N43" i="3"/>
  <c r="M43" i="3"/>
  <c r="O43" i="3" s="1"/>
  <c r="C43" i="3"/>
  <c r="B43" i="3"/>
  <c r="N42" i="3"/>
  <c r="M42" i="3"/>
  <c r="O42" i="3" s="1"/>
  <c r="C42" i="3"/>
  <c r="B42" i="3"/>
  <c r="N41" i="3"/>
  <c r="M41" i="3"/>
  <c r="O41" i="3" s="1"/>
  <c r="C41" i="3"/>
  <c r="B41" i="3"/>
  <c r="N40" i="3"/>
  <c r="M40" i="3"/>
  <c r="O40" i="3" s="1"/>
  <c r="C40" i="3"/>
  <c r="B40" i="3"/>
  <c r="N39" i="3"/>
  <c r="M39" i="3"/>
  <c r="O39" i="3" s="1"/>
  <c r="C39" i="3"/>
  <c r="B39" i="3"/>
  <c r="N38" i="3"/>
  <c r="M38" i="3"/>
  <c r="O38" i="3" s="1"/>
  <c r="C38" i="3"/>
  <c r="B38" i="3"/>
  <c r="N37" i="3"/>
  <c r="M37" i="3"/>
  <c r="O37" i="3" s="1"/>
  <c r="C37" i="3"/>
  <c r="B37" i="3"/>
  <c r="N36" i="3"/>
  <c r="M36" i="3"/>
  <c r="O36" i="3" s="1"/>
  <c r="C36" i="3"/>
  <c r="B36" i="3"/>
  <c r="N35" i="3"/>
  <c r="M35" i="3"/>
  <c r="O35" i="3" s="1"/>
  <c r="C35" i="3"/>
  <c r="B35" i="3"/>
  <c r="N34" i="3"/>
  <c r="M34" i="3"/>
  <c r="O34" i="3" s="1"/>
  <c r="C34" i="3"/>
  <c r="B34" i="3"/>
  <c r="N33" i="3"/>
  <c r="M33" i="3"/>
  <c r="O33" i="3" s="1"/>
  <c r="C33" i="3"/>
  <c r="B33" i="3"/>
  <c r="N32" i="3"/>
  <c r="M32" i="3"/>
  <c r="O32" i="3" s="1"/>
  <c r="C32" i="3"/>
  <c r="B32" i="3"/>
  <c r="N31" i="3"/>
  <c r="M31" i="3"/>
  <c r="O31" i="3" s="1"/>
  <c r="C31" i="3"/>
  <c r="B31" i="3"/>
  <c r="N30" i="3"/>
  <c r="M30" i="3"/>
  <c r="O30" i="3" s="1"/>
  <c r="C30" i="3"/>
  <c r="B30" i="3"/>
  <c r="N29" i="3"/>
  <c r="M29" i="3"/>
  <c r="O29" i="3" s="1"/>
  <c r="C29" i="3"/>
  <c r="B29" i="3"/>
  <c r="N28" i="3"/>
  <c r="M28" i="3"/>
  <c r="O28" i="3" s="1"/>
  <c r="C28" i="3"/>
  <c r="B28" i="3"/>
  <c r="N27" i="3"/>
  <c r="M27" i="3"/>
  <c r="O27" i="3" s="1"/>
  <c r="C27" i="3"/>
  <c r="B27" i="3"/>
  <c r="N26" i="3"/>
  <c r="M26" i="3"/>
  <c r="O26" i="3" s="1"/>
  <c r="C26" i="3"/>
  <c r="B26" i="3"/>
  <c r="N25" i="3"/>
  <c r="M25" i="3"/>
  <c r="O25" i="3" s="1"/>
  <c r="C25" i="3"/>
  <c r="B25" i="3"/>
  <c r="N24" i="3"/>
  <c r="M24" i="3"/>
  <c r="O24" i="3" s="1"/>
  <c r="C24" i="3"/>
  <c r="B24" i="3"/>
  <c r="N23" i="3"/>
  <c r="M23" i="3"/>
  <c r="O23" i="3" s="1"/>
  <c r="C23" i="3"/>
  <c r="B23" i="3"/>
  <c r="N22" i="3"/>
  <c r="M22" i="3"/>
  <c r="O22" i="3" s="1"/>
  <c r="C22" i="3"/>
  <c r="B22" i="3"/>
  <c r="N21" i="3"/>
  <c r="M21" i="3"/>
  <c r="O21" i="3" s="1"/>
  <c r="C21" i="3"/>
  <c r="B21" i="3"/>
  <c r="N20" i="3"/>
  <c r="M20" i="3"/>
  <c r="O20" i="3" s="1"/>
  <c r="C20" i="3"/>
  <c r="B20" i="3"/>
  <c r="N19" i="3"/>
  <c r="M19" i="3"/>
  <c r="O19" i="3" s="1"/>
  <c r="C19" i="3"/>
  <c r="B19" i="3"/>
  <c r="N18" i="3"/>
  <c r="M18" i="3"/>
  <c r="O18" i="3" s="1"/>
  <c r="C18" i="3"/>
  <c r="B18" i="3"/>
  <c r="N17" i="3"/>
  <c r="M17" i="3"/>
  <c r="O17" i="3" s="1"/>
  <c r="C17" i="3"/>
  <c r="B17" i="3"/>
  <c r="N16" i="3"/>
  <c r="M16" i="3"/>
  <c r="O16" i="3" s="1"/>
  <c r="C16" i="3"/>
  <c r="B16" i="3"/>
  <c r="N15" i="3"/>
  <c r="M15" i="3"/>
  <c r="O15" i="3" s="1"/>
  <c r="C15" i="3"/>
  <c r="B15" i="3"/>
  <c r="N14" i="3"/>
  <c r="M14" i="3"/>
  <c r="O14" i="3" s="1"/>
  <c r="C14" i="3"/>
  <c r="B14" i="3"/>
  <c r="N13" i="3"/>
  <c r="M13" i="3"/>
  <c r="O13" i="3" s="1"/>
  <c r="C13" i="3"/>
  <c r="B13" i="3"/>
  <c r="N12" i="3"/>
  <c r="M12" i="3"/>
  <c r="O12" i="3" s="1"/>
  <c r="C12" i="3"/>
  <c r="B12" i="3"/>
  <c r="N11" i="3"/>
  <c r="M11" i="3"/>
  <c r="O11" i="3" s="1"/>
  <c r="C11" i="3"/>
  <c r="B11" i="3"/>
  <c r="N10" i="3"/>
  <c r="M10" i="3"/>
  <c r="O10" i="3" s="1"/>
  <c r="C10" i="3"/>
  <c r="B10" i="3"/>
  <c r="N9" i="3"/>
  <c r="M9" i="3"/>
  <c r="O9" i="3" s="1"/>
  <c r="C9" i="3"/>
  <c r="B9" i="3"/>
  <c r="N8" i="3"/>
  <c r="M8" i="3"/>
  <c r="O8" i="3" s="1"/>
  <c r="C8" i="3"/>
  <c r="B8" i="3"/>
  <c r="N7" i="3"/>
  <c r="M7" i="3"/>
  <c r="O7" i="3" s="1"/>
  <c r="C7" i="3"/>
  <c r="B7" i="3"/>
  <c r="N6" i="3"/>
  <c r="M6" i="3"/>
  <c r="O6" i="3" s="1"/>
  <c r="C6" i="3"/>
  <c r="B6" i="3"/>
  <c r="N5" i="3"/>
  <c r="M5" i="3"/>
  <c r="O5" i="3" s="1"/>
  <c r="C5" i="3"/>
  <c r="K5" i="3" s="1"/>
  <c r="B5" i="3"/>
  <c r="N4" i="3"/>
  <c r="M4" i="3"/>
  <c r="O4" i="3" s="1"/>
  <c r="C4" i="3"/>
  <c r="K4" i="3" s="1"/>
  <c r="B4" i="3"/>
  <c r="N3" i="3"/>
  <c r="M3" i="3"/>
  <c r="O3" i="3" s="1"/>
  <c r="C3" i="3"/>
  <c r="K3" i="3" s="1"/>
  <c r="B3" i="3"/>
  <c r="N2" i="3"/>
  <c r="M2" i="3"/>
  <c r="O2" i="3" s="1"/>
  <c r="C2" i="3"/>
  <c r="B2" i="3"/>
  <c r="D2" i="3" s="1"/>
  <c r="K32" i="2"/>
  <c r="J32" i="2"/>
  <c r="L32" i="2" s="1"/>
  <c r="C32" i="2"/>
  <c r="B32" i="2"/>
  <c r="D32" i="2" s="1"/>
  <c r="B29" i="2"/>
  <c r="B28" i="2"/>
  <c r="C29" i="2" s="1"/>
  <c r="K25" i="2"/>
  <c r="J25" i="2"/>
  <c r="L25" i="2" s="1"/>
  <c r="C25" i="2"/>
  <c r="H25" i="2" s="1"/>
  <c r="B25" i="2"/>
  <c r="K24" i="2"/>
  <c r="J24" i="2"/>
  <c r="L24" i="2" s="1"/>
  <c r="C24" i="2"/>
  <c r="H24" i="2" s="1"/>
  <c r="B24" i="2"/>
  <c r="K23" i="2"/>
  <c r="J23" i="2"/>
  <c r="L23" i="2" s="1"/>
  <c r="C23" i="2"/>
  <c r="H23" i="2" s="1"/>
  <c r="B23" i="2"/>
  <c r="K22" i="2"/>
  <c r="J22" i="2"/>
  <c r="L22" i="2" s="1"/>
  <c r="C22" i="2"/>
  <c r="H22" i="2" s="1"/>
  <c r="B22" i="2"/>
  <c r="K21" i="2"/>
  <c r="J21" i="2"/>
  <c r="L21" i="2" s="1"/>
  <c r="C21" i="2"/>
  <c r="H21" i="2" s="1"/>
  <c r="B21" i="2"/>
  <c r="K20" i="2"/>
  <c r="J20" i="2"/>
  <c r="L20" i="2" s="1"/>
  <c r="C20" i="2"/>
  <c r="H20" i="2" s="1"/>
  <c r="B20" i="2"/>
  <c r="K19" i="2"/>
  <c r="J19" i="2"/>
  <c r="L19" i="2" s="1"/>
  <c r="C19" i="2"/>
  <c r="H19" i="2" s="1"/>
  <c r="B19" i="2"/>
  <c r="K18" i="2"/>
  <c r="J18" i="2"/>
  <c r="L18" i="2" s="1"/>
  <c r="C18" i="2"/>
  <c r="H18" i="2" s="1"/>
  <c r="B18" i="2"/>
  <c r="K17" i="2"/>
  <c r="J17" i="2"/>
  <c r="L17" i="2" s="1"/>
  <c r="C17" i="2"/>
  <c r="H17" i="2" s="1"/>
  <c r="B17" i="2"/>
  <c r="K16" i="2"/>
  <c r="J16" i="2"/>
  <c r="L16" i="2" s="1"/>
  <c r="C16" i="2"/>
  <c r="H16" i="2" s="1"/>
  <c r="B16" i="2"/>
  <c r="K15" i="2"/>
  <c r="J15" i="2"/>
  <c r="L15" i="2" s="1"/>
  <c r="C15" i="2"/>
  <c r="H15" i="2" s="1"/>
  <c r="B15" i="2"/>
  <c r="K14" i="2"/>
  <c r="J14" i="2"/>
  <c r="L14" i="2" s="1"/>
  <c r="C14" i="2"/>
  <c r="H14" i="2" s="1"/>
  <c r="B14" i="2"/>
  <c r="K13" i="2"/>
  <c r="J13" i="2"/>
  <c r="L13" i="2" s="1"/>
  <c r="C13" i="2"/>
  <c r="H13" i="2" s="1"/>
  <c r="B13" i="2"/>
  <c r="K12" i="2"/>
  <c r="J12" i="2"/>
  <c r="L12" i="2" s="1"/>
  <c r="C12" i="2"/>
  <c r="H12" i="2" s="1"/>
  <c r="B12" i="2"/>
  <c r="K11" i="2"/>
  <c r="J11" i="2"/>
  <c r="L11" i="2" s="1"/>
  <c r="C11" i="2"/>
  <c r="H11" i="2" s="1"/>
  <c r="B11" i="2"/>
  <c r="K10" i="2"/>
  <c r="J10" i="2"/>
  <c r="L10" i="2" s="1"/>
  <c r="C10" i="2"/>
  <c r="H10" i="2" s="1"/>
  <c r="B10" i="2"/>
  <c r="K9" i="2"/>
  <c r="J9" i="2"/>
  <c r="L9" i="2" s="1"/>
  <c r="C9" i="2"/>
  <c r="H9" i="2" s="1"/>
  <c r="B9" i="2"/>
  <c r="K8" i="2"/>
  <c r="J8" i="2"/>
  <c r="L8" i="2" s="1"/>
  <c r="C8" i="2"/>
  <c r="H8" i="2" s="1"/>
  <c r="B8" i="2"/>
  <c r="K7" i="2"/>
  <c r="J7" i="2"/>
  <c r="L7" i="2" s="1"/>
  <c r="C7" i="2"/>
  <c r="H7" i="2" s="1"/>
  <c r="B7" i="2"/>
  <c r="K6" i="2"/>
  <c r="J6" i="2"/>
  <c r="L6" i="2" s="1"/>
  <c r="C6" i="2"/>
  <c r="H6" i="2" s="1"/>
  <c r="B6" i="2"/>
  <c r="K5" i="2"/>
  <c r="J5" i="2"/>
  <c r="L5" i="2" s="1"/>
  <c r="C5" i="2"/>
  <c r="H5" i="2" s="1"/>
  <c r="B5" i="2"/>
  <c r="K4" i="2"/>
  <c r="J4" i="2"/>
  <c r="L4" i="2" s="1"/>
  <c r="C4" i="2"/>
  <c r="H4" i="2" s="1"/>
  <c r="B4" i="2"/>
  <c r="K3" i="2"/>
  <c r="J3" i="2"/>
  <c r="L3" i="2" s="1"/>
  <c r="C3" i="2"/>
  <c r="H3" i="2" s="1"/>
  <c r="B3" i="2"/>
  <c r="K2" i="2"/>
  <c r="J2" i="2"/>
  <c r="L2" i="2" s="1"/>
  <c r="C2" i="2"/>
  <c r="B2" i="2"/>
  <c r="D2" i="2" s="1"/>
  <c r="C35" i="1"/>
  <c r="C34" i="1"/>
  <c r="B34" i="1"/>
  <c r="D34" i="1" s="1"/>
  <c r="E34" i="1" s="1"/>
  <c r="C33" i="1"/>
  <c r="C32" i="1"/>
  <c r="B32" i="1"/>
  <c r="D32" i="1" s="1"/>
  <c r="E32" i="1" s="1"/>
  <c r="C31" i="1"/>
  <c r="C30" i="1"/>
  <c r="B30" i="1"/>
  <c r="D30" i="1" s="1"/>
  <c r="E30" i="1" s="1"/>
  <c r="C29" i="1"/>
  <c r="C28" i="1"/>
  <c r="B28" i="1"/>
  <c r="D28" i="1" s="1"/>
  <c r="E28" i="1" s="1"/>
  <c r="C27" i="1"/>
  <c r="C26" i="1"/>
  <c r="B26" i="1"/>
  <c r="D26" i="1" s="1"/>
  <c r="E26" i="1" s="1"/>
  <c r="C25" i="1"/>
  <c r="C24" i="1"/>
  <c r="B24" i="1"/>
  <c r="D24" i="1" s="1"/>
  <c r="E24" i="1" s="1"/>
  <c r="C23" i="1"/>
  <c r="C22" i="1"/>
  <c r="B22" i="1"/>
  <c r="D22" i="1" s="1"/>
  <c r="E22" i="1" s="1"/>
  <c r="C21" i="1"/>
  <c r="C20" i="1"/>
  <c r="B20" i="1"/>
  <c r="D20" i="1" s="1"/>
  <c r="E20" i="1" s="1"/>
  <c r="C19" i="1"/>
  <c r="C18" i="1"/>
  <c r="B18" i="1"/>
  <c r="D18" i="1" s="1"/>
  <c r="E18" i="1" s="1"/>
  <c r="C17" i="1"/>
  <c r="C16" i="1"/>
  <c r="B16" i="1"/>
  <c r="D16" i="1" s="1"/>
  <c r="E16" i="1" s="1"/>
  <c r="C15" i="1"/>
  <c r="C14" i="1"/>
  <c r="B14" i="1"/>
  <c r="D14" i="1" s="1"/>
  <c r="E14" i="1" s="1"/>
  <c r="C13" i="1"/>
  <c r="C12" i="1"/>
  <c r="B12" i="1"/>
  <c r="D12" i="1" s="1"/>
  <c r="E12" i="1" s="1"/>
  <c r="K7" i="1"/>
  <c r="J7" i="1"/>
  <c r="I7" i="1"/>
  <c r="H7" i="1"/>
  <c r="G7" i="1"/>
  <c r="F7" i="1"/>
  <c r="E7" i="1"/>
  <c r="D7" i="1"/>
  <c r="C7" i="1"/>
  <c r="K6" i="1"/>
  <c r="J6" i="1"/>
  <c r="I6" i="1"/>
  <c r="H6" i="1"/>
  <c r="G6" i="1"/>
  <c r="F6" i="1"/>
  <c r="E6" i="1"/>
  <c r="D6" i="1"/>
  <c r="C6" i="1"/>
  <c r="K5" i="1"/>
  <c r="J5" i="1"/>
  <c r="I5" i="1"/>
  <c r="H5" i="1"/>
  <c r="G5" i="1"/>
  <c r="F5" i="1"/>
  <c r="E5" i="1"/>
  <c r="D5" i="1"/>
  <c r="C5" i="1"/>
  <c r="K4" i="1"/>
  <c r="J4" i="1"/>
  <c r="I4" i="1"/>
  <c r="H4" i="1"/>
  <c r="G4" i="1"/>
  <c r="F4" i="1"/>
  <c r="E4" i="1"/>
  <c r="D4" i="1"/>
  <c r="C9" i="1" s="1"/>
  <c r="C4" i="1"/>
  <c r="K3" i="1"/>
  <c r="J3" i="1"/>
  <c r="I3" i="1"/>
  <c r="H3" i="1"/>
  <c r="G3" i="1"/>
  <c r="F3" i="1"/>
  <c r="E3" i="1"/>
  <c r="D3" i="1"/>
  <c r="C3" i="1"/>
  <c r="K2" i="1"/>
  <c r="J2" i="1"/>
  <c r="I2" i="1"/>
  <c r="H2" i="1"/>
  <c r="G2" i="1"/>
  <c r="F2" i="1"/>
  <c r="E2" i="1"/>
  <c r="D2" i="1"/>
  <c r="C2" i="1"/>
  <c r="S1593" i="5" l="1"/>
  <c r="T1593" i="5"/>
  <c r="H1593" i="5"/>
  <c r="I1593" i="5"/>
  <c r="Q1592" i="5"/>
  <c r="Q1594" i="5" s="1"/>
  <c r="P1592" i="5"/>
  <c r="F1592" i="5"/>
  <c r="F1594" i="5" s="1"/>
  <c r="E1592" i="5"/>
  <c r="S1586" i="5"/>
  <c r="T1586" i="5"/>
  <c r="N1586" i="5"/>
  <c r="K1586" i="5"/>
  <c r="M1586" i="5"/>
  <c r="J1586" i="5"/>
  <c r="G1586" i="5"/>
  <c r="S1585" i="5"/>
  <c r="T1585" i="5"/>
  <c r="N1585" i="5"/>
  <c r="K1585" i="5"/>
  <c r="M1585" i="5"/>
  <c r="J1585" i="5"/>
  <c r="G1585" i="5"/>
  <c r="S1584" i="5"/>
  <c r="T1584" i="5"/>
  <c r="N1584" i="5"/>
  <c r="K1584" i="5"/>
  <c r="M1584" i="5"/>
  <c r="J1584" i="5"/>
  <c r="G1584" i="5"/>
  <c r="S1583" i="5"/>
  <c r="T1583" i="5"/>
  <c r="N1583" i="5"/>
  <c r="K1583" i="5"/>
  <c r="M1583" i="5"/>
  <c r="J1583" i="5"/>
  <c r="G1583" i="5"/>
  <c r="S1582" i="5"/>
  <c r="T1582" i="5"/>
  <c r="N1582" i="5"/>
  <c r="K1582" i="5"/>
  <c r="M1582" i="5"/>
  <c r="J1582" i="5"/>
  <c r="G1582" i="5"/>
  <c r="S1581" i="5"/>
  <c r="T1581" i="5"/>
  <c r="N1581" i="5"/>
  <c r="K1581" i="5"/>
  <c r="M1581" i="5"/>
  <c r="J1581" i="5"/>
  <c r="G1581" i="5"/>
  <c r="S1580" i="5"/>
  <c r="T1580" i="5"/>
  <c r="N1580" i="5"/>
  <c r="K1580" i="5"/>
  <c r="M1580" i="5"/>
  <c r="J1580" i="5"/>
  <c r="G1580" i="5"/>
  <c r="S1579" i="5"/>
  <c r="T1579" i="5"/>
  <c r="N1579" i="5"/>
  <c r="K1579" i="5"/>
  <c r="M1579" i="5"/>
  <c r="J1579" i="5"/>
  <c r="G1579" i="5"/>
  <c r="S1578" i="5"/>
  <c r="T1578" i="5"/>
  <c r="N1578" i="5"/>
  <c r="K1578" i="5"/>
  <c r="M1578" i="5"/>
  <c r="J1578" i="5"/>
  <c r="G1578" i="5"/>
  <c r="S1577" i="5"/>
  <c r="T1577" i="5"/>
  <c r="N1577" i="5"/>
  <c r="K1577" i="5"/>
  <c r="M1577" i="5"/>
  <c r="J1577" i="5"/>
  <c r="G1577" i="5"/>
  <c r="S1576" i="5"/>
  <c r="T1576" i="5"/>
  <c r="N1576" i="5"/>
  <c r="K1576" i="5"/>
  <c r="M1576" i="5"/>
  <c r="J1576" i="5"/>
  <c r="G1576" i="5"/>
  <c r="S1575" i="5"/>
  <c r="T1575" i="5"/>
  <c r="N1575" i="5"/>
  <c r="K1575" i="5"/>
  <c r="M1575" i="5"/>
  <c r="J1575" i="5"/>
  <c r="G1575" i="5"/>
  <c r="S1574" i="5"/>
  <c r="T1574" i="5"/>
  <c r="N1574" i="5"/>
  <c r="K1574" i="5"/>
  <c r="M1574" i="5"/>
  <c r="J1574" i="5"/>
  <c r="G1574" i="5"/>
  <c r="S1573" i="5"/>
  <c r="T1573" i="5"/>
  <c r="N1573" i="5"/>
  <c r="K1573" i="5"/>
  <c r="M1573" i="5"/>
  <c r="J1573" i="5"/>
  <c r="G1573" i="5"/>
  <c r="S1572" i="5"/>
  <c r="T1572" i="5"/>
  <c r="N1572" i="5"/>
  <c r="K1572" i="5"/>
  <c r="M1572" i="5"/>
  <c r="J1572" i="5"/>
  <c r="G1572" i="5"/>
  <c r="S1571" i="5"/>
  <c r="T1571" i="5"/>
  <c r="N1571" i="5"/>
  <c r="K1571" i="5"/>
  <c r="M1571" i="5"/>
  <c r="J1571" i="5"/>
  <c r="G1571" i="5"/>
  <c r="S1570" i="5"/>
  <c r="T1570" i="5"/>
  <c r="N1570" i="5"/>
  <c r="K1570" i="5"/>
  <c r="M1570" i="5"/>
  <c r="J1570" i="5"/>
  <c r="G1570" i="5"/>
  <c r="S1569" i="5"/>
  <c r="T1569" i="5"/>
  <c r="N1569" i="5"/>
  <c r="K1569" i="5"/>
  <c r="M1569" i="5"/>
  <c r="J1569" i="5"/>
  <c r="G1569" i="5"/>
  <c r="S1568" i="5"/>
  <c r="T1568" i="5"/>
  <c r="N1568" i="5"/>
  <c r="K1568" i="5"/>
  <c r="M1568" i="5"/>
  <c r="J1568" i="5"/>
  <c r="G1568" i="5"/>
  <c r="S1567" i="5"/>
  <c r="T1567" i="5"/>
  <c r="N1567" i="5"/>
  <c r="K1567" i="5"/>
  <c r="M1567" i="5"/>
  <c r="J1567" i="5"/>
  <c r="G1567" i="5"/>
  <c r="S1566" i="5"/>
  <c r="T1566" i="5"/>
  <c r="N1566" i="5"/>
  <c r="K1566" i="5"/>
  <c r="M1566" i="5"/>
  <c r="J1566" i="5"/>
  <c r="G1566" i="5"/>
  <c r="S1565" i="5"/>
  <c r="T1565" i="5"/>
  <c r="N1565" i="5"/>
  <c r="K1565" i="5"/>
  <c r="M1565" i="5"/>
  <c r="J1565" i="5"/>
  <c r="G1565" i="5"/>
  <c r="S1564" i="5"/>
  <c r="T1564" i="5"/>
  <c r="N1564" i="5"/>
  <c r="K1564" i="5"/>
  <c r="M1564" i="5"/>
  <c r="J1564" i="5"/>
  <c r="G1564" i="5"/>
  <c r="S1563" i="5"/>
  <c r="T1563" i="5"/>
  <c r="N1563" i="5"/>
  <c r="K1563" i="5"/>
  <c r="M1563" i="5"/>
  <c r="J1563" i="5"/>
  <c r="G1563" i="5"/>
  <c r="S1562" i="5"/>
  <c r="T1562" i="5"/>
  <c r="N1562" i="5"/>
  <c r="K1562" i="5"/>
  <c r="M1562" i="5"/>
  <c r="J1562" i="5"/>
  <c r="G1562" i="5"/>
  <c r="S1561" i="5"/>
  <c r="T1561" i="5"/>
  <c r="N1561" i="5"/>
  <c r="K1561" i="5"/>
  <c r="M1561" i="5"/>
  <c r="J1561" i="5"/>
  <c r="G1561" i="5"/>
  <c r="S1560" i="5"/>
  <c r="T1560" i="5"/>
  <c r="N1560" i="5"/>
  <c r="K1560" i="5"/>
  <c r="M1560" i="5"/>
  <c r="J1560" i="5"/>
  <c r="G1560" i="5"/>
  <c r="S1559" i="5"/>
  <c r="T1559" i="5"/>
  <c r="N1559" i="5"/>
  <c r="K1559" i="5"/>
  <c r="M1559" i="5"/>
  <c r="J1559" i="5"/>
  <c r="G1559" i="5"/>
  <c r="S1558" i="5"/>
  <c r="T1558" i="5"/>
  <c r="N1558" i="5"/>
  <c r="K1558" i="5"/>
  <c r="M1558" i="5"/>
  <c r="J1558" i="5"/>
  <c r="G1558" i="5"/>
  <c r="S1557" i="5"/>
  <c r="T1557" i="5"/>
  <c r="N1557" i="5"/>
  <c r="K1557" i="5"/>
  <c r="M1557" i="5"/>
  <c r="J1557" i="5"/>
  <c r="G1557" i="5"/>
  <c r="S1556" i="5"/>
  <c r="T1556" i="5"/>
  <c r="N1556" i="5"/>
  <c r="K1556" i="5"/>
  <c r="M1556" i="5"/>
  <c r="J1556" i="5"/>
  <c r="G1556" i="5"/>
  <c r="S1555" i="5"/>
  <c r="T1555" i="5"/>
  <c r="N1555" i="5"/>
  <c r="K1555" i="5"/>
  <c r="M1555" i="5"/>
  <c r="J1555" i="5"/>
  <c r="G1555" i="5"/>
  <c r="S1554" i="5"/>
  <c r="T1554" i="5"/>
  <c r="N1554" i="5"/>
  <c r="K1554" i="5"/>
  <c r="G1554" i="5"/>
  <c r="M1554" i="5"/>
  <c r="J1554" i="5"/>
  <c r="S1553" i="5"/>
  <c r="T1553" i="5"/>
  <c r="K1553" i="5"/>
  <c r="N1553" i="5"/>
  <c r="M1553" i="5"/>
  <c r="J1553" i="5"/>
  <c r="G1553" i="5"/>
  <c r="S1552" i="5"/>
  <c r="T1552" i="5"/>
  <c r="N1552" i="5"/>
  <c r="K1552" i="5"/>
  <c r="M1552" i="5"/>
  <c r="J1552" i="5"/>
  <c r="G1552" i="5"/>
  <c r="S1551" i="5"/>
  <c r="T1551" i="5"/>
  <c r="K1551" i="5"/>
  <c r="N1551" i="5"/>
  <c r="M1551" i="5"/>
  <c r="G1551" i="5"/>
  <c r="J1551" i="5"/>
  <c r="S1550" i="5"/>
  <c r="T1550" i="5"/>
  <c r="N1550" i="5"/>
  <c r="K1550" i="5"/>
  <c r="M1550" i="5"/>
  <c r="J1550" i="5"/>
  <c r="G1550" i="5"/>
  <c r="S1549" i="5"/>
  <c r="T1549" i="5"/>
  <c r="N1549" i="5"/>
  <c r="K1549" i="5"/>
  <c r="M1549" i="5"/>
  <c r="J1549" i="5"/>
  <c r="G1549" i="5"/>
  <c r="S1548" i="5"/>
  <c r="T1548" i="5"/>
  <c r="K1548" i="5"/>
  <c r="N1548" i="5"/>
  <c r="M1548" i="5"/>
  <c r="J1548" i="5"/>
  <c r="G1548" i="5"/>
  <c r="S1547" i="5"/>
  <c r="T1547" i="5"/>
  <c r="N1547" i="5"/>
  <c r="K1547" i="5"/>
  <c r="M1547" i="5"/>
  <c r="J1547" i="5"/>
  <c r="G1547" i="5"/>
  <c r="S1546" i="5"/>
  <c r="T1546" i="5"/>
  <c r="N1546" i="5"/>
  <c r="K1546" i="5"/>
  <c r="M1546" i="5"/>
  <c r="J1546" i="5"/>
  <c r="G1546" i="5"/>
  <c r="S1545" i="5"/>
  <c r="T1545" i="5"/>
  <c r="N1545" i="5"/>
  <c r="K1545" i="5"/>
  <c r="M1545" i="5"/>
  <c r="J1545" i="5"/>
  <c r="G1545" i="5"/>
  <c r="S1544" i="5"/>
  <c r="T1544" i="5"/>
  <c r="N1544" i="5"/>
  <c r="K1544" i="5"/>
  <c r="M1544" i="5"/>
  <c r="J1544" i="5"/>
  <c r="G1544" i="5"/>
  <c r="S1543" i="5"/>
  <c r="T1543" i="5"/>
  <c r="N1543" i="5"/>
  <c r="K1543" i="5"/>
  <c r="M1543" i="5"/>
  <c r="J1543" i="5"/>
  <c r="G1543" i="5"/>
  <c r="S1542" i="5"/>
  <c r="T1542" i="5"/>
  <c r="N1542" i="5"/>
  <c r="K1542" i="5"/>
  <c r="M1542" i="5"/>
  <c r="J1542" i="5"/>
  <c r="G1542" i="5"/>
  <c r="S1541" i="5"/>
  <c r="T1541" i="5"/>
  <c r="N1541" i="5"/>
  <c r="K1541" i="5"/>
  <c r="M1541" i="5"/>
  <c r="J1541" i="5"/>
  <c r="G1541" i="5"/>
  <c r="S1540" i="5"/>
  <c r="T1540" i="5"/>
  <c r="N1540" i="5"/>
  <c r="K1540" i="5"/>
  <c r="G1540" i="5"/>
  <c r="J1540" i="5"/>
  <c r="M1540" i="5"/>
  <c r="S1539" i="5"/>
  <c r="T1539" i="5"/>
  <c r="N1539" i="5"/>
  <c r="K1539" i="5"/>
  <c r="M1539" i="5"/>
  <c r="J1539" i="5"/>
  <c r="G1539" i="5"/>
  <c r="S1538" i="5"/>
  <c r="T1538" i="5"/>
  <c r="N1538" i="5"/>
  <c r="K1538" i="5"/>
  <c r="M1538" i="5"/>
  <c r="J1538" i="5"/>
  <c r="G1538" i="5"/>
  <c r="S1537" i="5"/>
  <c r="T1537" i="5"/>
  <c r="N1537" i="5"/>
  <c r="K1537" i="5"/>
  <c r="J1537" i="5"/>
  <c r="M1537" i="5"/>
  <c r="G1537" i="5"/>
  <c r="S1536" i="5"/>
  <c r="T1536" i="5"/>
  <c r="N1536" i="5"/>
  <c r="K1536" i="5"/>
  <c r="M1536" i="5"/>
  <c r="J1536" i="5"/>
  <c r="G1536" i="5"/>
  <c r="S1535" i="5"/>
  <c r="T1535" i="5"/>
  <c r="N1535" i="5"/>
  <c r="K1535" i="5"/>
  <c r="M1535" i="5"/>
  <c r="J1535" i="5"/>
  <c r="G1535" i="5"/>
  <c r="S1534" i="5"/>
  <c r="T1534" i="5"/>
  <c r="K1534" i="5"/>
  <c r="N1534" i="5"/>
  <c r="M1534" i="5"/>
  <c r="J1534" i="5"/>
  <c r="G1534" i="5"/>
  <c r="S1533" i="5"/>
  <c r="T1533" i="5"/>
  <c r="N1533" i="5"/>
  <c r="K1533" i="5"/>
  <c r="M1533" i="5"/>
  <c r="J1533" i="5"/>
  <c r="G1533" i="5"/>
  <c r="S1532" i="5"/>
  <c r="T1532" i="5"/>
  <c r="N1532" i="5"/>
  <c r="K1532" i="5"/>
  <c r="M1532" i="5"/>
  <c r="J1532" i="5"/>
  <c r="G1532" i="5"/>
  <c r="S1531" i="5"/>
  <c r="T1531" i="5"/>
  <c r="K1531" i="5"/>
  <c r="N1531" i="5"/>
  <c r="M1531" i="5"/>
  <c r="J1531" i="5"/>
  <c r="G1531" i="5"/>
  <c r="S1530" i="5"/>
  <c r="T1530" i="5"/>
  <c r="N1530" i="5"/>
  <c r="K1530" i="5"/>
  <c r="M1530" i="5"/>
  <c r="J1530" i="5"/>
  <c r="G1530" i="5"/>
  <c r="S1529" i="5"/>
  <c r="T1529" i="5"/>
  <c r="K1529" i="5"/>
  <c r="N1529" i="5"/>
  <c r="G1529" i="5"/>
  <c r="J1529" i="5"/>
  <c r="M1529" i="5"/>
  <c r="S1528" i="5"/>
  <c r="T1528" i="5"/>
  <c r="N1528" i="5"/>
  <c r="K1528" i="5"/>
  <c r="M1528" i="5"/>
  <c r="J1528" i="5"/>
  <c r="G1528" i="5"/>
  <c r="S1527" i="5"/>
  <c r="T1527" i="5"/>
  <c r="N1527" i="5"/>
  <c r="K1527" i="5"/>
  <c r="M1527" i="5"/>
  <c r="J1527" i="5"/>
  <c r="G1527" i="5"/>
  <c r="S1526" i="5"/>
  <c r="T1526" i="5"/>
  <c r="N1526" i="5"/>
  <c r="K1526" i="5"/>
  <c r="G1526" i="5"/>
  <c r="J1526" i="5"/>
  <c r="M1526" i="5"/>
  <c r="S1525" i="5"/>
  <c r="T1525" i="5"/>
  <c r="N1525" i="5"/>
  <c r="K1525" i="5"/>
  <c r="M1525" i="5"/>
  <c r="J1525" i="5"/>
  <c r="G1525" i="5"/>
  <c r="S1524" i="5"/>
  <c r="T1524" i="5"/>
  <c r="N1524" i="5"/>
  <c r="K1524" i="5"/>
  <c r="M1524" i="5"/>
  <c r="J1524" i="5"/>
  <c r="G1524" i="5"/>
  <c r="S1523" i="5"/>
  <c r="T1523" i="5"/>
  <c r="K1523" i="5"/>
  <c r="N1523" i="5"/>
  <c r="M1523" i="5"/>
  <c r="J1523" i="5"/>
  <c r="G1523" i="5"/>
  <c r="S1522" i="5"/>
  <c r="T1522" i="5"/>
  <c r="N1522" i="5"/>
  <c r="K1522" i="5"/>
  <c r="M1522" i="5"/>
  <c r="J1522" i="5"/>
  <c r="G1522" i="5"/>
  <c r="S1521" i="5"/>
  <c r="T1521" i="5"/>
  <c r="N1521" i="5"/>
  <c r="K1521" i="5"/>
  <c r="M1521" i="5"/>
  <c r="J1521" i="5"/>
  <c r="G1521" i="5"/>
  <c r="S1520" i="5"/>
  <c r="T1520" i="5"/>
  <c r="N1520" i="5"/>
  <c r="K1520" i="5"/>
  <c r="G1520" i="5"/>
  <c r="J1520" i="5"/>
  <c r="M1520" i="5"/>
  <c r="S1519" i="5"/>
  <c r="T1519" i="5"/>
  <c r="N1519" i="5"/>
  <c r="K1519" i="5"/>
  <c r="M1519" i="5"/>
  <c r="J1519" i="5"/>
  <c r="G1519" i="5"/>
  <c r="S1518" i="5"/>
  <c r="T1518" i="5"/>
  <c r="N1518" i="5"/>
  <c r="K1518" i="5"/>
  <c r="M1518" i="5"/>
  <c r="J1518" i="5"/>
  <c r="G1518" i="5"/>
  <c r="S1517" i="5"/>
  <c r="T1517" i="5"/>
  <c r="K1517" i="5"/>
  <c r="N1517" i="5"/>
  <c r="M1517" i="5"/>
  <c r="J1517" i="5"/>
  <c r="G1517" i="5"/>
  <c r="S1516" i="5"/>
  <c r="T1516" i="5"/>
  <c r="N1516" i="5"/>
  <c r="K1516" i="5"/>
  <c r="M1516" i="5"/>
  <c r="J1516" i="5"/>
  <c r="G1516" i="5"/>
  <c r="S1515" i="5"/>
  <c r="T1515" i="5"/>
  <c r="N1515" i="5"/>
  <c r="K1515" i="5"/>
  <c r="M1515" i="5"/>
  <c r="J1515" i="5"/>
  <c r="G1515" i="5"/>
  <c r="S1514" i="5"/>
  <c r="T1514" i="5"/>
  <c r="K1514" i="5"/>
  <c r="N1514" i="5"/>
  <c r="M1514" i="5"/>
  <c r="J1514" i="5"/>
  <c r="G1514" i="5"/>
  <c r="S1513" i="5"/>
  <c r="T1513" i="5"/>
  <c r="N1513" i="5"/>
  <c r="K1513" i="5"/>
  <c r="M1513" i="5"/>
  <c r="J1513" i="5"/>
  <c r="G1513" i="5"/>
  <c r="S1512" i="5"/>
  <c r="T1512" i="5"/>
  <c r="N1512" i="5"/>
  <c r="K1512" i="5"/>
  <c r="M1512" i="5"/>
  <c r="J1512" i="5"/>
  <c r="G1512" i="5"/>
  <c r="S1511" i="5"/>
  <c r="T1511" i="5"/>
  <c r="N1511" i="5"/>
  <c r="K1511" i="5"/>
  <c r="M1511" i="5"/>
  <c r="J1511" i="5"/>
  <c r="G1511" i="5"/>
  <c r="S1510" i="5"/>
  <c r="T1510" i="5"/>
  <c r="N1510" i="5"/>
  <c r="K1510" i="5"/>
  <c r="M1510" i="5"/>
  <c r="J1510" i="5"/>
  <c r="G1510" i="5"/>
  <c r="S1509" i="5"/>
  <c r="T1509" i="5"/>
  <c r="N1509" i="5"/>
  <c r="K1509" i="5"/>
  <c r="M1509" i="5"/>
  <c r="J1509" i="5"/>
  <c r="G1509" i="5"/>
  <c r="S1508" i="5"/>
  <c r="T1508" i="5"/>
  <c r="N1508" i="5"/>
  <c r="K1508" i="5"/>
  <c r="M1508" i="5"/>
  <c r="J1508" i="5"/>
  <c r="G1508" i="5"/>
  <c r="S1507" i="5"/>
  <c r="T1507" i="5"/>
  <c r="N1507" i="5"/>
  <c r="K1507" i="5"/>
  <c r="M1507" i="5"/>
  <c r="J1507" i="5"/>
  <c r="G1507" i="5"/>
  <c r="S1506" i="5"/>
  <c r="T1506" i="5"/>
  <c r="N1506" i="5"/>
  <c r="K1506" i="5"/>
  <c r="G1506" i="5"/>
  <c r="J1506" i="5"/>
  <c r="M1506" i="5"/>
  <c r="S1505" i="5"/>
  <c r="T1505" i="5"/>
  <c r="N1505" i="5"/>
  <c r="K1505" i="5"/>
  <c r="M1505" i="5"/>
  <c r="J1505" i="5"/>
  <c r="G1505" i="5"/>
  <c r="S1504" i="5"/>
  <c r="T1504" i="5"/>
  <c r="N1504" i="5"/>
  <c r="K1504" i="5"/>
  <c r="M1504" i="5"/>
  <c r="J1504" i="5"/>
  <c r="G1504" i="5"/>
  <c r="S1503" i="5"/>
  <c r="T1503" i="5"/>
  <c r="N1503" i="5"/>
  <c r="K1503" i="5"/>
  <c r="G1503" i="5"/>
  <c r="J1503" i="5"/>
  <c r="M1503" i="5"/>
  <c r="S1502" i="5"/>
  <c r="T1502" i="5"/>
  <c r="N1502" i="5"/>
  <c r="K1502" i="5"/>
  <c r="M1502" i="5"/>
  <c r="J1502" i="5"/>
  <c r="G1502" i="5"/>
  <c r="S1501" i="5"/>
  <c r="T1501" i="5"/>
  <c r="N1501" i="5"/>
  <c r="K1501" i="5"/>
  <c r="M1501" i="5"/>
  <c r="J1501" i="5"/>
  <c r="G1501" i="5"/>
  <c r="S1500" i="5"/>
  <c r="T1500" i="5"/>
  <c r="N1500" i="5"/>
  <c r="K1500" i="5"/>
  <c r="M1500" i="5"/>
  <c r="J1500" i="5"/>
  <c r="G1500" i="5"/>
  <c r="S1499" i="5"/>
  <c r="T1499" i="5"/>
  <c r="N1499" i="5"/>
  <c r="K1499" i="5"/>
  <c r="M1499" i="5"/>
  <c r="J1499" i="5"/>
  <c r="G1499" i="5"/>
  <c r="S1498" i="5"/>
  <c r="T1498" i="5"/>
  <c r="N1498" i="5"/>
  <c r="K1498" i="5"/>
  <c r="M1498" i="5"/>
  <c r="J1498" i="5"/>
  <c r="G1498" i="5"/>
  <c r="S1497" i="5"/>
  <c r="T1497" i="5"/>
  <c r="N1497" i="5"/>
  <c r="K1497" i="5"/>
  <c r="J1497" i="5"/>
  <c r="M1497" i="5"/>
  <c r="G1497" i="5"/>
  <c r="S1496" i="5"/>
  <c r="T1496" i="5"/>
  <c r="N1496" i="5"/>
  <c r="K1496" i="5"/>
  <c r="M1496" i="5"/>
  <c r="J1496" i="5"/>
  <c r="G1496" i="5"/>
  <c r="S1495" i="5"/>
  <c r="T1495" i="5"/>
  <c r="N1495" i="5"/>
  <c r="K1495" i="5"/>
  <c r="M1495" i="5"/>
  <c r="J1495" i="5"/>
  <c r="G1495" i="5"/>
  <c r="S1494" i="5"/>
  <c r="T1494" i="5"/>
  <c r="N1494" i="5"/>
  <c r="K1494" i="5"/>
  <c r="M1494" i="5"/>
  <c r="J1494" i="5"/>
  <c r="G1494" i="5"/>
  <c r="S1493" i="5"/>
  <c r="T1493" i="5"/>
  <c r="N1493" i="5"/>
  <c r="K1493" i="5"/>
  <c r="M1493" i="5"/>
  <c r="J1493" i="5"/>
  <c r="G1493" i="5"/>
  <c r="S1492" i="5"/>
  <c r="T1492" i="5"/>
  <c r="N1492" i="5"/>
  <c r="K1492" i="5"/>
  <c r="M1492" i="5"/>
  <c r="J1492" i="5"/>
  <c r="G1492" i="5"/>
  <c r="S1491" i="5"/>
  <c r="T1491" i="5"/>
  <c r="N1491" i="5"/>
  <c r="K1491" i="5"/>
  <c r="M1491" i="5"/>
  <c r="J1491" i="5"/>
  <c r="G1491" i="5"/>
  <c r="S1490" i="5"/>
  <c r="T1490" i="5"/>
  <c r="N1490" i="5"/>
  <c r="K1490" i="5"/>
  <c r="M1490" i="5"/>
  <c r="J1490" i="5"/>
  <c r="G1490" i="5"/>
  <c r="S1489" i="5"/>
  <c r="T1489" i="5"/>
  <c r="N1489" i="5"/>
  <c r="K1489" i="5"/>
  <c r="M1489" i="5"/>
  <c r="J1489" i="5"/>
  <c r="G1489" i="5"/>
  <c r="S1488" i="5"/>
  <c r="T1488" i="5"/>
  <c r="N1488" i="5"/>
  <c r="K1488" i="5"/>
  <c r="M1488" i="5"/>
  <c r="J1488" i="5"/>
  <c r="G1488" i="5"/>
  <c r="S1487" i="5"/>
  <c r="T1487" i="5"/>
  <c r="N1487" i="5"/>
  <c r="K1487" i="5"/>
  <c r="M1487" i="5"/>
  <c r="J1487" i="5"/>
  <c r="G1487" i="5"/>
  <c r="S1486" i="5"/>
  <c r="T1486" i="5"/>
  <c r="N1486" i="5"/>
  <c r="K1486" i="5"/>
  <c r="G1486" i="5"/>
  <c r="M1486" i="5"/>
  <c r="J1486" i="5"/>
  <c r="S1485" i="5"/>
  <c r="T1485" i="5"/>
  <c r="K1485" i="5"/>
  <c r="N1485" i="5"/>
  <c r="M1485" i="5"/>
  <c r="J1485" i="5"/>
  <c r="G1485" i="5"/>
  <c r="S1484" i="5"/>
  <c r="T1484" i="5"/>
  <c r="N1484" i="5"/>
  <c r="K1484" i="5"/>
  <c r="M1484" i="5"/>
  <c r="J1484" i="5"/>
  <c r="G1484" i="5"/>
  <c r="S1483" i="5"/>
  <c r="T1483" i="5"/>
  <c r="K1483" i="5"/>
  <c r="N1483" i="5"/>
  <c r="M1483" i="5"/>
  <c r="G1483" i="5"/>
  <c r="J1483" i="5"/>
  <c r="S1482" i="5"/>
  <c r="T1482" i="5"/>
  <c r="N1482" i="5"/>
  <c r="K1482" i="5"/>
  <c r="M1482" i="5"/>
  <c r="J1482" i="5"/>
  <c r="G1482" i="5"/>
  <c r="S1481" i="5"/>
  <c r="T1481" i="5"/>
  <c r="N1481" i="5"/>
  <c r="K1481" i="5"/>
  <c r="M1481" i="5"/>
  <c r="J1481" i="5"/>
  <c r="G1481" i="5"/>
  <c r="S1480" i="5"/>
  <c r="T1480" i="5"/>
  <c r="K1480" i="5"/>
  <c r="N1480" i="5"/>
  <c r="M1480" i="5"/>
  <c r="J1480" i="5"/>
  <c r="G1480" i="5"/>
  <c r="S1479" i="5"/>
  <c r="T1479" i="5"/>
  <c r="N1479" i="5"/>
  <c r="K1479" i="5"/>
  <c r="M1479" i="5"/>
  <c r="J1479" i="5"/>
  <c r="G1479" i="5"/>
  <c r="S1478" i="5"/>
  <c r="T1478" i="5"/>
  <c r="N1478" i="5"/>
  <c r="K1478" i="5"/>
  <c r="M1478" i="5"/>
  <c r="J1478" i="5"/>
  <c r="G1478" i="5"/>
  <c r="S1477" i="5"/>
  <c r="T1477" i="5"/>
  <c r="N1477" i="5"/>
  <c r="K1477" i="5"/>
  <c r="M1477" i="5"/>
  <c r="J1477" i="5"/>
  <c r="G1477" i="5"/>
  <c r="S1476" i="5"/>
  <c r="T1476" i="5"/>
  <c r="N1476" i="5"/>
  <c r="K1476" i="5"/>
  <c r="M1476" i="5"/>
  <c r="J1476" i="5"/>
  <c r="G1476" i="5"/>
  <c r="S1475" i="5"/>
  <c r="T1475" i="5"/>
  <c r="N1475" i="5"/>
  <c r="K1475" i="5"/>
  <c r="M1475" i="5"/>
  <c r="J1475" i="5"/>
  <c r="G1475" i="5"/>
  <c r="S1474" i="5"/>
  <c r="T1474" i="5"/>
  <c r="K1474" i="5"/>
  <c r="N1474" i="5"/>
  <c r="M1474" i="5"/>
  <c r="J1474" i="5"/>
  <c r="G1474" i="5"/>
  <c r="S1473" i="5"/>
  <c r="T1473" i="5"/>
  <c r="N1473" i="5"/>
  <c r="K1473" i="5"/>
  <c r="M1473" i="5"/>
  <c r="J1473" i="5"/>
  <c r="G1473" i="5"/>
  <c r="S1472" i="5"/>
  <c r="T1472" i="5"/>
  <c r="K1472" i="5"/>
  <c r="N1472" i="5"/>
  <c r="G1472" i="5"/>
  <c r="J1472" i="5"/>
  <c r="M1472" i="5"/>
  <c r="S1471" i="5"/>
  <c r="T1471" i="5"/>
  <c r="N1471" i="5"/>
  <c r="K1471" i="5"/>
  <c r="M1471" i="5"/>
  <c r="J1471" i="5"/>
  <c r="G1471" i="5"/>
  <c r="S1470" i="5"/>
  <c r="T1470" i="5"/>
  <c r="N1470" i="5"/>
  <c r="K1470" i="5"/>
  <c r="M1470" i="5"/>
  <c r="J1470" i="5"/>
  <c r="G1470" i="5"/>
  <c r="S1469" i="5"/>
  <c r="T1469" i="5"/>
  <c r="N1469" i="5"/>
  <c r="K1469" i="5"/>
  <c r="G1469" i="5"/>
  <c r="J1469" i="5"/>
  <c r="M1469" i="5"/>
  <c r="S1468" i="5"/>
  <c r="T1468" i="5"/>
  <c r="N1468" i="5"/>
  <c r="K1468" i="5"/>
  <c r="M1468" i="5"/>
  <c r="J1468" i="5"/>
  <c r="G1468" i="5"/>
  <c r="S1467" i="5"/>
  <c r="T1467" i="5"/>
  <c r="N1467" i="5"/>
  <c r="K1467" i="5"/>
  <c r="M1467" i="5"/>
  <c r="J1467" i="5"/>
  <c r="G1467" i="5"/>
  <c r="S1466" i="5"/>
  <c r="T1466" i="5"/>
  <c r="K1466" i="5"/>
  <c r="N1466" i="5"/>
  <c r="M1466" i="5"/>
  <c r="J1466" i="5"/>
  <c r="G1466" i="5"/>
  <c r="S1465" i="5"/>
  <c r="T1465" i="5"/>
  <c r="N1465" i="5"/>
  <c r="K1465" i="5"/>
  <c r="M1465" i="5"/>
  <c r="J1465" i="5"/>
  <c r="G1465" i="5"/>
  <c r="S1464" i="5"/>
  <c r="T1464" i="5"/>
  <c r="N1464" i="5"/>
  <c r="K1464" i="5"/>
  <c r="M1464" i="5"/>
  <c r="J1464" i="5"/>
  <c r="G1464" i="5"/>
  <c r="S1463" i="5"/>
  <c r="T1463" i="5"/>
  <c r="N1463" i="5"/>
  <c r="K1463" i="5"/>
  <c r="J1463" i="5"/>
  <c r="G1463" i="5"/>
  <c r="M1463" i="5"/>
  <c r="S1462" i="5"/>
  <c r="T1462" i="5"/>
  <c r="K1462" i="5"/>
  <c r="N1462" i="5"/>
  <c r="M1462" i="5"/>
  <c r="J1462" i="5"/>
  <c r="G1462" i="5"/>
  <c r="S1461" i="5"/>
  <c r="T1461" i="5"/>
  <c r="N1461" i="5"/>
  <c r="K1461" i="5"/>
  <c r="M1461" i="5"/>
  <c r="J1461" i="5"/>
  <c r="G1461" i="5"/>
  <c r="S1460" i="5"/>
  <c r="T1460" i="5"/>
  <c r="K1460" i="5"/>
  <c r="N1460" i="5"/>
  <c r="M1460" i="5"/>
  <c r="G1460" i="5"/>
  <c r="J1460" i="5"/>
  <c r="S1459" i="5"/>
  <c r="T1459" i="5"/>
  <c r="N1459" i="5"/>
  <c r="K1459" i="5"/>
  <c r="M1459" i="5"/>
  <c r="J1459" i="5"/>
  <c r="G1459" i="5"/>
  <c r="S1458" i="5"/>
  <c r="T1458" i="5"/>
  <c r="N1458" i="5"/>
  <c r="K1458" i="5"/>
  <c r="M1458" i="5"/>
  <c r="J1458" i="5"/>
  <c r="G1458" i="5"/>
  <c r="S1457" i="5"/>
  <c r="T1457" i="5"/>
  <c r="K1457" i="5"/>
  <c r="N1457" i="5"/>
  <c r="M1457" i="5"/>
  <c r="J1457" i="5"/>
  <c r="G1457" i="5"/>
  <c r="S1456" i="5"/>
  <c r="T1456" i="5"/>
  <c r="N1456" i="5"/>
  <c r="K1456" i="5"/>
  <c r="M1456" i="5"/>
  <c r="J1456" i="5"/>
  <c r="G1456" i="5"/>
  <c r="S1455" i="5"/>
  <c r="T1455" i="5"/>
  <c r="N1455" i="5"/>
  <c r="K1455" i="5"/>
  <c r="M1455" i="5"/>
  <c r="J1455" i="5"/>
  <c r="G1455" i="5"/>
  <c r="S1454" i="5"/>
  <c r="T1454" i="5"/>
  <c r="N1454" i="5"/>
  <c r="K1454" i="5"/>
  <c r="M1454" i="5"/>
  <c r="J1454" i="5"/>
  <c r="G1454" i="5"/>
  <c r="S1453" i="5"/>
  <c r="T1453" i="5"/>
  <c r="N1453" i="5"/>
  <c r="K1453" i="5"/>
  <c r="M1453" i="5"/>
  <c r="J1453" i="5"/>
  <c r="G1453" i="5"/>
  <c r="S1452" i="5"/>
  <c r="T1452" i="5"/>
  <c r="N1452" i="5"/>
  <c r="K1452" i="5"/>
  <c r="M1452" i="5"/>
  <c r="J1452" i="5"/>
  <c r="G1452" i="5"/>
  <c r="S1451" i="5"/>
  <c r="T1451" i="5"/>
  <c r="N1451" i="5"/>
  <c r="K1451" i="5"/>
  <c r="M1451" i="5"/>
  <c r="J1451" i="5"/>
  <c r="G1451" i="5"/>
  <c r="S1450" i="5"/>
  <c r="T1450" i="5"/>
  <c r="N1450" i="5"/>
  <c r="K1450" i="5"/>
  <c r="M1450" i="5"/>
  <c r="J1450" i="5"/>
  <c r="G1450" i="5"/>
  <c r="S1449" i="5"/>
  <c r="T1449" i="5"/>
  <c r="N1449" i="5"/>
  <c r="K1449" i="5"/>
  <c r="G1449" i="5"/>
  <c r="J1449" i="5"/>
  <c r="M1449" i="5"/>
  <c r="S1448" i="5"/>
  <c r="T1448" i="5"/>
  <c r="N1448" i="5"/>
  <c r="K1448" i="5"/>
  <c r="M1448" i="5"/>
  <c r="J1448" i="5"/>
  <c r="G1448" i="5"/>
  <c r="S1447" i="5"/>
  <c r="T1447" i="5"/>
  <c r="N1447" i="5"/>
  <c r="K1447" i="5"/>
  <c r="M1447" i="5"/>
  <c r="J1447" i="5"/>
  <c r="G1447" i="5"/>
  <c r="S1446" i="5"/>
  <c r="T1446" i="5"/>
  <c r="N1446" i="5"/>
  <c r="K1446" i="5"/>
  <c r="J1446" i="5"/>
  <c r="M1446" i="5"/>
  <c r="G1446" i="5"/>
  <c r="S1445" i="5"/>
  <c r="T1445" i="5"/>
  <c r="N1445" i="5"/>
  <c r="K1445" i="5"/>
  <c r="M1445" i="5"/>
  <c r="J1445" i="5"/>
  <c r="G1445" i="5"/>
  <c r="S1444" i="5"/>
  <c r="T1444" i="5"/>
  <c r="N1444" i="5"/>
  <c r="K1444" i="5"/>
  <c r="M1444" i="5"/>
  <c r="J1444" i="5"/>
  <c r="G1444" i="5"/>
  <c r="S1443" i="5"/>
  <c r="T1443" i="5"/>
  <c r="K1443" i="5"/>
  <c r="N1443" i="5"/>
  <c r="M1443" i="5"/>
  <c r="J1443" i="5"/>
  <c r="G1443" i="5"/>
  <c r="S1442" i="5"/>
  <c r="T1442" i="5"/>
  <c r="N1442" i="5"/>
  <c r="K1442" i="5"/>
  <c r="M1442" i="5"/>
  <c r="J1442" i="5"/>
  <c r="G1442" i="5"/>
  <c r="S1441" i="5"/>
  <c r="T1441" i="5"/>
  <c r="N1441" i="5"/>
  <c r="K1441" i="5"/>
  <c r="M1441" i="5"/>
  <c r="J1441" i="5"/>
  <c r="G1441" i="5"/>
  <c r="S1440" i="5"/>
  <c r="T1440" i="5"/>
  <c r="K1440" i="5"/>
  <c r="N1440" i="5"/>
  <c r="M1440" i="5"/>
  <c r="J1440" i="5"/>
  <c r="G1440" i="5"/>
  <c r="S1439" i="5"/>
  <c r="T1439" i="5"/>
  <c r="N1439" i="5"/>
  <c r="K1439" i="5"/>
  <c r="M1439" i="5"/>
  <c r="J1439" i="5"/>
  <c r="G1439" i="5"/>
  <c r="S1438" i="5"/>
  <c r="T1438" i="5"/>
  <c r="K1438" i="5"/>
  <c r="N1438" i="5"/>
  <c r="G1438" i="5"/>
  <c r="J1438" i="5"/>
  <c r="M1438" i="5"/>
  <c r="S1437" i="5"/>
  <c r="T1437" i="5"/>
  <c r="N1437" i="5"/>
  <c r="K1437" i="5"/>
  <c r="M1437" i="5"/>
  <c r="J1437" i="5"/>
  <c r="G1437" i="5"/>
  <c r="S1436" i="5"/>
  <c r="T1436" i="5"/>
  <c r="N1436" i="5"/>
  <c r="K1436" i="5"/>
  <c r="M1436" i="5"/>
  <c r="J1436" i="5"/>
  <c r="G1436" i="5"/>
  <c r="S1435" i="5"/>
  <c r="T1435" i="5"/>
  <c r="N1435" i="5"/>
  <c r="K1435" i="5"/>
  <c r="G1435" i="5"/>
  <c r="J1435" i="5"/>
  <c r="M1435" i="5"/>
  <c r="S1434" i="5"/>
  <c r="T1434" i="5"/>
  <c r="N1434" i="5"/>
  <c r="K1434" i="5"/>
  <c r="M1434" i="5"/>
  <c r="J1434" i="5"/>
  <c r="G1434" i="5"/>
  <c r="S1433" i="5"/>
  <c r="T1433" i="5"/>
  <c r="N1433" i="5"/>
  <c r="K1433" i="5"/>
  <c r="M1433" i="5"/>
  <c r="J1433" i="5"/>
  <c r="G1433" i="5"/>
  <c r="S1432" i="5"/>
  <c r="T1432" i="5"/>
  <c r="K1432" i="5"/>
  <c r="N1432" i="5"/>
  <c r="M1432" i="5"/>
  <c r="J1432" i="5"/>
  <c r="G1432" i="5"/>
  <c r="S1431" i="5"/>
  <c r="T1431" i="5"/>
  <c r="N1431" i="5"/>
  <c r="K1431" i="5"/>
  <c r="M1431" i="5"/>
  <c r="J1431" i="5"/>
  <c r="G1431" i="5"/>
  <c r="S1430" i="5"/>
  <c r="T1430" i="5"/>
  <c r="N1430" i="5"/>
  <c r="K1430" i="5"/>
  <c r="M1430" i="5"/>
  <c r="J1430" i="5"/>
  <c r="G1430" i="5"/>
  <c r="S1429" i="5"/>
  <c r="T1429" i="5"/>
  <c r="N1429" i="5"/>
  <c r="K1429" i="5"/>
  <c r="G1429" i="5"/>
  <c r="J1429" i="5"/>
  <c r="M1429" i="5"/>
  <c r="S1428" i="5"/>
  <c r="T1428" i="5"/>
  <c r="N1428" i="5"/>
  <c r="K1428" i="5"/>
  <c r="M1428" i="5"/>
  <c r="J1428" i="5"/>
  <c r="G1428" i="5"/>
  <c r="S1427" i="5"/>
  <c r="T1427" i="5"/>
  <c r="N1427" i="5"/>
  <c r="K1427" i="5"/>
  <c r="M1427" i="5"/>
  <c r="J1427" i="5"/>
  <c r="G1427" i="5"/>
  <c r="S1426" i="5"/>
  <c r="T1426" i="5"/>
  <c r="K1426" i="5"/>
  <c r="N1426" i="5"/>
  <c r="M1426" i="5"/>
  <c r="J1426" i="5"/>
  <c r="G1426" i="5"/>
  <c r="S1425" i="5"/>
  <c r="T1425" i="5"/>
  <c r="N1425" i="5"/>
  <c r="K1425" i="5"/>
  <c r="M1425" i="5"/>
  <c r="J1425" i="5"/>
  <c r="G1425" i="5"/>
  <c r="S1424" i="5"/>
  <c r="T1424" i="5"/>
  <c r="N1424" i="5"/>
  <c r="K1424" i="5"/>
  <c r="M1424" i="5"/>
  <c r="J1424" i="5"/>
  <c r="G1424" i="5"/>
  <c r="S1423" i="5"/>
  <c r="T1423" i="5"/>
  <c r="K1423" i="5"/>
  <c r="N1423" i="5"/>
  <c r="M1423" i="5"/>
  <c r="J1423" i="5"/>
  <c r="G1423" i="5"/>
  <c r="S1422" i="5"/>
  <c r="T1422" i="5"/>
  <c r="N1422" i="5"/>
  <c r="K1422" i="5"/>
  <c r="M1422" i="5"/>
  <c r="J1422" i="5"/>
  <c r="G1422" i="5"/>
  <c r="S1421" i="5"/>
  <c r="T1421" i="5"/>
  <c r="N1421" i="5"/>
  <c r="K1421" i="5"/>
  <c r="M1421" i="5"/>
  <c r="J1421" i="5"/>
  <c r="G1421" i="5"/>
  <c r="S1420" i="5"/>
  <c r="T1420" i="5"/>
  <c r="N1420" i="5"/>
  <c r="K1420" i="5"/>
  <c r="M1420" i="5"/>
  <c r="J1420" i="5"/>
  <c r="G1420" i="5"/>
  <c r="S1419" i="5"/>
  <c r="T1419" i="5"/>
  <c r="N1419" i="5"/>
  <c r="K1419" i="5"/>
  <c r="M1419" i="5"/>
  <c r="J1419" i="5"/>
  <c r="G1419" i="5"/>
  <c r="S1418" i="5"/>
  <c r="T1418" i="5"/>
  <c r="N1418" i="5"/>
  <c r="K1418" i="5"/>
  <c r="M1418" i="5"/>
  <c r="J1418" i="5"/>
  <c r="G1418" i="5"/>
  <c r="S1417" i="5"/>
  <c r="T1417" i="5"/>
  <c r="N1417" i="5"/>
  <c r="K1417" i="5"/>
  <c r="M1417" i="5"/>
  <c r="J1417" i="5"/>
  <c r="G1417" i="5"/>
  <c r="S1416" i="5"/>
  <c r="T1416" i="5"/>
  <c r="N1416" i="5"/>
  <c r="K1416" i="5"/>
  <c r="M1416" i="5"/>
  <c r="J1416" i="5"/>
  <c r="G1416" i="5"/>
  <c r="S1415" i="5"/>
  <c r="T1415" i="5"/>
  <c r="N1415" i="5"/>
  <c r="K1415" i="5"/>
  <c r="G1415" i="5"/>
  <c r="J1415" i="5"/>
  <c r="M1415" i="5"/>
  <c r="S1414" i="5"/>
  <c r="T1414" i="5"/>
  <c r="N1414" i="5"/>
  <c r="K1414" i="5"/>
  <c r="M1414" i="5"/>
  <c r="J1414" i="5"/>
  <c r="G1414" i="5"/>
  <c r="S1413" i="5"/>
  <c r="T1413" i="5"/>
  <c r="N1413" i="5"/>
  <c r="K1413" i="5"/>
  <c r="M1413" i="5"/>
  <c r="J1413" i="5"/>
  <c r="G1413" i="5"/>
  <c r="S1412" i="5"/>
  <c r="T1412" i="5"/>
  <c r="N1412" i="5"/>
  <c r="K1412" i="5"/>
  <c r="G1412" i="5"/>
  <c r="J1412" i="5"/>
  <c r="M1412" i="5"/>
  <c r="S1411" i="5"/>
  <c r="T1411" i="5"/>
  <c r="N1411" i="5"/>
  <c r="K1411" i="5"/>
  <c r="M1411" i="5"/>
  <c r="J1411" i="5"/>
  <c r="G1411" i="5"/>
  <c r="S1410" i="5"/>
  <c r="T1410" i="5"/>
  <c r="N1410" i="5"/>
  <c r="K1410" i="5"/>
  <c r="M1410" i="5"/>
  <c r="J1410" i="5"/>
  <c r="G1410" i="5"/>
  <c r="S1409" i="5"/>
  <c r="T1409" i="5"/>
  <c r="N1409" i="5"/>
  <c r="K1409" i="5"/>
  <c r="M1409" i="5"/>
  <c r="J1409" i="5"/>
  <c r="G1409" i="5"/>
  <c r="S1408" i="5"/>
  <c r="T1408" i="5"/>
  <c r="N1408" i="5"/>
  <c r="K1408" i="5"/>
  <c r="M1408" i="5"/>
  <c r="J1408" i="5"/>
  <c r="G1408" i="5"/>
  <c r="S1407" i="5"/>
  <c r="T1407" i="5"/>
  <c r="N1407" i="5"/>
  <c r="K1407" i="5"/>
  <c r="M1407" i="5"/>
  <c r="J1407" i="5"/>
  <c r="G1407" i="5"/>
  <c r="S1406" i="5"/>
  <c r="T1406" i="5"/>
  <c r="N1406" i="5"/>
  <c r="K1406" i="5"/>
  <c r="G1406" i="5"/>
  <c r="J1406" i="5"/>
  <c r="M1406" i="5"/>
  <c r="S1405" i="5"/>
  <c r="T1405" i="5"/>
  <c r="N1405" i="5"/>
  <c r="K1405" i="5"/>
  <c r="M1405" i="5"/>
  <c r="J1405" i="5"/>
  <c r="G1405" i="5"/>
  <c r="S1404" i="5"/>
  <c r="T1404" i="5"/>
  <c r="N1404" i="5"/>
  <c r="K1404" i="5"/>
  <c r="M1404" i="5"/>
  <c r="J1404" i="5"/>
  <c r="G1404" i="5"/>
  <c r="S1403" i="5"/>
  <c r="T1403" i="5"/>
  <c r="N1403" i="5"/>
  <c r="K1403" i="5"/>
  <c r="M1403" i="5"/>
  <c r="J1403" i="5"/>
  <c r="G1403" i="5"/>
  <c r="S1402" i="5"/>
  <c r="T1402" i="5"/>
  <c r="K1402" i="5"/>
  <c r="N1402" i="5"/>
  <c r="J1402" i="5"/>
  <c r="G1402" i="5"/>
  <c r="M1402" i="5"/>
  <c r="S1401" i="5"/>
  <c r="T1401" i="5"/>
  <c r="N1401" i="5"/>
  <c r="K1401" i="5"/>
  <c r="M1401" i="5"/>
  <c r="J1401" i="5"/>
  <c r="G1401" i="5"/>
  <c r="S1400" i="5"/>
  <c r="T1400" i="5"/>
  <c r="K1400" i="5"/>
  <c r="N1400" i="5"/>
  <c r="M1400" i="5"/>
  <c r="J1400" i="5"/>
  <c r="G1400" i="5"/>
  <c r="S1399" i="5"/>
  <c r="T1399" i="5"/>
  <c r="N1399" i="5"/>
  <c r="K1399" i="5"/>
  <c r="M1399" i="5"/>
  <c r="J1399" i="5"/>
  <c r="G1399" i="5"/>
  <c r="S1398" i="5"/>
  <c r="T1398" i="5"/>
  <c r="N1398" i="5"/>
  <c r="K1398" i="5"/>
  <c r="G1398" i="5"/>
  <c r="M1398" i="5"/>
  <c r="J1398" i="5"/>
  <c r="S1397" i="5"/>
  <c r="T1397" i="5"/>
  <c r="N1397" i="5"/>
  <c r="K1397" i="5"/>
  <c r="M1397" i="5"/>
  <c r="J1397" i="5"/>
  <c r="G1397" i="5"/>
  <c r="S1396" i="5"/>
  <c r="T1396" i="5"/>
  <c r="N1396" i="5"/>
  <c r="K1396" i="5"/>
  <c r="M1396" i="5"/>
  <c r="J1396" i="5"/>
  <c r="G1396" i="5"/>
  <c r="S1395" i="5"/>
  <c r="T1395" i="5"/>
  <c r="N1395" i="5"/>
  <c r="K1395" i="5"/>
  <c r="M1395" i="5"/>
  <c r="J1395" i="5"/>
  <c r="G1395" i="5"/>
  <c r="S1394" i="5"/>
  <c r="T1394" i="5"/>
  <c r="K1394" i="5"/>
  <c r="N1394" i="5"/>
  <c r="G1394" i="5"/>
  <c r="M1394" i="5"/>
  <c r="J1394" i="5"/>
  <c r="S1393" i="5"/>
  <c r="T1393" i="5"/>
  <c r="N1393" i="5"/>
  <c r="K1393" i="5"/>
  <c r="M1393" i="5"/>
  <c r="J1393" i="5"/>
  <c r="G1393" i="5"/>
  <c r="S1392" i="5"/>
  <c r="T1392" i="5"/>
  <c r="K1392" i="5"/>
  <c r="N1392" i="5"/>
  <c r="G1392" i="5"/>
  <c r="J1392" i="5"/>
  <c r="M1392" i="5"/>
  <c r="S1391" i="5"/>
  <c r="T1391" i="5"/>
  <c r="N1391" i="5"/>
  <c r="K1391" i="5"/>
  <c r="M1391" i="5"/>
  <c r="J1391" i="5"/>
  <c r="G1391" i="5"/>
  <c r="S1390" i="5"/>
  <c r="T1390" i="5"/>
  <c r="N1390" i="5"/>
  <c r="K1390" i="5"/>
  <c r="M1390" i="5"/>
  <c r="J1390" i="5"/>
  <c r="G1390" i="5"/>
  <c r="S1389" i="5"/>
  <c r="T1389" i="5"/>
  <c r="N1389" i="5"/>
  <c r="K1389" i="5"/>
  <c r="M1389" i="5"/>
  <c r="J1389" i="5"/>
  <c r="G1389" i="5"/>
  <c r="S1388" i="5"/>
  <c r="T1388" i="5"/>
  <c r="N1388" i="5"/>
  <c r="K1388" i="5"/>
  <c r="M1388" i="5"/>
  <c r="J1388" i="5"/>
  <c r="G1388" i="5"/>
  <c r="S1387" i="5"/>
  <c r="T1387" i="5"/>
  <c r="N1387" i="5"/>
  <c r="K1387" i="5"/>
  <c r="M1387" i="5"/>
  <c r="J1387" i="5"/>
  <c r="G1387" i="5"/>
  <c r="S1386" i="5"/>
  <c r="T1386" i="5"/>
  <c r="N1386" i="5"/>
  <c r="K1386" i="5"/>
  <c r="M1386" i="5"/>
  <c r="J1386" i="5"/>
  <c r="G1386" i="5"/>
  <c r="S1385" i="5"/>
  <c r="T1385" i="5"/>
  <c r="K1385" i="5"/>
  <c r="N1385" i="5"/>
  <c r="M1385" i="5"/>
  <c r="J1385" i="5"/>
  <c r="G1385" i="5"/>
  <c r="S1384" i="5"/>
  <c r="T1384" i="5"/>
  <c r="N1384" i="5"/>
  <c r="K1384" i="5"/>
  <c r="M1384" i="5"/>
  <c r="J1384" i="5"/>
  <c r="G1384" i="5"/>
  <c r="S1383" i="5"/>
  <c r="T1383" i="5"/>
  <c r="N1383" i="5"/>
  <c r="K1383" i="5"/>
  <c r="J1383" i="5"/>
  <c r="G1383" i="5"/>
  <c r="M1383" i="5"/>
  <c r="S1382" i="5"/>
  <c r="T1382" i="5"/>
  <c r="N1382" i="5"/>
  <c r="K1382" i="5"/>
  <c r="M1382" i="5"/>
  <c r="J1382" i="5"/>
  <c r="G1382" i="5"/>
  <c r="S1381" i="5"/>
  <c r="T1381" i="5"/>
  <c r="K1381" i="5"/>
  <c r="N1381" i="5"/>
  <c r="M1381" i="5"/>
  <c r="J1381" i="5"/>
  <c r="G1381" i="5"/>
  <c r="S1380" i="5"/>
  <c r="T1380" i="5"/>
  <c r="N1380" i="5"/>
  <c r="K1380" i="5"/>
  <c r="M1380" i="5"/>
  <c r="J1380" i="5"/>
  <c r="G1380" i="5"/>
  <c r="S1379" i="5"/>
  <c r="T1379" i="5"/>
  <c r="N1379" i="5"/>
  <c r="K1379" i="5"/>
  <c r="M1379" i="5"/>
  <c r="J1379" i="5"/>
  <c r="G1379" i="5"/>
  <c r="S1378" i="5"/>
  <c r="T1378" i="5"/>
  <c r="N1378" i="5"/>
  <c r="K1378" i="5"/>
  <c r="M1378" i="5"/>
  <c r="J1378" i="5"/>
  <c r="G1378" i="5"/>
  <c r="S1377" i="5"/>
  <c r="T1377" i="5"/>
  <c r="N1377" i="5"/>
  <c r="K1377" i="5"/>
  <c r="M1377" i="5"/>
  <c r="J1377" i="5"/>
  <c r="G1377" i="5"/>
  <c r="S1376" i="5"/>
  <c r="T1376" i="5"/>
  <c r="N1376" i="5"/>
  <c r="K1376" i="5"/>
  <c r="M1376" i="5"/>
  <c r="J1376" i="5"/>
  <c r="G1376" i="5"/>
  <c r="S1375" i="5"/>
  <c r="T1375" i="5"/>
  <c r="N1375" i="5"/>
  <c r="K1375" i="5"/>
  <c r="M1375" i="5"/>
  <c r="J1375" i="5"/>
  <c r="G1375" i="5"/>
  <c r="S1374" i="5"/>
  <c r="T1374" i="5"/>
  <c r="N1374" i="5"/>
  <c r="K1374" i="5"/>
  <c r="M1374" i="5"/>
  <c r="J1374" i="5"/>
  <c r="G1374" i="5"/>
  <c r="S1373" i="5"/>
  <c r="T1373" i="5"/>
  <c r="K1373" i="5"/>
  <c r="N1373" i="5"/>
  <c r="M1373" i="5"/>
  <c r="G1373" i="5"/>
  <c r="J1373" i="5"/>
  <c r="S1372" i="5"/>
  <c r="T1372" i="5"/>
  <c r="N1372" i="5"/>
  <c r="K1372" i="5"/>
  <c r="M1372" i="5"/>
  <c r="J1372" i="5"/>
  <c r="G1372" i="5"/>
  <c r="S1371" i="5"/>
  <c r="T1371" i="5"/>
  <c r="N1371" i="5"/>
  <c r="K1371" i="5"/>
  <c r="M1371" i="5"/>
  <c r="J1371" i="5"/>
  <c r="G1371" i="5"/>
  <c r="S1370" i="5"/>
  <c r="T1370" i="5"/>
  <c r="N1370" i="5"/>
  <c r="K1370" i="5"/>
  <c r="M1370" i="5"/>
  <c r="J1370" i="5"/>
  <c r="G1370" i="5"/>
  <c r="S1369" i="5"/>
  <c r="T1369" i="5"/>
  <c r="K1369" i="5"/>
  <c r="N1369" i="5"/>
  <c r="M1369" i="5"/>
  <c r="J1369" i="5"/>
  <c r="G1369" i="5"/>
  <c r="S1368" i="5"/>
  <c r="T1368" i="5"/>
  <c r="N1368" i="5"/>
  <c r="K1368" i="5"/>
  <c r="M1368" i="5"/>
  <c r="J1368" i="5"/>
  <c r="G1368" i="5"/>
  <c r="S1367" i="5"/>
  <c r="T1367" i="5"/>
  <c r="N1367" i="5"/>
  <c r="K1367" i="5"/>
  <c r="M1367" i="5"/>
  <c r="J1367" i="5"/>
  <c r="G1367" i="5"/>
  <c r="S1366" i="5"/>
  <c r="T1366" i="5"/>
  <c r="N1366" i="5"/>
  <c r="K1366" i="5"/>
  <c r="M1366" i="5"/>
  <c r="J1366" i="5"/>
  <c r="G1366" i="5"/>
  <c r="S1365" i="5"/>
  <c r="T1365" i="5"/>
  <c r="K1365" i="5"/>
  <c r="N1365" i="5"/>
  <c r="M1365" i="5"/>
  <c r="G1365" i="5"/>
  <c r="J1365" i="5"/>
  <c r="S1364" i="5"/>
  <c r="T1364" i="5"/>
  <c r="N1364" i="5"/>
  <c r="K1364" i="5"/>
  <c r="M1364" i="5"/>
  <c r="J1364" i="5"/>
  <c r="G1364" i="5"/>
  <c r="S1363" i="5"/>
  <c r="T1363" i="5"/>
  <c r="N1363" i="5"/>
  <c r="K1363" i="5"/>
  <c r="J1363" i="5"/>
  <c r="G1363" i="5"/>
  <c r="M1363" i="5"/>
  <c r="S1362" i="5"/>
  <c r="T1362" i="5"/>
  <c r="N1362" i="5"/>
  <c r="K1362" i="5"/>
  <c r="M1362" i="5"/>
  <c r="J1362" i="5"/>
  <c r="G1362" i="5"/>
  <c r="S1361" i="5"/>
  <c r="T1361" i="5"/>
  <c r="K1361" i="5"/>
  <c r="N1361" i="5"/>
  <c r="M1361" i="5"/>
  <c r="J1361" i="5"/>
  <c r="G1361" i="5"/>
  <c r="S1360" i="5"/>
  <c r="T1360" i="5"/>
  <c r="N1360" i="5"/>
  <c r="K1360" i="5"/>
  <c r="M1360" i="5"/>
  <c r="J1360" i="5"/>
  <c r="G1360" i="5"/>
  <c r="S1359" i="5"/>
  <c r="T1359" i="5"/>
  <c r="N1359" i="5"/>
  <c r="K1359" i="5"/>
  <c r="M1359" i="5"/>
  <c r="J1359" i="5"/>
  <c r="G1359" i="5"/>
  <c r="S1358" i="5"/>
  <c r="T1358" i="5"/>
  <c r="N1358" i="5"/>
  <c r="K1358" i="5"/>
  <c r="M1358" i="5"/>
  <c r="J1358" i="5"/>
  <c r="G1358" i="5"/>
  <c r="S1357" i="5"/>
  <c r="T1357" i="5"/>
  <c r="N1357" i="5"/>
  <c r="K1357" i="5"/>
  <c r="G1357" i="5"/>
  <c r="J1357" i="5"/>
  <c r="M1357" i="5"/>
  <c r="S1356" i="5"/>
  <c r="T1356" i="5"/>
  <c r="N1356" i="5"/>
  <c r="K1356" i="5"/>
  <c r="M1356" i="5"/>
  <c r="J1356" i="5"/>
  <c r="G1356" i="5"/>
  <c r="S1355" i="5"/>
  <c r="T1355" i="5"/>
  <c r="N1355" i="5"/>
  <c r="K1355" i="5"/>
  <c r="M1355" i="5"/>
  <c r="J1355" i="5"/>
  <c r="G1355" i="5"/>
  <c r="S1354" i="5"/>
  <c r="T1354" i="5"/>
  <c r="N1354" i="5"/>
  <c r="K1354" i="5"/>
  <c r="M1354" i="5"/>
  <c r="J1354" i="5"/>
  <c r="G1354" i="5"/>
  <c r="S1353" i="5"/>
  <c r="T1353" i="5"/>
  <c r="K1353" i="5"/>
  <c r="N1353" i="5"/>
  <c r="M1353" i="5"/>
  <c r="G1353" i="5"/>
  <c r="J1353" i="5"/>
  <c r="S1352" i="5"/>
  <c r="T1352" i="5"/>
  <c r="N1352" i="5"/>
  <c r="K1352" i="5"/>
  <c r="M1352" i="5"/>
  <c r="J1352" i="5"/>
  <c r="G1352" i="5"/>
  <c r="S1351" i="5"/>
  <c r="T1351" i="5"/>
  <c r="K1351" i="5"/>
  <c r="N1351" i="5"/>
  <c r="M1351" i="5"/>
  <c r="J1351" i="5"/>
  <c r="G1351" i="5"/>
  <c r="S1350" i="5"/>
  <c r="T1350" i="5"/>
  <c r="N1350" i="5"/>
  <c r="K1350" i="5"/>
  <c r="M1350" i="5"/>
  <c r="J1350" i="5"/>
  <c r="G1350" i="5"/>
  <c r="S1349" i="5"/>
  <c r="T1349" i="5"/>
  <c r="N1349" i="5"/>
  <c r="K1349" i="5"/>
  <c r="G1349" i="5"/>
  <c r="M1349" i="5"/>
  <c r="J1349" i="5"/>
  <c r="S1348" i="5"/>
  <c r="T1348" i="5"/>
  <c r="N1348" i="5"/>
  <c r="K1348" i="5"/>
  <c r="M1348" i="5"/>
  <c r="J1348" i="5"/>
  <c r="G1348" i="5"/>
  <c r="S1347" i="5"/>
  <c r="T1347" i="5"/>
  <c r="N1347" i="5"/>
  <c r="K1347" i="5"/>
  <c r="M1347" i="5"/>
  <c r="J1347" i="5"/>
  <c r="G1347" i="5"/>
  <c r="S1346" i="5"/>
  <c r="T1346" i="5"/>
  <c r="N1346" i="5"/>
  <c r="K1346" i="5"/>
  <c r="M1346" i="5"/>
  <c r="J1346" i="5"/>
  <c r="G1346" i="5"/>
  <c r="S1345" i="5"/>
  <c r="T1345" i="5"/>
  <c r="K1345" i="5"/>
  <c r="N1345" i="5"/>
  <c r="G1345" i="5"/>
  <c r="M1345" i="5"/>
  <c r="J1345" i="5"/>
  <c r="S1344" i="5"/>
  <c r="T1344" i="5"/>
  <c r="N1344" i="5"/>
  <c r="K1344" i="5"/>
  <c r="M1344" i="5"/>
  <c r="J1344" i="5"/>
  <c r="G1344" i="5"/>
  <c r="S1343" i="5"/>
  <c r="T1343" i="5"/>
  <c r="K1343" i="5"/>
  <c r="N1343" i="5"/>
  <c r="G1343" i="5"/>
  <c r="J1343" i="5"/>
  <c r="M1343" i="5"/>
  <c r="S1342" i="5"/>
  <c r="T1342" i="5"/>
  <c r="N1342" i="5"/>
  <c r="K1342" i="5"/>
  <c r="M1342" i="5"/>
  <c r="J1342" i="5"/>
  <c r="G1342" i="5"/>
  <c r="S1341" i="5"/>
  <c r="T1341" i="5"/>
  <c r="N1341" i="5"/>
  <c r="K1341" i="5"/>
  <c r="M1341" i="5"/>
  <c r="J1341" i="5"/>
  <c r="G1341" i="5"/>
  <c r="S1340" i="5"/>
  <c r="T1340" i="5"/>
  <c r="K1340" i="5"/>
  <c r="N1340" i="5"/>
  <c r="M1340" i="5"/>
  <c r="G1340" i="5"/>
  <c r="J1340" i="5"/>
  <c r="S1339" i="5"/>
  <c r="T1339" i="5"/>
  <c r="N1339" i="5"/>
  <c r="K1339" i="5"/>
  <c r="M1339" i="5"/>
  <c r="J1339" i="5"/>
  <c r="G1339" i="5"/>
  <c r="S1338" i="5"/>
  <c r="T1338" i="5"/>
  <c r="N1338" i="5"/>
  <c r="K1338" i="5"/>
  <c r="M1338" i="5"/>
  <c r="J1338" i="5"/>
  <c r="G1338" i="5"/>
  <c r="S1337" i="5"/>
  <c r="T1337" i="5"/>
  <c r="K1337" i="5"/>
  <c r="N1337" i="5"/>
  <c r="M1337" i="5"/>
  <c r="J1337" i="5"/>
  <c r="G1337" i="5"/>
  <c r="S1336" i="5"/>
  <c r="T1336" i="5"/>
  <c r="N1336" i="5"/>
  <c r="K1336" i="5"/>
  <c r="M1336" i="5"/>
  <c r="J1336" i="5"/>
  <c r="G1336" i="5"/>
  <c r="S1335" i="5"/>
  <c r="T1335" i="5"/>
  <c r="K1335" i="5"/>
  <c r="N1335" i="5"/>
  <c r="M1335" i="5"/>
  <c r="J1335" i="5"/>
  <c r="G1335" i="5"/>
  <c r="S1334" i="5"/>
  <c r="T1334" i="5"/>
  <c r="N1334" i="5"/>
  <c r="K1334" i="5"/>
  <c r="M1334" i="5"/>
  <c r="J1334" i="5"/>
  <c r="G1334" i="5"/>
  <c r="S1333" i="5"/>
  <c r="T1333" i="5"/>
  <c r="N1333" i="5"/>
  <c r="K1333" i="5"/>
  <c r="G1333" i="5"/>
  <c r="J1333" i="5"/>
  <c r="M1333" i="5"/>
  <c r="S1332" i="5"/>
  <c r="T1332" i="5"/>
  <c r="N1332" i="5"/>
  <c r="K1332" i="5"/>
  <c r="M1332" i="5"/>
  <c r="J1332" i="5"/>
  <c r="G1332" i="5"/>
  <c r="S1331" i="5"/>
  <c r="T1331" i="5"/>
  <c r="N1331" i="5"/>
  <c r="K1331" i="5"/>
  <c r="M1331" i="5"/>
  <c r="J1331" i="5"/>
  <c r="G1331" i="5"/>
  <c r="S1330" i="5"/>
  <c r="T1330" i="5"/>
  <c r="N1330" i="5"/>
  <c r="K1330" i="5"/>
  <c r="M1330" i="5"/>
  <c r="G1330" i="5"/>
  <c r="J1330" i="5"/>
  <c r="S1329" i="5"/>
  <c r="T1329" i="5"/>
  <c r="N1329" i="5"/>
  <c r="K1329" i="5"/>
  <c r="M1329" i="5"/>
  <c r="J1329" i="5"/>
  <c r="G1329" i="5"/>
  <c r="S1328" i="5"/>
  <c r="T1328" i="5"/>
  <c r="N1328" i="5"/>
  <c r="K1328" i="5"/>
  <c r="M1328" i="5"/>
  <c r="J1328" i="5"/>
  <c r="G1328" i="5"/>
  <c r="S1327" i="5"/>
  <c r="T1327" i="5"/>
  <c r="N1327" i="5"/>
  <c r="K1327" i="5"/>
  <c r="M1327" i="5"/>
  <c r="J1327" i="5"/>
  <c r="G1327" i="5"/>
  <c r="S1326" i="5"/>
  <c r="T1326" i="5"/>
  <c r="N1326" i="5"/>
  <c r="K1326" i="5"/>
  <c r="M1326" i="5"/>
  <c r="J1326" i="5"/>
  <c r="G1326" i="5"/>
  <c r="S1325" i="5"/>
  <c r="T1325" i="5"/>
  <c r="N1325" i="5"/>
  <c r="K1325" i="5"/>
  <c r="M1325" i="5"/>
  <c r="J1325" i="5"/>
  <c r="G1325" i="5"/>
  <c r="S1324" i="5"/>
  <c r="T1324" i="5"/>
  <c r="N1324" i="5"/>
  <c r="K1324" i="5"/>
  <c r="M1324" i="5"/>
  <c r="J1324" i="5"/>
  <c r="G1324" i="5"/>
  <c r="S1323" i="5"/>
  <c r="T1323" i="5"/>
  <c r="N1323" i="5"/>
  <c r="K1323" i="5"/>
  <c r="M1323" i="5"/>
  <c r="J1323" i="5"/>
  <c r="G1323" i="5"/>
  <c r="S1322" i="5"/>
  <c r="T1322" i="5"/>
  <c r="N1322" i="5"/>
  <c r="K1322" i="5"/>
  <c r="M1322" i="5"/>
  <c r="J1322" i="5"/>
  <c r="G1322" i="5"/>
  <c r="S1321" i="5"/>
  <c r="T1321" i="5"/>
  <c r="N1321" i="5"/>
  <c r="K1321" i="5"/>
  <c r="J1321" i="5"/>
  <c r="G1321" i="5"/>
  <c r="M1321" i="5"/>
  <c r="S1320" i="5"/>
  <c r="T1320" i="5"/>
  <c r="N1320" i="5"/>
  <c r="K1320" i="5"/>
  <c r="M1320" i="5"/>
  <c r="G1320" i="5"/>
  <c r="J1320" i="5"/>
  <c r="S1319" i="5"/>
  <c r="T1319" i="5"/>
  <c r="N1319" i="5"/>
  <c r="K1319" i="5"/>
  <c r="M1319" i="5"/>
  <c r="J1319" i="5"/>
  <c r="G1319" i="5"/>
  <c r="S1318" i="5"/>
  <c r="T1318" i="5"/>
  <c r="K1318" i="5"/>
  <c r="N1318" i="5"/>
  <c r="G1318" i="5"/>
  <c r="J1318" i="5"/>
  <c r="M1318" i="5"/>
  <c r="S1317" i="5"/>
  <c r="T1317" i="5"/>
  <c r="N1317" i="5"/>
  <c r="K1317" i="5"/>
  <c r="M1317" i="5"/>
  <c r="J1317" i="5"/>
  <c r="G1317" i="5"/>
  <c r="S1316" i="5"/>
  <c r="T1316" i="5"/>
  <c r="N1316" i="5"/>
  <c r="K1316" i="5"/>
  <c r="M1316" i="5"/>
  <c r="J1316" i="5"/>
  <c r="G1316" i="5"/>
  <c r="S1315" i="5"/>
  <c r="T1315" i="5"/>
  <c r="N1315" i="5"/>
  <c r="K1315" i="5"/>
  <c r="G1315" i="5"/>
  <c r="M1315" i="5"/>
  <c r="J1315" i="5"/>
  <c r="S1314" i="5"/>
  <c r="T1314" i="5"/>
  <c r="K1314" i="5"/>
  <c r="N1314" i="5"/>
  <c r="G1314" i="5"/>
  <c r="M1314" i="5"/>
  <c r="J1314" i="5"/>
  <c r="S1313" i="5"/>
  <c r="T1313" i="5"/>
  <c r="K1313" i="5"/>
  <c r="N1313" i="5"/>
  <c r="G1313" i="5"/>
  <c r="M1313" i="5"/>
  <c r="J1313" i="5"/>
  <c r="S1312" i="5"/>
  <c r="T1312" i="5"/>
  <c r="K1312" i="5"/>
  <c r="N1312" i="5"/>
  <c r="G1312" i="5"/>
  <c r="M1312" i="5"/>
  <c r="J1312" i="5"/>
  <c r="S1311" i="5"/>
  <c r="T1311" i="5"/>
  <c r="K1311" i="5"/>
  <c r="N1311" i="5"/>
  <c r="J1311" i="5"/>
  <c r="M1311" i="5"/>
  <c r="G1311" i="5"/>
  <c r="S1310" i="5"/>
  <c r="T1310" i="5"/>
  <c r="N1310" i="5"/>
  <c r="K1310" i="5"/>
  <c r="M1310" i="5"/>
  <c r="J1310" i="5"/>
  <c r="G1310" i="5"/>
  <c r="S1309" i="5"/>
  <c r="T1309" i="5"/>
  <c r="N1309" i="5"/>
  <c r="K1309" i="5"/>
  <c r="M1309" i="5"/>
  <c r="J1309" i="5"/>
  <c r="G1309" i="5"/>
  <c r="S1308" i="5"/>
  <c r="T1308" i="5"/>
  <c r="N1308" i="5"/>
  <c r="K1308" i="5"/>
  <c r="G1308" i="5"/>
  <c r="M1308" i="5"/>
  <c r="J1308" i="5"/>
  <c r="S1307" i="5"/>
  <c r="T1307" i="5"/>
  <c r="K1307" i="5"/>
  <c r="N1307" i="5"/>
  <c r="G1307" i="5"/>
  <c r="M1307" i="5"/>
  <c r="J1307" i="5"/>
  <c r="S1306" i="5"/>
  <c r="T1306" i="5"/>
  <c r="K1306" i="5"/>
  <c r="N1306" i="5"/>
  <c r="J1306" i="5"/>
  <c r="M1306" i="5"/>
  <c r="G1306" i="5"/>
  <c r="S1305" i="5"/>
  <c r="T1305" i="5"/>
  <c r="N1305" i="5"/>
  <c r="K1305" i="5"/>
  <c r="M1305" i="5"/>
  <c r="J1305" i="5"/>
  <c r="G1305" i="5"/>
  <c r="S1304" i="5"/>
  <c r="T1304" i="5"/>
  <c r="N1304" i="5"/>
  <c r="K1304" i="5"/>
  <c r="G1304" i="5"/>
  <c r="M1304" i="5"/>
  <c r="J1304" i="5"/>
  <c r="S1303" i="5"/>
  <c r="T1303" i="5"/>
  <c r="N1303" i="5"/>
  <c r="K1303" i="5"/>
  <c r="M1303" i="5"/>
  <c r="J1303" i="5"/>
  <c r="G1303" i="5"/>
  <c r="S1302" i="5"/>
  <c r="T1302" i="5"/>
  <c r="N1302" i="5"/>
  <c r="K1302" i="5"/>
  <c r="M1302" i="5"/>
  <c r="J1302" i="5"/>
  <c r="G1302" i="5"/>
  <c r="S1301" i="5"/>
  <c r="T1301" i="5"/>
  <c r="N1301" i="5"/>
  <c r="K1301" i="5"/>
  <c r="M1301" i="5"/>
  <c r="J1301" i="5"/>
  <c r="G1301" i="5"/>
  <c r="S1300" i="5"/>
  <c r="T1300" i="5"/>
  <c r="N1300" i="5"/>
  <c r="K1300" i="5"/>
  <c r="M1300" i="5"/>
  <c r="J1300" i="5"/>
  <c r="G1300" i="5"/>
  <c r="S1299" i="5"/>
  <c r="T1299" i="5"/>
  <c r="K1299" i="5"/>
  <c r="N1299" i="5"/>
  <c r="M1299" i="5"/>
  <c r="G1299" i="5"/>
  <c r="J1299" i="5"/>
  <c r="S1298" i="5"/>
  <c r="T1298" i="5"/>
  <c r="N1298" i="5"/>
  <c r="K1298" i="5"/>
  <c r="M1298" i="5"/>
  <c r="J1298" i="5"/>
  <c r="G1298" i="5"/>
  <c r="S1297" i="5"/>
  <c r="T1297" i="5"/>
  <c r="N1297" i="5"/>
  <c r="K1297" i="5"/>
  <c r="M1297" i="5"/>
  <c r="J1297" i="5"/>
  <c r="G1297" i="5"/>
  <c r="S1296" i="5"/>
  <c r="T1296" i="5"/>
  <c r="N1296" i="5"/>
  <c r="K1296" i="5"/>
  <c r="M1296" i="5"/>
  <c r="J1296" i="5"/>
  <c r="G1296" i="5"/>
  <c r="S1295" i="5"/>
  <c r="T1295" i="5"/>
  <c r="K1295" i="5"/>
  <c r="N1295" i="5"/>
  <c r="M1295" i="5"/>
  <c r="J1295" i="5"/>
  <c r="G1295" i="5"/>
  <c r="S1294" i="5"/>
  <c r="T1294" i="5"/>
  <c r="N1294" i="5"/>
  <c r="K1294" i="5"/>
  <c r="M1294" i="5"/>
  <c r="J1294" i="5"/>
  <c r="G1294" i="5"/>
  <c r="S1293" i="5"/>
  <c r="T1293" i="5"/>
  <c r="N1293" i="5"/>
  <c r="K1293" i="5"/>
  <c r="M1293" i="5"/>
  <c r="J1293" i="5"/>
  <c r="G1293" i="5"/>
  <c r="S1292" i="5"/>
  <c r="T1292" i="5"/>
  <c r="N1292" i="5"/>
  <c r="K1292" i="5"/>
  <c r="M1292" i="5"/>
  <c r="J1292" i="5"/>
  <c r="G1292" i="5"/>
  <c r="S1291" i="5"/>
  <c r="T1291" i="5"/>
  <c r="K1291" i="5"/>
  <c r="N1291" i="5"/>
  <c r="M1291" i="5"/>
  <c r="G1291" i="5"/>
  <c r="J1291" i="5"/>
  <c r="S1290" i="5"/>
  <c r="T1290" i="5"/>
  <c r="N1290" i="5"/>
  <c r="K1290" i="5"/>
  <c r="M1290" i="5"/>
  <c r="J1290" i="5"/>
  <c r="G1290" i="5"/>
  <c r="S1289" i="5"/>
  <c r="T1289" i="5"/>
  <c r="N1289" i="5"/>
  <c r="K1289" i="5"/>
  <c r="J1289" i="5"/>
  <c r="G1289" i="5"/>
  <c r="M1289" i="5"/>
  <c r="S1288" i="5"/>
  <c r="T1288" i="5"/>
  <c r="N1288" i="5"/>
  <c r="K1288" i="5"/>
  <c r="M1288" i="5"/>
  <c r="J1288" i="5"/>
  <c r="G1288" i="5"/>
  <c r="S1287" i="5"/>
  <c r="T1287" i="5"/>
  <c r="K1287" i="5"/>
  <c r="N1287" i="5"/>
  <c r="M1287" i="5"/>
  <c r="J1287" i="5"/>
  <c r="G1287" i="5"/>
  <c r="S1286" i="5"/>
  <c r="T1286" i="5"/>
  <c r="N1286" i="5"/>
  <c r="K1286" i="5"/>
  <c r="M1286" i="5"/>
  <c r="J1286" i="5"/>
  <c r="G1286" i="5"/>
  <c r="S1285" i="5"/>
  <c r="T1285" i="5"/>
  <c r="N1285" i="5"/>
  <c r="K1285" i="5"/>
  <c r="M1285" i="5"/>
  <c r="J1285" i="5"/>
  <c r="G1285" i="5"/>
  <c r="S1284" i="5"/>
  <c r="T1284" i="5"/>
  <c r="N1284" i="5"/>
  <c r="K1284" i="5"/>
  <c r="M1284" i="5"/>
  <c r="J1284" i="5"/>
  <c r="G1284" i="5"/>
  <c r="S1283" i="5"/>
  <c r="T1283" i="5"/>
  <c r="N1283" i="5"/>
  <c r="K1283" i="5"/>
  <c r="G1283" i="5"/>
  <c r="M1283" i="5"/>
  <c r="J1283" i="5"/>
  <c r="S1282" i="5"/>
  <c r="T1282" i="5"/>
  <c r="K1282" i="5"/>
  <c r="N1282" i="5"/>
  <c r="G1282" i="5"/>
  <c r="J1282" i="5"/>
  <c r="M1282" i="5"/>
  <c r="S1281" i="5"/>
  <c r="T1281" i="5"/>
  <c r="N1281" i="5"/>
  <c r="K1281" i="5"/>
  <c r="M1281" i="5"/>
  <c r="J1281" i="5"/>
  <c r="G1281" i="5"/>
  <c r="S1280" i="5"/>
  <c r="T1280" i="5"/>
  <c r="N1280" i="5"/>
  <c r="K1280" i="5"/>
  <c r="M1280" i="5"/>
  <c r="J1280" i="5"/>
  <c r="G1280" i="5"/>
  <c r="S1279" i="5"/>
  <c r="T1279" i="5"/>
  <c r="N1279" i="5"/>
  <c r="K1279" i="5"/>
  <c r="M1279" i="5"/>
  <c r="J1279" i="5"/>
  <c r="G1279" i="5"/>
  <c r="S1278" i="5"/>
  <c r="T1278" i="5"/>
  <c r="K1278" i="5"/>
  <c r="N1278" i="5"/>
  <c r="J1278" i="5"/>
  <c r="G1278" i="5"/>
  <c r="M1278" i="5"/>
  <c r="S1277" i="5"/>
  <c r="T1277" i="5"/>
  <c r="N1277" i="5"/>
  <c r="K1277" i="5"/>
  <c r="M1277" i="5"/>
  <c r="J1277" i="5"/>
  <c r="G1277" i="5"/>
  <c r="S1276" i="5"/>
  <c r="T1276" i="5"/>
  <c r="K1276" i="5"/>
  <c r="N1276" i="5"/>
  <c r="M1276" i="5"/>
  <c r="J1276" i="5"/>
  <c r="G1276" i="5"/>
  <c r="S1275" i="5"/>
  <c r="T1275" i="5"/>
  <c r="N1275" i="5"/>
  <c r="K1275" i="5"/>
  <c r="M1275" i="5"/>
  <c r="J1275" i="5"/>
  <c r="G1275" i="5"/>
  <c r="S1274" i="5"/>
  <c r="T1274" i="5"/>
  <c r="N1274" i="5"/>
  <c r="K1274" i="5"/>
  <c r="G1274" i="5"/>
  <c r="M1274" i="5"/>
  <c r="J1274" i="5"/>
  <c r="S1273" i="5"/>
  <c r="T1273" i="5"/>
  <c r="N1273" i="5"/>
  <c r="K1273" i="5"/>
  <c r="M1273" i="5"/>
  <c r="J1273" i="5"/>
  <c r="G1273" i="5"/>
  <c r="S1272" i="5"/>
  <c r="T1272" i="5"/>
  <c r="N1272" i="5"/>
  <c r="K1272" i="5"/>
  <c r="M1272" i="5"/>
  <c r="J1272" i="5"/>
  <c r="G1272" i="5"/>
  <c r="S1271" i="5"/>
  <c r="T1271" i="5"/>
  <c r="N1271" i="5"/>
  <c r="K1271" i="5"/>
  <c r="M1271" i="5"/>
  <c r="J1271" i="5"/>
  <c r="G1271" i="5"/>
  <c r="S1270" i="5"/>
  <c r="T1270" i="5"/>
  <c r="K1270" i="5"/>
  <c r="N1270" i="5"/>
  <c r="G1270" i="5"/>
  <c r="M1270" i="5"/>
  <c r="J1270" i="5"/>
  <c r="S1269" i="5"/>
  <c r="T1269" i="5"/>
  <c r="N1269" i="5"/>
  <c r="K1269" i="5"/>
  <c r="M1269" i="5"/>
  <c r="J1269" i="5"/>
  <c r="G1269" i="5"/>
  <c r="S1268" i="5"/>
  <c r="T1268" i="5"/>
  <c r="K1268" i="5"/>
  <c r="N1268" i="5"/>
  <c r="G1268" i="5"/>
  <c r="J1268" i="5"/>
  <c r="M1268" i="5"/>
  <c r="S1267" i="5"/>
  <c r="T1267" i="5"/>
  <c r="N1267" i="5"/>
  <c r="K1267" i="5"/>
  <c r="M1267" i="5"/>
  <c r="J1267" i="5"/>
  <c r="G1267" i="5"/>
  <c r="S1266" i="5"/>
  <c r="T1266" i="5"/>
  <c r="N1266" i="5"/>
  <c r="K1266" i="5"/>
  <c r="M1266" i="5"/>
  <c r="J1266" i="5"/>
  <c r="G1266" i="5"/>
  <c r="S1265" i="5"/>
  <c r="T1265" i="5"/>
  <c r="K1265" i="5"/>
  <c r="N1265" i="5"/>
  <c r="G1265" i="5"/>
  <c r="M1265" i="5"/>
  <c r="J1265" i="5"/>
  <c r="S1264" i="5"/>
  <c r="T1264" i="5"/>
  <c r="N1264" i="5"/>
  <c r="K1264" i="5"/>
  <c r="M1264" i="5"/>
  <c r="J1264" i="5"/>
  <c r="G1264" i="5"/>
  <c r="S1263" i="5"/>
  <c r="T1263" i="5"/>
  <c r="N1263" i="5"/>
  <c r="K1263" i="5"/>
  <c r="M1263" i="5"/>
  <c r="J1263" i="5"/>
  <c r="G1263" i="5"/>
  <c r="S1262" i="5"/>
  <c r="T1262" i="5"/>
  <c r="N1262" i="5"/>
  <c r="K1262" i="5"/>
  <c r="J1262" i="5"/>
  <c r="M1262" i="5"/>
  <c r="G1262" i="5"/>
  <c r="S1261" i="5"/>
  <c r="T1261" i="5"/>
  <c r="N1261" i="5"/>
  <c r="K1261" i="5"/>
  <c r="M1261" i="5"/>
  <c r="J1261" i="5"/>
  <c r="G1261" i="5"/>
  <c r="S1260" i="5"/>
  <c r="T1260" i="5"/>
  <c r="N1260" i="5"/>
  <c r="K1260" i="5"/>
  <c r="M1260" i="5"/>
  <c r="J1260" i="5"/>
  <c r="G1260" i="5"/>
  <c r="S1259" i="5"/>
  <c r="T1259" i="5"/>
  <c r="N1259" i="5"/>
  <c r="K1259" i="5"/>
  <c r="M1259" i="5"/>
  <c r="J1259" i="5"/>
  <c r="G1259" i="5"/>
  <c r="S1258" i="5"/>
  <c r="T1258" i="5"/>
  <c r="K1258" i="5"/>
  <c r="N1258" i="5"/>
  <c r="M1258" i="5"/>
  <c r="J1258" i="5"/>
  <c r="G1258" i="5"/>
  <c r="S1257" i="5"/>
  <c r="T1257" i="5"/>
  <c r="N1257" i="5"/>
  <c r="K1257" i="5"/>
  <c r="M1257" i="5"/>
  <c r="J1257" i="5"/>
  <c r="G1257" i="5"/>
  <c r="S1256" i="5"/>
  <c r="T1256" i="5"/>
  <c r="N1256" i="5"/>
  <c r="K1256" i="5"/>
  <c r="M1256" i="5"/>
  <c r="J1256" i="5"/>
  <c r="G1256" i="5"/>
  <c r="S1255" i="5"/>
  <c r="T1255" i="5"/>
  <c r="N1255" i="5"/>
  <c r="K1255" i="5"/>
  <c r="J1255" i="5"/>
  <c r="G1255" i="5"/>
  <c r="M1255" i="5"/>
  <c r="S1254" i="5"/>
  <c r="T1254" i="5"/>
  <c r="N1254" i="5"/>
  <c r="K1254" i="5"/>
  <c r="M1254" i="5"/>
  <c r="J1254" i="5"/>
  <c r="G1254" i="5"/>
  <c r="S1253" i="5"/>
  <c r="T1253" i="5"/>
  <c r="N1253" i="5"/>
  <c r="K1253" i="5"/>
  <c r="M1253" i="5"/>
  <c r="J1253" i="5"/>
  <c r="G1253" i="5"/>
  <c r="S1252" i="5"/>
  <c r="T1252" i="5"/>
  <c r="N1252" i="5"/>
  <c r="K1252" i="5"/>
  <c r="J1252" i="5"/>
  <c r="G1252" i="5"/>
  <c r="M1252" i="5"/>
  <c r="S1251" i="5"/>
  <c r="T1251" i="5"/>
  <c r="N1251" i="5"/>
  <c r="K1251" i="5"/>
  <c r="M1251" i="5"/>
  <c r="J1251" i="5"/>
  <c r="G1251" i="5"/>
  <c r="S1250" i="5"/>
  <c r="T1250" i="5"/>
  <c r="N1250" i="5"/>
  <c r="K1250" i="5"/>
  <c r="M1250" i="5"/>
  <c r="J1250" i="5"/>
  <c r="G1250" i="5"/>
  <c r="S1249" i="5"/>
  <c r="T1249" i="5"/>
  <c r="K1249" i="5"/>
  <c r="N1249" i="5"/>
  <c r="G1249" i="5"/>
  <c r="J1249" i="5"/>
  <c r="M1249" i="5"/>
  <c r="S1248" i="5"/>
  <c r="T1248" i="5"/>
  <c r="N1248" i="5"/>
  <c r="K1248" i="5"/>
  <c r="M1248" i="5"/>
  <c r="J1248" i="5"/>
  <c r="G1248" i="5"/>
  <c r="S1247" i="5"/>
  <c r="T1247" i="5"/>
  <c r="N1247" i="5"/>
  <c r="K1247" i="5"/>
  <c r="M1247" i="5"/>
  <c r="J1247" i="5"/>
  <c r="G1247" i="5"/>
  <c r="S1246" i="5"/>
  <c r="T1246" i="5"/>
  <c r="N1246" i="5"/>
  <c r="K1246" i="5"/>
  <c r="M1246" i="5"/>
  <c r="J1246" i="5"/>
  <c r="G1246" i="5"/>
  <c r="S1245" i="5"/>
  <c r="T1245" i="5"/>
  <c r="K1245" i="5"/>
  <c r="N1245" i="5"/>
  <c r="J1245" i="5"/>
  <c r="G1245" i="5"/>
  <c r="M1245" i="5"/>
  <c r="S1244" i="5"/>
  <c r="T1244" i="5"/>
  <c r="N1244" i="5"/>
  <c r="K1244" i="5"/>
  <c r="M1244" i="5"/>
  <c r="J1244" i="5"/>
  <c r="G1244" i="5"/>
  <c r="S1243" i="5"/>
  <c r="T1243" i="5"/>
  <c r="N1243" i="5"/>
  <c r="K1243" i="5"/>
  <c r="M1243" i="5"/>
  <c r="J1243" i="5"/>
  <c r="G1243" i="5"/>
  <c r="S1242" i="5"/>
  <c r="T1242" i="5"/>
  <c r="K1242" i="5"/>
  <c r="N1242" i="5"/>
  <c r="G1242" i="5"/>
  <c r="M1242" i="5"/>
  <c r="J1242" i="5"/>
  <c r="S1241" i="5"/>
  <c r="T1241" i="5"/>
  <c r="N1241" i="5"/>
  <c r="K1241" i="5"/>
  <c r="M1241" i="5"/>
  <c r="J1241" i="5"/>
  <c r="G1241" i="5"/>
  <c r="S1240" i="5"/>
  <c r="T1240" i="5"/>
  <c r="N1240" i="5"/>
  <c r="K1240" i="5"/>
  <c r="M1240" i="5"/>
  <c r="J1240" i="5"/>
  <c r="G1240" i="5"/>
  <c r="S1239" i="5"/>
  <c r="T1239" i="5"/>
  <c r="N1239" i="5"/>
  <c r="K1239" i="5"/>
  <c r="G1239" i="5"/>
  <c r="J1239" i="5"/>
  <c r="M1239" i="5"/>
  <c r="S1238" i="5"/>
  <c r="T1238" i="5"/>
  <c r="N1238" i="5"/>
  <c r="K1238" i="5"/>
  <c r="M1238" i="5"/>
  <c r="J1238" i="5"/>
  <c r="G1238" i="5"/>
  <c r="S1237" i="5"/>
  <c r="T1237" i="5"/>
  <c r="N1237" i="5"/>
  <c r="K1237" i="5"/>
  <c r="M1237" i="5"/>
  <c r="J1237" i="5"/>
  <c r="G1237" i="5"/>
  <c r="S1236" i="5"/>
  <c r="T1236" i="5"/>
  <c r="N1236" i="5"/>
  <c r="K1236" i="5"/>
  <c r="M1236" i="5"/>
  <c r="J1236" i="5"/>
  <c r="G1236" i="5"/>
  <c r="S1235" i="5"/>
  <c r="T1235" i="5"/>
  <c r="N1235" i="5"/>
  <c r="K1235" i="5"/>
  <c r="M1235" i="5"/>
  <c r="J1235" i="5"/>
  <c r="G1235" i="5"/>
  <c r="S1234" i="5"/>
  <c r="T1234" i="5"/>
  <c r="N1234" i="5"/>
  <c r="K1234" i="5"/>
  <c r="M1234" i="5"/>
  <c r="J1234" i="5"/>
  <c r="G1234" i="5"/>
  <c r="S1233" i="5"/>
  <c r="T1233" i="5"/>
  <c r="N1233" i="5"/>
  <c r="K1233" i="5"/>
  <c r="G1233" i="5"/>
  <c r="M1233" i="5"/>
  <c r="J1233" i="5"/>
  <c r="S1232" i="5"/>
  <c r="T1232" i="5"/>
  <c r="N1232" i="5"/>
  <c r="K1232" i="5"/>
  <c r="M1232" i="5"/>
  <c r="J1232" i="5"/>
  <c r="G1232" i="5"/>
  <c r="S1231" i="5"/>
  <c r="T1231" i="5"/>
  <c r="N1231" i="5"/>
  <c r="K1231" i="5"/>
  <c r="M1231" i="5"/>
  <c r="J1231" i="5"/>
  <c r="G1231" i="5"/>
  <c r="S1230" i="5"/>
  <c r="T1230" i="5"/>
  <c r="N1230" i="5"/>
  <c r="K1230" i="5"/>
  <c r="M1230" i="5"/>
  <c r="J1230" i="5"/>
  <c r="G1230" i="5"/>
  <c r="S1229" i="5"/>
  <c r="T1229" i="5"/>
  <c r="N1229" i="5"/>
  <c r="K1229" i="5"/>
  <c r="J1229" i="5"/>
  <c r="G1229" i="5"/>
  <c r="M1229" i="5"/>
  <c r="S1228" i="5"/>
  <c r="T1228" i="5"/>
  <c r="K1228" i="5"/>
  <c r="N1228" i="5"/>
  <c r="M1228" i="5"/>
  <c r="J1228" i="5"/>
  <c r="G1228" i="5"/>
  <c r="S1227" i="5"/>
  <c r="T1227" i="5"/>
  <c r="N1227" i="5"/>
  <c r="K1227" i="5"/>
  <c r="M1227" i="5"/>
  <c r="J1227" i="5"/>
  <c r="G1227" i="5"/>
  <c r="S1226" i="5"/>
  <c r="T1226" i="5"/>
  <c r="N1226" i="5"/>
  <c r="K1226" i="5"/>
  <c r="G1226" i="5"/>
  <c r="J1226" i="5"/>
  <c r="M1226" i="5"/>
  <c r="S1225" i="5"/>
  <c r="T1225" i="5"/>
  <c r="N1225" i="5"/>
  <c r="K1225" i="5"/>
  <c r="M1225" i="5"/>
  <c r="J1225" i="5"/>
  <c r="G1225" i="5"/>
  <c r="S1224" i="5"/>
  <c r="T1224" i="5"/>
  <c r="N1224" i="5"/>
  <c r="K1224" i="5"/>
  <c r="G1224" i="5"/>
  <c r="M1224" i="5"/>
  <c r="J1224" i="5"/>
  <c r="S1223" i="5"/>
  <c r="T1223" i="5"/>
  <c r="N1223" i="5"/>
  <c r="K1223" i="5"/>
  <c r="M1223" i="5"/>
  <c r="J1223" i="5"/>
  <c r="G1223" i="5"/>
  <c r="S1222" i="5"/>
  <c r="T1222" i="5"/>
  <c r="N1222" i="5"/>
  <c r="K1222" i="5"/>
  <c r="M1222" i="5"/>
  <c r="J1222" i="5"/>
  <c r="G1222" i="5"/>
  <c r="S1221" i="5"/>
  <c r="T1221" i="5"/>
  <c r="K1221" i="5"/>
  <c r="N1221" i="5"/>
  <c r="M1221" i="5"/>
  <c r="J1221" i="5"/>
  <c r="G1221" i="5"/>
  <c r="S1220" i="5"/>
  <c r="T1220" i="5"/>
  <c r="N1220" i="5"/>
  <c r="K1220" i="5"/>
  <c r="M1220" i="5"/>
  <c r="J1220" i="5"/>
  <c r="G1220" i="5"/>
  <c r="S1219" i="5"/>
  <c r="T1219" i="5"/>
  <c r="N1219" i="5"/>
  <c r="K1219" i="5"/>
  <c r="M1219" i="5"/>
  <c r="J1219" i="5"/>
  <c r="G1219" i="5"/>
  <c r="S1218" i="5"/>
  <c r="T1218" i="5"/>
  <c r="K1218" i="5"/>
  <c r="N1218" i="5"/>
  <c r="G1218" i="5"/>
  <c r="M1218" i="5"/>
  <c r="J1218" i="5"/>
  <c r="S1217" i="5"/>
  <c r="T1217" i="5"/>
  <c r="K1217" i="5"/>
  <c r="N1217" i="5"/>
  <c r="M1217" i="5"/>
  <c r="J1217" i="5"/>
  <c r="G1217" i="5"/>
  <c r="S1216" i="5"/>
  <c r="T1216" i="5"/>
  <c r="N1216" i="5"/>
  <c r="K1216" i="5"/>
  <c r="G1216" i="5"/>
  <c r="M1216" i="5"/>
  <c r="J1216" i="5"/>
  <c r="S1215" i="5"/>
  <c r="T1215" i="5"/>
  <c r="N1215" i="5"/>
  <c r="K1215" i="5"/>
  <c r="M1215" i="5"/>
  <c r="J1215" i="5"/>
  <c r="G1215" i="5"/>
  <c r="S1214" i="5"/>
  <c r="T1214" i="5"/>
  <c r="N1214" i="5"/>
  <c r="K1214" i="5"/>
  <c r="M1214" i="5"/>
  <c r="J1214" i="5"/>
  <c r="G1214" i="5"/>
  <c r="S1213" i="5"/>
  <c r="T1213" i="5"/>
  <c r="K1213" i="5"/>
  <c r="N1213" i="5"/>
  <c r="M1213" i="5"/>
  <c r="J1213" i="5"/>
  <c r="G1213" i="5"/>
  <c r="S1212" i="5"/>
  <c r="T1212" i="5"/>
  <c r="K1212" i="5"/>
  <c r="N1212" i="5"/>
  <c r="M1212" i="5"/>
  <c r="J1212" i="5"/>
  <c r="G1212" i="5"/>
  <c r="S1211" i="5"/>
  <c r="T1211" i="5"/>
  <c r="N1211" i="5"/>
  <c r="K1211" i="5"/>
  <c r="M1211" i="5"/>
  <c r="J1211" i="5"/>
  <c r="G1211" i="5"/>
  <c r="S1210" i="5"/>
  <c r="T1210" i="5"/>
  <c r="N1210" i="5"/>
  <c r="K1210" i="5"/>
  <c r="M1210" i="5"/>
  <c r="J1210" i="5"/>
  <c r="G1210" i="5"/>
  <c r="S1209" i="5"/>
  <c r="T1209" i="5"/>
  <c r="N1209" i="5"/>
  <c r="K1209" i="5"/>
  <c r="M1209" i="5"/>
  <c r="J1209" i="5"/>
  <c r="G1209" i="5"/>
  <c r="S1208" i="5"/>
  <c r="T1208" i="5"/>
  <c r="N1208" i="5"/>
  <c r="K1208" i="5"/>
  <c r="G1208" i="5"/>
  <c r="M1208" i="5"/>
  <c r="J1208" i="5"/>
  <c r="S1207" i="5"/>
  <c r="T1207" i="5"/>
  <c r="K1207" i="5"/>
  <c r="N1207" i="5"/>
  <c r="G1207" i="5"/>
  <c r="M1207" i="5"/>
  <c r="J1207" i="5"/>
  <c r="S1206" i="5"/>
  <c r="T1206" i="5"/>
  <c r="K1206" i="5"/>
  <c r="N1206" i="5"/>
  <c r="G1206" i="5"/>
  <c r="M1206" i="5"/>
  <c r="J1206" i="5"/>
  <c r="S1205" i="5"/>
  <c r="T1205" i="5"/>
  <c r="K1205" i="5"/>
  <c r="N1205" i="5"/>
  <c r="M1205" i="5"/>
  <c r="J1205" i="5"/>
  <c r="G1205" i="5"/>
  <c r="S1204" i="5"/>
  <c r="T1204" i="5"/>
  <c r="N1204" i="5"/>
  <c r="K1204" i="5"/>
  <c r="M1204" i="5"/>
  <c r="J1204" i="5"/>
  <c r="G1204" i="5"/>
  <c r="S1203" i="5"/>
  <c r="T1203" i="5"/>
  <c r="N1203" i="5"/>
  <c r="K1203" i="5"/>
  <c r="J1203" i="5"/>
  <c r="G1203" i="5"/>
  <c r="M1203" i="5"/>
  <c r="S1202" i="5"/>
  <c r="T1202" i="5"/>
  <c r="N1202" i="5"/>
  <c r="K1202" i="5"/>
  <c r="M1202" i="5"/>
  <c r="J1202" i="5"/>
  <c r="G1202" i="5"/>
  <c r="S1201" i="5"/>
  <c r="T1201" i="5"/>
  <c r="N1201" i="5"/>
  <c r="K1201" i="5"/>
  <c r="M1201" i="5"/>
  <c r="J1201" i="5"/>
  <c r="G1201" i="5"/>
  <c r="S1200" i="5"/>
  <c r="T1200" i="5"/>
  <c r="N1200" i="5"/>
  <c r="K1200" i="5"/>
  <c r="M1200" i="5"/>
  <c r="J1200" i="5"/>
  <c r="G1200" i="5"/>
  <c r="S1199" i="5"/>
  <c r="T1199" i="5"/>
  <c r="K1199" i="5"/>
  <c r="N1199" i="5"/>
  <c r="G1199" i="5"/>
  <c r="M1199" i="5"/>
  <c r="J1199" i="5"/>
  <c r="S1198" i="5"/>
  <c r="T1198" i="5"/>
  <c r="K1198" i="5"/>
  <c r="N1198" i="5"/>
  <c r="G1198" i="5"/>
  <c r="M1198" i="5"/>
  <c r="J1198" i="5"/>
  <c r="S1197" i="5"/>
  <c r="T1197" i="5"/>
  <c r="K1197" i="5"/>
  <c r="N1197" i="5"/>
  <c r="G1197" i="5"/>
  <c r="M1197" i="5"/>
  <c r="J1197" i="5"/>
  <c r="S1196" i="5"/>
  <c r="T1196" i="5"/>
  <c r="K1196" i="5"/>
  <c r="N1196" i="5"/>
  <c r="J1196" i="5"/>
  <c r="M1196" i="5"/>
  <c r="G1196" i="5"/>
  <c r="S1195" i="5"/>
  <c r="T1195" i="5"/>
  <c r="N1195" i="5"/>
  <c r="K1195" i="5"/>
  <c r="M1195" i="5"/>
  <c r="J1195" i="5"/>
  <c r="G1195" i="5"/>
  <c r="S1194" i="5"/>
  <c r="T1194" i="5"/>
  <c r="N1194" i="5"/>
  <c r="K1194" i="5"/>
  <c r="M1194" i="5"/>
  <c r="J1194" i="5"/>
  <c r="G1194" i="5"/>
  <c r="S1193" i="5"/>
  <c r="T1193" i="5"/>
  <c r="N1193" i="5"/>
  <c r="K1193" i="5"/>
  <c r="M1193" i="5"/>
  <c r="J1193" i="5"/>
  <c r="G1193" i="5"/>
  <c r="S1192" i="5"/>
  <c r="T1192" i="5"/>
  <c r="N1192" i="5"/>
  <c r="K1192" i="5"/>
  <c r="G1192" i="5"/>
  <c r="M1192" i="5"/>
  <c r="J1192" i="5"/>
  <c r="S1191" i="5"/>
  <c r="T1191" i="5"/>
  <c r="K1191" i="5"/>
  <c r="N1191" i="5"/>
  <c r="G1191" i="5"/>
  <c r="M1191" i="5"/>
  <c r="J1191" i="5"/>
  <c r="S1190" i="5"/>
  <c r="T1190" i="5"/>
  <c r="K1190" i="5"/>
  <c r="N1190" i="5"/>
  <c r="G1190" i="5"/>
  <c r="M1190" i="5"/>
  <c r="J1190" i="5"/>
  <c r="S1189" i="5"/>
  <c r="T1189" i="5"/>
  <c r="K1189" i="5"/>
  <c r="N1189" i="5"/>
  <c r="G1189" i="5"/>
  <c r="M1189" i="5"/>
  <c r="J1189" i="5"/>
  <c r="S1188" i="5"/>
  <c r="T1188" i="5"/>
  <c r="K1188" i="5"/>
  <c r="N1188" i="5"/>
  <c r="G1188" i="5"/>
  <c r="M1188" i="5"/>
  <c r="J1188" i="5"/>
  <c r="S1187" i="5"/>
  <c r="T1187" i="5"/>
  <c r="K1187" i="5"/>
  <c r="N1187" i="5"/>
  <c r="G1187" i="5"/>
  <c r="M1187" i="5"/>
  <c r="J1187" i="5"/>
  <c r="S1186" i="5"/>
  <c r="T1186" i="5"/>
  <c r="K1186" i="5"/>
  <c r="N1186" i="5"/>
  <c r="J1186" i="5"/>
  <c r="G1186" i="5"/>
  <c r="M1186" i="5"/>
  <c r="S1185" i="5"/>
  <c r="T1185" i="5"/>
  <c r="N1185" i="5"/>
  <c r="K1185" i="5"/>
  <c r="M1185" i="5"/>
  <c r="J1185" i="5"/>
  <c r="G1185" i="5"/>
  <c r="S1184" i="5"/>
  <c r="T1184" i="5"/>
  <c r="N1184" i="5"/>
  <c r="K1184" i="5"/>
  <c r="M1184" i="5"/>
  <c r="J1184" i="5"/>
  <c r="G1184" i="5"/>
  <c r="S1183" i="5"/>
  <c r="T1183" i="5"/>
  <c r="K1183" i="5"/>
  <c r="N1183" i="5"/>
  <c r="G1183" i="5"/>
  <c r="J1183" i="5"/>
  <c r="M1183" i="5"/>
  <c r="S1182" i="5"/>
  <c r="T1182" i="5"/>
  <c r="N1182" i="5"/>
  <c r="K1182" i="5"/>
  <c r="M1182" i="5"/>
  <c r="J1182" i="5"/>
  <c r="G1182" i="5"/>
  <c r="S1181" i="5"/>
  <c r="T1181" i="5"/>
  <c r="N1181" i="5"/>
  <c r="K1181" i="5"/>
  <c r="M1181" i="5"/>
  <c r="J1181" i="5"/>
  <c r="G1181" i="5"/>
  <c r="S1180" i="5"/>
  <c r="T1180" i="5"/>
  <c r="N1180" i="5"/>
  <c r="K1180" i="5"/>
  <c r="M1180" i="5"/>
  <c r="J1180" i="5"/>
  <c r="G1180" i="5"/>
  <c r="S1179" i="5"/>
  <c r="T1179" i="5"/>
  <c r="N1179" i="5"/>
  <c r="K1179" i="5"/>
  <c r="M1179" i="5"/>
  <c r="G1179" i="5"/>
  <c r="J1179" i="5"/>
  <c r="S1178" i="5"/>
  <c r="T1178" i="5"/>
  <c r="N1178" i="5"/>
  <c r="K1178" i="5"/>
  <c r="M1178" i="5"/>
  <c r="J1178" i="5"/>
  <c r="G1178" i="5"/>
  <c r="S1177" i="5"/>
  <c r="T1177" i="5"/>
  <c r="N1177" i="5"/>
  <c r="K1177" i="5"/>
  <c r="M1177" i="5"/>
  <c r="J1177" i="5"/>
  <c r="G1177" i="5"/>
  <c r="S1176" i="5"/>
  <c r="T1176" i="5"/>
  <c r="K1176" i="5"/>
  <c r="N1176" i="5"/>
  <c r="J1176" i="5"/>
  <c r="G1176" i="5"/>
  <c r="M1176" i="5"/>
  <c r="S1175" i="5"/>
  <c r="T1175" i="5"/>
  <c r="N1175" i="5"/>
  <c r="K1175" i="5"/>
  <c r="M1175" i="5"/>
  <c r="J1175" i="5"/>
  <c r="G1175" i="5"/>
  <c r="S1174" i="5"/>
  <c r="T1174" i="5"/>
  <c r="N1174" i="5"/>
  <c r="K1174" i="5"/>
  <c r="M1174" i="5"/>
  <c r="J1174" i="5"/>
  <c r="G1174" i="5"/>
  <c r="S1173" i="5"/>
  <c r="T1173" i="5"/>
  <c r="K1173" i="5"/>
  <c r="N1173" i="5"/>
  <c r="G1173" i="5"/>
  <c r="M1173" i="5"/>
  <c r="J1173" i="5"/>
  <c r="S1172" i="5"/>
  <c r="T1172" i="5"/>
  <c r="K1172" i="5"/>
  <c r="N1172" i="5"/>
  <c r="G1172" i="5"/>
  <c r="J1172" i="5"/>
  <c r="M1172" i="5"/>
  <c r="S1171" i="5"/>
  <c r="T1171" i="5"/>
  <c r="K1171" i="5"/>
  <c r="N1171" i="5"/>
  <c r="G1171" i="5"/>
  <c r="J1171" i="5"/>
  <c r="M1171" i="5"/>
  <c r="S1170" i="5"/>
  <c r="T1170" i="5"/>
  <c r="N1170" i="5"/>
  <c r="K1170" i="5"/>
  <c r="M1170" i="5"/>
  <c r="G1170" i="5"/>
  <c r="J1170" i="5"/>
  <c r="S1169" i="5"/>
  <c r="T1169" i="5"/>
  <c r="K1169" i="5"/>
  <c r="N1169" i="5"/>
  <c r="G1169" i="5"/>
  <c r="J1169" i="5"/>
  <c r="M1169" i="5"/>
  <c r="S1168" i="5"/>
  <c r="T1168" i="5"/>
  <c r="N1168" i="5"/>
  <c r="K1168" i="5"/>
  <c r="G1168" i="5"/>
  <c r="M1168" i="5"/>
  <c r="J1168" i="5"/>
  <c r="S1167" i="5"/>
  <c r="T1167" i="5"/>
  <c r="K1167" i="5"/>
  <c r="N1167" i="5"/>
  <c r="G1167" i="5"/>
  <c r="M1167" i="5"/>
  <c r="J1167" i="5"/>
  <c r="S1166" i="5"/>
  <c r="T1166" i="5"/>
  <c r="K1166" i="5"/>
  <c r="N1166" i="5"/>
  <c r="G1166" i="5"/>
  <c r="M1166" i="5"/>
  <c r="J1166" i="5"/>
  <c r="S1165" i="5"/>
  <c r="T1165" i="5"/>
  <c r="K1165" i="5"/>
  <c r="N1165" i="5"/>
  <c r="G1165" i="5"/>
  <c r="M1165" i="5"/>
  <c r="J1165" i="5"/>
  <c r="S1164" i="5"/>
  <c r="T1164" i="5"/>
  <c r="K1164" i="5"/>
  <c r="N1164" i="5"/>
  <c r="G1164" i="5"/>
  <c r="M1164" i="5"/>
  <c r="J1164" i="5"/>
  <c r="S1163" i="5"/>
  <c r="T1163" i="5"/>
  <c r="K1163" i="5"/>
  <c r="N1163" i="5"/>
  <c r="G1163" i="5"/>
  <c r="M1163" i="5"/>
  <c r="J1163" i="5"/>
  <c r="S1162" i="5"/>
  <c r="T1162" i="5"/>
  <c r="K1162" i="5"/>
  <c r="N1162" i="5"/>
  <c r="G1162" i="5"/>
  <c r="M1162" i="5"/>
  <c r="J1162" i="5"/>
  <c r="S1161" i="5"/>
  <c r="T1161" i="5"/>
  <c r="K1161" i="5"/>
  <c r="N1161" i="5"/>
  <c r="G1161" i="5"/>
  <c r="M1161" i="5"/>
  <c r="J1161" i="5"/>
  <c r="S1160" i="5"/>
  <c r="T1160" i="5"/>
  <c r="K1160" i="5"/>
  <c r="N1160" i="5"/>
  <c r="G1160" i="5"/>
  <c r="M1160" i="5"/>
  <c r="J1160" i="5"/>
  <c r="S1159" i="5"/>
  <c r="T1159" i="5"/>
  <c r="K1159" i="5"/>
  <c r="N1159" i="5"/>
  <c r="G1159" i="5"/>
  <c r="M1159" i="5"/>
  <c r="J1159" i="5"/>
  <c r="S1158" i="5"/>
  <c r="T1158" i="5"/>
  <c r="K1158" i="5"/>
  <c r="N1158" i="5"/>
  <c r="G1158" i="5"/>
  <c r="M1158" i="5"/>
  <c r="J1158" i="5"/>
  <c r="S1157" i="5"/>
  <c r="T1157" i="5"/>
  <c r="N1157" i="5"/>
  <c r="K1157" i="5"/>
  <c r="M1157" i="5"/>
  <c r="J1157" i="5"/>
  <c r="G1157" i="5"/>
  <c r="S1156" i="5"/>
  <c r="T1156" i="5"/>
  <c r="N1156" i="5"/>
  <c r="K1156" i="5"/>
  <c r="M1156" i="5"/>
  <c r="J1156" i="5"/>
  <c r="G1156" i="5"/>
  <c r="S1155" i="5"/>
  <c r="T1155" i="5"/>
  <c r="N1155" i="5"/>
  <c r="K1155" i="5"/>
  <c r="G1155" i="5"/>
  <c r="M1155" i="5"/>
  <c r="J1155" i="5"/>
  <c r="S1154" i="5"/>
  <c r="T1154" i="5"/>
  <c r="K1154" i="5"/>
  <c r="N1154" i="5"/>
  <c r="G1154" i="5"/>
  <c r="M1154" i="5"/>
  <c r="J1154" i="5"/>
  <c r="S1153" i="5"/>
  <c r="T1153" i="5"/>
  <c r="N1153" i="5"/>
  <c r="K1153" i="5"/>
  <c r="M1153" i="5"/>
  <c r="J1153" i="5"/>
  <c r="G1153" i="5"/>
  <c r="S1152" i="5"/>
  <c r="T1152" i="5"/>
  <c r="N1152" i="5"/>
  <c r="K1152" i="5"/>
  <c r="M1152" i="5"/>
  <c r="J1152" i="5"/>
  <c r="G1152" i="5"/>
  <c r="S1151" i="5"/>
  <c r="T1151" i="5"/>
  <c r="N1151" i="5"/>
  <c r="K1151" i="5"/>
  <c r="M1151" i="5"/>
  <c r="J1151" i="5"/>
  <c r="G1151" i="5"/>
  <c r="S1150" i="5"/>
  <c r="T1150" i="5"/>
  <c r="N1150" i="5"/>
  <c r="K1150" i="5"/>
  <c r="J1150" i="5"/>
  <c r="G1150" i="5"/>
  <c r="M1150" i="5"/>
  <c r="S1149" i="5"/>
  <c r="T1149" i="5"/>
  <c r="K1149" i="5"/>
  <c r="N1149" i="5"/>
  <c r="J1149" i="5"/>
  <c r="M1149" i="5"/>
  <c r="G1149" i="5"/>
  <c r="S1148" i="5"/>
  <c r="T1148" i="5"/>
  <c r="K1148" i="5"/>
  <c r="N1148" i="5"/>
  <c r="G1148" i="5"/>
  <c r="J1148" i="5"/>
  <c r="M1148" i="5"/>
  <c r="S1147" i="5"/>
  <c r="T1147" i="5"/>
  <c r="N1147" i="5"/>
  <c r="K1147" i="5"/>
  <c r="J1147" i="5"/>
  <c r="G1147" i="5"/>
  <c r="M1147" i="5"/>
  <c r="S1146" i="5"/>
  <c r="T1146" i="5"/>
  <c r="N1146" i="5"/>
  <c r="K1146" i="5"/>
  <c r="G1146" i="5"/>
  <c r="M1146" i="5"/>
  <c r="J1146" i="5"/>
  <c r="S1145" i="5"/>
  <c r="T1145" i="5"/>
  <c r="N1145" i="5"/>
  <c r="K1145" i="5"/>
  <c r="M1145" i="5"/>
  <c r="J1145" i="5"/>
  <c r="G1145" i="5"/>
  <c r="S1144" i="5"/>
  <c r="T1144" i="5"/>
  <c r="N1144" i="5"/>
  <c r="K1144" i="5"/>
  <c r="G1144" i="5"/>
  <c r="J1144" i="5"/>
  <c r="M1144" i="5"/>
  <c r="S1143" i="5"/>
  <c r="T1143" i="5"/>
  <c r="N1143" i="5"/>
  <c r="K1143" i="5"/>
  <c r="J1143" i="5"/>
  <c r="G1143" i="5"/>
  <c r="M1143" i="5"/>
  <c r="S1142" i="5"/>
  <c r="T1142" i="5"/>
  <c r="N1142" i="5"/>
  <c r="K1142" i="5"/>
  <c r="M1142" i="5"/>
  <c r="J1142" i="5"/>
  <c r="G1142" i="5"/>
  <c r="S1141" i="5"/>
  <c r="T1141" i="5"/>
  <c r="K1141" i="5"/>
  <c r="N1141" i="5"/>
  <c r="G1141" i="5"/>
  <c r="M1141" i="5"/>
  <c r="J1141" i="5"/>
  <c r="S1140" i="5"/>
  <c r="T1140" i="5"/>
  <c r="K1140" i="5"/>
  <c r="N1140" i="5"/>
  <c r="J1140" i="5"/>
  <c r="M1140" i="5"/>
  <c r="G1140" i="5"/>
  <c r="S1139" i="5"/>
  <c r="T1139" i="5"/>
  <c r="N1139" i="5"/>
  <c r="K1139" i="5"/>
  <c r="M1139" i="5"/>
  <c r="J1139" i="5"/>
  <c r="G1139" i="5"/>
  <c r="S1138" i="5"/>
  <c r="T1138" i="5"/>
  <c r="N1138" i="5"/>
  <c r="K1138" i="5"/>
  <c r="M1138" i="5"/>
  <c r="J1138" i="5"/>
  <c r="G1138" i="5"/>
  <c r="S1137" i="5"/>
  <c r="T1137" i="5"/>
  <c r="N1137" i="5"/>
  <c r="K1137" i="5"/>
  <c r="G1137" i="5"/>
  <c r="J1137" i="5"/>
  <c r="M1137" i="5"/>
  <c r="S1136" i="5"/>
  <c r="T1136" i="5"/>
  <c r="N1136" i="5"/>
  <c r="K1136" i="5"/>
  <c r="M1136" i="5"/>
  <c r="J1136" i="5"/>
  <c r="G1136" i="5"/>
  <c r="S1135" i="5"/>
  <c r="T1135" i="5"/>
  <c r="N1135" i="5"/>
  <c r="K1135" i="5"/>
  <c r="M1135" i="5"/>
  <c r="J1135" i="5"/>
  <c r="G1135" i="5"/>
  <c r="S1134" i="5"/>
  <c r="T1134" i="5"/>
  <c r="N1134" i="5"/>
  <c r="K1134" i="5"/>
  <c r="M1134" i="5"/>
  <c r="J1134" i="5"/>
  <c r="G1134" i="5"/>
  <c r="S1133" i="5"/>
  <c r="T1133" i="5"/>
  <c r="N1133" i="5"/>
  <c r="K1133" i="5"/>
  <c r="G1133" i="5"/>
  <c r="J1133" i="5"/>
  <c r="M1133" i="5"/>
  <c r="S1132" i="5"/>
  <c r="T1132" i="5"/>
  <c r="N1132" i="5"/>
  <c r="K1132" i="5"/>
  <c r="M1132" i="5"/>
  <c r="J1132" i="5"/>
  <c r="G1132" i="5"/>
  <c r="S1131" i="5"/>
  <c r="T1131" i="5"/>
  <c r="N1131" i="5"/>
  <c r="K1131" i="5"/>
  <c r="G1131" i="5"/>
  <c r="M1131" i="5"/>
  <c r="J1131" i="5"/>
  <c r="S1130" i="5"/>
  <c r="T1130" i="5"/>
  <c r="K1130" i="5"/>
  <c r="N1130" i="5"/>
  <c r="M1130" i="5"/>
  <c r="J1130" i="5"/>
  <c r="G1130" i="5"/>
  <c r="S1129" i="5"/>
  <c r="T1129" i="5"/>
  <c r="N1129" i="5"/>
  <c r="K1129" i="5"/>
  <c r="M1129" i="5"/>
  <c r="J1129" i="5"/>
  <c r="G1129" i="5"/>
  <c r="S1128" i="5"/>
  <c r="T1128" i="5"/>
  <c r="N1128" i="5"/>
  <c r="K1128" i="5"/>
  <c r="M1128" i="5"/>
  <c r="J1128" i="5"/>
  <c r="G1128" i="5"/>
  <c r="S1127" i="5"/>
  <c r="T1127" i="5"/>
  <c r="K1127" i="5"/>
  <c r="N1127" i="5"/>
  <c r="M1127" i="5"/>
  <c r="J1127" i="5"/>
  <c r="G1127" i="5"/>
  <c r="S1126" i="5"/>
  <c r="T1126" i="5"/>
  <c r="N1126" i="5"/>
  <c r="K1126" i="5"/>
  <c r="M1126" i="5"/>
  <c r="J1126" i="5"/>
  <c r="G1126" i="5"/>
  <c r="S1125" i="5"/>
  <c r="T1125" i="5"/>
  <c r="K1125" i="5"/>
  <c r="N1125" i="5"/>
  <c r="J1125" i="5"/>
  <c r="G1125" i="5"/>
  <c r="M1125" i="5"/>
  <c r="S1124" i="5"/>
  <c r="T1124" i="5"/>
  <c r="K1124" i="5"/>
  <c r="N1124" i="5"/>
  <c r="M1124" i="5"/>
  <c r="J1124" i="5"/>
  <c r="G1124" i="5"/>
  <c r="S1123" i="5"/>
  <c r="T1123" i="5"/>
  <c r="N1123" i="5"/>
  <c r="K1123" i="5"/>
  <c r="M1123" i="5"/>
  <c r="J1123" i="5"/>
  <c r="G1123" i="5"/>
  <c r="S1122" i="5"/>
  <c r="T1122" i="5"/>
  <c r="N1122" i="5"/>
  <c r="K1122" i="5"/>
  <c r="G1122" i="5"/>
  <c r="M1122" i="5"/>
  <c r="J1122" i="5"/>
  <c r="S1121" i="5"/>
  <c r="T1121" i="5"/>
  <c r="N1121" i="5"/>
  <c r="K1121" i="5"/>
  <c r="M1121" i="5"/>
  <c r="J1121" i="5"/>
  <c r="G1121" i="5"/>
  <c r="S1120" i="5"/>
  <c r="T1120" i="5"/>
  <c r="N1120" i="5"/>
  <c r="K1120" i="5"/>
  <c r="M1120" i="5"/>
  <c r="J1120" i="5"/>
  <c r="G1120" i="5"/>
  <c r="S1119" i="5"/>
  <c r="T1119" i="5"/>
  <c r="N1119" i="5"/>
  <c r="K1119" i="5"/>
  <c r="M1119" i="5"/>
  <c r="J1119" i="5"/>
  <c r="G1119" i="5"/>
  <c r="S1118" i="5"/>
  <c r="T1118" i="5"/>
  <c r="N1118" i="5"/>
  <c r="K1118" i="5"/>
  <c r="M1118" i="5"/>
  <c r="J1118" i="5"/>
  <c r="G1118" i="5"/>
  <c r="S1117" i="5"/>
  <c r="T1117" i="5"/>
  <c r="N1117" i="5"/>
  <c r="K1117" i="5"/>
  <c r="M1117" i="5"/>
  <c r="J1117" i="5"/>
  <c r="G1117" i="5"/>
  <c r="S1116" i="5"/>
  <c r="T1116" i="5"/>
  <c r="N1116" i="5"/>
  <c r="K1116" i="5"/>
  <c r="M1116" i="5"/>
  <c r="J1116" i="5"/>
  <c r="G1116" i="5"/>
  <c r="S1115" i="5"/>
  <c r="T1115" i="5"/>
  <c r="N1115" i="5"/>
  <c r="K1115" i="5"/>
  <c r="G1115" i="5"/>
  <c r="M1115" i="5"/>
  <c r="J1115" i="5"/>
  <c r="S1114" i="5"/>
  <c r="T1114" i="5"/>
  <c r="K1114" i="5"/>
  <c r="N1114" i="5"/>
  <c r="J1114" i="5"/>
  <c r="M1114" i="5"/>
  <c r="G1114" i="5"/>
  <c r="S1113" i="5"/>
  <c r="T1113" i="5"/>
  <c r="N1113" i="5"/>
  <c r="K1113" i="5"/>
  <c r="G1113" i="5"/>
  <c r="M1113" i="5"/>
  <c r="J1113" i="5"/>
  <c r="S1112" i="5"/>
  <c r="T1112" i="5"/>
  <c r="N1112" i="5"/>
  <c r="K1112" i="5"/>
  <c r="G1112" i="5"/>
  <c r="M1112" i="5"/>
  <c r="J1112" i="5"/>
  <c r="S1111" i="5"/>
  <c r="T1111" i="5"/>
  <c r="N1111" i="5"/>
  <c r="K1111" i="5"/>
  <c r="G1111" i="5"/>
  <c r="J1111" i="5"/>
  <c r="M1111" i="5"/>
  <c r="S1110" i="5"/>
  <c r="T1110" i="5"/>
  <c r="K1110" i="5"/>
  <c r="N1110" i="5"/>
  <c r="G1110" i="5"/>
  <c r="J1110" i="5"/>
  <c r="M1110" i="5"/>
  <c r="S1109" i="5"/>
  <c r="T1109" i="5"/>
  <c r="N1109" i="5"/>
  <c r="K1109" i="5"/>
  <c r="G1109" i="5"/>
  <c r="J1109" i="5"/>
  <c r="M1109" i="5"/>
  <c r="S1108" i="5"/>
  <c r="T1108" i="5"/>
  <c r="N1108" i="5"/>
  <c r="K1108" i="5"/>
  <c r="M1108" i="5"/>
  <c r="J1108" i="5"/>
  <c r="G1108" i="5"/>
  <c r="S1107" i="5"/>
  <c r="T1107" i="5"/>
  <c r="N1107" i="5"/>
  <c r="K1107" i="5"/>
  <c r="M1107" i="5"/>
  <c r="J1107" i="5"/>
  <c r="G1107" i="5"/>
  <c r="S1106" i="5"/>
  <c r="T1106" i="5"/>
  <c r="N1106" i="5"/>
  <c r="K1106" i="5"/>
  <c r="M1106" i="5"/>
  <c r="J1106" i="5"/>
  <c r="G1106" i="5"/>
  <c r="S1105" i="5"/>
  <c r="T1105" i="5"/>
  <c r="N1105" i="5"/>
  <c r="K1105" i="5"/>
  <c r="M1105" i="5"/>
  <c r="J1105" i="5"/>
  <c r="G1105" i="5"/>
  <c r="S1104" i="5"/>
  <c r="T1104" i="5"/>
  <c r="N1104" i="5"/>
  <c r="K1104" i="5"/>
  <c r="M1104" i="5"/>
  <c r="J1104" i="5"/>
  <c r="G1104" i="5"/>
  <c r="S1103" i="5"/>
  <c r="T1103" i="5"/>
  <c r="N1103" i="5"/>
  <c r="K1103" i="5"/>
  <c r="M1103" i="5"/>
  <c r="J1103" i="5"/>
  <c r="G1103" i="5"/>
  <c r="S1102" i="5"/>
  <c r="T1102" i="5"/>
  <c r="N1102" i="5"/>
  <c r="K1102" i="5"/>
  <c r="M1102" i="5"/>
  <c r="J1102" i="5"/>
  <c r="G1102" i="5"/>
  <c r="S1101" i="5"/>
  <c r="T1101" i="5"/>
  <c r="K1101" i="5"/>
  <c r="N1101" i="5"/>
  <c r="M1101" i="5"/>
  <c r="G1101" i="5"/>
  <c r="J1101" i="5"/>
  <c r="S1100" i="5"/>
  <c r="T1100" i="5"/>
  <c r="K1100" i="5"/>
  <c r="N1100" i="5"/>
  <c r="M1100" i="5"/>
  <c r="G1100" i="5"/>
  <c r="J1100" i="5"/>
  <c r="S1099" i="5"/>
  <c r="T1099" i="5"/>
  <c r="K1099" i="5"/>
  <c r="N1099" i="5"/>
  <c r="J1099" i="5"/>
  <c r="M1099" i="5"/>
  <c r="G1099" i="5"/>
  <c r="S1098" i="5"/>
  <c r="T1098" i="5"/>
  <c r="N1098" i="5"/>
  <c r="K1098" i="5"/>
  <c r="M1098" i="5"/>
  <c r="J1098" i="5"/>
  <c r="G1098" i="5"/>
  <c r="S1097" i="5"/>
  <c r="T1097" i="5"/>
  <c r="K1097" i="5"/>
  <c r="N1097" i="5"/>
  <c r="J1097" i="5"/>
  <c r="G1097" i="5"/>
  <c r="M1097" i="5"/>
  <c r="S1096" i="5"/>
  <c r="T1096" i="5"/>
  <c r="N1096" i="5"/>
  <c r="K1096" i="5"/>
  <c r="M1096" i="5"/>
  <c r="J1096" i="5"/>
  <c r="G1096" i="5"/>
  <c r="S1095" i="5"/>
  <c r="T1095" i="5"/>
  <c r="N1095" i="5"/>
  <c r="K1095" i="5"/>
  <c r="G1095" i="5"/>
  <c r="J1095" i="5"/>
  <c r="M1095" i="5"/>
  <c r="S1094" i="5"/>
  <c r="T1094" i="5"/>
  <c r="K1094" i="5"/>
  <c r="N1094" i="5"/>
  <c r="M1094" i="5"/>
  <c r="G1094" i="5"/>
  <c r="J1094" i="5"/>
  <c r="S1093" i="5"/>
  <c r="T1093" i="5"/>
  <c r="L1093" i="5"/>
  <c r="I1093" i="5"/>
  <c r="H1093" i="5"/>
  <c r="S1092" i="5"/>
  <c r="T1092" i="5"/>
  <c r="K1092" i="5"/>
  <c r="N1092" i="5"/>
  <c r="G1092" i="5"/>
  <c r="O1093" i="5" s="1"/>
  <c r="J1092" i="5"/>
  <c r="M1092" i="5"/>
  <c r="S1091" i="5"/>
  <c r="T1091" i="5"/>
  <c r="N1091" i="5"/>
  <c r="K1091" i="5"/>
  <c r="M1091" i="5"/>
  <c r="J1091" i="5"/>
  <c r="G1091" i="5"/>
  <c r="S1090" i="5"/>
  <c r="T1090" i="5"/>
  <c r="N1090" i="5"/>
  <c r="K1090" i="5"/>
  <c r="M1090" i="5"/>
  <c r="J1090" i="5"/>
  <c r="G1090" i="5"/>
  <c r="S1089" i="5"/>
  <c r="T1089" i="5"/>
  <c r="K1089" i="5"/>
  <c r="N1089" i="5"/>
  <c r="G1089" i="5"/>
  <c r="J1089" i="5"/>
  <c r="M1089" i="5"/>
  <c r="S1088" i="5"/>
  <c r="T1088" i="5"/>
  <c r="K1088" i="5"/>
  <c r="N1088" i="5"/>
  <c r="G1088" i="5"/>
  <c r="J1088" i="5"/>
  <c r="M1088" i="5"/>
  <c r="S1087" i="5"/>
  <c r="T1087" i="5"/>
  <c r="K1087" i="5"/>
  <c r="N1087" i="5"/>
  <c r="G1087" i="5"/>
  <c r="M1087" i="5"/>
  <c r="J1087" i="5"/>
  <c r="S1086" i="5"/>
  <c r="T1086" i="5"/>
  <c r="N1086" i="5"/>
  <c r="K1086" i="5"/>
  <c r="M1086" i="5"/>
  <c r="J1086" i="5"/>
  <c r="G1086" i="5"/>
  <c r="S1085" i="5"/>
  <c r="T1085" i="5"/>
  <c r="N1085" i="5"/>
  <c r="K1085" i="5"/>
  <c r="M1085" i="5"/>
  <c r="J1085" i="5"/>
  <c r="G1085" i="5"/>
  <c r="S1084" i="5"/>
  <c r="T1084" i="5"/>
  <c r="N1084" i="5"/>
  <c r="K1084" i="5"/>
  <c r="G1084" i="5"/>
  <c r="M1084" i="5"/>
  <c r="J1084" i="5"/>
  <c r="S1083" i="5"/>
  <c r="T1083" i="5"/>
  <c r="K1083" i="5"/>
  <c r="N1083" i="5"/>
  <c r="G1083" i="5"/>
  <c r="J1083" i="5"/>
  <c r="M1083" i="5"/>
  <c r="S1082" i="5"/>
  <c r="T1082" i="5"/>
  <c r="K1082" i="5"/>
  <c r="N1082" i="5"/>
  <c r="M1082" i="5"/>
  <c r="G1082" i="5"/>
  <c r="J1082" i="5"/>
  <c r="S1081" i="5"/>
  <c r="T1081" i="5"/>
  <c r="N1081" i="5"/>
  <c r="K1081" i="5"/>
  <c r="M1081" i="5"/>
  <c r="J1081" i="5"/>
  <c r="G1081" i="5"/>
  <c r="S1080" i="5"/>
  <c r="T1080" i="5"/>
  <c r="K1080" i="5"/>
  <c r="N1080" i="5"/>
  <c r="G1080" i="5"/>
  <c r="M1080" i="5"/>
  <c r="J1080" i="5"/>
  <c r="S1079" i="5"/>
  <c r="T1079" i="5"/>
  <c r="N1079" i="5"/>
  <c r="K1079" i="5"/>
  <c r="M1079" i="5"/>
  <c r="J1079" i="5"/>
  <c r="G1079" i="5"/>
  <c r="S1078" i="5"/>
  <c r="T1078" i="5"/>
  <c r="N1078" i="5"/>
  <c r="K1078" i="5"/>
  <c r="M1078" i="5"/>
  <c r="J1078" i="5"/>
  <c r="G1078" i="5"/>
  <c r="S1077" i="5"/>
  <c r="T1077" i="5"/>
  <c r="K1077" i="5"/>
  <c r="N1077" i="5"/>
  <c r="M1077" i="5"/>
  <c r="J1077" i="5"/>
  <c r="G1077" i="5"/>
  <c r="S1076" i="5"/>
  <c r="T1076" i="5"/>
  <c r="N1076" i="5"/>
  <c r="K1076" i="5"/>
  <c r="M1076" i="5"/>
  <c r="J1076" i="5"/>
  <c r="G1076" i="5"/>
  <c r="S1075" i="5"/>
  <c r="T1075" i="5"/>
  <c r="N1075" i="5"/>
  <c r="K1075" i="5"/>
  <c r="M1075" i="5"/>
  <c r="J1075" i="5"/>
  <c r="G1075" i="5"/>
  <c r="S1074" i="5"/>
  <c r="T1074" i="5"/>
  <c r="N1074" i="5"/>
  <c r="K1074" i="5"/>
  <c r="M1074" i="5"/>
  <c r="J1074" i="5"/>
  <c r="G1074" i="5"/>
  <c r="S1073" i="5"/>
  <c r="T1073" i="5"/>
  <c r="N1073" i="5"/>
  <c r="K1073" i="5"/>
  <c r="M1073" i="5"/>
  <c r="J1073" i="5"/>
  <c r="G1073" i="5"/>
  <c r="S1072" i="5"/>
  <c r="T1072" i="5"/>
  <c r="K1072" i="5"/>
  <c r="N1072" i="5"/>
  <c r="M1072" i="5"/>
  <c r="J1072" i="5"/>
  <c r="G1072" i="5"/>
  <c r="S1071" i="5"/>
  <c r="T1071" i="5"/>
  <c r="N1071" i="5"/>
  <c r="K1071" i="5"/>
  <c r="M1071" i="5"/>
  <c r="J1071" i="5"/>
  <c r="G1071" i="5"/>
  <c r="S1070" i="5"/>
  <c r="T1070" i="5"/>
  <c r="N1070" i="5"/>
  <c r="K1070" i="5"/>
  <c r="M1070" i="5"/>
  <c r="J1070" i="5"/>
  <c r="G1070" i="5"/>
  <c r="S1069" i="5"/>
  <c r="T1069" i="5"/>
  <c r="K1069" i="5"/>
  <c r="N1069" i="5"/>
  <c r="M1069" i="5"/>
  <c r="J1069" i="5"/>
  <c r="G1069" i="5"/>
  <c r="S1068" i="5"/>
  <c r="T1068" i="5"/>
  <c r="N1068" i="5"/>
  <c r="K1068" i="5"/>
  <c r="M1068" i="5"/>
  <c r="J1068" i="5"/>
  <c r="G1068" i="5"/>
  <c r="S1067" i="5"/>
  <c r="T1067" i="5"/>
  <c r="N1067" i="5"/>
  <c r="K1067" i="5"/>
  <c r="M1067" i="5"/>
  <c r="J1067" i="5"/>
  <c r="G1067" i="5"/>
  <c r="S1066" i="5"/>
  <c r="T1066" i="5"/>
  <c r="K1066" i="5"/>
  <c r="N1066" i="5"/>
  <c r="J1066" i="5"/>
  <c r="G1066" i="5"/>
  <c r="M1066" i="5"/>
  <c r="S1065" i="5"/>
  <c r="T1065" i="5"/>
  <c r="N1065" i="5"/>
  <c r="K1065" i="5"/>
  <c r="M1065" i="5"/>
  <c r="J1065" i="5"/>
  <c r="G1065" i="5"/>
  <c r="S1064" i="5"/>
  <c r="T1064" i="5"/>
  <c r="N1064" i="5"/>
  <c r="K1064" i="5"/>
  <c r="M1064" i="5"/>
  <c r="J1064" i="5"/>
  <c r="G1064" i="5"/>
  <c r="S1063" i="5"/>
  <c r="T1063" i="5"/>
  <c r="N1063" i="5"/>
  <c r="K1063" i="5"/>
  <c r="M1063" i="5"/>
  <c r="J1063" i="5"/>
  <c r="G1063" i="5"/>
  <c r="S1062" i="5"/>
  <c r="T1062" i="5"/>
  <c r="N1062" i="5"/>
  <c r="K1062" i="5"/>
  <c r="G1062" i="5"/>
  <c r="J1062" i="5"/>
  <c r="M1062" i="5"/>
  <c r="S1061" i="5"/>
  <c r="T1061" i="5"/>
  <c r="K1061" i="5"/>
  <c r="N1061" i="5"/>
  <c r="G1061" i="5"/>
  <c r="J1061" i="5"/>
  <c r="M1061" i="5"/>
  <c r="S1060" i="5"/>
  <c r="T1060" i="5"/>
  <c r="K1060" i="5"/>
  <c r="N1060" i="5"/>
  <c r="G1060" i="5"/>
  <c r="J1060" i="5"/>
  <c r="M1060" i="5"/>
  <c r="S1059" i="5"/>
  <c r="T1059" i="5"/>
  <c r="K1059" i="5"/>
  <c r="N1059" i="5"/>
  <c r="M1059" i="5"/>
  <c r="J1059" i="5"/>
  <c r="G1059" i="5"/>
  <c r="S1058" i="5"/>
  <c r="T1058" i="5"/>
  <c r="N1058" i="5"/>
  <c r="K1058" i="5"/>
  <c r="M1058" i="5"/>
  <c r="J1058" i="5"/>
  <c r="G1058" i="5"/>
  <c r="S1057" i="5"/>
  <c r="T1057" i="5"/>
  <c r="N1057" i="5"/>
  <c r="K1057" i="5"/>
  <c r="M1057" i="5"/>
  <c r="J1057" i="5"/>
  <c r="G1057" i="5"/>
  <c r="S1056" i="5"/>
  <c r="T1056" i="5"/>
  <c r="N1056" i="5"/>
  <c r="K1056" i="5"/>
  <c r="M1056" i="5"/>
  <c r="G1056" i="5"/>
  <c r="J1056" i="5"/>
  <c r="S1055" i="5"/>
  <c r="T1055" i="5"/>
  <c r="N1055" i="5"/>
  <c r="K1055" i="5"/>
  <c r="M1055" i="5"/>
  <c r="J1055" i="5"/>
  <c r="G1055" i="5"/>
  <c r="S1054" i="5"/>
  <c r="T1054" i="5"/>
  <c r="N1054" i="5"/>
  <c r="K1054" i="5"/>
  <c r="M1054" i="5"/>
  <c r="G1054" i="5"/>
  <c r="J1054" i="5"/>
  <c r="S1053" i="5"/>
  <c r="T1053" i="5"/>
  <c r="K1053" i="5"/>
  <c r="N1053" i="5"/>
  <c r="G1053" i="5"/>
  <c r="J1053" i="5"/>
  <c r="M1053" i="5"/>
  <c r="S1052" i="5"/>
  <c r="T1052" i="5"/>
  <c r="N1052" i="5"/>
  <c r="K1052" i="5"/>
  <c r="J1052" i="5"/>
  <c r="G1052" i="5"/>
  <c r="M1052" i="5"/>
  <c r="S1051" i="5"/>
  <c r="T1051" i="5"/>
  <c r="K1051" i="5"/>
  <c r="N1051" i="5"/>
  <c r="G1051" i="5"/>
  <c r="J1051" i="5"/>
  <c r="M1051" i="5"/>
  <c r="S1050" i="5"/>
  <c r="T1050" i="5"/>
  <c r="N1050" i="5"/>
  <c r="K1050" i="5"/>
  <c r="M1050" i="5"/>
  <c r="J1050" i="5"/>
  <c r="G1050" i="5"/>
  <c r="S1049" i="5"/>
  <c r="T1049" i="5"/>
  <c r="K1049" i="5"/>
  <c r="N1049" i="5"/>
  <c r="M1049" i="5"/>
  <c r="G1049" i="5"/>
  <c r="J1049" i="5"/>
  <c r="S1048" i="5"/>
  <c r="T1048" i="5"/>
  <c r="N1048" i="5"/>
  <c r="K1048" i="5"/>
  <c r="M1048" i="5"/>
  <c r="J1048" i="5"/>
  <c r="G1048" i="5"/>
  <c r="S1047" i="5"/>
  <c r="T1047" i="5"/>
  <c r="N1047" i="5"/>
  <c r="K1047" i="5"/>
  <c r="J1047" i="5"/>
  <c r="G1047" i="5"/>
  <c r="M1047" i="5"/>
  <c r="S1046" i="5"/>
  <c r="T1046" i="5"/>
  <c r="N1046" i="5"/>
  <c r="K1046" i="5"/>
  <c r="M1046" i="5"/>
  <c r="J1046" i="5"/>
  <c r="G1046" i="5"/>
  <c r="S1045" i="5"/>
  <c r="T1045" i="5"/>
  <c r="K1045" i="5"/>
  <c r="N1045" i="5"/>
  <c r="M1045" i="5"/>
  <c r="J1045" i="5"/>
  <c r="G1045" i="5"/>
  <c r="S1044" i="5"/>
  <c r="T1044" i="5"/>
  <c r="N1044" i="5"/>
  <c r="K1044" i="5"/>
  <c r="M1044" i="5"/>
  <c r="J1044" i="5"/>
  <c r="G1044" i="5"/>
  <c r="S1043" i="5"/>
  <c r="T1043" i="5"/>
  <c r="N1043" i="5"/>
  <c r="K1043" i="5"/>
  <c r="M1043" i="5"/>
  <c r="J1043" i="5"/>
  <c r="G1043" i="5"/>
  <c r="S1042" i="5"/>
  <c r="T1042" i="5"/>
  <c r="N1042" i="5"/>
  <c r="K1042" i="5"/>
  <c r="M1042" i="5"/>
  <c r="J1042" i="5"/>
  <c r="G1042" i="5"/>
  <c r="S1041" i="5"/>
  <c r="T1041" i="5"/>
  <c r="N1041" i="5"/>
  <c r="K1041" i="5"/>
  <c r="G1041" i="5"/>
  <c r="J1041" i="5"/>
  <c r="M1041" i="5"/>
  <c r="S1040" i="5"/>
  <c r="T1040" i="5"/>
  <c r="N1040" i="5"/>
  <c r="K1040" i="5"/>
  <c r="M1040" i="5"/>
  <c r="J1040" i="5"/>
  <c r="G1040" i="5"/>
  <c r="S1039" i="5"/>
  <c r="T1039" i="5"/>
  <c r="N1039" i="5"/>
  <c r="K1039" i="5"/>
  <c r="M1039" i="5"/>
  <c r="J1039" i="5"/>
  <c r="G1039" i="5"/>
  <c r="S1038" i="5"/>
  <c r="T1038" i="5"/>
  <c r="N1038" i="5"/>
  <c r="K1038" i="5"/>
  <c r="M1038" i="5"/>
  <c r="J1038" i="5"/>
  <c r="G1038" i="5"/>
  <c r="S1037" i="5"/>
  <c r="T1037" i="5"/>
  <c r="N1037" i="5"/>
  <c r="K1037" i="5"/>
  <c r="M1037" i="5"/>
  <c r="J1037" i="5"/>
  <c r="G1037" i="5"/>
  <c r="S1036" i="5"/>
  <c r="T1036" i="5"/>
  <c r="N1036" i="5"/>
  <c r="K1036" i="5"/>
  <c r="M1036" i="5"/>
  <c r="J1036" i="5"/>
  <c r="G1036" i="5"/>
  <c r="S1035" i="5"/>
  <c r="T1035" i="5"/>
  <c r="N1035" i="5"/>
  <c r="K1035" i="5"/>
  <c r="M1035" i="5"/>
  <c r="J1035" i="5"/>
  <c r="G1035" i="5"/>
  <c r="S1034" i="5"/>
  <c r="T1034" i="5"/>
  <c r="N1034" i="5"/>
  <c r="K1034" i="5"/>
  <c r="M1034" i="5"/>
  <c r="J1034" i="5"/>
  <c r="G1034" i="5"/>
  <c r="S1033" i="5"/>
  <c r="T1033" i="5"/>
  <c r="N1033" i="5"/>
  <c r="K1033" i="5"/>
  <c r="M1033" i="5"/>
  <c r="J1033" i="5"/>
  <c r="G1033" i="5"/>
  <c r="S1032" i="5"/>
  <c r="T1032" i="5"/>
  <c r="N1032" i="5"/>
  <c r="K1032" i="5"/>
  <c r="J1032" i="5"/>
  <c r="G1032" i="5"/>
  <c r="M1032" i="5"/>
  <c r="S1031" i="5"/>
  <c r="T1031" i="5"/>
  <c r="K1031" i="5"/>
  <c r="N1031" i="5"/>
  <c r="M1031" i="5"/>
  <c r="J1031" i="5"/>
  <c r="G1031" i="5"/>
  <c r="S1030" i="5"/>
  <c r="T1030" i="5"/>
  <c r="N1030" i="5"/>
  <c r="K1030" i="5"/>
  <c r="M1030" i="5"/>
  <c r="J1030" i="5"/>
  <c r="G1030" i="5"/>
  <c r="S1029" i="5"/>
  <c r="T1029" i="5"/>
  <c r="N1029" i="5"/>
  <c r="K1029" i="5"/>
  <c r="M1029" i="5"/>
  <c r="J1029" i="5"/>
  <c r="G1029" i="5"/>
  <c r="S1028" i="5"/>
  <c r="T1028" i="5"/>
  <c r="N1028" i="5"/>
  <c r="K1028" i="5"/>
  <c r="M1028" i="5"/>
  <c r="J1028" i="5"/>
  <c r="G1028" i="5"/>
  <c r="S1027" i="5"/>
  <c r="T1027" i="5"/>
  <c r="K1027" i="5"/>
  <c r="N1027" i="5"/>
  <c r="M1027" i="5"/>
  <c r="J1027" i="5"/>
  <c r="G1027" i="5"/>
  <c r="S1026" i="5"/>
  <c r="T1026" i="5"/>
  <c r="N1026" i="5"/>
  <c r="K1026" i="5"/>
  <c r="M1026" i="5"/>
  <c r="J1026" i="5"/>
  <c r="G1026" i="5"/>
  <c r="S1025" i="5"/>
  <c r="T1025" i="5"/>
  <c r="K1025" i="5"/>
  <c r="N1025" i="5"/>
  <c r="M1025" i="5"/>
  <c r="J1025" i="5"/>
  <c r="G1025" i="5"/>
  <c r="S1024" i="5"/>
  <c r="T1024" i="5"/>
  <c r="N1024" i="5"/>
  <c r="K1024" i="5"/>
  <c r="M1024" i="5"/>
  <c r="J1024" i="5"/>
  <c r="G1024" i="5"/>
  <c r="S1023" i="5"/>
  <c r="T1023" i="5"/>
  <c r="N1023" i="5"/>
  <c r="K1023" i="5"/>
  <c r="M1023" i="5"/>
  <c r="J1023" i="5"/>
  <c r="G1023" i="5"/>
  <c r="S1022" i="5"/>
  <c r="T1022" i="5"/>
  <c r="N1022" i="5"/>
  <c r="K1022" i="5"/>
  <c r="M1022" i="5"/>
  <c r="J1022" i="5"/>
  <c r="G1022" i="5"/>
  <c r="S1021" i="5"/>
  <c r="T1021" i="5"/>
  <c r="N1021" i="5"/>
  <c r="K1021" i="5"/>
  <c r="M1021" i="5"/>
  <c r="J1021" i="5"/>
  <c r="G1021" i="5"/>
  <c r="S1020" i="5"/>
  <c r="T1020" i="5"/>
  <c r="N1020" i="5"/>
  <c r="K1020" i="5"/>
  <c r="M1020" i="5"/>
  <c r="J1020" i="5"/>
  <c r="G1020" i="5"/>
  <c r="S1019" i="5"/>
  <c r="T1019" i="5"/>
  <c r="N1019" i="5"/>
  <c r="K1019" i="5"/>
  <c r="G1019" i="5"/>
  <c r="J1019" i="5"/>
  <c r="M1019" i="5"/>
  <c r="S1018" i="5"/>
  <c r="T1018" i="5"/>
  <c r="N1018" i="5"/>
  <c r="K1018" i="5"/>
  <c r="M1018" i="5"/>
  <c r="J1018" i="5"/>
  <c r="G1018" i="5"/>
  <c r="S1017" i="5"/>
  <c r="T1017" i="5"/>
  <c r="N1017" i="5"/>
  <c r="K1017" i="5"/>
  <c r="G1017" i="5"/>
  <c r="J1017" i="5"/>
  <c r="M1017" i="5"/>
  <c r="S1016" i="5"/>
  <c r="T1016" i="5"/>
  <c r="N1016" i="5"/>
  <c r="K1016" i="5"/>
  <c r="M1016" i="5"/>
  <c r="J1016" i="5"/>
  <c r="G1016" i="5"/>
  <c r="S1015" i="5"/>
  <c r="T1015" i="5"/>
  <c r="N1015" i="5"/>
  <c r="K1015" i="5"/>
  <c r="M1015" i="5"/>
  <c r="J1015" i="5"/>
  <c r="G1015" i="5"/>
  <c r="S1014" i="5"/>
  <c r="T1014" i="5"/>
  <c r="K1014" i="5"/>
  <c r="N1014" i="5"/>
  <c r="G1014" i="5"/>
  <c r="J1014" i="5"/>
  <c r="M1014" i="5"/>
  <c r="S1013" i="5"/>
  <c r="T1013" i="5"/>
  <c r="N1013" i="5"/>
  <c r="K1013" i="5"/>
  <c r="M1013" i="5"/>
  <c r="J1013" i="5"/>
  <c r="G1013" i="5"/>
  <c r="S1012" i="5"/>
  <c r="T1012" i="5"/>
  <c r="N1012" i="5"/>
  <c r="K1012" i="5"/>
  <c r="M1012" i="5"/>
  <c r="J1012" i="5"/>
  <c r="G1012" i="5"/>
  <c r="S1011" i="5"/>
  <c r="T1011" i="5"/>
  <c r="N1011" i="5"/>
  <c r="K1011" i="5"/>
  <c r="M1011" i="5"/>
  <c r="J1011" i="5"/>
  <c r="G1011" i="5"/>
  <c r="S1010" i="5"/>
  <c r="T1010" i="5"/>
  <c r="N1010" i="5"/>
  <c r="K1010" i="5"/>
  <c r="M1010" i="5"/>
  <c r="J1010" i="5"/>
  <c r="G1010" i="5"/>
  <c r="S1009" i="5"/>
  <c r="T1009" i="5"/>
  <c r="N1009" i="5"/>
  <c r="K1009" i="5"/>
  <c r="M1009" i="5"/>
  <c r="J1009" i="5"/>
  <c r="G1009" i="5"/>
  <c r="S1008" i="5"/>
  <c r="T1008" i="5"/>
  <c r="N1008" i="5"/>
  <c r="K1008" i="5"/>
  <c r="M1008" i="5"/>
  <c r="J1008" i="5"/>
  <c r="G1008" i="5"/>
  <c r="S1007" i="5"/>
  <c r="T1007" i="5"/>
  <c r="N1007" i="5"/>
  <c r="K1007" i="5"/>
  <c r="M1007" i="5"/>
  <c r="J1007" i="5"/>
  <c r="G1007" i="5"/>
  <c r="S1006" i="5"/>
  <c r="T1006" i="5"/>
  <c r="N1006" i="5"/>
  <c r="K1006" i="5"/>
  <c r="M1006" i="5"/>
  <c r="J1006" i="5"/>
  <c r="G1006" i="5"/>
  <c r="S1005" i="5"/>
  <c r="T1005" i="5"/>
  <c r="N1005" i="5"/>
  <c r="K1005" i="5"/>
  <c r="J1005" i="5"/>
  <c r="G1005" i="5"/>
  <c r="M1005" i="5"/>
  <c r="S1004" i="5"/>
  <c r="T1004" i="5"/>
  <c r="N1004" i="5"/>
  <c r="K1004" i="5"/>
  <c r="M1004" i="5"/>
  <c r="J1004" i="5"/>
  <c r="G1004" i="5"/>
  <c r="S1003" i="5"/>
  <c r="T1003" i="5"/>
  <c r="N1003" i="5"/>
  <c r="K1003" i="5"/>
  <c r="M1003" i="5"/>
  <c r="J1003" i="5"/>
  <c r="G1003" i="5"/>
  <c r="S1002" i="5"/>
  <c r="T1002" i="5"/>
  <c r="N1002" i="5"/>
  <c r="K1002" i="5"/>
  <c r="M1002" i="5"/>
  <c r="J1002" i="5"/>
  <c r="G1002" i="5"/>
  <c r="S1001" i="5"/>
  <c r="T1001" i="5"/>
  <c r="K1001" i="5"/>
  <c r="N1001" i="5"/>
  <c r="G1001" i="5"/>
  <c r="M1001" i="5"/>
  <c r="J1001" i="5"/>
  <c r="S1000" i="5"/>
  <c r="T1000" i="5"/>
  <c r="N1000" i="5"/>
  <c r="K1000" i="5"/>
  <c r="M1000" i="5"/>
  <c r="J1000" i="5"/>
  <c r="G1000" i="5"/>
  <c r="S999" i="5"/>
  <c r="T999" i="5"/>
  <c r="K999" i="5"/>
  <c r="N999" i="5"/>
  <c r="G999" i="5"/>
  <c r="J999" i="5"/>
  <c r="M999" i="5"/>
  <c r="S998" i="5"/>
  <c r="T998" i="5"/>
  <c r="N998" i="5"/>
  <c r="K998" i="5"/>
  <c r="M998" i="5"/>
  <c r="J998" i="5"/>
  <c r="G998" i="5"/>
  <c r="S997" i="5"/>
  <c r="T997" i="5"/>
  <c r="N997" i="5"/>
  <c r="K997" i="5"/>
  <c r="M997" i="5"/>
  <c r="J997" i="5"/>
  <c r="G997" i="5"/>
  <c r="S996" i="5"/>
  <c r="T996" i="5"/>
  <c r="N996" i="5"/>
  <c r="K996" i="5"/>
  <c r="M996" i="5"/>
  <c r="J996" i="5"/>
  <c r="G996" i="5"/>
  <c r="S995" i="5"/>
  <c r="T995" i="5"/>
  <c r="N995" i="5"/>
  <c r="K995" i="5"/>
  <c r="M995" i="5"/>
  <c r="J995" i="5"/>
  <c r="G995" i="5"/>
  <c r="S994" i="5"/>
  <c r="T994" i="5"/>
  <c r="K994" i="5"/>
  <c r="N994" i="5"/>
  <c r="M994" i="5"/>
  <c r="J994" i="5"/>
  <c r="G994" i="5"/>
  <c r="S993" i="5"/>
  <c r="T993" i="5"/>
  <c r="N993" i="5"/>
  <c r="K993" i="5"/>
  <c r="M993" i="5"/>
  <c r="J993" i="5"/>
  <c r="G993" i="5"/>
  <c r="S992" i="5"/>
  <c r="T992" i="5"/>
  <c r="N992" i="5"/>
  <c r="K992" i="5"/>
  <c r="J992" i="5"/>
  <c r="M992" i="5"/>
  <c r="G992" i="5"/>
  <c r="S991" i="5"/>
  <c r="T991" i="5"/>
  <c r="N991" i="5"/>
  <c r="K991" i="5"/>
  <c r="M991" i="5"/>
  <c r="J991" i="5"/>
  <c r="G991" i="5"/>
  <c r="S990" i="5"/>
  <c r="T990" i="5"/>
  <c r="N990" i="5"/>
  <c r="K990" i="5"/>
  <c r="G990" i="5"/>
  <c r="J990" i="5"/>
  <c r="M990" i="5"/>
  <c r="S989" i="5"/>
  <c r="T989" i="5"/>
  <c r="N989" i="5"/>
  <c r="K989" i="5"/>
  <c r="M989" i="5"/>
  <c r="J989" i="5"/>
  <c r="G989" i="5"/>
  <c r="S988" i="5"/>
  <c r="T988" i="5"/>
  <c r="N988" i="5"/>
  <c r="K988" i="5"/>
  <c r="M988" i="5"/>
  <c r="J988" i="5"/>
  <c r="G988" i="5"/>
  <c r="S987" i="5"/>
  <c r="T987" i="5"/>
  <c r="N987" i="5"/>
  <c r="K987" i="5"/>
  <c r="M987" i="5"/>
  <c r="J987" i="5"/>
  <c r="G987" i="5"/>
  <c r="S986" i="5"/>
  <c r="T986" i="5"/>
  <c r="N986" i="5"/>
  <c r="K986" i="5"/>
  <c r="M986" i="5"/>
  <c r="J986" i="5"/>
  <c r="G986" i="5"/>
  <c r="S985" i="5"/>
  <c r="T985" i="5"/>
  <c r="K985" i="5"/>
  <c r="N985" i="5"/>
  <c r="M985" i="5"/>
  <c r="J985" i="5"/>
  <c r="G985" i="5"/>
  <c r="S984" i="5"/>
  <c r="T984" i="5"/>
  <c r="N984" i="5"/>
  <c r="K984" i="5"/>
  <c r="M984" i="5"/>
  <c r="J984" i="5"/>
  <c r="G984" i="5"/>
  <c r="S983" i="5"/>
  <c r="T983" i="5"/>
  <c r="N983" i="5"/>
  <c r="K983" i="5"/>
  <c r="J983" i="5"/>
  <c r="M983" i="5"/>
  <c r="G983" i="5"/>
  <c r="S982" i="5"/>
  <c r="T982" i="5"/>
  <c r="N982" i="5"/>
  <c r="K982" i="5"/>
  <c r="M982" i="5"/>
  <c r="J982" i="5"/>
  <c r="G982" i="5"/>
  <c r="S981" i="5"/>
  <c r="T981" i="5"/>
  <c r="N981" i="5"/>
  <c r="K981" i="5"/>
  <c r="G981" i="5"/>
  <c r="J981" i="5"/>
  <c r="M981" i="5"/>
  <c r="S980" i="5"/>
  <c r="T980" i="5"/>
  <c r="N980" i="5"/>
  <c r="K980" i="5"/>
  <c r="M980" i="5"/>
  <c r="J980" i="5"/>
  <c r="G980" i="5"/>
  <c r="S979" i="5"/>
  <c r="T979" i="5"/>
  <c r="N979" i="5"/>
  <c r="K979" i="5"/>
  <c r="M979" i="5"/>
  <c r="J979" i="5"/>
  <c r="G979" i="5"/>
  <c r="S978" i="5"/>
  <c r="T978" i="5"/>
  <c r="N978" i="5"/>
  <c r="K978" i="5"/>
  <c r="M978" i="5"/>
  <c r="J978" i="5"/>
  <c r="G978" i="5"/>
  <c r="S977" i="5"/>
  <c r="T977" i="5"/>
  <c r="N977" i="5"/>
  <c r="K977" i="5"/>
  <c r="M977" i="5"/>
  <c r="J977" i="5"/>
  <c r="G977" i="5"/>
  <c r="S976" i="5"/>
  <c r="T976" i="5"/>
  <c r="K976" i="5"/>
  <c r="N976" i="5"/>
  <c r="M976" i="5"/>
  <c r="J976" i="5"/>
  <c r="G976" i="5"/>
  <c r="S975" i="5"/>
  <c r="T975" i="5"/>
  <c r="N975" i="5"/>
  <c r="K975" i="5"/>
  <c r="M975" i="5"/>
  <c r="J975" i="5"/>
  <c r="G975" i="5"/>
  <c r="S974" i="5"/>
  <c r="T974" i="5"/>
  <c r="N974" i="5"/>
  <c r="K974" i="5"/>
  <c r="G974" i="5"/>
  <c r="M974" i="5"/>
  <c r="J974" i="5"/>
  <c r="S973" i="5"/>
  <c r="T973" i="5"/>
  <c r="K973" i="5"/>
  <c r="N973" i="5"/>
  <c r="G973" i="5"/>
  <c r="M973" i="5"/>
  <c r="J973" i="5"/>
  <c r="S972" i="5"/>
  <c r="T972" i="5"/>
  <c r="K972" i="5"/>
  <c r="N972" i="5"/>
  <c r="G972" i="5"/>
  <c r="M972" i="5"/>
  <c r="J972" i="5"/>
  <c r="S971" i="5"/>
  <c r="T971" i="5"/>
  <c r="N971" i="5"/>
  <c r="K971" i="5"/>
  <c r="G971" i="5"/>
  <c r="M971" i="5"/>
  <c r="J971" i="5"/>
  <c r="S970" i="5"/>
  <c r="T970" i="5"/>
  <c r="N970" i="5"/>
  <c r="K970" i="5"/>
  <c r="G970" i="5"/>
  <c r="M970" i="5"/>
  <c r="J970" i="5"/>
  <c r="S969" i="5"/>
  <c r="T969" i="5"/>
  <c r="N969" i="5"/>
  <c r="K969" i="5"/>
  <c r="G969" i="5"/>
  <c r="M969" i="5"/>
  <c r="J969" i="5"/>
  <c r="S968" i="5"/>
  <c r="T968" i="5"/>
  <c r="N968" i="5"/>
  <c r="K968" i="5"/>
  <c r="G968" i="5"/>
  <c r="M968" i="5"/>
  <c r="J968" i="5"/>
  <c r="S967" i="5"/>
  <c r="T967" i="5"/>
  <c r="N967" i="5"/>
  <c r="K967" i="5"/>
  <c r="G967" i="5"/>
  <c r="M967" i="5"/>
  <c r="J967" i="5"/>
  <c r="S966" i="5"/>
  <c r="T966" i="5"/>
  <c r="K966" i="5"/>
  <c r="N966" i="5"/>
  <c r="G966" i="5"/>
  <c r="J966" i="5"/>
  <c r="M966" i="5"/>
  <c r="S965" i="5"/>
  <c r="T965" i="5"/>
  <c r="N965" i="5"/>
  <c r="K965" i="5"/>
  <c r="M965" i="5"/>
  <c r="J965" i="5"/>
  <c r="G965" i="5"/>
  <c r="S964" i="5"/>
  <c r="T964" i="5"/>
  <c r="N964" i="5"/>
  <c r="K964" i="5"/>
  <c r="M964" i="5"/>
  <c r="J964" i="5"/>
  <c r="G964" i="5"/>
  <c r="S963" i="5"/>
  <c r="T963" i="5"/>
  <c r="K963" i="5"/>
  <c r="N963" i="5"/>
  <c r="M963" i="5"/>
  <c r="J963" i="5"/>
  <c r="G963" i="5"/>
  <c r="S962" i="5"/>
  <c r="T962" i="5"/>
  <c r="N962" i="5"/>
  <c r="K962" i="5"/>
  <c r="M962" i="5"/>
  <c r="J962" i="5"/>
  <c r="G962" i="5"/>
  <c r="S961" i="5"/>
  <c r="T961" i="5"/>
  <c r="N961" i="5"/>
  <c r="K961" i="5"/>
  <c r="M961" i="5"/>
  <c r="J961" i="5"/>
  <c r="G961" i="5"/>
  <c r="S960" i="5"/>
  <c r="T960" i="5"/>
  <c r="N960" i="5"/>
  <c r="K960" i="5"/>
  <c r="M960" i="5"/>
  <c r="J960" i="5"/>
  <c r="G960" i="5"/>
  <c r="S959" i="5"/>
  <c r="T959" i="5"/>
  <c r="K959" i="5"/>
  <c r="N959" i="5"/>
  <c r="M959" i="5"/>
  <c r="G959" i="5"/>
  <c r="J959" i="5"/>
  <c r="S958" i="5"/>
  <c r="T958" i="5"/>
  <c r="K958" i="5"/>
  <c r="N958" i="5"/>
  <c r="G958" i="5"/>
  <c r="J958" i="5"/>
  <c r="M958" i="5"/>
  <c r="S957" i="5"/>
  <c r="T957" i="5"/>
  <c r="N957" i="5"/>
  <c r="K957" i="5"/>
  <c r="M957" i="5"/>
  <c r="J957" i="5"/>
  <c r="G957" i="5"/>
  <c r="S956" i="5"/>
  <c r="T956" i="5"/>
  <c r="N956" i="5"/>
  <c r="K956" i="5"/>
  <c r="M956" i="5"/>
  <c r="J956" i="5"/>
  <c r="G956" i="5"/>
  <c r="S955" i="5"/>
  <c r="T955" i="5"/>
  <c r="N955" i="5"/>
  <c r="K955" i="5"/>
  <c r="G955" i="5"/>
  <c r="M955" i="5"/>
  <c r="J955" i="5"/>
  <c r="S954" i="5"/>
  <c r="T954" i="5"/>
  <c r="N954" i="5"/>
  <c r="K954" i="5"/>
  <c r="M954" i="5"/>
  <c r="J954" i="5"/>
  <c r="G954" i="5"/>
  <c r="S953" i="5"/>
  <c r="T953" i="5"/>
  <c r="N953" i="5"/>
  <c r="K953" i="5"/>
  <c r="M953" i="5"/>
  <c r="J953" i="5"/>
  <c r="G953" i="5"/>
  <c r="S952" i="5"/>
  <c r="T952" i="5"/>
  <c r="N952" i="5"/>
  <c r="K952" i="5"/>
  <c r="J952" i="5"/>
  <c r="G952" i="5"/>
  <c r="M952" i="5"/>
  <c r="S951" i="5"/>
  <c r="T951" i="5"/>
  <c r="N951" i="5"/>
  <c r="K951" i="5"/>
  <c r="M951" i="5"/>
  <c r="J951" i="5"/>
  <c r="G951" i="5"/>
  <c r="S950" i="5"/>
  <c r="T950" i="5"/>
  <c r="K950" i="5"/>
  <c r="N950" i="5"/>
  <c r="M950" i="5"/>
  <c r="G950" i="5"/>
  <c r="J950" i="5"/>
  <c r="S949" i="5"/>
  <c r="T949" i="5"/>
  <c r="N949" i="5"/>
  <c r="K949" i="5"/>
  <c r="M949" i="5"/>
  <c r="J949" i="5"/>
  <c r="G949" i="5"/>
  <c r="S948" i="5"/>
  <c r="T948" i="5"/>
  <c r="N948" i="5"/>
  <c r="K948" i="5"/>
  <c r="M948" i="5"/>
  <c r="J948" i="5"/>
  <c r="G948" i="5"/>
  <c r="S947" i="5"/>
  <c r="T947" i="5"/>
  <c r="N947" i="5"/>
  <c r="K947" i="5"/>
  <c r="M947" i="5"/>
  <c r="J947" i="5"/>
  <c r="G947" i="5"/>
  <c r="S946" i="5"/>
  <c r="T946" i="5"/>
  <c r="K946" i="5"/>
  <c r="N946" i="5"/>
  <c r="M946" i="5"/>
  <c r="J946" i="5"/>
  <c r="G946" i="5"/>
  <c r="S945" i="5"/>
  <c r="T945" i="5"/>
  <c r="K945" i="5"/>
  <c r="N945" i="5"/>
  <c r="M945" i="5"/>
  <c r="J945" i="5"/>
  <c r="G945" i="5"/>
  <c r="S944" i="5"/>
  <c r="T944" i="5"/>
  <c r="N944" i="5"/>
  <c r="K944" i="5"/>
  <c r="M944" i="5"/>
  <c r="J944" i="5"/>
  <c r="G944" i="5"/>
  <c r="S943" i="5"/>
  <c r="T943" i="5"/>
  <c r="K943" i="5"/>
  <c r="N943" i="5"/>
  <c r="G943" i="5"/>
  <c r="J943" i="5"/>
  <c r="M943" i="5"/>
  <c r="S942" i="5"/>
  <c r="T942" i="5"/>
  <c r="K942" i="5"/>
  <c r="N942" i="5"/>
  <c r="G942" i="5"/>
  <c r="J942" i="5"/>
  <c r="M942" i="5"/>
  <c r="S941" i="5"/>
  <c r="T941" i="5"/>
  <c r="K941" i="5"/>
  <c r="N941" i="5"/>
  <c r="G941" i="5"/>
  <c r="J941" i="5"/>
  <c r="M941" i="5"/>
  <c r="S940" i="5"/>
  <c r="T940" i="5"/>
  <c r="N940" i="5"/>
  <c r="K940" i="5"/>
  <c r="M940" i="5"/>
  <c r="J940" i="5"/>
  <c r="G940" i="5"/>
  <c r="S939" i="5"/>
  <c r="T939" i="5"/>
  <c r="N939" i="5"/>
  <c r="K939" i="5"/>
  <c r="M939" i="5"/>
  <c r="J939" i="5"/>
  <c r="G939" i="5"/>
  <c r="S938" i="5"/>
  <c r="T938" i="5"/>
  <c r="N938" i="5"/>
  <c r="K938" i="5"/>
  <c r="M938" i="5"/>
  <c r="J938" i="5"/>
  <c r="G938" i="5"/>
  <c r="S937" i="5"/>
  <c r="T937" i="5"/>
  <c r="N937" i="5"/>
  <c r="K937" i="5"/>
  <c r="J937" i="5"/>
  <c r="G937" i="5"/>
  <c r="M937" i="5"/>
  <c r="S936" i="5"/>
  <c r="T936" i="5"/>
  <c r="N936" i="5"/>
  <c r="K936" i="5"/>
  <c r="M936" i="5"/>
  <c r="J936" i="5"/>
  <c r="G936" i="5"/>
  <c r="S935" i="5"/>
  <c r="T935" i="5"/>
  <c r="N935" i="5"/>
  <c r="K935" i="5"/>
  <c r="M935" i="5"/>
  <c r="J935" i="5"/>
  <c r="G935" i="5"/>
  <c r="S934" i="5"/>
  <c r="T934" i="5"/>
  <c r="K934" i="5"/>
  <c r="N934" i="5"/>
  <c r="M934" i="5"/>
  <c r="J934" i="5"/>
  <c r="G934" i="5"/>
  <c r="S933" i="5"/>
  <c r="T933" i="5"/>
  <c r="N933" i="5"/>
  <c r="K933" i="5"/>
  <c r="M933" i="5"/>
  <c r="J933" i="5"/>
  <c r="G933" i="5"/>
  <c r="S932" i="5"/>
  <c r="T932" i="5"/>
  <c r="N932" i="5"/>
  <c r="K932" i="5"/>
  <c r="M932" i="5"/>
  <c r="J932" i="5"/>
  <c r="G932" i="5"/>
  <c r="S931" i="5"/>
  <c r="T931" i="5"/>
  <c r="N931" i="5"/>
  <c r="K931" i="5"/>
  <c r="J931" i="5"/>
  <c r="M931" i="5"/>
  <c r="G931" i="5"/>
  <c r="S930" i="5"/>
  <c r="T930" i="5"/>
  <c r="K930" i="5"/>
  <c r="N930" i="5"/>
  <c r="M930" i="5"/>
  <c r="G930" i="5"/>
  <c r="J930" i="5"/>
  <c r="S929" i="5"/>
  <c r="T929" i="5"/>
  <c r="N929" i="5"/>
  <c r="K929" i="5"/>
  <c r="M929" i="5"/>
  <c r="J929" i="5"/>
  <c r="G929" i="5"/>
  <c r="S928" i="5"/>
  <c r="T928" i="5"/>
  <c r="N928" i="5"/>
  <c r="K928" i="5"/>
  <c r="M928" i="5"/>
  <c r="G928" i="5"/>
  <c r="J928" i="5"/>
  <c r="S927" i="5"/>
  <c r="T927" i="5"/>
  <c r="N927" i="5"/>
  <c r="K927" i="5"/>
  <c r="M927" i="5"/>
  <c r="J927" i="5"/>
  <c r="G927" i="5"/>
  <c r="S926" i="5"/>
  <c r="T926" i="5"/>
  <c r="N926" i="5"/>
  <c r="K926" i="5"/>
  <c r="G926" i="5"/>
  <c r="J926" i="5"/>
  <c r="M926" i="5"/>
  <c r="S925" i="5"/>
  <c r="T925" i="5"/>
  <c r="N925" i="5"/>
  <c r="K925" i="5"/>
  <c r="M925" i="5"/>
  <c r="J925" i="5"/>
  <c r="G925" i="5"/>
  <c r="S924" i="5"/>
  <c r="T924" i="5"/>
  <c r="N924" i="5"/>
  <c r="K924" i="5"/>
  <c r="M924" i="5"/>
  <c r="J924" i="5"/>
  <c r="G924" i="5"/>
  <c r="S923" i="5"/>
  <c r="T923" i="5"/>
  <c r="N923" i="5"/>
  <c r="K923" i="5"/>
  <c r="J923" i="5"/>
  <c r="G923" i="5"/>
  <c r="M923" i="5"/>
  <c r="S922" i="5"/>
  <c r="T922" i="5"/>
  <c r="N922" i="5"/>
  <c r="K922" i="5"/>
  <c r="M922" i="5"/>
  <c r="G922" i="5"/>
  <c r="J922" i="5"/>
  <c r="S921" i="5"/>
  <c r="T921" i="5"/>
  <c r="K921" i="5"/>
  <c r="N921" i="5"/>
  <c r="J921" i="5"/>
  <c r="G921" i="5"/>
  <c r="M921" i="5"/>
  <c r="S920" i="5"/>
  <c r="T920" i="5"/>
  <c r="N920" i="5"/>
  <c r="K920" i="5"/>
  <c r="M920" i="5"/>
  <c r="J920" i="5"/>
  <c r="G920" i="5"/>
  <c r="S919" i="5"/>
  <c r="T919" i="5"/>
  <c r="N919" i="5"/>
  <c r="K919" i="5"/>
  <c r="M919" i="5"/>
  <c r="J919" i="5"/>
  <c r="G919" i="5"/>
  <c r="S918" i="5"/>
  <c r="T918" i="5"/>
  <c r="N918" i="5"/>
  <c r="K918" i="5"/>
  <c r="M918" i="5"/>
  <c r="G918" i="5"/>
  <c r="J918" i="5"/>
  <c r="S917" i="5"/>
  <c r="T917" i="5"/>
  <c r="K917" i="5"/>
  <c r="N917" i="5"/>
  <c r="M917" i="5"/>
  <c r="J917" i="5"/>
  <c r="G917" i="5"/>
  <c r="S916" i="5"/>
  <c r="T916" i="5"/>
  <c r="N916" i="5"/>
  <c r="K916" i="5"/>
  <c r="M916" i="5"/>
  <c r="J916" i="5"/>
  <c r="G916" i="5"/>
  <c r="S915" i="5"/>
  <c r="T915" i="5"/>
  <c r="N915" i="5"/>
  <c r="K915" i="5"/>
  <c r="M915" i="5"/>
  <c r="J915" i="5"/>
  <c r="G915" i="5"/>
  <c r="S914" i="5"/>
  <c r="T914" i="5"/>
  <c r="N914" i="5"/>
  <c r="K914" i="5"/>
  <c r="J914" i="5"/>
  <c r="G914" i="5"/>
  <c r="M914" i="5"/>
  <c r="S913" i="5"/>
  <c r="T913" i="5"/>
  <c r="N913" i="5"/>
  <c r="K913" i="5"/>
  <c r="M913" i="5"/>
  <c r="J913" i="5"/>
  <c r="G913" i="5"/>
  <c r="S912" i="5"/>
  <c r="T912" i="5"/>
  <c r="N912" i="5"/>
  <c r="K912" i="5"/>
  <c r="M912" i="5"/>
  <c r="J912" i="5"/>
  <c r="G912" i="5"/>
  <c r="S911" i="5"/>
  <c r="T911" i="5"/>
  <c r="N911" i="5"/>
  <c r="K911" i="5"/>
  <c r="M911" i="5"/>
  <c r="J911" i="5"/>
  <c r="G911" i="5"/>
  <c r="S910" i="5"/>
  <c r="T910" i="5"/>
  <c r="N910" i="5"/>
  <c r="K910" i="5"/>
  <c r="M910" i="5"/>
  <c r="G910" i="5"/>
  <c r="J910" i="5"/>
  <c r="S909" i="5"/>
  <c r="T909" i="5"/>
  <c r="N909" i="5"/>
  <c r="K909" i="5"/>
  <c r="M909" i="5"/>
  <c r="J909" i="5"/>
  <c r="G909" i="5"/>
  <c r="S908" i="5"/>
  <c r="T908" i="5"/>
  <c r="N908" i="5"/>
  <c r="K908" i="5"/>
  <c r="M908" i="5"/>
  <c r="J908" i="5"/>
  <c r="G908" i="5"/>
  <c r="S907" i="5"/>
  <c r="T907" i="5"/>
  <c r="N907" i="5"/>
  <c r="K907" i="5"/>
  <c r="M907" i="5"/>
  <c r="J907" i="5"/>
  <c r="G907" i="5"/>
  <c r="S906" i="5"/>
  <c r="T906" i="5"/>
  <c r="N906" i="5"/>
  <c r="K906" i="5"/>
  <c r="M906" i="5"/>
  <c r="J906" i="5"/>
  <c r="G906" i="5"/>
  <c r="S905" i="5"/>
  <c r="T905" i="5"/>
  <c r="N905" i="5"/>
  <c r="K905" i="5"/>
  <c r="G905" i="5"/>
  <c r="M905" i="5"/>
  <c r="J905" i="5"/>
  <c r="S904" i="5"/>
  <c r="T904" i="5"/>
  <c r="N904" i="5"/>
  <c r="K904" i="5"/>
  <c r="M904" i="5"/>
  <c r="J904" i="5"/>
  <c r="G904" i="5"/>
  <c r="S903" i="5"/>
  <c r="T903" i="5"/>
  <c r="N903" i="5"/>
  <c r="K903" i="5"/>
  <c r="M903" i="5"/>
  <c r="J903" i="5"/>
  <c r="G903" i="5"/>
  <c r="S902" i="5"/>
  <c r="T902" i="5"/>
  <c r="N902" i="5"/>
  <c r="K902" i="5"/>
  <c r="M902" i="5"/>
  <c r="J902" i="5"/>
  <c r="G902" i="5"/>
  <c r="S901" i="5"/>
  <c r="T901" i="5"/>
  <c r="K901" i="5"/>
  <c r="N901" i="5"/>
  <c r="J901" i="5"/>
  <c r="G901" i="5"/>
  <c r="M901" i="5"/>
  <c r="S900" i="5"/>
  <c r="T900" i="5"/>
  <c r="K900" i="5"/>
  <c r="N900" i="5"/>
  <c r="M900" i="5"/>
  <c r="J900" i="5"/>
  <c r="G900" i="5"/>
  <c r="S899" i="5"/>
  <c r="T899" i="5"/>
  <c r="N899" i="5"/>
  <c r="K899" i="5"/>
  <c r="M899" i="5"/>
  <c r="J899" i="5"/>
  <c r="G899" i="5"/>
  <c r="S898" i="5"/>
  <c r="T898" i="5"/>
  <c r="N898" i="5"/>
  <c r="K898" i="5"/>
  <c r="G898" i="5"/>
  <c r="M898" i="5"/>
  <c r="J898" i="5"/>
  <c r="S897" i="5"/>
  <c r="T897" i="5"/>
  <c r="N897" i="5"/>
  <c r="K897" i="5"/>
  <c r="M897" i="5"/>
  <c r="J897" i="5"/>
  <c r="G897" i="5"/>
  <c r="S896" i="5"/>
  <c r="T896" i="5"/>
  <c r="N896" i="5"/>
  <c r="K896" i="5"/>
  <c r="M896" i="5"/>
  <c r="J896" i="5"/>
  <c r="G896" i="5"/>
  <c r="S895" i="5"/>
  <c r="T895" i="5"/>
  <c r="N895" i="5"/>
  <c r="K895" i="5"/>
  <c r="J895" i="5"/>
  <c r="M895" i="5"/>
  <c r="G895" i="5"/>
  <c r="S894" i="5"/>
  <c r="T894" i="5"/>
  <c r="N894" i="5"/>
  <c r="K894" i="5"/>
  <c r="M894" i="5"/>
  <c r="G894" i="5"/>
  <c r="J894" i="5"/>
  <c r="S893" i="5"/>
  <c r="T893" i="5"/>
  <c r="N893" i="5"/>
  <c r="K893" i="5"/>
  <c r="M893" i="5"/>
  <c r="J893" i="5"/>
  <c r="G893" i="5"/>
  <c r="S892" i="5"/>
  <c r="T892" i="5"/>
  <c r="N892" i="5"/>
  <c r="K892" i="5"/>
  <c r="J892" i="5"/>
  <c r="G892" i="5"/>
  <c r="M892" i="5"/>
  <c r="S891" i="5"/>
  <c r="T891" i="5"/>
  <c r="N891" i="5"/>
  <c r="K891" i="5"/>
  <c r="M891" i="5"/>
  <c r="J891" i="5"/>
  <c r="G891" i="5"/>
  <c r="S890" i="5"/>
  <c r="T890" i="5"/>
  <c r="K890" i="5"/>
  <c r="N890" i="5"/>
  <c r="J890" i="5"/>
  <c r="M890" i="5"/>
  <c r="G890" i="5"/>
  <c r="S889" i="5"/>
  <c r="T889" i="5"/>
  <c r="N889" i="5"/>
  <c r="K889" i="5"/>
  <c r="M889" i="5"/>
  <c r="J889" i="5"/>
  <c r="G889" i="5"/>
  <c r="S888" i="5"/>
  <c r="T888" i="5"/>
  <c r="N888" i="5"/>
  <c r="K888" i="5"/>
  <c r="G888" i="5"/>
  <c r="J888" i="5"/>
  <c r="M888" i="5"/>
  <c r="S887" i="5"/>
  <c r="T887" i="5"/>
  <c r="N887" i="5"/>
  <c r="K887" i="5"/>
  <c r="M887" i="5"/>
  <c r="J887" i="5"/>
  <c r="G887" i="5"/>
  <c r="S886" i="5"/>
  <c r="T886" i="5"/>
  <c r="N886" i="5"/>
  <c r="K886" i="5"/>
  <c r="M886" i="5"/>
  <c r="J886" i="5"/>
  <c r="G886" i="5"/>
  <c r="S885" i="5"/>
  <c r="T885" i="5"/>
  <c r="N885" i="5"/>
  <c r="K885" i="5"/>
  <c r="J885" i="5"/>
  <c r="M885" i="5"/>
  <c r="G885" i="5"/>
  <c r="S884" i="5"/>
  <c r="T884" i="5"/>
  <c r="K884" i="5"/>
  <c r="N884" i="5"/>
  <c r="M884" i="5"/>
  <c r="J884" i="5"/>
  <c r="G884" i="5"/>
  <c r="S883" i="5"/>
  <c r="T883" i="5"/>
  <c r="N883" i="5"/>
  <c r="K883" i="5"/>
  <c r="M883" i="5"/>
  <c r="J883" i="5"/>
  <c r="G883" i="5"/>
  <c r="S882" i="5"/>
  <c r="T882" i="5"/>
  <c r="N882" i="5"/>
  <c r="K882" i="5"/>
  <c r="M882" i="5"/>
  <c r="J882" i="5"/>
  <c r="G882" i="5"/>
  <c r="S881" i="5"/>
  <c r="T881" i="5"/>
  <c r="N881" i="5"/>
  <c r="K881" i="5"/>
  <c r="G881" i="5"/>
  <c r="M881" i="5"/>
  <c r="J881" i="5"/>
  <c r="S880" i="5"/>
  <c r="T880" i="5"/>
  <c r="N880" i="5"/>
  <c r="K880" i="5"/>
  <c r="M880" i="5"/>
  <c r="J880" i="5"/>
  <c r="G880" i="5"/>
  <c r="S879" i="5"/>
  <c r="T879" i="5"/>
  <c r="N879" i="5"/>
  <c r="K879" i="5"/>
  <c r="M879" i="5"/>
  <c r="J879" i="5"/>
  <c r="G879" i="5"/>
  <c r="S878" i="5"/>
  <c r="T878" i="5"/>
  <c r="N878" i="5"/>
  <c r="K878" i="5"/>
  <c r="M878" i="5"/>
  <c r="J878" i="5"/>
  <c r="G878" i="5"/>
  <c r="S877" i="5"/>
  <c r="T877" i="5"/>
  <c r="K877" i="5"/>
  <c r="N877" i="5"/>
  <c r="G877" i="5"/>
  <c r="M877" i="5"/>
  <c r="J877" i="5"/>
  <c r="S876" i="5"/>
  <c r="T876" i="5"/>
  <c r="N876" i="5"/>
  <c r="K876" i="5"/>
  <c r="M876" i="5"/>
  <c r="J876" i="5"/>
  <c r="G876" i="5"/>
  <c r="S875" i="5"/>
  <c r="T875" i="5"/>
  <c r="N875" i="5"/>
  <c r="K875" i="5"/>
  <c r="M875" i="5"/>
  <c r="J875" i="5"/>
  <c r="G875" i="5"/>
  <c r="S874" i="5"/>
  <c r="T874" i="5"/>
  <c r="N874" i="5"/>
  <c r="K874" i="5"/>
  <c r="M874" i="5"/>
  <c r="J874" i="5"/>
  <c r="G874" i="5"/>
  <c r="S873" i="5"/>
  <c r="T873" i="5"/>
  <c r="N873" i="5"/>
  <c r="K873" i="5"/>
  <c r="G873" i="5"/>
  <c r="J873" i="5"/>
  <c r="M873" i="5"/>
  <c r="S872" i="5"/>
  <c r="T872" i="5"/>
  <c r="N872" i="5"/>
  <c r="K872" i="5"/>
  <c r="M872" i="5"/>
  <c r="J872" i="5"/>
  <c r="G872" i="5"/>
  <c r="S871" i="5"/>
  <c r="T871" i="5"/>
  <c r="N871" i="5"/>
  <c r="K871" i="5"/>
  <c r="M871" i="5"/>
  <c r="J871" i="5"/>
  <c r="G871" i="5"/>
  <c r="S870" i="5"/>
  <c r="T870" i="5"/>
  <c r="N870" i="5"/>
  <c r="K870" i="5"/>
  <c r="M870" i="5"/>
  <c r="J870" i="5"/>
  <c r="G870" i="5"/>
  <c r="S869" i="5"/>
  <c r="T869" i="5"/>
  <c r="N869" i="5"/>
  <c r="K869" i="5"/>
  <c r="G869" i="5"/>
  <c r="M869" i="5"/>
  <c r="J869" i="5"/>
  <c r="S868" i="5"/>
  <c r="T868" i="5"/>
  <c r="K868" i="5"/>
  <c r="N868" i="5"/>
  <c r="J868" i="5"/>
  <c r="M868" i="5"/>
  <c r="G868" i="5"/>
  <c r="S867" i="5"/>
  <c r="T867" i="5"/>
  <c r="N867" i="5"/>
  <c r="K867" i="5"/>
  <c r="M867" i="5"/>
  <c r="J867" i="5"/>
  <c r="G867" i="5"/>
  <c r="S866" i="5"/>
  <c r="T866" i="5"/>
  <c r="N866" i="5"/>
  <c r="K866" i="5"/>
  <c r="M866" i="5"/>
  <c r="G866" i="5"/>
  <c r="J866" i="5"/>
  <c r="S865" i="5"/>
  <c r="T865" i="5"/>
  <c r="N865" i="5"/>
  <c r="K865" i="5"/>
  <c r="M865" i="5"/>
  <c r="J865" i="5"/>
  <c r="G865" i="5"/>
  <c r="S864" i="5"/>
  <c r="T864" i="5"/>
  <c r="K864" i="5"/>
  <c r="N864" i="5"/>
  <c r="G864" i="5"/>
  <c r="J864" i="5"/>
  <c r="M864" i="5"/>
  <c r="S863" i="5"/>
  <c r="T863" i="5"/>
  <c r="N863" i="5"/>
  <c r="K863" i="5"/>
  <c r="M863" i="5"/>
  <c r="J863" i="5"/>
  <c r="G863" i="5"/>
  <c r="S862" i="5"/>
  <c r="T862" i="5"/>
  <c r="N862" i="5"/>
  <c r="K862" i="5"/>
  <c r="M862" i="5"/>
  <c r="J862" i="5"/>
  <c r="G862" i="5"/>
  <c r="S861" i="5"/>
  <c r="T861" i="5"/>
  <c r="N861" i="5"/>
  <c r="K861" i="5"/>
  <c r="M861" i="5"/>
  <c r="J861" i="5"/>
  <c r="G861" i="5"/>
  <c r="S860" i="5"/>
  <c r="T860" i="5"/>
  <c r="N860" i="5"/>
  <c r="K860" i="5"/>
  <c r="M860" i="5"/>
  <c r="J860" i="5"/>
  <c r="G860" i="5"/>
  <c r="S859" i="5"/>
  <c r="T859" i="5"/>
  <c r="K859" i="5"/>
  <c r="N859" i="5"/>
  <c r="M859" i="5"/>
  <c r="J859" i="5"/>
  <c r="G859" i="5"/>
  <c r="S858" i="5"/>
  <c r="T858" i="5"/>
  <c r="N858" i="5"/>
  <c r="K858" i="5"/>
  <c r="M858" i="5"/>
  <c r="J858" i="5"/>
  <c r="G858" i="5"/>
  <c r="S857" i="5"/>
  <c r="T857" i="5"/>
  <c r="N857" i="5"/>
  <c r="K857" i="5"/>
  <c r="M857" i="5"/>
  <c r="J857" i="5"/>
  <c r="G857" i="5"/>
  <c r="S856" i="5"/>
  <c r="T856" i="5"/>
  <c r="N856" i="5"/>
  <c r="K856" i="5"/>
  <c r="G856" i="5"/>
  <c r="J856" i="5"/>
  <c r="M856" i="5"/>
  <c r="S855" i="5"/>
  <c r="T855" i="5"/>
  <c r="N855" i="5"/>
  <c r="K855" i="5"/>
  <c r="M855" i="5"/>
  <c r="J855" i="5"/>
  <c r="G855" i="5"/>
  <c r="S854" i="5"/>
  <c r="T854" i="5"/>
  <c r="N854" i="5"/>
  <c r="K854" i="5"/>
  <c r="M854" i="5"/>
  <c r="J854" i="5"/>
  <c r="G854" i="5"/>
  <c r="S853" i="5"/>
  <c r="T853" i="5"/>
  <c r="N853" i="5"/>
  <c r="K853" i="5"/>
  <c r="M853" i="5"/>
  <c r="J853" i="5"/>
  <c r="G853" i="5"/>
  <c r="S852" i="5"/>
  <c r="T852" i="5"/>
  <c r="N852" i="5"/>
  <c r="K852" i="5"/>
  <c r="J852" i="5"/>
  <c r="M852" i="5"/>
  <c r="G852" i="5"/>
  <c r="S851" i="5"/>
  <c r="T851" i="5"/>
  <c r="N851" i="5"/>
  <c r="K851" i="5"/>
  <c r="M851" i="5"/>
  <c r="J851" i="5"/>
  <c r="G851" i="5"/>
  <c r="S850" i="5"/>
  <c r="T850" i="5"/>
  <c r="N850" i="5"/>
  <c r="K850" i="5"/>
  <c r="G850" i="5"/>
  <c r="J850" i="5"/>
  <c r="M850" i="5"/>
  <c r="S849" i="5"/>
  <c r="T849" i="5"/>
  <c r="N849" i="5"/>
  <c r="K849" i="5"/>
  <c r="M849" i="5"/>
  <c r="J849" i="5"/>
  <c r="G849" i="5"/>
  <c r="S848" i="5"/>
  <c r="T848" i="5"/>
  <c r="N848" i="5"/>
  <c r="K848" i="5"/>
  <c r="J848" i="5"/>
  <c r="G848" i="5"/>
  <c r="M848" i="5"/>
  <c r="S847" i="5"/>
  <c r="T847" i="5"/>
  <c r="N847" i="5"/>
  <c r="K847" i="5"/>
  <c r="J847" i="5"/>
  <c r="G847" i="5"/>
  <c r="M847" i="5"/>
  <c r="S846" i="5"/>
  <c r="T846" i="5"/>
  <c r="N846" i="5"/>
  <c r="K846" i="5"/>
  <c r="M846" i="5"/>
  <c r="J846" i="5"/>
  <c r="G846" i="5"/>
  <c r="S845" i="5"/>
  <c r="T845" i="5"/>
  <c r="H845" i="5"/>
  <c r="I845" i="5"/>
  <c r="S844" i="5"/>
  <c r="T844" i="5"/>
  <c r="N844" i="5"/>
  <c r="K844" i="5"/>
  <c r="M844" i="5"/>
  <c r="J844" i="5"/>
  <c r="G844" i="5"/>
  <c r="O845" i="5" s="1"/>
  <c r="S843" i="5"/>
  <c r="T843" i="5"/>
  <c r="N843" i="5"/>
  <c r="K843" i="5"/>
  <c r="M843" i="5"/>
  <c r="J843" i="5"/>
  <c r="G843" i="5"/>
  <c r="S842" i="5"/>
  <c r="T842" i="5"/>
  <c r="K842" i="5"/>
  <c r="N842" i="5"/>
  <c r="G842" i="5"/>
  <c r="J842" i="5"/>
  <c r="M842" i="5"/>
  <c r="S841" i="5"/>
  <c r="T841" i="5"/>
  <c r="N841" i="5"/>
  <c r="K841" i="5"/>
  <c r="M841" i="5"/>
  <c r="J841" i="5"/>
  <c r="G841" i="5"/>
  <c r="S840" i="5"/>
  <c r="T840" i="5"/>
  <c r="N840" i="5"/>
  <c r="K840" i="5"/>
  <c r="M840" i="5"/>
  <c r="J840" i="5"/>
  <c r="G840" i="5"/>
  <c r="S839" i="5"/>
  <c r="T839" i="5"/>
  <c r="N839" i="5"/>
  <c r="K839" i="5"/>
  <c r="M839" i="5"/>
  <c r="J839" i="5"/>
  <c r="G839" i="5"/>
  <c r="S838" i="5"/>
  <c r="T838" i="5"/>
  <c r="N838" i="5"/>
  <c r="K838" i="5"/>
  <c r="J838" i="5"/>
  <c r="M838" i="5"/>
  <c r="G838" i="5"/>
  <c r="S837" i="5"/>
  <c r="T837" i="5"/>
  <c r="N837" i="5"/>
  <c r="K837" i="5"/>
  <c r="M837" i="5"/>
  <c r="J837" i="5"/>
  <c r="G837" i="5"/>
  <c r="S836" i="5"/>
  <c r="T836" i="5"/>
  <c r="N836" i="5"/>
  <c r="K836" i="5"/>
  <c r="M836" i="5"/>
  <c r="J836" i="5"/>
  <c r="G836" i="5"/>
  <c r="S835" i="5"/>
  <c r="T835" i="5"/>
  <c r="N835" i="5"/>
  <c r="K835" i="5"/>
  <c r="M835" i="5"/>
  <c r="J835" i="5"/>
  <c r="G835" i="5"/>
  <c r="S834" i="5"/>
  <c r="T834" i="5"/>
  <c r="N834" i="5"/>
  <c r="K834" i="5"/>
  <c r="J834" i="5"/>
  <c r="G834" i="5"/>
  <c r="M834" i="5"/>
  <c r="S833" i="5"/>
  <c r="T833" i="5"/>
  <c r="N833" i="5"/>
  <c r="K833" i="5"/>
  <c r="M833" i="5"/>
  <c r="J833" i="5"/>
  <c r="G833" i="5"/>
  <c r="S832" i="5"/>
  <c r="T832" i="5"/>
  <c r="N832" i="5"/>
  <c r="K832" i="5"/>
  <c r="M832" i="5"/>
  <c r="J832" i="5"/>
  <c r="G832" i="5"/>
  <c r="S831" i="5"/>
  <c r="T831" i="5"/>
  <c r="N831" i="5"/>
  <c r="K831" i="5"/>
  <c r="M831" i="5"/>
  <c r="J831" i="5"/>
  <c r="G831" i="5"/>
  <c r="S830" i="5"/>
  <c r="T830" i="5"/>
  <c r="N830" i="5"/>
  <c r="K830" i="5"/>
  <c r="G830" i="5"/>
  <c r="J830" i="5"/>
  <c r="M830" i="5"/>
  <c r="S829" i="5"/>
  <c r="T829" i="5"/>
  <c r="N829" i="5"/>
  <c r="K829" i="5"/>
  <c r="M829" i="5"/>
  <c r="J829" i="5"/>
  <c r="G829" i="5"/>
  <c r="S828" i="5"/>
  <c r="T828" i="5"/>
  <c r="N828" i="5"/>
  <c r="K828" i="5"/>
  <c r="G828" i="5"/>
  <c r="J828" i="5"/>
  <c r="M828" i="5"/>
  <c r="S827" i="5"/>
  <c r="T827" i="5"/>
  <c r="N827" i="5"/>
  <c r="K827" i="5"/>
  <c r="M827" i="5"/>
  <c r="J827" i="5"/>
  <c r="G827" i="5"/>
  <c r="S826" i="5"/>
  <c r="T826" i="5"/>
  <c r="N826" i="5"/>
  <c r="K826" i="5"/>
  <c r="M826" i="5"/>
  <c r="J826" i="5"/>
  <c r="G826" i="5"/>
  <c r="S825" i="5"/>
  <c r="T825" i="5"/>
  <c r="N825" i="5"/>
  <c r="K825" i="5"/>
  <c r="M825" i="5"/>
  <c r="J825" i="5"/>
  <c r="G825" i="5"/>
  <c r="S824" i="5"/>
  <c r="T824" i="5"/>
  <c r="N824" i="5"/>
  <c r="K824" i="5"/>
  <c r="G824" i="5"/>
  <c r="J824" i="5"/>
  <c r="M824" i="5"/>
  <c r="S823" i="5"/>
  <c r="T823" i="5"/>
  <c r="N823" i="5"/>
  <c r="K823" i="5"/>
  <c r="M823" i="5"/>
  <c r="J823" i="5"/>
  <c r="G823" i="5"/>
  <c r="S822" i="5"/>
  <c r="T822" i="5"/>
  <c r="N822" i="5"/>
  <c r="K822" i="5"/>
  <c r="M822" i="5"/>
  <c r="J822" i="5"/>
  <c r="G822" i="5"/>
  <c r="S821" i="5"/>
  <c r="T821" i="5"/>
  <c r="N821" i="5"/>
  <c r="K821" i="5"/>
  <c r="M821" i="5"/>
  <c r="J821" i="5"/>
  <c r="G821" i="5"/>
  <c r="S820" i="5"/>
  <c r="T820" i="5"/>
  <c r="N820" i="5"/>
  <c r="K820" i="5"/>
  <c r="J820" i="5"/>
  <c r="M820" i="5"/>
  <c r="G820" i="5"/>
  <c r="S819" i="5"/>
  <c r="T819" i="5"/>
  <c r="N819" i="5"/>
  <c r="K819" i="5"/>
  <c r="J819" i="5"/>
  <c r="M819" i="5"/>
  <c r="G819" i="5"/>
  <c r="S818" i="5"/>
  <c r="T818" i="5"/>
  <c r="N818" i="5"/>
  <c r="K818" i="5"/>
  <c r="M818" i="5"/>
  <c r="J818" i="5"/>
  <c r="G818" i="5"/>
  <c r="S817" i="5"/>
  <c r="T817" i="5"/>
  <c r="N817" i="5"/>
  <c r="K817" i="5"/>
  <c r="M817" i="5"/>
  <c r="J817" i="5"/>
  <c r="G817" i="5"/>
  <c r="S816" i="5"/>
  <c r="T816" i="5"/>
  <c r="N816" i="5"/>
  <c r="K816" i="5"/>
  <c r="M816" i="5"/>
  <c r="J816" i="5"/>
  <c r="G816" i="5"/>
  <c r="S815" i="5"/>
  <c r="T815" i="5"/>
  <c r="N815" i="5"/>
  <c r="K815" i="5"/>
  <c r="G815" i="5"/>
  <c r="M815" i="5"/>
  <c r="J815" i="5"/>
  <c r="S814" i="5"/>
  <c r="T814" i="5"/>
  <c r="N814" i="5"/>
  <c r="K814" i="5"/>
  <c r="M814" i="5"/>
  <c r="G814" i="5"/>
  <c r="J814" i="5"/>
  <c r="S813" i="5"/>
  <c r="T813" i="5"/>
  <c r="N813" i="5"/>
  <c r="K813" i="5"/>
  <c r="M813" i="5"/>
  <c r="J813" i="5"/>
  <c r="G813" i="5"/>
  <c r="S812" i="5"/>
  <c r="T812" i="5"/>
  <c r="N812" i="5"/>
  <c r="K812" i="5"/>
  <c r="J812" i="5"/>
  <c r="G812" i="5"/>
  <c r="M812" i="5"/>
  <c r="S811" i="5"/>
  <c r="T811" i="5"/>
  <c r="N811" i="5"/>
  <c r="K811" i="5"/>
  <c r="M811" i="5"/>
  <c r="J811" i="5"/>
  <c r="G811" i="5"/>
  <c r="S810" i="5"/>
  <c r="T810" i="5"/>
  <c r="N810" i="5"/>
  <c r="K810" i="5"/>
  <c r="M810" i="5"/>
  <c r="J810" i="5"/>
  <c r="G810" i="5"/>
  <c r="S809" i="5"/>
  <c r="T809" i="5"/>
  <c r="N809" i="5"/>
  <c r="K809" i="5"/>
  <c r="M809" i="5"/>
  <c r="J809" i="5"/>
  <c r="G809" i="5"/>
  <c r="S808" i="5"/>
  <c r="T808" i="5"/>
  <c r="N808" i="5"/>
  <c r="K808" i="5"/>
  <c r="M808" i="5"/>
  <c r="J808" i="5"/>
  <c r="G808" i="5"/>
  <c r="S807" i="5"/>
  <c r="T807" i="5"/>
  <c r="N807" i="5"/>
  <c r="K807" i="5"/>
  <c r="M807" i="5"/>
  <c r="J807" i="5"/>
  <c r="G807" i="5"/>
  <c r="S806" i="5"/>
  <c r="T806" i="5"/>
  <c r="K806" i="5"/>
  <c r="N806" i="5"/>
  <c r="M806" i="5"/>
  <c r="J806" i="5"/>
  <c r="G806" i="5"/>
  <c r="S805" i="5"/>
  <c r="T805" i="5"/>
  <c r="N805" i="5"/>
  <c r="K805" i="5"/>
  <c r="M805" i="5"/>
  <c r="J805" i="5"/>
  <c r="G805" i="5"/>
  <c r="S804" i="5"/>
  <c r="T804" i="5"/>
  <c r="K804" i="5"/>
  <c r="N804" i="5"/>
  <c r="M804" i="5"/>
  <c r="J804" i="5"/>
  <c r="G804" i="5"/>
  <c r="S803" i="5"/>
  <c r="T803" i="5"/>
  <c r="N803" i="5"/>
  <c r="K803" i="5"/>
  <c r="M803" i="5"/>
  <c r="J803" i="5"/>
  <c r="G803" i="5"/>
  <c r="S802" i="5"/>
  <c r="T802" i="5"/>
  <c r="N802" i="5"/>
  <c r="K802" i="5"/>
  <c r="M802" i="5"/>
  <c r="J802" i="5"/>
  <c r="G802" i="5"/>
  <c r="S801" i="5"/>
  <c r="T801" i="5"/>
  <c r="K801" i="5"/>
  <c r="N801" i="5"/>
  <c r="G801" i="5"/>
  <c r="M801" i="5"/>
  <c r="J801" i="5"/>
  <c r="S800" i="5"/>
  <c r="T800" i="5"/>
  <c r="K800" i="5"/>
  <c r="N800" i="5"/>
  <c r="M800" i="5"/>
  <c r="J800" i="5"/>
  <c r="G800" i="5"/>
  <c r="S799" i="5"/>
  <c r="T799" i="5"/>
  <c r="N799" i="5"/>
  <c r="K799" i="5"/>
  <c r="M799" i="5"/>
  <c r="J799" i="5"/>
  <c r="G799" i="5"/>
  <c r="S798" i="5"/>
  <c r="T798" i="5"/>
  <c r="N798" i="5"/>
  <c r="K798" i="5"/>
  <c r="M798" i="5"/>
  <c r="J798" i="5"/>
  <c r="G798" i="5"/>
  <c r="S797" i="5"/>
  <c r="T797" i="5"/>
  <c r="K797" i="5"/>
  <c r="N797" i="5"/>
  <c r="M797" i="5"/>
  <c r="J797" i="5"/>
  <c r="G797" i="5"/>
  <c r="S796" i="5"/>
  <c r="T796" i="5"/>
  <c r="N796" i="5"/>
  <c r="K796" i="5"/>
  <c r="M796" i="5"/>
  <c r="J796" i="5"/>
  <c r="G796" i="5"/>
  <c r="S795" i="5"/>
  <c r="T795" i="5"/>
  <c r="N795" i="5"/>
  <c r="K795" i="5"/>
  <c r="M795" i="5"/>
  <c r="J795" i="5"/>
  <c r="G795" i="5"/>
  <c r="S794" i="5"/>
  <c r="T794" i="5"/>
  <c r="N794" i="5"/>
  <c r="K794" i="5"/>
  <c r="M794" i="5"/>
  <c r="J794" i="5"/>
  <c r="G794" i="5"/>
  <c r="S793" i="5"/>
  <c r="T793" i="5"/>
  <c r="N793" i="5"/>
  <c r="K793" i="5"/>
  <c r="M793" i="5"/>
  <c r="J793" i="5"/>
  <c r="G793" i="5"/>
  <c r="S792" i="5"/>
  <c r="T792" i="5"/>
  <c r="N792" i="5"/>
  <c r="K792" i="5"/>
  <c r="M792" i="5"/>
  <c r="J792" i="5"/>
  <c r="G792" i="5"/>
  <c r="S791" i="5"/>
  <c r="T791" i="5"/>
  <c r="N791" i="5"/>
  <c r="K791" i="5"/>
  <c r="M791" i="5"/>
  <c r="J791" i="5"/>
  <c r="G791" i="5"/>
  <c r="S790" i="5"/>
  <c r="T790" i="5"/>
  <c r="N790" i="5"/>
  <c r="K790" i="5"/>
  <c r="M790" i="5"/>
  <c r="J790" i="5"/>
  <c r="G790" i="5"/>
  <c r="S789" i="5"/>
  <c r="T789" i="5"/>
  <c r="N789" i="5"/>
  <c r="K789" i="5"/>
  <c r="M789" i="5"/>
  <c r="J789" i="5"/>
  <c r="G789" i="5"/>
  <c r="S788" i="5"/>
  <c r="T788" i="5"/>
  <c r="N788" i="5"/>
  <c r="K788" i="5"/>
  <c r="M788" i="5"/>
  <c r="J788" i="5"/>
  <c r="G788" i="5"/>
  <c r="S787" i="5"/>
  <c r="T787" i="5"/>
  <c r="N787" i="5"/>
  <c r="K787" i="5"/>
  <c r="G787" i="5"/>
  <c r="M787" i="5"/>
  <c r="J787" i="5"/>
  <c r="S786" i="5"/>
  <c r="T786" i="5"/>
  <c r="N786" i="5"/>
  <c r="K786" i="5"/>
  <c r="G786" i="5"/>
  <c r="M786" i="5"/>
  <c r="J786" i="5"/>
  <c r="S785" i="5"/>
  <c r="T785" i="5"/>
  <c r="K785" i="5"/>
  <c r="N785" i="5"/>
  <c r="M785" i="5"/>
  <c r="J785" i="5"/>
  <c r="G785" i="5"/>
  <c r="S784" i="5"/>
  <c r="T784" i="5"/>
  <c r="N784" i="5"/>
  <c r="K784" i="5"/>
  <c r="G784" i="5"/>
  <c r="M784" i="5"/>
  <c r="J784" i="5"/>
  <c r="S783" i="5"/>
  <c r="T783" i="5"/>
  <c r="N783" i="5"/>
  <c r="K783" i="5"/>
  <c r="M783" i="5"/>
  <c r="J783" i="5"/>
  <c r="G783" i="5"/>
  <c r="S782" i="5"/>
  <c r="T782" i="5"/>
  <c r="K782" i="5"/>
  <c r="N782" i="5"/>
  <c r="J782" i="5"/>
  <c r="G782" i="5"/>
  <c r="M782" i="5"/>
  <c r="S781" i="5"/>
  <c r="T781" i="5"/>
  <c r="N781" i="5"/>
  <c r="K781" i="5"/>
  <c r="M781" i="5"/>
  <c r="J781" i="5"/>
  <c r="G781" i="5"/>
  <c r="S780" i="5"/>
  <c r="T780" i="5"/>
  <c r="K780" i="5"/>
  <c r="N780" i="5"/>
  <c r="M780" i="5"/>
  <c r="J780" i="5"/>
  <c r="G780" i="5"/>
  <c r="S779" i="5"/>
  <c r="T779" i="5"/>
  <c r="N779" i="5"/>
  <c r="K779" i="5"/>
  <c r="M779" i="5"/>
  <c r="J779" i="5"/>
  <c r="G779" i="5"/>
  <c r="S778" i="5"/>
  <c r="T778" i="5"/>
  <c r="N778" i="5"/>
  <c r="K778" i="5"/>
  <c r="J778" i="5"/>
  <c r="G778" i="5"/>
  <c r="M778" i="5"/>
  <c r="S777" i="5"/>
  <c r="T777" i="5"/>
  <c r="N777" i="5"/>
  <c r="K777" i="5"/>
  <c r="M777" i="5"/>
  <c r="J777" i="5"/>
  <c r="G777" i="5"/>
  <c r="S776" i="5"/>
  <c r="T776" i="5"/>
  <c r="K776" i="5"/>
  <c r="N776" i="5"/>
  <c r="J776" i="5"/>
  <c r="M776" i="5"/>
  <c r="G776" i="5"/>
  <c r="S775" i="5"/>
  <c r="T775" i="5"/>
  <c r="N775" i="5"/>
  <c r="K775" i="5"/>
  <c r="M775" i="5"/>
  <c r="J775" i="5"/>
  <c r="G775" i="5"/>
  <c r="S774" i="5"/>
  <c r="T774" i="5"/>
  <c r="N774" i="5"/>
  <c r="K774" i="5"/>
  <c r="G774" i="5"/>
  <c r="M774" i="5"/>
  <c r="J774" i="5"/>
  <c r="S773" i="5"/>
  <c r="T773" i="5"/>
  <c r="K773" i="5"/>
  <c r="N773" i="5"/>
  <c r="G773" i="5"/>
  <c r="M773" i="5"/>
  <c r="J773" i="5"/>
  <c r="S772" i="5"/>
  <c r="T772" i="5"/>
  <c r="K772" i="5"/>
  <c r="N772" i="5"/>
  <c r="G772" i="5"/>
  <c r="M772" i="5"/>
  <c r="J772" i="5"/>
  <c r="S771" i="5"/>
  <c r="T771" i="5"/>
  <c r="K771" i="5"/>
  <c r="N771" i="5"/>
  <c r="J771" i="5"/>
  <c r="G771" i="5"/>
  <c r="M771" i="5"/>
  <c r="S770" i="5"/>
  <c r="T770" i="5"/>
  <c r="N770" i="5"/>
  <c r="K770" i="5"/>
  <c r="M770" i="5"/>
  <c r="J770" i="5"/>
  <c r="G770" i="5"/>
  <c r="S769" i="5"/>
  <c r="T769" i="5"/>
  <c r="N769" i="5"/>
  <c r="K769" i="5"/>
  <c r="M769" i="5"/>
  <c r="J769" i="5"/>
  <c r="G769" i="5"/>
  <c r="S768" i="5"/>
  <c r="T768" i="5"/>
  <c r="N768" i="5"/>
  <c r="K768" i="5"/>
  <c r="M768" i="5"/>
  <c r="J768" i="5"/>
  <c r="G768" i="5"/>
  <c r="S767" i="5"/>
  <c r="T767" i="5"/>
  <c r="K767" i="5"/>
  <c r="N767" i="5"/>
  <c r="G767" i="5"/>
  <c r="M767" i="5"/>
  <c r="J767" i="5"/>
  <c r="S766" i="5"/>
  <c r="T766" i="5"/>
  <c r="N766" i="5"/>
  <c r="K766" i="5"/>
  <c r="M766" i="5"/>
  <c r="J766" i="5"/>
  <c r="G766" i="5"/>
  <c r="S765" i="5"/>
  <c r="T765" i="5"/>
  <c r="N765" i="5"/>
  <c r="K765" i="5"/>
  <c r="M765" i="5"/>
  <c r="J765" i="5"/>
  <c r="G765" i="5"/>
  <c r="S764" i="5"/>
  <c r="T764" i="5"/>
  <c r="N764" i="5"/>
  <c r="K764" i="5"/>
  <c r="M764" i="5"/>
  <c r="J764" i="5"/>
  <c r="G764" i="5"/>
  <c r="S763" i="5"/>
  <c r="T763" i="5"/>
  <c r="N763" i="5"/>
  <c r="K763" i="5"/>
  <c r="M763" i="5"/>
  <c r="J763" i="5"/>
  <c r="G763" i="5"/>
  <c r="S762" i="5"/>
  <c r="T762" i="5"/>
  <c r="K762" i="5"/>
  <c r="N762" i="5"/>
  <c r="G762" i="5"/>
  <c r="M762" i="5"/>
  <c r="J762" i="5"/>
  <c r="S761" i="5"/>
  <c r="T761" i="5"/>
  <c r="K761" i="5"/>
  <c r="N761" i="5"/>
  <c r="G761" i="5"/>
  <c r="M761" i="5"/>
  <c r="J761" i="5"/>
  <c r="S760" i="5"/>
  <c r="T760" i="5"/>
  <c r="K760" i="5"/>
  <c r="N760" i="5"/>
  <c r="G760" i="5"/>
  <c r="M760" i="5"/>
  <c r="J760" i="5"/>
  <c r="S759" i="5"/>
  <c r="T759" i="5"/>
  <c r="K759" i="5"/>
  <c r="N759" i="5"/>
  <c r="G759" i="5"/>
  <c r="M759" i="5"/>
  <c r="J759" i="5"/>
  <c r="S758" i="5"/>
  <c r="T758" i="5"/>
  <c r="K758" i="5"/>
  <c r="N758" i="5"/>
  <c r="G758" i="5"/>
  <c r="M758" i="5"/>
  <c r="J758" i="5"/>
  <c r="S757" i="5"/>
  <c r="T757" i="5"/>
  <c r="N757" i="5"/>
  <c r="K757" i="5"/>
  <c r="M757" i="5"/>
  <c r="J757" i="5"/>
  <c r="G757" i="5"/>
  <c r="S756" i="5"/>
  <c r="T756" i="5"/>
  <c r="N756" i="5"/>
  <c r="K756" i="5"/>
  <c r="M756" i="5"/>
  <c r="J756" i="5"/>
  <c r="G756" i="5"/>
  <c r="S755" i="5"/>
  <c r="T755" i="5"/>
  <c r="N755" i="5"/>
  <c r="K755" i="5"/>
  <c r="G755" i="5"/>
  <c r="M755" i="5"/>
  <c r="J755" i="5"/>
  <c r="S754" i="5"/>
  <c r="T754" i="5"/>
  <c r="N754" i="5"/>
  <c r="K754" i="5"/>
  <c r="M754" i="5"/>
  <c r="J754" i="5"/>
  <c r="G754" i="5"/>
  <c r="S753" i="5"/>
  <c r="T753" i="5"/>
  <c r="N753" i="5"/>
  <c r="K753" i="5"/>
  <c r="M753" i="5"/>
  <c r="J753" i="5"/>
  <c r="G753" i="5"/>
  <c r="S752" i="5"/>
  <c r="T752" i="5"/>
  <c r="N752" i="5"/>
  <c r="K752" i="5"/>
  <c r="M752" i="5"/>
  <c r="J752" i="5"/>
  <c r="G752" i="5"/>
  <c r="S751" i="5"/>
  <c r="T751" i="5"/>
  <c r="N751" i="5"/>
  <c r="K751" i="5"/>
  <c r="M751" i="5"/>
  <c r="G751" i="5"/>
  <c r="J751" i="5"/>
  <c r="S750" i="5"/>
  <c r="T750" i="5"/>
  <c r="K750" i="5"/>
  <c r="N750" i="5"/>
  <c r="G750" i="5"/>
  <c r="J750" i="5"/>
  <c r="M750" i="5"/>
  <c r="S749" i="5"/>
  <c r="T749" i="5"/>
  <c r="K749" i="5"/>
  <c r="N749" i="5"/>
  <c r="M749" i="5"/>
  <c r="J749" i="5"/>
  <c r="G749" i="5"/>
  <c r="S748" i="5"/>
  <c r="T748" i="5"/>
  <c r="N748" i="5"/>
  <c r="K748" i="5"/>
  <c r="M748" i="5"/>
  <c r="J748" i="5"/>
  <c r="G748" i="5"/>
  <c r="S747" i="5"/>
  <c r="T747" i="5"/>
  <c r="N747" i="5"/>
  <c r="K747" i="5"/>
  <c r="M747" i="5"/>
  <c r="J747" i="5"/>
  <c r="G747" i="5"/>
  <c r="S746" i="5"/>
  <c r="T746" i="5"/>
  <c r="N746" i="5"/>
  <c r="K746" i="5"/>
  <c r="M746" i="5"/>
  <c r="J746" i="5"/>
  <c r="G746" i="5"/>
  <c r="S745" i="5"/>
  <c r="T745" i="5"/>
  <c r="K745" i="5"/>
  <c r="N745" i="5"/>
  <c r="M745" i="5"/>
  <c r="J745" i="5"/>
  <c r="G745" i="5"/>
  <c r="S744" i="5"/>
  <c r="T744" i="5"/>
  <c r="K744" i="5"/>
  <c r="N744" i="5"/>
  <c r="G744" i="5"/>
  <c r="J744" i="5"/>
  <c r="M744" i="5"/>
  <c r="S743" i="5"/>
  <c r="T743" i="5"/>
  <c r="K743" i="5"/>
  <c r="N743" i="5"/>
  <c r="G743" i="5"/>
  <c r="J743" i="5"/>
  <c r="M743" i="5"/>
  <c r="S742" i="5"/>
  <c r="T742" i="5"/>
  <c r="K742" i="5"/>
  <c r="N742" i="5"/>
  <c r="M742" i="5"/>
  <c r="J742" i="5"/>
  <c r="G742" i="5"/>
  <c r="S741" i="5"/>
  <c r="T741" i="5"/>
  <c r="N741" i="5"/>
  <c r="K741" i="5"/>
  <c r="M741" i="5"/>
  <c r="J741" i="5"/>
  <c r="G741" i="5"/>
  <c r="S740" i="5"/>
  <c r="T740" i="5"/>
  <c r="N740" i="5"/>
  <c r="K740" i="5"/>
  <c r="M740" i="5"/>
  <c r="J740" i="5"/>
  <c r="G740" i="5"/>
  <c r="S739" i="5"/>
  <c r="T739" i="5"/>
  <c r="K739" i="5"/>
  <c r="N739" i="5"/>
  <c r="M739" i="5"/>
  <c r="J739" i="5"/>
  <c r="G739" i="5"/>
  <c r="S738" i="5"/>
  <c r="T738" i="5"/>
  <c r="N738" i="5"/>
  <c r="K738" i="5"/>
  <c r="M738" i="5"/>
  <c r="J738" i="5"/>
  <c r="G738" i="5"/>
  <c r="S737" i="5"/>
  <c r="T737" i="5"/>
  <c r="N737" i="5"/>
  <c r="K737" i="5"/>
  <c r="M737" i="5"/>
  <c r="J737" i="5"/>
  <c r="G737" i="5"/>
  <c r="S736" i="5"/>
  <c r="T736" i="5"/>
  <c r="N736" i="5"/>
  <c r="K736" i="5"/>
  <c r="G736" i="5"/>
  <c r="M736" i="5"/>
  <c r="J736" i="5"/>
  <c r="S735" i="5"/>
  <c r="T735" i="5"/>
  <c r="N735" i="5"/>
  <c r="K735" i="5"/>
  <c r="M735" i="5"/>
  <c r="J735" i="5"/>
  <c r="G735" i="5"/>
  <c r="S734" i="5"/>
  <c r="T734" i="5"/>
  <c r="N734" i="5"/>
  <c r="K734" i="5"/>
  <c r="M734" i="5"/>
  <c r="G734" i="5"/>
  <c r="J734" i="5"/>
  <c r="S733" i="5"/>
  <c r="T733" i="5"/>
  <c r="K733" i="5"/>
  <c r="N733" i="5"/>
  <c r="G733" i="5"/>
  <c r="J733" i="5"/>
  <c r="M733" i="5"/>
  <c r="S732" i="5"/>
  <c r="T732" i="5"/>
  <c r="K732" i="5"/>
  <c r="N732" i="5"/>
  <c r="G732" i="5"/>
  <c r="J732" i="5"/>
  <c r="M732" i="5"/>
  <c r="S731" i="5"/>
  <c r="T731" i="5"/>
  <c r="K731" i="5"/>
  <c r="N731" i="5"/>
  <c r="M731" i="5"/>
  <c r="J731" i="5"/>
  <c r="G731" i="5"/>
  <c r="S730" i="5"/>
  <c r="T730" i="5"/>
  <c r="K730" i="5"/>
  <c r="N730" i="5"/>
  <c r="J730" i="5"/>
  <c r="M730" i="5"/>
  <c r="G730" i="5"/>
  <c r="S729" i="5"/>
  <c r="T729" i="5"/>
  <c r="N729" i="5"/>
  <c r="K729" i="5"/>
  <c r="M729" i="5"/>
  <c r="J729" i="5"/>
  <c r="G729" i="5"/>
  <c r="S728" i="5"/>
  <c r="T728" i="5"/>
  <c r="N728" i="5"/>
  <c r="K728" i="5"/>
  <c r="M728" i="5"/>
  <c r="J728" i="5"/>
  <c r="G728" i="5"/>
  <c r="S727" i="5"/>
  <c r="T727" i="5"/>
  <c r="N727" i="5"/>
  <c r="K727" i="5"/>
  <c r="M727" i="5"/>
  <c r="J727" i="5"/>
  <c r="G727" i="5"/>
  <c r="S726" i="5"/>
  <c r="T726" i="5"/>
  <c r="N726" i="5"/>
  <c r="K726" i="5"/>
  <c r="M726" i="5"/>
  <c r="J726" i="5"/>
  <c r="G726" i="5"/>
  <c r="S725" i="5"/>
  <c r="T725" i="5"/>
  <c r="N725" i="5"/>
  <c r="K725" i="5"/>
  <c r="M725" i="5"/>
  <c r="J725" i="5"/>
  <c r="G725" i="5"/>
  <c r="S724" i="5"/>
  <c r="T724" i="5"/>
  <c r="N724" i="5"/>
  <c r="K724" i="5"/>
  <c r="M724" i="5"/>
  <c r="J724" i="5"/>
  <c r="G724" i="5"/>
  <c r="S723" i="5"/>
  <c r="T723" i="5"/>
  <c r="N723" i="5"/>
  <c r="K723" i="5"/>
  <c r="G723" i="5"/>
  <c r="J723" i="5"/>
  <c r="M723" i="5"/>
  <c r="S722" i="5"/>
  <c r="T722" i="5"/>
  <c r="K722" i="5"/>
  <c r="N722" i="5"/>
  <c r="G722" i="5"/>
  <c r="J722" i="5"/>
  <c r="M722" i="5"/>
  <c r="S721" i="5"/>
  <c r="T721" i="5"/>
  <c r="K721" i="5"/>
  <c r="N721" i="5"/>
  <c r="J721" i="5"/>
  <c r="M721" i="5"/>
  <c r="G721" i="5"/>
  <c r="S720" i="5"/>
  <c r="T720" i="5"/>
  <c r="N720" i="5"/>
  <c r="K720" i="5"/>
  <c r="M720" i="5"/>
  <c r="J720" i="5"/>
  <c r="G720" i="5"/>
  <c r="S719" i="5"/>
  <c r="T719" i="5"/>
  <c r="K719" i="5"/>
  <c r="N719" i="5"/>
  <c r="G719" i="5"/>
  <c r="J719" i="5"/>
  <c r="M719" i="5"/>
  <c r="S718" i="5"/>
  <c r="T718" i="5"/>
  <c r="N718" i="5"/>
  <c r="K718" i="5"/>
  <c r="M718" i="5"/>
  <c r="J718" i="5"/>
  <c r="G718" i="5"/>
  <c r="S717" i="5"/>
  <c r="T717" i="5"/>
  <c r="N717" i="5"/>
  <c r="K717" i="5"/>
  <c r="J717" i="5"/>
  <c r="M717" i="5"/>
  <c r="G717" i="5"/>
  <c r="S716" i="5"/>
  <c r="T716" i="5"/>
  <c r="K716" i="5"/>
  <c r="N716" i="5"/>
  <c r="J716" i="5"/>
  <c r="G716" i="5"/>
  <c r="M716" i="5"/>
  <c r="S715" i="5"/>
  <c r="T715" i="5"/>
  <c r="N715" i="5"/>
  <c r="K715" i="5"/>
  <c r="M715" i="5"/>
  <c r="J715" i="5"/>
  <c r="G715" i="5"/>
  <c r="S714" i="5"/>
  <c r="T714" i="5"/>
  <c r="K714" i="5"/>
  <c r="N714" i="5"/>
  <c r="J714" i="5"/>
  <c r="G714" i="5"/>
  <c r="M714" i="5"/>
  <c r="S713" i="5"/>
  <c r="T713" i="5"/>
  <c r="N713" i="5"/>
  <c r="K713" i="5"/>
  <c r="M713" i="5"/>
  <c r="J713" i="5"/>
  <c r="G713" i="5"/>
  <c r="S712" i="5"/>
  <c r="T712" i="5"/>
  <c r="N712" i="5"/>
  <c r="K712" i="5"/>
  <c r="M712" i="5"/>
  <c r="J712" i="5"/>
  <c r="G712" i="5"/>
  <c r="S711" i="5"/>
  <c r="T711" i="5"/>
  <c r="K711" i="5"/>
  <c r="N711" i="5"/>
  <c r="M711" i="5"/>
  <c r="J711" i="5"/>
  <c r="G711" i="5"/>
  <c r="S710" i="5"/>
  <c r="T710" i="5"/>
  <c r="N710" i="5"/>
  <c r="K710" i="5"/>
  <c r="M710" i="5"/>
  <c r="J710" i="5"/>
  <c r="G710" i="5"/>
  <c r="S709" i="5"/>
  <c r="T709" i="5"/>
  <c r="N709" i="5"/>
  <c r="K709" i="5"/>
  <c r="M709" i="5"/>
  <c r="J709" i="5"/>
  <c r="G709" i="5"/>
  <c r="S708" i="5"/>
  <c r="T708" i="5"/>
  <c r="N708" i="5"/>
  <c r="K708" i="5"/>
  <c r="G708" i="5"/>
  <c r="J708" i="5"/>
  <c r="M708" i="5"/>
  <c r="S707" i="5"/>
  <c r="T707" i="5"/>
  <c r="N707" i="5"/>
  <c r="K707" i="5"/>
  <c r="G707" i="5"/>
  <c r="M707" i="5"/>
  <c r="J707" i="5"/>
  <c r="S706" i="5"/>
  <c r="T706" i="5"/>
  <c r="N706" i="5"/>
  <c r="K706" i="5"/>
  <c r="M706" i="5"/>
  <c r="J706" i="5"/>
  <c r="G706" i="5"/>
  <c r="S705" i="5"/>
  <c r="T705" i="5"/>
  <c r="N705" i="5"/>
  <c r="K705" i="5"/>
  <c r="M705" i="5"/>
  <c r="J705" i="5"/>
  <c r="G705" i="5"/>
  <c r="S704" i="5"/>
  <c r="T704" i="5"/>
  <c r="N704" i="5"/>
  <c r="K704" i="5"/>
  <c r="M704" i="5"/>
  <c r="J704" i="5"/>
  <c r="G704" i="5"/>
  <c r="S703" i="5"/>
  <c r="T703" i="5"/>
  <c r="K703" i="5"/>
  <c r="N703" i="5"/>
  <c r="G703" i="5"/>
  <c r="M703" i="5"/>
  <c r="J703" i="5"/>
  <c r="S702" i="5"/>
  <c r="T702" i="5"/>
  <c r="K702" i="5"/>
  <c r="N702" i="5"/>
  <c r="M702" i="5"/>
  <c r="G702" i="5"/>
  <c r="J702" i="5"/>
  <c r="S701" i="5"/>
  <c r="T701" i="5"/>
  <c r="N701" i="5"/>
  <c r="K701" i="5"/>
  <c r="M701" i="5"/>
  <c r="J701" i="5"/>
  <c r="G701" i="5"/>
  <c r="S700" i="5"/>
  <c r="T700" i="5"/>
  <c r="N700" i="5"/>
  <c r="K700" i="5"/>
  <c r="M700" i="5"/>
  <c r="J700" i="5"/>
  <c r="G700" i="5"/>
  <c r="S699" i="5"/>
  <c r="T699" i="5"/>
  <c r="N699" i="5"/>
  <c r="K699" i="5"/>
  <c r="M699" i="5"/>
  <c r="J699" i="5"/>
  <c r="G699" i="5"/>
  <c r="S698" i="5"/>
  <c r="T698" i="5"/>
  <c r="K698" i="5"/>
  <c r="N698" i="5"/>
  <c r="J698" i="5"/>
  <c r="M698" i="5"/>
  <c r="G698" i="5"/>
  <c r="S697" i="5"/>
  <c r="T697" i="5"/>
  <c r="N697" i="5"/>
  <c r="K697" i="5"/>
  <c r="M697" i="5"/>
  <c r="J697" i="5"/>
  <c r="G697" i="5"/>
  <c r="S696" i="5"/>
  <c r="T696" i="5"/>
  <c r="N696" i="5"/>
  <c r="K696" i="5"/>
  <c r="M696" i="5"/>
  <c r="J696" i="5"/>
  <c r="G696" i="5"/>
  <c r="S695" i="5"/>
  <c r="T695" i="5"/>
  <c r="N695" i="5"/>
  <c r="K695" i="5"/>
  <c r="M695" i="5"/>
  <c r="J695" i="5"/>
  <c r="G695" i="5"/>
  <c r="S694" i="5"/>
  <c r="T694" i="5"/>
  <c r="K694" i="5"/>
  <c r="N694" i="5"/>
  <c r="G694" i="5"/>
  <c r="M694" i="5"/>
  <c r="J694" i="5"/>
  <c r="S693" i="5"/>
  <c r="T693" i="5"/>
  <c r="N693" i="5"/>
  <c r="K693" i="5"/>
  <c r="M693" i="5"/>
  <c r="J693" i="5"/>
  <c r="G693" i="5"/>
  <c r="S692" i="5"/>
  <c r="T692" i="5"/>
  <c r="K692" i="5"/>
  <c r="N692" i="5"/>
  <c r="G692" i="5"/>
  <c r="J692" i="5"/>
  <c r="M692" i="5"/>
  <c r="S691" i="5"/>
  <c r="T691" i="5"/>
  <c r="N691" i="5"/>
  <c r="K691" i="5"/>
  <c r="M691" i="5"/>
  <c r="J691" i="5"/>
  <c r="G691" i="5"/>
  <c r="S690" i="5"/>
  <c r="T690" i="5"/>
  <c r="N690" i="5"/>
  <c r="K690" i="5"/>
  <c r="M690" i="5"/>
  <c r="J690" i="5"/>
  <c r="G690" i="5"/>
  <c r="S689" i="5"/>
  <c r="T689" i="5"/>
  <c r="N689" i="5"/>
  <c r="K689" i="5"/>
  <c r="M689" i="5"/>
  <c r="G689" i="5"/>
  <c r="J689" i="5"/>
  <c r="S688" i="5"/>
  <c r="T688" i="5"/>
  <c r="N688" i="5"/>
  <c r="K688" i="5"/>
  <c r="M688" i="5"/>
  <c r="J688" i="5"/>
  <c r="G688" i="5"/>
  <c r="S687" i="5"/>
  <c r="T687" i="5"/>
  <c r="N687" i="5"/>
  <c r="K687" i="5"/>
  <c r="J687" i="5"/>
  <c r="G687" i="5"/>
  <c r="M687" i="5"/>
  <c r="S686" i="5"/>
  <c r="T686" i="5"/>
  <c r="N686" i="5"/>
  <c r="K686" i="5"/>
  <c r="M686" i="5"/>
  <c r="J686" i="5"/>
  <c r="G686" i="5"/>
  <c r="S685" i="5"/>
  <c r="T685" i="5"/>
  <c r="K685" i="5"/>
  <c r="N685" i="5"/>
  <c r="M685" i="5"/>
  <c r="J685" i="5"/>
  <c r="G685" i="5"/>
  <c r="S684" i="5"/>
  <c r="T684" i="5"/>
  <c r="N684" i="5"/>
  <c r="K684" i="5"/>
  <c r="M684" i="5"/>
  <c r="J684" i="5"/>
  <c r="G684" i="5"/>
  <c r="S683" i="5"/>
  <c r="T683" i="5"/>
  <c r="N683" i="5"/>
  <c r="K683" i="5"/>
  <c r="M683" i="5"/>
  <c r="J683" i="5"/>
  <c r="G683" i="5"/>
  <c r="S682" i="5"/>
  <c r="T682" i="5"/>
  <c r="N682" i="5"/>
  <c r="K682" i="5"/>
  <c r="M682" i="5"/>
  <c r="J682" i="5"/>
  <c r="G682" i="5"/>
  <c r="S681" i="5"/>
  <c r="T681" i="5"/>
  <c r="N681" i="5"/>
  <c r="K681" i="5"/>
  <c r="J681" i="5"/>
  <c r="M681" i="5"/>
  <c r="G681" i="5"/>
  <c r="S680" i="5"/>
  <c r="T680" i="5"/>
  <c r="N680" i="5"/>
  <c r="K680" i="5"/>
  <c r="M680" i="5"/>
  <c r="J680" i="5"/>
  <c r="G680" i="5"/>
  <c r="S679" i="5"/>
  <c r="T679" i="5"/>
  <c r="N679" i="5"/>
  <c r="K679" i="5"/>
  <c r="M679" i="5"/>
  <c r="J679" i="5"/>
  <c r="G679" i="5"/>
  <c r="S678" i="5"/>
  <c r="T678" i="5"/>
  <c r="N678" i="5"/>
  <c r="K678" i="5"/>
  <c r="M678" i="5"/>
  <c r="J678" i="5"/>
  <c r="G678" i="5"/>
  <c r="S677" i="5"/>
  <c r="T677" i="5"/>
  <c r="N677" i="5"/>
  <c r="K677" i="5"/>
  <c r="M677" i="5"/>
  <c r="J677" i="5"/>
  <c r="G677" i="5"/>
  <c r="S676" i="5"/>
  <c r="T676" i="5"/>
  <c r="N676" i="5"/>
  <c r="K676" i="5"/>
  <c r="M676" i="5"/>
  <c r="J676" i="5"/>
  <c r="G676" i="5"/>
  <c r="S675" i="5"/>
  <c r="T675" i="5"/>
  <c r="N675" i="5"/>
  <c r="K675" i="5"/>
  <c r="M675" i="5"/>
  <c r="J675" i="5"/>
  <c r="G675" i="5"/>
  <c r="S674" i="5"/>
  <c r="T674" i="5"/>
  <c r="N674" i="5"/>
  <c r="K674" i="5"/>
  <c r="M674" i="5"/>
  <c r="G674" i="5"/>
  <c r="J674" i="5"/>
  <c r="S673" i="5"/>
  <c r="T673" i="5"/>
  <c r="N673" i="5"/>
  <c r="K673" i="5"/>
  <c r="M673" i="5"/>
  <c r="J673" i="5"/>
  <c r="G673" i="5"/>
  <c r="S672" i="5"/>
  <c r="T672" i="5"/>
  <c r="N672" i="5"/>
  <c r="K672" i="5"/>
  <c r="M672" i="5"/>
  <c r="J672" i="5"/>
  <c r="G672" i="5"/>
  <c r="S671" i="5"/>
  <c r="T671" i="5"/>
  <c r="K671" i="5"/>
  <c r="N671" i="5"/>
  <c r="G671" i="5"/>
  <c r="J671" i="5"/>
  <c r="M671" i="5"/>
  <c r="S670" i="5"/>
  <c r="T670" i="5"/>
  <c r="N670" i="5"/>
  <c r="K670" i="5"/>
  <c r="M670" i="5"/>
  <c r="J670" i="5"/>
  <c r="G670" i="5"/>
  <c r="S669" i="5"/>
  <c r="T669" i="5"/>
  <c r="N669" i="5"/>
  <c r="K669" i="5"/>
  <c r="M669" i="5"/>
  <c r="J669" i="5"/>
  <c r="G669" i="5"/>
  <c r="S668" i="5"/>
  <c r="T668" i="5"/>
  <c r="N668" i="5"/>
  <c r="K668" i="5"/>
  <c r="M668" i="5"/>
  <c r="J668" i="5"/>
  <c r="G668" i="5"/>
  <c r="S667" i="5"/>
  <c r="T667" i="5"/>
  <c r="N667" i="5"/>
  <c r="K667" i="5"/>
  <c r="J667" i="5"/>
  <c r="G667" i="5"/>
  <c r="M667" i="5"/>
  <c r="S666" i="5"/>
  <c r="T666" i="5"/>
  <c r="N666" i="5"/>
  <c r="K666" i="5"/>
  <c r="M666" i="5"/>
  <c r="J666" i="5"/>
  <c r="G666" i="5"/>
  <c r="S665" i="5"/>
  <c r="T665" i="5"/>
  <c r="N665" i="5"/>
  <c r="K665" i="5"/>
  <c r="M665" i="5"/>
  <c r="J665" i="5"/>
  <c r="G665" i="5"/>
  <c r="S664" i="5"/>
  <c r="T664" i="5"/>
  <c r="K664" i="5"/>
  <c r="N664" i="5"/>
  <c r="M664" i="5"/>
  <c r="J664" i="5"/>
  <c r="G664" i="5"/>
  <c r="S663" i="5"/>
  <c r="T663" i="5"/>
  <c r="N663" i="5"/>
  <c r="K663" i="5"/>
  <c r="M663" i="5"/>
  <c r="J663" i="5"/>
  <c r="G663" i="5"/>
  <c r="S662" i="5"/>
  <c r="T662" i="5"/>
  <c r="N662" i="5"/>
  <c r="K662" i="5"/>
  <c r="M662" i="5"/>
  <c r="J662" i="5"/>
  <c r="G662" i="5"/>
  <c r="S661" i="5"/>
  <c r="T661" i="5"/>
  <c r="N661" i="5"/>
  <c r="K661" i="5"/>
  <c r="G661" i="5"/>
  <c r="J661" i="5"/>
  <c r="M661" i="5"/>
  <c r="S660" i="5"/>
  <c r="T660" i="5"/>
  <c r="N660" i="5"/>
  <c r="K660" i="5"/>
  <c r="M660" i="5"/>
  <c r="J660" i="5"/>
  <c r="G660" i="5"/>
  <c r="S659" i="5"/>
  <c r="T659" i="5"/>
  <c r="N659" i="5"/>
  <c r="K659" i="5"/>
  <c r="M659" i="5"/>
  <c r="J659" i="5"/>
  <c r="G659" i="5"/>
  <c r="S658" i="5"/>
  <c r="T658" i="5"/>
  <c r="N658" i="5"/>
  <c r="K658" i="5"/>
  <c r="M658" i="5"/>
  <c r="J658" i="5"/>
  <c r="G658" i="5"/>
  <c r="S657" i="5"/>
  <c r="T657" i="5"/>
  <c r="N657" i="5"/>
  <c r="K657" i="5"/>
  <c r="M657" i="5"/>
  <c r="J657" i="5"/>
  <c r="G657" i="5"/>
  <c r="S656" i="5"/>
  <c r="T656" i="5"/>
  <c r="N656" i="5"/>
  <c r="K656" i="5"/>
  <c r="M656" i="5"/>
  <c r="J656" i="5"/>
  <c r="G656" i="5"/>
  <c r="S655" i="5"/>
  <c r="T655" i="5"/>
  <c r="N655" i="5"/>
  <c r="K655" i="5"/>
  <c r="M655" i="5"/>
  <c r="J655" i="5"/>
  <c r="G655" i="5"/>
  <c r="S654" i="5"/>
  <c r="T654" i="5"/>
  <c r="N654" i="5"/>
  <c r="K654" i="5"/>
  <c r="J654" i="5"/>
  <c r="M654" i="5"/>
  <c r="G654" i="5"/>
  <c r="S653" i="5"/>
  <c r="T653" i="5"/>
  <c r="N653" i="5"/>
  <c r="K653" i="5"/>
  <c r="M653" i="5"/>
  <c r="J653" i="5"/>
  <c r="G653" i="5"/>
  <c r="S652" i="5"/>
  <c r="T652" i="5"/>
  <c r="K652" i="5"/>
  <c r="N652" i="5"/>
  <c r="G652" i="5"/>
  <c r="M652" i="5"/>
  <c r="J652" i="5"/>
  <c r="S651" i="5"/>
  <c r="T651" i="5"/>
  <c r="K651" i="5"/>
  <c r="N651" i="5"/>
  <c r="G651" i="5"/>
  <c r="J651" i="5"/>
  <c r="M651" i="5"/>
  <c r="S650" i="5"/>
  <c r="T650" i="5"/>
  <c r="K650" i="5"/>
  <c r="N650" i="5"/>
  <c r="G650" i="5"/>
  <c r="J650" i="5"/>
  <c r="M650" i="5"/>
  <c r="S649" i="5"/>
  <c r="T649" i="5"/>
  <c r="K649" i="5"/>
  <c r="N649" i="5"/>
  <c r="G649" i="5"/>
  <c r="M649" i="5"/>
  <c r="J649" i="5"/>
  <c r="S648" i="5"/>
  <c r="T648" i="5"/>
  <c r="N648" i="5"/>
  <c r="K648" i="5"/>
  <c r="M648" i="5"/>
  <c r="J648" i="5"/>
  <c r="G648" i="5"/>
  <c r="S647" i="5"/>
  <c r="T647" i="5"/>
  <c r="N647" i="5"/>
  <c r="K647" i="5"/>
  <c r="M647" i="5"/>
  <c r="J647" i="5"/>
  <c r="G647" i="5"/>
  <c r="S646" i="5"/>
  <c r="T646" i="5"/>
  <c r="N646" i="5"/>
  <c r="K646" i="5"/>
  <c r="M646" i="5"/>
  <c r="J646" i="5"/>
  <c r="G646" i="5"/>
  <c r="S645" i="5"/>
  <c r="T645" i="5"/>
  <c r="N645" i="5"/>
  <c r="K645" i="5"/>
  <c r="G645" i="5"/>
  <c r="J645" i="5"/>
  <c r="M645" i="5"/>
  <c r="S644" i="5"/>
  <c r="T644" i="5"/>
  <c r="K644" i="5"/>
  <c r="N644" i="5"/>
  <c r="M644" i="5"/>
  <c r="J644" i="5"/>
  <c r="G644" i="5"/>
  <c r="S643" i="5"/>
  <c r="T643" i="5"/>
  <c r="K643" i="5"/>
  <c r="N643" i="5"/>
  <c r="M643" i="5"/>
  <c r="G643" i="5"/>
  <c r="J643" i="5"/>
  <c r="S642" i="5"/>
  <c r="T642" i="5"/>
  <c r="K642" i="5"/>
  <c r="N642" i="5"/>
  <c r="G642" i="5"/>
  <c r="J642" i="5"/>
  <c r="M642" i="5"/>
  <c r="S641" i="5"/>
  <c r="T641" i="5"/>
  <c r="N641" i="5"/>
  <c r="K641" i="5"/>
  <c r="J641" i="5"/>
  <c r="G641" i="5"/>
  <c r="M641" i="5"/>
  <c r="S640" i="5"/>
  <c r="T640" i="5"/>
  <c r="N640" i="5"/>
  <c r="K640" i="5"/>
  <c r="M640" i="5"/>
  <c r="J640" i="5"/>
  <c r="G640" i="5"/>
  <c r="S639" i="5"/>
  <c r="T639" i="5"/>
  <c r="N639" i="5"/>
  <c r="K639" i="5"/>
  <c r="J639" i="5"/>
  <c r="G639" i="5"/>
  <c r="M639" i="5"/>
  <c r="S638" i="5"/>
  <c r="T638" i="5"/>
  <c r="N638" i="5"/>
  <c r="K638" i="5"/>
  <c r="M638" i="5"/>
  <c r="J638" i="5"/>
  <c r="G638" i="5"/>
  <c r="S637" i="5"/>
  <c r="T637" i="5"/>
  <c r="N637" i="5"/>
  <c r="K637" i="5"/>
  <c r="J637" i="5"/>
  <c r="G637" i="5"/>
  <c r="M637" i="5"/>
  <c r="S636" i="5"/>
  <c r="T636" i="5"/>
  <c r="N636" i="5"/>
  <c r="K636" i="5"/>
  <c r="M636" i="5"/>
  <c r="J636" i="5"/>
  <c r="G636" i="5"/>
  <c r="S635" i="5"/>
  <c r="T635" i="5"/>
  <c r="K635" i="5"/>
  <c r="N635" i="5"/>
  <c r="G635" i="5"/>
  <c r="M635" i="5"/>
  <c r="J635" i="5"/>
  <c r="S634" i="5"/>
  <c r="T634" i="5"/>
  <c r="N634" i="5"/>
  <c r="K634" i="5"/>
  <c r="M634" i="5"/>
  <c r="J634" i="5"/>
  <c r="G634" i="5"/>
  <c r="S633" i="5"/>
  <c r="T633" i="5"/>
  <c r="K633" i="5"/>
  <c r="N633" i="5"/>
  <c r="J633" i="5"/>
  <c r="G633" i="5"/>
  <c r="M633" i="5"/>
  <c r="S632" i="5"/>
  <c r="T632" i="5"/>
  <c r="K632" i="5"/>
  <c r="N632" i="5"/>
  <c r="G632" i="5"/>
  <c r="J632" i="5"/>
  <c r="M632" i="5"/>
  <c r="S631" i="5"/>
  <c r="T631" i="5"/>
  <c r="K631" i="5"/>
  <c r="N631" i="5"/>
  <c r="J631" i="5"/>
  <c r="M631" i="5"/>
  <c r="G631" i="5"/>
  <c r="S630" i="5"/>
  <c r="T630" i="5"/>
  <c r="N630" i="5"/>
  <c r="K630" i="5"/>
  <c r="G630" i="5"/>
  <c r="M630" i="5"/>
  <c r="J630" i="5"/>
  <c r="S629" i="5"/>
  <c r="T629" i="5"/>
  <c r="K629" i="5"/>
  <c r="N629" i="5"/>
  <c r="G629" i="5"/>
  <c r="J629" i="5"/>
  <c r="M629" i="5"/>
  <c r="S628" i="5"/>
  <c r="T628" i="5"/>
  <c r="K628" i="5"/>
  <c r="N628" i="5"/>
  <c r="G628" i="5"/>
  <c r="M628" i="5"/>
  <c r="J628" i="5"/>
  <c r="S627" i="5"/>
  <c r="T627" i="5"/>
  <c r="N627" i="5"/>
  <c r="K627" i="5"/>
  <c r="M627" i="5"/>
  <c r="J627" i="5"/>
  <c r="G627" i="5"/>
  <c r="S626" i="5"/>
  <c r="T626" i="5"/>
  <c r="N626" i="5"/>
  <c r="K626" i="5"/>
  <c r="G626" i="5"/>
  <c r="M626" i="5"/>
  <c r="J626" i="5"/>
  <c r="S625" i="5"/>
  <c r="T625" i="5"/>
  <c r="N625" i="5"/>
  <c r="K625" i="5"/>
  <c r="M625" i="5"/>
  <c r="J625" i="5"/>
  <c r="G625" i="5"/>
  <c r="S624" i="5"/>
  <c r="T624" i="5"/>
  <c r="N624" i="5"/>
  <c r="K624" i="5"/>
  <c r="G624" i="5"/>
  <c r="M624" i="5"/>
  <c r="J624" i="5"/>
  <c r="S623" i="5"/>
  <c r="T623" i="5"/>
  <c r="N623" i="5"/>
  <c r="K623" i="5"/>
  <c r="M623" i="5"/>
  <c r="J623" i="5"/>
  <c r="G623" i="5"/>
  <c r="S622" i="5"/>
  <c r="T622" i="5"/>
  <c r="N622" i="5"/>
  <c r="K622" i="5"/>
  <c r="J622" i="5"/>
  <c r="M622" i="5"/>
  <c r="G622" i="5"/>
  <c r="S621" i="5"/>
  <c r="T621" i="5"/>
  <c r="N621" i="5"/>
  <c r="K621" i="5"/>
  <c r="M621" i="5"/>
  <c r="J621" i="5"/>
  <c r="G621" i="5"/>
  <c r="S620" i="5"/>
  <c r="T620" i="5"/>
  <c r="N620" i="5"/>
  <c r="K620" i="5"/>
  <c r="G620" i="5"/>
  <c r="M620" i="5"/>
  <c r="J620" i="5"/>
  <c r="S619" i="5"/>
  <c r="T619" i="5"/>
  <c r="N619" i="5"/>
  <c r="K619" i="5"/>
  <c r="M619" i="5"/>
  <c r="J619" i="5"/>
  <c r="G619" i="5"/>
  <c r="S618" i="5"/>
  <c r="T618" i="5"/>
  <c r="N618" i="5"/>
  <c r="K618" i="5"/>
  <c r="M618" i="5"/>
  <c r="G618" i="5"/>
  <c r="J618" i="5"/>
  <c r="S617" i="5"/>
  <c r="T617" i="5"/>
  <c r="N617" i="5"/>
  <c r="K617" i="5"/>
  <c r="J617" i="5"/>
  <c r="M617" i="5"/>
  <c r="G617" i="5"/>
  <c r="S616" i="5"/>
  <c r="T616" i="5"/>
  <c r="K616" i="5"/>
  <c r="N616" i="5"/>
  <c r="G616" i="5"/>
  <c r="J616" i="5"/>
  <c r="M616" i="5"/>
  <c r="S615" i="5"/>
  <c r="T615" i="5"/>
  <c r="K615" i="5"/>
  <c r="N615" i="5"/>
  <c r="G615" i="5"/>
  <c r="J615" i="5"/>
  <c r="M615" i="5"/>
  <c r="S614" i="5"/>
  <c r="T614" i="5"/>
  <c r="N614" i="5"/>
  <c r="K614" i="5"/>
  <c r="G614" i="5"/>
  <c r="J614" i="5"/>
  <c r="M614" i="5"/>
  <c r="S613" i="5"/>
  <c r="T613" i="5"/>
  <c r="N613" i="5"/>
  <c r="K613" i="5"/>
  <c r="M613" i="5"/>
  <c r="J613" i="5"/>
  <c r="G613" i="5"/>
  <c r="S612" i="5"/>
  <c r="T612" i="5"/>
  <c r="N612" i="5"/>
  <c r="K612" i="5"/>
  <c r="M612" i="5"/>
  <c r="J612" i="5"/>
  <c r="G612" i="5"/>
  <c r="S611" i="5"/>
  <c r="T611" i="5"/>
  <c r="N611" i="5"/>
  <c r="K611" i="5"/>
  <c r="J611" i="5"/>
  <c r="G611" i="5"/>
  <c r="M611" i="5"/>
  <c r="S610" i="5"/>
  <c r="T610" i="5"/>
  <c r="N610" i="5"/>
  <c r="K610" i="5"/>
  <c r="M610" i="5"/>
  <c r="J610" i="5"/>
  <c r="G610" i="5"/>
  <c r="S609" i="5"/>
  <c r="T609" i="5"/>
  <c r="N609" i="5"/>
  <c r="K609" i="5"/>
  <c r="M609" i="5"/>
  <c r="J609" i="5"/>
  <c r="G609" i="5"/>
  <c r="S608" i="5"/>
  <c r="T608" i="5"/>
  <c r="K608" i="5"/>
  <c r="N608" i="5"/>
  <c r="M608" i="5"/>
  <c r="J608" i="5"/>
  <c r="G608" i="5"/>
  <c r="S607" i="5"/>
  <c r="T607" i="5"/>
  <c r="N607" i="5"/>
  <c r="K607" i="5"/>
  <c r="M607" i="5"/>
  <c r="J607" i="5"/>
  <c r="G607" i="5"/>
  <c r="S606" i="5"/>
  <c r="T606" i="5"/>
  <c r="K606" i="5"/>
  <c r="N606" i="5"/>
  <c r="G606" i="5"/>
  <c r="J606" i="5"/>
  <c r="M606" i="5"/>
  <c r="S605" i="5"/>
  <c r="T605" i="5"/>
  <c r="K605" i="5"/>
  <c r="N605" i="5"/>
  <c r="G605" i="5"/>
  <c r="J605" i="5"/>
  <c r="M605" i="5"/>
  <c r="S604" i="5"/>
  <c r="T604" i="5"/>
  <c r="N604" i="5"/>
  <c r="K604" i="5"/>
  <c r="M604" i="5"/>
  <c r="J604" i="5"/>
  <c r="G604" i="5"/>
  <c r="S603" i="5"/>
  <c r="T603" i="5"/>
  <c r="N603" i="5"/>
  <c r="K603" i="5"/>
  <c r="G603" i="5"/>
  <c r="J603" i="5"/>
  <c r="M603" i="5"/>
  <c r="S602" i="5"/>
  <c r="T602" i="5"/>
  <c r="N602" i="5"/>
  <c r="K602" i="5"/>
  <c r="M602" i="5"/>
  <c r="J602" i="5"/>
  <c r="G602" i="5"/>
  <c r="S601" i="5"/>
  <c r="T601" i="5"/>
  <c r="N601" i="5"/>
  <c r="K601" i="5"/>
  <c r="M601" i="5"/>
  <c r="J601" i="5"/>
  <c r="G601" i="5"/>
  <c r="S600" i="5"/>
  <c r="T600" i="5"/>
  <c r="K600" i="5"/>
  <c r="N600" i="5"/>
  <c r="G600" i="5"/>
  <c r="J600" i="5"/>
  <c r="M600" i="5"/>
  <c r="S599" i="5"/>
  <c r="T599" i="5"/>
  <c r="K599" i="5"/>
  <c r="N599" i="5"/>
  <c r="J599" i="5"/>
  <c r="M599" i="5"/>
  <c r="G599" i="5"/>
  <c r="S598" i="5"/>
  <c r="T598" i="5"/>
  <c r="K598" i="5"/>
  <c r="N598" i="5"/>
  <c r="G598" i="5"/>
  <c r="J598" i="5"/>
  <c r="M598" i="5"/>
  <c r="S597" i="5"/>
  <c r="T597" i="5"/>
  <c r="J597" i="5"/>
  <c r="G597" i="5"/>
  <c r="L845" i="5" s="1"/>
  <c r="S596" i="5"/>
  <c r="T596" i="5"/>
  <c r="N596" i="5"/>
  <c r="K596" i="5"/>
  <c r="J596" i="5"/>
  <c r="G596" i="5"/>
  <c r="M596" i="5"/>
  <c r="S595" i="5"/>
  <c r="T595" i="5"/>
  <c r="N595" i="5"/>
  <c r="K595" i="5"/>
  <c r="M595" i="5"/>
  <c r="J595" i="5"/>
  <c r="G595" i="5"/>
  <c r="S594" i="5"/>
  <c r="T594" i="5"/>
  <c r="N594" i="5"/>
  <c r="K594" i="5"/>
  <c r="J594" i="5"/>
  <c r="G594" i="5"/>
  <c r="M594" i="5"/>
  <c r="S593" i="5"/>
  <c r="T593" i="5"/>
  <c r="N593" i="5"/>
  <c r="K593" i="5"/>
  <c r="M593" i="5"/>
  <c r="J593" i="5"/>
  <c r="G593" i="5"/>
  <c r="S592" i="5"/>
  <c r="T592" i="5"/>
  <c r="N592" i="5"/>
  <c r="K592" i="5"/>
  <c r="M592" i="5"/>
  <c r="J592" i="5"/>
  <c r="G592" i="5"/>
  <c r="S591" i="5"/>
  <c r="T591" i="5"/>
  <c r="N591" i="5"/>
  <c r="K591" i="5"/>
  <c r="M591" i="5"/>
  <c r="J591" i="5"/>
  <c r="G591" i="5"/>
  <c r="S590" i="5"/>
  <c r="T590" i="5"/>
  <c r="N590" i="5"/>
  <c r="K590" i="5"/>
  <c r="J590" i="5"/>
  <c r="G590" i="5"/>
  <c r="M590" i="5"/>
  <c r="S589" i="5"/>
  <c r="T589" i="5"/>
  <c r="N589" i="5"/>
  <c r="K589" i="5"/>
  <c r="M589" i="5"/>
  <c r="J589" i="5"/>
  <c r="G589" i="5"/>
  <c r="S588" i="5"/>
  <c r="T588" i="5"/>
  <c r="N588" i="5"/>
  <c r="K588" i="5"/>
  <c r="M588" i="5"/>
  <c r="J588" i="5"/>
  <c r="G588" i="5"/>
  <c r="S587" i="5"/>
  <c r="T587" i="5"/>
  <c r="N587" i="5"/>
  <c r="K587" i="5"/>
  <c r="M587" i="5"/>
  <c r="J587" i="5"/>
  <c r="G587" i="5"/>
  <c r="S586" i="5"/>
  <c r="T586" i="5"/>
  <c r="K586" i="5"/>
  <c r="N586" i="5"/>
  <c r="G586" i="5"/>
  <c r="J586" i="5"/>
  <c r="M586" i="5"/>
  <c r="S585" i="5"/>
  <c r="T585" i="5"/>
  <c r="N585" i="5"/>
  <c r="K585" i="5"/>
  <c r="M585" i="5"/>
  <c r="J585" i="5"/>
  <c r="G585" i="5"/>
  <c r="S584" i="5"/>
  <c r="T584" i="5"/>
  <c r="N584" i="5"/>
  <c r="K584" i="5"/>
  <c r="M584" i="5"/>
  <c r="J584" i="5"/>
  <c r="G584" i="5"/>
  <c r="S583" i="5"/>
  <c r="T583" i="5"/>
  <c r="N583" i="5"/>
  <c r="K583" i="5"/>
  <c r="M583" i="5"/>
  <c r="J583" i="5"/>
  <c r="G583" i="5"/>
  <c r="S582" i="5"/>
  <c r="T582" i="5"/>
  <c r="K582" i="5"/>
  <c r="N582" i="5"/>
  <c r="M582" i="5"/>
  <c r="J582" i="5"/>
  <c r="G582" i="5"/>
  <c r="S581" i="5"/>
  <c r="T581" i="5"/>
  <c r="N581" i="5"/>
  <c r="K581" i="5"/>
  <c r="M581" i="5"/>
  <c r="J581" i="5"/>
  <c r="G581" i="5"/>
  <c r="S580" i="5"/>
  <c r="T580" i="5"/>
  <c r="N580" i="5"/>
  <c r="K580" i="5"/>
  <c r="M580" i="5"/>
  <c r="J580" i="5"/>
  <c r="G580" i="5"/>
  <c r="S579" i="5"/>
  <c r="T579" i="5"/>
  <c r="N579" i="5"/>
  <c r="K579" i="5"/>
  <c r="M579" i="5"/>
  <c r="J579" i="5"/>
  <c r="G579" i="5"/>
  <c r="S578" i="5"/>
  <c r="T578" i="5"/>
  <c r="K578" i="5"/>
  <c r="N578" i="5"/>
  <c r="M578" i="5"/>
  <c r="G578" i="5"/>
  <c r="J578" i="5"/>
  <c r="S577" i="5"/>
  <c r="T577" i="5"/>
  <c r="N577" i="5"/>
  <c r="K577" i="5"/>
  <c r="M577" i="5"/>
  <c r="J577" i="5"/>
  <c r="G577" i="5"/>
  <c r="S576" i="5"/>
  <c r="T576" i="5"/>
  <c r="N576" i="5"/>
  <c r="K576" i="5"/>
  <c r="J576" i="5"/>
  <c r="G576" i="5"/>
  <c r="M576" i="5"/>
  <c r="S575" i="5"/>
  <c r="T575" i="5"/>
  <c r="N575" i="5"/>
  <c r="K575" i="5"/>
  <c r="M575" i="5"/>
  <c r="J575" i="5"/>
  <c r="G575" i="5"/>
  <c r="S574" i="5"/>
  <c r="T574" i="5"/>
  <c r="K574" i="5"/>
  <c r="N574" i="5"/>
  <c r="M574" i="5"/>
  <c r="J574" i="5"/>
  <c r="G574" i="5"/>
  <c r="S573" i="5"/>
  <c r="T573" i="5"/>
  <c r="N573" i="5"/>
  <c r="K573" i="5"/>
  <c r="M573" i="5"/>
  <c r="J573" i="5"/>
  <c r="G573" i="5"/>
  <c r="S572" i="5"/>
  <c r="T572" i="5"/>
  <c r="N572" i="5"/>
  <c r="K572" i="5"/>
  <c r="M572" i="5"/>
  <c r="J572" i="5"/>
  <c r="G572" i="5"/>
  <c r="S571" i="5"/>
  <c r="T571" i="5"/>
  <c r="N571" i="5"/>
  <c r="K571" i="5"/>
  <c r="M571" i="5"/>
  <c r="J571" i="5"/>
  <c r="G571" i="5"/>
  <c r="S570" i="5"/>
  <c r="T570" i="5"/>
  <c r="N570" i="5"/>
  <c r="K570" i="5"/>
  <c r="G570" i="5"/>
  <c r="M570" i="5"/>
  <c r="J570" i="5"/>
  <c r="S569" i="5"/>
  <c r="T569" i="5"/>
  <c r="N569" i="5"/>
  <c r="K569" i="5"/>
  <c r="G569" i="5"/>
  <c r="M569" i="5"/>
  <c r="J569" i="5"/>
  <c r="S568" i="5"/>
  <c r="T568" i="5"/>
  <c r="N568" i="5"/>
  <c r="K568" i="5"/>
  <c r="M568" i="5"/>
  <c r="J568" i="5"/>
  <c r="G568" i="5"/>
  <c r="S567" i="5"/>
  <c r="T567" i="5"/>
  <c r="N567" i="5"/>
  <c r="K567" i="5"/>
  <c r="M567" i="5"/>
  <c r="J567" i="5"/>
  <c r="G567" i="5"/>
  <c r="S566" i="5"/>
  <c r="T566" i="5"/>
  <c r="N566" i="5"/>
  <c r="K566" i="5"/>
  <c r="G566" i="5"/>
  <c r="J566" i="5"/>
  <c r="M566" i="5"/>
  <c r="S565" i="5"/>
  <c r="T565" i="5"/>
  <c r="K565" i="5"/>
  <c r="N565" i="5"/>
  <c r="M565" i="5"/>
  <c r="J565" i="5"/>
  <c r="G565" i="5"/>
  <c r="S564" i="5"/>
  <c r="T564" i="5"/>
  <c r="N564" i="5"/>
  <c r="K564" i="5"/>
  <c r="M564" i="5"/>
  <c r="J564" i="5"/>
  <c r="G564" i="5"/>
  <c r="S563" i="5"/>
  <c r="T563" i="5"/>
  <c r="N563" i="5"/>
  <c r="K563" i="5"/>
  <c r="M563" i="5"/>
  <c r="J563" i="5"/>
  <c r="G563" i="5"/>
  <c r="S562" i="5"/>
  <c r="T562" i="5"/>
  <c r="N562" i="5"/>
  <c r="K562" i="5"/>
  <c r="G562" i="5"/>
  <c r="M562" i="5"/>
  <c r="J562" i="5"/>
  <c r="S561" i="5"/>
  <c r="T561" i="5"/>
  <c r="N561" i="5"/>
  <c r="K561" i="5"/>
  <c r="M561" i="5"/>
  <c r="J561" i="5"/>
  <c r="G561" i="5"/>
  <c r="S560" i="5"/>
  <c r="T560" i="5"/>
  <c r="N560" i="5"/>
  <c r="K560" i="5"/>
  <c r="M560" i="5"/>
  <c r="J560" i="5"/>
  <c r="G560" i="5"/>
  <c r="S559" i="5"/>
  <c r="T559" i="5"/>
  <c r="N559" i="5"/>
  <c r="K559" i="5"/>
  <c r="M559" i="5"/>
  <c r="J559" i="5"/>
  <c r="G559" i="5"/>
  <c r="S558" i="5"/>
  <c r="T558" i="5"/>
  <c r="N558" i="5"/>
  <c r="K558" i="5"/>
  <c r="G558" i="5"/>
  <c r="J558" i="5"/>
  <c r="M558" i="5"/>
  <c r="S557" i="5"/>
  <c r="T557" i="5"/>
  <c r="N557" i="5"/>
  <c r="K557" i="5"/>
  <c r="M557" i="5"/>
  <c r="J557" i="5"/>
  <c r="G557" i="5"/>
  <c r="S556" i="5"/>
  <c r="T556" i="5"/>
  <c r="N556" i="5"/>
  <c r="K556" i="5"/>
  <c r="M556" i="5"/>
  <c r="J556" i="5"/>
  <c r="G556" i="5"/>
  <c r="S555" i="5"/>
  <c r="T555" i="5"/>
  <c r="N555" i="5"/>
  <c r="K555" i="5"/>
  <c r="M555" i="5"/>
  <c r="J555" i="5"/>
  <c r="G555" i="5"/>
  <c r="S554" i="5"/>
  <c r="T554" i="5"/>
  <c r="N554" i="5"/>
  <c r="K554" i="5"/>
  <c r="J554" i="5"/>
  <c r="M554" i="5"/>
  <c r="G554" i="5"/>
  <c r="S553" i="5"/>
  <c r="T553" i="5"/>
  <c r="N553" i="5"/>
  <c r="K553" i="5"/>
  <c r="M553" i="5"/>
  <c r="J553" i="5"/>
  <c r="G553" i="5"/>
  <c r="S552" i="5"/>
  <c r="T552" i="5"/>
  <c r="N552" i="5"/>
  <c r="K552" i="5"/>
  <c r="M552" i="5"/>
  <c r="J552" i="5"/>
  <c r="G552" i="5"/>
  <c r="S551" i="5"/>
  <c r="T551" i="5"/>
  <c r="N551" i="5"/>
  <c r="K551" i="5"/>
  <c r="M551" i="5"/>
  <c r="J551" i="5"/>
  <c r="G551" i="5"/>
  <c r="S550" i="5"/>
  <c r="T550" i="5"/>
  <c r="K550" i="5"/>
  <c r="N550" i="5"/>
  <c r="J550" i="5"/>
  <c r="M550" i="5"/>
  <c r="G550" i="5"/>
  <c r="S549" i="5"/>
  <c r="T549" i="5"/>
  <c r="N549" i="5"/>
  <c r="K549" i="5"/>
  <c r="M549" i="5"/>
  <c r="J549" i="5"/>
  <c r="G549" i="5"/>
  <c r="S548" i="5"/>
  <c r="T548" i="5"/>
  <c r="K548" i="5"/>
  <c r="N548" i="5"/>
  <c r="J548" i="5"/>
  <c r="M548" i="5"/>
  <c r="G548" i="5"/>
  <c r="S547" i="5"/>
  <c r="T547" i="5"/>
  <c r="N547" i="5"/>
  <c r="K547" i="5"/>
  <c r="M547" i="5"/>
  <c r="J547" i="5"/>
  <c r="G547" i="5"/>
  <c r="S546" i="5"/>
  <c r="T546" i="5"/>
  <c r="N546" i="5"/>
  <c r="K546" i="5"/>
  <c r="M546" i="5"/>
  <c r="J546" i="5"/>
  <c r="G546" i="5"/>
  <c r="S545" i="5"/>
  <c r="T545" i="5"/>
  <c r="K545" i="5"/>
  <c r="N545" i="5"/>
  <c r="J545" i="5"/>
  <c r="M545" i="5"/>
  <c r="G545" i="5"/>
  <c r="S544" i="5"/>
  <c r="T544" i="5"/>
  <c r="N544" i="5"/>
  <c r="K544" i="5"/>
  <c r="M544" i="5"/>
  <c r="J544" i="5"/>
  <c r="G544" i="5"/>
  <c r="S543" i="5"/>
  <c r="T543" i="5"/>
  <c r="N543" i="5"/>
  <c r="K543" i="5"/>
  <c r="M543" i="5"/>
  <c r="J543" i="5"/>
  <c r="G543" i="5"/>
  <c r="S542" i="5"/>
  <c r="T542" i="5"/>
  <c r="N542" i="5"/>
  <c r="K542" i="5"/>
  <c r="M542" i="5"/>
  <c r="J542" i="5"/>
  <c r="G542" i="5"/>
  <c r="S541" i="5"/>
  <c r="T541" i="5"/>
  <c r="K541" i="5"/>
  <c r="N541" i="5"/>
  <c r="G541" i="5"/>
  <c r="M541" i="5"/>
  <c r="J541" i="5"/>
  <c r="S540" i="5"/>
  <c r="T540" i="5"/>
  <c r="N540" i="5"/>
  <c r="K540" i="5"/>
  <c r="M540" i="5"/>
  <c r="J540" i="5"/>
  <c r="G540" i="5"/>
  <c r="S539" i="5"/>
  <c r="T539" i="5"/>
  <c r="N539" i="5"/>
  <c r="K539" i="5"/>
  <c r="M539" i="5"/>
  <c r="J539" i="5"/>
  <c r="G539" i="5"/>
  <c r="S538" i="5"/>
  <c r="T538" i="5"/>
  <c r="N538" i="5"/>
  <c r="K538" i="5"/>
  <c r="M538" i="5"/>
  <c r="J538" i="5"/>
  <c r="G538" i="5"/>
  <c r="S537" i="5"/>
  <c r="T537" i="5"/>
  <c r="N537" i="5"/>
  <c r="K537" i="5"/>
  <c r="G537" i="5"/>
  <c r="M537" i="5"/>
  <c r="J537" i="5"/>
  <c r="S536" i="5"/>
  <c r="T536" i="5"/>
  <c r="K536" i="5"/>
  <c r="N536" i="5"/>
  <c r="G536" i="5"/>
  <c r="M536" i="5"/>
  <c r="J536" i="5"/>
  <c r="S535" i="5"/>
  <c r="T535" i="5"/>
  <c r="K535" i="5"/>
  <c r="N535" i="5"/>
  <c r="G535" i="5"/>
  <c r="M535" i="5"/>
  <c r="J535" i="5"/>
  <c r="S534" i="5"/>
  <c r="T534" i="5"/>
  <c r="N534" i="5"/>
  <c r="K534" i="5"/>
  <c r="J534" i="5"/>
  <c r="G534" i="5"/>
  <c r="M534" i="5"/>
  <c r="S533" i="5"/>
  <c r="T533" i="5"/>
  <c r="N533" i="5"/>
  <c r="K533" i="5"/>
  <c r="M533" i="5"/>
  <c r="J533" i="5"/>
  <c r="G533" i="5"/>
  <c r="S532" i="5"/>
  <c r="T532" i="5"/>
  <c r="N532" i="5"/>
  <c r="K532" i="5"/>
  <c r="M532" i="5"/>
  <c r="J532" i="5"/>
  <c r="G532" i="5"/>
  <c r="S531" i="5"/>
  <c r="T531" i="5"/>
  <c r="K531" i="5"/>
  <c r="N531" i="5"/>
  <c r="G531" i="5"/>
  <c r="J531" i="5"/>
  <c r="M531" i="5"/>
  <c r="S530" i="5"/>
  <c r="T530" i="5"/>
  <c r="N530" i="5"/>
  <c r="K530" i="5"/>
  <c r="M530" i="5"/>
  <c r="J530" i="5"/>
  <c r="G530" i="5"/>
  <c r="S529" i="5"/>
  <c r="T529" i="5"/>
  <c r="N529" i="5"/>
  <c r="K529" i="5"/>
  <c r="M529" i="5"/>
  <c r="J529" i="5"/>
  <c r="G529" i="5"/>
  <c r="S528" i="5"/>
  <c r="T528" i="5"/>
  <c r="N528" i="5"/>
  <c r="K528" i="5"/>
  <c r="M528" i="5"/>
  <c r="J528" i="5"/>
  <c r="G528" i="5"/>
  <c r="S527" i="5"/>
  <c r="T527" i="5"/>
  <c r="N527" i="5"/>
  <c r="K527" i="5"/>
  <c r="G527" i="5"/>
  <c r="M527" i="5"/>
  <c r="J527" i="5"/>
  <c r="S526" i="5"/>
  <c r="T526" i="5"/>
  <c r="N526" i="5"/>
  <c r="K526" i="5"/>
  <c r="J526" i="5"/>
  <c r="G526" i="5"/>
  <c r="M526" i="5"/>
  <c r="S525" i="5"/>
  <c r="T525" i="5"/>
  <c r="N525" i="5"/>
  <c r="K525" i="5"/>
  <c r="M525" i="5"/>
  <c r="J525" i="5"/>
  <c r="G525" i="5"/>
  <c r="S524" i="5"/>
  <c r="T524" i="5"/>
  <c r="N524" i="5"/>
  <c r="K524" i="5"/>
  <c r="M524" i="5"/>
  <c r="J524" i="5"/>
  <c r="G524" i="5"/>
  <c r="S523" i="5"/>
  <c r="T523" i="5"/>
  <c r="K523" i="5"/>
  <c r="N523" i="5"/>
  <c r="G523" i="5"/>
  <c r="M523" i="5"/>
  <c r="J523" i="5"/>
  <c r="S522" i="5"/>
  <c r="T522" i="5"/>
  <c r="N522" i="5"/>
  <c r="K522" i="5"/>
  <c r="M522" i="5"/>
  <c r="J522" i="5"/>
  <c r="G522" i="5"/>
  <c r="S521" i="5"/>
  <c r="T521" i="5"/>
  <c r="N521" i="5"/>
  <c r="K521" i="5"/>
  <c r="M521" i="5"/>
  <c r="J521" i="5"/>
  <c r="G521" i="5"/>
  <c r="S520" i="5"/>
  <c r="T520" i="5"/>
  <c r="N520" i="5"/>
  <c r="K520" i="5"/>
  <c r="M520" i="5"/>
  <c r="J520" i="5"/>
  <c r="G520" i="5"/>
  <c r="S519" i="5"/>
  <c r="T519" i="5"/>
  <c r="N519" i="5"/>
  <c r="K519" i="5"/>
  <c r="G519" i="5"/>
  <c r="M519" i="5"/>
  <c r="J519" i="5"/>
  <c r="S518" i="5"/>
  <c r="T518" i="5"/>
  <c r="N518" i="5"/>
  <c r="K518" i="5"/>
  <c r="M518" i="5"/>
  <c r="G518" i="5"/>
  <c r="J518" i="5"/>
  <c r="S517" i="5"/>
  <c r="T517" i="5"/>
  <c r="N517" i="5"/>
  <c r="K517" i="5"/>
  <c r="M517" i="5"/>
  <c r="J517" i="5"/>
  <c r="G517" i="5"/>
  <c r="S516" i="5"/>
  <c r="T516" i="5"/>
  <c r="N516" i="5"/>
  <c r="K516" i="5"/>
  <c r="M516" i="5"/>
  <c r="J516" i="5"/>
  <c r="G516" i="5"/>
  <c r="S515" i="5"/>
  <c r="T515" i="5"/>
  <c r="N515" i="5"/>
  <c r="K515" i="5"/>
  <c r="M515" i="5"/>
  <c r="J515" i="5"/>
  <c r="G515" i="5"/>
  <c r="S514" i="5"/>
  <c r="T514" i="5"/>
  <c r="K514" i="5"/>
  <c r="N514" i="5"/>
  <c r="M514" i="5"/>
  <c r="J514" i="5"/>
  <c r="G514" i="5"/>
  <c r="S513" i="5"/>
  <c r="T513" i="5"/>
  <c r="N513" i="5"/>
  <c r="K513" i="5"/>
  <c r="M513" i="5"/>
  <c r="J513" i="5"/>
  <c r="G513" i="5"/>
  <c r="S512" i="5"/>
  <c r="T512" i="5"/>
  <c r="N512" i="5"/>
  <c r="K512" i="5"/>
  <c r="M512" i="5"/>
  <c r="J512" i="5"/>
  <c r="G512" i="5"/>
  <c r="S511" i="5"/>
  <c r="T511" i="5"/>
  <c r="N511" i="5"/>
  <c r="K511" i="5"/>
  <c r="M511" i="5"/>
  <c r="J511" i="5"/>
  <c r="G511" i="5"/>
  <c r="S510" i="5"/>
  <c r="T510" i="5"/>
  <c r="N510" i="5"/>
  <c r="K510" i="5"/>
  <c r="M510" i="5"/>
  <c r="J510" i="5"/>
  <c r="G510" i="5"/>
  <c r="S509" i="5"/>
  <c r="T509" i="5"/>
  <c r="N509" i="5"/>
  <c r="K509" i="5"/>
  <c r="M509" i="5"/>
  <c r="J509" i="5"/>
  <c r="G509" i="5"/>
  <c r="S508" i="5"/>
  <c r="T508" i="5"/>
  <c r="N508" i="5"/>
  <c r="K508" i="5"/>
  <c r="M508" i="5"/>
  <c r="J508" i="5"/>
  <c r="G508" i="5"/>
  <c r="S507" i="5"/>
  <c r="T507" i="5"/>
  <c r="N507" i="5"/>
  <c r="K507" i="5"/>
  <c r="M507" i="5"/>
  <c r="J507" i="5"/>
  <c r="G507" i="5"/>
  <c r="S506" i="5"/>
  <c r="T506" i="5"/>
  <c r="N506" i="5"/>
  <c r="K506" i="5"/>
  <c r="M506" i="5"/>
  <c r="J506" i="5"/>
  <c r="G506" i="5"/>
  <c r="S505" i="5"/>
  <c r="T505" i="5"/>
  <c r="N505" i="5"/>
  <c r="K505" i="5"/>
  <c r="M505" i="5"/>
  <c r="J505" i="5"/>
  <c r="G505" i="5"/>
  <c r="S504" i="5"/>
  <c r="T504" i="5"/>
  <c r="N504" i="5"/>
  <c r="K504" i="5"/>
  <c r="M504" i="5"/>
  <c r="J504" i="5"/>
  <c r="G504" i="5"/>
  <c r="S503" i="5"/>
  <c r="T503" i="5"/>
  <c r="N503" i="5"/>
  <c r="K503" i="5"/>
  <c r="M503" i="5"/>
  <c r="J503" i="5"/>
  <c r="G503" i="5"/>
  <c r="S502" i="5"/>
  <c r="T502" i="5"/>
  <c r="K502" i="5"/>
  <c r="N502" i="5"/>
  <c r="M502" i="5"/>
  <c r="J502" i="5"/>
  <c r="G502" i="5"/>
  <c r="S501" i="5"/>
  <c r="T501" i="5"/>
  <c r="N501" i="5"/>
  <c r="K501" i="5"/>
  <c r="M501" i="5"/>
  <c r="J501" i="5"/>
  <c r="G501" i="5"/>
  <c r="S500" i="5"/>
  <c r="T500" i="5"/>
  <c r="N500" i="5"/>
  <c r="K500" i="5"/>
  <c r="M500" i="5"/>
  <c r="J500" i="5"/>
  <c r="G500" i="5"/>
  <c r="S499" i="5"/>
  <c r="T499" i="5"/>
  <c r="K499" i="5"/>
  <c r="N499" i="5"/>
  <c r="J499" i="5"/>
  <c r="M499" i="5"/>
  <c r="G499" i="5"/>
  <c r="S498" i="5"/>
  <c r="T498" i="5"/>
  <c r="N498" i="5"/>
  <c r="K498" i="5"/>
  <c r="M498" i="5"/>
  <c r="J498" i="5"/>
  <c r="G498" i="5"/>
  <c r="S497" i="5"/>
  <c r="T497" i="5"/>
  <c r="N497" i="5"/>
  <c r="K497" i="5"/>
  <c r="M497" i="5"/>
  <c r="J497" i="5"/>
  <c r="G497" i="5"/>
  <c r="S496" i="5"/>
  <c r="T496" i="5"/>
  <c r="N496" i="5"/>
  <c r="K496" i="5"/>
  <c r="M496" i="5"/>
  <c r="J496" i="5"/>
  <c r="G496" i="5"/>
  <c r="S495" i="5"/>
  <c r="T495" i="5"/>
  <c r="K495" i="5"/>
  <c r="N495" i="5"/>
  <c r="G495" i="5"/>
  <c r="M495" i="5"/>
  <c r="J495" i="5"/>
  <c r="S494" i="5"/>
  <c r="T494" i="5"/>
  <c r="N494" i="5"/>
  <c r="K494" i="5"/>
  <c r="M494" i="5"/>
  <c r="J494" i="5"/>
  <c r="G494" i="5"/>
  <c r="S493" i="5"/>
  <c r="T493" i="5"/>
  <c r="N493" i="5"/>
  <c r="K493" i="5"/>
  <c r="M493" i="5"/>
  <c r="J493" i="5"/>
  <c r="G493" i="5"/>
  <c r="S492" i="5"/>
  <c r="T492" i="5"/>
  <c r="N492" i="5"/>
  <c r="K492" i="5"/>
  <c r="M492" i="5"/>
  <c r="J492" i="5"/>
  <c r="G492" i="5"/>
  <c r="S491" i="5"/>
  <c r="T491" i="5"/>
  <c r="K491" i="5"/>
  <c r="N491" i="5"/>
  <c r="M491" i="5"/>
  <c r="J491" i="5"/>
  <c r="G491" i="5"/>
  <c r="S490" i="5"/>
  <c r="T490" i="5"/>
  <c r="N490" i="5"/>
  <c r="K490" i="5"/>
  <c r="M490" i="5"/>
  <c r="J490" i="5"/>
  <c r="G490" i="5"/>
  <c r="S489" i="5"/>
  <c r="T489" i="5"/>
  <c r="N489" i="5"/>
  <c r="K489" i="5"/>
  <c r="M489" i="5"/>
  <c r="J489" i="5"/>
  <c r="G489" i="5"/>
  <c r="S488" i="5"/>
  <c r="T488" i="5"/>
  <c r="N488" i="5"/>
  <c r="K488" i="5"/>
  <c r="M488" i="5"/>
  <c r="J488" i="5"/>
  <c r="G488" i="5"/>
  <c r="S487" i="5"/>
  <c r="T487" i="5"/>
  <c r="K487" i="5"/>
  <c r="N487" i="5"/>
  <c r="G487" i="5"/>
  <c r="M487" i="5"/>
  <c r="J487" i="5"/>
  <c r="S486" i="5"/>
  <c r="T486" i="5"/>
  <c r="K486" i="5"/>
  <c r="N486" i="5"/>
  <c r="G486" i="5"/>
  <c r="M486" i="5"/>
  <c r="J486" i="5"/>
  <c r="S485" i="5"/>
  <c r="T485" i="5"/>
  <c r="K485" i="5"/>
  <c r="N485" i="5"/>
  <c r="M485" i="5"/>
  <c r="J485" i="5"/>
  <c r="G485" i="5"/>
  <c r="S484" i="5"/>
  <c r="T484" i="5"/>
  <c r="N484" i="5"/>
  <c r="K484" i="5"/>
  <c r="G484" i="5"/>
  <c r="M484" i="5"/>
  <c r="J484" i="5"/>
  <c r="S483" i="5"/>
  <c r="T483" i="5"/>
  <c r="K483" i="5"/>
  <c r="N483" i="5"/>
  <c r="M483" i="5"/>
  <c r="J483" i="5"/>
  <c r="G483" i="5"/>
  <c r="S482" i="5"/>
  <c r="T482" i="5"/>
  <c r="K482" i="5"/>
  <c r="N482" i="5"/>
  <c r="G482" i="5"/>
  <c r="J482" i="5"/>
  <c r="M482" i="5"/>
  <c r="S481" i="5"/>
  <c r="T481" i="5"/>
  <c r="N481" i="5"/>
  <c r="K481" i="5"/>
  <c r="G481" i="5"/>
  <c r="M481" i="5"/>
  <c r="J481" i="5"/>
  <c r="S480" i="5"/>
  <c r="T480" i="5"/>
  <c r="K480" i="5"/>
  <c r="N480" i="5"/>
  <c r="M480" i="5"/>
  <c r="J480" i="5"/>
  <c r="G480" i="5"/>
  <c r="S479" i="5"/>
  <c r="T479" i="5"/>
  <c r="N479" i="5"/>
  <c r="K479" i="5"/>
  <c r="M479" i="5"/>
  <c r="J479" i="5"/>
  <c r="G479" i="5"/>
  <c r="S478" i="5"/>
  <c r="T478" i="5"/>
  <c r="N478" i="5"/>
  <c r="K478" i="5"/>
  <c r="J478" i="5"/>
  <c r="G478" i="5"/>
  <c r="M478" i="5"/>
  <c r="S477" i="5"/>
  <c r="T477" i="5"/>
  <c r="K477" i="5"/>
  <c r="N477" i="5"/>
  <c r="J477" i="5"/>
  <c r="G477" i="5"/>
  <c r="M477" i="5"/>
  <c r="S476" i="5"/>
  <c r="T476" i="5"/>
  <c r="N476" i="5"/>
  <c r="K476" i="5"/>
  <c r="M476" i="5"/>
  <c r="J476" i="5"/>
  <c r="G476" i="5"/>
  <c r="S475" i="5"/>
  <c r="T475" i="5"/>
  <c r="N475" i="5"/>
  <c r="K475" i="5"/>
  <c r="J475" i="5"/>
  <c r="M475" i="5"/>
  <c r="G475" i="5"/>
  <c r="S474" i="5"/>
  <c r="T474" i="5"/>
  <c r="N474" i="5"/>
  <c r="K474" i="5"/>
  <c r="M474" i="5"/>
  <c r="J474" i="5"/>
  <c r="G474" i="5"/>
  <c r="S473" i="5"/>
  <c r="T473" i="5"/>
  <c r="K473" i="5"/>
  <c r="N473" i="5"/>
  <c r="M473" i="5"/>
  <c r="J473" i="5"/>
  <c r="G473" i="5"/>
  <c r="S472" i="5"/>
  <c r="T472" i="5"/>
  <c r="N472" i="5"/>
  <c r="K472" i="5"/>
  <c r="M472" i="5"/>
  <c r="J472" i="5"/>
  <c r="G472" i="5"/>
  <c r="S471" i="5"/>
  <c r="T471" i="5"/>
  <c r="N471" i="5"/>
  <c r="K471" i="5"/>
  <c r="G471" i="5"/>
  <c r="J471" i="5"/>
  <c r="M471" i="5"/>
  <c r="S470" i="5"/>
  <c r="T470" i="5"/>
  <c r="K470" i="5"/>
  <c r="N470" i="5"/>
  <c r="J470" i="5"/>
  <c r="G470" i="5"/>
  <c r="M470" i="5"/>
  <c r="S469" i="5"/>
  <c r="T469" i="5"/>
  <c r="N469" i="5"/>
  <c r="K469" i="5"/>
  <c r="M469" i="5"/>
  <c r="J469" i="5"/>
  <c r="G469" i="5"/>
  <c r="S468" i="5"/>
  <c r="T468" i="5"/>
  <c r="N468" i="5"/>
  <c r="K468" i="5"/>
  <c r="G468" i="5"/>
  <c r="J468" i="5"/>
  <c r="M468" i="5"/>
  <c r="S467" i="5"/>
  <c r="T467" i="5"/>
  <c r="K467" i="5"/>
  <c r="N467" i="5"/>
  <c r="J467" i="5"/>
  <c r="G467" i="5"/>
  <c r="M467" i="5"/>
  <c r="S466" i="5"/>
  <c r="T466" i="5"/>
  <c r="N466" i="5"/>
  <c r="K466" i="5"/>
  <c r="J466" i="5"/>
  <c r="M466" i="5"/>
  <c r="G466" i="5"/>
  <c r="S465" i="5"/>
  <c r="T465" i="5"/>
  <c r="N465" i="5"/>
  <c r="K465" i="5"/>
  <c r="M465" i="5"/>
  <c r="J465" i="5"/>
  <c r="G465" i="5"/>
  <c r="S464" i="5"/>
  <c r="T464" i="5"/>
  <c r="N464" i="5"/>
  <c r="K464" i="5"/>
  <c r="M464" i="5"/>
  <c r="J464" i="5"/>
  <c r="G464" i="5"/>
  <c r="S463" i="5"/>
  <c r="T463" i="5"/>
  <c r="N463" i="5"/>
  <c r="K463" i="5"/>
  <c r="M463" i="5"/>
  <c r="J463" i="5"/>
  <c r="G463" i="5"/>
  <c r="S462" i="5"/>
  <c r="T462" i="5"/>
  <c r="K462" i="5"/>
  <c r="N462" i="5"/>
  <c r="J462" i="5"/>
  <c r="G462" i="5"/>
  <c r="M462" i="5"/>
  <c r="S461" i="5"/>
  <c r="T461" i="5"/>
  <c r="N461" i="5"/>
  <c r="K461" i="5"/>
  <c r="M461" i="5"/>
  <c r="J461" i="5"/>
  <c r="G461" i="5"/>
  <c r="S460" i="5"/>
  <c r="T460" i="5"/>
  <c r="N460" i="5"/>
  <c r="K460" i="5"/>
  <c r="M460" i="5"/>
  <c r="J460" i="5"/>
  <c r="G460" i="5"/>
  <c r="S459" i="5"/>
  <c r="T459" i="5"/>
  <c r="N459" i="5"/>
  <c r="K459" i="5"/>
  <c r="G459" i="5"/>
  <c r="M459" i="5"/>
  <c r="J459" i="5"/>
  <c r="S458" i="5"/>
  <c r="T458" i="5"/>
  <c r="N458" i="5"/>
  <c r="K458" i="5"/>
  <c r="G458" i="5"/>
  <c r="M458" i="5"/>
  <c r="J458" i="5"/>
  <c r="S457" i="5"/>
  <c r="T457" i="5"/>
  <c r="N457" i="5"/>
  <c r="K457" i="5"/>
  <c r="M457" i="5"/>
  <c r="J457" i="5"/>
  <c r="G457" i="5"/>
  <c r="S456" i="5"/>
  <c r="T456" i="5"/>
  <c r="N456" i="5"/>
  <c r="K456" i="5"/>
  <c r="M456" i="5"/>
  <c r="J456" i="5"/>
  <c r="G456" i="5"/>
  <c r="S455" i="5"/>
  <c r="T455" i="5"/>
  <c r="N455" i="5"/>
  <c r="K455" i="5"/>
  <c r="G455" i="5"/>
  <c r="J455" i="5"/>
  <c r="M455" i="5"/>
  <c r="S454" i="5"/>
  <c r="T454" i="5"/>
  <c r="K454" i="5"/>
  <c r="N454" i="5"/>
  <c r="M454" i="5"/>
  <c r="J454" i="5"/>
  <c r="G454" i="5"/>
  <c r="S453" i="5"/>
  <c r="T453" i="5"/>
  <c r="N453" i="5"/>
  <c r="K453" i="5"/>
  <c r="M453" i="5"/>
  <c r="J453" i="5"/>
  <c r="G453" i="5"/>
  <c r="S452" i="5"/>
  <c r="T452" i="5"/>
  <c r="N452" i="5"/>
  <c r="K452" i="5"/>
  <c r="M452" i="5"/>
  <c r="J452" i="5"/>
  <c r="G452" i="5"/>
  <c r="S451" i="5"/>
  <c r="T451" i="5"/>
  <c r="K451" i="5"/>
  <c r="N451" i="5"/>
  <c r="G451" i="5"/>
  <c r="J451" i="5"/>
  <c r="M451" i="5"/>
  <c r="S450" i="5"/>
  <c r="T450" i="5"/>
  <c r="N450" i="5"/>
  <c r="K450" i="5"/>
  <c r="M450" i="5"/>
  <c r="J450" i="5"/>
  <c r="G450" i="5"/>
  <c r="S449" i="5"/>
  <c r="T449" i="5"/>
  <c r="K449" i="5"/>
  <c r="N449" i="5"/>
  <c r="M449" i="5"/>
  <c r="J449" i="5"/>
  <c r="G449" i="5"/>
  <c r="S448" i="5"/>
  <c r="T448" i="5"/>
  <c r="N448" i="5"/>
  <c r="K448" i="5"/>
  <c r="M448" i="5"/>
  <c r="J448" i="5"/>
  <c r="G448" i="5"/>
  <c r="S447" i="5"/>
  <c r="T447" i="5"/>
  <c r="N447" i="5"/>
  <c r="K447" i="5"/>
  <c r="G447" i="5"/>
  <c r="J447" i="5"/>
  <c r="M447" i="5"/>
  <c r="S446" i="5"/>
  <c r="T446" i="5"/>
  <c r="N446" i="5"/>
  <c r="K446" i="5"/>
  <c r="M446" i="5"/>
  <c r="J446" i="5"/>
  <c r="G446" i="5"/>
  <c r="S445" i="5"/>
  <c r="T445" i="5"/>
  <c r="N445" i="5"/>
  <c r="K445" i="5"/>
  <c r="M445" i="5"/>
  <c r="J445" i="5"/>
  <c r="G445" i="5"/>
  <c r="S444" i="5"/>
  <c r="T444" i="5"/>
  <c r="N444" i="5"/>
  <c r="K444" i="5"/>
  <c r="M444" i="5"/>
  <c r="J444" i="5"/>
  <c r="G444" i="5"/>
  <c r="S443" i="5"/>
  <c r="T443" i="5"/>
  <c r="N443" i="5"/>
  <c r="K443" i="5"/>
  <c r="M443" i="5"/>
  <c r="J443" i="5"/>
  <c r="G443" i="5"/>
  <c r="S442" i="5"/>
  <c r="T442" i="5"/>
  <c r="K442" i="5"/>
  <c r="N442" i="5"/>
  <c r="M442" i="5"/>
  <c r="J442" i="5"/>
  <c r="G442" i="5"/>
  <c r="S441" i="5"/>
  <c r="T441" i="5"/>
  <c r="N441" i="5"/>
  <c r="K441" i="5"/>
  <c r="M441" i="5"/>
  <c r="G441" i="5"/>
  <c r="J441" i="5"/>
  <c r="S440" i="5"/>
  <c r="T440" i="5"/>
  <c r="N440" i="5"/>
  <c r="K440" i="5"/>
  <c r="M440" i="5"/>
  <c r="J440" i="5"/>
  <c r="G440" i="5"/>
  <c r="S439" i="5"/>
  <c r="T439" i="5"/>
  <c r="N439" i="5"/>
  <c r="K439" i="5"/>
  <c r="M439" i="5"/>
  <c r="J439" i="5"/>
  <c r="G439" i="5"/>
  <c r="S438" i="5"/>
  <c r="T438" i="5"/>
  <c r="N438" i="5"/>
  <c r="K438" i="5"/>
  <c r="M438" i="5"/>
  <c r="J438" i="5"/>
  <c r="G438" i="5"/>
  <c r="S437" i="5"/>
  <c r="T437" i="5"/>
  <c r="K437" i="5"/>
  <c r="N437" i="5"/>
  <c r="M437" i="5"/>
  <c r="G437" i="5"/>
  <c r="J437" i="5"/>
  <c r="S436" i="5"/>
  <c r="T436" i="5"/>
  <c r="K436" i="5"/>
  <c r="N436" i="5"/>
  <c r="J436" i="5"/>
  <c r="M436" i="5"/>
  <c r="G436" i="5"/>
  <c r="S435" i="5"/>
  <c r="T435" i="5"/>
  <c r="N435" i="5"/>
  <c r="K435" i="5"/>
  <c r="M435" i="5"/>
  <c r="J435" i="5"/>
  <c r="G435" i="5"/>
  <c r="S434" i="5"/>
  <c r="T434" i="5"/>
  <c r="N434" i="5"/>
  <c r="K434" i="5"/>
  <c r="M434" i="5"/>
  <c r="J434" i="5"/>
  <c r="G434" i="5"/>
  <c r="S433" i="5"/>
  <c r="T433" i="5"/>
  <c r="N433" i="5"/>
  <c r="K433" i="5"/>
  <c r="M433" i="5"/>
  <c r="G433" i="5"/>
  <c r="J433" i="5"/>
  <c r="S432" i="5"/>
  <c r="T432" i="5"/>
  <c r="N432" i="5"/>
  <c r="K432" i="5"/>
  <c r="G432" i="5"/>
  <c r="M432" i="5"/>
  <c r="J432" i="5"/>
  <c r="S431" i="5"/>
  <c r="T431" i="5"/>
  <c r="K431" i="5"/>
  <c r="N431" i="5"/>
  <c r="G431" i="5"/>
  <c r="J431" i="5"/>
  <c r="M431" i="5"/>
  <c r="S430" i="5"/>
  <c r="T430" i="5"/>
  <c r="N430" i="5"/>
  <c r="K430" i="5"/>
  <c r="M430" i="5"/>
  <c r="J430" i="5"/>
  <c r="G430" i="5"/>
  <c r="S429" i="5"/>
  <c r="T429" i="5"/>
  <c r="K429" i="5"/>
  <c r="N429" i="5"/>
  <c r="M429" i="5"/>
  <c r="J429" i="5"/>
  <c r="G429" i="5"/>
  <c r="S428" i="5"/>
  <c r="T428" i="5"/>
  <c r="N428" i="5"/>
  <c r="K428" i="5"/>
  <c r="M428" i="5"/>
  <c r="J428" i="5"/>
  <c r="G428" i="5"/>
  <c r="S427" i="5"/>
  <c r="T427" i="5"/>
  <c r="N427" i="5"/>
  <c r="K427" i="5"/>
  <c r="M427" i="5"/>
  <c r="J427" i="5"/>
  <c r="G427" i="5"/>
  <c r="S426" i="5"/>
  <c r="T426" i="5"/>
  <c r="N426" i="5"/>
  <c r="K426" i="5"/>
  <c r="G426" i="5"/>
  <c r="J426" i="5"/>
  <c r="M426" i="5"/>
  <c r="S425" i="5"/>
  <c r="T425" i="5"/>
  <c r="N425" i="5"/>
  <c r="K425" i="5"/>
  <c r="M425" i="5"/>
  <c r="J425" i="5"/>
  <c r="G425" i="5"/>
  <c r="S424" i="5"/>
  <c r="T424" i="5"/>
  <c r="N424" i="5"/>
  <c r="K424" i="5"/>
  <c r="M424" i="5"/>
  <c r="J424" i="5"/>
  <c r="G424" i="5"/>
  <c r="S423" i="5"/>
  <c r="T423" i="5"/>
  <c r="K423" i="5"/>
  <c r="N423" i="5"/>
  <c r="M423" i="5"/>
  <c r="J423" i="5"/>
  <c r="G423" i="5"/>
  <c r="S422" i="5"/>
  <c r="T422" i="5"/>
  <c r="N422" i="5"/>
  <c r="K422" i="5"/>
  <c r="M422" i="5"/>
  <c r="J422" i="5"/>
  <c r="G422" i="5"/>
  <c r="S421" i="5"/>
  <c r="T421" i="5"/>
  <c r="N421" i="5"/>
  <c r="K421" i="5"/>
  <c r="M421" i="5"/>
  <c r="J421" i="5"/>
  <c r="G421" i="5"/>
  <c r="S420" i="5"/>
  <c r="T420" i="5"/>
  <c r="N420" i="5"/>
  <c r="K420" i="5"/>
  <c r="M420" i="5"/>
  <c r="J420" i="5"/>
  <c r="G420" i="5"/>
  <c r="S419" i="5"/>
  <c r="T419" i="5"/>
  <c r="N419" i="5"/>
  <c r="K419" i="5"/>
  <c r="M419" i="5"/>
  <c r="J419" i="5"/>
  <c r="G419" i="5"/>
  <c r="S418" i="5"/>
  <c r="T418" i="5"/>
  <c r="N418" i="5"/>
  <c r="K418" i="5"/>
  <c r="G418" i="5"/>
  <c r="J418" i="5"/>
  <c r="M418" i="5"/>
  <c r="S417" i="5"/>
  <c r="T417" i="5"/>
  <c r="N417" i="5"/>
  <c r="K417" i="5"/>
  <c r="M417" i="5"/>
  <c r="J417" i="5"/>
  <c r="G417" i="5"/>
  <c r="S416" i="5"/>
  <c r="T416" i="5"/>
  <c r="N416" i="5"/>
  <c r="K416" i="5"/>
  <c r="M416" i="5"/>
  <c r="J416" i="5"/>
  <c r="G416" i="5"/>
  <c r="S415" i="5"/>
  <c r="T415" i="5"/>
  <c r="N415" i="5"/>
  <c r="K415" i="5"/>
  <c r="M415" i="5"/>
  <c r="J415" i="5"/>
  <c r="G415" i="5"/>
  <c r="S414" i="5"/>
  <c r="T414" i="5"/>
  <c r="N414" i="5"/>
  <c r="K414" i="5"/>
  <c r="M414" i="5"/>
  <c r="J414" i="5"/>
  <c r="G414" i="5"/>
  <c r="S413" i="5"/>
  <c r="T413" i="5"/>
  <c r="N413" i="5"/>
  <c r="K413" i="5"/>
  <c r="M413" i="5"/>
  <c r="J413" i="5"/>
  <c r="G413" i="5"/>
  <c r="S412" i="5"/>
  <c r="T412" i="5"/>
  <c r="N412" i="5"/>
  <c r="K412" i="5"/>
  <c r="M412" i="5"/>
  <c r="J412" i="5"/>
  <c r="G412" i="5"/>
  <c r="S411" i="5"/>
  <c r="T411" i="5"/>
  <c r="N411" i="5"/>
  <c r="K411" i="5"/>
  <c r="M411" i="5"/>
  <c r="J411" i="5"/>
  <c r="G411" i="5"/>
  <c r="S410" i="5"/>
  <c r="T410" i="5"/>
  <c r="N410" i="5"/>
  <c r="K410" i="5"/>
  <c r="M410" i="5"/>
  <c r="J410" i="5"/>
  <c r="G410" i="5"/>
  <c r="S409" i="5"/>
  <c r="T409" i="5"/>
  <c r="N409" i="5"/>
  <c r="K409" i="5"/>
  <c r="M409" i="5"/>
  <c r="J409" i="5"/>
  <c r="G409" i="5"/>
  <c r="S408" i="5"/>
  <c r="T408" i="5"/>
  <c r="N408" i="5"/>
  <c r="K408" i="5"/>
  <c r="M408" i="5"/>
  <c r="J408" i="5"/>
  <c r="G408" i="5"/>
  <c r="S407" i="5"/>
  <c r="T407" i="5"/>
  <c r="K407" i="5"/>
  <c r="N407" i="5"/>
  <c r="G407" i="5"/>
  <c r="M407" i="5"/>
  <c r="J407" i="5"/>
  <c r="S406" i="5"/>
  <c r="T406" i="5"/>
  <c r="K406" i="5"/>
  <c r="N406" i="5"/>
  <c r="M406" i="5"/>
  <c r="J406" i="5"/>
  <c r="G406" i="5"/>
  <c r="S405" i="5"/>
  <c r="T405" i="5"/>
  <c r="N405" i="5"/>
  <c r="K405" i="5"/>
  <c r="M405" i="5"/>
  <c r="J405" i="5"/>
  <c r="G405" i="5"/>
  <c r="S404" i="5"/>
  <c r="T404" i="5"/>
  <c r="N404" i="5"/>
  <c r="K404" i="5"/>
  <c r="M404" i="5"/>
  <c r="G404" i="5"/>
  <c r="J404" i="5"/>
  <c r="S403" i="5"/>
  <c r="T403" i="5"/>
  <c r="K403" i="5"/>
  <c r="N403" i="5"/>
  <c r="G403" i="5"/>
  <c r="J403" i="5"/>
  <c r="M403" i="5"/>
  <c r="S402" i="5"/>
  <c r="T402" i="5"/>
  <c r="N402" i="5"/>
  <c r="K402" i="5"/>
  <c r="M402" i="5"/>
  <c r="J402" i="5"/>
  <c r="G402" i="5"/>
  <c r="S401" i="5"/>
  <c r="T401" i="5"/>
  <c r="N401" i="5"/>
  <c r="K401" i="5"/>
  <c r="M401" i="5"/>
  <c r="G401" i="5"/>
  <c r="J401" i="5"/>
  <c r="S400" i="5"/>
  <c r="T400" i="5"/>
  <c r="N400" i="5"/>
  <c r="K400" i="5"/>
  <c r="M400" i="5"/>
  <c r="J400" i="5"/>
  <c r="G400" i="5"/>
  <c r="S399" i="5"/>
  <c r="T399" i="5"/>
  <c r="K399" i="5"/>
  <c r="N399" i="5"/>
  <c r="M399" i="5"/>
  <c r="G399" i="5"/>
  <c r="J399" i="5"/>
  <c r="S398" i="5"/>
  <c r="T398" i="5"/>
  <c r="K398" i="5"/>
  <c r="N398" i="5"/>
  <c r="G398" i="5"/>
  <c r="J398" i="5"/>
  <c r="M398" i="5"/>
  <c r="S397" i="5"/>
  <c r="T397" i="5"/>
  <c r="N397" i="5"/>
  <c r="K397" i="5"/>
  <c r="J397" i="5"/>
  <c r="M397" i="5"/>
  <c r="G397" i="5"/>
  <c r="S396" i="5"/>
  <c r="T396" i="5"/>
  <c r="K396" i="5"/>
  <c r="N396" i="5"/>
  <c r="G396" i="5"/>
  <c r="J396" i="5"/>
  <c r="M396" i="5"/>
  <c r="S395" i="5"/>
  <c r="T395" i="5"/>
  <c r="K395" i="5"/>
  <c r="N395" i="5"/>
  <c r="G395" i="5"/>
  <c r="M395" i="5"/>
  <c r="J395" i="5"/>
  <c r="S394" i="5"/>
  <c r="T394" i="5"/>
  <c r="K394" i="5"/>
  <c r="N394" i="5"/>
  <c r="G394" i="5"/>
  <c r="J394" i="5"/>
  <c r="M394" i="5"/>
  <c r="S393" i="5"/>
  <c r="T393" i="5"/>
  <c r="N393" i="5"/>
  <c r="K393" i="5"/>
  <c r="J393" i="5"/>
  <c r="M393" i="5"/>
  <c r="G393" i="5"/>
  <c r="S392" i="5"/>
  <c r="T392" i="5"/>
  <c r="N392" i="5"/>
  <c r="K392" i="5"/>
  <c r="M392" i="5"/>
  <c r="J392" i="5"/>
  <c r="G392" i="5"/>
  <c r="S391" i="5"/>
  <c r="T391" i="5"/>
  <c r="N391" i="5"/>
  <c r="K391" i="5"/>
  <c r="J391" i="5"/>
  <c r="M391" i="5"/>
  <c r="G391" i="5"/>
  <c r="S390" i="5"/>
  <c r="T390" i="5"/>
  <c r="K390" i="5"/>
  <c r="N390" i="5"/>
  <c r="M390" i="5"/>
  <c r="J390" i="5"/>
  <c r="G390" i="5"/>
  <c r="S389" i="5"/>
  <c r="T389" i="5"/>
  <c r="N389" i="5"/>
  <c r="K389" i="5"/>
  <c r="M389" i="5"/>
  <c r="J389" i="5"/>
  <c r="G389" i="5"/>
  <c r="S388" i="5"/>
  <c r="T388" i="5"/>
  <c r="K388" i="5"/>
  <c r="N388" i="5"/>
  <c r="J388" i="5"/>
  <c r="G388" i="5"/>
  <c r="M388" i="5"/>
  <c r="S387" i="5"/>
  <c r="T387" i="5"/>
  <c r="N387" i="5"/>
  <c r="K387" i="5"/>
  <c r="J387" i="5"/>
  <c r="G387" i="5"/>
  <c r="M387" i="5"/>
  <c r="S386" i="5"/>
  <c r="T386" i="5"/>
  <c r="K386" i="5"/>
  <c r="N386" i="5"/>
  <c r="M386" i="5"/>
  <c r="J386" i="5"/>
  <c r="G386" i="5"/>
  <c r="S385" i="5"/>
  <c r="T385" i="5"/>
  <c r="N385" i="5"/>
  <c r="K385" i="5"/>
  <c r="M385" i="5"/>
  <c r="J385" i="5"/>
  <c r="G385" i="5"/>
  <c r="S384" i="5"/>
  <c r="T384" i="5"/>
  <c r="N384" i="5"/>
  <c r="K384" i="5"/>
  <c r="J384" i="5"/>
  <c r="G384" i="5"/>
  <c r="M384" i="5"/>
  <c r="S383" i="5"/>
  <c r="T383" i="5"/>
  <c r="N383" i="5"/>
  <c r="K383" i="5"/>
  <c r="M383" i="5"/>
  <c r="J383" i="5"/>
  <c r="G383" i="5"/>
  <c r="S382" i="5"/>
  <c r="T382" i="5"/>
  <c r="N382" i="5"/>
  <c r="K382" i="5"/>
  <c r="M382" i="5"/>
  <c r="J382" i="5"/>
  <c r="G382" i="5"/>
  <c r="S381" i="5"/>
  <c r="T381" i="5"/>
  <c r="N381" i="5"/>
  <c r="K381" i="5"/>
  <c r="M381" i="5"/>
  <c r="J381" i="5"/>
  <c r="G381" i="5"/>
  <c r="S380" i="5"/>
  <c r="T380" i="5"/>
  <c r="N380" i="5"/>
  <c r="K380" i="5"/>
  <c r="M380" i="5"/>
  <c r="J380" i="5"/>
  <c r="G380" i="5"/>
  <c r="S379" i="5"/>
  <c r="T379" i="5"/>
  <c r="N379" i="5"/>
  <c r="K379" i="5"/>
  <c r="M379" i="5"/>
  <c r="J379" i="5"/>
  <c r="G379" i="5"/>
  <c r="S378" i="5"/>
  <c r="T378" i="5"/>
  <c r="N378" i="5"/>
  <c r="K378" i="5"/>
  <c r="J378" i="5"/>
  <c r="G378" i="5"/>
  <c r="M378" i="5"/>
  <c r="S377" i="5"/>
  <c r="T377" i="5"/>
  <c r="K377" i="5"/>
  <c r="N377" i="5"/>
  <c r="M377" i="5"/>
  <c r="J377" i="5"/>
  <c r="G377" i="5"/>
  <c r="S376" i="5"/>
  <c r="T376" i="5"/>
  <c r="N376" i="5"/>
  <c r="K376" i="5"/>
  <c r="M376" i="5"/>
  <c r="J376" i="5"/>
  <c r="G376" i="5"/>
  <c r="S375" i="5"/>
  <c r="T375" i="5"/>
  <c r="K375" i="5"/>
  <c r="N375" i="5"/>
  <c r="M375" i="5"/>
  <c r="G375" i="5"/>
  <c r="J375" i="5"/>
  <c r="S374" i="5"/>
  <c r="T374" i="5"/>
  <c r="N374" i="5"/>
  <c r="K374" i="5"/>
  <c r="M374" i="5"/>
  <c r="J374" i="5"/>
  <c r="G374" i="5"/>
  <c r="S373" i="5"/>
  <c r="T373" i="5"/>
  <c r="N373" i="5"/>
  <c r="K373" i="5"/>
  <c r="M373" i="5"/>
  <c r="J373" i="5"/>
  <c r="G373" i="5"/>
  <c r="S372" i="5"/>
  <c r="T372" i="5"/>
  <c r="N372" i="5"/>
  <c r="K372" i="5"/>
  <c r="G372" i="5"/>
  <c r="J372" i="5"/>
  <c r="M372" i="5"/>
  <c r="S371" i="5"/>
  <c r="T371" i="5"/>
  <c r="K371" i="5"/>
  <c r="N371" i="5"/>
  <c r="M371" i="5"/>
  <c r="J371" i="5"/>
  <c r="G371" i="5"/>
  <c r="S370" i="5"/>
  <c r="T370" i="5"/>
  <c r="K370" i="5"/>
  <c r="N370" i="5"/>
  <c r="M370" i="5"/>
  <c r="J370" i="5"/>
  <c r="G370" i="5"/>
  <c r="S369" i="5"/>
  <c r="T369" i="5"/>
  <c r="N369" i="5"/>
  <c r="K369" i="5"/>
  <c r="M369" i="5"/>
  <c r="J369" i="5"/>
  <c r="G369" i="5"/>
  <c r="S368" i="5"/>
  <c r="T368" i="5"/>
  <c r="K368" i="5"/>
  <c r="N368" i="5"/>
  <c r="G368" i="5"/>
  <c r="J368" i="5"/>
  <c r="M368" i="5"/>
  <c r="S367" i="5"/>
  <c r="T367" i="5"/>
  <c r="N367" i="5"/>
  <c r="K367" i="5"/>
  <c r="M367" i="5"/>
  <c r="J367" i="5"/>
  <c r="G367" i="5"/>
  <c r="S366" i="5"/>
  <c r="T366" i="5"/>
  <c r="N366" i="5"/>
  <c r="K366" i="5"/>
  <c r="M366" i="5"/>
  <c r="J366" i="5"/>
  <c r="G366" i="5"/>
  <c r="S365" i="5"/>
  <c r="T365" i="5"/>
  <c r="K365" i="5"/>
  <c r="N365" i="5"/>
  <c r="G365" i="5"/>
  <c r="M365" i="5"/>
  <c r="J365" i="5"/>
  <c r="S364" i="5"/>
  <c r="T364" i="5"/>
  <c r="N364" i="5"/>
  <c r="K364" i="5"/>
  <c r="M364" i="5"/>
  <c r="J364" i="5"/>
  <c r="G364" i="5"/>
  <c r="S363" i="5"/>
  <c r="T363" i="5"/>
  <c r="K363" i="5"/>
  <c r="N363" i="5"/>
  <c r="G363" i="5"/>
  <c r="J363" i="5"/>
  <c r="M363" i="5"/>
  <c r="S362" i="5"/>
  <c r="T362" i="5"/>
  <c r="N362" i="5"/>
  <c r="K362" i="5"/>
  <c r="G362" i="5"/>
  <c r="M362" i="5"/>
  <c r="J362" i="5"/>
  <c r="S361" i="5"/>
  <c r="T361" i="5"/>
  <c r="K361" i="5"/>
  <c r="N361" i="5"/>
  <c r="J361" i="5"/>
  <c r="G361" i="5"/>
  <c r="M361" i="5"/>
  <c r="S360" i="5"/>
  <c r="T360" i="5"/>
  <c r="N360" i="5"/>
  <c r="K360" i="5"/>
  <c r="M360" i="5"/>
  <c r="J360" i="5"/>
  <c r="G360" i="5"/>
  <c r="S359" i="5"/>
  <c r="T359" i="5"/>
  <c r="N359" i="5"/>
  <c r="K359" i="5"/>
  <c r="M359" i="5"/>
  <c r="J359" i="5"/>
  <c r="G359" i="5"/>
  <c r="S358" i="5"/>
  <c r="T358" i="5"/>
  <c r="N358" i="5"/>
  <c r="K358" i="5"/>
  <c r="M358" i="5"/>
  <c r="J358" i="5"/>
  <c r="G358" i="5"/>
  <c r="S357" i="5"/>
  <c r="T357" i="5"/>
  <c r="N357" i="5"/>
  <c r="K357" i="5"/>
  <c r="G357" i="5"/>
  <c r="J357" i="5"/>
  <c r="M357" i="5"/>
  <c r="S356" i="5"/>
  <c r="T356" i="5"/>
  <c r="N356" i="5"/>
  <c r="K356" i="5"/>
  <c r="M356" i="5"/>
  <c r="J356" i="5"/>
  <c r="G356" i="5"/>
  <c r="S355" i="5"/>
  <c r="T355" i="5"/>
  <c r="K355" i="5"/>
  <c r="N355" i="5"/>
  <c r="G355" i="5"/>
  <c r="J355" i="5"/>
  <c r="M355" i="5"/>
  <c r="S354" i="5"/>
  <c r="T354" i="5"/>
  <c r="K354" i="5"/>
  <c r="N354" i="5"/>
  <c r="G354" i="5"/>
  <c r="M354" i="5"/>
  <c r="J354" i="5"/>
  <c r="S353" i="5"/>
  <c r="T353" i="5"/>
  <c r="N353" i="5"/>
  <c r="K353" i="5"/>
  <c r="M353" i="5"/>
  <c r="J353" i="5"/>
  <c r="G353" i="5"/>
  <c r="S352" i="5"/>
  <c r="T352" i="5"/>
  <c r="N352" i="5"/>
  <c r="K352" i="5"/>
  <c r="G352" i="5"/>
  <c r="M352" i="5"/>
  <c r="J352" i="5"/>
  <c r="S351" i="5"/>
  <c r="T351" i="5"/>
  <c r="K351" i="5"/>
  <c r="N351" i="5"/>
  <c r="M351" i="5"/>
  <c r="J351" i="5"/>
  <c r="G351" i="5"/>
  <c r="S350" i="5"/>
  <c r="T350" i="5"/>
  <c r="N350" i="5"/>
  <c r="K350" i="5"/>
  <c r="M350" i="5"/>
  <c r="J350" i="5"/>
  <c r="G350" i="5"/>
  <c r="S349" i="5"/>
  <c r="T349" i="5"/>
  <c r="J349" i="5"/>
  <c r="G349" i="5"/>
  <c r="M349" i="5"/>
  <c r="S348" i="5"/>
  <c r="T348" i="5"/>
  <c r="K348" i="5"/>
  <c r="N348" i="5"/>
  <c r="G348" i="5"/>
  <c r="J348" i="5"/>
  <c r="M348" i="5"/>
  <c r="S347" i="5"/>
  <c r="T347" i="5"/>
  <c r="K347" i="5"/>
  <c r="N347" i="5"/>
  <c r="J347" i="5"/>
  <c r="M347" i="5"/>
  <c r="G347" i="5"/>
  <c r="S346" i="5"/>
  <c r="T346" i="5"/>
  <c r="N346" i="5"/>
  <c r="K346" i="5"/>
  <c r="G346" i="5"/>
  <c r="J346" i="5"/>
  <c r="M346" i="5"/>
  <c r="S345" i="5"/>
  <c r="T345" i="5"/>
  <c r="K345" i="5"/>
  <c r="N345" i="5"/>
  <c r="G345" i="5"/>
  <c r="J345" i="5"/>
  <c r="M345" i="5"/>
  <c r="S344" i="5"/>
  <c r="T344" i="5"/>
  <c r="N344" i="5"/>
  <c r="K344" i="5"/>
  <c r="G344" i="5"/>
  <c r="M344" i="5"/>
  <c r="J344" i="5"/>
  <c r="S343" i="5"/>
  <c r="T343" i="5"/>
  <c r="K343" i="5"/>
  <c r="N343" i="5"/>
  <c r="G343" i="5"/>
  <c r="J343" i="5"/>
  <c r="M343" i="5"/>
  <c r="S342" i="5"/>
  <c r="T342" i="5"/>
  <c r="K342" i="5"/>
  <c r="N342" i="5"/>
  <c r="J342" i="5"/>
  <c r="M342" i="5"/>
  <c r="G342" i="5"/>
  <c r="S341" i="5"/>
  <c r="T341" i="5"/>
  <c r="K341" i="5"/>
  <c r="N341" i="5"/>
  <c r="J341" i="5"/>
  <c r="G341" i="5"/>
  <c r="M341" i="5"/>
  <c r="S340" i="5"/>
  <c r="T340" i="5"/>
  <c r="N340" i="5"/>
  <c r="K340" i="5"/>
  <c r="G340" i="5"/>
  <c r="J340" i="5"/>
  <c r="M340" i="5"/>
  <c r="S339" i="5"/>
  <c r="T339" i="5"/>
  <c r="K339" i="5"/>
  <c r="N339" i="5"/>
  <c r="G339" i="5"/>
  <c r="J339" i="5"/>
  <c r="M339" i="5"/>
  <c r="S338" i="5"/>
  <c r="T338" i="5"/>
  <c r="N338" i="5"/>
  <c r="K338" i="5"/>
  <c r="M338" i="5"/>
  <c r="J338" i="5"/>
  <c r="G338" i="5"/>
  <c r="S337" i="5"/>
  <c r="T337" i="5"/>
  <c r="N337" i="5"/>
  <c r="K337" i="5"/>
  <c r="G337" i="5"/>
  <c r="M337" i="5"/>
  <c r="J337" i="5"/>
  <c r="S336" i="5"/>
  <c r="T336" i="5"/>
  <c r="K336" i="5"/>
  <c r="N336" i="5"/>
  <c r="J336" i="5"/>
  <c r="G336" i="5"/>
  <c r="M336" i="5"/>
  <c r="S335" i="5"/>
  <c r="T335" i="5"/>
  <c r="N335" i="5"/>
  <c r="K335" i="5"/>
  <c r="G335" i="5"/>
  <c r="J335" i="5"/>
  <c r="M335" i="5"/>
  <c r="S334" i="5"/>
  <c r="T334" i="5"/>
  <c r="K334" i="5"/>
  <c r="N334" i="5"/>
  <c r="G334" i="5"/>
  <c r="J334" i="5"/>
  <c r="M334" i="5"/>
  <c r="S333" i="5"/>
  <c r="T333" i="5"/>
  <c r="N333" i="5"/>
  <c r="K333" i="5"/>
  <c r="M333" i="5"/>
  <c r="J333" i="5"/>
  <c r="G333" i="5"/>
  <c r="S332" i="5"/>
  <c r="T332" i="5"/>
  <c r="N332" i="5"/>
  <c r="K332" i="5"/>
  <c r="M332" i="5"/>
  <c r="J332" i="5"/>
  <c r="G332" i="5"/>
  <c r="S331" i="5"/>
  <c r="T331" i="5"/>
  <c r="N331" i="5"/>
  <c r="K331" i="5"/>
  <c r="M331" i="5"/>
  <c r="J331" i="5"/>
  <c r="G331" i="5"/>
  <c r="S330" i="5"/>
  <c r="T330" i="5"/>
  <c r="K330" i="5"/>
  <c r="N330" i="5"/>
  <c r="M330" i="5"/>
  <c r="G330" i="5"/>
  <c r="J330" i="5"/>
  <c r="S329" i="5"/>
  <c r="T329" i="5"/>
  <c r="K329" i="5"/>
  <c r="N329" i="5"/>
  <c r="G329" i="5"/>
  <c r="J329" i="5"/>
  <c r="M329" i="5"/>
  <c r="S328" i="5"/>
  <c r="T328" i="5"/>
  <c r="K328" i="5"/>
  <c r="N328" i="5"/>
  <c r="J328" i="5"/>
  <c r="G328" i="5"/>
  <c r="M328" i="5"/>
  <c r="S327" i="5"/>
  <c r="T327" i="5"/>
  <c r="K327" i="5"/>
  <c r="N327" i="5"/>
  <c r="G327" i="5"/>
  <c r="J327" i="5"/>
  <c r="M327" i="5"/>
  <c r="S326" i="5"/>
  <c r="T326" i="5"/>
  <c r="K326" i="5"/>
  <c r="N326" i="5"/>
  <c r="J326" i="5"/>
  <c r="G326" i="5"/>
  <c r="M326" i="5"/>
  <c r="S325" i="5"/>
  <c r="T325" i="5"/>
  <c r="K325" i="5"/>
  <c r="N325" i="5"/>
  <c r="G325" i="5"/>
  <c r="J325" i="5"/>
  <c r="M325" i="5"/>
  <c r="S324" i="5"/>
  <c r="T324" i="5"/>
  <c r="K324" i="5"/>
  <c r="N324" i="5"/>
  <c r="G324" i="5"/>
  <c r="J324" i="5"/>
  <c r="M324" i="5"/>
  <c r="S323" i="5"/>
  <c r="T323" i="5"/>
  <c r="N323" i="5"/>
  <c r="K323" i="5"/>
  <c r="J323" i="5"/>
  <c r="G323" i="5"/>
  <c r="M323" i="5"/>
  <c r="S322" i="5"/>
  <c r="T322" i="5"/>
  <c r="K322" i="5"/>
  <c r="N322" i="5"/>
  <c r="M322" i="5"/>
  <c r="J322" i="5"/>
  <c r="G322" i="5"/>
  <c r="S321" i="5"/>
  <c r="T321" i="5"/>
  <c r="N321" i="5"/>
  <c r="K321" i="5"/>
  <c r="J321" i="5"/>
  <c r="M321" i="5"/>
  <c r="G321" i="5"/>
  <c r="S320" i="5"/>
  <c r="T320" i="5"/>
  <c r="K320" i="5"/>
  <c r="N320" i="5"/>
  <c r="G320" i="5"/>
  <c r="J320" i="5"/>
  <c r="M320" i="5"/>
  <c r="S319" i="5"/>
  <c r="T319" i="5"/>
  <c r="K319" i="5"/>
  <c r="N319" i="5"/>
  <c r="J319" i="5"/>
  <c r="G319" i="5"/>
  <c r="M319" i="5"/>
  <c r="S318" i="5"/>
  <c r="T318" i="5"/>
  <c r="K318" i="5"/>
  <c r="N318" i="5"/>
  <c r="G318" i="5"/>
  <c r="J318" i="5"/>
  <c r="M318" i="5"/>
  <c r="S317" i="5"/>
  <c r="T317" i="5"/>
  <c r="K317" i="5"/>
  <c r="N317" i="5"/>
  <c r="J317" i="5"/>
  <c r="G317" i="5"/>
  <c r="M317" i="5"/>
  <c r="S316" i="5"/>
  <c r="T316" i="5"/>
  <c r="K316" i="5"/>
  <c r="N316" i="5"/>
  <c r="G316" i="5"/>
  <c r="J316" i="5"/>
  <c r="M316" i="5"/>
  <c r="S315" i="5"/>
  <c r="T315" i="5"/>
  <c r="K315" i="5"/>
  <c r="N315" i="5"/>
  <c r="G315" i="5"/>
  <c r="J315" i="5"/>
  <c r="M315" i="5"/>
  <c r="S314" i="5"/>
  <c r="T314" i="5"/>
  <c r="N314" i="5"/>
  <c r="K314" i="5"/>
  <c r="M314" i="5"/>
  <c r="G314" i="5"/>
  <c r="J314" i="5"/>
  <c r="S313" i="5"/>
  <c r="T313" i="5"/>
  <c r="N313" i="5"/>
  <c r="K313" i="5"/>
  <c r="G313" i="5"/>
  <c r="J313" i="5"/>
  <c r="M313" i="5"/>
  <c r="S312" i="5"/>
  <c r="T312" i="5"/>
  <c r="K312" i="5"/>
  <c r="N312" i="5"/>
  <c r="G312" i="5"/>
  <c r="J312" i="5"/>
  <c r="M312" i="5"/>
  <c r="S311" i="5"/>
  <c r="T311" i="5"/>
  <c r="K311" i="5"/>
  <c r="N311" i="5"/>
  <c r="J311" i="5"/>
  <c r="G311" i="5"/>
  <c r="M311" i="5"/>
  <c r="S310" i="5"/>
  <c r="T310" i="5"/>
  <c r="N310" i="5"/>
  <c r="K310" i="5"/>
  <c r="M310" i="5"/>
  <c r="J310" i="5"/>
  <c r="G310" i="5"/>
  <c r="S309" i="5"/>
  <c r="T309" i="5"/>
  <c r="N309" i="5"/>
  <c r="K309" i="5"/>
  <c r="M309" i="5"/>
  <c r="J309" i="5"/>
  <c r="G309" i="5"/>
  <c r="S308" i="5"/>
  <c r="T308" i="5"/>
  <c r="K308" i="5"/>
  <c r="N308" i="5"/>
  <c r="J308" i="5"/>
  <c r="M308" i="5"/>
  <c r="G308" i="5"/>
  <c r="S307" i="5"/>
  <c r="T307" i="5"/>
  <c r="K307" i="5"/>
  <c r="N307" i="5"/>
  <c r="G307" i="5"/>
  <c r="M307" i="5"/>
  <c r="J307" i="5"/>
  <c r="S306" i="5"/>
  <c r="T306" i="5"/>
  <c r="K306" i="5"/>
  <c r="N306" i="5"/>
  <c r="J306" i="5"/>
  <c r="G306" i="5"/>
  <c r="M306" i="5"/>
  <c r="S305" i="5"/>
  <c r="T305" i="5"/>
  <c r="K305" i="5"/>
  <c r="N305" i="5"/>
  <c r="G305" i="5"/>
  <c r="J305" i="5"/>
  <c r="M305" i="5"/>
  <c r="S304" i="5"/>
  <c r="T304" i="5"/>
  <c r="N304" i="5"/>
  <c r="K304" i="5"/>
  <c r="M304" i="5"/>
  <c r="G304" i="5"/>
  <c r="J304" i="5"/>
  <c r="S303" i="5"/>
  <c r="T303" i="5"/>
  <c r="N303" i="5"/>
  <c r="K303" i="5"/>
  <c r="G303" i="5"/>
  <c r="J303" i="5"/>
  <c r="M303" i="5"/>
  <c r="S302" i="5"/>
  <c r="T302" i="5"/>
  <c r="K302" i="5"/>
  <c r="N302" i="5"/>
  <c r="G302" i="5"/>
  <c r="J302" i="5"/>
  <c r="M302" i="5"/>
  <c r="S301" i="5"/>
  <c r="T301" i="5"/>
  <c r="K301" i="5"/>
  <c r="N301" i="5"/>
  <c r="G301" i="5"/>
  <c r="J301" i="5"/>
  <c r="M301" i="5"/>
  <c r="S300" i="5"/>
  <c r="T300" i="5"/>
  <c r="N300" i="5"/>
  <c r="K300" i="5"/>
  <c r="M300" i="5"/>
  <c r="G300" i="5"/>
  <c r="J300" i="5"/>
  <c r="S299" i="5"/>
  <c r="T299" i="5"/>
  <c r="K299" i="5"/>
  <c r="N299" i="5"/>
  <c r="G299" i="5"/>
  <c r="J299" i="5"/>
  <c r="M299" i="5"/>
  <c r="S298" i="5"/>
  <c r="T298" i="5"/>
  <c r="K298" i="5"/>
  <c r="N298" i="5"/>
  <c r="J298" i="5"/>
  <c r="G298" i="5"/>
  <c r="M298" i="5"/>
  <c r="S297" i="5"/>
  <c r="T297" i="5"/>
  <c r="K297" i="5"/>
  <c r="N297" i="5"/>
  <c r="G297" i="5"/>
  <c r="J297" i="5"/>
  <c r="M297" i="5"/>
  <c r="S296" i="5"/>
  <c r="T296" i="5"/>
  <c r="K296" i="5"/>
  <c r="N296" i="5"/>
  <c r="J296" i="5"/>
  <c r="G296" i="5"/>
  <c r="M296" i="5"/>
  <c r="S295" i="5"/>
  <c r="T295" i="5"/>
  <c r="K295" i="5"/>
  <c r="N295" i="5"/>
  <c r="G295" i="5"/>
  <c r="J295" i="5"/>
  <c r="M295" i="5"/>
  <c r="S294" i="5"/>
  <c r="T294" i="5"/>
  <c r="K294" i="5"/>
  <c r="N294" i="5"/>
  <c r="G294" i="5"/>
  <c r="J294" i="5"/>
  <c r="M294" i="5"/>
  <c r="S293" i="5"/>
  <c r="T293" i="5"/>
  <c r="N293" i="5"/>
  <c r="K293" i="5"/>
  <c r="M293" i="5"/>
  <c r="J293" i="5"/>
  <c r="G293" i="5"/>
  <c r="S292" i="5"/>
  <c r="T292" i="5"/>
  <c r="N292" i="5"/>
  <c r="K292" i="5"/>
  <c r="J292" i="5"/>
  <c r="G292" i="5"/>
  <c r="M292" i="5"/>
  <c r="S291" i="5"/>
  <c r="T291" i="5"/>
  <c r="K291" i="5"/>
  <c r="N291" i="5"/>
  <c r="G291" i="5"/>
  <c r="M291" i="5"/>
  <c r="J291" i="5"/>
  <c r="S290" i="5"/>
  <c r="T290" i="5"/>
  <c r="K290" i="5"/>
  <c r="N290" i="5"/>
  <c r="G290" i="5"/>
  <c r="J290" i="5"/>
  <c r="M290" i="5"/>
  <c r="S289" i="5"/>
  <c r="T289" i="5"/>
  <c r="N289" i="5"/>
  <c r="K289" i="5"/>
  <c r="M289" i="5"/>
  <c r="J289" i="5"/>
  <c r="G289" i="5"/>
  <c r="S288" i="5"/>
  <c r="T288" i="5"/>
  <c r="N288" i="5"/>
  <c r="K288" i="5"/>
  <c r="M288" i="5"/>
  <c r="J288" i="5"/>
  <c r="G288" i="5"/>
  <c r="S287" i="5"/>
  <c r="T287" i="5"/>
  <c r="N287" i="5"/>
  <c r="K287" i="5"/>
  <c r="M287" i="5"/>
  <c r="J287" i="5"/>
  <c r="G287" i="5"/>
  <c r="S286" i="5"/>
  <c r="T286" i="5"/>
  <c r="K286" i="5"/>
  <c r="N286" i="5"/>
  <c r="M286" i="5"/>
  <c r="J286" i="5"/>
  <c r="G286" i="5"/>
  <c r="S285" i="5"/>
  <c r="T285" i="5"/>
  <c r="K285" i="5"/>
  <c r="N285" i="5"/>
  <c r="G285" i="5"/>
  <c r="J285" i="5"/>
  <c r="M285" i="5"/>
  <c r="S284" i="5"/>
  <c r="T284" i="5"/>
  <c r="K284" i="5"/>
  <c r="N284" i="5"/>
  <c r="G284" i="5"/>
  <c r="J284" i="5"/>
  <c r="M284" i="5"/>
  <c r="S283" i="5"/>
  <c r="T283" i="5"/>
  <c r="K283" i="5"/>
  <c r="N283" i="5"/>
  <c r="G283" i="5"/>
  <c r="J283" i="5"/>
  <c r="M283" i="5"/>
  <c r="S282" i="5"/>
  <c r="T282" i="5"/>
  <c r="K282" i="5"/>
  <c r="N282" i="5"/>
  <c r="J282" i="5"/>
  <c r="G282" i="5"/>
  <c r="M282" i="5"/>
  <c r="S281" i="5"/>
  <c r="T281" i="5"/>
  <c r="K281" i="5"/>
  <c r="N281" i="5"/>
  <c r="G281" i="5"/>
  <c r="J281" i="5"/>
  <c r="M281" i="5"/>
  <c r="S280" i="5"/>
  <c r="T280" i="5"/>
  <c r="K280" i="5"/>
  <c r="N280" i="5"/>
  <c r="G280" i="5"/>
  <c r="J280" i="5"/>
  <c r="M280" i="5"/>
  <c r="S279" i="5"/>
  <c r="T279" i="5"/>
  <c r="N279" i="5"/>
  <c r="K279" i="5"/>
  <c r="M279" i="5"/>
  <c r="J279" i="5"/>
  <c r="G279" i="5"/>
  <c r="S278" i="5"/>
  <c r="T278" i="5"/>
  <c r="N278" i="5"/>
  <c r="K278" i="5"/>
  <c r="M278" i="5"/>
  <c r="J278" i="5"/>
  <c r="G278" i="5"/>
  <c r="S277" i="5"/>
  <c r="T277" i="5"/>
  <c r="N277" i="5"/>
  <c r="K277" i="5"/>
  <c r="J277" i="5"/>
  <c r="M277" i="5"/>
  <c r="G277" i="5"/>
  <c r="S276" i="5"/>
  <c r="T276" i="5"/>
  <c r="K276" i="5"/>
  <c r="N276" i="5"/>
  <c r="G276" i="5"/>
  <c r="J276" i="5"/>
  <c r="M276" i="5"/>
  <c r="S275" i="5"/>
  <c r="T275" i="5"/>
  <c r="K275" i="5"/>
  <c r="N275" i="5"/>
  <c r="J275" i="5"/>
  <c r="G275" i="5"/>
  <c r="M275" i="5"/>
  <c r="S274" i="5"/>
  <c r="T274" i="5"/>
  <c r="N274" i="5"/>
  <c r="K274" i="5"/>
  <c r="M274" i="5"/>
  <c r="G274" i="5"/>
  <c r="J274" i="5"/>
  <c r="S273" i="5"/>
  <c r="T273" i="5"/>
  <c r="K273" i="5"/>
  <c r="N273" i="5"/>
  <c r="J273" i="5"/>
  <c r="G273" i="5"/>
  <c r="M273" i="5"/>
  <c r="S272" i="5"/>
  <c r="T272" i="5"/>
  <c r="K272" i="5"/>
  <c r="N272" i="5"/>
  <c r="M272" i="5"/>
  <c r="G272" i="5"/>
  <c r="J272" i="5"/>
  <c r="S271" i="5"/>
  <c r="T271" i="5"/>
  <c r="K271" i="5"/>
  <c r="N271" i="5"/>
  <c r="G271" i="5"/>
  <c r="J271" i="5"/>
  <c r="M271" i="5"/>
  <c r="S270" i="5"/>
  <c r="T270" i="5"/>
  <c r="N270" i="5"/>
  <c r="K270" i="5"/>
  <c r="J270" i="5"/>
  <c r="G270" i="5"/>
  <c r="M270" i="5"/>
  <c r="S269" i="5"/>
  <c r="T269" i="5"/>
  <c r="K269" i="5"/>
  <c r="N269" i="5"/>
  <c r="G269" i="5"/>
  <c r="M269" i="5"/>
  <c r="J269" i="5"/>
  <c r="S268" i="5"/>
  <c r="T268" i="5"/>
  <c r="K268" i="5"/>
  <c r="N268" i="5"/>
  <c r="G268" i="5"/>
  <c r="J268" i="5"/>
  <c r="M268" i="5"/>
  <c r="S267" i="5"/>
  <c r="T267" i="5"/>
  <c r="N267" i="5"/>
  <c r="K267" i="5"/>
  <c r="M267" i="5"/>
  <c r="J267" i="5"/>
  <c r="G267" i="5"/>
  <c r="S266" i="5"/>
  <c r="T266" i="5"/>
  <c r="N266" i="5"/>
  <c r="K266" i="5"/>
  <c r="M266" i="5"/>
  <c r="J266" i="5"/>
  <c r="G266" i="5"/>
  <c r="S265" i="5"/>
  <c r="T265" i="5"/>
  <c r="K265" i="5"/>
  <c r="N265" i="5"/>
  <c r="J265" i="5"/>
  <c r="G265" i="5"/>
  <c r="M265" i="5"/>
  <c r="S264" i="5"/>
  <c r="T264" i="5"/>
  <c r="N264" i="5"/>
  <c r="K264" i="5"/>
  <c r="M264" i="5"/>
  <c r="J264" i="5"/>
  <c r="G264" i="5"/>
  <c r="S263" i="5"/>
  <c r="T263" i="5"/>
  <c r="N263" i="5"/>
  <c r="K263" i="5"/>
  <c r="G263" i="5"/>
  <c r="M263" i="5"/>
  <c r="J263" i="5"/>
  <c r="S262" i="5"/>
  <c r="T262" i="5"/>
  <c r="K262" i="5"/>
  <c r="N262" i="5"/>
  <c r="G262" i="5"/>
  <c r="J262" i="5"/>
  <c r="M262" i="5"/>
  <c r="S261" i="5"/>
  <c r="T261" i="5"/>
  <c r="K261" i="5"/>
  <c r="N261" i="5"/>
  <c r="J261" i="5"/>
  <c r="G261" i="5"/>
  <c r="M261" i="5"/>
  <c r="S260" i="5"/>
  <c r="T260" i="5"/>
  <c r="N260" i="5"/>
  <c r="K260" i="5"/>
  <c r="M260" i="5"/>
  <c r="J260" i="5"/>
  <c r="G260" i="5"/>
  <c r="S259" i="5"/>
  <c r="T259" i="5"/>
  <c r="K259" i="5"/>
  <c r="N259" i="5"/>
  <c r="M259" i="5"/>
  <c r="J259" i="5"/>
  <c r="G259" i="5"/>
  <c r="S258" i="5"/>
  <c r="T258" i="5"/>
  <c r="N258" i="5"/>
  <c r="K258" i="5"/>
  <c r="M258" i="5"/>
  <c r="J258" i="5"/>
  <c r="G258" i="5"/>
  <c r="S257" i="5"/>
  <c r="T257" i="5"/>
  <c r="N257" i="5"/>
  <c r="K257" i="5"/>
  <c r="M257" i="5"/>
  <c r="J257" i="5"/>
  <c r="G257" i="5"/>
  <c r="S256" i="5"/>
  <c r="T256" i="5"/>
  <c r="K256" i="5"/>
  <c r="N256" i="5"/>
  <c r="M256" i="5"/>
  <c r="G256" i="5"/>
  <c r="J256" i="5"/>
  <c r="S255" i="5"/>
  <c r="T255" i="5"/>
  <c r="N255" i="5"/>
  <c r="K255" i="5"/>
  <c r="M255" i="5"/>
  <c r="J255" i="5"/>
  <c r="G255" i="5"/>
  <c r="S254" i="5"/>
  <c r="T254" i="5"/>
  <c r="N254" i="5"/>
  <c r="K254" i="5"/>
  <c r="M254" i="5"/>
  <c r="J254" i="5"/>
  <c r="G254" i="5"/>
  <c r="S253" i="5"/>
  <c r="T253" i="5"/>
  <c r="N253" i="5"/>
  <c r="K253" i="5"/>
  <c r="M253" i="5"/>
  <c r="J253" i="5"/>
  <c r="G253" i="5"/>
  <c r="S252" i="5"/>
  <c r="T252" i="5"/>
  <c r="K252" i="5"/>
  <c r="N252" i="5"/>
  <c r="M252" i="5"/>
  <c r="J252" i="5"/>
  <c r="G252" i="5"/>
  <c r="S251" i="5"/>
  <c r="T251" i="5"/>
  <c r="N251" i="5"/>
  <c r="K251" i="5"/>
  <c r="M251" i="5"/>
  <c r="J251" i="5"/>
  <c r="G251" i="5"/>
  <c r="S250" i="5"/>
  <c r="T250" i="5"/>
  <c r="N250" i="5"/>
  <c r="K250" i="5"/>
  <c r="M250" i="5"/>
  <c r="J250" i="5"/>
  <c r="G250" i="5"/>
  <c r="S249" i="5"/>
  <c r="T249" i="5"/>
  <c r="N249" i="5"/>
  <c r="K249" i="5"/>
  <c r="M249" i="5"/>
  <c r="J249" i="5"/>
  <c r="G249" i="5"/>
  <c r="S248" i="5"/>
  <c r="T248" i="5"/>
  <c r="K248" i="5"/>
  <c r="N248" i="5"/>
  <c r="J248" i="5"/>
  <c r="G248" i="5"/>
  <c r="M248" i="5"/>
  <c r="S247" i="5"/>
  <c r="T247" i="5"/>
  <c r="N247" i="5"/>
  <c r="K247" i="5"/>
  <c r="M247" i="5"/>
  <c r="J247" i="5"/>
  <c r="G247" i="5"/>
  <c r="S246" i="5"/>
  <c r="T246" i="5"/>
  <c r="N246" i="5"/>
  <c r="K246" i="5"/>
  <c r="M246" i="5"/>
  <c r="J246" i="5"/>
  <c r="G246" i="5"/>
  <c r="S245" i="5"/>
  <c r="T245" i="5"/>
  <c r="N245" i="5"/>
  <c r="K245" i="5"/>
  <c r="M245" i="5"/>
  <c r="J245" i="5"/>
  <c r="G245" i="5"/>
  <c r="S244" i="5"/>
  <c r="T244" i="5"/>
  <c r="K244" i="5"/>
  <c r="N244" i="5"/>
  <c r="G244" i="5"/>
  <c r="M244" i="5"/>
  <c r="J244" i="5"/>
  <c r="S243" i="5"/>
  <c r="T243" i="5"/>
  <c r="N243" i="5"/>
  <c r="K243" i="5"/>
  <c r="M243" i="5"/>
  <c r="J243" i="5"/>
  <c r="G243" i="5"/>
  <c r="S242" i="5"/>
  <c r="T242" i="5"/>
  <c r="N242" i="5"/>
  <c r="K242" i="5"/>
  <c r="M242" i="5"/>
  <c r="J242" i="5"/>
  <c r="G242" i="5"/>
  <c r="S241" i="5"/>
  <c r="T241" i="5"/>
  <c r="N241" i="5"/>
  <c r="K241" i="5"/>
  <c r="J241" i="5"/>
  <c r="G241" i="5"/>
  <c r="M241" i="5"/>
  <c r="S240" i="5"/>
  <c r="T240" i="5"/>
  <c r="K240" i="5"/>
  <c r="N240" i="5"/>
  <c r="G240" i="5"/>
  <c r="M240" i="5"/>
  <c r="J240" i="5"/>
  <c r="S239" i="5"/>
  <c r="T239" i="5"/>
  <c r="K239" i="5"/>
  <c r="N239" i="5"/>
  <c r="G239" i="5"/>
  <c r="M239" i="5"/>
  <c r="J239" i="5"/>
  <c r="S238" i="5"/>
  <c r="T238" i="5"/>
  <c r="K238" i="5"/>
  <c r="N238" i="5"/>
  <c r="G238" i="5"/>
  <c r="M238" i="5"/>
  <c r="J238" i="5"/>
  <c r="S237" i="5"/>
  <c r="T237" i="5"/>
  <c r="N237" i="5"/>
  <c r="K237" i="5"/>
  <c r="M237" i="5"/>
  <c r="J237" i="5"/>
  <c r="G237" i="5"/>
  <c r="S236" i="5"/>
  <c r="T236" i="5"/>
  <c r="N236" i="5"/>
  <c r="K236" i="5"/>
  <c r="M236" i="5"/>
  <c r="J236" i="5"/>
  <c r="G236" i="5"/>
  <c r="S235" i="5"/>
  <c r="T235" i="5"/>
  <c r="N235" i="5"/>
  <c r="K235" i="5"/>
  <c r="J235" i="5"/>
  <c r="G235" i="5"/>
  <c r="M235" i="5"/>
  <c r="S234" i="5"/>
  <c r="T234" i="5"/>
  <c r="N234" i="5"/>
  <c r="K234" i="5"/>
  <c r="M234" i="5"/>
  <c r="J234" i="5"/>
  <c r="G234" i="5"/>
  <c r="S233" i="5"/>
  <c r="T233" i="5"/>
  <c r="N233" i="5"/>
  <c r="K233" i="5"/>
  <c r="M233" i="5"/>
  <c r="J233" i="5"/>
  <c r="G233" i="5"/>
  <c r="S232" i="5"/>
  <c r="T232" i="5"/>
  <c r="N232" i="5"/>
  <c r="K232" i="5"/>
  <c r="M232" i="5"/>
  <c r="J232" i="5"/>
  <c r="G232" i="5"/>
  <c r="S231" i="5"/>
  <c r="T231" i="5"/>
  <c r="N231" i="5"/>
  <c r="K231" i="5"/>
  <c r="J231" i="5"/>
  <c r="M231" i="5"/>
  <c r="G231" i="5"/>
  <c r="S230" i="5"/>
  <c r="T230" i="5"/>
  <c r="K230" i="5"/>
  <c r="N230" i="5"/>
  <c r="G230" i="5"/>
  <c r="M230" i="5"/>
  <c r="J230" i="5"/>
  <c r="S229" i="5"/>
  <c r="T229" i="5"/>
  <c r="K229" i="5"/>
  <c r="N229" i="5"/>
  <c r="G229" i="5"/>
  <c r="M229" i="5"/>
  <c r="J229" i="5"/>
  <c r="S228" i="5"/>
  <c r="T228" i="5"/>
  <c r="K228" i="5"/>
  <c r="N228" i="5"/>
  <c r="G228" i="5"/>
  <c r="M228" i="5"/>
  <c r="J228" i="5"/>
  <c r="S227" i="5"/>
  <c r="T227" i="5"/>
  <c r="K227" i="5"/>
  <c r="N227" i="5"/>
  <c r="G227" i="5"/>
  <c r="M227" i="5"/>
  <c r="J227" i="5"/>
  <c r="S226" i="5"/>
  <c r="T226" i="5"/>
  <c r="K226" i="5"/>
  <c r="N226" i="5"/>
  <c r="G226" i="5"/>
  <c r="M226" i="5"/>
  <c r="J226" i="5"/>
  <c r="S225" i="5"/>
  <c r="T225" i="5"/>
  <c r="K225" i="5"/>
  <c r="N225" i="5"/>
  <c r="G225" i="5"/>
  <c r="J225" i="5"/>
  <c r="M225" i="5"/>
  <c r="S224" i="5"/>
  <c r="T224" i="5"/>
  <c r="N224" i="5"/>
  <c r="K224" i="5"/>
  <c r="M224" i="5"/>
  <c r="J224" i="5"/>
  <c r="G224" i="5"/>
  <c r="S223" i="5"/>
  <c r="T223" i="5"/>
  <c r="N223" i="5"/>
  <c r="K223" i="5"/>
  <c r="M223" i="5"/>
  <c r="J223" i="5"/>
  <c r="G223" i="5"/>
  <c r="S222" i="5"/>
  <c r="T222" i="5"/>
  <c r="N222" i="5"/>
  <c r="K222" i="5"/>
  <c r="M222" i="5"/>
  <c r="J222" i="5"/>
  <c r="G222" i="5"/>
  <c r="S221" i="5"/>
  <c r="T221" i="5"/>
  <c r="K221" i="5"/>
  <c r="N221" i="5"/>
  <c r="J221" i="5"/>
  <c r="M221" i="5"/>
  <c r="G221" i="5"/>
  <c r="S220" i="5"/>
  <c r="T220" i="5"/>
  <c r="N220" i="5"/>
  <c r="K220" i="5"/>
  <c r="M220" i="5"/>
  <c r="J220" i="5"/>
  <c r="G220" i="5"/>
  <c r="S219" i="5"/>
  <c r="T219" i="5"/>
  <c r="K219" i="5"/>
  <c r="N219" i="5"/>
  <c r="J219" i="5"/>
  <c r="M219" i="5"/>
  <c r="G219" i="5"/>
  <c r="S218" i="5"/>
  <c r="T218" i="5"/>
  <c r="N218" i="5"/>
  <c r="K218" i="5"/>
  <c r="M218" i="5"/>
  <c r="J218" i="5"/>
  <c r="G218" i="5"/>
  <c r="S217" i="5"/>
  <c r="T217" i="5"/>
  <c r="N217" i="5"/>
  <c r="K217" i="5"/>
  <c r="G217" i="5"/>
  <c r="M217" i="5"/>
  <c r="J217" i="5"/>
  <c r="S216" i="5"/>
  <c r="T216" i="5"/>
  <c r="K216" i="5"/>
  <c r="N216" i="5"/>
  <c r="M216" i="5"/>
  <c r="J216" i="5"/>
  <c r="G216" i="5"/>
  <c r="S215" i="5"/>
  <c r="T215" i="5"/>
  <c r="N215" i="5"/>
  <c r="K215" i="5"/>
  <c r="M215" i="5"/>
  <c r="J215" i="5"/>
  <c r="G215" i="5"/>
  <c r="S214" i="5"/>
  <c r="T214" i="5"/>
  <c r="N214" i="5"/>
  <c r="K214" i="5"/>
  <c r="G214" i="5"/>
  <c r="M214" i="5"/>
  <c r="J214" i="5"/>
  <c r="S213" i="5"/>
  <c r="T213" i="5"/>
  <c r="N213" i="5"/>
  <c r="K213" i="5"/>
  <c r="M213" i="5"/>
  <c r="J213" i="5"/>
  <c r="G213" i="5"/>
  <c r="S212" i="5"/>
  <c r="T212" i="5"/>
  <c r="N212" i="5"/>
  <c r="K212" i="5"/>
  <c r="M212" i="5"/>
  <c r="J212" i="5"/>
  <c r="G212" i="5"/>
  <c r="S211" i="5"/>
  <c r="T211" i="5"/>
  <c r="N211" i="5"/>
  <c r="K211" i="5"/>
  <c r="M211" i="5"/>
  <c r="J211" i="5"/>
  <c r="G211" i="5"/>
  <c r="S210" i="5"/>
  <c r="T210" i="5"/>
  <c r="K210" i="5"/>
  <c r="N210" i="5"/>
  <c r="J210" i="5"/>
  <c r="M210" i="5"/>
  <c r="G210" i="5"/>
  <c r="S209" i="5"/>
  <c r="T209" i="5"/>
  <c r="N209" i="5"/>
  <c r="K209" i="5"/>
  <c r="M209" i="5"/>
  <c r="J209" i="5"/>
  <c r="G209" i="5"/>
  <c r="S208" i="5"/>
  <c r="T208" i="5"/>
  <c r="N208" i="5"/>
  <c r="K208" i="5"/>
  <c r="M208" i="5"/>
  <c r="J208" i="5"/>
  <c r="G208" i="5"/>
  <c r="S207" i="5"/>
  <c r="T207" i="5"/>
  <c r="N207" i="5"/>
  <c r="K207" i="5"/>
  <c r="J207" i="5"/>
  <c r="M207" i="5"/>
  <c r="G207" i="5"/>
  <c r="S206" i="5"/>
  <c r="T206" i="5"/>
  <c r="N206" i="5"/>
  <c r="K206" i="5"/>
  <c r="M206" i="5"/>
  <c r="J206" i="5"/>
  <c r="G206" i="5"/>
  <c r="S205" i="5"/>
  <c r="T205" i="5"/>
  <c r="N205" i="5"/>
  <c r="K205" i="5"/>
  <c r="M205" i="5"/>
  <c r="J205" i="5"/>
  <c r="G205" i="5"/>
  <c r="S204" i="5"/>
  <c r="T204" i="5"/>
  <c r="N204" i="5"/>
  <c r="K204" i="5"/>
  <c r="M204" i="5"/>
  <c r="J204" i="5"/>
  <c r="G204" i="5"/>
  <c r="S203" i="5"/>
  <c r="T203" i="5"/>
  <c r="K203" i="5"/>
  <c r="N203" i="5"/>
  <c r="J203" i="5"/>
  <c r="M203" i="5"/>
  <c r="G203" i="5"/>
  <c r="S202" i="5"/>
  <c r="T202" i="5"/>
  <c r="K202" i="5"/>
  <c r="N202" i="5"/>
  <c r="G202" i="5"/>
  <c r="M202" i="5"/>
  <c r="J202" i="5"/>
  <c r="S201" i="5"/>
  <c r="T201" i="5"/>
  <c r="K201" i="5"/>
  <c r="N201" i="5"/>
  <c r="G201" i="5"/>
  <c r="M201" i="5"/>
  <c r="J201" i="5"/>
  <c r="S200" i="5"/>
  <c r="T200" i="5"/>
  <c r="K200" i="5"/>
  <c r="N200" i="5"/>
  <c r="G200" i="5"/>
  <c r="M200" i="5"/>
  <c r="J200" i="5"/>
  <c r="S199" i="5"/>
  <c r="T199" i="5"/>
  <c r="K199" i="5"/>
  <c r="N199" i="5"/>
  <c r="G199" i="5"/>
  <c r="M199" i="5"/>
  <c r="J199" i="5"/>
  <c r="S198" i="5"/>
  <c r="T198" i="5"/>
  <c r="K198" i="5"/>
  <c r="N198" i="5"/>
  <c r="G198" i="5"/>
  <c r="M198" i="5"/>
  <c r="J198" i="5"/>
  <c r="S197" i="5"/>
  <c r="T197" i="5"/>
  <c r="K197" i="5"/>
  <c r="N197" i="5"/>
  <c r="G197" i="5"/>
  <c r="M197" i="5"/>
  <c r="J197" i="5"/>
  <c r="S196" i="5"/>
  <c r="T196" i="5"/>
  <c r="K196" i="5"/>
  <c r="N196" i="5"/>
  <c r="G196" i="5"/>
  <c r="M196" i="5"/>
  <c r="J196" i="5"/>
  <c r="S195" i="5"/>
  <c r="T195" i="5"/>
  <c r="N195" i="5"/>
  <c r="K195" i="5"/>
  <c r="M195" i="5"/>
  <c r="J195" i="5"/>
  <c r="G195" i="5"/>
  <c r="S194" i="5"/>
  <c r="T194" i="5"/>
  <c r="N194" i="5"/>
  <c r="K194" i="5"/>
  <c r="M194" i="5"/>
  <c r="J194" i="5"/>
  <c r="G194" i="5"/>
  <c r="S193" i="5"/>
  <c r="T193" i="5"/>
  <c r="N193" i="5"/>
  <c r="K193" i="5"/>
  <c r="M193" i="5"/>
  <c r="J193" i="5"/>
  <c r="G193" i="5"/>
  <c r="S192" i="5"/>
  <c r="T192" i="5"/>
  <c r="N192" i="5"/>
  <c r="K192" i="5"/>
  <c r="G192" i="5"/>
  <c r="M192" i="5"/>
  <c r="J192" i="5"/>
  <c r="S191" i="5"/>
  <c r="T191" i="5"/>
  <c r="K191" i="5"/>
  <c r="N191" i="5"/>
  <c r="G191" i="5"/>
  <c r="M191" i="5"/>
  <c r="J191" i="5"/>
  <c r="S190" i="5"/>
  <c r="T190" i="5"/>
  <c r="K190" i="5"/>
  <c r="N190" i="5"/>
  <c r="G190" i="5"/>
  <c r="M190" i="5"/>
  <c r="J190" i="5"/>
  <c r="S189" i="5"/>
  <c r="T189" i="5"/>
  <c r="K189" i="5"/>
  <c r="N189" i="5"/>
  <c r="M189" i="5"/>
  <c r="J189" i="5"/>
  <c r="G189" i="5"/>
  <c r="S188" i="5"/>
  <c r="T188" i="5"/>
  <c r="N188" i="5"/>
  <c r="K188" i="5"/>
  <c r="J188" i="5"/>
  <c r="M188" i="5"/>
  <c r="G188" i="5"/>
  <c r="S187" i="5"/>
  <c r="T187" i="5"/>
  <c r="N187" i="5"/>
  <c r="K187" i="5"/>
  <c r="M187" i="5"/>
  <c r="J187" i="5"/>
  <c r="G187" i="5"/>
  <c r="S186" i="5"/>
  <c r="T186" i="5"/>
  <c r="N186" i="5"/>
  <c r="K186" i="5"/>
  <c r="M186" i="5"/>
  <c r="J186" i="5"/>
  <c r="G186" i="5"/>
  <c r="S185" i="5"/>
  <c r="T185" i="5"/>
  <c r="N185" i="5"/>
  <c r="K185" i="5"/>
  <c r="M185" i="5"/>
  <c r="J185" i="5"/>
  <c r="G185" i="5"/>
  <c r="S184" i="5"/>
  <c r="T184" i="5"/>
  <c r="K184" i="5"/>
  <c r="N184" i="5"/>
  <c r="J184" i="5"/>
  <c r="G184" i="5"/>
  <c r="M184" i="5"/>
  <c r="S183" i="5"/>
  <c r="T183" i="5"/>
  <c r="N183" i="5"/>
  <c r="K183" i="5"/>
  <c r="M183" i="5"/>
  <c r="J183" i="5"/>
  <c r="G183" i="5"/>
  <c r="S182" i="5"/>
  <c r="T182" i="5"/>
  <c r="N182" i="5"/>
  <c r="K182" i="5"/>
  <c r="M182" i="5"/>
  <c r="J182" i="5"/>
  <c r="G182" i="5"/>
  <c r="S181" i="5"/>
  <c r="T181" i="5"/>
  <c r="N181" i="5"/>
  <c r="K181" i="5"/>
  <c r="G181" i="5"/>
  <c r="J181" i="5"/>
  <c r="M181" i="5"/>
  <c r="S180" i="5"/>
  <c r="T180" i="5"/>
  <c r="N180" i="5"/>
  <c r="K180" i="5"/>
  <c r="G180" i="5"/>
  <c r="M180" i="5"/>
  <c r="J180" i="5"/>
  <c r="S179" i="5"/>
  <c r="T179" i="5"/>
  <c r="N179" i="5"/>
  <c r="K179" i="5"/>
  <c r="M179" i="5"/>
  <c r="J179" i="5"/>
  <c r="G179" i="5"/>
  <c r="S178" i="5"/>
  <c r="T178" i="5"/>
  <c r="N178" i="5"/>
  <c r="K178" i="5"/>
  <c r="M178" i="5"/>
  <c r="J178" i="5"/>
  <c r="G178" i="5"/>
  <c r="S177" i="5"/>
  <c r="T177" i="5"/>
  <c r="N177" i="5"/>
  <c r="K177" i="5"/>
  <c r="G177" i="5"/>
  <c r="J177" i="5"/>
  <c r="M177" i="5"/>
  <c r="S176" i="5"/>
  <c r="T176" i="5"/>
  <c r="K176" i="5"/>
  <c r="N176" i="5"/>
  <c r="M176" i="5"/>
  <c r="J176" i="5"/>
  <c r="G176" i="5"/>
  <c r="S175" i="5"/>
  <c r="T175" i="5"/>
  <c r="N175" i="5"/>
  <c r="K175" i="5"/>
  <c r="M175" i="5"/>
  <c r="J175" i="5"/>
  <c r="G175" i="5"/>
  <c r="S174" i="5"/>
  <c r="T174" i="5"/>
  <c r="N174" i="5"/>
  <c r="K174" i="5"/>
  <c r="M174" i="5"/>
  <c r="J174" i="5"/>
  <c r="G174" i="5"/>
  <c r="S173" i="5"/>
  <c r="T173" i="5"/>
  <c r="K173" i="5"/>
  <c r="N173" i="5"/>
  <c r="M173" i="5"/>
  <c r="G173" i="5"/>
  <c r="J173" i="5"/>
  <c r="S172" i="5"/>
  <c r="T172" i="5"/>
  <c r="N172" i="5"/>
  <c r="K172" i="5"/>
  <c r="M172" i="5"/>
  <c r="J172" i="5"/>
  <c r="G172" i="5"/>
  <c r="S171" i="5"/>
  <c r="T171" i="5"/>
  <c r="N171" i="5"/>
  <c r="K171" i="5"/>
  <c r="M171" i="5"/>
  <c r="J171" i="5"/>
  <c r="G171" i="5"/>
  <c r="S170" i="5"/>
  <c r="T170" i="5"/>
  <c r="K170" i="5"/>
  <c r="N170" i="5"/>
  <c r="J170" i="5"/>
  <c r="G170" i="5"/>
  <c r="M170" i="5"/>
  <c r="S169" i="5"/>
  <c r="T169" i="5"/>
  <c r="N169" i="5"/>
  <c r="K169" i="5"/>
  <c r="M169" i="5"/>
  <c r="J169" i="5"/>
  <c r="G169" i="5"/>
  <c r="S168" i="5"/>
  <c r="T168" i="5"/>
  <c r="N168" i="5"/>
  <c r="K168" i="5"/>
  <c r="M168" i="5"/>
  <c r="J168" i="5"/>
  <c r="G168" i="5"/>
  <c r="S167" i="5"/>
  <c r="T167" i="5"/>
  <c r="K167" i="5"/>
  <c r="N167" i="5"/>
  <c r="M167" i="5"/>
  <c r="J167" i="5"/>
  <c r="G167" i="5"/>
  <c r="S166" i="5"/>
  <c r="T166" i="5"/>
  <c r="N166" i="5"/>
  <c r="K166" i="5"/>
  <c r="M166" i="5"/>
  <c r="J166" i="5"/>
  <c r="G166" i="5"/>
  <c r="S165" i="5"/>
  <c r="T165" i="5"/>
  <c r="N165" i="5"/>
  <c r="K165" i="5"/>
  <c r="M165" i="5"/>
  <c r="J165" i="5"/>
  <c r="G165" i="5"/>
  <c r="S164" i="5"/>
  <c r="T164" i="5"/>
  <c r="K164" i="5"/>
  <c r="N164" i="5"/>
  <c r="M164" i="5"/>
  <c r="J164" i="5"/>
  <c r="G164" i="5"/>
  <c r="S163" i="5"/>
  <c r="T163" i="5"/>
  <c r="N163" i="5"/>
  <c r="K163" i="5"/>
  <c r="M163" i="5"/>
  <c r="J163" i="5"/>
  <c r="G163" i="5"/>
  <c r="S162" i="5"/>
  <c r="T162" i="5"/>
  <c r="N162" i="5"/>
  <c r="K162" i="5"/>
  <c r="M162" i="5"/>
  <c r="J162" i="5"/>
  <c r="G162" i="5"/>
  <c r="S161" i="5"/>
  <c r="T161" i="5"/>
  <c r="N161" i="5"/>
  <c r="K161" i="5"/>
  <c r="J161" i="5"/>
  <c r="M161" i="5"/>
  <c r="G161" i="5"/>
  <c r="S160" i="5"/>
  <c r="T160" i="5"/>
  <c r="N160" i="5"/>
  <c r="K160" i="5"/>
  <c r="M160" i="5"/>
  <c r="J160" i="5"/>
  <c r="G160" i="5"/>
  <c r="S159" i="5"/>
  <c r="T159" i="5"/>
  <c r="N159" i="5"/>
  <c r="K159" i="5"/>
  <c r="M159" i="5"/>
  <c r="J159" i="5"/>
  <c r="G159" i="5"/>
  <c r="S158" i="5"/>
  <c r="T158" i="5"/>
  <c r="N158" i="5"/>
  <c r="K158" i="5"/>
  <c r="M158" i="5"/>
  <c r="J158" i="5"/>
  <c r="G158" i="5"/>
  <c r="S157" i="5"/>
  <c r="T157" i="5"/>
  <c r="N157" i="5"/>
  <c r="K157" i="5"/>
  <c r="M157" i="5"/>
  <c r="J157" i="5"/>
  <c r="G157" i="5"/>
  <c r="S156" i="5"/>
  <c r="T156" i="5"/>
  <c r="N156" i="5"/>
  <c r="K156" i="5"/>
  <c r="M156" i="5"/>
  <c r="J156" i="5"/>
  <c r="G156" i="5"/>
  <c r="S155" i="5"/>
  <c r="T155" i="5"/>
  <c r="N155" i="5"/>
  <c r="K155" i="5"/>
  <c r="M155" i="5"/>
  <c r="J155" i="5"/>
  <c r="G155" i="5"/>
  <c r="S154" i="5"/>
  <c r="T154" i="5"/>
  <c r="K154" i="5"/>
  <c r="N154" i="5"/>
  <c r="M154" i="5"/>
  <c r="J154" i="5"/>
  <c r="G154" i="5"/>
  <c r="S153" i="5"/>
  <c r="T153" i="5"/>
  <c r="N153" i="5"/>
  <c r="K153" i="5"/>
  <c r="M153" i="5"/>
  <c r="J153" i="5"/>
  <c r="G153" i="5"/>
  <c r="S152" i="5"/>
  <c r="T152" i="5"/>
  <c r="N152" i="5"/>
  <c r="K152" i="5"/>
  <c r="M152" i="5"/>
  <c r="J152" i="5"/>
  <c r="G152" i="5"/>
  <c r="S151" i="5"/>
  <c r="T151" i="5"/>
  <c r="N151" i="5"/>
  <c r="K151" i="5"/>
  <c r="M151" i="5"/>
  <c r="J151" i="5"/>
  <c r="G151" i="5"/>
  <c r="S150" i="5"/>
  <c r="T150" i="5"/>
  <c r="N150" i="5"/>
  <c r="K150" i="5"/>
  <c r="M150" i="5"/>
  <c r="J150" i="5"/>
  <c r="G150" i="5"/>
  <c r="S149" i="5"/>
  <c r="T149" i="5"/>
  <c r="N149" i="5"/>
  <c r="K149" i="5"/>
  <c r="M149" i="5"/>
  <c r="J149" i="5"/>
  <c r="G149" i="5"/>
  <c r="S148" i="5"/>
  <c r="T148" i="5"/>
  <c r="K148" i="5"/>
  <c r="N148" i="5"/>
  <c r="G148" i="5"/>
  <c r="J148" i="5"/>
  <c r="M148" i="5"/>
  <c r="S147" i="5"/>
  <c r="T147" i="5"/>
  <c r="N147" i="5"/>
  <c r="K147" i="5"/>
  <c r="M147" i="5"/>
  <c r="J147" i="5"/>
  <c r="G147" i="5"/>
  <c r="S146" i="5"/>
  <c r="T146" i="5"/>
  <c r="K146" i="5"/>
  <c r="N146" i="5"/>
  <c r="M146" i="5"/>
  <c r="J146" i="5"/>
  <c r="G146" i="5"/>
  <c r="S145" i="5"/>
  <c r="T145" i="5"/>
  <c r="N145" i="5"/>
  <c r="K145" i="5"/>
  <c r="M145" i="5"/>
  <c r="J145" i="5"/>
  <c r="G145" i="5"/>
  <c r="S144" i="5"/>
  <c r="T144" i="5"/>
  <c r="N144" i="5"/>
  <c r="K144" i="5"/>
  <c r="M144" i="5"/>
  <c r="J144" i="5"/>
  <c r="G144" i="5"/>
  <c r="S143" i="5"/>
  <c r="T143" i="5"/>
  <c r="K143" i="5"/>
  <c r="N143" i="5"/>
  <c r="G143" i="5"/>
  <c r="M143" i="5"/>
  <c r="J143" i="5"/>
  <c r="S142" i="5"/>
  <c r="T142" i="5"/>
  <c r="K142" i="5"/>
  <c r="N142" i="5"/>
  <c r="M142" i="5"/>
  <c r="J142" i="5"/>
  <c r="G142" i="5"/>
  <c r="S141" i="5"/>
  <c r="T141" i="5"/>
  <c r="N141" i="5"/>
  <c r="K141" i="5"/>
  <c r="M141" i="5"/>
  <c r="J141" i="5"/>
  <c r="G141" i="5"/>
  <c r="S140" i="5"/>
  <c r="T140" i="5"/>
  <c r="K140" i="5"/>
  <c r="N140" i="5"/>
  <c r="M140" i="5"/>
  <c r="J140" i="5"/>
  <c r="G140" i="5"/>
  <c r="S139" i="5"/>
  <c r="T139" i="5"/>
  <c r="N139" i="5"/>
  <c r="K139" i="5"/>
  <c r="M139" i="5"/>
  <c r="J139" i="5"/>
  <c r="G139" i="5"/>
  <c r="S138" i="5"/>
  <c r="T138" i="5"/>
  <c r="N138" i="5"/>
  <c r="K138" i="5"/>
  <c r="M138" i="5"/>
  <c r="J138" i="5"/>
  <c r="G138" i="5"/>
  <c r="S137" i="5"/>
  <c r="T137" i="5"/>
  <c r="K137" i="5"/>
  <c r="N137" i="5"/>
  <c r="G137" i="5"/>
  <c r="M137" i="5"/>
  <c r="J137" i="5"/>
  <c r="S136" i="5"/>
  <c r="T136" i="5"/>
  <c r="K136" i="5"/>
  <c r="N136" i="5"/>
  <c r="G136" i="5"/>
  <c r="M136" i="5"/>
  <c r="J136" i="5"/>
  <c r="S135" i="5"/>
  <c r="T135" i="5"/>
  <c r="N135" i="5"/>
  <c r="K135" i="5"/>
  <c r="M135" i="5"/>
  <c r="J135" i="5"/>
  <c r="G135" i="5"/>
  <c r="S134" i="5"/>
  <c r="T134" i="5"/>
  <c r="N134" i="5"/>
  <c r="K134" i="5"/>
  <c r="M134" i="5"/>
  <c r="J134" i="5"/>
  <c r="G134" i="5"/>
  <c r="S133" i="5"/>
  <c r="T133" i="5"/>
  <c r="N133" i="5"/>
  <c r="K133" i="5"/>
  <c r="M133" i="5"/>
  <c r="J133" i="5"/>
  <c r="G133" i="5"/>
  <c r="S132" i="5"/>
  <c r="T132" i="5"/>
  <c r="N132" i="5"/>
  <c r="K132" i="5"/>
  <c r="G132" i="5"/>
  <c r="M132" i="5"/>
  <c r="J132" i="5"/>
  <c r="S131" i="5"/>
  <c r="T131" i="5"/>
  <c r="N131" i="5"/>
  <c r="K131" i="5"/>
  <c r="J131" i="5"/>
  <c r="G131" i="5"/>
  <c r="M131" i="5"/>
  <c r="S130" i="5"/>
  <c r="T130" i="5"/>
  <c r="K130" i="5"/>
  <c r="N130" i="5"/>
  <c r="J130" i="5"/>
  <c r="G130" i="5"/>
  <c r="M130" i="5"/>
  <c r="S129" i="5"/>
  <c r="T129" i="5"/>
  <c r="N129" i="5"/>
  <c r="K129" i="5"/>
  <c r="M129" i="5"/>
  <c r="J129" i="5"/>
  <c r="G129" i="5"/>
  <c r="S128" i="5"/>
  <c r="T128" i="5"/>
  <c r="N128" i="5"/>
  <c r="K128" i="5"/>
  <c r="J128" i="5"/>
  <c r="M128" i="5"/>
  <c r="G128" i="5"/>
  <c r="S127" i="5"/>
  <c r="T127" i="5"/>
  <c r="K127" i="5"/>
  <c r="N127" i="5"/>
  <c r="J127" i="5"/>
  <c r="G127" i="5"/>
  <c r="M127" i="5"/>
  <c r="S126" i="5"/>
  <c r="T126" i="5"/>
  <c r="N126" i="5"/>
  <c r="K126" i="5"/>
  <c r="G126" i="5"/>
  <c r="J126" i="5"/>
  <c r="M126" i="5"/>
  <c r="S125" i="5"/>
  <c r="T125" i="5"/>
  <c r="K125" i="5"/>
  <c r="N125" i="5"/>
  <c r="J125" i="5"/>
  <c r="G125" i="5"/>
  <c r="M125" i="5"/>
  <c r="S124" i="5"/>
  <c r="T124" i="5"/>
  <c r="N124" i="5"/>
  <c r="K124" i="5"/>
  <c r="J124" i="5"/>
  <c r="G124" i="5"/>
  <c r="M124" i="5"/>
  <c r="S123" i="5"/>
  <c r="T123" i="5"/>
  <c r="N123" i="5"/>
  <c r="K123" i="5"/>
  <c r="M123" i="5"/>
  <c r="J123" i="5"/>
  <c r="G123" i="5"/>
  <c r="S122" i="5"/>
  <c r="T122" i="5"/>
  <c r="N122" i="5"/>
  <c r="K122" i="5"/>
  <c r="J122" i="5"/>
  <c r="M122" i="5"/>
  <c r="G122" i="5"/>
  <c r="S121" i="5"/>
  <c r="T121" i="5"/>
  <c r="K121" i="5"/>
  <c r="N121" i="5"/>
  <c r="G121" i="5"/>
  <c r="J121" i="5"/>
  <c r="M121" i="5"/>
  <c r="S120" i="5"/>
  <c r="T120" i="5"/>
  <c r="K120" i="5"/>
  <c r="N120" i="5"/>
  <c r="J120" i="5"/>
  <c r="M120" i="5"/>
  <c r="G120" i="5"/>
  <c r="S119" i="5"/>
  <c r="T119" i="5"/>
  <c r="K119" i="5"/>
  <c r="N119" i="5"/>
  <c r="M119" i="5"/>
  <c r="G119" i="5"/>
  <c r="J119" i="5"/>
  <c r="S118" i="5"/>
  <c r="T118" i="5"/>
  <c r="K118" i="5"/>
  <c r="N118" i="5"/>
  <c r="J118" i="5"/>
  <c r="G118" i="5"/>
  <c r="M118" i="5"/>
  <c r="S117" i="5"/>
  <c r="T117" i="5"/>
  <c r="N117" i="5"/>
  <c r="K117" i="5"/>
  <c r="J117" i="5"/>
  <c r="M117" i="5"/>
  <c r="G117" i="5"/>
  <c r="S116" i="5"/>
  <c r="T116" i="5"/>
  <c r="K116" i="5"/>
  <c r="N116" i="5"/>
  <c r="G116" i="5"/>
  <c r="J116" i="5"/>
  <c r="M116" i="5"/>
  <c r="S115" i="5"/>
  <c r="T115" i="5"/>
  <c r="K115" i="5"/>
  <c r="N115" i="5"/>
  <c r="G115" i="5"/>
  <c r="J115" i="5"/>
  <c r="M115" i="5"/>
  <c r="S114" i="5"/>
  <c r="T114" i="5"/>
  <c r="N114" i="5"/>
  <c r="K114" i="5"/>
  <c r="M114" i="5"/>
  <c r="J114" i="5"/>
  <c r="G114" i="5"/>
  <c r="S113" i="5"/>
  <c r="T113" i="5"/>
  <c r="N113" i="5"/>
  <c r="K113" i="5"/>
  <c r="G113" i="5"/>
  <c r="J113" i="5"/>
  <c r="M113" i="5"/>
  <c r="S112" i="5"/>
  <c r="T112" i="5"/>
  <c r="K112" i="5"/>
  <c r="N112" i="5"/>
  <c r="G112" i="5"/>
  <c r="J112" i="5"/>
  <c r="M112" i="5"/>
  <c r="S111" i="5"/>
  <c r="T111" i="5"/>
  <c r="N111" i="5"/>
  <c r="K111" i="5"/>
  <c r="G111" i="5"/>
  <c r="M111" i="5"/>
  <c r="J111" i="5"/>
  <c r="S110" i="5"/>
  <c r="T110" i="5"/>
  <c r="K110" i="5"/>
  <c r="N110" i="5"/>
  <c r="G110" i="5"/>
  <c r="M110" i="5"/>
  <c r="J110" i="5"/>
  <c r="S109" i="5"/>
  <c r="T109" i="5"/>
  <c r="N109" i="5"/>
  <c r="K109" i="5"/>
  <c r="M109" i="5"/>
  <c r="J109" i="5"/>
  <c r="G109" i="5"/>
  <c r="S108" i="5"/>
  <c r="T108" i="5"/>
  <c r="K108" i="5"/>
  <c r="N108" i="5"/>
  <c r="M108" i="5"/>
  <c r="G108" i="5"/>
  <c r="J108" i="5"/>
  <c r="S107" i="5"/>
  <c r="T107" i="5"/>
  <c r="K107" i="5"/>
  <c r="N107" i="5"/>
  <c r="M107" i="5"/>
  <c r="G107" i="5"/>
  <c r="J107" i="5"/>
  <c r="S106" i="5"/>
  <c r="T106" i="5"/>
  <c r="N106" i="5"/>
  <c r="K106" i="5"/>
  <c r="M106" i="5"/>
  <c r="J106" i="5"/>
  <c r="G106" i="5"/>
  <c r="S105" i="5"/>
  <c r="T105" i="5"/>
  <c r="K105" i="5"/>
  <c r="N105" i="5"/>
  <c r="G105" i="5"/>
  <c r="J105" i="5"/>
  <c r="M105" i="5"/>
  <c r="S104" i="5"/>
  <c r="T104" i="5"/>
  <c r="K104" i="5"/>
  <c r="N104" i="5"/>
  <c r="M104" i="5"/>
  <c r="J104" i="5"/>
  <c r="G104" i="5"/>
  <c r="S103" i="5"/>
  <c r="T103" i="5"/>
  <c r="N103" i="5"/>
  <c r="K103" i="5"/>
  <c r="M103" i="5"/>
  <c r="J103" i="5"/>
  <c r="G103" i="5"/>
  <c r="S102" i="5"/>
  <c r="T102" i="5"/>
  <c r="N102" i="5"/>
  <c r="K102" i="5"/>
  <c r="M102" i="5"/>
  <c r="G102" i="5"/>
  <c r="J102" i="5"/>
  <c r="S101" i="5"/>
  <c r="T101" i="5"/>
  <c r="N101" i="5"/>
  <c r="K101" i="5"/>
  <c r="G101" i="5"/>
  <c r="M101" i="5"/>
  <c r="J101" i="5"/>
  <c r="S100" i="5"/>
  <c r="T100" i="5"/>
  <c r="N100" i="5"/>
  <c r="K100" i="5"/>
  <c r="M100" i="5"/>
  <c r="J100" i="5"/>
  <c r="G100" i="5"/>
  <c r="S99" i="5"/>
  <c r="T99" i="5"/>
  <c r="K99" i="5"/>
  <c r="N99" i="5"/>
  <c r="J99" i="5"/>
  <c r="G99" i="5"/>
  <c r="M99" i="5"/>
  <c r="S98" i="5"/>
  <c r="T98" i="5"/>
  <c r="K98" i="5"/>
  <c r="N98" i="5"/>
  <c r="M98" i="5"/>
  <c r="J98" i="5"/>
  <c r="G98" i="5"/>
  <c r="S97" i="5"/>
  <c r="T97" i="5"/>
  <c r="N97" i="5"/>
  <c r="K97" i="5"/>
  <c r="M97" i="5"/>
  <c r="J97" i="5"/>
  <c r="G97" i="5"/>
  <c r="S96" i="5"/>
  <c r="T96" i="5"/>
  <c r="K96" i="5"/>
  <c r="N96" i="5"/>
  <c r="G96" i="5"/>
  <c r="J96" i="5"/>
  <c r="M96" i="5"/>
  <c r="S95" i="5"/>
  <c r="T95" i="5"/>
  <c r="N95" i="5"/>
  <c r="K95" i="5"/>
  <c r="M95" i="5"/>
  <c r="J95" i="5"/>
  <c r="G95" i="5"/>
  <c r="S94" i="5"/>
  <c r="T94" i="5"/>
  <c r="N94" i="5"/>
  <c r="K94" i="5"/>
  <c r="J94" i="5"/>
  <c r="M94" i="5"/>
  <c r="G94" i="5"/>
  <c r="S93" i="5"/>
  <c r="T93" i="5"/>
  <c r="N93" i="5"/>
  <c r="K93" i="5"/>
  <c r="G93" i="5"/>
  <c r="J93" i="5"/>
  <c r="M93" i="5"/>
  <c r="S92" i="5"/>
  <c r="T92" i="5"/>
  <c r="N92" i="5"/>
  <c r="K92" i="5"/>
  <c r="M92" i="5"/>
  <c r="J92" i="5"/>
  <c r="G92" i="5"/>
  <c r="S91" i="5"/>
  <c r="T91" i="5"/>
  <c r="N91" i="5"/>
  <c r="K91" i="5"/>
  <c r="J91" i="5"/>
  <c r="G91" i="5"/>
  <c r="M91" i="5"/>
  <c r="S90" i="5"/>
  <c r="T90" i="5"/>
  <c r="N90" i="5"/>
  <c r="K90" i="5"/>
  <c r="M90" i="5"/>
  <c r="J90" i="5"/>
  <c r="G90" i="5"/>
  <c r="S89" i="5"/>
  <c r="T89" i="5"/>
  <c r="N89" i="5"/>
  <c r="K89" i="5"/>
  <c r="M89" i="5"/>
  <c r="G89" i="5"/>
  <c r="J89" i="5"/>
  <c r="S88" i="5"/>
  <c r="T88" i="5"/>
  <c r="N88" i="5"/>
  <c r="K88" i="5"/>
  <c r="M88" i="5"/>
  <c r="J88" i="5"/>
  <c r="G88" i="5"/>
  <c r="S87" i="5"/>
  <c r="T87" i="5"/>
  <c r="N87" i="5"/>
  <c r="K87" i="5"/>
  <c r="M87" i="5"/>
  <c r="J87" i="5"/>
  <c r="G87" i="5"/>
  <c r="S86" i="5"/>
  <c r="T86" i="5"/>
  <c r="K86" i="5"/>
  <c r="N86" i="5"/>
  <c r="G86" i="5"/>
  <c r="M86" i="5"/>
  <c r="J86" i="5"/>
  <c r="S85" i="5"/>
  <c r="T85" i="5"/>
  <c r="N85" i="5"/>
  <c r="K85" i="5"/>
  <c r="G85" i="5"/>
  <c r="M85" i="5"/>
  <c r="J85" i="5"/>
  <c r="S84" i="5"/>
  <c r="T84" i="5"/>
  <c r="N84" i="5"/>
  <c r="K84" i="5"/>
  <c r="J84" i="5"/>
  <c r="M84" i="5"/>
  <c r="G84" i="5"/>
  <c r="S83" i="5"/>
  <c r="T83" i="5"/>
  <c r="N83" i="5"/>
  <c r="K83" i="5"/>
  <c r="M83" i="5"/>
  <c r="J83" i="5"/>
  <c r="G83" i="5"/>
  <c r="S82" i="5"/>
  <c r="T82" i="5"/>
  <c r="N82" i="5"/>
  <c r="K82" i="5"/>
  <c r="M82" i="5"/>
  <c r="J82" i="5"/>
  <c r="G82" i="5"/>
  <c r="S81" i="5"/>
  <c r="T81" i="5"/>
  <c r="N81" i="5"/>
  <c r="K81" i="5"/>
  <c r="J81" i="5"/>
  <c r="G81" i="5"/>
  <c r="M81" i="5"/>
  <c r="S80" i="5"/>
  <c r="T80" i="5"/>
  <c r="K80" i="5"/>
  <c r="N80" i="5"/>
  <c r="G80" i="5"/>
  <c r="M80" i="5"/>
  <c r="J80" i="5"/>
  <c r="S79" i="5"/>
  <c r="T79" i="5"/>
  <c r="K79" i="5"/>
  <c r="N79" i="5"/>
  <c r="G79" i="5"/>
  <c r="M79" i="5"/>
  <c r="J79" i="5"/>
  <c r="S78" i="5"/>
  <c r="T78" i="5"/>
  <c r="K78" i="5"/>
  <c r="N78" i="5"/>
  <c r="J78" i="5"/>
  <c r="M78" i="5"/>
  <c r="G78" i="5"/>
  <c r="S77" i="5"/>
  <c r="T77" i="5"/>
  <c r="K77" i="5"/>
  <c r="N77" i="5"/>
  <c r="M77" i="5"/>
  <c r="J77" i="5"/>
  <c r="G77" i="5"/>
  <c r="S76" i="5"/>
  <c r="T76" i="5"/>
  <c r="N76" i="5"/>
  <c r="K76" i="5"/>
  <c r="M76" i="5"/>
  <c r="J76" i="5"/>
  <c r="G76" i="5"/>
  <c r="S75" i="5"/>
  <c r="T75" i="5"/>
  <c r="N75" i="5"/>
  <c r="K75" i="5"/>
  <c r="G75" i="5"/>
  <c r="J75" i="5"/>
  <c r="M75" i="5"/>
  <c r="S74" i="5"/>
  <c r="T74" i="5"/>
  <c r="N74" i="5"/>
  <c r="K74" i="5"/>
  <c r="M74" i="5"/>
  <c r="J74" i="5"/>
  <c r="G74" i="5"/>
  <c r="S73" i="5"/>
  <c r="T73" i="5"/>
  <c r="N73" i="5"/>
  <c r="K73" i="5"/>
  <c r="M73" i="5"/>
  <c r="J73" i="5"/>
  <c r="G73" i="5"/>
  <c r="S72" i="5"/>
  <c r="T72" i="5"/>
  <c r="K72" i="5"/>
  <c r="N72" i="5"/>
  <c r="J72" i="5"/>
  <c r="G72" i="5"/>
  <c r="M72" i="5"/>
  <c r="S71" i="5"/>
  <c r="T71" i="5"/>
  <c r="N71" i="5"/>
  <c r="K71" i="5"/>
  <c r="M71" i="5"/>
  <c r="J71" i="5"/>
  <c r="G71" i="5"/>
  <c r="S70" i="5"/>
  <c r="T70" i="5"/>
  <c r="N70" i="5"/>
  <c r="K70" i="5"/>
  <c r="M70" i="5"/>
  <c r="J70" i="5"/>
  <c r="G70" i="5"/>
  <c r="S69" i="5"/>
  <c r="T69" i="5"/>
  <c r="K69" i="5"/>
  <c r="N69" i="5"/>
  <c r="G69" i="5"/>
  <c r="M69" i="5"/>
  <c r="J69" i="5"/>
  <c r="S68" i="5"/>
  <c r="T68" i="5"/>
  <c r="K68" i="5"/>
  <c r="N68" i="5"/>
  <c r="G68" i="5"/>
  <c r="J68" i="5"/>
  <c r="M68" i="5"/>
  <c r="S67" i="5"/>
  <c r="T67" i="5"/>
  <c r="K67" i="5"/>
  <c r="N67" i="5"/>
  <c r="G67" i="5"/>
  <c r="J67" i="5"/>
  <c r="M67" i="5"/>
  <c r="S66" i="5"/>
  <c r="T66" i="5"/>
  <c r="K66" i="5"/>
  <c r="N66" i="5"/>
  <c r="J66" i="5"/>
  <c r="G66" i="5"/>
  <c r="M66" i="5"/>
  <c r="S65" i="5"/>
  <c r="T65" i="5"/>
  <c r="N65" i="5"/>
  <c r="K65" i="5"/>
  <c r="M65" i="5"/>
  <c r="J65" i="5"/>
  <c r="G65" i="5"/>
  <c r="S64" i="5"/>
  <c r="T64" i="5"/>
  <c r="N64" i="5"/>
  <c r="K64" i="5"/>
  <c r="M64" i="5"/>
  <c r="J64" i="5"/>
  <c r="G64" i="5"/>
  <c r="S63" i="5"/>
  <c r="T63" i="5"/>
  <c r="N63" i="5"/>
  <c r="K63" i="5"/>
  <c r="M63" i="5"/>
  <c r="J63" i="5"/>
  <c r="G63" i="5"/>
  <c r="S62" i="5"/>
  <c r="T62" i="5"/>
  <c r="N62" i="5"/>
  <c r="K62" i="5"/>
  <c r="M62" i="5"/>
  <c r="J62" i="5"/>
  <c r="G62" i="5"/>
  <c r="S61" i="5"/>
  <c r="T61" i="5"/>
  <c r="K61" i="5"/>
  <c r="N61" i="5"/>
  <c r="G61" i="5"/>
  <c r="M61" i="5"/>
  <c r="J61" i="5"/>
  <c r="S60" i="5"/>
  <c r="T60" i="5"/>
  <c r="K60" i="5"/>
  <c r="N60" i="5"/>
  <c r="M60" i="5"/>
  <c r="J60" i="5"/>
  <c r="G60" i="5"/>
  <c r="S59" i="5"/>
  <c r="T59" i="5"/>
  <c r="N59" i="5"/>
  <c r="K59" i="5"/>
  <c r="M59" i="5"/>
  <c r="J59" i="5"/>
  <c r="G59" i="5"/>
  <c r="S58" i="5"/>
  <c r="T58" i="5"/>
  <c r="K58" i="5"/>
  <c r="N58" i="5"/>
  <c r="M58" i="5"/>
  <c r="J58" i="5"/>
  <c r="G58" i="5"/>
  <c r="S57" i="5"/>
  <c r="T57" i="5"/>
  <c r="N57" i="5"/>
  <c r="K57" i="5"/>
  <c r="M57" i="5"/>
  <c r="J57" i="5"/>
  <c r="G57" i="5"/>
  <c r="S56" i="5"/>
  <c r="T56" i="5"/>
  <c r="N56" i="5"/>
  <c r="K56" i="5"/>
  <c r="M56" i="5"/>
  <c r="J56" i="5"/>
  <c r="G56" i="5"/>
  <c r="S55" i="5"/>
  <c r="T55" i="5"/>
  <c r="K55" i="5"/>
  <c r="N55" i="5"/>
  <c r="M55" i="5"/>
  <c r="J55" i="5"/>
  <c r="G55" i="5"/>
  <c r="S54" i="5"/>
  <c r="T54" i="5"/>
  <c r="N54" i="5"/>
  <c r="K54" i="5"/>
  <c r="J54" i="5"/>
  <c r="G54" i="5"/>
  <c r="M54" i="5"/>
  <c r="S53" i="5"/>
  <c r="T53" i="5"/>
  <c r="N53" i="5"/>
  <c r="K53" i="5"/>
  <c r="M53" i="5"/>
  <c r="G53" i="5"/>
  <c r="J53" i="5"/>
  <c r="S52" i="5"/>
  <c r="T52" i="5"/>
  <c r="N52" i="5"/>
  <c r="K52" i="5"/>
  <c r="M52" i="5"/>
  <c r="J52" i="5"/>
  <c r="G52" i="5"/>
  <c r="S51" i="5"/>
  <c r="T51" i="5"/>
  <c r="N51" i="5"/>
  <c r="K51" i="5"/>
  <c r="M51" i="5"/>
  <c r="J51" i="5"/>
  <c r="G51" i="5"/>
  <c r="S50" i="5"/>
  <c r="T50" i="5"/>
  <c r="N50" i="5"/>
  <c r="K50" i="5"/>
  <c r="M50" i="5"/>
  <c r="J50" i="5"/>
  <c r="G50" i="5"/>
  <c r="S49" i="5"/>
  <c r="T49" i="5"/>
  <c r="N49" i="5"/>
  <c r="K49" i="5"/>
  <c r="M49" i="5"/>
  <c r="J49" i="5"/>
  <c r="G49" i="5"/>
  <c r="S48" i="5"/>
  <c r="T48" i="5"/>
  <c r="N48" i="5"/>
  <c r="K48" i="5"/>
  <c r="M48" i="5"/>
  <c r="J48" i="5"/>
  <c r="G48" i="5"/>
  <c r="S47" i="5"/>
  <c r="T47" i="5"/>
  <c r="N47" i="5"/>
  <c r="K47" i="5"/>
  <c r="M47" i="5"/>
  <c r="J47" i="5"/>
  <c r="G47" i="5"/>
  <c r="S46" i="5"/>
  <c r="T46" i="5"/>
  <c r="N46" i="5"/>
  <c r="K46" i="5"/>
  <c r="M46" i="5"/>
  <c r="J46" i="5"/>
  <c r="G46" i="5"/>
  <c r="S45" i="5"/>
  <c r="T45" i="5"/>
  <c r="K45" i="5"/>
  <c r="N45" i="5"/>
  <c r="J45" i="5"/>
  <c r="M45" i="5"/>
  <c r="G45" i="5"/>
  <c r="S44" i="5"/>
  <c r="T44" i="5"/>
  <c r="K44" i="5"/>
  <c r="N44" i="5"/>
  <c r="M44" i="5"/>
  <c r="J44" i="5"/>
  <c r="G44" i="5"/>
  <c r="S43" i="5"/>
  <c r="T43" i="5"/>
  <c r="N43" i="5"/>
  <c r="K43" i="5"/>
  <c r="M43" i="5"/>
  <c r="J43" i="5"/>
  <c r="G43" i="5"/>
  <c r="S42" i="5"/>
  <c r="T42" i="5"/>
  <c r="N42" i="5"/>
  <c r="K42" i="5"/>
  <c r="M42" i="5"/>
  <c r="J42" i="5"/>
  <c r="G42" i="5"/>
  <c r="S41" i="5"/>
  <c r="T41" i="5"/>
  <c r="N41" i="5"/>
  <c r="K41" i="5"/>
  <c r="M41" i="5"/>
  <c r="J41" i="5"/>
  <c r="G41" i="5"/>
  <c r="S40" i="5"/>
  <c r="T40" i="5"/>
  <c r="N40" i="5"/>
  <c r="K40" i="5"/>
  <c r="M40" i="5"/>
  <c r="J40" i="5"/>
  <c r="G40" i="5"/>
  <c r="S39" i="5"/>
  <c r="T39" i="5"/>
  <c r="N39" i="5"/>
  <c r="K39" i="5"/>
  <c r="M39" i="5"/>
  <c r="J39" i="5"/>
  <c r="G39" i="5"/>
  <c r="S38" i="5"/>
  <c r="T38" i="5"/>
  <c r="N38" i="5"/>
  <c r="K38" i="5"/>
  <c r="M38" i="5"/>
  <c r="J38" i="5"/>
  <c r="G38" i="5"/>
  <c r="S37" i="5"/>
  <c r="T37" i="5"/>
  <c r="N37" i="5"/>
  <c r="K37" i="5"/>
  <c r="M37" i="5"/>
  <c r="J37" i="5"/>
  <c r="G37" i="5"/>
  <c r="S36" i="5"/>
  <c r="T36" i="5"/>
  <c r="K36" i="5"/>
  <c r="N36" i="5"/>
  <c r="J36" i="5"/>
  <c r="M36" i="5"/>
  <c r="G36" i="5"/>
  <c r="S35" i="5"/>
  <c r="T35" i="5"/>
  <c r="N35" i="5"/>
  <c r="K35" i="5"/>
  <c r="M35" i="5"/>
  <c r="G35" i="5"/>
  <c r="J35" i="5"/>
  <c r="S34" i="5"/>
  <c r="T34" i="5"/>
  <c r="N34" i="5"/>
  <c r="K34" i="5"/>
  <c r="M34" i="5"/>
  <c r="G34" i="5"/>
  <c r="J34" i="5"/>
  <c r="S33" i="5"/>
  <c r="T33" i="5"/>
  <c r="K33" i="5"/>
  <c r="N33" i="5"/>
  <c r="G33" i="5"/>
  <c r="J33" i="5"/>
  <c r="M33" i="5"/>
  <c r="S32" i="5"/>
  <c r="T32" i="5"/>
  <c r="K32" i="5"/>
  <c r="N32" i="5"/>
  <c r="G32" i="5"/>
  <c r="J32" i="5"/>
  <c r="M32" i="5"/>
  <c r="S31" i="5"/>
  <c r="T31" i="5"/>
  <c r="K31" i="5"/>
  <c r="N31" i="5"/>
  <c r="G31" i="5"/>
  <c r="J31" i="5"/>
  <c r="M31" i="5"/>
  <c r="S30" i="5"/>
  <c r="T30" i="5"/>
  <c r="K30" i="5"/>
  <c r="N30" i="5"/>
  <c r="M30" i="5"/>
  <c r="J30" i="5"/>
  <c r="G30" i="5"/>
  <c r="S29" i="5"/>
  <c r="T29" i="5"/>
  <c r="K29" i="5"/>
  <c r="N29" i="5"/>
  <c r="M29" i="5"/>
  <c r="G29" i="5"/>
  <c r="J29" i="5"/>
  <c r="S28" i="5"/>
  <c r="T28" i="5"/>
  <c r="N28" i="5"/>
  <c r="K28" i="5"/>
  <c r="M28" i="5"/>
  <c r="J28" i="5"/>
  <c r="G28" i="5"/>
  <c r="S27" i="5"/>
  <c r="T27" i="5"/>
  <c r="K27" i="5"/>
  <c r="N27" i="5"/>
  <c r="M27" i="5"/>
  <c r="J27" i="5"/>
  <c r="G27" i="5"/>
  <c r="S26" i="5"/>
  <c r="T26" i="5"/>
  <c r="N26" i="5"/>
  <c r="K26" i="5"/>
  <c r="M26" i="5"/>
  <c r="J26" i="5"/>
  <c r="G26" i="5"/>
  <c r="S25" i="5"/>
  <c r="T25" i="5"/>
  <c r="K25" i="5"/>
  <c r="N25" i="5"/>
  <c r="J25" i="5"/>
  <c r="G25" i="5"/>
  <c r="M25" i="5"/>
  <c r="S24" i="5"/>
  <c r="T24" i="5"/>
  <c r="N24" i="5"/>
  <c r="K24" i="5"/>
  <c r="M24" i="5"/>
  <c r="J24" i="5"/>
  <c r="G24" i="5"/>
  <c r="S23" i="5"/>
  <c r="T23" i="5"/>
  <c r="N23" i="5"/>
  <c r="K23" i="5"/>
  <c r="G23" i="5"/>
  <c r="J23" i="5"/>
  <c r="M23" i="5"/>
  <c r="S22" i="5"/>
  <c r="T22" i="5"/>
  <c r="N22" i="5"/>
  <c r="K22" i="5"/>
  <c r="M22" i="5"/>
  <c r="J22" i="5"/>
  <c r="G22" i="5"/>
  <c r="S21" i="5"/>
  <c r="T21" i="5"/>
  <c r="N21" i="5"/>
  <c r="K21" i="5"/>
  <c r="M21" i="5"/>
  <c r="J21" i="5"/>
  <c r="G21" i="5"/>
  <c r="S20" i="5"/>
  <c r="T20" i="5"/>
  <c r="N20" i="5"/>
  <c r="K20" i="5"/>
  <c r="M20" i="5"/>
  <c r="J20" i="5"/>
  <c r="G20" i="5"/>
  <c r="S19" i="5"/>
  <c r="T19" i="5"/>
  <c r="N19" i="5"/>
  <c r="K19" i="5"/>
  <c r="M19" i="5"/>
  <c r="J19" i="5"/>
  <c r="G19" i="5"/>
  <c r="S18" i="5"/>
  <c r="T18" i="5"/>
  <c r="N18" i="5"/>
  <c r="K18" i="5"/>
  <c r="M18" i="5"/>
  <c r="J18" i="5"/>
  <c r="G18" i="5"/>
  <c r="S17" i="5"/>
  <c r="T17" i="5"/>
  <c r="N17" i="5"/>
  <c r="K17" i="5"/>
  <c r="M17" i="5"/>
  <c r="J17" i="5"/>
  <c r="G17" i="5"/>
  <c r="S16" i="5"/>
  <c r="T16" i="5"/>
  <c r="K16" i="5"/>
  <c r="N16" i="5"/>
  <c r="M16" i="5"/>
  <c r="J16" i="5"/>
  <c r="G16" i="5"/>
  <c r="S15" i="5"/>
  <c r="T15" i="5"/>
  <c r="K15" i="5"/>
  <c r="N15" i="5"/>
  <c r="J15" i="5"/>
  <c r="M15" i="5"/>
  <c r="G15" i="5"/>
  <c r="S14" i="5"/>
  <c r="T14" i="5"/>
  <c r="K14" i="5"/>
  <c r="N14" i="5"/>
  <c r="G14" i="5"/>
  <c r="J14" i="5"/>
  <c r="M14" i="5"/>
  <c r="S13" i="5"/>
  <c r="T13" i="5"/>
  <c r="K13" i="5"/>
  <c r="N13" i="5"/>
  <c r="G13" i="5"/>
  <c r="J13" i="5"/>
  <c r="M13" i="5"/>
  <c r="S12" i="5"/>
  <c r="T12" i="5"/>
  <c r="K12" i="5"/>
  <c r="N12" i="5"/>
  <c r="G12" i="5"/>
  <c r="J12" i="5"/>
  <c r="M12" i="5"/>
  <c r="S11" i="5"/>
  <c r="T11" i="5"/>
  <c r="N11" i="5"/>
  <c r="K11" i="5"/>
  <c r="G11" i="5"/>
  <c r="J11" i="5"/>
  <c r="M11" i="5"/>
  <c r="S10" i="5"/>
  <c r="T10" i="5"/>
  <c r="N10" i="5"/>
  <c r="K10" i="5"/>
  <c r="M10" i="5"/>
  <c r="J10" i="5"/>
  <c r="G10" i="5"/>
  <c r="S9" i="5"/>
  <c r="T9" i="5"/>
  <c r="N9" i="5"/>
  <c r="K9" i="5"/>
  <c r="M9" i="5"/>
  <c r="J9" i="5"/>
  <c r="G9" i="5"/>
  <c r="S8" i="5"/>
  <c r="T8" i="5"/>
  <c r="N8" i="5"/>
  <c r="K8" i="5"/>
  <c r="M8" i="5"/>
  <c r="J8" i="5"/>
  <c r="G8" i="5"/>
  <c r="S7" i="5"/>
  <c r="T7" i="5"/>
  <c r="K7" i="5"/>
  <c r="N7" i="5"/>
  <c r="G7" i="5"/>
  <c r="M7" i="5"/>
  <c r="J7" i="5"/>
  <c r="S6" i="5"/>
  <c r="T6" i="5"/>
  <c r="N6" i="5"/>
  <c r="K6" i="5"/>
  <c r="M6" i="5"/>
  <c r="J6" i="5"/>
  <c r="G6" i="5"/>
  <c r="S5" i="5"/>
  <c r="T5" i="5"/>
  <c r="N5" i="5"/>
  <c r="K5" i="5"/>
  <c r="G5" i="5"/>
  <c r="J5" i="5"/>
  <c r="M5" i="5"/>
  <c r="S4" i="5"/>
  <c r="T4" i="5"/>
  <c r="N4" i="5"/>
  <c r="K4" i="5"/>
  <c r="M4" i="5"/>
  <c r="J4" i="5"/>
  <c r="G4" i="5"/>
  <c r="S3" i="5"/>
  <c r="T3" i="5"/>
  <c r="N3" i="5"/>
  <c r="K3" i="5"/>
  <c r="M3" i="5"/>
  <c r="J3" i="5"/>
  <c r="G3" i="5"/>
  <c r="S2" i="5"/>
  <c r="T2" i="5"/>
  <c r="J2" i="5"/>
  <c r="G2" i="5"/>
  <c r="R280" i="4"/>
  <c r="S280" i="4"/>
  <c r="G280" i="4"/>
  <c r="H280" i="4"/>
  <c r="E279" i="4"/>
  <c r="E281" i="4" s="1"/>
  <c r="D279" i="4"/>
  <c r="O279" i="4"/>
  <c r="P279" i="4"/>
  <c r="P281" i="4" s="1"/>
  <c r="R273" i="4"/>
  <c r="S273" i="4"/>
  <c r="M273" i="4"/>
  <c r="J273" i="4"/>
  <c r="L273" i="4"/>
  <c r="I273" i="4"/>
  <c r="F273" i="4"/>
  <c r="R272" i="4"/>
  <c r="S272" i="4"/>
  <c r="J272" i="4"/>
  <c r="M272" i="4"/>
  <c r="I272" i="4"/>
  <c r="F272" i="4"/>
  <c r="L272" i="4"/>
  <c r="R271" i="4"/>
  <c r="S271" i="4"/>
  <c r="M271" i="4"/>
  <c r="J271" i="4"/>
  <c r="L271" i="4"/>
  <c r="I271" i="4"/>
  <c r="F271" i="4"/>
  <c r="R270" i="4"/>
  <c r="S270" i="4"/>
  <c r="M270" i="4"/>
  <c r="J270" i="4"/>
  <c r="L270" i="4"/>
  <c r="I270" i="4"/>
  <c r="F270" i="4"/>
  <c r="R269" i="4"/>
  <c r="S269" i="4"/>
  <c r="M269" i="4"/>
  <c r="J269" i="4"/>
  <c r="L269" i="4"/>
  <c r="I269" i="4"/>
  <c r="F269" i="4"/>
  <c r="R268" i="4"/>
  <c r="S268" i="4"/>
  <c r="M268" i="4"/>
  <c r="J268" i="4"/>
  <c r="L268" i="4"/>
  <c r="I268" i="4"/>
  <c r="F268" i="4"/>
  <c r="R267" i="4"/>
  <c r="S267" i="4"/>
  <c r="J267" i="4"/>
  <c r="M267" i="4"/>
  <c r="I267" i="4"/>
  <c r="L267" i="4"/>
  <c r="F267" i="4"/>
  <c r="R266" i="4"/>
  <c r="S266" i="4"/>
  <c r="M266" i="4"/>
  <c r="J266" i="4"/>
  <c r="L266" i="4"/>
  <c r="I266" i="4"/>
  <c r="F266" i="4"/>
  <c r="R265" i="4"/>
  <c r="S265" i="4"/>
  <c r="M265" i="4"/>
  <c r="J265" i="4"/>
  <c r="L265" i="4"/>
  <c r="I265" i="4"/>
  <c r="F265" i="4"/>
  <c r="R264" i="4"/>
  <c r="S264" i="4"/>
  <c r="J264" i="4"/>
  <c r="M264" i="4"/>
  <c r="I264" i="4"/>
  <c r="F264" i="4"/>
  <c r="L264" i="4"/>
  <c r="R263" i="4"/>
  <c r="S263" i="4"/>
  <c r="M263" i="4"/>
  <c r="J263" i="4"/>
  <c r="L263" i="4"/>
  <c r="I263" i="4"/>
  <c r="F263" i="4"/>
  <c r="R262" i="4"/>
  <c r="S262" i="4"/>
  <c r="J262" i="4"/>
  <c r="M262" i="4"/>
  <c r="L262" i="4"/>
  <c r="I262" i="4"/>
  <c r="F262" i="4"/>
  <c r="R261" i="4"/>
  <c r="S261" i="4"/>
  <c r="M261" i="4"/>
  <c r="J261" i="4"/>
  <c r="L261" i="4"/>
  <c r="I261" i="4"/>
  <c r="F261" i="4"/>
  <c r="R260" i="4"/>
  <c r="S260" i="4"/>
  <c r="M260" i="4"/>
  <c r="J260" i="4"/>
  <c r="L260" i="4"/>
  <c r="I260" i="4"/>
  <c r="F260" i="4"/>
  <c r="R259" i="4"/>
  <c r="S259" i="4"/>
  <c r="J259" i="4"/>
  <c r="M259" i="4"/>
  <c r="I259" i="4"/>
  <c r="F259" i="4"/>
  <c r="L259" i="4"/>
  <c r="R258" i="4"/>
  <c r="S258" i="4"/>
  <c r="M258" i="4"/>
  <c r="J258" i="4"/>
  <c r="L258" i="4"/>
  <c r="I258" i="4"/>
  <c r="F258" i="4"/>
  <c r="R257" i="4"/>
  <c r="S257" i="4"/>
  <c r="M257" i="4"/>
  <c r="J257" i="4"/>
  <c r="L257" i="4"/>
  <c r="I257" i="4"/>
  <c r="F257" i="4"/>
  <c r="R256" i="4"/>
  <c r="S256" i="4"/>
  <c r="J256" i="4"/>
  <c r="M256" i="4"/>
  <c r="L256" i="4"/>
  <c r="I256" i="4"/>
  <c r="F256" i="4"/>
  <c r="R255" i="4"/>
  <c r="S255" i="4"/>
  <c r="M255" i="4"/>
  <c r="J255" i="4"/>
  <c r="L255" i="4"/>
  <c r="I255" i="4"/>
  <c r="F255" i="4"/>
  <c r="R254" i="4"/>
  <c r="S254" i="4"/>
  <c r="J254" i="4"/>
  <c r="M254" i="4"/>
  <c r="F254" i="4"/>
  <c r="I254" i="4"/>
  <c r="L254" i="4"/>
  <c r="R253" i="4"/>
  <c r="S253" i="4"/>
  <c r="M253" i="4"/>
  <c r="J253" i="4"/>
  <c r="L253" i="4"/>
  <c r="I253" i="4"/>
  <c r="F253" i="4"/>
  <c r="R252" i="4"/>
  <c r="S252" i="4"/>
  <c r="M252" i="4"/>
  <c r="J252" i="4"/>
  <c r="I252" i="4"/>
  <c r="F252" i="4"/>
  <c r="L252" i="4"/>
  <c r="R251" i="4"/>
  <c r="S251" i="4"/>
  <c r="M251" i="4"/>
  <c r="J251" i="4"/>
  <c r="L251" i="4"/>
  <c r="I251" i="4"/>
  <c r="F251" i="4"/>
  <c r="R250" i="4"/>
  <c r="S250" i="4"/>
  <c r="M250" i="4"/>
  <c r="J250" i="4"/>
  <c r="L250" i="4"/>
  <c r="I250" i="4"/>
  <c r="F250" i="4"/>
  <c r="R249" i="4"/>
  <c r="S249" i="4"/>
  <c r="J249" i="4"/>
  <c r="M249" i="4"/>
  <c r="I249" i="4"/>
  <c r="L249" i="4"/>
  <c r="F249" i="4"/>
  <c r="R248" i="4"/>
  <c r="S248" i="4"/>
  <c r="M248" i="4"/>
  <c r="J248" i="4"/>
  <c r="L248" i="4"/>
  <c r="I248" i="4"/>
  <c r="F248" i="4"/>
  <c r="R247" i="4"/>
  <c r="S247" i="4"/>
  <c r="M247" i="4"/>
  <c r="J247" i="4"/>
  <c r="L247" i="4"/>
  <c r="I247" i="4"/>
  <c r="F247" i="4"/>
  <c r="R246" i="4"/>
  <c r="S246" i="4"/>
  <c r="M246" i="4"/>
  <c r="J246" i="4"/>
  <c r="L246" i="4"/>
  <c r="I246" i="4"/>
  <c r="F246" i="4"/>
  <c r="R245" i="4"/>
  <c r="S245" i="4"/>
  <c r="J245" i="4"/>
  <c r="M245" i="4"/>
  <c r="I245" i="4"/>
  <c r="L245" i="4"/>
  <c r="F245" i="4"/>
  <c r="R244" i="4"/>
  <c r="S244" i="4"/>
  <c r="M244" i="4"/>
  <c r="J244" i="4"/>
  <c r="L244" i="4"/>
  <c r="I244" i="4"/>
  <c r="F244" i="4"/>
  <c r="R243" i="4"/>
  <c r="S243" i="4"/>
  <c r="M243" i="4"/>
  <c r="J243" i="4"/>
  <c r="L243" i="4"/>
  <c r="I243" i="4"/>
  <c r="F243" i="4"/>
  <c r="R242" i="4"/>
  <c r="S242" i="4"/>
  <c r="M242" i="4"/>
  <c r="J242" i="4"/>
  <c r="L242" i="4"/>
  <c r="I242" i="4"/>
  <c r="F242" i="4"/>
  <c r="R241" i="4"/>
  <c r="S241" i="4"/>
  <c r="M241" i="4"/>
  <c r="J241" i="4"/>
  <c r="L241" i="4"/>
  <c r="I241" i="4"/>
  <c r="F241" i="4"/>
  <c r="R240" i="4"/>
  <c r="S240" i="4"/>
  <c r="M240" i="4"/>
  <c r="J240" i="4"/>
  <c r="L240" i="4"/>
  <c r="I240" i="4"/>
  <c r="F240" i="4"/>
  <c r="R239" i="4"/>
  <c r="S239" i="4"/>
  <c r="M239" i="4"/>
  <c r="J239" i="4"/>
  <c r="L239" i="4"/>
  <c r="I239" i="4"/>
  <c r="F239" i="4"/>
  <c r="R238" i="4"/>
  <c r="S238" i="4"/>
  <c r="M238" i="4"/>
  <c r="J238" i="4"/>
  <c r="I238" i="4"/>
  <c r="L238" i="4"/>
  <c r="F238" i="4"/>
  <c r="R237" i="4"/>
  <c r="S237" i="4"/>
  <c r="J237" i="4"/>
  <c r="M237" i="4"/>
  <c r="L237" i="4"/>
  <c r="F237" i="4"/>
  <c r="I237" i="4"/>
  <c r="R236" i="4"/>
  <c r="S236" i="4"/>
  <c r="J236" i="4"/>
  <c r="M236" i="4"/>
  <c r="I236" i="4"/>
  <c r="F236" i="4"/>
  <c r="L236" i="4"/>
  <c r="R235" i="4"/>
  <c r="S235" i="4"/>
  <c r="J235" i="4"/>
  <c r="M235" i="4"/>
  <c r="F235" i="4"/>
  <c r="L235" i="4"/>
  <c r="I235" i="4"/>
  <c r="R234" i="4"/>
  <c r="S234" i="4"/>
  <c r="M234" i="4"/>
  <c r="J234" i="4"/>
  <c r="F234" i="4"/>
  <c r="L234" i="4"/>
  <c r="I234" i="4"/>
  <c r="R233" i="4"/>
  <c r="S233" i="4"/>
  <c r="M233" i="4"/>
  <c r="J233" i="4"/>
  <c r="L233" i="4"/>
  <c r="I233" i="4"/>
  <c r="F233" i="4"/>
  <c r="R232" i="4"/>
  <c r="S232" i="4"/>
  <c r="M232" i="4"/>
  <c r="J232" i="4"/>
  <c r="L232" i="4"/>
  <c r="I232" i="4"/>
  <c r="F232" i="4"/>
  <c r="R231" i="4"/>
  <c r="S231" i="4"/>
  <c r="J231" i="4"/>
  <c r="M231" i="4"/>
  <c r="L231" i="4"/>
  <c r="F231" i="4"/>
  <c r="I231" i="4"/>
  <c r="R230" i="4"/>
  <c r="S230" i="4"/>
  <c r="M230" i="4"/>
  <c r="J230" i="4"/>
  <c r="I230" i="4"/>
  <c r="F230" i="4"/>
  <c r="L230" i="4"/>
  <c r="R229" i="4"/>
  <c r="S229" i="4"/>
  <c r="M229" i="4"/>
  <c r="J229" i="4"/>
  <c r="I229" i="4"/>
  <c r="F229" i="4"/>
  <c r="L229" i="4"/>
  <c r="R228" i="4"/>
  <c r="S228" i="4"/>
  <c r="M228" i="4"/>
  <c r="J228" i="4"/>
  <c r="I228" i="4"/>
  <c r="F228" i="4"/>
  <c r="L228" i="4"/>
  <c r="R227" i="4"/>
  <c r="S227" i="4"/>
  <c r="M227" i="4"/>
  <c r="J227" i="4"/>
  <c r="I227" i="4"/>
  <c r="F227" i="4"/>
  <c r="L227" i="4"/>
  <c r="R226" i="4"/>
  <c r="S226" i="4"/>
  <c r="M226" i="4"/>
  <c r="J226" i="4"/>
  <c r="I226" i="4"/>
  <c r="F226" i="4"/>
  <c r="L226" i="4"/>
  <c r="R225" i="4"/>
  <c r="S225" i="4"/>
  <c r="J225" i="4"/>
  <c r="M225" i="4"/>
  <c r="F225" i="4"/>
  <c r="L225" i="4"/>
  <c r="I225" i="4"/>
  <c r="R224" i="4"/>
  <c r="S224" i="4"/>
  <c r="J224" i="4"/>
  <c r="M224" i="4"/>
  <c r="I224" i="4"/>
  <c r="F224" i="4"/>
  <c r="L224" i="4"/>
  <c r="R223" i="4"/>
  <c r="S223" i="4"/>
  <c r="J223" i="4"/>
  <c r="M223" i="4"/>
  <c r="F223" i="4"/>
  <c r="L223" i="4"/>
  <c r="I223" i="4"/>
  <c r="R222" i="4"/>
  <c r="S222" i="4"/>
  <c r="M222" i="4"/>
  <c r="J222" i="4"/>
  <c r="L222" i="4"/>
  <c r="I222" i="4"/>
  <c r="F222" i="4"/>
  <c r="R221" i="4"/>
  <c r="S221" i="4"/>
  <c r="M221" i="4"/>
  <c r="J221" i="4"/>
  <c r="L221" i="4"/>
  <c r="I221" i="4"/>
  <c r="F221" i="4"/>
  <c r="R220" i="4"/>
  <c r="S220" i="4"/>
  <c r="M220" i="4"/>
  <c r="J220" i="4"/>
  <c r="L220" i="4"/>
  <c r="I220" i="4"/>
  <c r="F220" i="4"/>
  <c r="R219" i="4"/>
  <c r="S219" i="4"/>
  <c r="J219" i="4"/>
  <c r="M219" i="4"/>
  <c r="F219" i="4"/>
  <c r="I219" i="4"/>
  <c r="L219" i="4"/>
  <c r="R218" i="4"/>
  <c r="S218" i="4"/>
  <c r="J218" i="4"/>
  <c r="M218" i="4"/>
  <c r="I218" i="4"/>
  <c r="F218" i="4"/>
  <c r="L218" i="4"/>
  <c r="R217" i="4"/>
  <c r="S217" i="4"/>
  <c r="J217" i="4"/>
  <c r="M217" i="4"/>
  <c r="F217" i="4"/>
  <c r="I217" i="4"/>
  <c r="L217" i="4"/>
  <c r="R216" i="4"/>
  <c r="S216" i="4"/>
  <c r="J216" i="4"/>
  <c r="M216" i="4"/>
  <c r="F216" i="4"/>
  <c r="I216" i="4"/>
  <c r="L216" i="4"/>
  <c r="R215" i="4"/>
  <c r="S215" i="4"/>
  <c r="J215" i="4"/>
  <c r="M215" i="4"/>
  <c r="F215" i="4"/>
  <c r="I215" i="4"/>
  <c r="L215" i="4"/>
  <c r="R214" i="4"/>
  <c r="S214" i="4"/>
  <c r="J214" i="4"/>
  <c r="M214" i="4"/>
  <c r="F214" i="4"/>
  <c r="I214" i="4"/>
  <c r="L214" i="4"/>
  <c r="R213" i="4"/>
  <c r="S213" i="4"/>
  <c r="M213" i="4"/>
  <c r="J213" i="4"/>
  <c r="L213" i="4"/>
  <c r="I213" i="4"/>
  <c r="F213" i="4"/>
  <c r="R212" i="4"/>
  <c r="S212" i="4"/>
  <c r="M212" i="4"/>
  <c r="J212" i="4"/>
  <c r="L212" i="4"/>
  <c r="I212" i="4"/>
  <c r="F212" i="4"/>
  <c r="R211" i="4"/>
  <c r="S211" i="4"/>
  <c r="M211" i="4"/>
  <c r="J211" i="4"/>
  <c r="L211" i="4"/>
  <c r="I211" i="4"/>
  <c r="F211" i="4"/>
  <c r="R210" i="4"/>
  <c r="S210" i="4"/>
  <c r="M210" i="4"/>
  <c r="J210" i="4"/>
  <c r="I210" i="4"/>
  <c r="F210" i="4"/>
  <c r="L210" i="4"/>
  <c r="R209" i="4"/>
  <c r="S209" i="4"/>
  <c r="J209" i="4"/>
  <c r="M209" i="4"/>
  <c r="F209" i="4"/>
  <c r="L209" i="4"/>
  <c r="I209" i="4"/>
  <c r="R208" i="4"/>
  <c r="S208" i="4"/>
  <c r="M208" i="4"/>
  <c r="J208" i="4"/>
  <c r="F208" i="4"/>
  <c r="L208" i="4"/>
  <c r="I208" i="4"/>
  <c r="R207" i="4"/>
  <c r="S207" i="4"/>
  <c r="M207" i="4"/>
  <c r="J207" i="4"/>
  <c r="F207" i="4"/>
  <c r="L207" i="4"/>
  <c r="I207" i="4"/>
  <c r="R206" i="4"/>
  <c r="S206" i="4"/>
  <c r="J206" i="4"/>
  <c r="M206" i="4"/>
  <c r="F206" i="4"/>
  <c r="I206" i="4"/>
  <c r="L206" i="4"/>
  <c r="R205" i="4"/>
  <c r="S205" i="4"/>
  <c r="M205" i="4"/>
  <c r="J205" i="4"/>
  <c r="F205" i="4"/>
  <c r="L205" i="4"/>
  <c r="I205" i="4"/>
  <c r="R204" i="4"/>
  <c r="S204" i="4"/>
  <c r="J204" i="4"/>
  <c r="M204" i="4"/>
  <c r="L204" i="4"/>
  <c r="F204" i="4"/>
  <c r="I204" i="4"/>
  <c r="R203" i="4"/>
  <c r="S203" i="4"/>
  <c r="J203" i="4"/>
  <c r="M203" i="4"/>
  <c r="F203" i="4"/>
  <c r="I203" i="4"/>
  <c r="L203" i="4"/>
  <c r="R202" i="4"/>
  <c r="S202" i="4"/>
  <c r="J202" i="4"/>
  <c r="M202" i="4"/>
  <c r="I202" i="4"/>
  <c r="F202" i="4"/>
  <c r="L202" i="4"/>
  <c r="R201" i="4"/>
  <c r="S201" i="4"/>
  <c r="M201" i="4"/>
  <c r="J201" i="4"/>
  <c r="F201" i="4"/>
  <c r="L201" i="4"/>
  <c r="I201" i="4"/>
  <c r="R200" i="4"/>
  <c r="S200" i="4"/>
  <c r="M200" i="4"/>
  <c r="J200" i="4"/>
  <c r="L200" i="4"/>
  <c r="I200" i="4"/>
  <c r="F200" i="4"/>
  <c r="R199" i="4"/>
  <c r="S199" i="4"/>
  <c r="J199" i="4"/>
  <c r="M199" i="4"/>
  <c r="I199" i="4"/>
  <c r="F199" i="4"/>
  <c r="L199" i="4"/>
  <c r="R198" i="4"/>
  <c r="S198" i="4"/>
  <c r="M198" i="4"/>
  <c r="J198" i="4"/>
  <c r="L198" i="4"/>
  <c r="I198" i="4"/>
  <c r="F198" i="4"/>
  <c r="R197" i="4"/>
  <c r="S197" i="4"/>
  <c r="J197" i="4"/>
  <c r="M197" i="4"/>
  <c r="F197" i="4"/>
  <c r="I197" i="4"/>
  <c r="L197" i="4"/>
  <c r="R196" i="4"/>
  <c r="S196" i="4"/>
  <c r="M196" i="4"/>
  <c r="J196" i="4"/>
  <c r="L196" i="4"/>
  <c r="I196" i="4"/>
  <c r="F196" i="4"/>
  <c r="R195" i="4"/>
  <c r="S195" i="4"/>
  <c r="J195" i="4"/>
  <c r="M195" i="4"/>
  <c r="F195" i="4"/>
  <c r="I195" i="4"/>
  <c r="L195" i="4"/>
  <c r="R194" i="4"/>
  <c r="S194" i="4"/>
  <c r="J194" i="4"/>
  <c r="M194" i="4"/>
  <c r="F194" i="4"/>
  <c r="I194" i="4"/>
  <c r="L194" i="4"/>
  <c r="R193" i="4"/>
  <c r="S193" i="4"/>
  <c r="J193" i="4"/>
  <c r="M193" i="4"/>
  <c r="L193" i="4"/>
  <c r="F193" i="4"/>
  <c r="I193" i="4"/>
  <c r="R192" i="4"/>
  <c r="S192" i="4"/>
  <c r="J192" i="4"/>
  <c r="M192" i="4"/>
  <c r="L192" i="4"/>
  <c r="F192" i="4"/>
  <c r="I192" i="4"/>
  <c r="R191" i="4"/>
  <c r="S191" i="4"/>
  <c r="M191" i="4"/>
  <c r="J191" i="4"/>
  <c r="F191" i="4"/>
  <c r="L191" i="4"/>
  <c r="I191" i="4"/>
  <c r="R190" i="4"/>
  <c r="S190" i="4"/>
  <c r="J190" i="4"/>
  <c r="M190" i="4"/>
  <c r="F190" i="4"/>
  <c r="I190" i="4"/>
  <c r="L190" i="4"/>
  <c r="R189" i="4"/>
  <c r="S189" i="4"/>
  <c r="M189" i="4"/>
  <c r="J189" i="4"/>
  <c r="L189" i="4"/>
  <c r="I189" i="4"/>
  <c r="F189" i="4"/>
  <c r="R188" i="4"/>
  <c r="S188" i="4"/>
  <c r="M188" i="4"/>
  <c r="J188" i="4"/>
  <c r="L188" i="4"/>
  <c r="I188" i="4"/>
  <c r="F188" i="4"/>
  <c r="R187" i="4"/>
  <c r="S187" i="4"/>
  <c r="M187" i="4"/>
  <c r="J187" i="4"/>
  <c r="F187" i="4"/>
  <c r="L187" i="4"/>
  <c r="I187" i="4"/>
  <c r="R186" i="4"/>
  <c r="S186" i="4"/>
  <c r="M186" i="4"/>
  <c r="J186" i="4"/>
  <c r="I186" i="4"/>
  <c r="L186" i="4"/>
  <c r="F186" i="4"/>
  <c r="R185" i="4"/>
  <c r="S185" i="4"/>
  <c r="M185" i="4"/>
  <c r="J185" i="4"/>
  <c r="L185" i="4"/>
  <c r="I185" i="4"/>
  <c r="F185" i="4"/>
  <c r="R184" i="4"/>
  <c r="S184" i="4"/>
  <c r="J184" i="4"/>
  <c r="M184" i="4"/>
  <c r="L184" i="4"/>
  <c r="I184" i="4"/>
  <c r="F184" i="4"/>
  <c r="R183" i="4"/>
  <c r="S183" i="4"/>
  <c r="J183" i="4"/>
  <c r="M183" i="4"/>
  <c r="I183" i="4"/>
  <c r="F183" i="4"/>
  <c r="L183" i="4"/>
  <c r="R182" i="4"/>
  <c r="S182" i="4"/>
  <c r="M182" i="4"/>
  <c r="J182" i="4"/>
  <c r="F182" i="4"/>
  <c r="I182" i="4"/>
  <c r="L182" i="4"/>
  <c r="R181" i="4"/>
  <c r="S181" i="4"/>
  <c r="M181" i="4"/>
  <c r="J181" i="4"/>
  <c r="L181" i="4"/>
  <c r="F181" i="4"/>
  <c r="I181" i="4"/>
  <c r="R180" i="4"/>
  <c r="S180" i="4"/>
  <c r="M180" i="4"/>
  <c r="J180" i="4"/>
  <c r="F180" i="4"/>
  <c r="I180" i="4"/>
  <c r="L180" i="4"/>
  <c r="R179" i="4"/>
  <c r="S179" i="4"/>
  <c r="M179" i="4"/>
  <c r="J179" i="4"/>
  <c r="F179" i="4"/>
  <c r="L179" i="4"/>
  <c r="I179" i="4"/>
  <c r="R178" i="4"/>
  <c r="S178" i="4"/>
  <c r="M178" i="4"/>
  <c r="J178" i="4"/>
  <c r="F178" i="4"/>
  <c r="I178" i="4"/>
  <c r="L178" i="4"/>
  <c r="R177" i="4"/>
  <c r="S177" i="4"/>
  <c r="M177" i="4"/>
  <c r="J177" i="4"/>
  <c r="L177" i="4"/>
  <c r="I177" i="4"/>
  <c r="F177" i="4"/>
  <c r="R176" i="4"/>
  <c r="S176" i="4"/>
  <c r="M176" i="4"/>
  <c r="J176" i="4"/>
  <c r="L176" i="4"/>
  <c r="F176" i="4"/>
  <c r="I176" i="4"/>
  <c r="R175" i="4"/>
  <c r="S175" i="4"/>
  <c r="J175" i="4"/>
  <c r="M175" i="4"/>
  <c r="F175" i="4"/>
  <c r="I175" i="4"/>
  <c r="L175" i="4"/>
  <c r="R174" i="4"/>
  <c r="S174" i="4"/>
  <c r="M174" i="4"/>
  <c r="J174" i="4"/>
  <c r="F174" i="4"/>
  <c r="I174" i="4"/>
  <c r="L174" i="4"/>
  <c r="R173" i="4"/>
  <c r="S173" i="4"/>
  <c r="J173" i="4"/>
  <c r="M173" i="4"/>
  <c r="F173" i="4"/>
  <c r="I173" i="4"/>
  <c r="L173" i="4"/>
  <c r="R172" i="4"/>
  <c r="S172" i="4"/>
  <c r="J172" i="4"/>
  <c r="M172" i="4"/>
  <c r="L172" i="4"/>
  <c r="F172" i="4"/>
  <c r="I172" i="4"/>
  <c r="R171" i="4"/>
  <c r="S171" i="4"/>
  <c r="J171" i="4"/>
  <c r="M171" i="4"/>
  <c r="F171" i="4"/>
  <c r="I171" i="4"/>
  <c r="L171" i="4"/>
  <c r="R170" i="4"/>
  <c r="S170" i="4"/>
  <c r="J170" i="4"/>
  <c r="M170" i="4"/>
  <c r="I170" i="4"/>
  <c r="F170" i="4"/>
  <c r="L170" i="4"/>
  <c r="R169" i="4"/>
  <c r="S169" i="4"/>
  <c r="J169" i="4"/>
  <c r="M169" i="4"/>
  <c r="L169" i="4"/>
  <c r="F169" i="4"/>
  <c r="I169" i="4"/>
  <c r="R168" i="4"/>
  <c r="S168" i="4"/>
  <c r="J168" i="4"/>
  <c r="M168" i="4"/>
  <c r="F168" i="4"/>
  <c r="I168" i="4"/>
  <c r="L168" i="4"/>
  <c r="R167" i="4"/>
  <c r="S167" i="4"/>
  <c r="M167" i="4"/>
  <c r="J167" i="4"/>
  <c r="L167" i="4"/>
  <c r="I167" i="4"/>
  <c r="F167" i="4"/>
  <c r="R166" i="4"/>
  <c r="S166" i="4"/>
  <c r="J166" i="4"/>
  <c r="M166" i="4"/>
  <c r="L166" i="4"/>
  <c r="I166" i="4"/>
  <c r="F166" i="4"/>
  <c r="R165" i="4"/>
  <c r="S165" i="4"/>
  <c r="M165" i="4"/>
  <c r="J165" i="4"/>
  <c r="L165" i="4"/>
  <c r="I165" i="4"/>
  <c r="F165" i="4"/>
  <c r="R164" i="4"/>
  <c r="S164" i="4"/>
  <c r="J164" i="4"/>
  <c r="M164" i="4"/>
  <c r="F164" i="4"/>
  <c r="I164" i="4"/>
  <c r="L164" i="4"/>
  <c r="R163" i="4"/>
  <c r="S163" i="4"/>
  <c r="J163" i="4"/>
  <c r="M163" i="4"/>
  <c r="F163" i="4"/>
  <c r="I163" i="4"/>
  <c r="L163" i="4"/>
  <c r="R162" i="4"/>
  <c r="S162" i="4"/>
  <c r="M162" i="4"/>
  <c r="J162" i="4"/>
  <c r="I162" i="4"/>
  <c r="L162" i="4"/>
  <c r="F162" i="4"/>
  <c r="R161" i="4"/>
  <c r="S161" i="4"/>
  <c r="M161" i="4"/>
  <c r="J161" i="4"/>
  <c r="L161" i="4"/>
  <c r="I161" i="4"/>
  <c r="F161" i="4"/>
  <c r="R160" i="4"/>
  <c r="S160" i="4"/>
  <c r="M160" i="4"/>
  <c r="J160" i="4"/>
  <c r="F160" i="4"/>
  <c r="I160" i="4"/>
  <c r="L160" i="4"/>
  <c r="R159" i="4"/>
  <c r="S159" i="4"/>
  <c r="J159" i="4"/>
  <c r="M159" i="4"/>
  <c r="F159" i="4"/>
  <c r="I159" i="4"/>
  <c r="L159" i="4"/>
  <c r="R158" i="4"/>
  <c r="S158" i="4"/>
  <c r="J158" i="4"/>
  <c r="M158" i="4"/>
  <c r="F158" i="4"/>
  <c r="I158" i="4"/>
  <c r="L158" i="4"/>
  <c r="R157" i="4"/>
  <c r="S157" i="4"/>
  <c r="M157" i="4"/>
  <c r="J157" i="4"/>
  <c r="L157" i="4"/>
  <c r="I157" i="4"/>
  <c r="F157" i="4"/>
  <c r="R156" i="4"/>
  <c r="S156" i="4"/>
  <c r="M156" i="4"/>
  <c r="J156" i="4"/>
  <c r="L156" i="4"/>
  <c r="I156" i="4"/>
  <c r="F156" i="4"/>
  <c r="R155" i="4"/>
  <c r="S155" i="4"/>
  <c r="M155" i="4"/>
  <c r="J155" i="4"/>
  <c r="L155" i="4"/>
  <c r="I155" i="4"/>
  <c r="F155" i="4"/>
  <c r="R154" i="4"/>
  <c r="S154" i="4"/>
  <c r="J154" i="4"/>
  <c r="M154" i="4"/>
  <c r="L154" i="4"/>
  <c r="I154" i="4"/>
  <c r="F154" i="4"/>
  <c r="R153" i="4"/>
  <c r="S153" i="4"/>
  <c r="M153" i="4"/>
  <c r="J153" i="4"/>
  <c r="L153" i="4"/>
  <c r="I153" i="4"/>
  <c r="F153" i="4"/>
  <c r="R152" i="4"/>
  <c r="S152" i="4"/>
  <c r="J152" i="4"/>
  <c r="M152" i="4"/>
  <c r="L152" i="4"/>
  <c r="I152" i="4"/>
  <c r="F152" i="4"/>
  <c r="R151" i="4"/>
  <c r="S151" i="4"/>
  <c r="J151" i="4"/>
  <c r="M151" i="4"/>
  <c r="F151" i="4"/>
  <c r="I151" i="4"/>
  <c r="L151" i="4"/>
  <c r="R150" i="4"/>
  <c r="S150" i="4"/>
  <c r="M150" i="4"/>
  <c r="J150" i="4"/>
  <c r="L150" i="4"/>
  <c r="I150" i="4"/>
  <c r="F150" i="4"/>
  <c r="R149" i="4"/>
  <c r="S149" i="4"/>
  <c r="J149" i="4"/>
  <c r="M149" i="4"/>
  <c r="F149" i="4"/>
  <c r="I149" i="4"/>
  <c r="L149" i="4"/>
  <c r="R148" i="4"/>
  <c r="S148" i="4"/>
  <c r="J148" i="4"/>
  <c r="M148" i="4"/>
  <c r="F148" i="4"/>
  <c r="I148" i="4"/>
  <c r="L148" i="4"/>
  <c r="R147" i="4"/>
  <c r="S147" i="4"/>
  <c r="M147" i="4"/>
  <c r="J147" i="4"/>
  <c r="L147" i="4"/>
  <c r="F147" i="4"/>
  <c r="I147" i="4"/>
  <c r="R146" i="4"/>
  <c r="S146" i="4"/>
  <c r="J146" i="4"/>
  <c r="M146" i="4"/>
  <c r="F146" i="4"/>
  <c r="I146" i="4"/>
  <c r="L146" i="4"/>
  <c r="R145" i="4"/>
  <c r="S145" i="4"/>
  <c r="J145" i="4"/>
  <c r="M145" i="4"/>
  <c r="F145" i="4"/>
  <c r="I145" i="4"/>
  <c r="L145" i="4"/>
  <c r="R144" i="4"/>
  <c r="S144" i="4"/>
  <c r="J144" i="4"/>
  <c r="M144" i="4"/>
  <c r="F144" i="4"/>
  <c r="I144" i="4"/>
  <c r="L144" i="4"/>
  <c r="R143" i="4"/>
  <c r="S143" i="4"/>
  <c r="J143" i="4"/>
  <c r="M143" i="4"/>
  <c r="L143" i="4"/>
  <c r="F143" i="4"/>
  <c r="I143" i="4"/>
  <c r="R142" i="4"/>
  <c r="S142" i="4"/>
  <c r="M142" i="4"/>
  <c r="J142" i="4"/>
  <c r="L142" i="4"/>
  <c r="I142" i="4"/>
  <c r="F142" i="4"/>
  <c r="R141" i="4"/>
  <c r="S141" i="4"/>
  <c r="M141" i="4"/>
  <c r="J141" i="4"/>
  <c r="L141" i="4"/>
  <c r="I141" i="4"/>
  <c r="F141" i="4"/>
  <c r="R140" i="4"/>
  <c r="S140" i="4"/>
  <c r="M140" i="4"/>
  <c r="J140" i="4"/>
  <c r="L140" i="4"/>
  <c r="I140" i="4"/>
  <c r="F140" i="4"/>
  <c r="R139" i="4"/>
  <c r="S139" i="4"/>
  <c r="J139" i="4"/>
  <c r="M139" i="4"/>
  <c r="F139" i="4"/>
  <c r="I139" i="4"/>
  <c r="L139" i="4"/>
  <c r="R138" i="4"/>
  <c r="S138" i="4"/>
  <c r="M138" i="4"/>
  <c r="J138" i="4"/>
  <c r="L138" i="4"/>
  <c r="I138" i="4"/>
  <c r="F138" i="4"/>
  <c r="R137" i="4"/>
  <c r="S137" i="4"/>
  <c r="J137" i="4"/>
  <c r="M137" i="4"/>
  <c r="F137" i="4"/>
  <c r="L137" i="4"/>
  <c r="I137" i="4"/>
  <c r="R136" i="4"/>
  <c r="S136" i="4"/>
  <c r="M136" i="4"/>
  <c r="J136" i="4"/>
  <c r="L136" i="4"/>
  <c r="I136" i="4"/>
  <c r="F136" i="4"/>
  <c r="R135" i="4"/>
  <c r="S135" i="4"/>
  <c r="J135" i="4"/>
  <c r="M135" i="4"/>
  <c r="I135" i="4"/>
  <c r="F135" i="4"/>
  <c r="L135" i="4"/>
  <c r="R134" i="4"/>
  <c r="S134" i="4"/>
  <c r="J134" i="4"/>
  <c r="M134" i="4"/>
  <c r="L134" i="4"/>
  <c r="F134" i="4"/>
  <c r="I134" i="4"/>
  <c r="R133" i="4"/>
  <c r="S133" i="4"/>
  <c r="M133" i="4"/>
  <c r="J133" i="4"/>
  <c r="F133" i="4"/>
  <c r="L133" i="4"/>
  <c r="I133" i="4"/>
  <c r="R132" i="4"/>
  <c r="S132" i="4"/>
  <c r="J132" i="4"/>
  <c r="M132" i="4"/>
  <c r="F132" i="4"/>
  <c r="I132" i="4"/>
  <c r="L132" i="4"/>
  <c r="R131" i="4"/>
  <c r="S131" i="4"/>
  <c r="J131" i="4"/>
  <c r="M131" i="4"/>
  <c r="F131" i="4"/>
  <c r="I131" i="4"/>
  <c r="L131" i="4"/>
  <c r="R130" i="4"/>
  <c r="S130" i="4"/>
  <c r="J130" i="4"/>
  <c r="M130" i="4"/>
  <c r="F130" i="4"/>
  <c r="I130" i="4"/>
  <c r="L130" i="4"/>
  <c r="R129" i="4"/>
  <c r="S129" i="4"/>
  <c r="M129" i="4"/>
  <c r="J129" i="4"/>
  <c r="F129" i="4"/>
  <c r="L129" i="4"/>
  <c r="I129" i="4"/>
  <c r="R128" i="4"/>
  <c r="S128" i="4"/>
  <c r="M128" i="4"/>
  <c r="J128" i="4"/>
  <c r="L128" i="4"/>
  <c r="I128" i="4"/>
  <c r="F128" i="4"/>
  <c r="R127" i="4"/>
  <c r="S127" i="4"/>
  <c r="I127" i="4"/>
  <c r="F127" i="4"/>
  <c r="R126" i="4"/>
  <c r="S126" i="4"/>
  <c r="M126" i="4"/>
  <c r="J126" i="4"/>
  <c r="L126" i="4"/>
  <c r="I126" i="4"/>
  <c r="F126" i="4"/>
  <c r="R125" i="4"/>
  <c r="S125" i="4"/>
  <c r="M125" i="4"/>
  <c r="J125" i="4"/>
  <c r="L125" i="4"/>
  <c r="I125" i="4"/>
  <c r="F125" i="4"/>
  <c r="R124" i="4"/>
  <c r="S124" i="4"/>
  <c r="M124" i="4"/>
  <c r="J124" i="4"/>
  <c r="L124" i="4"/>
  <c r="I124" i="4"/>
  <c r="F124" i="4"/>
  <c r="R123" i="4"/>
  <c r="S123" i="4"/>
  <c r="M123" i="4"/>
  <c r="J123" i="4"/>
  <c r="L123" i="4"/>
  <c r="I123" i="4"/>
  <c r="F123" i="4"/>
  <c r="R122" i="4"/>
  <c r="S122" i="4"/>
  <c r="J122" i="4"/>
  <c r="M122" i="4"/>
  <c r="L122" i="4"/>
  <c r="F122" i="4"/>
  <c r="I122" i="4"/>
  <c r="R121" i="4"/>
  <c r="S121" i="4"/>
  <c r="M121" i="4"/>
  <c r="J121" i="4"/>
  <c r="L121" i="4"/>
  <c r="I121" i="4"/>
  <c r="F121" i="4"/>
  <c r="R120" i="4"/>
  <c r="S120" i="4"/>
  <c r="J120" i="4"/>
  <c r="M120" i="4"/>
  <c r="I120" i="4"/>
  <c r="L120" i="4"/>
  <c r="F120" i="4"/>
  <c r="R119" i="4"/>
  <c r="S119" i="4"/>
  <c r="M119" i="4"/>
  <c r="J119" i="4"/>
  <c r="L119" i="4"/>
  <c r="I119" i="4"/>
  <c r="F119" i="4"/>
  <c r="R118" i="4"/>
  <c r="S118" i="4"/>
  <c r="M118" i="4"/>
  <c r="J118" i="4"/>
  <c r="L118" i="4"/>
  <c r="I118" i="4"/>
  <c r="F118" i="4"/>
  <c r="R117" i="4"/>
  <c r="S117" i="4"/>
  <c r="J117" i="4"/>
  <c r="M117" i="4"/>
  <c r="I117" i="4"/>
  <c r="F117" i="4"/>
  <c r="L117" i="4"/>
  <c r="R116" i="4"/>
  <c r="S116" i="4"/>
  <c r="J116" i="4"/>
  <c r="M116" i="4"/>
  <c r="F116" i="4"/>
  <c r="I116" i="4"/>
  <c r="L116" i="4"/>
  <c r="R115" i="4"/>
  <c r="S115" i="4"/>
  <c r="J115" i="4"/>
  <c r="M115" i="4"/>
  <c r="F115" i="4"/>
  <c r="I115" i="4"/>
  <c r="L115" i="4"/>
  <c r="R114" i="4"/>
  <c r="S114" i="4"/>
  <c r="M114" i="4"/>
  <c r="J114" i="4"/>
  <c r="L114" i="4"/>
  <c r="I114" i="4"/>
  <c r="F114" i="4"/>
  <c r="R113" i="4"/>
  <c r="S113" i="4"/>
  <c r="M113" i="4"/>
  <c r="J113" i="4"/>
  <c r="L113" i="4"/>
  <c r="I113" i="4"/>
  <c r="F113" i="4"/>
  <c r="R112" i="4"/>
  <c r="S112" i="4"/>
  <c r="M112" i="4"/>
  <c r="J112" i="4"/>
  <c r="L112" i="4"/>
  <c r="I112" i="4"/>
  <c r="F112" i="4"/>
  <c r="R111" i="4"/>
  <c r="S111" i="4"/>
  <c r="J111" i="4"/>
  <c r="M111" i="4"/>
  <c r="F111" i="4"/>
  <c r="I111" i="4"/>
  <c r="L111" i="4"/>
  <c r="R110" i="4"/>
  <c r="S110" i="4"/>
  <c r="J110" i="4"/>
  <c r="M110" i="4"/>
  <c r="F110" i="4"/>
  <c r="I110" i="4"/>
  <c r="L110" i="4"/>
  <c r="R109" i="4"/>
  <c r="S109" i="4"/>
  <c r="M109" i="4"/>
  <c r="J109" i="4"/>
  <c r="L109" i="4"/>
  <c r="I109" i="4"/>
  <c r="F109" i="4"/>
  <c r="R108" i="4"/>
  <c r="S108" i="4"/>
  <c r="J108" i="4"/>
  <c r="M108" i="4"/>
  <c r="F108" i="4"/>
  <c r="I108" i="4"/>
  <c r="L108" i="4"/>
  <c r="R107" i="4"/>
  <c r="S107" i="4"/>
  <c r="J107" i="4"/>
  <c r="M107" i="4"/>
  <c r="F107" i="4"/>
  <c r="I107" i="4"/>
  <c r="L107" i="4"/>
  <c r="R106" i="4"/>
  <c r="S106" i="4"/>
  <c r="M106" i="4"/>
  <c r="J106" i="4"/>
  <c r="L106" i="4"/>
  <c r="F106" i="4"/>
  <c r="I106" i="4"/>
  <c r="R105" i="4"/>
  <c r="S105" i="4"/>
  <c r="J105" i="4"/>
  <c r="M105" i="4"/>
  <c r="F105" i="4"/>
  <c r="I105" i="4"/>
  <c r="L105" i="4"/>
  <c r="R104" i="4"/>
  <c r="S104" i="4"/>
  <c r="M104" i="4"/>
  <c r="J104" i="4"/>
  <c r="L104" i="4"/>
  <c r="I104" i="4"/>
  <c r="F104" i="4"/>
  <c r="R103" i="4"/>
  <c r="S103" i="4"/>
  <c r="J103" i="4"/>
  <c r="M103" i="4"/>
  <c r="F103" i="4"/>
  <c r="L103" i="4"/>
  <c r="I103" i="4"/>
  <c r="R102" i="4"/>
  <c r="S102" i="4"/>
  <c r="M102" i="4"/>
  <c r="J102" i="4"/>
  <c r="L102" i="4"/>
  <c r="I102" i="4"/>
  <c r="F102" i="4"/>
  <c r="R101" i="4"/>
  <c r="S101" i="4"/>
  <c r="M101" i="4"/>
  <c r="J101" i="4"/>
  <c r="L101" i="4"/>
  <c r="I101" i="4"/>
  <c r="F101" i="4"/>
  <c r="R100" i="4"/>
  <c r="S100" i="4"/>
  <c r="M100" i="4"/>
  <c r="J100" i="4"/>
  <c r="L100" i="4"/>
  <c r="I100" i="4"/>
  <c r="F100" i="4"/>
  <c r="R99" i="4"/>
  <c r="S99" i="4"/>
  <c r="J99" i="4"/>
  <c r="M99" i="4"/>
  <c r="L99" i="4"/>
  <c r="I99" i="4"/>
  <c r="F99" i="4"/>
  <c r="R98" i="4"/>
  <c r="S98" i="4"/>
  <c r="M98" i="4"/>
  <c r="J98" i="4"/>
  <c r="L98" i="4"/>
  <c r="I98" i="4"/>
  <c r="F98" i="4"/>
  <c r="R97" i="4"/>
  <c r="S97" i="4"/>
  <c r="M97" i="4"/>
  <c r="J97" i="4"/>
  <c r="L97" i="4"/>
  <c r="I97" i="4"/>
  <c r="F97" i="4"/>
  <c r="R96" i="4"/>
  <c r="S96" i="4"/>
  <c r="M96" i="4"/>
  <c r="J96" i="4"/>
  <c r="F96" i="4"/>
  <c r="L96" i="4"/>
  <c r="I96" i="4"/>
  <c r="R95" i="4"/>
  <c r="S95" i="4"/>
  <c r="J95" i="4"/>
  <c r="M95" i="4"/>
  <c r="F95" i="4"/>
  <c r="L95" i="4"/>
  <c r="I95" i="4"/>
  <c r="R94" i="4"/>
  <c r="S94" i="4"/>
  <c r="J94" i="4"/>
  <c r="M94" i="4"/>
  <c r="F94" i="4"/>
  <c r="L94" i="4"/>
  <c r="I94" i="4"/>
  <c r="R93" i="4"/>
  <c r="S93" i="4"/>
  <c r="J93" i="4"/>
  <c r="M93" i="4"/>
  <c r="F93" i="4"/>
  <c r="L93" i="4"/>
  <c r="I93" i="4"/>
  <c r="R92" i="4"/>
  <c r="S92" i="4"/>
  <c r="J92" i="4"/>
  <c r="M92" i="4"/>
  <c r="F92" i="4"/>
  <c r="L92" i="4"/>
  <c r="I92" i="4"/>
  <c r="R91" i="4"/>
  <c r="S91" i="4"/>
  <c r="J91" i="4"/>
  <c r="M91" i="4"/>
  <c r="F91" i="4"/>
  <c r="I91" i="4"/>
  <c r="L91" i="4"/>
  <c r="R90" i="4"/>
  <c r="S90" i="4"/>
  <c r="J90" i="4"/>
  <c r="M90" i="4"/>
  <c r="F90" i="4"/>
  <c r="I90" i="4"/>
  <c r="L90" i="4"/>
  <c r="R89" i="4"/>
  <c r="S89" i="4"/>
  <c r="M89" i="4"/>
  <c r="J89" i="4"/>
  <c r="L89" i="4"/>
  <c r="I89" i="4"/>
  <c r="F89" i="4"/>
  <c r="R88" i="4"/>
  <c r="S88" i="4"/>
  <c r="M88" i="4"/>
  <c r="J88" i="4"/>
  <c r="L88" i="4"/>
  <c r="I88" i="4"/>
  <c r="F88" i="4"/>
  <c r="R87" i="4"/>
  <c r="S87" i="4"/>
  <c r="M87" i="4"/>
  <c r="J87" i="4"/>
  <c r="L87" i="4"/>
  <c r="I87" i="4"/>
  <c r="F87" i="4"/>
  <c r="R86" i="4"/>
  <c r="S86" i="4"/>
  <c r="M86" i="4"/>
  <c r="J86" i="4"/>
  <c r="L86" i="4"/>
  <c r="I86" i="4"/>
  <c r="F86" i="4"/>
  <c r="R85" i="4"/>
  <c r="S85" i="4"/>
  <c r="M85" i="4"/>
  <c r="J85" i="4"/>
  <c r="I85" i="4"/>
  <c r="F85" i="4"/>
  <c r="L85" i="4"/>
  <c r="R84" i="4"/>
  <c r="S84" i="4"/>
  <c r="M84" i="4"/>
  <c r="J84" i="4"/>
  <c r="L84" i="4"/>
  <c r="I84" i="4"/>
  <c r="F84" i="4"/>
  <c r="R83" i="4"/>
  <c r="S83" i="4"/>
  <c r="J83" i="4"/>
  <c r="M83" i="4"/>
  <c r="L83" i="4"/>
  <c r="I83" i="4"/>
  <c r="F83" i="4"/>
  <c r="R82" i="4"/>
  <c r="S82" i="4"/>
  <c r="M82" i="4"/>
  <c r="J82" i="4"/>
  <c r="L82" i="4"/>
  <c r="I82" i="4"/>
  <c r="F82" i="4"/>
  <c r="R81" i="4"/>
  <c r="S81" i="4"/>
  <c r="J81" i="4"/>
  <c r="M81" i="4"/>
  <c r="L81" i="4"/>
  <c r="F81" i="4"/>
  <c r="I81" i="4"/>
  <c r="R80" i="4"/>
  <c r="S80" i="4"/>
  <c r="M80" i="4"/>
  <c r="J80" i="4"/>
  <c r="L80" i="4"/>
  <c r="I80" i="4"/>
  <c r="F80" i="4"/>
  <c r="R79" i="4"/>
  <c r="S79" i="4"/>
  <c r="M79" i="4"/>
  <c r="J79" i="4"/>
  <c r="L79" i="4"/>
  <c r="I79" i="4"/>
  <c r="F79" i="4"/>
  <c r="R78" i="4"/>
  <c r="S78" i="4"/>
  <c r="M78" i="4"/>
  <c r="J78" i="4"/>
  <c r="L78" i="4"/>
  <c r="I78" i="4"/>
  <c r="F78" i="4"/>
  <c r="R77" i="4"/>
  <c r="S77" i="4"/>
  <c r="M77" i="4"/>
  <c r="J77" i="4"/>
  <c r="L77" i="4"/>
  <c r="I77" i="4"/>
  <c r="F77" i="4"/>
  <c r="R76" i="4"/>
  <c r="S76" i="4"/>
  <c r="M76" i="4"/>
  <c r="J76" i="4"/>
  <c r="L76" i="4"/>
  <c r="I76" i="4"/>
  <c r="F76" i="4"/>
  <c r="R75" i="4"/>
  <c r="S75" i="4"/>
  <c r="J75" i="4"/>
  <c r="M75" i="4"/>
  <c r="L75" i="4"/>
  <c r="I75" i="4"/>
  <c r="F75" i="4"/>
  <c r="R74" i="4"/>
  <c r="S74" i="4"/>
  <c r="M74" i="4"/>
  <c r="J74" i="4"/>
  <c r="L74" i="4"/>
  <c r="I74" i="4"/>
  <c r="F74" i="4"/>
  <c r="R73" i="4"/>
  <c r="S73" i="4"/>
  <c r="M73" i="4"/>
  <c r="J73" i="4"/>
  <c r="L73" i="4"/>
  <c r="I73" i="4"/>
  <c r="F73" i="4"/>
  <c r="R72" i="4"/>
  <c r="S72" i="4"/>
  <c r="M72" i="4"/>
  <c r="J72" i="4"/>
  <c r="L72" i="4"/>
  <c r="I72" i="4"/>
  <c r="F72" i="4"/>
  <c r="R71" i="4"/>
  <c r="S71" i="4"/>
  <c r="M71" i="4"/>
  <c r="J71" i="4"/>
  <c r="L71" i="4"/>
  <c r="I71" i="4"/>
  <c r="F71" i="4"/>
  <c r="R70" i="4"/>
  <c r="S70" i="4"/>
  <c r="M70" i="4"/>
  <c r="J70" i="4"/>
  <c r="L70" i="4"/>
  <c r="I70" i="4"/>
  <c r="F70" i="4"/>
  <c r="R69" i="4"/>
  <c r="S69" i="4"/>
  <c r="M69" i="4"/>
  <c r="J69" i="4"/>
  <c r="L69" i="4"/>
  <c r="I69" i="4"/>
  <c r="F69" i="4"/>
  <c r="R68" i="4"/>
  <c r="S68" i="4"/>
  <c r="M68" i="4"/>
  <c r="J68" i="4"/>
  <c r="L68" i="4"/>
  <c r="I68" i="4"/>
  <c r="F68" i="4"/>
  <c r="R67" i="4"/>
  <c r="S67" i="4"/>
  <c r="M67" i="4"/>
  <c r="J67" i="4"/>
  <c r="L67" i="4"/>
  <c r="I67" i="4"/>
  <c r="F67" i="4"/>
  <c r="R66" i="4"/>
  <c r="S66" i="4"/>
  <c r="M66" i="4"/>
  <c r="J66" i="4"/>
  <c r="L66" i="4"/>
  <c r="I66" i="4"/>
  <c r="F66" i="4"/>
  <c r="R65" i="4"/>
  <c r="S65" i="4"/>
  <c r="M65" i="4"/>
  <c r="J65" i="4"/>
  <c r="L65" i="4"/>
  <c r="I65" i="4"/>
  <c r="F65" i="4"/>
  <c r="R64" i="4"/>
  <c r="S64" i="4"/>
  <c r="M64" i="4"/>
  <c r="J64" i="4"/>
  <c r="L64" i="4"/>
  <c r="I64" i="4"/>
  <c r="F64" i="4"/>
  <c r="R63" i="4"/>
  <c r="S63" i="4"/>
  <c r="M63" i="4"/>
  <c r="J63" i="4"/>
  <c r="L63" i="4"/>
  <c r="I63" i="4"/>
  <c r="F63" i="4"/>
  <c r="R62" i="4"/>
  <c r="S62" i="4"/>
  <c r="M62" i="4"/>
  <c r="J62" i="4"/>
  <c r="L62" i="4"/>
  <c r="I62" i="4"/>
  <c r="F62" i="4"/>
  <c r="R61" i="4"/>
  <c r="S61" i="4"/>
  <c r="M61" i="4"/>
  <c r="J61" i="4"/>
  <c r="L61" i="4"/>
  <c r="I61" i="4"/>
  <c r="F61" i="4"/>
  <c r="R60" i="4"/>
  <c r="S60" i="4"/>
  <c r="J60" i="4"/>
  <c r="M60" i="4"/>
  <c r="I60" i="4"/>
  <c r="F60" i="4"/>
  <c r="L60" i="4"/>
  <c r="R59" i="4"/>
  <c r="S59" i="4"/>
  <c r="M59" i="4"/>
  <c r="J59" i="4"/>
  <c r="L59" i="4"/>
  <c r="F59" i="4"/>
  <c r="I59" i="4"/>
  <c r="R58" i="4"/>
  <c r="S58" i="4"/>
  <c r="M58" i="4"/>
  <c r="J58" i="4"/>
  <c r="L58" i="4"/>
  <c r="I58" i="4"/>
  <c r="F58" i="4"/>
  <c r="R57" i="4"/>
  <c r="S57" i="4"/>
  <c r="M57" i="4"/>
  <c r="J57" i="4"/>
  <c r="L57" i="4"/>
  <c r="I57" i="4"/>
  <c r="F57" i="4"/>
  <c r="R56" i="4"/>
  <c r="S56" i="4"/>
  <c r="J56" i="4"/>
  <c r="M56" i="4"/>
  <c r="L56" i="4"/>
  <c r="I56" i="4"/>
  <c r="F56" i="4"/>
  <c r="R55" i="4"/>
  <c r="S55" i="4"/>
  <c r="M55" i="4"/>
  <c r="J55" i="4"/>
  <c r="L55" i="4"/>
  <c r="I55" i="4"/>
  <c r="F55" i="4"/>
  <c r="R54" i="4"/>
  <c r="S54" i="4"/>
  <c r="J54" i="4"/>
  <c r="M54" i="4"/>
  <c r="L54" i="4"/>
  <c r="I54" i="4"/>
  <c r="F54" i="4"/>
  <c r="R53" i="4"/>
  <c r="S53" i="4"/>
  <c r="M53" i="4"/>
  <c r="J53" i="4"/>
  <c r="L53" i="4"/>
  <c r="I53" i="4"/>
  <c r="F53" i="4"/>
  <c r="R52" i="4"/>
  <c r="S52" i="4"/>
  <c r="M52" i="4"/>
  <c r="J52" i="4"/>
  <c r="F52" i="4"/>
  <c r="I52" i="4"/>
  <c r="L52" i="4"/>
  <c r="R51" i="4"/>
  <c r="S51" i="4"/>
  <c r="M51" i="4"/>
  <c r="J51" i="4"/>
  <c r="L51" i="4"/>
  <c r="I51" i="4"/>
  <c r="F51" i="4"/>
  <c r="R50" i="4"/>
  <c r="S50" i="4"/>
  <c r="M50" i="4"/>
  <c r="J50" i="4"/>
  <c r="L50" i="4"/>
  <c r="I50" i="4"/>
  <c r="F50" i="4"/>
  <c r="R49" i="4"/>
  <c r="S49" i="4"/>
  <c r="J49" i="4"/>
  <c r="M49" i="4"/>
  <c r="L49" i="4"/>
  <c r="F49" i="4"/>
  <c r="I49" i="4"/>
  <c r="R48" i="4"/>
  <c r="S48" i="4"/>
  <c r="M48" i="4"/>
  <c r="J48" i="4"/>
  <c r="L48" i="4"/>
  <c r="I48" i="4"/>
  <c r="F48" i="4"/>
  <c r="R47" i="4"/>
  <c r="S47" i="4"/>
  <c r="M47" i="4"/>
  <c r="J47" i="4"/>
  <c r="I47" i="4"/>
  <c r="F47" i="4"/>
  <c r="L47" i="4"/>
  <c r="R46" i="4"/>
  <c r="S46" i="4"/>
  <c r="J46" i="4"/>
  <c r="M46" i="4"/>
  <c r="I46" i="4"/>
  <c r="F46" i="4"/>
  <c r="L46" i="4"/>
  <c r="R45" i="4"/>
  <c r="S45" i="4"/>
  <c r="M45" i="4"/>
  <c r="J45" i="4"/>
  <c r="L45" i="4"/>
  <c r="I45" i="4"/>
  <c r="F45" i="4"/>
  <c r="R44" i="4"/>
  <c r="S44" i="4"/>
  <c r="M44" i="4"/>
  <c r="J44" i="4"/>
  <c r="F44" i="4"/>
  <c r="I44" i="4"/>
  <c r="L44" i="4"/>
  <c r="R43" i="4"/>
  <c r="S43" i="4"/>
  <c r="M43" i="4"/>
  <c r="J43" i="4"/>
  <c r="I43" i="4"/>
  <c r="F43" i="4"/>
  <c r="L43" i="4"/>
  <c r="R42" i="4"/>
  <c r="S42" i="4"/>
  <c r="M42" i="4"/>
  <c r="J42" i="4"/>
  <c r="L42" i="4"/>
  <c r="I42" i="4"/>
  <c r="F42" i="4"/>
  <c r="R41" i="4"/>
  <c r="S41" i="4"/>
  <c r="M41" i="4"/>
  <c r="J41" i="4"/>
  <c r="I41" i="4"/>
  <c r="F41" i="4"/>
  <c r="L41" i="4"/>
  <c r="R40" i="4"/>
  <c r="S40" i="4"/>
  <c r="M40" i="4"/>
  <c r="J40" i="4"/>
  <c r="L40" i="4"/>
  <c r="I40" i="4"/>
  <c r="F40" i="4"/>
  <c r="R39" i="4"/>
  <c r="S39" i="4"/>
  <c r="M39" i="4"/>
  <c r="J39" i="4"/>
  <c r="F39" i="4"/>
  <c r="L39" i="4"/>
  <c r="I39" i="4"/>
  <c r="R38" i="4"/>
  <c r="S38" i="4"/>
  <c r="M38" i="4"/>
  <c r="J38" i="4"/>
  <c r="L38" i="4"/>
  <c r="I38" i="4"/>
  <c r="F38" i="4"/>
  <c r="R37" i="4"/>
  <c r="S37" i="4"/>
  <c r="J37" i="4"/>
  <c r="M37" i="4"/>
  <c r="I37" i="4"/>
  <c r="L37" i="4"/>
  <c r="F37" i="4"/>
  <c r="R36" i="4"/>
  <c r="S36" i="4"/>
  <c r="M36" i="4"/>
  <c r="J36" i="4"/>
  <c r="L36" i="4"/>
  <c r="I36" i="4"/>
  <c r="F36" i="4"/>
  <c r="R35" i="4"/>
  <c r="S35" i="4"/>
  <c r="M35" i="4"/>
  <c r="J35" i="4"/>
  <c r="L35" i="4"/>
  <c r="I35" i="4"/>
  <c r="F35" i="4"/>
  <c r="R34" i="4"/>
  <c r="S34" i="4"/>
  <c r="J34" i="4"/>
  <c r="M34" i="4"/>
  <c r="F34" i="4"/>
  <c r="L34" i="4"/>
  <c r="I34" i="4"/>
  <c r="R33" i="4"/>
  <c r="S33" i="4"/>
  <c r="M33" i="4"/>
  <c r="J33" i="4"/>
  <c r="L33" i="4"/>
  <c r="I33" i="4"/>
  <c r="F33" i="4"/>
  <c r="R32" i="4"/>
  <c r="S32" i="4"/>
  <c r="M32" i="4"/>
  <c r="J32" i="4"/>
  <c r="L32" i="4"/>
  <c r="I32" i="4"/>
  <c r="F32" i="4"/>
  <c r="R31" i="4"/>
  <c r="S31" i="4"/>
  <c r="J31" i="4"/>
  <c r="M31" i="4"/>
  <c r="L31" i="4"/>
  <c r="I31" i="4"/>
  <c r="F31" i="4"/>
  <c r="R30" i="4"/>
  <c r="S30" i="4"/>
  <c r="M30" i="4"/>
  <c r="J30" i="4"/>
  <c r="L30" i="4"/>
  <c r="I30" i="4"/>
  <c r="F30" i="4"/>
  <c r="R29" i="4"/>
  <c r="S29" i="4"/>
  <c r="M29" i="4"/>
  <c r="J29" i="4"/>
  <c r="L29" i="4"/>
  <c r="I29" i="4"/>
  <c r="F29" i="4"/>
  <c r="R28" i="4"/>
  <c r="S28" i="4"/>
  <c r="J28" i="4"/>
  <c r="M28" i="4"/>
  <c r="F28" i="4"/>
  <c r="L28" i="4"/>
  <c r="I28" i="4"/>
  <c r="R27" i="4"/>
  <c r="S27" i="4"/>
  <c r="J27" i="4"/>
  <c r="M27" i="4"/>
  <c r="F27" i="4"/>
  <c r="L27" i="4"/>
  <c r="I27" i="4"/>
  <c r="R26" i="4"/>
  <c r="S26" i="4"/>
  <c r="M26" i="4"/>
  <c r="J26" i="4"/>
  <c r="L26" i="4"/>
  <c r="I26" i="4"/>
  <c r="F26" i="4"/>
  <c r="R25" i="4"/>
  <c r="S25" i="4"/>
  <c r="M25" i="4"/>
  <c r="J25" i="4"/>
  <c r="L25" i="4"/>
  <c r="I25" i="4"/>
  <c r="F25" i="4"/>
  <c r="R24" i="4"/>
  <c r="S24" i="4"/>
  <c r="M24" i="4"/>
  <c r="J24" i="4"/>
  <c r="L24" i="4"/>
  <c r="I24" i="4"/>
  <c r="F24" i="4"/>
  <c r="R23" i="4"/>
  <c r="S23" i="4"/>
  <c r="M23" i="4"/>
  <c r="J23" i="4"/>
  <c r="I23" i="4"/>
  <c r="F23" i="4"/>
  <c r="L23" i="4"/>
  <c r="R22" i="4"/>
  <c r="S22" i="4"/>
  <c r="M22" i="4"/>
  <c r="J22" i="4"/>
  <c r="L22" i="4"/>
  <c r="I22" i="4"/>
  <c r="F22" i="4"/>
  <c r="R21" i="4"/>
  <c r="S21" i="4"/>
  <c r="M21" i="4"/>
  <c r="J21" i="4"/>
  <c r="L21" i="4"/>
  <c r="I21" i="4"/>
  <c r="F21" i="4"/>
  <c r="R20" i="4"/>
  <c r="S20" i="4"/>
  <c r="J20" i="4"/>
  <c r="M20" i="4"/>
  <c r="L20" i="4"/>
  <c r="I20" i="4"/>
  <c r="F20" i="4"/>
  <c r="R19" i="4"/>
  <c r="S19" i="4"/>
  <c r="M19" i="4"/>
  <c r="J19" i="4"/>
  <c r="L19" i="4"/>
  <c r="I19" i="4"/>
  <c r="F19" i="4"/>
  <c r="R18" i="4"/>
  <c r="S18" i="4"/>
  <c r="M18" i="4"/>
  <c r="J18" i="4"/>
  <c r="L18" i="4"/>
  <c r="I18" i="4"/>
  <c r="F18" i="4"/>
  <c r="R17" i="4"/>
  <c r="S17" i="4"/>
  <c r="J17" i="4"/>
  <c r="M17" i="4"/>
  <c r="I17" i="4"/>
  <c r="F17" i="4"/>
  <c r="L17" i="4"/>
  <c r="R16" i="4"/>
  <c r="S16" i="4"/>
  <c r="M16" i="4"/>
  <c r="J16" i="4"/>
  <c r="L16" i="4"/>
  <c r="I16" i="4"/>
  <c r="F16" i="4"/>
  <c r="R15" i="4"/>
  <c r="S15" i="4"/>
  <c r="M15" i="4"/>
  <c r="J15" i="4"/>
  <c r="L15" i="4"/>
  <c r="I15" i="4"/>
  <c r="F15" i="4"/>
  <c r="R14" i="4"/>
  <c r="S14" i="4"/>
  <c r="M14" i="4"/>
  <c r="J14" i="4"/>
  <c r="L14" i="4"/>
  <c r="F14" i="4"/>
  <c r="I14" i="4"/>
  <c r="R13" i="4"/>
  <c r="S13" i="4"/>
  <c r="L13" i="4"/>
  <c r="F13" i="4"/>
  <c r="R12" i="4"/>
  <c r="S12" i="4"/>
  <c r="F12" i="4"/>
  <c r="L12" i="4"/>
  <c r="R11" i="4"/>
  <c r="S11" i="4"/>
  <c r="L11" i="4"/>
  <c r="F11" i="4"/>
  <c r="R10" i="4"/>
  <c r="S10" i="4"/>
  <c r="L10" i="4"/>
  <c r="F10" i="4"/>
  <c r="R9" i="4"/>
  <c r="S9" i="4"/>
  <c r="L9" i="4"/>
  <c r="F9" i="4"/>
  <c r="R8" i="4"/>
  <c r="S8" i="4"/>
  <c r="L8" i="4"/>
  <c r="F8" i="4"/>
  <c r="R7" i="4"/>
  <c r="S7" i="4"/>
  <c r="L7" i="4"/>
  <c r="F7" i="4"/>
  <c r="R6" i="4"/>
  <c r="S6" i="4"/>
  <c r="L6" i="4"/>
  <c r="F6" i="4"/>
  <c r="R5" i="4"/>
  <c r="S5" i="4"/>
  <c r="F5" i="4"/>
  <c r="L5" i="4"/>
  <c r="R4" i="4"/>
  <c r="S4" i="4"/>
  <c r="L4" i="4"/>
  <c r="F4" i="4"/>
  <c r="R3" i="4"/>
  <c r="S3" i="4"/>
  <c r="L3" i="4"/>
  <c r="F3" i="4"/>
  <c r="R2" i="4"/>
  <c r="S2" i="4"/>
  <c r="G2" i="4"/>
  <c r="H2" i="4"/>
  <c r="P99" i="3"/>
  <c r="Q99" i="3"/>
  <c r="E99" i="3"/>
  <c r="F99" i="3"/>
  <c r="N98" i="3"/>
  <c r="N100" i="3" s="1"/>
  <c r="M98" i="3"/>
  <c r="C98" i="3"/>
  <c r="C100" i="3" s="1"/>
  <c r="B98" i="3"/>
  <c r="P92" i="3"/>
  <c r="Q92" i="3"/>
  <c r="H92" i="3"/>
  <c r="K92" i="3"/>
  <c r="J92" i="3"/>
  <c r="G92" i="3"/>
  <c r="D92" i="3"/>
  <c r="P91" i="3"/>
  <c r="Q91" i="3"/>
  <c r="K91" i="3"/>
  <c r="H91" i="3"/>
  <c r="J91" i="3"/>
  <c r="G91" i="3"/>
  <c r="D91" i="3"/>
  <c r="P90" i="3"/>
  <c r="Q90" i="3"/>
  <c r="H90" i="3"/>
  <c r="K90" i="3"/>
  <c r="D90" i="3"/>
  <c r="G90" i="3"/>
  <c r="J90" i="3"/>
  <c r="P89" i="3"/>
  <c r="Q89" i="3"/>
  <c r="K89" i="3"/>
  <c r="H89" i="3"/>
  <c r="D89" i="3"/>
  <c r="J89" i="3"/>
  <c r="G89" i="3"/>
  <c r="P88" i="3"/>
  <c r="Q88" i="3"/>
  <c r="K88" i="3"/>
  <c r="H88" i="3"/>
  <c r="J88" i="3"/>
  <c r="G88" i="3"/>
  <c r="D88" i="3"/>
  <c r="P87" i="3"/>
  <c r="Q87" i="3"/>
  <c r="H87" i="3"/>
  <c r="K87" i="3"/>
  <c r="G87" i="3"/>
  <c r="D87" i="3"/>
  <c r="J87" i="3"/>
  <c r="P86" i="3"/>
  <c r="Q86" i="3"/>
  <c r="K86" i="3"/>
  <c r="H86" i="3"/>
  <c r="J86" i="3"/>
  <c r="G86" i="3"/>
  <c r="D86" i="3"/>
  <c r="P85" i="3"/>
  <c r="Q85" i="3"/>
  <c r="K85" i="3"/>
  <c r="H85" i="3"/>
  <c r="J85" i="3"/>
  <c r="G85" i="3"/>
  <c r="D85" i="3"/>
  <c r="P84" i="3"/>
  <c r="Q84" i="3"/>
  <c r="H84" i="3"/>
  <c r="K84" i="3"/>
  <c r="G84" i="3"/>
  <c r="D84" i="3"/>
  <c r="J84" i="3"/>
  <c r="P83" i="3"/>
  <c r="Q83" i="3"/>
  <c r="K83" i="3"/>
  <c r="H83" i="3"/>
  <c r="J83" i="3"/>
  <c r="G83" i="3"/>
  <c r="D83" i="3"/>
  <c r="P82" i="3"/>
  <c r="Q82" i="3"/>
  <c r="K82" i="3"/>
  <c r="H82" i="3"/>
  <c r="J82" i="3"/>
  <c r="G82" i="3"/>
  <c r="D82" i="3"/>
  <c r="P81" i="3"/>
  <c r="Q81" i="3"/>
  <c r="H81" i="3"/>
  <c r="K81" i="3"/>
  <c r="G81" i="3"/>
  <c r="D81" i="3"/>
  <c r="J81" i="3"/>
  <c r="P80" i="3"/>
  <c r="Q80" i="3"/>
  <c r="K80" i="3"/>
  <c r="H80" i="3"/>
  <c r="J80" i="3"/>
  <c r="G80" i="3"/>
  <c r="D80" i="3"/>
  <c r="P79" i="3"/>
  <c r="Q79" i="3"/>
  <c r="K79" i="3"/>
  <c r="H79" i="3"/>
  <c r="J79" i="3"/>
  <c r="G79" i="3"/>
  <c r="D79" i="3"/>
  <c r="P78" i="3"/>
  <c r="Q78" i="3"/>
  <c r="K78" i="3"/>
  <c r="H78" i="3"/>
  <c r="G78" i="3"/>
  <c r="D78" i="3"/>
  <c r="J78" i="3"/>
  <c r="P77" i="3"/>
  <c r="Q77" i="3"/>
  <c r="H77" i="3"/>
  <c r="K77" i="3"/>
  <c r="G77" i="3"/>
  <c r="J77" i="3"/>
  <c r="D77" i="3"/>
  <c r="P76" i="3"/>
  <c r="Q76" i="3"/>
  <c r="K76" i="3"/>
  <c r="H76" i="3"/>
  <c r="D76" i="3"/>
  <c r="J76" i="3"/>
  <c r="G76" i="3"/>
  <c r="P75" i="3"/>
  <c r="Q75" i="3"/>
  <c r="K75" i="3"/>
  <c r="H75" i="3"/>
  <c r="J75" i="3"/>
  <c r="G75" i="3"/>
  <c r="D75" i="3"/>
  <c r="P74" i="3"/>
  <c r="Q74" i="3"/>
  <c r="K74" i="3"/>
  <c r="H74" i="3"/>
  <c r="J74" i="3"/>
  <c r="G74" i="3"/>
  <c r="D74" i="3"/>
  <c r="P73" i="3"/>
  <c r="Q73" i="3"/>
  <c r="H73" i="3"/>
  <c r="K73" i="3"/>
  <c r="D73" i="3"/>
  <c r="G73" i="3"/>
  <c r="J73" i="3"/>
  <c r="P72" i="3"/>
  <c r="Q72" i="3"/>
  <c r="K72" i="3"/>
  <c r="H72" i="3"/>
  <c r="J72" i="3"/>
  <c r="G72" i="3"/>
  <c r="D72" i="3"/>
  <c r="P71" i="3"/>
  <c r="Q71" i="3"/>
  <c r="K71" i="3"/>
  <c r="H71" i="3"/>
  <c r="J71" i="3"/>
  <c r="G71" i="3"/>
  <c r="D71" i="3"/>
  <c r="P70" i="3"/>
  <c r="Q70" i="3"/>
  <c r="H70" i="3"/>
  <c r="K70" i="3"/>
  <c r="D70" i="3"/>
  <c r="G70" i="3"/>
  <c r="J70" i="3"/>
  <c r="P69" i="3"/>
  <c r="Q69" i="3"/>
  <c r="K69" i="3"/>
  <c r="H69" i="3"/>
  <c r="J69" i="3"/>
  <c r="G69" i="3"/>
  <c r="D69" i="3"/>
  <c r="P68" i="3"/>
  <c r="Q68" i="3"/>
  <c r="K68" i="3"/>
  <c r="H68" i="3"/>
  <c r="J68" i="3"/>
  <c r="G68" i="3"/>
  <c r="D68" i="3"/>
  <c r="P67" i="3"/>
  <c r="Q67" i="3"/>
  <c r="K67" i="3"/>
  <c r="H67" i="3"/>
  <c r="J67" i="3"/>
  <c r="D67" i="3"/>
  <c r="G67" i="3"/>
  <c r="P66" i="3"/>
  <c r="Q66" i="3"/>
  <c r="K66" i="3"/>
  <c r="H66" i="3"/>
  <c r="J66" i="3"/>
  <c r="G66" i="3"/>
  <c r="D66" i="3"/>
  <c r="P65" i="3"/>
  <c r="Q65" i="3"/>
  <c r="K65" i="3"/>
  <c r="H65" i="3"/>
  <c r="G65" i="3"/>
  <c r="D65" i="3"/>
  <c r="J65" i="3"/>
  <c r="P64" i="3"/>
  <c r="Q64" i="3"/>
  <c r="K64" i="3"/>
  <c r="H64" i="3"/>
  <c r="J64" i="3"/>
  <c r="G64" i="3"/>
  <c r="D64" i="3"/>
  <c r="P63" i="3"/>
  <c r="Q63" i="3"/>
  <c r="K63" i="3"/>
  <c r="H63" i="3"/>
  <c r="J63" i="3"/>
  <c r="G63" i="3"/>
  <c r="D63" i="3"/>
  <c r="P62" i="3"/>
  <c r="Q62" i="3"/>
  <c r="K62" i="3"/>
  <c r="H62" i="3"/>
  <c r="G62" i="3"/>
  <c r="D62" i="3"/>
  <c r="J62" i="3"/>
  <c r="P61" i="3"/>
  <c r="Q61" i="3"/>
  <c r="K61" i="3"/>
  <c r="H61" i="3"/>
  <c r="J61" i="3"/>
  <c r="G61" i="3"/>
  <c r="D61" i="3"/>
  <c r="P60" i="3"/>
  <c r="Q60" i="3"/>
  <c r="K60" i="3"/>
  <c r="H60" i="3"/>
  <c r="J60" i="3"/>
  <c r="G60" i="3"/>
  <c r="D60" i="3"/>
  <c r="P59" i="3"/>
  <c r="Q59" i="3"/>
  <c r="K59" i="3"/>
  <c r="H59" i="3"/>
  <c r="G59" i="3"/>
  <c r="D59" i="3"/>
  <c r="J59" i="3"/>
  <c r="P58" i="3"/>
  <c r="Q58" i="3"/>
  <c r="K58" i="3"/>
  <c r="H58" i="3"/>
  <c r="J58" i="3"/>
  <c r="G58" i="3"/>
  <c r="D58" i="3"/>
  <c r="P57" i="3"/>
  <c r="Q57" i="3"/>
  <c r="K57" i="3"/>
  <c r="H57" i="3"/>
  <c r="J57" i="3"/>
  <c r="G57" i="3"/>
  <c r="D57" i="3"/>
  <c r="P56" i="3"/>
  <c r="Q56" i="3"/>
  <c r="K56" i="3"/>
  <c r="H56" i="3"/>
  <c r="G56" i="3"/>
  <c r="D56" i="3"/>
  <c r="J56" i="3"/>
  <c r="P55" i="3"/>
  <c r="Q55" i="3"/>
  <c r="K55" i="3"/>
  <c r="H55" i="3"/>
  <c r="J55" i="3"/>
  <c r="G55" i="3"/>
  <c r="D55" i="3"/>
  <c r="P54" i="3"/>
  <c r="Q54" i="3"/>
  <c r="K54" i="3"/>
  <c r="H54" i="3"/>
  <c r="J54" i="3"/>
  <c r="G54" i="3"/>
  <c r="D54" i="3"/>
  <c r="P53" i="3"/>
  <c r="Q53" i="3"/>
  <c r="H53" i="3"/>
  <c r="K53" i="3"/>
  <c r="J53" i="3"/>
  <c r="D53" i="3"/>
  <c r="G53" i="3"/>
  <c r="P52" i="3"/>
  <c r="Q52" i="3"/>
  <c r="H52" i="3"/>
  <c r="K52" i="3"/>
  <c r="D52" i="3"/>
  <c r="G52" i="3"/>
  <c r="J52" i="3"/>
  <c r="P51" i="3"/>
  <c r="Q51" i="3"/>
  <c r="H51" i="3"/>
  <c r="K51" i="3"/>
  <c r="D51" i="3"/>
  <c r="G51" i="3"/>
  <c r="J51" i="3"/>
  <c r="P50" i="3"/>
  <c r="Q50" i="3"/>
  <c r="H50" i="3"/>
  <c r="K50" i="3"/>
  <c r="G50" i="3"/>
  <c r="D50" i="3"/>
  <c r="J50" i="3"/>
  <c r="P49" i="3"/>
  <c r="Q49" i="3"/>
  <c r="H49" i="3"/>
  <c r="K49" i="3"/>
  <c r="J49" i="3"/>
  <c r="D49" i="3"/>
  <c r="G49" i="3"/>
  <c r="P48" i="3"/>
  <c r="Q48" i="3"/>
  <c r="H48" i="3"/>
  <c r="K48" i="3"/>
  <c r="D48" i="3"/>
  <c r="G48" i="3"/>
  <c r="J48" i="3"/>
  <c r="P47" i="3"/>
  <c r="Q47" i="3"/>
  <c r="H47" i="3"/>
  <c r="K47" i="3"/>
  <c r="D47" i="3"/>
  <c r="G47" i="3"/>
  <c r="J47" i="3"/>
  <c r="P46" i="3"/>
  <c r="Q46" i="3"/>
  <c r="K46" i="3"/>
  <c r="H46" i="3"/>
  <c r="J46" i="3"/>
  <c r="G46" i="3"/>
  <c r="D46" i="3"/>
  <c r="P45" i="3"/>
  <c r="Q45" i="3"/>
  <c r="K45" i="3"/>
  <c r="H45" i="3"/>
  <c r="J45" i="3"/>
  <c r="D45" i="3"/>
  <c r="G45" i="3"/>
  <c r="P44" i="3"/>
  <c r="Q44" i="3"/>
  <c r="K44" i="3"/>
  <c r="H44" i="3"/>
  <c r="D44" i="3"/>
  <c r="G44" i="3"/>
  <c r="J44" i="3"/>
  <c r="P43" i="3"/>
  <c r="Q43" i="3"/>
  <c r="K43" i="3"/>
  <c r="H43" i="3"/>
  <c r="D43" i="3"/>
  <c r="J43" i="3"/>
  <c r="G43" i="3"/>
  <c r="P42" i="3"/>
  <c r="Q42" i="3"/>
  <c r="H42" i="3"/>
  <c r="K42" i="3"/>
  <c r="D42" i="3"/>
  <c r="G42" i="3"/>
  <c r="J42" i="3"/>
  <c r="P41" i="3"/>
  <c r="Q41" i="3"/>
  <c r="H41" i="3"/>
  <c r="K41" i="3"/>
  <c r="D41" i="3"/>
  <c r="J41" i="3"/>
  <c r="G41" i="3"/>
  <c r="P40" i="3"/>
  <c r="Q40" i="3"/>
  <c r="H40" i="3"/>
  <c r="K40" i="3"/>
  <c r="J40" i="3"/>
  <c r="G40" i="3"/>
  <c r="D40" i="3"/>
  <c r="P39" i="3"/>
  <c r="Q39" i="3"/>
  <c r="K39" i="3"/>
  <c r="H39" i="3"/>
  <c r="D39" i="3"/>
  <c r="J39" i="3"/>
  <c r="G39" i="3"/>
  <c r="P38" i="3"/>
  <c r="Q38" i="3"/>
  <c r="K38" i="3"/>
  <c r="H38" i="3"/>
  <c r="J38" i="3"/>
  <c r="G38" i="3"/>
  <c r="D38" i="3"/>
  <c r="P37" i="3"/>
  <c r="Q37" i="3"/>
  <c r="K37" i="3"/>
  <c r="H37" i="3"/>
  <c r="G37" i="3"/>
  <c r="D37" i="3"/>
  <c r="J37" i="3"/>
  <c r="P36" i="3"/>
  <c r="Q36" i="3"/>
  <c r="K36" i="3"/>
  <c r="H36" i="3"/>
  <c r="J36" i="3"/>
  <c r="G36" i="3"/>
  <c r="D36" i="3"/>
  <c r="P35" i="3"/>
  <c r="Q35" i="3"/>
  <c r="K35" i="3"/>
  <c r="H35" i="3"/>
  <c r="J35" i="3"/>
  <c r="G35" i="3"/>
  <c r="D35" i="3"/>
  <c r="P34" i="3"/>
  <c r="Q34" i="3"/>
  <c r="H34" i="3"/>
  <c r="K34" i="3"/>
  <c r="G34" i="3"/>
  <c r="D34" i="3"/>
  <c r="J34" i="3"/>
  <c r="P33" i="3"/>
  <c r="Q33" i="3"/>
  <c r="K33" i="3"/>
  <c r="H33" i="3"/>
  <c r="J33" i="3"/>
  <c r="G33" i="3"/>
  <c r="D33" i="3"/>
  <c r="P32" i="3"/>
  <c r="Q32" i="3"/>
  <c r="K32" i="3"/>
  <c r="H32" i="3"/>
  <c r="D32" i="3"/>
  <c r="G32" i="3"/>
  <c r="J32" i="3"/>
  <c r="Q31" i="3"/>
  <c r="P31" i="3"/>
  <c r="H31" i="3"/>
  <c r="K31" i="3"/>
  <c r="D31" i="3"/>
  <c r="G31" i="3"/>
  <c r="J31" i="3"/>
  <c r="P30" i="3"/>
  <c r="Q30" i="3"/>
  <c r="H30" i="3"/>
  <c r="K30" i="3"/>
  <c r="G30" i="3"/>
  <c r="D30" i="3"/>
  <c r="J30" i="3"/>
  <c r="P29" i="3"/>
  <c r="Q29" i="3"/>
  <c r="K29" i="3"/>
  <c r="H29" i="3"/>
  <c r="J29" i="3"/>
  <c r="G29" i="3"/>
  <c r="D29" i="3"/>
  <c r="P28" i="3"/>
  <c r="Q28" i="3"/>
  <c r="K28" i="3"/>
  <c r="H28" i="3"/>
  <c r="J28" i="3"/>
  <c r="D28" i="3"/>
  <c r="G28" i="3"/>
  <c r="P27" i="3"/>
  <c r="Q27" i="3"/>
  <c r="K27" i="3"/>
  <c r="H27" i="3"/>
  <c r="D27" i="3"/>
  <c r="G27" i="3"/>
  <c r="J27" i="3"/>
  <c r="P26" i="3"/>
  <c r="Q26" i="3"/>
  <c r="H26" i="3"/>
  <c r="K26" i="3"/>
  <c r="D26" i="3"/>
  <c r="J26" i="3"/>
  <c r="G26" i="3"/>
  <c r="P25" i="3"/>
  <c r="Q25" i="3"/>
  <c r="H25" i="3"/>
  <c r="K25" i="3"/>
  <c r="D25" i="3"/>
  <c r="G25" i="3"/>
  <c r="J25" i="3"/>
  <c r="P24" i="3"/>
  <c r="Q24" i="3"/>
  <c r="K24" i="3"/>
  <c r="H24" i="3"/>
  <c r="G24" i="3"/>
  <c r="D24" i="3"/>
  <c r="J24" i="3"/>
  <c r="P23" i="3"/>
  <c r="Q23" i="3"/>
  <c r="H23" i="3"/>
  <c r="K23" i="3"/>
  <c r="D23" i="3"/>
  <c r="G23" i="3"/>
  <c r="J23" i="3"/>
  <c r="P22" i="3"/>
  <c r="Q22" i="3"/>
  <c r="H22" i="3"/>
  <c r="K22" i="3"/>
  <c r="D22" i="3"/>
  <c r="G22" i="3"/>
  <c r="J22" i="3"/>
  <c r="P21" i="3"/>
  <c r="Q21" i="3"/>
  <c r="H21" i="3"/>
  <c r="K21" i="3"/>
  <c r="D21" i="3"/>
  <c r="G21" i="3"/>
  <c r="J21" i="3"/>
  <c r="P20" i="3"/>
  <c r="Q20" i="3"/>
  <c r="K20" i="3"/>
  <c r="H20" i="3"/>
  <c r="G20" i="3"/>
  <c r="D20" i="3"/>
  <c r="J20" i="3"/>
  <c r="Q19" i="3"/>
  <c r="P19" i="3"/>
  <c r="H19" i="3"/>
  <c r="K19" i="3"/>
  <c r="G19" i="3"/>
  <c r="J19" i="3"/>
  <c r="D19" i="3"/>
  <c r="P18" i="3"/>
  <c r="Q18" i="3"/>
  <c r="K18" i="3"/>
  <c r="H18" i="3"/>
  <c r="D18" i="3"/>
  <c r="J18" i="3"/>
  <c r="G18" i="3"/>
  <c r="P17" i="3"/>
  <c r="Q17" i="3"/>
  <c r="H17" i="3"/>
  <c r="K17" i="3"/>
  <c r="G17" i="3"/>
  <c r="D17" i="3"/>
  <c r="J17" i="3"/>
  <c r="P16" i="3"/>
  <c r="Q16" i="3"/>
  <c r="K16" i="3"/>
  <c r="H16" i="3"/>
  <c r="D16" i="3"/>
  <c r="G16" i="3"/>
  <c r="J16" i="3"/>
  <c r="P15" i="3"/>
  <c r="Q15" i="3"/>
  <c r="K15" i="3"/>
  <c r="H15" i="3"/>
  <c r="J15" i="3"/>
  <c r="G15" i="3"/>
  <c r="D15" i="3"/>
  <c r="P14" i="3"/>
  <c r="Q14" i="3"/>
  <c r="H14" i="3"/>
  <c r="K14" i="3"/>
  <c r="D14" i="3"/>
  <c r="J14" i="3"/>
  <c r="G14" i="3"/>
  <c r="P13" i="3"/>
  <c r="Q13" i="3"/>
  <c r="K13" i="3"/>
  <c r="H13" i="3"/>
  <c r="D13" i="3"/>
  <c r="G13" i="3"/>
  <c r="J13" i="3"/>
  <c r="P12" i="3"/>
  <c r="Q12" i="3"/>
  <c r="K12" i="3"/>
  <c r="H12" i="3"/>
  <c r="J12" i="3"/>
  <c r="G12" i="3"/>
  <c r="D12" i="3"/>
  <c r="P11" i="3"/>
  <c r="Q11" i="3"/>
  <c r="H11" i="3"/>
  <c r="K11" i="3"/>
  <c r="D11" i="3"/>
  <c r="G11" i="3"/>
  <c r="J11" i="3"/>
  <c r="P10" i="3"/>
  <c r="Q10" i="3"/>
  <c r="K10" i="3"/>
  <c r="H10" i="3"/>
  <c r="J10" i="3"/>
  <c r="G10" i="3"/>
  <c r="D10" i="3"/>
  <c r="P9" i="3"/>
  <c r="Q9" i="3"/>
  <c r="K9" i="3"/>
  <c r="H9" i="3"/>
  <c r="J9" i="3"/>
  <c r="G9" i="3"/>
  <c r="D9" i="3"/>
  <c r="P8" i="3"/>
  <c r="Q8" i="3"/>
  <c r="K8" i="3"/>
  <c r="H8" i="3"/>
  <c r="J8" i="3"/>
  <c r="G8" i="3"/>
  <c r="D8" i="3"/>
  <c r="P7" i="3"/>
  <c r="Q7" i="3"/>
  <c r="K7" i="3"/>
  <c r="H7" i="3"/>
  <c r="G7" i="3"/>
  <c r="D7" i="3"/>
  <c r="J7" i="3"/>
  <c r="P6" i="3"/>
  <c r="Q6" i="3"/>
  <c r="K6" i="3"/>
  <c r="H6" i="3"/>
  <c r="J6" i="3"/>
  <c r="G6" i="3"/>
  <c r="D6" i="3"/>
  <c r="P5" i="3"/>
  <c r="Q5" i="3"/>
  <c r="J5" i="3"/>
  <c r="D5" i="3"/>
  <c r="P4" i="3"/>
  <c r="Q4" i="3"/>
  <c r="J4" i="3"/>
  <c r="D4" i="3"/>
  <c r="P3" i="3"/>
  <c r="Q3" i="3"/>
  <c r="D3" i="3"/>
  <c r="J3" i="3"/>
  <c r="P2" i="3"/>
  <c r="Q2" i="3"/>
  <c r="E2" i="3"/>
  <c r="F2" i="3"/>
  <c r="M32" i="2"/>
  <c r="N32" i="2"/>
  <c r="E32" i="2"/>
  <c r="F32" i="2"/>
  <c r="B31" i="2"/>
  <c r="C31" i="2"/>
  <c r="C33" i="2" s="1"/>
  <c r="K31" i="2"/>
  <c r="K33" i="2" s="1"/>
  <c r="J31" i="2"/>
  <c r="M25" i="2"/>
  <c r="N25" i="2"/>
  <c r="D25" i="2"/>
  <c r="G25" i="2"/>
  <c r="M24" i="2"/>
  <c r="N24" i="2"/>
  <c r="D24" i="2"/>
  <c r="G24" i="2"/>
  <c r="M23" i="2"/>
  <c r="N23" i="2"/>
  <c r="G23" i="2"/>
  <c r="D23" i="2"/>
  <c r="M22" i="2"/>
  <c r="N22" i="2"/>
  <c r="D22" i="2"/>
  <c r="G22" i="2"/>
  <c r="M21" i="2"/>
  <c r="N21" i="2"/>
  <c r="G21" i="2"/>
  <c r="D21" i="2"/>
  <c r="M20" i="2"/>
  <c r="N20" i="2"/>
  <c r="G20" i="2"/>
  <c r="D20" i="2"/>
  <c r="M19" i="2"/>
  <c r="N19" i="2"/>
  <c r="D19" i="2"/>
  <c r="G19" i="2"/>
  <c r="M18" i="2"/>
  <c r="N18" i="2"/>
  <c r="G18" i="2"/>
  <c r="D18" i="2"/>
  <c r="M17" i="2"/>
  <c r="N17" i="2"/>
  <c r="G17" i="2"/>
  <c r="D17" i="2"/>
  <c r="M16" i="2"/>
  <c r="N16" i="2"/>
  <c r="D16" i="2"/>
  <c r="G16" i="2"/>
  <c r="M15" i="2"/>
  <c r="N15" i="2"/>
  <c r="D15" i="2"/>
  <c r="G15" i="2"/>
  <c r="M14" i="2"/>
  <c r="N14" i="2"/>
  <c r="D14" i="2"/>
  <c r="G14" i="2"/>
  <c r="M13" i="2"/>
  <c r="N13" i="2"/>
  <c r="G13" i="2"/>
  <c r="D13" i="2"/>
  <c r="M12" i="2"/>
  <c r="N12" i="2"/>
  <c r="D12" i="2"/>
  <c r="G12" i="2"/>
  <c r="M11" i="2"/>
  <c r="N11" i="2"/>
  <c r="G11" i="2"/>
  <c r="D11" i="2"/>
  <c r="M10" i="2"/>
  <c r="N10" i="2"/>
  <c r="G10" i="2"/>
  <c r="D10" i="2"/>
  <c r="M9" i="2"/>
  <c r="N9" i="2"/>
  <c r="D9" i="2"/>
  <c r="G9" i="2"/>
  <c r="M8" i="2"/>
  <c r="N8" i="2"/>
  <c r="D8" i="2"/>
  <c r="G8" i="2"/>
  <c r="M7" i="2"/>
  <c r="N7" i="2"/>
  <c r="D7" i="2"/>
  <c r="G7" i="2"/>
  <c r="M6" i="2"/>
  <c r="N6" i="2"/>
  <c r="D6" i="2"/>
  <c r="G6" i="2"/>
  <c r="M5" i="2"/>
  <c r="N5" i="2"/>
  <c r="G5" i="2"/>
  <c r="D5" i="2"/>
  <c r="M4" i="2"/>
  <c r="N4" i="2"/>
  <c r="D4" i="2"/>
  <c r="G4" i="2"/>
  <c r="M3" i="2"/>
  <c r="N3" i="2"/>
  <c r="G3" i="2"/>
  <c r="D3" i="2"/>
  <c r="M2" i="2"/>
  <c r="N2" i="2"/>
  <c r="E2" i="2"/>
  <c r="F2" i="2"/>
  <c r="B19" i="1"/>
  <c r="D19" i="1" s="1"/>
  <c r="E19" i="1" s="1"/>
  <c r="B35" i="1"/>
  <c r="D35" i="1" s="1"/>
  <c r="E35" i="1" s="1"/>
  <c r="B23" i="1"/>
  <c r="D23" i="1" s="1"/>
  <c r="E23" i="1" s="1"/>
  <c r="B15" i="1"/>
  <c r="D15" i="1" s="1"/>
  <c r="E15" i="1" s="1"/>
  <c r="B27" i="1"/>
  <c r="D27" i="1" s="1"/>
  <c r="E27" i="1" s="1"/>
  <c r="B31" i="1"/>
  <c r="D31" i="1" s="1"/>
  <c r="E31" i="1" s="1"/>
  <c r="B21" i="1"/>
  <c r="D21" i="1" s="1"/>
  <c r="E21" i="1" s="1"/>
  <c r="B13" i="1"/>
  <c r="D13" i="1" s="1"/>
  <c r="E13" i="1" s="1"/>
  <c r="B17" i="1"/>
  <c r="D17" i="1" s="1"/>
  <c r="E17" i="1" s="1"/>
  <c r="B25" i="1"/>
  <c r="D25" i="1" s="1"/>
  <c r="E25" i="1" s="1"/>
  <c r="B33" i="1"/>
  <c r="D33" i="1" s="1"/>
  <c r="E33" i="1" s="1"/>
  <c r="B29" i="1"/>
  <c r="D29" i="1" s="1"/>
  <c r="E29" i="1" s="1"/>
  <c r="R1592" i="5" l="1"/>
  <c r="P1594" i="5"/>
  <c r="G1592" i="5"/>
  <c r="E1594" i="5"/>
  <c r="H1586" i="5"/>
  <c r="I1586" i="5"/>
  <c r="L1586" i="5"/>
  <c r="O1586" i="5"/>
  <c r="H1585" i="5"/>
  <c r="I1585" i="5"/>
  <c r="L1585" i="5"/>
  <c r="O1585" i="5"/>
  <c r="H1584" i="5"/>
  <c r="I1584" i="5"/>
  <c r="L1584" i="5"/>
  <c r="O1584" i="5"/>
  <c r="H1583" i="5"/>
  <c r="I1583" i="5"/>
  <c r="L1583" i="5"/>
  <c r="O1583" i="5"/>
  <c r="H1582" i="5"/>
  <c r="I1582" i="5"/>
  <c r="L1582" i="5"/>
  <c r="O1582" i="5"/>
  <c r="H1581" i="5"/>
  <c r="I1581" i="5"/>
  <c r="L1581" i="5"/>
  <c r="O1581" i="5"/>
  <c r="H1580" i="5"/>
  <c r="I1580" i="5"/>
  <c r="L1580" i="5"/>
  <c r="O1580" i="5"/>
  <c r="H1579" i="5"/>
  <c r="I1579" i="5"/>
  <c r="L1579" i="5"/>
  <c r="O1579" i="5"/>
  <c r="H1578" i="5"/>
  <c r="I1578" i="5"/>
  <c r="L1578" i="5"/>
  <c r="O1578" i="5"/>
  <c r="H1577" i="5"/>
  <c r="I1577" i="5"/>
  <c r="L1577" i="5"/>
  <c r="O1577" i="5"/>
  <c r="H1576" i="5"/>
  <c r="I1576" i="5"/>
  <c r="L1576" i="5"/>
  <c r="O1576" i="5"/>
  <c r="H1575" i="5"/>
  <c r="I1575" i="5"/>
  <c r="L1575" i="5"/>
  <c r="O1575" i="5"/>
  <c r="H1574" i="5"/>
  <c r="I1574" i="5"/>
  <c r="L1574" i="5"/>
  <c r="O1574" i="5"/>
  <c r="H1573" i="5"/>
  <c r="I1573" i="5"/>
  <c r="L1573" i="5"/>
  <c r="O1573" i="5"/>
  <c r="H1572" i="5"/>
  <c r="I1572" i="5"/>
  <c r="L1572" i="5"/>
  <c r="O1572" i="5"/>
  <c r="H1571" i="5"/>
  <c r="I1571" i="5"/>
  <c r="L1571" i="5"/>
  <c r="O1571" i="5"/>
  <c r="H1570" i="5"/>
  <c r="I1570" i="5"/>
  <c r="L1570" i="5"/>
  <c r="O1570" i="5"/>
  <c r="H1569" i="5"/>
  <c r="I1569" i="5"/>
  <c r="L1569" i="5"/>
  <c r="O1569" i="5"/>
  <c r="H1568" i="5"/>
  <c r="I1568" i="5"/>
  <c r="L1568" i="5"/>
  <c r="O1568" i="5"/>
  <c r="H1567" i="5"/>
  <c r="I1567" i="5"/>
  <c r="L1567" i="5"/>
  <c r="O1567" i="5"/>
  <c r="H1566" i="5"/>
  <c r="I1566" i="5"/>
  <c r="L1566" i="5"/>
  <c r="O1566" i="5"/>
  <c r="H1565" i="5"/>
  <c r="I1565" i="5"/>
  <c r="L1565" i="5"/>
  <c r="O1565" i="5"/>
  <c r="H1564" i="5"/>
  <c r="I1564" i="5"/>
  <c r="L1564" i="5"/>
  <c r="O1564" i="5"/>
  <c r="H1563" i="5"/>
  <c r="I1563" i="5"/>
  <c r="L1563" i="5"/>
  <c r="O1563" i="5"/>
  <c r="H1562" i="5"/>
  <c r="I1562" i="5"/>
  <c r="L1562" i="5"/>
  <c r="O1562" i="5"/>
  <c r="H1561" i="5"/>
  <c r="I1561" i="5"/>
  <c r="L1561" i="5"/>
  <c r="O1561" i="5"/>
  <c r="H1560" i="5"/>
  <c r="I1560" i="5"/>
  <c r="L1560" i="5"/>
  <c r="O1560" i="5"/>
  <c r="H1559" i="5"/>
  <c r="I1559" i="5"/>
  <c r="L1559" i="5"/>
  <c r="O1559" i="5"/>
  <c r="H1558" i="5"/>
  <c r="I1558" i="5"/>
  <c r="L1558" i="5"/>
  <c r="O1558" i="5"/>
  <c r="H1557" i="5"/>
  <c r="I1557" i="5"/>
  <c r="L1557" i="5"/>
  <c r="O1557" i="5"/>
  <c r="H1556" i="5"/>
  <c r="I1556" i="5"/>
  <c r="L1556" i="5"/>
  <c r="O1556" i="5"/>
  <c r="H1555" i="5"/>
  <c r="I1555" i="5"/>
  <c r="L1555" i="5"/>
  <c r="O1555" i="5"/>
  <c r="H1554" i="5"/>
  <c r="I1554" i="5"/>
  <c r="L1554" i="5"/>
  <c r="O1554" i="5"/>
  <c r="H1553" i="5"/>
  <c r="I1553" i="5"/>
  <c r="L1553" i="5"/>
  <c r="O1553" i="5"/>
  <c r="H1552" i="5"/>
  <c r="I1552" i="5"/>
  <c r="L1552" i="5"/>
  <c r="O1552" i="5"/>
  <c r="H1551" i="5"/>
  <c r="I1551" i="5"/>
  <c r="L1551" i="5"/>
  <c r="O1551" i="5"/>
  <c r="H1550" i="5"/>
  <c r="I1550" i="5"/>
  <c r="L1550" i="5"/>
  <c r="O1550" i="5"/>
  <c r="H1549" i="5"/>
  <c r="I1549" i="5"/>
  <c r="L1549" i="5"/>
  <c r="O1549" i="5"/>
  <c r="H1548" i="5"/>
  <c r="I1548" i="5"/>
  <c r="L1548" i="5"/>
  <c r="O1548" i="5"/>
  <c r="H1547" i="5"/>
  <c r="I1547" i="5"/>
  <c r="L1547" i="5"/>
  <c r="O1547" i="5"/>
  <c r="H1546" i="5"/>
  <c r="I1546" i="5"/>
  <c r="L1546" i="5"/>
  <c r="O1546" i="5"/>
  <c r="H1545" i="5"/>
  <c r="I1545" i="5"/>
  <c r="L1545" i="5"/>
  <c r="O1545" i="5"/>
  <c r="H1544" i="5"/>
  <c r="I1544" i="5"/>
  <c r="L1544" i="5"/>
  <c r="O1544" i="5"/>
  <c r="H1543" i="5"/>
  <c r="I1543" i="5"/>
  <c r="L1543" i="5"/>
  <c r="O1543" i="5"/>
  <c r="H1542" i="5"/>
  <c r="I1542" i="5"/>
  <c r="L1542" i="5"/>
  <c r="O1542" i="5"/>
  <c r="H1541" i="5"/>
  <c r="I1541" i="5"/>
  <c r="L1541" i="5"/>
  <c r="O1541" i="5"/>
  <c r="H1540" i="5"/>
  <c r="I1540" i="5"/>
  <c r="L1540" i="5"/>
  <c r="O1540" i="5"/>
  <c r="H1539" i="5"/>
  <c r="I1539" i="5"/>
  <c r="L1539" i="5"/>
  <c r="O1539" i="5"/>
  <c r="H1538" i="5"/>
  <c r="I1538" i="5"/>
  <c r="L1538" i="5"/>
  <c r="O1538" i="5"/>
  <c r="H1537" i="5"/>
  <c r="I1537" i="5"/>
  <c r="L1537" i="5"/>
  <c r="O1537" i="5"/>
  <c r="H1536" i="5"/>
  <c r="I1536" i="5"/>
  <c r="L1536" i="5"/>
  <c r="O1536" i="5"/>
  <c r="H1535" i="5"/>
  <c r="I1535" i="5"/>
  <c r="L1535" i="5"/>
  <c r="O1535" i="5"/>
  <c r="H1534" i="5"/>
  <c r="I1534" i="5"/>
  <c r="L1534" i="5"/>
  <c r="O1534" i="5"/>
  <c r="H1533" i="5"/>
  <c r="I1533" i="5"/>
  <c r="L1533" i="5"/>
  <c r="O1533" i="5"/>
  <c r="H1532" i="5"/>
  <c r="I1532" i="5"/>
  <c r="L1532" i="5"/>
  <c r="O1532" i="5"/>
  <c r="H1531" i="5"/>
  <c r="I1531" i="5"/>
  <c r="L1531" i="5"/>
  <c r="O1531" i="5"/>
  <c r="H1530" i="5"/>
  <c r="I1530" i="5"/>
  <c r="L1530" i="5"/>
  <c r="O1530" i="5"/>
  <c r="H1529" i="5"/>
  <c r="I1529" i="5"/>
  <c r="L1529" i="5"/>
  <c r="O1529" i="5"/>
  <c r="H1528" i="5"/>
  <c r="I1528" i="5"/>
  <c r="L1528" i="5"/>
  <c r="O1528" i="5"/>
  <c r="H1527" i="5"/>
  <c r="I1527" i="5"/>
  <c r="L1527" i="5"/>
  <c r="O1527" i="5"/>
  <c r="H1526" i="5"/>
  <c r="I1526" i="5"/>
  <c r="L1526" i="5"/>
  <c r="O1526" i="5"/>
  <c r="H1525" i="5"/>
  <c r="I1525" i="5"/>
  <c r="L1525" i="5"/>
  <c r="O1525" i="5"/>
  <c r="H1524" i="5"/>
  <c r="I1524" i="5"/>
  <c r="L1524" i="5"/>
  <c r="O1524" i="5"/>
  <c r="H1523" i="5"/>
  <c r="I1523" i="5"/>
  <c r="L1523" i="5"/>
  <c r="O1523" i="5"/>
  <c r="H1522" i="5"/>
  <c r="I1522" i="5"/>
  <c r="L1522" i="5"/>
  <c r="O1522" i="5"/>
  <c r="H1521" i="5"/>
  <c r="I1521" i="5"/>
  <c r="L1521" i="5"/>
  <c r="O1521" i="5"/>
  <c r="H1520" i="5"/>
  <c r="I1520" i="5"/>
  <c r="L1520" i="5"/>
  <c r="O1520" i="5"/>
  <c r="H1519" i="5"/>
  <c r="I1519" i="5"/>
  <c r="L1519" i="5"/>
  <c r="O1519" i="5"/>
  <c r="H1518" i="5"/>
  <c r="I1518" i="5"/>
  <c r="L1518" i="5"/>
  <c r="O1518" i="5"/>
  <c r="H1517" i="5"/>
  <c r="I1517" i="5"/>
  <c r="L1517" i="5"/>
  <c r="O1517" i="5"/>
  <c r="H1516" i="5"/>
  <c r="I1516" i="5"/>
  <c r="L1516" i="5"/>
  <c r="O1516" i="5"/>
  <c r="H1515" i="5"/>
  <c r="I1515" i="5"/>
  <c r="L1515" i="5"/>
  <c r="O1515" i="5"/>
  <c r="H1514" i="5"/>
  <c r="I1514" i="5"/>
  <c r="L1514" i="5"/>
  <c r="O1514" i="5"/>
  <c r="H1513" i="5"/>
  <c r="I1513" i="5"/>
  <c r="L1513" i="5"/>
  <c r="O1513" i="5"/>
  <c r="H1512" i="5"/>
  <c r="I1512" i="5"/>
  <c r="L1512" i="5"/>
  <c r="O1512" i="5"/>
  <c r="H1511" i="5"/>
  <c r="I1511" i="5"/>
  <c r="L1511" i="5"/>
  <c r="O1511" i="5"/>
  <c r="H1510" i="5"/>
  <c r="I1510" i="5"/>
  <c r="L1510" i="5"/>
  <c r="O1510" i="5"/>
  <c r="H1509" i="5"/>
  <c r="I1509" i="5"/>
  <c r="L1509" i="5"/>
  <c r="O1509" i="5"/>
  <c r="H1508" i="5"/>
  <c r="I1508" i="5"/>
  <c r="L1508" i="5"/>
  <c r="O1508" i="5"/>
  <c r="H1507" i="5"/>
  <c r="I1507" i="5"/>
  <c r="L1507" i="5"/>
  <c r="O1507" i="5"/>
  <c r="H1506" i="5"/>
  <c r="I1506" i="5"/>
  <c r="L1506" i="5"/>
  <c r="O1506" i="5"/>
  <c r="H1505" i="5"/>
  <c r="I1505" i="5"/>
  <c r="L1505" i="5"/>
  <c r="O1505" i="5"/>
  <c r="H1504" i="5"/>
  <c r="I1504" i="5"/>
  <c r="L1504" i="5"/>
  <c r="O1504" i="5"/>
  <c r="H1503" i="5"/>
  <c r="I1503" i="5"/>
  <c r="L1503" i="5"/>
  <c r="O1503" i="5"/>
  <c r="H1502" i="5"/>
  <c r="I1502" i="5"/>
  <c r="L1502" i="5"/>
  <c r="O1502" i="5"/>
  <c r="H1501" i="5"/>
  <c r="I1501" i="5"/>
  <c r="L1501" i="5"/>
  <c r="O1501" i="5"/>
  <c r="H1500" i="5"/>
  <c r="I1500" i="5"/>
  <c r="L1500" i="5"/>
  <c r="O1500" i="5"/>
  <c r="H1499" i="5"/>
  <c r="I1499" i="5"/>
  <c r="L1499" i="5"/>
  <c r="O1499" i="5"/>
  <c r="H1498" i="5"/>
  <c r="I1498" i="5"/>
  <c r="L1498" i="5"/>
  <c r="O1498" i="5"/>
  <c r="H1497" i="5"/>
  <c r="I1497" i="5"/>
  <c r="L1497" i="5"/>
  <c r="O1497" i="5"/>
  <c r="H1496" i="5"/>
  <c r="I1496" i="5"/>
  <c r="L1496" i="5"/>
  <c r="O1496" i="5"/>
  <c r="H1495" i="5"/>
  <c r="I1495" i="5"/>
  <c r="L1495" i="5"/>
  <c r="O1495" i="5"/>
  <c r="H1494" i="5"/>
  <c r="I1494" i="5"/>
  <c r="L1494" i="5"/>
  <c r="O1494" i="5"/>
  <c r="H1493" i="5"/>
  <c r="I1493" i="5"/>
  <c r="L1493" i="5"/>
  <c r="O1493" i="5"/>
  <c r="H1492" i="5"/>
  <c r="I1492" i="5"/>
  <c r="L1492" i="5"/>
  <c r="O1492" i="5"/>
  <c r="H1491" i="5"/>
  <c r="I1491" i="5"/>
  <c r="L1491" i="5"/>
  <c r="O1491" i="5"/>
  <c r="H1490" i="5"/>
  <c r="I1490" i="5"/>
  <c r="L1490" i="5"/>
  <c r="O1490" i="5"/>
  <c r="H1489" i="5"/>
  <c r="I1489" i="5"/>
  <c r="L1489" i="5"/>
  <c r="O1489" i="5"/>
  <c r="H1488" i="5"/>
  <c r="I1488" i="5"/>
  <c r="L1488" i="5"/>
  <c r="O1488" i="5"/>
  <c r="H1487" i="5"/>
  <c r="I1487" i="5"/>
  <c r="L1487" i="5"/>
  <c r="O1487" i="5"/>
  <c r="H1486" i="5"/>
  <c r="I1486" i="5"/>
  <c r="L1486" i="5"/>
  <c r="O1486" i="5"/>
  <c r="H1485" i="5"/>
  <c r="I1485" i="5"/>
  <c r="L1485" i="5"/>
  <c r="O1485" i="5"/>
  <c r="H1484" i="5"/>
  <c r="I1484" i="5"/>
  <c r="L1484" i="5"/>
  <c r="O1484" i="5"/>
  <c r="H1483" i="5"/>
  <c r="I1483" i="5"/>
  <c r="L1483" i="5"/>
  <c r="O1483" i="5"/>
  <c r="H1482" i="5"/>
  <c r="I1482" i="5"/>
  <c r="L1482" i="5"/>
  <c r="O1482" i="5"/>
  <c r="H1481" i="5"/>
  <c r="I1481" i="5"/>
  <c r="L1481" i="5"/>
  <c r="O1481" i="5"/>
  <c r="H1480" i="5"/>
  <c r="I1480" i="5"/>
  <c r="L1480" i="5"/>
  <c r="O1480" i="5"/>
  <c r="H1479" i="5"/>
  <c r="I1479" i="5"/>
  <c r="L1479" i="5"/>
  <c r="O1479" i="5"/>
  <c r="H1478" i="5"/>
  <c r="I1478" i="5"/>
  <c r="L1478" i="5"/>
  <c r="O1478" i="5"/>
  <c r="H1477" i="5"/>
  <c r="I1477" i="5"/>
  <c r="L1477" i="5"/>
  <c r="O1477" i="5"/>
  <c r="H1476" i="5"/>
  <c r="I1476" i="5"/>
  <c r="L1476" i="5"/>
  <c r="O1476" i="5"/>
  <c r="H1475" i="5"/>
  <c r="I1475" i="5"/>
  <c r="L1475" i="5"/>
  <c r="O1475" i="5"/>
  <c r="H1474" i="5"/>
  <c r="I1474" i="5"/>
  <c r="L1474" i="5"/>
  <c r="O1474" i="5"/>
  <c r="H1473" i="5"/>
  <c r="I1473" i="5"/>
  <c r="L1473" i="5"/>
  <c r="O1473" i="5"/>
  <c r="H1472" i="5"/>
  <c r="I1472" i="5"/>
  <c r="L1472" i="5"/>
  <c r="O1472" i="5"/>
  <c r="H1471" i="5"/>
  <c r="I1471" i="5"/>
  <c r="L1471" i="5"/>
  <c r="O1471" i="5"/>
  <c r="H1470" i="5"/>
  <c r="I1470" i="5"/>
  <c r="L1470" i="5"/>
  <c r="O1470" i="5"/>
  <c r="H1469" i="5"/>
  <c r="I1469" i="5"/>
  <c r="L1469" i="5"/>
  <c r="O1469" i="5"/>
  <c r="H1468" i="5"/>
  <c r="I1468" i="5"/>
  <c r="L1468" i="5"/>
  <c r="O1468" i="5"/>
  <c r="H1467" i="5"/>
  <c r="I1467" i="5"/>
  <c r="L1467" i="5"/>
  <c r="O1467" i="5"/>
  <c r="H1466" i="5"/>
  <c r="I1466" i="5"/>
  <c r="L1466" i="5"/>
  <c r="O1466" i="5"/>
  <c r="H1465" i="5"/>
  <c r="I1465" i="5"/>
  <c r="L1465" i="5"/>
  <c r="O1465" i="5"/>
  <c r="H1464" i="5"/>
  <c r="I1464" i="5"/>
  <c r="L1464" i="5"/>
  <c r="O1464" i="5"/>
  <c r="H1463" i="5"/>
  <c r="I1463" i="5"/>
  <c r="L1463" i="5"/>
  <c r="O1463" i="5"/>
  <c r="H1462" i="5"/>
  <c r="I1462" i="5"/>
  <c r="L1462" i="5"/>
  <c r="O1462" i="5"/>
  <c r="H1461" i="5"/>
  <c r="I1461" i="5"/>
  <c r="L1461" i="5"/>
  <c r="O1461" i="5"/>
  <c r="H1460" i="5"/>
  <c r="I1460" i="5"/>
  <c r="L1460" i="5"/>
  <c r="O1460" i="5"/>
  <c r="H1459" i="5"/>
  <c r="I1459" i="5"/>
  <c r="L1459" i="5"/>
  <c r="O1459" i="5"/>
  <c r="H1458" i="5"/>
  <c r="I1458" i="5"/>
  <c r="L1458" i="5"/>
  <c r="O1458" i="5"/>
  <c r="H1457" i="5"/>
  <c r="I1457" i="5"/>
  <c r="L1457" i="5"/>
  <c r="O1457" i="5"/>
  <c r="H1456" i="5"/>
  <c r="I1456" i="5"/>
  <c r="L1456" i="5"/>
  <c r="O1456" i="5"/>
  <c r="H1455" i="5"/>
  <c r="I1455" i="5"/>
  <c r="L1455" i="5"/>
  <c r="O1455" i="5"/>
  <c r="H1454" i="5"/>
  <c r="I1454" i="5"/>
  <c r="L1454" i="5"/>
  <c r="O1454" i="5"/>
  <c r="H1453" i="5"/>
  <c r="I1453" i="5"/>
  <c r="L1453" i="5"/>
  <c r="O1453" i="5"/>
  <c r="H1452" i="5"/>
  <c r="I1452" i="5"/>
  <c r="L1452" i="5"/>
  <c r="O1452" i="5"/>
  <c r="H1451" i="5"/>
  <c r="I1451" i="5"/>
  <c r="L1451" i="5"/>
  <c r="O1451" i="5"/>
  <c r="H1450" i="5"/>
  <c r="I1450" i="5"/>
  <c r="L1450" i="5"/>
  <c r="O1450" i="5"/>
  <c r="H1449" i="5"/>
  <c r="I1449" i="5"/>
  <c r="L1449" i="5"/>
  <c r="O1449" i="5"/>
  <c r="H1448" i="5"/>
  <c r="I1448" i="5"/>
  <c r="L1448" i="5"/>
  <c r="O1448" i="5"/>
  <c r="H1447" i="5"/>
  <c r="I1447" i="5"/>
  <c r="L1447" i="5"/>
  <c r="O1447" i="5"/>
  <c r="H1446" i="5"/>
  <c r="I1446" i="5"/>
  <c r="L1446" i="5"/>
  <c r="O1446" i="5"/>
  <c r="H1445" i="5"/>
  <c r="I1445" i="5"/>
  <c r="L1445" i="5"/>
  <c r="O1445" i="5"/>
  <c r="H1444" i="5"/>
  <c r="I1444" i="5"/>
  <c r="L1444" i="5"/>
  <c r="O1444" i="5"/>
  <c r="H1443" i="5"/>
  <c r="I1443" i="5"/>
  <c r="L1443" i="5"/>
  <c r="O1443" i="5"/>
  <c r="H1442" i="5"/>
  <c r="I1442" i="5"/>
  <c r="L1442" i="5"/>
  <c r="O1442" i="5"/>
  <c r="H1441" i="5"/>
  <c r="I1441" i="5"/>
  <c r="L1441" i="5"/>
  <c r="O1441" i="5"/>
  <c r="H1440" i="5"/>
  <c r="I1440" i="5"/>
  <c r="L1440" i="5"/>
  <c r="O1440" i="5"/>
  <c r="H1439" i="5"/>
  <c r="I1439" i="5"/>
  <c r="L1439" i="5"/>
  <c r="O1439" i="5"/>
  <c r="H1438" i="5"/>
  <c r="I1438" i="5"/>
  <c r="L1438" i="5"/>
  <c r="O1438" i="5"/>
  <c r="H1437" i="5"/>
  <c r="I1437" i="5"/>
  <c r="L1437" i="5"/>
  <c r="O1437" i="5"/>
  <c r="H1436" i="5"/>
  <c r="I1436" i="5"/>
  <c r="L1436" i="5"/>
  <c r="O1436" i="5"/>
  <c r="H1435" i="5"/>
  <c r="I1435" i="5"/>
  <c r="L1435" i="5"/>
  <c r="O1435" i="5"/>
  <c r="H1434" i="5"/>
  <c r="I1434" i="5"/>
  <c r="L1434" i="5"/>
  <c r="O1434" i="5"/>
  <c r="H1433" i="5"/>
  <c r="I1433" i="5"/>
  <c r="L1433" i="5"/>
  <c r="O1433" i="5"/>
  <c r="H1432" i="5"/>
  <c r="I1432" i="5"/>
  <c r="L1432" i="5"/>
  <c r="O1432" i="5"/>
  <c r="H1431" i="5"/>
  <c r="I1431" i="5"/>
  <c r="L1431" i="5"/>
  <c r="O1431" i="5"/>
  <c r="H1430" i="5"/>
  <c r="I1430" i="5"/>
  <c r="L1430" i="5"/>
  <c r="O1430" i="5"/>
  <c r="H1429" i="5"/>
  <c r="I1429" i="5"/>
  <c r="L1429" i="5"/>
  <c r="O1429" i="5"/>
  <c r="H1428" i="5"/>
  <c r="I1428" i="5"/>
  <c r="L1428" i="5"/>
  <c r="O1428" i="5"/>
  <c r="H1427" i="5"/>
  <c r="I1427" i="5"/>
  <c r="L1427" i="5"/>
  <c r="O1427" i="5"/>
  <c r="H1426" i="5"/>
  <c r="I1426" i="5"/>
  <c r="L1426" i="5"/>
  <c r="O1426" i="5"/>
  <c r="H1425" i="5"/>
  <c r="I1425" i="5"/>
  <c r="L1425" i="5"/>
  <c r="O1425" i="5"/>
  <c r="H1424" i="5"/>
  <c r="I1424" i="5"/>
  <c r="L1424" i="5"/>
  <c r="O1424" i="5"/>
  <c r="H1423" i="5"/>
  <c r="I1423" i="5"/>
  <c r="L1423" i="5"/>
  <c r="O1423" i="5"/>
  <c r="H1422" i="5"/>
  <c r="I1422" i="5"/>
  <c r="L1422" i="5"/>
  <c r="O1422" i="5"/>
  <c r="H1421" i="5"/>
  <c r="I1421" i="5"/>
  <c r="L1421" i="5"/>
  <c r="O1421" i="5"/>
  <c r="H1420" i="5"/>
  <c r="I1420" i="5"/>
  <c r="L1420" i="5"/>
  <c r="O1420" i="5"/>
  <c r="H1419" i="5"/>
  <c r="I1419" i="5"/>
  <c r="L1419" i="5"/>
  <c r="O1419" i="5"/>
  <c r="H1418" i="5"/>
  <c r="I1418" i="5"/>
  <c r="L1418" i="5"/>
  <c r="O1418" i="5"/>
  <c r="H1417" i="5"/>
  <c r="I1417" i="5"/>
  <c r="L1417" i="5"/>
  <c r="O1417" i="5"/>
  <c r="H1416" i="5"/>
  <c r="I1416" i="5"/>
  <c r="L1416" i="5"/>
  <c r="O1416" i="5"/>
  <c r="H1415" i="5"/>
  <c r="I1415" i="5"/>
  <c r="L1415" i="5"/>
  <c r="O1415" i="5"/>
  <c r="H1414" i="5"/>
  <c r="I1414" i="5"/>
  <c r="L1414" i="5"/>
  <c r="O1414" i="5"/>
  <c r="H1413" i="5"/>
  <c r="I1413" i="5"/>
  <c r="L1413" i="5"/>
  <c r="O1413" i="5"/>
  <c r="H1412" i="5"/>
  <c r="I1412" i="5"/>
  <c r="L1412" i="5"/>
  <c r="O1412" i="5"/>
  <c r="H1411" i="5"/>
  <c r="I1411" i="5"/>
  <c r="L1411" i="5"/>
  <c r="O1411" i="5"/>
  <c r="H1410" i="5"/>
  <c r="I1410" i="5"/>
  <c r="L1410" i="5"/>
  <c r="O1410" i="5"/>
  <c r="H1409" i="5"/>
  <c r="I1409" i="5"/>
  <c r="L1409" i="5"/>
  <c r="O1409" i="5"/>
  <c r="H1408" i="5"/>
  <c r="I1408" i="5"/>
  <c r="L1408" i="5"/>
  <c r="O1408" i="5"/>
  <c r="H1407" i="5"/>
  <c r="I1407" i="5"/>
  <c r="L1407" i="5"/>
  <c r="O1407" i="5"/>
  <c r="H1406" i="5"/>
  <c r="I1406" i="5"/>
  <c r="L1406" i="5"/>
  <c r="O1406" i="5"/>
  <c r="H1405" i="5"/>
  <c r="I1405" i="5"/>
  <c r="L1405" i="5"/>
  <c r="O1405" i="5"/>
  <c r="H1404" i="5"/>
  <c r="I1404" i="5"/>
  <c r="L1404" i="5"/>
  <c r="O1404" i="5"/>
  <c r="H1403" i="5"/>
  <c r="I1403" i="5"/>
  <c r="L1403" i="5"/>
  <c r="O1403" i="5"/>
  <c r="H1402" i="5"/>
  <c r="I1402" i="5"/>
  <c r="L1402" i="5"/>
  <c r="O1402" i="5"/>
  <c r="H1401" i="5"/>
  <c r="I1401" i="5"/>
  <c r="L1401" i="5"/>
  <c r="O1401" i="5"/>
  <c r="H1400" i="5"/>
  <c r="I1400" i="5"/>
  <c r="L1400" i="5"/>
  <c r="O1400" i="5"/>
  <c r="H1399" i="5"/>
  <c r="I1399" i="5"/>
  <c r="L1399" i="5"/>
  <c r="O1399" i="5"/>
  <c r="H1398" i="5"/>
  <c r="I1398" i="5"/>
  <c r="L1398" i="5"/>
  <c r="O1398" i="5"/>
  <c r="H1397" i="5"/>
  <c r="I1397" i="5"/>
  <c r="L1397" i="5"/>
  <c r="O1397" i="5"/>
  <c r="H1396" i="5"/>
  <c r="I1396" i="5"/>
  <c r="L1396" i="5"/>
  <c r="O1396" i="5"/>
  <c r="H1395" i="5"/>
  <c r="I1395" i="5"/>
  <c r="L1395" i="5"/>
  <c r="O1395" i="5"/>
  <c r="H1394" i="5"/>
  <c r="I1394" i="5"/>
  <c r="L1394" i="5"/>
  <c r="O1394" i="5"/>
  <c r="H1393" i="5"/>
  <c r="I1393" i="5"/>
  <c r="L1393" i="5"/>
  <c r="O1393" i="5"/>
  <c r="H1392" i="5"/>
  <c r="I1392" i="5"/>
  <c r="L1392" i="5"/>
  <c r="O1392" i="5"/>
  <c r="H1391" i="5"/>
  <c r="I1391" i="5"/>
  <c r="L1391" i="5"/>
  <c r="O1391" i="5"/>
  <c r="H1390" i="5"/>
  <c r="I1390" i="5"/>
  <c r="L1390" i="5"/>
  <c r="O1390" i="5"/>
  <c r="H1389" i="5"/>
  <c r="I1389" i="5"/>
  <c r="L1389" i="5"/>
  <c r="O1389" i="5"/>
  <c r="H1388" i="5"/>
  <c r="I1388" i="5"/>
  <c r="L1388" i="5"/>
  <c r="O1388" i="5"/>
  <c r="H1387" i="5"/>
  <c r="I1387" i="5"/>
  <c r="L1387" i="5"/>
  <c r="O1387" i="5"/>
  <c r="H1386" i="5"/>
  <c r="I1386" i="5"/>
  <c r="L1386" i="5"/>
  <c r="O1386" i="5"/>
  <c r="H1385" i="5"/>
  <c r="I1385" i="5"/>
  <c r="L1385" i="5"/>
  <c r="O1385" i="5"/>
  <c r="H1384" i="5"/>
  <c r="I1384" i="5"/>
  <c r="L1384" i="5"/>
  <c r="O1384" i="5"/>
  <c r="H1383" i="5"/>
  <c r="I1383" i="5"/>
  <c r="L1383" i="5"/>
  <c r="O1383" i="5"/>
  <c r="H1382" i="5"/>
  <c r="I1382" i="5"/>
  <c r="L1382" i="5"/>
  <c r="O1382" i="5"/>
  <c r="H1381" i="5"/>
  <c r="I1381" i="5"/>
  <c r="L1381" i="5"/>
  <c r="O1381" i="5"/>
  <c r="H1380" i="5"/>
  <c r="I1380" i="5"/>
  <c r="L1380" i="5"/>
  <c r="O1380" i="5"/>
  <c r="H1379" i="5"/>
  <c r="I1379" i="5"/>
  <c r="L1379" i="5"/>
  <c r="O1379" i="5"/>
  <c r="H1378" i="5"/>
  <c r="I1378" i="5"/>
  <c r="L1378" i="5"/>
  <c r="O1378" i="5"/>
  <c r="H1377" i="5"/>
  <c r="I1377" i="5"/>
  <c r="L1377" i="5"/>
  <c r="O1377" i="5"/>
  <c r="H1376" i="5"/>
  <c r="I1376" i="5"/>
  <c r="L1376" i="5"/>
  <c r="O1376" i="5"/>
  <c r="H1375" i="5"/>
  <c r="I1375" i="5"/>
  <c r="L1375" i="5"/>
  <c r="O1375" i="5"/>
  <c r="H1374" i="5"/>
  <c r="I1374" i="5"/>
  <c r="L1374" i="5"/>
  <c r="O1374" i="5"/>
  <c r="H1373" i="5"/>
  <c r="I1373" i="5"/>
  <c r="L1373" i="5"/>
  <c r="O1373" i="5"/>
  <c r="H1372" i="5"/>
  <c r="I1372" i="5"/>
  <c r="L1372" i="5"/>
  <c r="O1372" i="5"/>
  <c r="H1371" i="5"/>
  <c r="I1371" i="5"/>
  <c r="L1371" i="5"/>
  <c r="O1371" i="5"/>
  <c r="H1370" i="5"/>
  <c r="I1370" i="5"/>
  <c r="L1370" i="5"/>
  <c r="O1370" i="5"/>
  <c r="H1369" i="5"/>
  <c r="I1369" i="5"/>
  <c r="L1369" i="5"/>
  <c r="O1369" i="5"/>
  <c r="H1368" i="5"/>
  <c r="I1368" i="5"/>
  <c r="L1368" i="5"/>
  <c r="O1368" i="5"/>
  <c r="H1367" i="5"/>
  <c r="I1367" i="5"/>
  <c r="L1367" i="5"/>
  <c r="O1367" i="5"/>
  <c r="H1366" i="5"/>
  <c r="I1366" i="5"/>
  <c r="L1366" i="5"/>
  <c r="O1366" i="5"/>
  <c r="H1365" i="5"/>
  <c r="I1365" i="5"/>
  <c r="L1365" i="5"/>
  <c r="O1365" i="5"/>
  <c r="H1364" i="5"/>
  <c r="I1364" i="5"/>
  <c r="L1364" i="5"/>
  <c r="O1364" i="5"/>
  <c r="H1363" i="5"/>
  <c r="I1363" i="5"/>
  <c r="L1363" i="5"/>
  <c r="O1363" i="5"/>
  <c r="H1362" i="5"/>
  <c r="I1362" i="5"/>
  <c r="L1362" i="5"/>
  <c r="O1362" i="5"/>
  <c r="H1361" i="5"/>
  <c r="I1361" i="5"/>
  <c r="L1361" i="5"/>
  <c r="O1361" i="5"/>
  <c r="H1360" i="5"/>
  <c r="I1360" i="5"/>
  <c r="L1360" i="5"/>
  <c r="O1360" i="5"/>
  <c r="H1359" i="5"/>
  <c r="I1359" i="5"/>
  <c r="L1359" i="5"/>
  <c r="O1359" i="5"/>
  <c r="H1358" i="5"/>
  <c r="I1358" i="5"/>
  <c r="L1358" i="5"/>
  <c r="O1358" i="5"/>
  <c r="H1357" i="5"/>
  <c r="I1357" i="5"/>
  <c r="L1357" i="5"/>
  <c r="O1357" i="5"/>
  <c r="H1356" i="5"/>
  <c r="I1356" i="5"/>
  <c r="L1356" i="5"/>
  <c r="O1356" i="5"/>
  <c r="H1355" i="5"/>
  <c r="I1355" i="5"/>
  <c r="L1355" i="5"/>
  <c r="O1355" i="5"/>
  <c r="H1354" i="5"/>
  <c r="I1354" i="5"/>
  <c r="L1354" i="5"/>
  <c r="O1354" i="5"/>
  <c r="H1353" i="5"/>
  <c r="I1353" i="5"/>
  <c r="L1353" i="5"/>
  <c r="O1353" i="5"/>
  <c r="H1352" i="5"/>
  <c r="I1352" i="5"/>
  <c r="L1352" i="5"/>
  <c r="O1352" i="5"/>
  <c r="H1351" i="5"/>
  <c r="I1351" i="5"/>
  <c r="L1351" i="5"/>
  <c r="O1351" i="5"/>
  <c r="H1350" i="5"/>
  <c r="I1350" i="5"/>
  <c r="L1350" i="5"/>
  <c r="O1350" i="5"/>
  <c r="H1349" i="5"/>
  <c r="I1349" i="5"/>
  <c r="L1349" i="5"/>
  <c r="O1349" i="5"/>
  <c r="H1348" i="5"/>
  <c r="I1348" i="5"/>
  <c r="L1348" i="5"/>
  <c r="O1348" i="5"/>
  <c r="H1347" i="5"/>
  <c r="I1347" i="5"/>
  <c r="L1347" i="5"/>
  <c r="O1347" i="5"/>
  <c r="H1346" i="5"/>
  <c r="I1346" i="5"/>
  <c r="L1346" i="5"/>
  <c r="O1346" i="5"/>
  <c r="H1345" i="5"/>
  <c r="I1345" i="5"/>
  <c r="L1345" i="5"/>
  <c r="O1345" i="5"/>
  <c r="H1344" i="5"/>
  <c r="I1344" i="5"/>
  <c r="L1344" i="5"/>
  <c r="O1344" i="5"/>
  <c r="H1343" i="5"/>
  <c r="I1343" i="5"/>
  <c r="L1343" i="5"/>
  <c r="O1343" i="5"/>
  <c r="H1342" i="5"/>
  <c r="I1342" i="5"/>
  <c r="L1342" i="5"/>
  <c r="O1342" i="5"/>
  <c r="H1341" i="5"/>
  <c r="I1341" i="5"/>
  <c r="L1341" i="5"/>
  <c r="O1341" i="5"/>
  <c r="H1340" i="5"/>
  <c r="I1340" i="5"/>
  <c r="L1340" i="5"/>
  <c r="O1340" i="5"/>
  <c r="H1339" i="5"/>
  <c r="I1339" i="5"/>
  <c r="L1339" i="5"/>
  <c r="O1339" i="5"/>
  <c r="H1338" i="5"/>
  <c r="I1338" i="5"/>
  <c r="L1338" i="5"/>
  <c r="O1338" i="5"/>
  <c r="H1337" i="5"/>
  <c r="I1337" i="5"/>
  <c r="L1337" i="5"/>
  <c r="O1337" i="5"/>
  <c r="H1336" i="5"/>
  <c r="I1336" i="5"/>
  <c r="L1336" i="5"/>
  <c r="O1336" i="5"/>
  <c r="H1335" i="5"/>
  <c r="I1335" i="5"/>
  <c r="L1335" i="5"/>
  <c r="O1335" i="5"/>
  <c r="H1334" i="5"/>
  <c r="I1334" i="5"/>
  <c r="L1334" i="5"/>
  <c r="O1334" i="5"/>
  <c r="H1333" i="5"/>
  <c r="I1333" i="5"/>
  <c r="L1333" i="5"/>
  <c r="O1333" i="5"/>
  <c r="H1332" i="5"/>
  <c r="I1332" i="5"/>
  <c r="L1332" i="5"/>
  <c r="O1332" i="5"/>
  <c r="H1331" i="5"/>
  <c r="I1331" i="5"/>
  <c r="L1331" i="5"/>
  <c r="O1331" i="5"/>
  <c r="H1330" i="5"/>
  <c r="I1330" i="5"/>
  <c r="L1330" i="5"/>
  <c r="O1330" i="5"/>
  <c r="H1329" i="5"/>
  <c r="I1329" i="5"/>
  <c r="L1329" i="5"/>
  <c r="O1329" i="5"/>
  <c r="H1328" i="5"/>
  <c r="I1328" i="5"/>
  <c r="L1328" i="5"/>
  <c r="O1328" i="5"/>
  <c r="H1327" i="5"/>
  <c r="I1327" i="5"/>
  <c r="L1327" i="5"/>
  <c r="O1327" i="5"/>
  <c r="H1326" i="5"/>
  <c r="I1326" i="5"/>
  <c r="L1326" i="5"/>
  <c r="O1326" i="5"/>
  <c r="H1325" i="5"/>
  <c r="I1325" i="5"/>
  <c r="L1325" i="5"/>
  <c r="O1325" i="5"/>
  <c r="H1324" i="5"/>
  <c r="I1324" i="5"/>
  <c r="L1324" i="5"/>
  <c r="O1324" i="5"/>
  <c r="H1323" i="5"/>
  <c r="I1323" i="5"/>
  <c r="L1323" i="5"/>
  <c r="O1323" i="5"/>
  <c r="H1322" i="5"/>
  <c r="I1322" i="5"/>
  <c r="L1322" i="5"/>
  <c r="O1322" i="5"/>
  <c r="H1321" i="5"/>
  <c r="I1321" i="5"/>
  <c r="L1321" i="5"/>
  <c r="O1321" i="5"/>
  <c r="H1320" i="5"/>
  <c r="I1320" i="5"/>
  <c r="L1320" i="5"/>
  <c r="O1320" i="5"/>
  <c r="H1319" i="5"/>
  <c r="I1319" i="5"/>
  <c r="L1319" i="5"/>
  <c r="O1319" i="5"/>
  <c r="H1318" i="5"/>
  <c r="I1318" i="5"/>
  <c r="L1318" i="5"/>
  <c r="O1318" i="5"/>
  <c r="H1317" i="5"/>
  <c r="I1317" i="5"/>
  <c r="L1317" i="5"/>
  <c r="O1317" i="5"/>
  <c r="H1316" i="5"/>
  <c r="I1316" i="5"/>
  <c r="L1316" i="5"/>
  <c r="O1316" i="5"/>
  <c r="H1315" i="5"/>
  <c r="I1315" i="5"/>
  <c r="L1315" i="5"/>
  <c r="O1315" i="5"/>
  <c r="H1314" i="5"/>
  <c r="I1314" i="5"/>
  <c r="L1314" i="5"/>
  <c r="O1314" i="5"/>
  <c r="H1313" i="5"/>
  <c r="I1313" i="5"/>
  <c r="L1313" i="5"/>
  <c r="O1313" i="5"/>
  <c r="H1312" i="5"/>
  <c r="I1312" i="5"/>
  <c r="L1312" i="5"/>
  <c r="O1312" i="5"/>
  <c r="H1311" i="5"/>
  <c r="I1311" i="5"/>
  <c r="L1311" i="5"/>
  <c r="O1311" i="5"/>
  <c r="H1310" i="5"/>
  <c r="I1310" i="5"/>
  <c r="L1310" i="5"/>
  <c r="O1310" i="5"/>
  <c r="H1309" i="5"/>
  <c r="I1309" i="5"/>
  <c r="L1309" i="5"/>
  <c r="O1309" i="5"/>
  <c r="H1308" i="5"/>
  <c r="I1308" i="5"/>
  <c r="L1308" i="5"/>
  <c r="O1308" i="5"/>
  <c r="H1307" i="5"/>
  <c r="I1307" i="5"/>
  <c r="L1307" i="5"/>
  <c r="O1307" i="5"/>
  <c r="H1306" i="5"/>
  <c r="I1306" i="5"/>
  <c r="L1306" i="5"/>
  <c r="O1306" i="5"/>
  <c r="H1305" i="5"/>
  <c r="I1305" i="5"/>
  <c r="L1305" i="5"/>
  <c r="O1305" i="5"/>
  <c r="H1304" i="5"/>
  <c r="I1304" i="5"/>
  <c r="L1304" i="5"/>
  <c r="O1304" i="5"/>
  <c r="H1303" i="5"/>
  <c r="I1303" i="5"/>
  <c r="L1303" i="5"/>
  <c r="O1303" i="5"/>
  <c r="H1302" i="5"/>
  <c r="I1302" i="5"/>
  <c r="L1302" i="5"/>
  <c r="O1302" i="5"/>
  <c r="H1301" i="5"/>
  <c r="I1301" i="5"/>
  <c r="L1301" i="5"/>
  <c r="O1301" i="5"/>
  <c r="H1300" i="5"/>
  <c r="I1300" i="5"/>
  <c r="L1300" i="5"/>
  <c r="O1300" i="5"/>
  <c r="H1299" i="5"/>
  <c r="I1299" i="5"/>
  <c r="L1299" i="5"/>
  <c r="O1299" i="5"/>
  <c r="H1298" i="5"/>
  <c r="I1298" i="5"/>
  <c r="L1298" i="5"/>
  <c r="O1298" i="5"/>
  <c r="H1297" i="5"/>
  <c r="I1297" i="5"/>
  <c r="L1297" i="5"/>
  <c r="O1297" i="5"/>
  <c r="H1296" i="5"/>
  <c r="I1296" i="5"/>
  <c r="L1296" i="5"/>
  <c r="O1296" i="5"/>
  <c r="H1295" i="5"/>
  <c r="I1295" i="5"/>
  <c r="L1295" i="5"/>
  <c r="O1295" i="5"/>
  <c r="H1294" i="5"/>
  <c r="I1294" i="5"/>
  <c r="L1294" i="5"/>
  <c r="O1294" i="5"/>
  <c r="H1293" i="5"/>
  <c r="I1293" i="5"/>
  <c r="L1293" i="5"/>
  <c r="O1293" i="5"/>
  <c r="H1292" i="5"/>
  <c r="I1292" i="5"/>
  <c r="L1292" i="5"/>
  <c r="O1292" i="5"/>
  <c r="H1291" i="5"/>
  <c r="I1291" i="5"/>
  <c r="L1291" i="5"/>
  <c r="O1291" i="5"/>
  <c r="H1290" i="5"/>
  <c r="I1290" i="5"/>
  <c r="L1290" i="5"/>
  <c r="O1290" i="5"/>
  <c r="H1289" i="5"/>
  <c r="I1289" i="5"/>
  <c r="L1289" i="5"/>
  <c r="O1289" i="5"/>
  <c r="H1288" i="5"/>
  <c r="I1288" i="5"/>
  <c r="L1288" i="5"/>
  <c r="O1288" i="5"/>
  <c r="H1287" i="5"/>
  <c r="I1287" i="5"/>
  <c r="L1287" i="5"/>
  <c r="O1287" i="5"/>
  <c r="H1286" i="5"/>
  <c r="I1286" i="5"/>
  <c r="L1286" i="5"/>
  <c r="O1286" i="5"/>
  <c r="H1285" i="5"/>
  <c r="I1285" i="5"/>
  <c r="L1285" i="5"/>
  <c r="O1285" i="5"/>
  <c r="H1284" i="5"/>
  <c r="I1284" i="5"/>
  <c r="L1284" i="5"/>
  <c r="O1284" i="5"/>
  <c r="H1283" i="5"/>
  <c r="I1283" i="5"/>
  <c r="L1283" i="5"/>
  <c r="O1283" i="5"/>
  <c r="H1282" i="5"/>
  <c r="I1282" i="5"/>
  <c r="L1282" i="5"/>
  <c r="O1282" i="5"/>
  <c r="H1281" i="5"/>
  <c r="I1281" i="5"/>
  <c r="L1281" i="5"/>
  <c r="O1281" i="5"/>
  <c r="H1280" i="5"/>
  <c r="I1280" i="5"/>
  <c r="L1280" i="5"/>
  <c r="O1280" i="5"/>
  <c r="H1279" i="5"/>
  <c r="I1279" i="5"/>
  <c r="L1279" i="5"/>
  <c r="O1279" i="5"/>
  <c r="H1278" i="5"/>
  <c r="I1278" i="5"/>
  <c r="L1278" i="5"/>
  <c r="O1278" i="5"/>
  <c r="H1277" i="5"/>
  <c r="I1277" i="5"/>
  <c r="L1277" i="5"/>
  <c r="O1277" i="5"/>
  <c r="H1276" i="5"/>
  <c r="I1276" i="5"/>
  <c r="L1276" i="5"/>
  <c r="O1276" i="5"/>
  <c r="H1275" i="5"/>
  <c r="I1275" i="5"/>
  <c r="L1275" i="5"/>
  <c r="O1275" i="5"/>
  <c r="H1274" i="5"/>
  <c r="I1274" i="5"/>
  <c r="L1274" i="5"/>
  <c r="O1274" i="5"/>
  <c r="H1273" i="5"/>
  <c r="I1273" i="5"/>
  <c r="L1273" i="5"/>
  <c r="O1273" i="5"/>
  <c r="H1272" i="5"/>
  <c r="I1272" i="5"/>
  <c r="L1272" i="5"/>
  <c r="O1272" i="5"/>
  <c r="H1271" i="5"/>
  <c r="I1271" i="5"/>
  <c r="L1271" i="5"/>
  <c r="O1271" i="5"/>
  <c r="H1270" i="5"/>
  <c r="I1270" i="5"/>
  <c r="L1270" i="5"/>
  <c r="O1270" i="5"/>
  <c r="H1269" i="5"/>
  <c r="I1269" i="5"/>
  <c r="L1269" i="5"/>
  <c r="O1269" i="5"/>
  <c r="H1268" i="5"/>
  <c r="I1268" i="5"/>
  <c r="L1268" i="5"/>
  <c r="O1268" i="5"/>
  <c r="H1267" i="5"/>
  <c r="I1267" i="5"/>
  <c r="L1267" i="5"/>
  <c r="O1267" i="5"/>
  <c r="H1266" i="5"/>
  <c r="I1266" i="5"/>
  <c r="L1266" i="5"/>
  <c r="O1266" i="5"/>
  <c r="H1265" i="5"/>
  <c r="I1265" i="5"/>
  <c r="L1265" i="5"/>
  <c r="O1265" i="5"/>
  <c r="H1264" i="5"/>
  <c r="I1264" i="5"/>
  <c r="L1264" i="5"/>
  <c r="O1264" i="5"/>
  <c r="H1263" i="5"/>
  <c r="I1263" i="5"/>
  <c r="L1263" i="5"/>
  <c r="O1263" i="5"/>
  <c r="H1262" i="5"/>
  <c r="I1262" i="5"/>
  <c r="L1262" i="5"/>
  <c r="O1262" i="5"/>
  <c r="H1261" i="5"/>
  <c r="I1261" i="5"/>
  <c r="L1261" i="5"/>
  <c r="O1261" i="5"/>
  <c r="H1260" i="5"/>
  <c r="I1260" i="5"/>
  <c r="L1260" i="5"/>
  <c r="O1260" i="5"/>
  <c r="H1259" i="5"/>
  <c r="I1259" i="5"/>
  <c r="L1259" i="5"/>
  <c r="O1259" i="5"/>
  <c r="H1258" i="5"/>
  <c r="I1258" i="5"/>
  <c r="L1258" i="5"/>
  <c r="O1258" i="5"/>
  <c r="H1257" i="5"/>
  <c r="I1257" i="5"/>
  <c r="L1257" i="5"/>
  <c r="O1257" i="5"/>
  <c r="H1256" i="5"/>
  <c r="I1256" i="5"/>
  <c r="L1256" i="5"/>
  <c r="O1256" i="5"/>
  <c r="H1255" i="5"/>
  <c r="I1255" i="5"/>
  <c r="L1255" i="5"/>
  <c r="O1255" i="5"/>
  <c r="H1254" i="5"/>
  <c r="I1254" i="5"/>
  <c r="L1254" i="5"/>
  <c r="O1254" i="5"/>
  <c r="H1253" i="5"/>
  <c r="I1253" i="5"/>
  <c r="L1253" i="5"/>
  <c r="O1253" i="5"/>
  <c r="H1252" i="5"/>
  <c r="I1252" i="5"/>
  <c r="L1252" i="5"/>
  <c r="O1252" i="5"/>
  <c r="H1251" i="5"/>
  <c r="I1251" i="5"/>
  <c r="L1251" i="5"/>
  <c r="O1251" i="5"/>
  <c r="H1250" i="5"/>
  <c r="I1250" i="5"/>
  <c r="L1250" i="5"/>
  <c r="O1250" i="5"/>
  <c r="H1249" i="5"/>
  <c r="I1249" i="5"/>
  <c r="L1249" i="5"/>
  <c r="O1249" i="5"/>
  <c r="H1248" i="5"/>
  <c r="I1248" i="5"/>
  <c r="L1248" i="5"/>
  <c r="O1248" i="5"/>
  <c r="H1247" i="5"/>
  <c r="I1247" i="5"/>
  <c r="L1247" i="5"/>
  <c r="O1247" i="5"/>
  <c r="H1246" i="5"/>
  <c r="I1246" i="5"/>
  <c r="L1246" i="5"/>
  <c r="O1246" i="5"/>
  <c r="H1245" i="5"/>
  <c r="I1245" i="5"/>
  <c r="L1245" i="5"/>
  <c r="O1245" i="5"/>
  <c r="H1244" i="5"/>
  <c r="I1244" i="5"/>
  <c r="L1244" i="5"/>
  <c r="O1244" i="5"/>
  <c r="H1243" i="5"/>
  <c r="I1243" i="5"/>
  <c r="L1243" i="5"/>
  <c r="O1243" i="5"/>
  <c r="H1242" i="5"/>
  <c r="I1242" i="5"/>
  <c r="L1242" i="5"/>
  <c r="O1242" i="5"/>
  <c r="H1241" i="5"/>
  <c r="I1241" i="5"/>
  <c r="L1241" i="5"/>
  <c r="O1241" i="5"/>
  <c r="H1240" i="5"/>
  <c r="I1240" i="5"/>
  <c r="L1240" i="5"/>
  <c r="O1240" i="5"/>
  <c r="H1239" i="5"/>
  <c r="I1239" i="5"/>
  <c r="L1239" i="5"/>
  <c r="O1239" i="5"/>
  <c r="H1238" i="5"/>
  <c r="I1238" i="5"/>
  <c r="L1238" i="5"/>
  <c r="O1238" i="5"/>
  <c r="H1237" i="5"/>
  <c r="I1237" i="5"/>
  <c r="L1237" i="5"/>
  <c r="O1237" i="5"/>
  <c r="H1236" i="5"/>
  <c r="I1236" i="5"/>
  <c r="L1236" i="5"/>
  <c r="O1236" i="5"/>
  <c r="H1235" i="5"/>
  <c r="I1235" i="5"/>
  <c r="L1235" i="5"/>
  <c r="O1235" i="5"/>
  <c r="H1234" i="5"/>
  <c r="I1234" i="5"/>
  <c r="L1234" i="5"/>
  <c r="O1234" i="5"/>
  <c r="H1233" i="5"/>
  <c r="I1233" i="5"/>
  <c r="L1233" i="5"/>
  <c r="O1233" i="5"/>
  <c r="H1232" i="5"/>
  <c r="I1232" i="5"/>
  <c r="L1232" i="5"/>
  <c r="O1232" i="5"/>
  <c r="H1231" i="5"/>
  <c r="I1231" i="5"/>
  <c r="L1231" i="5"/>
  <c r="O1231" i="5"/>
  <c r="H1230" i="5"/>
  <c r="I1230" i="5"/>
  <c r="L1230" i="5"/>
  <c r="O1230" i="5"/>
  <c r="H1229" i="5"/>
  <c r="I1229" i="5"/>
  <c r="L1229" i="5"/>
  <c r="O1229" i="5"/>
  <c r="H1228" i="5"/>
  <c r="I1228" i="5"/>
  <c r="L1228" i="5"/>
  <c r="O1228" i="5"/>
  <c r="H1227" i="5"/>
  <c r="I1227" i="5"/>
  <c r="L1227" i="5"/>
  <c r="O1227" i="5"/>
  <c r="H1226" i="5"/>
  <c r="I1226" i="5"/>
  <c r="L1226" i="5"/>
  <c r="O1226" i="5"/>
  <c r="H1225" i="5"/>
  <c r="I1225" i="5"/>
  <c r="L1225" i="5"/>
  <c r="O1225" i="5"/>
  <c r="H1224" i="5"/>
  <c r="I1224" i="5"/>
  <c r="L1224" i="5"/>
  <c r="O1224" i="5"/>
  <c r="H1223" i="5"/>
  <c r="I1223" i="5"/>
  <c r="L1223" i="5"/>
  <c r="O1223" i="5"/>
  <c r="H1222" i="5"/>
  <c r="I1222" i="5"/>
  <c r="L1222" i="5"/>
  <c r="O1222" i="5"/>
  <c r="H1221" i="5"/>
  <c r="I1221" i="5"/>
  <c r="L1221" i="5"/>
  <c r="O1221" i="5"/>
  <c r="H1220" i="5"/>
  <c r="I1220" i="5"/>
  <c r="L1220" i="5"/>
  <c r="O1220" i="5"/>
  <c r="H1219" i="5"/>
  <c r="I1219" i="5"/>
  <c r="L1219" i="5"/>
  <c r="O1219" i="5"/>
  <c r="H1218" i="5"/>
  <c r="I1218" i="5"/>
  <c r="L1218" i="5"/>
  <c r="O1218" i="5"/>
  <c r="H1217" i="5"/>
  <c r="I1217" i="5"/>
  <c r="L1217" i="5"/>
  <c r="O1217" i="5"/>
  <c r="H1216" i="5"/>
  <c r="I1216" i="5"/>
  <c r="L1216" i="5"/>
  <c r="O1216" i="5"/>
  <c r="H1215" i="5"/>
  <c r="I1215" i="5"/>
  <c r="L1215" i="5"/>
  <c r="O1215" i="5"/>
  <c r="H1214" i="5"/>
  <c r="I1214" i="5"/>
  <c r="L1214" i="5"/>
  <c r="O1214" i="5"/>
  <c r="H1213" i="5"/>
  <c r="I1213" i="5"/>
  <c r="L1213" i="5"/>
  <c r="O1213" i="5"/>
  <c r="H1212" i="5"/>
  <c r="I1212" i="5"/>
  <c r="L1212" i="5"/>
  <c r="O1212" i="5"/>
  <c r="H1211" i="5"/>
  <c r="I1211" i="5"/>
  <c r="L1211" i="5"/>
  <c r="O1211" i="5"/>
  <c r="H1210" i="5"/>
  <c r="I1210" i="5"/>
  <c r="L1210" i="5"/>
  <c r="O1210" i="5"/>
  <c r="H1209" i="5"/>
  <c r="I1209" i="5"/>
  <c r="L1209" i="5"/>
  <c r="O1209" i="5"/>
  <c r="H1208" i="5"/>
  <c r="I1208" i="5"/>
  <c r="L1208" i="5"/>
  <c r="O1208" i="5"/>
  <c r="H1207" i="5"/>
  <c r="I1207" i="5"/>
  <c r="L1207" i="5"/>
  <c r="O1207" i="5"/>
  <c r="H1206" i="5"/>
  <c r="I1206" i="5"/>
  <c r="L1206" i="5"/>
  <c r="O1206" i="5"/>
  <c r="H1205" i="5"/>
  <c r="I1205" i="5"/>
  <c r="L1205" i="5"/>
  <c r="O1205" i="5"/>
  <c r="H1204" i="5"/>
  <c r="I1204" i="5"/>
  <c r="L1204" i="5"/>
  <c r="O1204" i="5"/>
  <c r="H1203" i="5"/>
  <c r="I1203" i="5"/>
  <c r="L1203" i="5"/>
  <c r="O1203" i="5"/>
  <c r="H1202" i="5"/>
  <c r="I1202" i="5"/>
  <c r="L1202" i="5"/>
  <c r="O1202" i="5"/>
  <c r="H1201" i="5"/>
  <c r="I1201" i="5"/>
  <c r="L1201" i="5"/>
  <c r="O1201" i="5"/>
  <c r="H1200" i="5"/>
  <c r="I1200" i="5"/>
  <c r="L1200" i="5"/>
  <c r="O1200" i="5"/>
  <c r="H1199" i="5"/>
  <c r="I1199" i="5"/>
  <c r="L1199" i="5"/>
  <c r="O1199" i="5"/>
  <c r="H1198" i="5"/>
  <c r="I1198" i="5"/>
  <c r="L1198" i="5"/>
  <c r="O1198" i="5"/>
  <c r="H1197" i="5"/>
  <c r="I1197" i="5"/>
  <c r="L1197" i="5"/>
  <c r="O1197" i="5"/>
  <c r="H1196" i="5"/>
  <c r="I1196" i="5"/>
  <c r="L1196" i="5"/>
  <c r="O1196" i="5"/>
  <c r="H1195" i="5"/>
  <c r="I1195" i="5"/>
  <c r="L1195" i="5"/>
  <c r="O1195" i="5"/>
  <c r="H1194" i="5"/>
  <c r="I1194" i="5"/>
  <c r="L1194" i="5"/>
  <c r="O1194" i="5"/>
  <c r="H1193" i="5"/>
  <c r="I1193" i="5"/>
  <c r="L1193" i="5"/>
  <c r="O1193" i="5"/>
  <c r="H1192" i="5"/>
  <c r="I1192" i="5"/>
  <c r="L1192" i="5"/>
  <c r="O1192" i="5"/>
  <c r="H1191" i="5"/>
  <c r="I1191" i="5"/>
  <c r="L1191" i="5"/>
  <c r="O1191" i="5"/>
  <c r="H1190" i="5"/>
  <c r="I1190" i="5"/>
  <c r="L1190" i="5"/>
  <c r="O1190" i="5"/>
  <c r="H1189" i="5"/>
  <c r="I1189" i="5"/>
  <c r="L1189" i="5"/>
  <c r="O1189" i="5"/>
  <c r="H1188" i="5"/>
  <c r="I1188" i="5"/>
  <c r="L1188" i="5"/>
  <c r="O1188" i="5"/>
  <c r="H1187" i="5"/>
  <c r="I1187" i="5"/>
  <c r="L1187" i="5"/>
  <c r="O1187" i="5"/>
  <c r="H1186" i="5"/>
  <c r="I1186" i="5"/>
  <c r="L1186" i="5"/>
  <c r="O1186" i="5"/>
  <c r="H1185" i="5"/>
  <c r="I1185" i="5"/>
  <c r="L1185" i="5"/>
  <c r="O1185" i="5"/>
  <c r="H1184" i="5"/>
  <c r="I1184" i="5"/>
  <c r="L1184" i="5"/>
  <c r="O1184" i="5"/>
  <c r="H1183" i="5"/>
  <c r="I1183" i="5"/>
  <c r="L1183" i="5"/>
  <c r="O1183" i="5"/>
  <c r="H1182" i="5"/>
  <c r="I1182" i="5"/>
  <c r="L1182" i="5"/>
  <c r="O1182" i="5"/>
  <c r="H1181" i="5"/>
  <c r="I1181" i="5"/>
  <c r="L1181" i="5"/>
  <c r="O1181" i="5"/>
  <c r="H1180" i="5"/>
  <c r="I1180" i="5"/>
  <c r="L1180" i="5"/>
  <c r="O1180" i="5"/>
  <c r="H1179" i="5"/>
  <c r="I1179" i="5"/>
  <c r="L1179" i="5"/>
  <c r="O1179" i="5"/>
  <c r="H1178" i="5"/>
  <c r="I1178" i="5"/>
  <c r="L1178" i="5"/>
  <c r="O1178" i="5"/>
  <c r="H1177" i="5"/>
  <c r="I1177" i="5"/>
  <c r="L1177" i="5"/>
  <c r="O1177" i="5"/>
  <c r="H1176" i="5"/>
  <c r="I1176" i="5"/>
  <c r="L1176" i="5"/>
  <c r="O1176" i="5"/>
  <c r="H1175" i="5"/>
  <c r="I1175" i="5"/>
  <c r="L1175" i="5"/>
  <c r="O1175" i="5"/>
  <c r="H1174" i="5"/>
  <c r="I1174" i="5"/>
  <c r="L1174" i="5"/>
  <c r="O1174" i="5"/>
  <c r="H1173" i="5"/>
  <c r="I1173" i="5"/>
  <c r="L1173" i="5"/>
  <c r="O1173" i="5"/>
  <c r="H1172" i="5"/>
  <c r="I1172" i="5"/>
  <c r="L1172" i="5"/>
  <c r="O1172" i="5"/>
  <c r="H1171" i="5"/>
  <c r="I1171" i="5"/>
  <c r="L1171" i="5"/>
  <c r="O1171" i="5"/>
  <c r="H1170" i="5"/>
  <c r="I1170" i="5"/>
  <c r="L1170" i="5"/>
  <c r="O1170" i="5"/>
  <c r="H1169" i="5"/>
  <c r="I1169" i="5"/>
  <c r="L1169" i="5"/>
  <c r="O1169" i="5"/>
  <c r="H1168" i="5"/>
  <c r="I1168" i="5"/>
  <c r="L1168" i="5"/>
  <c r="O1168" i="5"/>
  <c r="H1167" i="5"/>
  <c r="I1167" i="5"/>
  <c r="L1167" i="5"/>
  <c r="O1167" i="5"/>
  <c r="H1166" i="5"/>
  <c r="I1166" i="5"/>
  <c r="L1166" i="5"/>
  <c r="O1166" i="5"/>
  <c r="H1165" i="5"/>
  <c r="I1165" i="5"/>
  <c r="L1165" i="5"/>
  <c r="O1165" i="5"/>
  <c r="H1164" i="5"/>
  <c r="I1164" i="5"/>
  <c r="L1164" i="5"/>
  <c r="O1164" i="5"/>
  <c r="H1163" i="5"/>
  <c r="I1163" i="5"/>
  <c r="L1163" i="5"/>
  <c r="O1163" i="5"/>
  <c r="H1162" i="5"/>
  <c r="I1162" i="5"/>
  <c r="L1162" i="5"/>
  <c r="O1162" i="5"/>
  <c r="H1161" i="5"/>
  <c r="I1161" i="5"/>
  <c r="L1161" i="5"/>
  <c r="O1161" i="5"/>
  <c r="H1160" i="5"/>
  <c r="I1160" i="5"/>
  <c r="L1160" i="5"/>
  <c r="O1160" i="5"/>
  <c r="H1159" i="5"/>
  <c r="I1159" i="5"/>
  <c r="L1159" i="5"/>
  <c r="O1159" i="5"/>
  <c r="H1158" i="5"/>
  <c r="I1158" i="5"/>
  <c r="L1158" i="5"/>
  <c r="O1158" i="5"/>
  <c r="H1157" i="5"/>
  <c r="I1157" i="5"/>
  <c r="L1157" i="5"/>
  <c r="O1157" i="5"/>
  <c r="H1156" i="5"/>
  <c r="I1156" i="5"/>
  <c r="L1156" i="5"/>
  <c r="O1156" i="5"/>
  <c r="H1155" i="5"/>
  <c r="I1155" i="5"/>
  <c r="L1155" i="5"/>
  <c r="O1155" i="5"/>
  <c r="H1154" i="5"/>
  <c r="I1154" i="5"/>
  <c r="L1154" i="5"/>
  <c r="O1154" i="5"/>
  <c r="H1153" i="5"/>
  <c r="I1153" i="5"/>
  <c r="L1153" i="5"/>
  <c r="O1153" i="5"/>
  <c r="H1152" i="5"/>
  <c r="I1152" i="5"/>
  <c r="L1152" i="5"/>
  <c r="O1152" i="5"/>
  <c r="H1151" i="5"/>
  <c r="I1151" i="5"/>
  <c r="L1151" i="5"/>
  <c r="O1151" i="5"/>
  <c r="H1150" i="5"/>
  <c r="I1150" i="5"/>
  <c r="L1150" i="5"/>
  <c r="O1150" i="5"/>
  <c r="H1149" i="5"/>
  <c r="I1149" i="5"/>
  <c r="L1149" i="5"/>
  <c r="O1149" i="5"/>
  <c r="H1148" i="5"/>
  <c r="I1148" i="5"/>
  <c r="L1148" i="5"/>
  <c r="O1148" i="5"/>
  <c r="H1147" i="5"/>
  <c r="I1147" i="5"/>
  <c r="L1147" i="5"/>
  <c r="O1147" i="5"/>
  <c r="H1146" i="5"/>
  <c r="I1146" i="5"/>
  <c r="L1146" i="5"/>
  <c r="O1146" i="5"/>
  <c r="H1145" i="5"/>
  <c r="I1145" i="5"/>
  <c r="L1145" i="5"/>
  <c r="O1145" i="5"/>
  <c r="H1144" i="5"/>
  <c r="I1144" i="5"/>
  <c r="L1144" i="5"/>
  <c r="O1144" i="5"/>
  <c r="H1143" i="5"/>
  <c r="I1143" i="5"/>
  <c r="L1143" i="5"/>
  <c r="O1143" i="5"/>
  <c r="H1142" i="5"/>
  <c r="I1142" i="5"/>
  <c r="L1142" i="5"/>
  <c r="O1142" i="5"/>
  <c r="H1141" i="5"/>
  <c r="I1141" i="5"/>
  <c r="L1141" i="5"/>
  <c r="O1141" i="5"/>
  <c r="H1140" i="5"/>
  <c r="I1140" i="5"/>
  <c r="L1140" i="5"/>
  <c r="O1140" i="5"/>
  <c r="H1139" i="5"/>
  <c r="I1139" i="5"/>
  <c r="L1139" i="5"/>
  <c r="O1139" i="5"/>
  <c r="H1138" i="5"/>
  <c r="I1138" i="5"/>
  <c r="L1138" i="5"/>
  <c r="O1138" i="5"/>
  <c r="H1137" i="5"/>
  <c r="I1137" i="5"/>
  <c r="L1137" i="5"/>
  <c r="O1137" i="5"/>
  <c r="H1136" i="5"/>
  <c r="I1136" i="5"/>
  <c r="L1136" i="5"/>
  <c r="O1136" i="5"/>
  <c r="H1135" i="5"/>
  <c r="I1135" i="5"/>
  <c r="L1135" i="5"/>
  <c r="O1135" i="5"/>
  <c r="H1134" i="5"/>
  <c r="I1134" i="5"/>
  <c r="L1134" i="5"/>
  <c r="O1134" i="5"/>
  <c r="H1133" i="5"/>
  <c r="I1133" i="5"/>
  <c r="L1133" i="5"/>
  <c r="O1133" i="5"/>
  <c r="H1132" i="5"/>
  <c r="I1132" i="5"/>
  <c r="L1132" i="5"/>
  <c r="O1132" i="5"/>
  <c r="H1131" i="5"/>
  <c r="I1131" i="5"/>
  <c r="L1131" i="5"/>
  <c r="O1131" i="5"/>
  <c r="H1130" i="5"/>
  <c r="I1130" i="5"/>
  <c r="L1130" i="5"/>
  <c r="O1130" i="5"/>
  <c r="H1129" i="5"/>
  <c r="I1129" i="5"/>
  <c r="L1129" i="5"/>
  <c r="O1129" i="5"/>
  <c r="H1128" i="5"/>
  <c r="I1128" i="5"/>
  <c r="L1128" i="5"/>
  <c r="O1128" i="5"/>
  <c r="H1127" i="5"/>
  <c r="I1127" i="5"/>
  <c r="L1127" i="5"/>
  <c r="O1127" i="5"/>
  <c r="H1126" i="5"/>
  <c r="I1126" i="5"/>
  <c r="L1126" i="5"/>
  <c r="O1126" i="5"/>
  <c r="H1125" i="5"/>
  <c r="I1125" i="5"/>
  <c r="L1125" i="5"/>
  <c r="O1125" i="5"/>
  <c r="H1124" i="5"/>
  <c r="I1124" i="5"/>
  <c r="L1124" i="5"/>
  <c r="O1124" i="5"/>
  <c r="H1123" i="5"/>
  <c r="I1123" i="5"/>
  <c r="L1123" i="5"/>
  <c r="O1123" i="5"/>
  <c r="H1122" i="5"/>
  <c r="I1122" i="5"/>
  <c r="L1122" i="5"/>
  <c r="O1122" i="5"/>
  <c r="H1121" i="5"/>
  <c r="I1121" i="5"/>
  <c r="L1121" i="5"/>
  <c r="O1121" i="5"/>
  <c r="H1120" i="5"/>
  <c r="I1120" i="5"/>
  <c r="L1120" i="5"/>
  <c r="O1120" i="5"/>
  <c r="H1119" i="5"/>
  <c r="I1119" i="5"/>
  <c r="L1119" i="5"/>
  <c r="O1119" i="5"/>
  <c r="H1118" i="5"/>
  <c r="I1118" i="5"/>
  <c r="L1118" i="5"/>
  <c r="O1118" i="5"/>
  <c r="H1117" i="5"/>
  <c r="I1117" i="5"/>
  <c r="L1117" i="5"/>
  <c r="O1117" i="5"/>
  <c r="H1116" i="5"/>
  <c r="I1116" i="5"/>
  <c r="L1116" i="5"/>
  <c r="O1116" i="5"/>
  <c r="H1115" i="5"/>
  <c r="I1115" i="5"/>
  <c r="L1115" i="5"/>
  <c r="O1115" i="5"/>
  <c r="H1114" i="5"/>
  <c r="I1114" i="5"/>
  <c r="L1114" i="5"/>
  <c r="O1114" i="5"/>
  <c r="H1113" i="5"/>
  <c r="I1113" i="5"/>
  <c r="L1113" i="5"/>
  <c r="O1113" i="5"/>
  <c r="H1112" i="5"/>
  <c r="I1112" i="5"/>
  <c r="L1112" i="5"/>
  <c r="O1112" i="5"/>
  <c r="H1111" i="5"/>
  <c r="I1111" i="5"/>
  <c r="L1111" i="5"/>
  <c r="O1111" i="5"/>
  <c r="H1110" i="5"/>
  <c r="I1110" i="5"/>
  <c r="L1110" i="5"/>
  <c r="O1110" i="5"/>
  <c r="H1109" i="5"/>
  <c r="I1109" i="5"/>
  <c r="L1109" i="5"/>
  <c r="O1109" i="5"/>
  <c r="H1108" i="5"/>
  <c r="I1108" i="5"/>
  <c r="L1108" i="5"/>
  <c r="O1108" i="5"/>
  <c r="H1107" i="5"/>
  <c r="I1107" i="5"/>
  <c r="L1107" i="5"/>
  <c r="O1107" i="5"/>
  <c r="H1106" i="5"/>
  <c r="I1106" i="5"/>
  <c r="L1106" i="5"/>
  <c r="O1106" i="5"/>
  <c r="H1105" i="5"/>
  <c r="I1105" i="5"/>
  <c r="L1105" i="5"/>
  <c r="O1105" i="5"/>
  <c r="H1104" i="5"/>
  <c r="I1104" i="5"/>
  <c r="L1104" i="5"/>
  <c r="O1104" i="5"/>
  <c r="H1103" i="5"/>
  <c r="I1103" i="5"/>
  <c r="L1103" i="5"/>
  <c r="O1103" i="5"/>
  <c r="H1102" i="5"/>
  <c r="I1102" i="5"/>
  <c r="L1102" i="5"/>
  <c r="O1102" i="5"/>
  <c r="H1101" i="5"/>
  <c r="I1101" i="5"/>
  <c r="L1101" i="5"/>
  <c r="O1101" i="5"/>
  <c r="H1100" i="5"/>
  <c r="I1100" i="5"/>
  <c r="L1100" i="5"/>
  <c r="O1100" i="5"/>
  <c r="H1099" i="5"/>
  <c r="I1099" i="5"/>
  <c r="L1099" i="5"/>
  <c r="O1099" i="5"/>
  <c r="H1098" i="5"/>
  <c r="I1098" i="5"/>
  <c r="L1098" i="5"/>
  <c r="O1098" i="5"/>
  <c r="H1097" i="5"/>
  <c r="I1097" i="5"/>
  <c r="L1097" i="5"/>
  <c r="O1097" i="5"/>
  <c r="H1096" i="5"/>
  <c r="I1096" i="5"/>
  <c r="L1096" i="5"/>
  <c r="O1096" i="5"/>
  <c r="H1095" i="5"/>
  <c r="I1095" i="5"/>
  <c r="L1095" i="5"/>
  <c r="O1095" i="5"/>
  <c r="H1094" i="5"/>
  <c r="I1094" i="5"/>
  <c r="L1094" i="5"/>
  <c r="O1094" i="5"/>
  <c r="H1092" i="5"/>
  <c r="I1092" i="5"/>
  <c r="L1092" i="5"/>
  <c r="O1092" i="5"/>
  <c r="H1091" i="5"/>
  <c r="I1091" i="5"/>
  <c r="L1091" i="5"/>
  <c r="O1091" i="5"/>
  <c r="H1090" i="5"/>
  <c r="I1090" i="5"/>
  <c r="L1090" i="5"/>
  <c r="O1090" i="5"/>
  <c r="H1089" i="5"/>
  <c r="I1089" i="5"/>
  <c r="L1089" i="5"/>
  <c r="O1089" i="5"/>
  <c r="H1088" i="5"/>
  <c r="I1088" i="5"/>
  <c r="L1088" i="5"/>
  <c r="O1088" i="5"/>
  <c r="H1087" i="5"/>
  <c r="I1087" i="5"/>
  <c r="L1087" i="5"/>
  <c r="O1087" i="5"/>
  <c r="H1086" i="5"/>
  <c r="I1086" i="5"/>
  <c r="L1086" i="5"/>
  <c r="O1086" i="5"/>
  <c r="H1085" i="5"/>
  <c r="I1085" i="5"/>
  <c r="L1085" i="5"/>
  <c r="O1085" i="5"/>
  <c r="H1084" i="5"/>
  <c r="I1084" i="5"/>
  <c r="L1084" i="5"/>
  <c r="O1084" i="5"/>
  <c r="H1083" i="5"/>
  <c r="I1083" i="5"/>
  <c r="L1083" i="5"/>
  <c r="O1083" i="5"/>
  <c r="H1082" i="5"/>
  <c r="I1082" i="5"/>
  <c r="L1082" i="5"/>
  <c r="O1082" i="5"/>
  <c r="H1081" i="5"/>
  <c r="I1081" i="5"/>
  <c r="L1081" i="5"/>
  <c r="O1081" i="5"/>
  <c r="H1080" i="5"/>
  <c r="I1080" i="5"/>
  <c r="L1080" i="5"/>
  <c r="O1080" i="5"/>
  <c r="H1079" i="5"/>
  <c r="I1079" i="5"/>
  <c r="L1079" i="5"/>
  <c r="O1079" i="5"/>
  <c r="H1078" i="5"/>
  <c r="I1078" i="5"/>
  <c r="L1078" i="5"/>
  <c r="O1078" i="5"/>
  <c r="H1077" i="5"/>
  <c r="I1077" i="5"/>
  <c r="L1077" i="5"/>
  <c r="O1077" i="5"/>
  <c r="H1076" i="5"/>
  <c r="I1076" i="5"/>
  <c r="L1076" i="5"/>
  <c r="O1076" i="5"/>
  <c r="H1075" i="5"/>
  <c r="I1075" i="5"/>
  <c r="L1075" i="5"/>
  <c r="O1075" i="5"/>
  <c r="H1074" i="5"/>
  <c r="I1074" i="5"/>
  <c r="L1074" i="5"/>
  <c r="O1074" i="5"/>
  <c r="H1073" i="5"/>
  <c r="I1073" i="5"/>
  <c r="L1073" i="5"/>
  <c r="O1073" i="5"/>
  <c r="H1072" i="5"/>
  <c r="I1072" i="5"/>
  <c r="L1072" i="5"/>
  <c r="O1072" i="5"/>
  <c r="H1071" i="5"/>
  <c r="I1071" i="5"/>
  <c r="L1071" i="5"/>
  <c r="O1071" i="5"/>
  <c r="H1070" i="5"/>
  <c r="I1070" i="5"/>
  <c r="L1070" i="5"/>
  <c r="O1070" i="5"/>
  <c r="H1069" i="5"/>
  <c r="I1069" i="5"/>
  <c r="L1069" i="5"/>
  <c r="O1069" i="5"/>
  <c r="H1068" i="5"/>
  <c r="I1068" i="5"/>
  <c r="L1068" i="5"/>
  <c r="O1068" i="5"/>
  <c r="H1067" i="5"/>
  <c r="I1067" i="5"/>
  <c r="L1067" i="5"/>
  <c r="O1067" i="5"/>
  <c r="H1066" i="5"/>
  <c r="I1066" i="5"/>
  <c r="L1066" i="5"/>
  <c r="O1066" i="5"/>
  <c r="H1065" i="5"/>
  <c r="I1065" i="5"/>
  <c r="L1065" i="5"/>
  <c r="O1065" i="5"/>
  <c r="H1064" i="5"/>
  <c r="I1064" i="5"/>
  <c r="L1064" i="5"/>
  <c r="O1064" i="5"/>
  <c r="H1063" i="5"/>
  <c r="I1063" i="5"/>
  <c r="L1063" i="5"/>
  <c r="O1063" i="5"/>
  <c r="H1062" i="5"/>
  <c r="I1062" i="5"/>
  <c r="L1062" i="5"/>
  <c r="O1062" i="5"/>
  <c r="H1061" i="5"/>
  <c r="I1061" i="5"/>
  <c r="L1061" i="5"/>
  <c r="O1061" i="5"/>
  <c r="H1060" i="5"/>
  <c r="I1060" i="5"/>
  <c r="L1060" i="5"/>
  <c r="O1060" i="5"/>
  <c r="H1059" i="5"/>
  <c r="I1059" i="5"/>
  <c r="L1059" i="5"/>
  <c r="O1059" i="5"/>
  <c r="H1058" i="5"/>
  <c r="I1058" i="5"/>
  <c r="L1058" i="5"/>
  <c r="O1058" i="5"/>
  <c r="H1057" i="5"/>
  <c r="I1057" i="5"/>
  <c r="L1057" i="5"/>
  <c r="O1057" i="5"/>
  <c r="H1056" i="5"/>
  <c r="I1056" i="5"/>
  <c r="L1056" i="5"/>
  <c r="O1056" i="5"/>
  <c r="H1055" i="5"/>
  <c r="I1055" i="5"/>
  <c r="L1055" i="5"/>
  <c r="O1055" i="5"/>
  <c r="H1054" i="5"/>
  <c r="I1054" i="5"/>
  <c r="L1054" i="5"/>
  <c r="O1054" i="5"/>
  <c r="H1053" i="5"/>
  <c r="I1053" i="5"/>
  <c r="L1053" i="5"/>
  <c r="O1053" i="5"/>
  <c r="H1052" i="5"/>
  <c r="I1052" i="5"/>
  <c r="L1052" i="5"/>
  <c r="O1052" i="5"/>
  <c r="H1051" i="5"/>
  <c r="I1051" i="5"/>
  <c r="L1051" i="5"/>
  <c r="O1051" i="5"/>
  <c r="H1050" i="5"/>
  <c r="I1050" i="5"/>
  <c r="L1050" i="5"/>
  <c r="O1050" i="5"/>
  <c r="H1049" i="5"/>
  <c r="I1049" i="5"/>
  <c r="L1049" i="5"/>
  <c r="O1049" i="5"/>
  <c r="H1048" i="5"/>
  <c r="I1048" i="5"/>
  <c r="L1048" i="5"/>
  <c r="O1048" i="5"/>
  <c r="H1047" i="5"/>
  <c r="I1047" i="5"/>
  <c r="L1047" i="5"/>
  <c r="O1047" i="5"/>
  <c r="H1046" i="5"/>
  <c r="I1046" i="5"/>
  <c r="L1046" i="5"/>
  <c r="O1046" i="5"/>
  <c r="H1045" i="5"/>
  <c r="I1045" i="5"/>
  <c r="L1045" i="5"/>
  <c r="O1045" i="5"/>
  <c r="H1044" i="5"/>
  <c r="I1044" i="5"/>
  <c r="L1044" i="5"/>
  <c r="O1044" i="5"/>
  <c r="H1043" i="5"/>
  <c r="I1043" i="5"/>
  <c r="L1043" i="5"/>
  <c r="O1043" i="5"/>
  <c r="H1042" i="5"/>
  <c r="I1042" i="5"/>
  <c r="L1042" i="5"/>
  <c r="O1042" i="5"/>
  <c r="H1041" i="5"/>
  <c r="I1041" i="5"/>
  <c r="L1041" i="5"/>
  <c r="O1041" i="5"/>
  <c r="H1040" i="5"/>
  <c r="I1040" i="5"/>
  <c r="L1040" i="5"/>
  <c r="O1040" i="5"/>
  <c r="H1039" i="5"/>
  <c r="I1039" i="5"/>
  <c r="L1039" i="5"/>
  <c r="O1039" i="5"/>
  <c r="H1038" i="5"/>
  <c r="I1038" i="5"/>
  <c r="L1038" i="5"/>
  <c r="O1038" i="5"/>
  <c r="H1037" i="5"/>
  <c r="I1037" i="5"/>
  <c r="L1037" i="5"/>
  <c r="O1037" i="5"/>
  <c r="H1036" i="5"/>
  <c r="I1036" i="5"/>
  <c r="L1036" i="5"/>
  <c r="O1036" i="5"/>
  <c r="H1035" i="5"/>
  <c r="I1035" i="5"/>
  <c r="L1035" i="5"/>
  <c r="O1035" i="5"/>
  <c r="H1034" i="5"/>
  <c r="I1034" i="5"/>
  <c r="L1034" i="5"/>
  <c r="O1034" i="5"/>
  <c r="H1033" i="5"/>
  <c r="I1033" i="5"/>
  <c r="L1033" i="5"/>
  <c r="O1033" i="5"/>
  <c r="H1032" i="5"/>
  <c r="I1032" i="5"/>
  <c r="L1032" i="5"/>
  <c r="O1032" i="5"/>
  <c r="H1031" i="5"/>
  <c r="I1031" i="5"/>
  <c r="L1031" i="5"/>
  <c r="O1031" i="5"/>
  <c r="H1030" i="5"/>
  <c r="I1030" i="5"/>
  <c r="L1030" i="5"/>
  <c r="O1030" i="5"/>
  <c r="H1029" i="5"/>
  <c r="I1029" i="5"/>
  <c r="L1029" i="5"/>
  <c r="O1029" i="5"/>
  <c r="H1028" i="5"/>
  <c r="I1028" i="5"/>
  <c r="L1028" i="5"/>
  <c r="O1028" i="5"/>
  <c r="H1027" i="5"/>
  <c r="I1027" i="5"/>
  <c r="L1027" i="5"/>
  <c r="O1027" i="5"/>
  <c r="H1026" i="5"/>
  <c r="I1026" i="5"/>
  <c r="L1026" i="5"/>
  <c r="O1026" i="5"/>
  <c r="H1025" i="5"/>
  <c r="I1025" i="5"/>
  <c r="L1025" i="5"/>
  <c r="O1025" i="5"/>
  <c r="H1024" i="5"/>
  <c r="I1024" i="5"/>
  <c r="L1024" i="5"/>
  <c r="O1024" i="5"/>
  <c r="H1023" i="5"/>
  <c r="I1023" i="5"/>
  <c r="L1023" i="5"/>
  <c r="O1023" i="5"/>
  <c r="H1022" i="5"/>
  <c r="I1022" i="5"/>
  <c r="L1022" i="5"/>
  <c r="O1022" i="5"/>
  <c r="H1021" i="5"/>
  <c r="I1021" i="5"/>
  <c r="L1021" i="5"/>
  <c r="O1021" i="5"/>
  <c r="H1020" i="5"/>
  <c r="I1020" i="5"/>
  <c r="L1020" i="5"/>
  <c r="O1020" i="5"/>
  <c r="H1019" i="5"/>
  <c r="I1019" i="5"/>
  <c r="L1019" i="5"/>
  <c r="O1019" i="5"/>
  <c r="H1018" i="5"/>
  <c r="I1018" i="5"/>
  <c r="L1018" i="5"/>
  <c r="O1018" i="5"/>
  <c r="H1017" i="5"/>
  <c r="I1017" i="5"/>
  <c r="L1017" i="5"/>
  <c r="O1017" i="5"/>
  <c r="H1016" i="5"/>
  <c r="I1016" i="5"/>
  <c r="L1016" i="5"/>
  <c r="O1016" i="5"/>
  <c r="H1015" i="5"/>
  <c r="I1015" i="5"/>
  <c r="L1015" i="5"/>
  <c r="O1015" i="5"/>
  <c r="H1014" i="5"/>
  <c r="I1014" i="5"/>
  <c r="L1014" i="5"/>
  <c r="O1014" i="5"/>
  <c r="H1013" i="5"/>
  <c r="I1013" i="5"/>
  <c r="L1013" i="5"/>
  <c r="O1013" i="5"/>
  <c r="H1012" i="5"/>
  <c r="I1012" i="5"/>
  <c r="L1012" i="5"/>
  <c r="O1012" i="5"/>
  <c r="H1011" i="5"/>
  <c r="I1011" i="5"/>
  <c r="L1011" i="5"/>
  <c r="O1011" i="5"/>
  <c r="H1010" i="5"/>
  <c r="I1010" i="5"/>
  <c r="L1010" i="5"/>
  <c r="O1010" i="5"/>
  <c r="H1009" i="5"/>
  <c r="I1009" i="5"/>
  <c r="L1009" i="5"/>
  <c r="O1009" i="5"/>
  <c r="H1008" i="5"/>
  <c r="I1008" i="5"/>
  <c r="L1008" i="5"/>
  <c r="O1008" i="5"/>
  <c r="H1007" i="5"/>
  <c r="I1007" i="5"/>
  <c r="L1007" i="5"/>
  <c r="O1007" i="5"/>
  <c r="H1006" i="5"/>
  <c r="I1006" i="5"/>
  <c r="L1006" i="5"/>
  <c r="O1006" i="5"/>
  <c r="H1005" i="5"/>
  <c r="I1005" i="5"/>
  <c r="L1005" i="5"/>
  <c r="O1005" i="5"/>
  <c r="H1004" i="5"/>
  <c r="I1004" i="5"/>
  <c r="L1004" i="5"/>
  <c r="O1004" i="5"/>
  <c r="H1003" i="5"/>
  <c r="I1003" i="5"/>
  <c r="L1003" i="5"/>
  <c r="O1003" i="5"/>
  <c r="H1002" i="5"/>
  <c r="I1002" i="5"/>
  <c r="L1002" i="5"/>
  <c r="O1002" i="5"/>
  <c r="H1001" i="5"/>
  <c r="I1001" i="5"/>
  <c r="L1001" i="5"/>
  <c r="O1001" i="5"/>
  <c r="H1000" i="5"/>
  <c r="I1000" i="5"/>
  <c r="L1000" i="5"/>
  <c r="O1000" i="5"/>
  <c r="H999" i="5"/>
  <c r="I999" i="5"/>
  <c r="L999" i="5"/>
  <c r="O999" i="5"/>
  <c r="H998" i="5"/>
  <c r="I998" i="5"/>
  <c r="L998" i="5"/>
  <c r="O998" i="5"/>
  <c r="H997" i="5"/>
  <c r="I997" i="5"/>
  <c r="L997" i="5"/>
  <c r="O997" i="5"/>
  <c r="H996" i="5"/>
  <c r="I996" i="5"/>
  <c r="L996" i="5"/>
  <c r="O996" i="5"/>
  <c r="H995" i="5"/>
  <c r="I995" i="5"/>
  <c r="L995" i="5"/>
  <c r="O995" i="5"/>
  <c r="H994" i="5"/>
  <c r="I994" i="5"/>
  <c r="L994" i="5"/>
  <c r="O994" i="5"/>
  <c r="H993" i="5"/>
  <c r="I993" i="5"/>
  <c r="L993" i="5"/>
  <c r="O993" i="5"/>
  <c r="H992" i="5"/>
  <c r="I992" i="5"/>
  <c r="L992" i="5"/>
  <c r="O992" i="5"/>
  <c r="H991" i="5"/>
  <c r="I991" i="5"/>
  <c r="L991" i="5"/>
  <c r="O991" i="5"/>
  <c r="H990" i="5"/>
  <c r="I990" i="5"/>
  <c r="L990" i="5"/>
  <c r="O990" i="5"/>
  <c r="H989" i="5"/>
  <c r="I989" i="5"/>
  <c r="L989" i="5"/>
  <c r="O989" i="5"/>
  <c r="H988" i="5"/>
  <c r="I988" i="5"/>
  <c r="L988" i="5"/>
  <c r="O988" i="5"/>
  <c r="H987" i="5"/>
  <c r="I987" i="5"/>
  <c r="L987" i="5"/>
  <c r="O987" i="5"/>
  <c r="H986" i="5"/>
  <c r="I986" i="5"/>
  <c r="L986" i="5"/>
  <c r="O986" i="5"/>
  <c r="H985" i="5"/>
  <c r="I985" i="5"/>
  <c r="L985" i="5"/>
  <c r="O985" i="5"/>
  <c r="H984" i="5"/>
  <c r="I984" i="5"/>
  <c r="L984" i="5"/>
  <c r="O984" i="5"/>
  <c r="H983" i="5"/>
  <c r="I983" i="5"/>
  <c r="L983" i="5"/>
  <c r="O983" i="5"/>
  <c r="H982" i="5"/>
  <c r="I982" i="5"/>
  <c r="L982" i="5"/>
  <c r="O982" i="5"/>
  <c r="H981" i="5"/>
  <c r="I981" i="5"/>
  <c r="L981" i="5"/>
  <c r="O981" i="5"/>
  <c r="H980" i="5"/>
  <c r="I980" i="5"/>
  <c r="L980" i="5"/>
  <c r="O980" i="5"/>
  <c r="H979" i="5"/>
  <c r="I979" i="5"/>
  <c r="L979" i="5"/>
  <c r="O979" i="5"/>
  <c r="H978" i="5"/>
  <c r="I978" i="5"/>
  <c r="L978" i="5"/>
  <c r="O978" i="5"/>
  <c r="H977" i="5"/>
  <c r="I977" i="5"/>
  <c r="L977" i="5"/>
  <c r="O977" i="5"/>
  <c r="H976" i="5"/>
  <c r="I976" i="5"/>
  <c r="L976" i="5"/>
  <c r="O976" i="5"/>
  <c r="H975" i="5"/>
  <c r="I975" i="5"/>
  <c r="L975" i="5"/>
  <c r="O975" i="5"/>
  <c r="H974" i="5"/>
  <c r="I974" i="5"/>
  <c r="L974" i="5"/>
  <c r="O974" i="5"/>
  <c r="H973" i="5"/>
  <c r="I973" i="5"/>
  <c r="L973" i="5"/>
  <c r="O973" i="5"/>
  <c r="H972" i="5"/>
  <c r="I972" i="5"/>
  <c r="L972" i="5"/>
  <c r="O972" i="5"/>
  <c r="H971" i="5"/>
  <c r="I971" i="5"/>
  <c r="L971" i="5"/>
  <c r="O971" i="5"/>
  <c r="H970" i="5"/>
  <c r="I970" i="5"/>
  <c r="L970" i="5"/>
  <c r="O970" i="5"/>
  <c r="H969" i="5"/>
  <c r="I969" i="5"/>
  <c r="L969" i="5"/>
  <c r="O969" i="5"/>
  <c r="H968" i="5"/>
  <c r="I968" i="5"/>
  <c r="L968" i="5"/>
  <c r="O968" i="5"/>
  <c r="H967" i="5"/>
  <c r="I967" i="5"/>
  <c r="L967" i="5"/>
  <c r="O967" i="5"/>
  <c r="H966" i="5"/>
  <c r="I966" i="5"/>
  <c r="L966" i="5"/>
  <c r="O966" i="5"/>
  <c r="H965" i="5"/>
  <c r="I965" i="5"/>
  <c r="L965" i="5"/>
  <c r="O965" i="5"/>
  <c r="H964" i="5"/>
  <c r="I964" i="5"/>
  <c r="L964" i="5"/>
  <c r="O964" i="5"/>
  <c r="H963" i="5"/>
  <c r="I963" i="5"/>
  <c r="L963" i="5"/>
  <c r="O963" i="5"/>
  <c r="H962" i="5"/>
  <c r="I962" i="5"/>
  <c r="L962" i="5"/>
  <c r="O962" i="5"/>
  <c r="H961" i="5"/>
  <c r="I961" i="5"/>
  <c r="L961" i="5"/>
  <c r="O961" i="5"/>
  <c r="H960" i="5"/>
  <c r="I960" i="5"/>
  <c r="L960" i="5"/>
  <c r="O960" i="5"/>
  <c r="H959" i="5"/>
  <c r="I959" i="5"/>
  <c r="L959" i="5"/>
  <c r="O959" i="5"/>
  <c r="H958" i="5"/>
  <c r="I958" i="5"/>
  <c r="L958" i="5"/>
  <c r="O958" i="5"/>
  <c r="H957" i="5"/>
  <c r="I957" i="5"/>
  <c r="L957" i="5"/>
  <c r="O957" i="5"/>
  <c r="H956" i="5"/>
  <c r="I956" i="5"/>
  <c r="L956" i="5"/>
  <c r="O956" i="5"/>
  <c r="H955" i="5"/>
  <c r="I955" i="5"/>
  <c r="L955" i="5"/>
  <c r="O955" i="5"/>
  <c r="H954" i="5"/>
  <c r="I954" i="5"/>
  <c r="L954" i="5"/>
  <c r="O954" i="5"/>
  <c r="H953" i="5"/>
  <c r="I953" i="5"/>
  <c r="L953" i="5"/>
  <c r="O953" i="5"/>
  <c r="H952" i="5"/>
  <c r="I952" i="5"/>
  <c r="L952" i="5"/>
  <c r="O952" i="5"/>
  <c r="H951" i="5"/>
  <c r="I951" i="5"/>
  <c r="L951" i="5"/>
  <c r="O951" i="5"/>
  <c r="H950" i="5"/>
  <c r="I950" i="5"/>
  <c r="L950" i="5"/>
  <c r="O950" i="5"/>
  <c r="H949" i="5"/>
  <c r="I949" i="5"/>
  <c r="L949" i="5"/>
  <c r="O949" i="5"/>
  <c r="H948" i="5"/>
  <c r="I948" i="5"/>
  <c r="L948" i="5"/>
  <c r="O948" i="5"/>
  <c r="H947" i="5"/>
  <c r="I947" i="5"/>
  <c r="L947" i="5"/>
  <c r="O947" i="5"/>
  <c r="H946" i="5"/>
  <c r="I946" i="5"/>
  <c r="L946" i="5"/>
  <c r="O946" i="5"/>
  <c r="H945" i="5"/>
  <c r="I945" i="5"/>
  <c r="L945" i="5"/>
  <c r="O945" i="5"/>
  <c r="H944" i="5"/>
  <c r="I944" i="5"/>
  <c r="L944" i="5"/>
  <c r="O944" i="5"/>
  <c r="H943" i="5"/>
  <c r="I943" i="5"/>
  <c r="L943" i="5"/>
  <c r="O943" i="5"/>
  <c r="H942" i="5"/>
  <c r="I942" i="5"/>
  <c r="L942" i="5"/>
  <c r="O942" i="5"/>
  <c r="H941" i="5"/>
  <c r="I941" i="5"/>
  <c r="L941" i="5"/>
  <c r="O941" i="5"/>
  <c r="H940" i="5"/>
  <c r="I940" i="5"/>
  <c r="L940" i="5"/>
  <c r="O940" i="5"/>
  <c r="H939" i="5"/>
  <c r="I939" i="5"/>
  <c r="L939" i="5"/>
  <c r="O939" i="5"/>
  <c r="H938" i="5"/>
  <c r="I938" i="5"/>
  <c r="L938" i="5"/>
  <c r="O938" i="5"/>
  <c r="H937" i="5"/>
  <c r="I937" i="5"/>
  <c r="L937" i="5"/>
  <c r="O937" i="5"/>
  <c r="H936" i="5"/>
  <c r="I936" i="5"/>
  <c r="L936" i="5"/>
  <c r="O936" i="5"/>
  <c r="H935" i="5"/>
  <c r="I935" i="5"/>
  <c r="L935" i="5"/>
  <c r="O935" i="5"/>
  <c r="H934" i="5"/>
  <c r="I934" i="5"/>
  <c r="L934" i="5"/>
  <c r="O934" i="5"/>
  <c r="H933" i="5"/>
  <c r="I933" i="5"/>
  <c r="L933" i="5"/>
  <c r="O933" i="5"/>
  <c r="H932" i="5"/>
  <c r="I932" i="5"/>
  <c r="L932" i="5"/>
  <c r="O932" i="5"/>
  <c r="H931" i="5"/>
  <c r="I931" i="5"/>
  <c r="L931" i="5"/>
  <c r="O931" i="5"/>
  <c r="H930" i="5"/>
  <c r="I930" i="5"/>
  <c r="L930" i="5"/>
  <c r="O930" i="5"/>
  <c r="H929" i="5"/>
  <c r="I929" i="5"/>
  <c r="L929" i="5"/>
  <c r="O929" i="5"/>
  <c r="H928" i="5"/>
  <c r="I928" i="5"/>
  <c r="L928" i="5"/>
  <c r="O928" i="5"/>
  <c r="H927" i="5"/>
  <c r="I927" i="5"/>
  <c r="L927" i="5"/>
  <c r="O927" i="5"/>
  <c r="H926" i="5"/>
  <c r="I926" i="5"/>
  <c r="L926" i="5"/>
  <c r="O926" i="5"/>
  <c r="H925" i="5"/>
  <c r="I925" i="5"/>
  <c r="L925" i="5"/>
  <c r="O925" i="5"/>
  <c r="H924" i="5"/>
  <c r="I924" i="5"/>
  <c r="L924" i="5"/>
  <c r="O924" i="5"/>
  <c r="H923" i="5"/>
  <c r="I923" i="5"/>
  <c r="L923" i="5"/>
  <c r="O923" i="5"/>
  <c r="H922" i="5"/>
  <c r="I922" i="5"/>
  <c r="L922" i="5"/>
  <c r="O922" i="5"/>
  <c r="H921" i="5"/>
  <c r="I921" i="5"/>
  <c r="L921" i="5"/>
  <c r="O921" i="5"/>
  <c r="H920" i="5"/>
  <c r="I920" i="5"/>
  <c r="L920" i="5"/>
  <c r="O920" i="5"/>
  <c r="H919" i="5"/>
  <c r="I919" i="5"/>
  <c r="L919" i="5"/>
  <c r="O919" i="5"/>
  <c r="H918" i="5"/>
  <c r="I918" i="5"/>
  <c r="L918" i="5"/>
  <c r="O918" i="5"/>
  <c r="H917" i="5"/>
  <c r="I917" i="5"/>
  <c r="L917" i="5"/>
  <c r="O917" i="5"/>
  <c r="H916" i="5"/>
  <c r="I916" i="5"/>
  <c r="L916" i="5"/>
  <c r="O916" i="5"/>
  <c r="H915" i="5"/>
  <c r="I915" i="5"/>
  <c r="L915" i="5"/>
  <c r="O915" i="5"/>
  <c r="H914" i="5"/>
  <c r="I914" i="5"/>
  <c r="L914" i="5"/>
  <c r="O914" i="5"/>
  <c r="H913" i="5"/>
  <c r="I913" i="5"/>
  <c r="L913" i="5"/>
  <c r="O913" i="5"/>
  <c r="H912" i="5"/>
  <c r="I912" i="5"/>
  <c r="L912" i="5"/>
  <c r="O912" i="5"/>
  <c r="H911" i="5"/>
  <c r="I911" i="5"/>
  <c r="L911" i="5"/>
  <c r="O911" i="5"/>
  <c r="H910" i="5"/>
  <c r="I910" i="5"/>
  <c r="L910" i="5"/>
  <c r="O910" i="5"/>
  <c r="H909" i="5"/>
  <c r="I909" i="5"/>
  <c r="L909" i="5"/>
  <c r="O909" i="5"/>
  <c r="H908" i="5"/>
  <c r="I908" i="5"/>
  <c r="L908" i="5"/>
  <c r="O908" i="5"/>
  <c r="H907" i="5"/>
  <c r="I907" i="5"/>
  <c r="L907" i="5"/>
  <c r="O907" i="5"/>
  <c r="H906" i="5"/>
  <c r="I906" i="5"/>
  <c r="L906" i="5"/>
  <c r="O906" i="5"/>
  <c r="H905" i="5"/>
  <c r="I905" i="5"/>
  <c r="L905" i="5"/>
  <c r="O905" i="5"/>
  <c r="H904" i="5"/>
  <c r="I904" i="5"/>
  <c r="L904" i="5"/>
  <c r="O904" i="5"/>
  <c r="H903" i="5"/>
  <c r="I903" i="5"/>
  <c r="L903" i="5"/>
  <c r="O903" i="5"/>
  <c r="H902" i="5"/>
  <c r="I902" i="5"/>
  <c r="L902" i="5"/>
  <c r="O902" i="5"/>
  <c r="H901" i="5"/>
  <c r="I901" i="5"/>
  <c r="L901" i="5"/>
  <c r="O901" i="5"/>
  <c r="H900" i="5"/>
  <c r="I900" i="5"/>
  <c r="L900" i="5"/>
  <c r="O900" i="5"/>
  <c r="H899" i="5"/>
  <c r="I899" i="5"/>
  <c r="L899" i="5"/>
  <c r="O899" i="5"/>
  <c r="H898" i="5"/>
  <c r="I898" i="5"/>
  <c r="L898" i="5"/>
  <c r="O898" i="5"/>
  <c r="H897" i="5"/>
  <c r="I897" i="5"/>
  <c r="L897" i="5"/>
  <c r="O897" i="5"/>
  <c r="H896" i="5"/>
  <c r="I896" i="5"/>
  <c r="L896" i="5"/>
  <c r="O896" i="5"/>
  <c r="H895" i="5"/>
  <c r="I895" i="5"/>
  <c r="L895" i="5"/>
  <c r="O895" i="5"/>
  <c r="H894" i="5"/>
  <c r="I894" i="5"/>
  <c r="L894" i="5"/>
  <c r="O894" i="5"/>
  <c r="H893" i="5"/>
  <c r="I893" i="5"/>
  <c r="L893" i="5"/>
  <c r="O893" i="5"/>
  <c r="H892" i="5"/>
  <c r="I892" i="5"/>
  <c r="L892" i="5"/>
  <c r="O892" i="5"/>
  <c r="H891" i="5"/>
  <c r="I891" i="5"/>
  <c r="L891" i="5"/>
  <c r="O891" i="5"/>
  <c r="H890" i="5"/>
  <c r="I890" i="5"/>
  <c r="L890" i="5"/>
  <c r="O890" i="5"/>
  <c r="H889" i="5"/>
  <c r="I889" i="5"/>
  <c r="L889" i="5"/>
  <c r="O889" i="5"/>
  <c r="H888" i="5"/>
  <c r="I888" i="5"/>
  <c r="L888" i="5"/>
  <c r="O888" i="5"/>
  <c r="H887" i="5"/>
  <c r="I887" i="5"/>
  <c r="L887" i="5"/>
  <c r="O887" i="5"/>
  <c r="H886" i="5"/>
  <c r="I886" i="5"/>
  <c r="L886" i="5"/>
  <c r="O886" i="5"/>
  <c r="H885" i="5"/>
  <c r="I885" i="5"/>
  <c r="L885" i="5"/>
  <c r="O885" i="5"/>
  <c r="H884" i="5"/>
  <c r="I884" i="5"/>
  <c r="L884" i="5"/>
  <c r="O884" i="5"/>
  <c r="H883" i="5"/>
  <c r="I883" i="5"/>
  <c r="L883" i="5"/>
  <c r="O883" i="5"/>
  <c r="H882" i="5"/>
  <c r="I882" i="5"/>
  <c r="L882" i="5"/>
  <c r="O882" i="5"/>
  <c r="H881" i="5"/>
  <c r="I881" i="5"/>
  <c r="L881" i="5"/>
  <c r="O881" i="5"/>
  <c r="H880" i="5"/>
  <c r="I880" i="5"/>
  <c r="L880" i="5"/>
  <c r="O880" i="5"/>
  <c r="H879" i="5"/>
  <c r="I879" i="5"/>
  <c r="L879" i="5"/>
  <c r="O879" i="5"/>
  <c r="H878" i="5"/>
  <c r="I878" i="5"/>
  <c r="L878" i="5"/>
  <c r="O878" i="5"/>
  <c r="H877" i="5"/>
  <c r="I877" i="5"/>
  <c r="L877" i="5"/>
  <c r="O877" i="5"/>
  <c r="H876" i="5"/>
  <c r="I876" i="5"/>
  <c r="L876" i="5"/>
  <c r="O876" i="5"/>
  <c r="H875" i="5"/>
  <c r="I875" i="5"/>
  <c r="L875" i="5"/>
  <c r="O875" i="5"/>
  <c r="H874" i="5"/>
  <c r="I874" i="5"/>
  <c r="L874" i="5"/>
  <c r="O874" i="5"/>
  <c r="H873" i="5"/>
  <c r="I873" i="5"/>
  <c r="L873" i="5"/>
  <c r="O873" i="5"/>
  <c r="H872" i="5"/>
  <c r="I872" i="5"/>
  <c r="L872" i="5"/>
  <c r="O872" i="5"/>
  <c r="H871" i="5"/>
  <c r="I871" i="5"/>
  <c r="L871" i="5"/>
  <c r="O871" i="5"/>
  <c r="H870" i="5"/>
  <c r="I870" i="5"/>
  <c r="L870" i="5"/>
  <c r="O870" i="5"/>
  <c r="H869" i="5"/>
  <c r="I869" i="5"/>
  <c r="L869" i="5"/>
  <c r="O869" i="5"/>
  <c r="H868" i="5"/>
  <c r="I868" i="5"/>
  <c r="L868" i="5"/>
  <c r="O868" i="5"/>
  <c r="H867" i="5"/>
  <c r="I867" i="5"/>
  <c r="L867" i="5"/>
  <c r="O867" i="5"/>
  <c r="H866" i="5"/>
  <c r="I866" i="5"/>
  <c r="L866" i="5"/>
  <c r="O866" i="5"/>
  <c r="H865" i="5"/>
  <c r="I865" i="5"/>
  <c r="L865" i="5"/>
  <c r="O865" i="5"/>
  <c r="H864" i="5"/>
  <c r="I864" i="5"/>
  <c r="L864" i="5"/>
  <c r="O864" i="5"/>
  <c r="H863" i="5"/>
  <c r="I863" i="5"/>
  <c r="L863" i="5"/>
  <c r="O863" i="5"/>
  <c r="H862" i="5"/>
  <c r="I862" i="5"/>
  <c r="L862" i="5"/>
  <c r="O862" i="5"/>
  <c r="H861" i="5"/>
  <c r="I861" i="5"/>
  <c r="L861" i="5"/>
  <c r="O861" i="5"/>
  <c r="H860" i="5"/>
  <c r="I860" i="5"/>
  <c r="L860" i="5"/>
  <c r="O860" i="5"/>
  <c r="H859" i="5"/>
  <c r="I859" i="5"/>
  <c r="L859" i="5"/>
  <c r="O859" i="5"/>
  <c r="H858" i="5"/>
  <c r="I858" i="5"/>
  <c r="L858" i="5"/>
  <c r="O858" i="5"/>
  <c r="H857" i="5"/>
  <c r="I857" i="5"/>
  <c r="L857" i="5"/>
  <c r="O857" i="5"/>
  <c r="H856" i="5"/>
  <c r="I856" i="5"/>
  <c r="L856" i="5"/>
  <c r="O856" i="5"/>
  <c r="H855" i="5"/>
  <c r="I855" i="5"/>
  <c r="L855" i="5"/>
  <c r="O855" i="5"/>
  <c r="H854" i="5"/>
  <c r="I854" i="5"/>
  <c r="L854" i="5"/>
  <c r="O854" i="5"/>
  <c r="H853" i="5"/>
  <c r="I853" i="5"/>
  <c r="L853" i="5"/>
  <c r="O853" i="5"/>
  <c r="H852" i="5"/>
  <c r="I852" i="5"/>
  <c r="L852" i="5"/>
  <c r="O852" i="5"/>
  <c r="H851" i="5"/>
  <c r="I851" i="5"/>
  <c r="L851" i="5"/>
  <c r="O851" i="5"/>
  <c r="H850" i="5"/>
  <c r="I850" i="5"/>
  <c r="L850" i="5"/>
  <c r="O850" i="5"/>
  <c r="H849" i="5"/>
  <c r="I849" i="5"/>
  <c r="L849" i="5"/>
  <c r="O849" i="5"/>
  <c r="H848" i="5"/>
  <c r="I848" i="5"/>
  <c r="L848" i="5"/>
  <c r="O848" i="5"/>
  <c r="H847" i="5"/>
  <c r="I847" i="5"/>
  <c r="L847" i="5"/>
  <c r="O847" i="5"/>
  <c r="H846" i="5"/>
  <c r="I846" i="5"/>
  <c r="L846" i="5"/>
  <c r="O846" i="5"/>
  <c r="H844" i="5"/>
  <c r="I844" i="5"/>
  <c r="L844" i="5"/>
  <c r="O844" i="5"/>
  <c r="H843" i="5"/>
  <c r="I843" i="5"/>
  <c r="L843" i="5"/>
  <c r="O843" i="5"/>
  <c r="H842" i="5"/>
  <c r="I842" i="5"/>
  <c r="L842" i="5"/>
  <c r="O842" i="5"/>
  <c r="H841" i="5"/>
  <c r="I841" i="5"/>
  <c r="L841" i="5"/>
  <c r="O841" i="5"/>
  <c r="H840" i="5"/>
  <c r="I840" i="5"/>
  <c r="L840" i="5"/>
  <c r="O840" i="5"/>
  <c r="H839" i="5"/>
  <c r="I839" i="5"/>
  <c r="L839" i="5"/>
  <c r="O839" i="5"/>
  <c r="H838" i="5"/>
  <c r="I838" i="5"/>
  <c r="L838" i="5"/>
  <c r="O838" i="5"/>
  <c r="H837" i="5"/>
  <c r="I837" i="5"/>
  <c r="L837" i="5"/>
  <c r="O837" i="5"/>
  <c r="H836" i="5"/>
  <c r="I836" i="5"/>
  <c r="L836" i="5"/>
  <c r="O836" i="5"/>
  <c r="H835" i="5"/>
  <c r="I835" i="5"/>
  <c r="L835" i="5"/>
  <c r="O835" i="5"/>
  <c r="H834" i="5"/>
  <c r="I834" i="5"/>
  <c r="L834" i="5"/>
  <c r="O834" i="5"/>
  <c r="H833" i="5"/>
  <c r="I833" i="5"/>
  <c r="L833" i="5"/>
  <c r="O833" i="5"/>
  <c r="H832" i="5"/>
  <c r="I832" i="5"/>
  <c r="L832" i="5"/>
  <c r="O832" i="5"/>
  <c r="H831" i="5"/>
  <c r="I831" i="5"/>
  <c r="L831" i="5"/>
  <c r="O831" i="5"/>
  <c r="H830" i="5"/>
  <c r="I830" i="5"/>
  <c r="L830" i="5"/>
  <c r="O830" i="5"/>
  <c r="H829" i="5"/>
  <c r="I829" i="5"/>
  <c r="L829" i="5"/>
  <c r="O829" i="5"/>
  <c r="H828" i="5"/>
  <c r="I828" i="5"/>
  <c r="L828" i="5"/>
  <c r="O828" i="5"/>
  <c r="H827" i="5"/>
  <c r="I827" i="5"/>
  <c r="L827" i="5"/>
  <c r="O827" i="5"/>
  <c r="H826" i="5"/>
  <c r="I826" i="5"/>
  <c r="L826" i="5"/>
  <c r="O826" i="5"/>
  <c r="H825" i="5"/>
  <c r="I825" i="5"/>
  <c r="L825" i="5"/>
  <c r="O825" i="5"/>
  <c r="H824" i="5"/>
  <c r="I824" i="5"/>
  <c r="L824" i="5"/>
  <c r="O824" i="5"/>
  <c r="H823" i="5"/>
  <c r="I823" i="5"/>
  <c r="L823" i="5"/>
  <c r="O823" i="5"/>
  <c r="H822" i="5"/>
  <c r="I822" i="5"/>
  <c r="L822" i="5"/>
  <c r="O822" i="5"/>
  <c r="H821" i="5"/>
  <c r="I821" i="5"/>
  <c r="L821" i="5"/>
  <c r="O821" i="5"/>
  <c r="H820" i="5"/>
  <c r="I820" i="5"/>
  <c r="L820" i="5"/>
  <c r="O820" i="5"/>
  <c r="H819" i="5"/>
  <c r="I819" i="5"/>
  <c r="L819" i="5"/>
  <c r="O819" i="5"/>
  <c r="H818" i="5"/>
  <c r="I818" i="5"/>
  <c r="L818" i="5"/>
  <c r="O818" i="5"/>
  <c r="H817" i="5"/>
  <c r="I817" i="5"/>
  <c r="L817" i="5"/>
  <c r="O817" i="5"/>
  <c r="H816" i="5"/>
  <c r="I816" i="5"/>
  <c r="L816" i="5"/>
  <c r="O816" i="5"/>
  <c r="H815" i="5"/>
  <c r="I815" i="5"/>
  <c r="L815" i="5"/>
  <c r="O815" i="5"/>
  <c r="H814" i="5"/>
  <c r="I814" i="5"/>
  <c r="L814" i="5"/>
  <c r="O814" i="5"/>
  <c r="H813" i="5"/>
  <c r="I813" i="5"/>
  <c r="L813" i="5"/>
  <c r="O813" i="5"/>
  <c r="H812" i="5"/>
  <c r="I812" i="5"/>
  <c r="L812" i="5"/>
  <c r="O812" i="5"/>
  <c r="H811" i="5"/>
  <c r="I811" i="5"/>
  <c r="L811" i="5"/>
  <c r="O811" i="5"/>
  <c r="H810" i="5"/>
  <c r="I810" i="5"/>
  <c r="L810" i="5"/>
  <c r="O810" i="5"/>
  <c r="H809" i="5"/>
  <c r="I809" i="5"/>
  <c r="L809" i="5"/>
  <c r="O809" i="5"/>
  <c r="H808" i="5"/>
  <c r="I808" i="5"/>
  <c r="L808" i="5"/>
  <c r="O808" i="5"/>
  <c r="H807" i="5"/>
  <c r="I807" i="5"/>
  <c r="L807" i="5"/>
  <c r="O807" i="5"/>
  <c r="H806" i="5"/>
  <c r="I806" i="5"/>
  <c r="L806" i="5"/>
  <c r="O806" i="5"/>
  <c r="H805" i="5"/>
  <c r="I805" i="5"/>
  <c r="L805" i="5"/>
  <c r="O805" i="5"/>
  <c r="H804" i="5"/>
  <c r="I804" i="5"/>
  <c r="L804" i="5"/>
  <c r="O804" i="5"/>
  <c r="H803" i="5"/>
  <c r="I803" i="5"/>
  <c r="L803" i="5"/>
  <c r="O803" i="5"/>
  <c r="H802" i="5"/>
  <c r="I802" i="5"/>
  <c r="L802" i="5"/>
  <c r="O802" i="5"/>
  <c r="H801" i="5"/>
  <c r="I801" i="5"/>
  <c r="L801" i="5"/>
  <c r="O801" i="5"/>
  <c r="H800" i="5"/>
  <c r="I800" i="5"/>
  <c r="L800" i="5"/>
  <c r="O800" i="5"/>
  <c r="H799" i="5"/>
  <c r="I799" i="5"/>
  <c r="L799" i="5"/>
  <c r="O799" i="5"/>
  <c r="H798" i="5"/>
  <c r="I798" i="5"/>
  <c r="L798" i="5"/>
  <c r="O798" i="5"/>
  <c r="H797" i="5"/>
  <c r="I797" i="5"/>
  <c r="L797" i="5"/>
  <c r="O797" i="5"/>
  <c r="H796" i="5"/>
  <c r="I796" i="5"/>
  <c r="L796" i="5"/>
  <c r="O796" i="5"/>
  <c r="H795" i="5"/>
  <c r="I795" i="5"/>
  <c r="L795" i="5"/>
  <c r="O795" i="5"/>
  <c r="H794" i="5"/>
  <c r="I794" i="5"/>
  <c r="L794" i="5"/>
  <c r="O794" i="5"/>
  <c r="H793" i="5"/>
  <c r="I793" i="5"/>
  <c r="L793" i="5"/>
  <c r="O793" i="5"/>
  <c r="H792" i="5"/>
  <c r="I792" i="5"/>
  <c r="L792" i="5"/>
  <c r="O792" i="5"/>
  <c r="H791" i="5"/>
  <c r="I791" i="5"/>
  <c r="L791" i="5"/>
  <c r="O791" i="5"/>
  <c r="H790" i="5"/>
  <c r="I790" i="5"/>
  <c r="L790" i="5"/>
  <c r="O790" i="5"/>
  <c r="H789" i="5"/>
  <c r="I789" i="5"/>
  <c r="L789" i="5"/>
  <c r="O789" i="5"/>
  <c r="H788" i="5"/>
  <c r="I788" i="5"/>
  <c r="L788" i="5"/>
  <c r="O788" i="5"/>
  <c r="H787" i="5"/>
  <c r="I787" i="5"/>
  <c r="L787" i="5"/>
  <c r="O787" i="5"/>
  <c r="H786" i="5"/>
  <c r="I786" i="5"/>
  <c r="L786" i="5"/>
  <c r="O786" i="5"/>
  <c r="H785" i="5"/>
  <c r="I785" i="5"/>
  <c r="L785" i="5"/>
  <c r="O785" i="5"/>
  <c r="H784" i="5"/>
  <c r="I784" i="5"/>
  <c r="L784" i="5"/>
  <c r="O784" i="5"/>
  <c r="H783" i="5"/>
  <c r="I783" i="5"/>
  <c r="L783" i="5"/>
  <c r="O783" i="5"/>
  <c r="H782" i="5"/>
  <c r="I782" i="5"/>
  <c r="L782" i="5"/>
  <c r="O782" i="5"/>
  <c r="H781" i="5"/>
  <c r="I781" i="5"/>
  <c r="L781" i="5"/>
  <c r="O781" i="5"/>
  <c r="H780" i="5"/>
  <c r="I780" i="5"/>
  <c r="L780" i="5"/>
  <c r="O780" i="5"/>
  <c r="H779" i="5"/>
  <c r="I779" i="5"/>
  <c r="L779" i="5"/>
  <c r="O779" i="5"/>
  <c r="H778" i="5"/>
  <c r="I778" i="5"/>
  <c r="L778" i="5"/>
  <c r="O778" i="5"/>
  <c r="H777" i="5"/>
  <c r="I777" i="5"/>
  <c r="L777" i="5"/>
  <c r="O777" i="5"/>
  <c r="H776" i="5"/>
  <c r="I776" i="5"/>
  <c r="L776" i="5"/>
  <c r="O776" i="5"/>
  <c r="H775" i="5"/>
  <c r="I775" i="5"/>
  <c r="L775" i="5"/>
  <c r="O775" i="5"/>
  <c r="H774" i="5"/>
  <c r="I774" i="5"/>
  <c r="L774" i="5"/>
  <c r="O774" i="5"/>
  <c r="H773" i="5"/>
  <c r="I773" i="5"/>
  <c r="L773" i="5"/>
  <c r="O773" i="5"/>
  <c r="H772" i="5"/>
  <c r="I772" i="5"/>
  <c r="L772" i="5"/>
  <c r="O772" i="5"/>
  <c r="H771" i="5"/>
  <c r="I771" i="5"/>
  <c r="L771" i="5"/>
  <c r="O771" i="5"/>
  <c r="H770" i="5"/>
  <c r="I770" i="5"/>
  <c r="L770" i="5"/>
  <c r="O770" i="5"/>
  <c r="H769" i="5"/>
  <c r="I769" i="5"/>
  <c r="L769" i="5"/>
  <c r="O769" i="5"/>
  <c r="H768" i="5"/>
  <c r="I768" i="5"/>
  <c r="L768" i="5"/>
  <c r="O768" i="5"/>
  <c r="H767" i="5"/>
  <c r="I767" i="5"/>
  <c r="L767" i="5"/>
  <c r="O767" i="5"/>
  <c r="H766" i="5"/>
  <c r="I766" i="5"/>
  <c r="L766" i="5"/>
  <c r="O766" i="5"/>
  <c r="H765" i="5"/>
  <c r="I765" i="5"/>
  <c r="L765" i="5"/>
  <c r="O765" i="5"/>
  <c r="H764" i="5"/>
  <c r="I764" i="5"/>
  <c r="L764" i="5"/>
  <c r="O764" i="5"/>
  <c r="H763" i="5"/>
  <c r="I763" i="5"/>
  <c r="L763" i="5"/>
  <c r="O763" i="5"/>
  <c r="H762" i="5"/>
  <c r="I762" i="5"/>
  <c r="L762" i="5"/>
  <c r="O762" i="5"/>
  <c r="H761" i="5"/>
  <c r="I761" i="5"/>
  <c r="L761" i="5"/>
  <c r="O761" i="5"/>
  <c r="H760" i="5"/>
  <c r="I760" i="5"/>
  <c r="L760" i="5"/>
  <c r="O760" i="5"/>
  <c r="H759" i="5"/>
  <c r="I759" i="5"/>
  <c r="L759" i="5"/>
  <c r="O759" i="5"/>
  <c r="H758" i="5"/>
  <c r="I758" i="5"/>
  <c r="L758" i="5"/>
  <c r="O758" i="5"/>
  <c r="H757" i="5"/>
  <c r="I757" i="5"/>
  <c r="L757" i="5"/>
  <c r="O757" i="5"/>
  <c r="H756" i="5"/>
  <c r="I756" i="5"/>
  <c r="L756" i="5"/>
  <c r="O756" i="5"/>
  <c r="H755" i="5"/>
  <c r="I755" i="5"/>
  <c r="L755" i="5"/>
  <c r="O755" i="5"/>
  <c r="H754" i="5"/>
  <c r="I754" i="5"/>
  <c r="L754" i="5"/>
  <c r="O754" i="5"/>
  <c r="H753" i="5"/>
  <c r="I753" i="5"/>
  <c r="L753" i="5"/>
  <c r="O753" i="5"/>
  <c r="H752" i="5"/>
  <c r="I752" i="5"/>
  <c r="L752" i="5"/>
  <c r="O752" i="5"/>
  <c r="H751" i="5"/>
  <c r="I751" i="5"/>
  <c r="L751" i="5"/>
  <c r="O751" i="5"/>
  <c r="H750" i="5"/>
  <c r="I750" i="5"/>
  <c r="L750" i="5"/>
  <c r="O750" i="5"/>
  <c r="H749" i="5"/>
  <c r="I749" i="5"/>
  <c r="L749" i="5"/>
  <c r="O749" i="5"/>
  <c r="H748" i="5"/>
  <c r="I748" i="5"/>
  <c r="L748" i="5"/>
  <c r="O748" i="5"/>
  <c r="H747" i="5"/>
  <c r="I747" i="5"/>
  <c r="L747" i="5"/>
  <c r="O747" i="5"/>
  <c r="H746" i="5"/>
  <c r="I746" i="5"/>
  <c r="L746" i="5"/>
  <c r="O746" i="5"/>
  <c r="H745" i="5"/>
  <c r="I745" i="5"/>
  <c r="L745" i="5"/>
  <c r="O745" i="5"/>
  <c r="H744" i="5"/>
  <c r="I744" i="5"/>
  <c r="L744" i="5"/>
  <c r="O744" i="5"/>
  <c r="H743" i="5"/>
  <c r="I743" i="5"/>
  <c r="L743" i="5"/>
  <c r="O743" i="5"/>
  <c r="H742" i="5"/>
  <c r="I742" i="5"/>
  <c r="L742" i="5"/>
  <c r="O742" i="5"/>
  <c r="H741" i="5"/>
  <c r="I741" i="5"/>
  <c r="L741" i="5"/>
  <c r="O741" i="5"/>
  <c r="H740" i="5"/>
  <c r="I740" i="5"/>
  <c r="L740" i="5"/>
  <c r="O740" i="5"/>
  <c r="H739" i="5"/>
  <c r="I739" i="5"/>
  <c r="L739" i="5"/>
  <c r="O739" i="5"/>
  <c r="H738" i="5"/>
  <c r="I738" i="5"/>
  <c r="L738" i="5"/>
  <c r="O738" i="5"/>
  <c r="H737" i="5"/>
  <c r="I737" i="5"/>
  <c r="L737" i="5"/>
  <c r="O737" i="5"/>
  <c r="H736" i="5"/>
  <c r="I736" i="5"/>
  <c r="L736" i="5"/>
  <c r="O736" i="5"/>
  <c r="H735" i="5"/>
  <c r="I735" i="5"/>
  <c r="L735" i="5"/>
  <c r="O735" i="5"/>
  <c r="H734" i="5"/>
  <c r="I734" i="5"/>
  <c r="L734" i="5"/>
  <c r="O734" i="5"/>
  <c r="H733" i="5"/>
  <c r="I733" i="5"/>
  <c r="L733" i="5"/>
  <c r="O733" i="5"/>
  <c r="H732" i="5"/>
  <c r="I732" i="5"/>
  <c r="L732" i="5"/>
  <c r="O732" i="5"/>
  <c r="H731" i="5"/>
  <c r="I731" i="5"/>
  <c r="L731" i="5"/>
  <c r="O731" i="5"/>
  <c r="H730" i="5"/>
  <c r="I730" i="5"/>
  <c r="L730" i="5"/>
  <c r="O730" i="5"/>
  <c r="H729" i="5"/>
  <c r="I729" i="5"/>
  <c r="L729" i="5"/>
  <c r="O729" i="5"/>
  <c r="H728" i="5"/>
  <c r="I728" i="5"/>
  <c r="L728" i="5"/>
  <c r="O728" i="5"/>
  <c r="H727" i="5"/>
  <c r="I727" i="5"/>
  <c r="L727" i="5"/>
  <c r="O727" i="5"/>
  <c r="H726" i="5"/>
  <c r="I726" i="5"/>
  <c r="L726" i="5"/>
  <c r="O726" i="5"/>
  <c r="H725" i="5"/>
  <c r="I725" i="5"/>
  <c r="L725" i="5"/>
  <c r="O725" i="5"/>
  <c r="H724" i="5"/>
  <c r="I724" i="5"/>
  <c r="L724" i="5"/>
  <c r="O724" i="5"/>
  <c r="H723" i="5"/>
  <c r="I723" i="5"/>
  <c r="L723" i="5"/>
  <c r="O723" i="5"/>
  <c r="H722" i="5"/>
  <c r="I722" i="5"/>
  <c r="L722" i="5"/>
  <c r="O722" i="5"/>
  <c r="H721" i="5"/>
  <c r="I721" i="5"/>
  <c r="L721" i="5"/>
  <c r="O721" i="5"/>
  <c r="H720" i="5"/>
  <c r="I720" i="5"/>
  <c r="L720" i="5"/>
  <c r="O720" i="5"/>
  <c r="H719" i="5"/>
  <c r="I719" i="5"/>
  <c r="L719" i="5"/>
  <c r="O719" i="5"/>
  <c r="H718" i="5"/>
  <c r="I718" i="5"/>
  <c r="L718" i="5"/>
  <c r="O718" i="5"/>
  <c r="H717" i="5"/>
  <c r="I717" i="5"/>
  <c r="L717" i="5"/>
  <c r="O717" i="5"/>
  <c r="H716" i="5"/>
  <c r="I716" i="5"/>
  <c r="L716" i="5"/>
  <c r="O716" i="5"/>
  <c r="H715" i="5"/>
  <c r="I715" i="5"/>
  <c r="L715" i="5"/>
  <c r="O715" i="5"/>
  <c r="H714" i="5"/>
  <c r="I714" i="5"/>
  <c r="L714" i="5"/>
  <c r="O714" i="5"/>
  <c r="H713" i="5"/>
  <c r="I713" i="5"/>
  <c r="L713" i="5"/>
  <c r="O713" i="5"/>
  <c r="H712" i="5"/>
  <c r="I712" i="5"/>
  <c r="L712" i="5"/>
  <c r="O712" i="5"/>
  <c r="H711" i="5"/>
  <c r="I711" i="5"/>
  <c r="L711" i="5"/>
  <c r="O711" i="5"/>
  <c r="H710" i="5"/>
  <c r="I710" i="5"/>
  <c r="L710" i="5"/>
  <c r="O710" i="5"/>
  <c r="H709" i="5"/>
  <c r="I709" i="5"/>
  <c r="L709" i="5"/>
  <c r="O709" i="5"/>
  <c r="H708" i="5"/>
  <c r="I708" i="5"/>
  <c r="L708" i="5"/>
  <c r="O708" i="5"/>
  <c r="H707" i="5"/>
  <c r="I707" i="5"/>
  <c r="L707" i="5"/>
  <c r="O707" i="5"/>
  <c r="H706" i="5"/>
  <c r="I706" i="5"/>
  <c r="L706" i="5"/>
  <c r="O706" i="5"/>
  <c r="H705" i="5"/>
  <c r="I705" i="5"/>
  <c r="L705" i="5"/>
  <c r="O705" i="5"/>
  <c r="H704" i="5"/>
  <c r="I704" i="5"/>
  <c r="L704" i="5"/>
  <c r="O704" i="5"/>
  <c r="H703" i="5"/>
  <c r="I703" i="5"/>
  <c r="L703" i="5"/>
  <c r="O703" i="5"/>
  <c r="H702" i="5"/>
  <c r="I702" i="5"/>
  <c r="L702" i="5"/>
  <c r="O702" i="5"/>
  <c r="H701" i="5"/>
  <c r="I701" i="5"/>
  <c r="L701" i="5"/>
  <c r="O701" i="5"/>
  <c r="H700" i="5"/>
  <c r="I700" i="5"/>
  <c r="L700" i="5"/>
  <c r="O700" i="5"/>
  <c r="H699" i="5"/>
  <c r="I699" i="5"/>
  <c r="L699" i="5"/>
  <c r="O699" i="5"/>
  <c r="H698" i="5"/>
  <c r="I698" i="5"/>
  <c r="L698" i="5"/>
  <c r="O698" i="5"/>
  <c r="H697" i="5"/>
  <c r="I697" i="5"/>
  <c r="L697" i="5"/>
  <c r="O697" i="5"/>
  <c r="H696" i="5"/>
  <c r="I696" i="5"/>
  <c r="L696" i="5"/>
  <c r="O696" i="5"/>
  <c r="H695" i="5"/>
  <c r="I695" i="5"/>
  <c r="L695" i="5"/>
  <c r="O695" i="5"/>
  <c r="H694" i="5"/>
  <c r="I694" i="5"/>
  <c r="L694" i="5"/>
  <c r="O694" i="5"/>
  <c r="H693" i="5"/>
  <c r="I693" i="5"/>
  <c r="L693" i="5"/>
  <c r="O693" i="5"/>
  <c r="H692" i="5"/>
  <c r="I692" i="5"/>
  <c r="L692" i="5"/>
  <c r="O692" i="5"/>
  <c r="H691" i="5"/>
  <c r="I691" i="5"/>
  <c r="L691" i="5"/>
  <c r="O691" i="5"/>
  <c r="H690" i="5"/>
  <c r="I690" i="5"/>
  <c r="L690" i="5"/>
  <c r="O690" i="5"/>
  <c r="H689" i="5"/>
  <c r="I689" i="5"/>
  <c r="L689" i="5"/>
  <c r="O689" i="5"/>
  <c r="H688" i="5"/>
  <c r="I688" i="5"/>
  <c r="L688" i="5"/>
  <c r="O688" i="5"/>
  <c r="H687" i="5"/>
  <c r="I687" i="5"/>
  <c r="L687" i="5"/>
  <c r="O687" i="5"/>
  <c r="H686" i="5"/>
  <c r="I686" i="5"/>
  <c r="L686" i="5"/>
  <c r="O686" i="5"/>
  <c r="H685" i="5"/>
  <c r="I685" i="5"/>
  <c r="L685" i="5"/>
  <c r="O685" i="5"/>
  <c r="H684" i="5"/>
  <c r="I684" i="5"/>
  <c r="L684" i="5"/>
  <c r="O684" i="5"/>
  <c r="H683" i="5"/>
  <c r="I683" i="5"/>
  <c r="L683" i="5"/>
  <c r="O683" i="5"/>
  <c r="H682" i="5"/>
  <c r="I682" i="5"/>
  <c r="L682" i="5"/>
  <c r="O682" i="5"/>
  <c r="H681" i="5"/>
  <c r="I681" i="5"/>
  <c r="L681" i="5"/>
  <c r="O681" i="5"/>
  <c r="H680" i="5"/>
  <c r="I680" i="5"/>
  <c r="L680" i="5"/>
  <c r="O680" i="5"/>
  <c r="H679" i="5"/>
  <c r="I679" i="5"/>
  <c r="L679" i="5"/>
  <c r="O679" i="5"/>
  <c r="H678" i="5"/>
  <c r="I678" i="5"/>
  <c r="L678" i="5"/>
  <c r="O678" i="5"/>
  <c r="H677" i="5"/>
  <c r="I677" i="5"/>
  <c r="L677" i="5"/>
  <c r="O677" i="5"/>
  <c r="H676" i="5"/>
  <c r="I676" i="5"/>
  <c r="L676" i="5"/>
  <c r="O676" i="5"/>
  <c r="H675" i="5"/>
  <c r="I675" i="5"/>
  <c r="L675" i="5"/>
  <c r="O675" i="5"/>
  <c r="H674" i="5"/>
  <c r="I674" i="5"/>
  <c r="L674" i="5"/>
  <c r="O674" i="5"/>
  <c r="H673" i="5"/>
  <c r="I673" i="5"/>
  <c r="L673" i="5"/>
  <c r="O673" i="5"/>
  <c r="H672" i="5"/>
  <c r="I672" i="5"/>
  <c r="L672" i="5"/>
  <c r="O672" i="5"/>
  <c r="H671" i="5"/>
  <c r="I671" i="5"/>
  <c r="L671" i="5"/>
  <c r="O671" i="5"/>
  <c r="H670" i="5"/>
  <c r="I670" i="5"/>
  <c r="L670" i="5"/>
  <c r="O670" i="5"/>
  <c r="H669" i="5"/>
  <c r="I669" i="5"/>
  <c r="L669" i="5"/>
  <c r="O669" i="5"/>
  <c r="H668" i="5"/>
  <c r="I668" i="5"/>
  <c r="L668" i="5"/>
  <c r="O668" i="5"/>
  <c r="H667" i="5"/>
  <c r="I667" i="5"/>
  <c r="L667" i="5"/>
  <c r="O667" i="5"/>
  <c r="H666" i="5"/>
  <c r="I666" i="5"/>
  <c r="L666" i="5"/>
  <c r="O666" i="5"/>
  <c r="H665" i="5"/>
  <c r="I665" i="5"/>
  <c r="L665" i="5"/>
  <c r="O665" i="5"/>
  <c r="H664" i="5"/>
  <c r="I664" i="5"/>
  <c r="L664" i="5"/>
  <c r="O664" i="5"/>
  <c r="H663" i="5"/>
  <c r="I663" i="5"/>
  <c r="L663" i="5"/>
  <c r="O663" i="5"/>
  <c r="H662" i="5"/>
  <c r="I662" i="5"/>
  <c r="L662" i="5"/>
  <c r="O662" i="5"/>
  <c r="H661" i="5"/>
  <c r="I661" i="5"/>
  <c r="L661" i="5"/>
  <c r="O661" i="5"/>
  <c r="H660" i="5"/>
  <c r="I660" i="5"/>
  <c r="L660" i="5"/>
  <c r="O660" i="5"/>
  <c r="H659" i="5"/>
  <c r="I659" i="5"/>
  <c r="L659" i="5"/>
  <c r="O659" i="5"/>
  <c r="H658" i="5"/>
  <c r="I658" i="5"/>
  <c r="L658" i="5"/>
  <c r="O658" i="5"/>
  <c r="H657" i="5"/>
  <c r="I657" i="5"/>
  <c r="L657" i="5"/>
  <c r="O657" i="5"/>
  <c r="H656" i="5"/>
  <c r="I656" i="5"/>
  <c r="L656" i="5"/>
  <c r="O656" i="5"/>
  <c r="H655" i="5"/>
  <c r="I655" i="5"/>
  <c r="L655" i="5"/>
  <c r="O655" i="5"/>
  <c r="H654" i="5"/>
  <c r="I654" i="5"/>
  <c r="L654" i="5"/>
  <c r="O654" i="5"/>
  <c r="H653" i="5"/>
  <c r="I653" i="5"/>
  <c r="L653" i="5"/>
  <c r="O653" i="5"/>
  <c r="H652" i="5"/>
  <c r="I652" i="5"/>
  <c r="L652" i="5"/>
  <c r="O652" i="5"/>
  <c r="H651" i="5"/>
  <c r="I651" i="5"/>
  <c r="L651" i="5"/>
  <c r="O651" i="5"/>
  <c r="H650" i="5"/>
  <c r="I650" i="5"/>
  <c r="L650" i="5"/>
  <c r="O650" i="5"/>
  <c r="H649" i="5"/>
  <c r="I649" i="5"/>
  <c r="L649" i="5"/>
  <c r="O649" i="5"/>
  <c r="H648" i="5"/>
  <c r="I648" i="5"/>
  <c r="L648" i="5"/>
  <c r="O648" i="5"/>
  <c r="H647" i="5"/>
  <c r="I647" i="5"/>
  <c r="L647" i="5"/>
  <c r="O647" i="5"/>
  <c r="H646" i="5"/>
  <c r="I646" i="5"/>
  <c r="L646" i="5"/>
  <c r="O646" i="5"/>
  <c r="H645" i="5"/>
  <c r="I645" i="5"/>
  <c r="L645" i="5"/>
  <c r="O645" i="5"/>
  <c r="H644" i="5"/>
  <c r="I644" i="5"/>
  <c r="L644" i="5"/>
  <c r="O644" i="5"/>
  <c r="H643" i="5"/>
  <c r="I643" i="5"/>
  <c r="L643" i="5"/>
  <c r="O643" i="5"/>
  <c r="H642" i="5"/>
  <c r="I642" i="5"/>
  <c r="L642" i="5"/>
  <c r="O642" i="5"/>
  <c r="H641" i="5"/>
  <c r="I641" i="5"/>
  <c r="L641" i="5"/>
  <c r="O641" i="5"/>
  <c r="H640" i="5"/>
  <c r="I640" i="5"/>
  <c r="L640" i="5"/>
  <c r="O640" i="5"/>
  <c r="H639" i="5"/>
  <c r="I639" i="5"/>
  <c r="L639" i="5"/>
  <c r="O639" i="5"/>
  <c r="H638" i="5"/>
  <c r="I638" i="5"/>
  <c r="L638" i="5"/>
  <c r="O638" i="5"/>
  <c r="H637" i="5"/>
  <c r="I637" i="5"/>
  <c r="L637" i="5"/>
  <c r="O637" i="5"/>
  <c r="H636" i="5"/>
  <c r="I636" i="5"/>
  <c r="L636" i="5"/>
  <c r="O636" i="5"/>
  <c r="H635" i="5"/>
  <c r="I635" i="5"/>
  <c r="L635" i="5"/>
  <c r="O635" i="5"/>
  <c r="H634" i="5"/>
  <c r="I634" i="5"/>
  <c r="L634" i="5"/>
  <c r="O634" i="5"/>
  <c r="H633" i="5"/>
  <c r="I633" i="5"/>
  <c r="L633" i="5"/>
  <c r="O633" i="5"/>
  <c r="H632" i="5"/>
  <c r="I632" i="5"/>
  <c r="L632" i="5"/>
  <c r="O632" i="5"/>
  <c r="H631" i="5"/>
  <c r="I631" i="5"/>
  <c r="L631" i="5"/>
  <c r="O631" i="5"/>
  <c r="H630" i="5"/>
  <c r="I630" i="5"/>
  <c r="L630" i="5"/>
  <c r="O630" i="5"/>
  <c r="H629" i="5"/>
  <c r="I629" i="5"/>
  <c r="L629" i="5"/>
  <c r="O629" i="5"/>
  <c r="H628" i="5"/>
  <c r="I628" i="5"/>
  <c r="L628" i="5"/>
  <c r="O628" i="5"/>
  <c r="H627" i="5"/>
  <c r="I627" i="5"/>
  <c r="L627" i="5"/>
  <c r="O627" i="5"/>
  <c r="H626" i="5"/>
  <c r="I626" i="5"/>
  <c r="L626" i="5"/>
  <c r="O626" i="5"/>
  <c r="H625" i="5"/>
  <c r="I625" i="5"/>
  <c r="L625" i="5"/>
  <c r="O625" i="5"/>
  <c r="H624" i="5"/>
  <c r="I624" i="5"/>
  <c r="L624" i="5"/>
  <c r="O624" i="5"/>
  <c r="H623" i="5"/>
  <c r="I623" i="5"/>
  <c r="L623" i="5"/>
  <c r="O623" i="5"/>
  <c r="H622" i="5"/>
  <c r="I622" i="5"/>
  <c r="L622" i="5"/>
  <c r="O622" i="5"/>
  <c r="H621" i="5"/>
  <c r="I621" i="5"/>
  <c r="L621" i="5"/>
  <c r="O621" i="5"/>
  <c r="H620" i="5"/>
  <c r="I620" i="5"/>
  <c r="L620" i="5"/>
  <c r="O620" i="5"/>
  <c r="H619" i="5"/>
  <c r="I619" i="5"/>
  <c r="L619" i="5"/>
  <c r="O619" i="5"/>
  <c r="H618" i="5"/>
  <c r="I618" i="5"/>
  <c r="L618" i="5"/>
  <c r="O618" i="5"/>
  <c r="H617" i="5"/>
  <c r="I617" i="5"/>
  <c r="L617" i="5"/>
  <c r="O617" i="5"/>
  <c r="H616" i="5"/>
  <c r="I616" i="5"/>
  <c r="L616" i="5"/>
  <c r="O616" i="5"/>
  <c r="H615" i="5"/>
  <c r="I615" i="5"/>
  <c r="L615" i="5"/>
  <c r="O615" i="5"/>
  <c r="H614" i="5"/>
  <c r="I614" i="5"/>
  <c r="L614" i="5"/>
  <c r="O614" i="5"/>
  <c r="H613" i="5"/>
  <c r="I613" i="5"/>
  <c r="L613" i="5"/>
  <c r="O613" i="5"/>
  <c r="H612" i="5"/>
  <c r="I612" i="5"/>
  <c r="L612" i="5"/>
  <c r="O612" i="5"/>
  <c r="H611" i="5"/>
  <c r="I611" i="5"/>
  <c r="L611" i="5"/>
  <c r="O611" i="5"/>
  <c r="H610" i="5"/>
  <c r="I610" i="5"/>
  <c r="L610" i="5"/>
  <c r="O610" i="5"/>
  <c r="H609" i="5"/>
  <c r="I609" i="5"/>
  <c r="L609" i="5"/>
  <c r="O609" i="5"/>
  <c r="H608" i="5"/>
  <c r="I608" i="5"/>
  <c r="L608" i="5"/>
  <c r="O608" i="5"/>
  <c r="H607" i="5"/>
  <c r="I607" i="5"/>
  <c r="L607" i="5"/>
  <c r="O607" i="5"/>
  <c r="H606" i="5"/>
  <c r="I606" i="5"/>
  <c r="L606" i="5"/>
  <c r="O606" i="5"/>
  <c r="H605" i="5"/>
  <c r="I605" i="5"/>
  <c r="L605" i="5"/>
  <c r="O605" i="5"/>
  <c r="H604" i="5"/>
  <c r="I604" i="5"/>
  <c r="L604" i="5"/>
  <c r="O604" i="5"/>
  <c r="H603" i="5"/>
  <c r="I603" i="5"/>
  <c r="L603" i="5"/>
  <c r="O603" i="5"/>
  <c r="H602" i="5"/>
  <c r="I602" i="5"/>
  <c r="L602" i="5"/>
  <c r="O602" i="5"/>
  <c r="H601" i="5"/>
  <c r="I601" i="5"/>
  <c r="L601" i="5"/>
  <c r="O601" i="5"/>
  <c r="H600" i="5"/>
  <c r="I600" i="5"/>
  <c r="L600" i="5"/>
  <c r="O600" i="5"/>
  <c r="H599" i="5"/>
  <c r="I599" i="5"/>
  <c r="L599" i="5"/>
  <c r="O599" i="5"/>
  <c r="H598" i="5"/>
  <c r="I598" i="5"/>
  <c r="L598" i="5"/>
  <c r="O598" i="5"/>
  <c r="H597" i="5"/>
  <c r="I597" i="5"/>
  <c r="L597" i="5"/>
  <c r="O597" i="5"/>
  <c r="H596" i="5"/>
  <c r="I596" i="5"/>
  <c r="L596" i="5"/>
  <c r="O596" i="5"/>
  <c r="H595" i="5"/>
  <c r="I595" i="5"/>
  <c r="L595" i="5"/>
  <c r="O595" i="5"/>
  <c r="H594" i="5"/>
  <c r="I594" i="5"/>
  <c r="L594" i="5"/>
  <c r="O594" i="5"/>
  <c r="H593" i="5"/>
  <c r="I593" i="5"/>
  <c r="L593" i="5"/>
  <c r="O593" i="5"/>
  <c r="H592" i="5"/>
  <c r="I592" i="5"/>
  <c r="L592" i="5"/>
  <c r="O592" i="5"/>
  <c r="H591" i="5"/>
  <c r="I591" i="5"/>
  <c r="L591" i="5"/>
  <c r="O591" i="5"/>
  <c r="H590" i="5"/>
  <c r="I590" i="5"/>
  <c r="L590" i="5"/>
  <c r="O590" i="5"/>
  <c r="H589" i="5"/>
  <c r="I589" i="5"/>
  <c r="L589" i="5"/>
  <c r="O589" i="5"/>
  <c r="H588" i="5"/>
  <c r="I588" i="5"/>
  <c r="L588" i="5"/>
  <c r="O588" i="5"/>
  <c r="H587" i="5"/>
  <c r="I587" i="5"/>
  <c r="L587" i="5"/>
  <c r="O587" i="5"/>
  <c r="H586" i="5"/>
  <c r="I586" i="5"/>
  <c r="L586" i="5"/>
  <c r="O586" i="5"/>
  <c r="H585" i="5"/>
  <c r="I585" i="5"/>
  <c r="L585" i="5"/>
  <c r="O585" i="5"/>
  <c r="H584" i="5"/>
  <c r="I584" i="5"/>
  <c r="L584" i="5"/>
  <c r="O584" i="5"/>
  <c r="H583" i="5"/>
  <c r="I583" i="5"/>
  <c r="L583" i="5"/>
  <c r="O583" i="5"/>
  <c r="H582" i="5"/>
  <c r="I582" i="5"/>
  <c r="L582" i="5"/>
  <c r="O582" i="5"/>
  <c r="H581" i="5"/>
  <c r="I581" i="5"/>
  <c r="L581" i="5"/>
  <c r="O581" i="5"/>
  <c r="H580" i="5"/>
  <c r="I580" i="5"/>
  <c r="L580" i="5"/>
  <c r="O580" i="5"/>
  <c r="H579" i="5"/>
  <c r="I579" i="5"/>
  <c r="L579" i="5"/>
  <c r="O579" i="5"/>
  <c r="H578" i="5"/>
  <c r="I578" i="5"/>
  <c r="L578" i="5"/>
  <c r="O578" i="5"/>
  <c r="H577" i="5"/>
  <c r="I577" i="5"/>
  <c r="L577" i="5"/>
  <c r="O577" i="5"/>
  <c r="H576" i="5"/>
  <c r="I576" i="5"/>
  <c r="L576" i="5"/>
  <c r="O576" i="5"/>
  <c r="H575" i="5"/>
  <c r="I575" i="5"/>
  <c r="L575" i="5"/>
  <c r="O575" i="5"/>
  <c r="H574" i="5"/>
  <c r="I574" i="5"/>
  <c r="L574" i="5"/>
  <c r="O574" i="5"/>
  <c r="H573" i="5"/>
  <c r="I573" i="5"/>
  <c r="L573" i="5"/>
  <c r="O573" i="5"/>
  <c r="H572" i="5"/>
  <c r="I572" i="5"/>
  <c r="L572" i="5"/>
  <c r="O572" i="5"/>
  <c r="H571" i="5"/>
  <c r="I571" i="5"/>
  <c r="L571" i="5"/>
  <c r="O571" i="5"/>
  <c r="H570" i="5"/>
  <c r="I570" i="5"/>
  <c r="L570" i="5"/>
  <c r="O570" i="5"/>
  <c r="H569" i="5"/>
  <c r="I569" i="5"/>
  <c r="L569" i="5"/>
  <c r="O569" i="5"/>
  <c r="H568" i="5"/>
  <c r="I568" i="5"/>
  <c r="L568" i="5"/>
  <c r="O568" i="5"/>
  <c r="H567" i="5"/>
  <c r="I567" i="5"/>
  <c r="L567" i="5"/>
  <c r="O567" i="5"/>
  <c r="H566" i="5"/>
  <c r="I566" i="5"/>
  <c r="L566" i="5"/>
  <c r="O566" i="5"/>
  <c r="H565" i="5"/>
  <c r="I565" i="5"/>
  <c r="L565" i="5"/>
  <c r="O565" i="5"/>
  <c r="H564" i="5"/>
  <c r="I564" i="5"/>
  <c r="L564" i="5"/>
  <c r="O564" i="5"/>
  <c r="H563" i="5"/>
  <c r="I563" i="5"/>
  <c r="L563" i="5"/>
  <c r="O563" i="5"/>
  <c r="H562" i="5"/>
  <c r="I562" i="5"/>
  <c r="L562" i="5"/>
  <c r="O562" i="5"/>
  <c r="H561" i="5"/>
  <c r="I561" i="5"/>
  <c r="L561" i="5"/>
  <c r="O561" i="5"/>
  <c r="H560" i="5"/>
  <c r="I560" i="5"/>
  <c r="L560" i="5"/>
  <c r="O560" i="5"/>
  <c r="H559" i="5"/>
  <c r="I559" i="5"/>
  <c r="L559" i="5"/>
  <c r="O559" i="5"/>
  <c r="H558" i="5"/>
  <c r="I558" i="5"/>
  <c r="L558" i="5"/>
  <c r="O558" i="5"/>
  <c r="H557" i="5"/>
  <c r="I557" i="5"/>
  <c r="L557" i="5"/>
  <c r="O557" i="5"/>
  <c r="H556" i="5"/>
  <c r="I556" i="5"/>
  <c r="L556" i="5"/>
  <c r="O556" i="5"/>
  <c r="H555" i="5"/>
  <c r="I555" i="5"/>
  <c r="L555" i="5"/>
  <c r="O555" i="5"/>
  <c r="H554" i="5"/>
  <c r="I554" i="5"/>
  <c r="L554" i="5"/>
  <c r="O554" i="5"/>
  <c r="H553" i="5"/>
  <c r="I553" i="5"/>
  <c r="L553" i="5"/>
  <c r="O553" i="5"/>
  <c r="H552" i="5"/>
  <c r="I552" i="5"/>
  <c r="L552" i="5"/>
  <c r="O552" i="5"/>
  <c r="H551" i="5"/>
  <c r="I551" i="5"/>
  <c r="L551" i="5"/>
  <c r="O551" i="5"/>
  <c r="H550" i="5"/>
  <c r="I550" i="5"/>
  <c r="L550" i="5"/>
  <c r="O550" i="5"/>
  <c r="H549" i="5"/>
  <c r="I549" i="5"/>
  <c r="L549" i="5"/>
  <c r="O549" i="5"/>
  <c r="H548" i="5"/>
  <c r="I548" i="5"/>
  <c r="L548" i="5"/>
  <c r="O548" i="5"/>
  <c r="H547" i="5"/>
  <c r="I547" i="5"/>
  <c r="L547" i="5"/>
  <c r="O547" i="5"/>
  <c r="H546" i="5"/>
  <c r="I546" i="5"/>
  <c r="L546" i="5"/>
  <c r="O546" i="5"/>
  <c r="H545" i="5"/>
  <c r="I545" i="5"/>
  <c r="L545" i="5"/>
  <c r="O545" i="5"/>
  <c r="H544" i="5"/>
  <c r="I544" i="5"/>
  <c r="L544" i="5"/>
  <c r="O544" i="5"/>
  <c r="H543" i="5"/>
  <c r="I543" i="5"/>
  <c r="L543" i="5"/>
  <c r="O543" i="5"/>
  <c r="H542" i="5"/>
  <c r="I542" i="5"/>
  <c r="L542" i="5"/>
  <c r="O542" i="5"/>
  <c r="H541" i="5"/>
  <c r="I541" i="5"/>
  <c r="L541" i="5"/>
  <c r="O541" i="5"/>
  <c r="H540" i="5"/>
  <c r="I540" i="5"/>
  <c r="L540" i="5"/>
  <c r="O540" i="5"/>
  <c r="H539" i="5"/>
  <c r="I539" i="5"/>
  <c r="L539" i="5"/>
  <c r="O539" i="5"/>
  <c r="H538" i="5"/>
  <c r="I538" i="5"/>
  <c r="L538" i="5"/>
  <c r="O538" i="5"/>
  <c r="H537" i="5"/>
  <c r="I537" i="5"/>
  <c r="L537" i="5"/>
  <c r="O537" i="5"/>
  <c r="H536" i="5"/>
  <c r="I536" i="5"/>
  <c r="L536" i="5"/>
  <c r="O536" i="5"/>
  <c r="H535" i="5"/>
  <c r="I535" i="5"/>
  <c r="L535" i="5"/>
  <c r="O535" i="5"/>
  <c r="H534" i="5"/>
  <c r="I534" i="5"/>
  <c r="L534" i="5"/>
  <c r="O534" i="5"/>
  <c r="H533" i="5"/>
  <c r="I533" i="5"/>
  <c r="L533" i="5"/>
  <c r="O533" i="5"/>
  <c r="H532" i="5"/>
  <c r="I532" i="5"/>
  <c r="L532" i="5"/>
  <c r="O532" i="5"/>
  <c r="H531" i="5"/>
  <c r="I531" i="5"/>
  <c r="L531" i="5"/>
  <c r="O531" i="5"/>
  <c r="H530" i="5"/>
  <c r="I530" i="5"/>
  <c r="L530" i="5"/>
  <c r="O530" i="5"/>
  <c r="H529" i="5"/>
  <c r="I529" i="5"/>
  <c r="L529" i="5"/>
  <c r="O529" i="5"/>
  <c r="H528" i="5"/>
  <c r="I528" i="5"/>
  <c r="L528" i="5"/>
  <c r="O528" i="5"/>
  <c r="H527" i="5"/>
  <c r="I527" i="5"/>
  <c r="L527" i="5"/>
  <c r="O527" i="5"/>
  <c r="H526" i="5"/>
  <c r="I526" i="5"/>
  <c r="L526" i="5"/>
  <c r="O526" i="5"/>
  <c r="H525" i="5"/>
  <c r="I525" i="5"/>
  <c r="L525" i="5"/>
  <c r="O525" i="5"/>
  <c r="H524" i="5"/>
  <c r="I524" i="5"/>
  <c r="L524" i="5"/>
  <c r="O524" i="5"/>
  <c r="H523" i="5"/>
  <c r="I523" i="5"/>
  <c r="L523" i="5"/>
  <c r="O523" i="5"/>
  <c r="H522" i="5"/>
  <c r="I522" i="5"/>
  <c r="L522" i="5"/>
  <c r="O522" i="5"/>
  <c r="H521" i="5"/>
  <c r="I521" i="5"/>
  <c r="L521" i="5"/>
  <c r="O521" i="5"/>
  <c r="H520" i="5"/>
  <c r="I520" i="5"/>
  <c r="L520" i="5"/>
  <c r="O520" i="5"/>
  <c r="H519" i="5"/>
  <c r="I519" i="5"/>
  <c r="L519" i="5"/>
  <c r="O519" i="5"/>
  <c r="H518" i="5"/>
  <c r="I518" i="5"/>
  <c r="L518" i="5"/>
  <c r="O518" i="5"/>
  <c r="H517" i="5"/>
  <c r="I517" i="5"/>
  <c r="L517" i="5"/>
  <c r="O517" i="5"/>
  <c r="H516" i="5"/>
  <c r="I516" i="5"/>
  <c r="L516" i="5"/>
  <c r="O516" i="5"/>
  <c r="H515" i="5"/>
  <c r="I515" i="5"/>
  <c r="L515" i="5"/>
  <c r="O515" i="5"/>
  <c r="H514" i="5"/>
  <c r="I514" i="5"/>
  <c r="L514" i="5"/>
  <c r="O514" i="5"/>
  <c r="H513" i="5"/>
  <c r="I513" i="5"/>
  <c r="L513" i="5"/>
  <c r="O513" i="5"/>
  <c r="H512" i="5"/>
  <c r="I512" i="5"/>
  <c r="L512" i="5"/>
  <c r="O512" i="5"/>
  <c r="H511" i="5"/>
  <c r="I511" i="5"/>
  <c r="L511" i="5"/>
  <c r="O511" i="5"/>
  <c r="H510" i="5"/>
  <c r="I510" i="5"/>
  <c r="L510" i="5"/>
  <c r="O510" i="5"/>
  <c r="H509" i="5"/>
  <c r="I509" i="5"/>
  <c r="L509" i="5"/>
  <c r="O509" i="5"/>
  <c r="H508" i="5"/>
  <c r="I508" i="5"/>
  <c r="L508" i="5"/>
  <c r="O508" i="5"/>
  <c r="H507" i="5"/>
  <c r="I507" i="5"/>
  <c r="L507" i="5"/>
  <c r="O507" i="5"/>
  <c r="H506" i="5"/>
  <c r="I506" i="5"/>
  <c r="L506" i="5"/>
  <c r="O506" i="5"/>
  <c r="H505" i="5"/>
  <c r="I505" i="5"/>
  <c r="L505" i="5"/>
  <c r="O505" i="5"/>
  <c r="H504" i="5"/>
  <c r="I504" i="5"/>
  <c r="L504" i="5"/>
  <c r="O504" i="5"/>
  <c r="H503" i="5"/>
  <c r="I503" i="5"/>
  <c r="L503" i="5"/>
  <c r="O503" i="5"/>
  <c r="H502" i="5"/>
  <c r="I502" i="5"/>
  <c r="L502" i="5"/>
  <c r="O502" i="5"/>
  <c r="H501" i="5"/>
  <c r="I501" i="5"/>
  <c r="L501" i="5"/>
  <c r="O501" i="5"/>
  <c r="H500" i="5"/>
  <c r="I500" i="5"/>
  <c r="L500" i="5"/>
  <c r="O500" i="5"/>
  <c r="H499" i="5"/>
  <c r="I499" i="5"/>
  <c r="L499" i="5"/>
  <c r="O499" i="5"/>
  <c r="H498" i="5"/>
  <c r="I498" i="5"/>
  <c r="L498" i="5"/>
  <c r="O498" i="5"/>
  <c r="H497" i="5"/>
  <c r="I497" i="5"/>
  <c r="L497" i="5"/>
  <c r="O497" i="5"/>
  <c r="H496" i="5"/>
  <c r="I496" i="5"/>
  <c r="L496" i="5"/>
  <c r="O496" i="5"/>
  <c r="H495" i="5"/>
  <c r="I495" i="5"/>
  <c r="L495" i="5"/>
  <c r="O495" i="5"/>
  <c r="H494" i="5"/>
  <c r="I494" i="5"/>
  <c r="L494" i="5"/>
  <c r="O494" i="5"/>
  <c r="H493" i="5"/>
  <c r="I493" i="5"/>
  <c r="L493" i="5"/>
  <c r="O493" i="5"/>
  <c r="H492" i="5"/>
  <c r="I492" i="5"/>
  <c r="L492" i="5"/>
  <c r="O492" i="5"/>
  <c r="H491" i="5"/>
  <c r="I491" i="5"/>
  <c r="L491" i="5"/>
  <c r="O491" i="5"/>
  <c r="H490" i="5"/>
  <c r="I490" i="5"/>
  <c r="L490" i="5"/>
  <c r="O490" i="5"/>
  <c r="H489" i="5"/>
  <c r="I489" i="5"/>
  <c r="L489" i="5"/>
  <c r="O489" i="5"/>
  <c r="H488" i="5"/>
  <c r="I488" i="5"/>
  <c r="L488" i="5"/>
  <c r="O488" i="5"/>
  <c r="H487" i="5"/>
  <c r="I487" i="5"/>
  <c r="L487" i="5"/>
  <c r="O487" i="5"/>
  <c r="H486" i="5"/>
  <c r="I486" i="5"/>
  <c r="L486" i="5"/>
  <c r="O486" i="5"/>
  <c r="H485" i="5"/>
  <c r="I485" i="5"/>
  <c r="L485" i="5"/>
  <c r="O485" i="5"/>
  <c r="H484" i="5"/>
  <c r="I484" i="5"/>
  <c r="L484" i="5"/>
  <c r="O484" i="5"/>
  <c r="H483" i="5"/>
  <c r="I483" i="5"/>
  <c r="L483" i="5"/>
  <c r="O483" i="5"/>
  <c r="H482" i="5"/>
  <c r="I482" i="5"/>
  <c r="L482" i="5"/>
  <c r="O482" i="5"/>
  <c r="H481" i="5"/>
  <c r="I481" i="5"/>
  <c r="L481" i="5"/>
  <c r="O481" i="5"/>
  <c r="H480" i="5"/>
  <c r="I480" i="5"/>
  <c r="L480" i="5"/>
  <c r="O480" i="5"/>
  <c r="H479" i="5"/>
  <c r="I479" i="5"/>
  <c r="L479" i="5"/>
  <c r="O479" i="5"/>
  <c r="H478" i="5"/>
  <c r="I478" i="5"/>
  <c r="L478" i="5"/>
  <c r="O478" i="5"/>
  <c r="H477" i="5"/>
  <c r="I477" i="5"/>
  <c r="L477" i="5"/>
  <c r="O477" i="5"/>
  <c r="H476" i="5"/>
  <c r="I476" i="5"/>
  <c r="L476" i="5"/>
  <c r="O476" i="5"/>
  <c r="H475" i="5"/>
  <c r="I475" i="5"/>
  <c r="L475" i="5"/>
  <c r="O475" i="5"/>
  <c r="H474" i="5"/>
  <c r="I474" i="5"/>
  <c r="L474" i="5"/>
  <c r="O474" i="5"/>
  <c r="H473" i="5"/>
  <c r="I473" i="5"/>
  <c r="L473" i="5"/>
  <c r="O473" i="5"/>
  <c r="H472" i="5"/>
  <c r="I472" i="5"/>
  <c r="L472" i="5"/>
  <c r="O472" i="5"/>
  <c r="H471" i="5"/>
  <c r="I471" i="5"/>
  <c r="L471" i="5"/>
  <c r="O471" i="5"/>
  <c r="H470" i="5"/>
  <c r="I470" i="5"/>
  <c r="L470" i="5"/>
  <c r="O470" i="5"/>
  <c r="H469" i="5"/>
  <c r="I469" i="5"/>
  <c r="L469" i="5"/>
  <c r="O469" i="5"/>
  <c r="H468" i="5"/>
  <c r="I468" i="5"/>
  <c r="L468" i="5"/>
  <c r="O468" i="5"/>
  <c r="H467" i="5"/>
  <c r="I467" i="5"/>
  <c r="L467" i="5"/>
  <c r="O467" i="5"/>
  <c r="H466" i="5"/>
  <c r="I466" i="5"/>
  <c r="L466" i="5"/>
  <c r="O466" i="5"/>
  <c r="H465" i="5"/>
  <c r="I465" i="5"/>
  <c r="L465" i="5"/>
  <c r="O465" i="5"/>
  <c r="H464" i="5"/>
  <c r="I464" i="5"/>
  <c r="L464" i="5"/>
  <c r="O464" i="5"/>
  <c r="H463" i="5"/>
  <c r="I463" i="5"/>
  <c r="L463" i="5"/>
  <c r="O463" i="5"/>
  <c r="H462" i="5"/>
  <c r="I462" i="5"/>
  <c r="L462" i="5"/>
  <c r="O462" i="5"/>
  <c r="H461" i="5"/>
  <c r="I461" i="5"/>
  <c r="L461" i="5"/>
  <c r="O461" i="5"/>
  <c r="H460" i="5"/>
  <c r="I460" i="5"/>
  <c r="L460" i="5"/>
  <c r="O460" i="5"/>
  <c r="H459" i="5"/>
  <c r="I459" i="5"/>
  <c r="L459" i="5"/>
  <c r="O459" i="5"/>
  <c r="H458" i="5"/>
  <c r="I458" i="5"/>
  <c r="L458" i="5"/>
  <c r="O458" i="5"/>
  <c r="H457" i="5"/>
  <c r="I457" i="5"/>
  <c r="L457" i="5"/>
  <c r="O457" i="5"/>
  <c r="H456" i="5"/>
  <c r="I456" i="5"/>
  <c r="L456" i="5"/>
  <c r="O456" i="5"/>
  <c r="H455" i="5"/>
  <c r="I455" i="5"/>
  <c r="L455" i="5"/>
  <c r="O455" i="5"/>
  <c r="H454" i="5"/>
  <c r="I454" i="5"/>
  <c r="L454" i="5"/>
  <c r="O454" i="5"/>
  <c r="H453" i="5"/>
  <c r="I453" i="5"/>
  <c r="L453" i="5"/>
  <c r="O453" i="5"/>
  <c r="H452" i="5"/>
  <c r="I452" i="5"/>
  <c r="L452" i="5"/>
  <c r="O452" i="5"/>
  <c r="H451" i="5"/>
  <c r="I451" i="5"/>
  <c r="L451" i="5"/>
  <c r="O451" i="5"/>
  <c r="H450" i="5"/>
  <c r="I450" i="5"/>
  <c r="L450" i="5"/>
  <c r="O450" i="5"/>
  <c r="H449" i="5"/>
  <c r="I449" i="5"/>
  <c r="L449" i="5"/>
  <c r="O449" i="5"/>
  <c r="H448" i="5"/>
  <c r="I448" i="5"/>
  <c r="L448" i="5"/>
  <c r="O448" i="5"/>
  <c r="H447" i="5"/>
  <c r="I447" i="5"/>
  <c r="L447" i="5"/>
  <c r="O447" i="5"/>
  <c r="H446" i="5"/>
  <c r="I446" i="5"/>
  <c r="L446" i="5"/>
  <c r="O446" i="5"/>
  <c r="H445" i="5"/>
  <c r="I445" i="5"/>
  <c r="L445" i="5"/>
  <c r="O445" i="5"/>
  <c r="H444" i="5"/>
  <c r="I444" i="5"/>
  <c r="L444" i="5"/>
  <c r="O444" i="5"/>
  <c r="H443" i="5"/>
  <c r="I443" i="5"/>
  <c r="L443" i="5"/>
  <c r="O443" i="5"/>
  <c r="H442" i="5"/>
  <c r="I442" i="5"/>
  <c r="L442" i="5"/>
  <c r="O442" i="5"/>
  <c r="H441" i="5"/>
  <c r="I441" i="5"/>
  <c r="L441" i="5"/>
  <c r="O441" i="5"/>
  <c r="H440" i="5"/>
  <c r="I440" i="5"/>
  <c r="L440" i="5"/>
  <c r="O440" i="5"/>
  <c r="H439" i="5"/>
  <c r="I439" i="5"/>
  <c r="L439" i="5"/>
  <c r="O439" i="5"/>
  <c r="H438" i="5"/>
  <c r="I438" i="5"/>
  <c r="L438" i="5"/>
  <c r="O438" i="5"/>
  <c r="H437" i="5"/>
  <c r="I437" i="5"/>
  <c r="L437" i="5"/>
  <c r="O437" i="5"/>
  <c r="H436" i="5"/>
  <c r="I436" i="5"/>
  <c r="L436" i="5"/>
  <c r="O436" i="5"/>
  <c r="H435" i="5"/>
  <c r="I435" i="5"/>
  <c r="L435" i="5"/>
  <c r="O435" i="5"/>
  <c r="H434" i="5"/>
  <c r="I434" i="5"/>
  <c r="L434" i="5"/>
  <c r="O434" i="5"/>
  <c r="H433" i="5"/>
  <c r="I433" i="5"/>
  <c r="L433" i="5"/>
  <c r="O433" i="5"/>
  <c r="H432" i="5"/>
  <c r="I432" i="5"/>
  <c r="L432" i="5"/>
  <c r="O432" i="5"/>
  <c r="H431" i="5"/>
  <c r="I431" i="5"/>
  <c r="L431" i="5"/>
  <c r="O431" i="5"/>
  <c r="H430" i="5"/>
  <c r="I430" i="5"/>
  <c r="L430" i="5"/>
  <c r="O430" i="5"/>
  <c r="H429" i="5"/>
  <c r="I429" i="5"/>
  <c r="L429" i="5"/>
  <c r="O429" i="5"/>
  <c r="H428" i="5"/>
  <c r="I428" i="5"/>
  <c r="L428" i="5"/>
  <c r="O428" i="5"/>
  <c r="H427" i="5"/>
  <c r="I427" i="5"/>
  <c r="L427" i="5"/>
  <c r="O427" i="5"/>
  <c r="H426" i="5"/>
  <c r="I426" i="5"/>
  <c r="L426" i="5"/>
  <c r="O426" i="5"/>
  <c r="H425" i="5"/>
  <c r="I425" i="5"/>
  <c r="L425" i="5"/>
  <c r="O425" i="5"/>
  <c r="H424" i="5"/>
  <c r="I424" i="5"/>
  <c r="L424" i="5"/>
  <c r="O424" i="5"/>
  <c r="H423" i="5"/>
  <c r="I423" i="5"/>
  <c r="L423" i="5"/>
  <c r="O423" i="5"/>
  <c r="H422" i="5"/>
  <c r="I422" i="5"/>
  <c r="L422" i="5"/>
  <c r="O422" i="5"/>
  <c r="H421" i="5"/>
  <c r="I421" i="5"/>
  <c r="L421" i="5"/>
  <c r="O421" i="5"/>
  <c r="H420" i="5"/>
  <c r="I420" i="5"/>
  <c r="L420" i="5"/>
  <c r="O420" i="5"/>
  <c r="H419" i="5"/>
  <c r="I419" i="5"/>
  <c r="L419" i="5"/>
  <c r="O419" i="5"/>
  <c r="H418" i="5"/>
  <c r="I418" i="5"/>
  <c r="L418" i="5"/>
  <c r="O418" i="5"/>
  <c r="H417" i="5"/>
  <c r="I417" i="5"/>
  <c r="L417" i="5"/>
  <c r="O417" i="5"/>
  <c r="H416" i="5"/>
  <c r="I416" i="5"/>
  <c r="L416" i="5"/>
  <c r="O416" i="5"/>
  <c r="H415" i="5"/>
  <c r="I415" i="5"/>
  <c r="L415" i="5"/>
  <c r="O415" i="5"/>
  <c r="H414" i="5"/>
  <c r="I414" i="5"/>
  <c r="L414" i="5"/>
  <c r="O414" i="5"/>
  <c r="H413" i="5"/>
  <c r="I413" i="5"/>
  <c r="L413" i="5"/>
  <c r="O413" i="5"/>
  <c r="H412" i="5"/>
  <c r="I412" i="5"/>
  <c r="L412" i="5"/>
  <c r="O412" i="5"/>
  <c r="H411" i="5"/>
  <c r="I411" i="5"/>
  <c r="L411" i="5"/>
  <c r="O411" i="5"/>
  <c r="H410" i="5"/>
  <c r="I410" i="5"/>
  <c r="L410" i="5"/>
  <c r="O410" i="5"/>
  <c r="H409" i="5"/>
  <c r="I409" i="5"/>
  <c r="L409" i="5"/>
  <c r="O409" i="5"/>
  <c r="H408" i="5"/>
  <c r="I408" i="5"/>
  <c r="L408" i="5"/>
  <c r="O408" i="5"/>
  <c r="H407" i="5"/>
  <c r="I407" i="5"/>
  <c r="L407" i="5"/>
  <c r="O407" i="5"/>
  <c r="H406" i="5"/>
  <c r="I406" i="5"/>
  <c r="L406" i="5"/>
  <c r="O406" i="5"/>
  <c r="H405" i="5"/>
  <c r="I405" i="5"/>
  <c r="L405" i="5"/>
  <c r="O405" i="5"/>
  <c r="H404" i="5"/>
  <c r="I404" i="5"/>
  <c r="L404" i="5"/>
  <c r="O404" i="5"/>
  <c r="H403" i="5"/>
  <c r="I403" i="5"/>
  <c r="L403" i="5"/>
  <c r="O403" i="5"/>
  <c r="H402" i="5"/>
  <c r="I402" i="5"/>
  <c r="L402" i="5"/>
  <c r="O402" i="5"/>
  <c r="H401" i="5"/>
  <c r="I401" i="5"/>
  <c r="L401" i="5"/>
  <c r="O401" i="5"/>
  <c r="H400" i="5"/>
  <c r="I400" i="5"/>
  <c r="L400" i="5"/>
  <c r="O400" i="5"/>
  <c r="H399" i="5"/>
  <c r="I399" i="5"/>
  <c r="L399" i="5"/>
  <c r="O399" i="5"/>
  <c r="H398" i="5"/>
  <c r="I398" i="5"/>
  <c r="L398" i="5"/>
  <c r="O398" i="5"/>
  <c r="H397" i="5"/>
  <c r="I397" i="5"/>
  <c r="L397" i="5"/>
  <c r="O397" i="5"/>
  <c r="H396" i="5"/>
  <c r="I396" i="5"/>
  <c r="L396" i="5"/>
  <c r="O396" i="5"/>
  <c r="H395" i="5"/>
  <c r="I395" i="5"/>
  <c r="L395" i="5"/>
  <c r="O395" i="5"/>
  <c r="H394" i="5"/>
  <c r="I394" i="5"/>
  <c r="L394" i="5"/>
  <c r="O394" i="5"/>
  <c r="H393" i="5"/>
  <c r="I393" i="5"/>
  <c r="L393" i="5"/>
  <c r="O393" i="5"/>
  <c r="H392" i="5"/>
  <c r="I392" i="5"/>
  <c r="L392" i="5"/>
  <c r="O392" i="5"/>
  <c r="H391" i="5"/>
  <c r="I391" i="5"/>
  <c r="L391" i="5"/>
  <c r="O391" i="5"/>
  <c r="H390" i="5"/>
  <c r="I390" i="5"/>
  <c r="L390" i="5"/>
  <c r="O390" i="5"/>
  <c r="H389" i="5"/>
  <c r="I389" i="5"/>
  <c r="L389" i="5"/>
  <c r="O389" i="5"/>
  <c r="H388" i="5"/>
  <c r="I388" i="5"/>
  <c r="L388" i="5"/>
  <c r="O388" i="5"/>
  <c r="H387" i="5"/>
  <c r="I387" i="5"/>
  <c r="L387" i="5"/>
  <c r="O387" i="5"/>
  <c r="H386" i="5"/>
  <c r="I386" i="5"/>
  <c r="L386" i="5"/>
  <c r="O386" i="5"/>
  <c r="H385" i="5"/>
  <c r="I385" i="5"/>
  <c r="L385" i="5"/>
  <c r="O385" i="5"/>
  <c r="H384" i="5"/>
  <c r="I384" i="5"/>
  <c r="L384" i="5"/>
  <c r="O384" i="5"/>
  <c r="H383" i="5"/>
  <c r="I383" i="5"/>
  <c r="L383" i="5"/>
  <c r="O383" i="5"/>
  <c r="H382" i="5"/>
  <c r="I382" i="5"/>
  <c r="L382" i="5"/>
  <c r="O382" i="5"/>
  <c r="H381" i="5"/>
  <c r="I381" i="5"/>
  <c r="L381" i="5"/>
  <c r="O381" i="5"/>
  <c r="H380" i="5"/>
  <c r="I380" i="5"/>
  <c r="L380" i="5"/>
  <c r="O380" i="5"/>
  <c r="H379" i="5"/>
  <c r="I379" i="5"/>
  <c r="L379" i="5"/>
  <c r="O379" i="5"/>
  <c r="H378" i="5"/>
  <c r="I378" i="5"/>
  <c r="L378" i="5"/>
  <c r="O378" i="5"/>
  <c r="H377" i="5"/>
  <c r="I377" i="5"/>
  <c r="L377" i="5"/>
  <c r="O377" i="5"/>
  <c r="H376" i="5"/>
  <c r="I376" i="5"/>
  <c r="L376" i="5"/>
  <c r="O376" i="5"/>
  <c r="H375" i="5"/>
  <c r="I375" i="5"/>
  <c r="L375" i="5"/>
  <c r="O375" i="5"/>
  <c r="H374" i="5"/>
  <c r="I374" i="5"/>
  <c r="L374" i="5"/>
  <c r="O374" i="5"/>
  <c r="H373" i="5"/>
  <c r="I373" i="5"/>
  <c r="L373" i="5"/>
  <c r="O373" i="5"/>
  <c r="H372" i="5"/>
  <c r="I372" i="5"/>
  <c r="L372" i="5"/>
  <c r="O372" i="5"/>
  <c r="H371" i="5"/>
  <c r="I371" i="5"/>
  <c r="L371" i="5"/>
  <c r="O371" i="5"/>
  <c r="H370" i="5"/>
  <c r="I370" i="5"/>
  <c r="L370" i="5"/>
  <c r="O370" i="5"/>
  <c r="H369" i="5"/>
  <c r="I369" i="5"/>
  <c r="L369" i="5"/>
  <c r="O369" i="5"/>
  <c r="H368" i="5"/>
  <c r="I368" i="5"/>
  <c r="L368" i="5"/>
  <c r="O368" i="5"/>
  <c r="H367" i="5"/>
  <c r="I367" i="5"/>
  <c r="L367" i="5"/>
  <c r="O367" i="5"/>
  <c r="H366" i="5"/>
  <c r="I366" i="5"/>
  <c r="L366" i="5"/>
  <c r="O366" i="5"/>
  <c r="H365" i="5"/>
  <c r="I365" i="5"/>
  <c r="L365" i="5"/>
  <c r="O365" i="5"/>
  <c r="H364" i="5"/>
  <c r="I364" i="5"/>
  <c r="L364" i="5"/>
  <c r="O364" i="5"/>
  <c r="H363" i="5"/>
  <c r="I363" i="5"/>
  <c r="L363" i="5"/>
  <c r="O363" i="5"/>
  <c r="H362" i="5"/>
  <c r="I362" i="5"/>
  <c r="L362" i="5"/>
  <c r="O362" i="5"/>
  <c r="H361" i="5"/>
  <c r="I361" i="5"/>
  <c r="L361" i="5"/>
  <c r="O361" i="5"/>
  <c r="H360" i="5"/>
  <c r="I360" i="5"/>
  <c r="L360" i="5"/>
  <c r="O360" i="5"/>
  <c r="H359" i="5"/>
  <c r="I359" i="5"/>
  <c r="L359" i="5"/>
  <c r="O359" i="5"/>
  <c r="H358" i="5"/>
  <c r="I358" i="5"/>
  <c r="L358" i="5"/>
  <c r="O358" i="5"/>
  <c r="H357" i="5"/>
  <c r="I357" i="5"/>
  <c r="L357" i="5"/>
  <c r="O357" i="5"/>
  <c r="H356" i="5"/>
  <c r="I356" i="5"/>
  <c r="L356" i="5"/>
  <c r="O356" i="5"/>
  <c r="H355" i="5"/>
  <c r="I355" i="5"/>
  <c r="L355" i="5"/>
  <c r="O355" i="5"/>
  <c r="H354" i="5"/>
  <c r="I354" i="5"/>
  <c r="L354" i="5"/>
  <c r="O354" i="5"/>
  <c r="H353" i="5"/>
  <c r="I353" i="5"/>
  <c r="L353" i="5"/>
  <c r="O353" i="5"/>
  <c r="H352" i="5"/>
  <c r="I352" i="5"/>
  <c r="L352" i="5"/>
  <c r="O352" i="5"/>
  <c r="H351" i="5"/>
  <c r="I351" i="5"/>
  <c r="L351" i="5"/>
  <c r="O351" i="5"/>
  <c r="H350" i="5"/>
  <c r="I350" i="5"/>
  <c r="L350" i="5"/>
  <c r="O350" i="5"/>
  <c r="H349" i="5"/>
  <c r="I349" i="5"/>
  <c r="L349" i="5"/>
  <c r="O349" i="5"/>
  <c r="H348" i="5"/>
  <c r="I348" i="5"/>
  <c r="L348" i="5"/>
  <c r="O348" i="5"/>
  <c r="H347" i="5"/>
  <c r="I347" i="5"/>
  <c r="L347" i="5"/>
  <c r="O347" i="5"/>
  <c r="H346" i="5"/>
  <c r="I346" i="5"/>
  <c r="L346" i="5"/>
  <c r="O346" i="5"/>
  <c r="H345" i="5"/>
  <c r="I345" i="5"/>
  <c r="L345" i="5"/>
  <c r="O345" i="5"/>
  <c r="H344" i="5"/>
  <c r="I344" i="5"/>
  <c r="L344" i="5"/>
  <c r="O344" i="5"/>
  <c r="H343" i="5"/>
  <c r="I343" i="5"/>
  <c r="L343" i="5"/>
  <c r="O343" i="5"/>
  <c r="H342" i="5"/>
  <c r="I342" i="5"/>
  <c r="L342" i="5"/>
  <c r="O342" i="5"/>
  <c r="H341" i="5"/>
  <c r="I341" i="5"/>
  <c r="L341" i="5"/>
  <c r="O341" i="5"/>
  <c r="H340" i="5"/>
  <c r="I340" i="5"/>
  <c r="L340" i="5"/>
  <c r="O340" i="5"/>
  <c r="H339" i="5"/>
  <c r="I339" i="5"/>
  <c r="L339" i="5"/>
  <c r="O339" i="5"/>
  <c r="H338" i="5"/>
  <c r="I338" i="5"/>
  <c r="L338" i="5"/>
  <c r="O338" i="5"/>
  <c r="H337" i="5"/>
  <c r="I337" i="5"/>
  <c r="L337" i="5"/>
  <c r="O337" i="5"/>
  <c r="H336" i="5"/>
  <c r="I336" i="5"/>
  <c r="L336" i="5"/>
  <c r="O336" i="5"/>
  <c r="H335" i="5"/>
  <c r="I335" i="5"/>
  <c r="L335" i="5"/>
  <c r="O335" i="5"/>
  <c r="H334" i="5"/>
  <c r="I334" i="5"/>
  <c r="L334" i="5"/>
  <c r="O334" i="5"/>
  <c r="H333" i="5"/>
  <c r="I333" i="5"/>
  <c r="L333" i="5"/>
  <c r="O333" i="5"/>
  <c r="H332" i="5"/>
  <c r="I332" i="5"/>
  <c r="L332" i="5"/>
  <c r="O332" i="5"/>
  <c r="H331" i="5"/>
  <c r="I331" i="5"/>
  <c r="L331" i="5"/>
  <c r="O331" i="5"/>
  <c r="H330" i="5"/>
  <c r="I330" i="5"/>
  <c r="L330" i="5"/>
  <c r="O330" i="5"/>
  <c r="H329" i="5"/>
  <c r="I329" i="5"/>
  <c r="L329" i="5"/>
  <c r="O329" i="5"/>
  <c r="H328" i="5"/>
  <c r="I328" i="5"/>
  <c r="L328" i="5"/>
  <c r="O328" i="5"/>
  <c r="H327" i="5"/>
  <c r="I327" i="5"/>
  <c r="L327" i="5"/>
  <c r="O327" i="5"/>
  <c r="H326" i="5"/>
  <c r="I326" i="5"/>
  <c r="L326" i="5"/>
  <c r="O326" i="5"/>
  <c r="H325" i="5"/>
  <c r="I325" i="5"/>
  <c r="L325" i="5"/>
  <c r="O325" i="5"/>
  <c r="H324" i="5"/>
  <c r="I324" i="5"/>
  <c r="L324" i="5"/>
  <c r="O324" i="5"/>
  <c r="H323" i="5"/>
  <c r="I323" i="5"/>
  <c r="L323" i="5"/>
  <c r="O323" i="5"/>
  <c r="H322" i="5"/>
  <c r="I322" i="5"/>
  <c r="L322" i="5"/>
  <c r="O322" i="5"/>
  <c r="H321" i="5"/>
  <c r="I321" i="5"/>
  <c r="L321" i="5"/>
  <c r="O321" i="5"/>
  <c r="H320" i="5"/>
  <c r="I320" i="5"/>
  <c r="L320" i="5"/>
  <c r="O320" i="5"/>
  <c r="H319" i="5"/>
  <c r="I319" i="5"/>
  <c r="L319" i="5"/>
  <c r="O319" i="5"/>
  <c r="H318" i="5"/>
  <c r="I318" i="5"/>
  <c r="L318" i="5"/>
  <c r="O318" i="5"/>
  <c r="H317" i="5"/>
  <c r="I317" i="5"/>
  <c r="L317" i="5"/>
  <c r="O317" i="5"/>
  <c r="H316" i="5"/>
  <c r="I316" i="5"/>
  <c r="L316" i="5"/>
  <c r="O316" i="5"/>
  <c r="H315" i="5"/>
  <c r="I315" i="5"/>
  <c r="L315" i="5"/>
  <c r="O315" i="5"/>
  <c r="H314" i="5"/>
  <c r="I314" i="5"/>
  <c r="L314" i="5"/>
  <c r="O314" i="5"/>
  <c r="H313" i="5"/>
  <c r="I313" i="5"/>
  <c r="L313" i="5"/>
  <c r="O313" i="5"/>
  <c r="H312" i="5"/>
  <c r="I312" i="5"/>
  <c r="L312" i="5"/>
  <c r="O312" i="5"/>
  <c r="H311" i="5"/>
  <c r="I311" i="5"/>
  <c r="L311" i="5"/>
  <c r="O311" i="5"/>
  <c r="H310" i="5"/>
  <c r="I310" i="5"/>
  <c r="L310" i="5"/>
  <c r="O310" i="5"/>
  <c r="H309" i="5"/>
  <c r="I309" i="5"/>
  <c r="L309" i="5"/>
  <c r="O309" i="5"/>
  <c r="H308" i="5"/>
  <c r="I308" i="5"/>
  <c r="L308" i="5"/>
  <c r="O308" i="5"/>
  <c r="H307" i="5"/>
  <c r="I307" i="5"/>
  <c r="L307" i="5"/>
  <c r="O307" i="5"/>
  <c r="H306" i="5"/>
  <c r="I306" i="5"/>
  <c r="L306" i="5"/>
  <c r="O306" i="5"/>
  <c r="H305" i="5"/>
  <c r="I305" i="5"/>
  <c r="L305" i="5"/>
  <c r="O305" i="5"/>
  <c r="H304" i="5"/>
  <c r="I304" i="5"/>
  <c r="L304" i="5"/>
  <c r="O304" i="5"/>
  <c r="H303" i="5"/>
  <c r="I303" i="5"/>
  <c r="L303" i="5"/>
  <c r="O303" i="5"/>
  <c r="H302" i="5"/>
  <c r="I302" i="5"/>
  <c r="L302" i="5"/>
  <c r="O302" i="5"/>
  <c r="H301" i="5"/>
  <c r="I301" i="5"/>
  <c r="L301" i="5"/>
  <c r="O301" i="5"/>
  <c r="H300" i="5"/>
  <c r="I300" i="5"/>
  <c r="L300" i="5"/>
  <c r="O300" i="5"/>
  <c r="H299" i="5"/>
  <c r="I299" i="5"/>
  <c r="L299" i="5"/>
  <c r="O299" i="5"/>
  <c r="H298" i="5"/>
  <c r="I298" i="5"/>
  <c r="L298" i="5"/>
  <c r="O298" i="5"/>
  <c r="H297" i="5"/>
  <c r="I297" i="5"/>
  <c r="L297" i="5"/>
  <c r="O297" i="5"/>
  <c r="H296" i="5"/>
  <c r="I296" i="5"/>
  <c r="L296" i="5"/>
  <c r="O296" i="5"/>
  <c r="H295" i="5"/>
  <c r="I295" i="5"/>
  <c r="L295" i="5"/>
  <c r="O295" i="5"/>
  <c r="H294" i="5"/>
  <c r="I294" i="5"/>
  <c r="L294" i="5"/>
  <c r="O294" i="5"/>
  <c r="H293" i="5"/>
  <c r="I293" i="5"/>
  <c r="L293" i="5"/>
  <c r="O293" i="5"/>
  <c r="H292" i="5"/>
  <c r="I292" i="5"/>
  <c r="L292" i="5"/>
  <c r="O292" i="5"/>
  <c r="H291" i="5"/>
  <c r="I291" i="5"/>
  <c r="L291" i="5"/>
  <c r="O291" i="5"/>
  <c r="H290" i="5"/>
  <c r="I290" i="5"/>
  <c r="L290" i="5"/>
  <c r="O290" i="5"/>
  <c r="H289" i="5"/>
  <c r="I289" i="5"/>
  <c r="L289" i="5"/>
  <c r="O289" i="5"/>
  <c r="H288" i="5"/>
  <c r="I288" i="5"/>
  <c r="L288" i="5"/>
  <c r="O288" i="5"/>
  <c r="H287" i="5"/>
  <c r="I287" i="5"/>
  <c r="L287" i="5"/>
  <c r="O287" i="5"/>
  <c r="H286" i="5"/>
  <c r="I286" i="5"/>
  <c r="L286" i="5"/>
  <c r="O286" i="5"/>
  <c r="H285" i="5"/>
  <c r="I285" i="5"/>
  <c r="L285" i="5"/>
  <c r="O285" i="5"/>
  <c r="H284" i="5"/>
  <c r="I284" i="5"/>
  <c r="L284" i="5"/>
  <c r="O284" i="5"/>
  <c r="H283" i="5"/>
  <c r="I283" i="5"/>
  <c r="L283" i="5"/>
  <c r="O283" i="5"/>
  <c r="H282" i="5"/>
  <c r="I282" i="5"/>
  <c r="L282" i="5"/>
  <c r="O282" i="5"/>
  <c r="H281" i="5"/>
  <c r="I281" i="5"/>
  <c r="L281" i="5"/>
  <c r="O281" i="5"/>
  <c r="H280" i="5"/>
  <c r="I280" i="5"/>
  <c r="L280" i="5"/>
  <c r="O280" i="5"/>
  <c r="H279" i="5"/>
  <c r="I279" i="5"/>
  <c r="L279" i="5"/>
  <c r="O279" i="5"/>
  <c r="H278" i="5"/>
  <c r="I278" i="5"/>
  <c r="L278" i="5"/>
  <c r="O278" i="5"/>
  <c r="H277" i="5"/>
  <c r="I277" i="5"/>
  <c r="L277" i="5"/>
  <c r="O277" i="5"/>
  <c r="H276" i="5"/>
  <c r="I276" i="5"/>
  <c r="L276" i="5"/>
  <c r="O276" i="5"/>
  <c r="H275" i="5"/>
  <c r="I275" i="5"/>
  <c r="L275" i="5"/>
  <c r="O275" i="5"/>
  <c r="H274" i="5"/>
  <c r="I274" i="5"/>
  <c r="L274" i="5"/>
  <c r="O274" i="5"/>
  <c r="H273" i="5"/>
  <c r="I273" i="5"/>
  <c r="L273" i="5"/>
  <c r="O273" i="5"/>
  <c r="H272" i="5"/>
  <c r="I272" i="5"/>
  <c r="L272" i="5"/>
  <c r="O272" i="5"/>
  <c r="H271" i="5"/>
  <c r="I271" i="5"/>
  <c r="L271" i="5"/>
  <c r="O271" i="5"/>
  <c r="H270" i="5"/>
  <c r="I270" i="5"/>
  <c r="L270" i="5"/>
  <c r="O270" i="5"/>
  <c r="H269" i="5"/>
  <c r="I269" i="5"/>
  <c r="L269" i="5"/>
  <c r="O269" i="5"/>
  <c r="H268" i="5"/>
  <c r="I268" i="5"/>
  <c r="L268" i="5"/>
  <c r="O268" i="5"/>
  <c r="H267" i="5"/>
  <c r="I267" i="5"/>
  <c r="L267" i="5"/>
  <c r="O267" i="5"/>
  <c r="H266" i="5"/>
  <c r="I266" i="5"/>
  <c r="L266" i="5"/>
  <c r="O266" i="5"/>
  <c r="H265" i="5"/>
  <c r="I265" i="5"/>
  <c r="L265" i="5"/>
  <c r="O265" i="5"/>
  <c r="H264" i="5"/>
  <c r="I264" i="5"/>
  <c r="L264" i="5"/>
  <c r="O264" i="5"/>
  <c r="H263" i="5"/>
  <c r="I263" i="5"/>
  <c r="L263" i="5"/>
  <c r="O263" i="5"/>
  <c r="H262" i="5"/>
  <c r="I262" i="5"/>
  <c r="L262" i="5"/>
  <c r="O262" i="5"/>
  <c r="H261" i="5"/>
  <c r="I261" i="5"/>
  <c r="L261" i="5"/>
  <c r="O261" i="5"/>
  <c r="H260" i="5"/>
  <c r="I260" i="5"/>
  <c r="L260" i="5"/>
  <c r="O260" i="5"/>
  <c r="H259" i="5"/>
  <c r="I259" i="5"/>
  <c r="L259" i="5"/>
  <c r="O259" i="5"/>
  <c r="H258" i="5"/>
  <c r="I258" i="5"/>
  <c r="L258" i="5"/>
  <c r="O258" i="5"/>
  <c r="H257" i="5"/>
  <c r="I257" i="5"/>
  <c r="L257" i="5"/>
  <c r="O257" i="5"/>
  <c r="H256" i="5"/>
  <c r="I256" i="5"/>
  <c r="L256" i="5"/>
  <c r="O256" i="5"/>
  <c r="H255" i="5"/>
  <c r="I255" i="5"/>
  <c r="L255" i="5"/>
  <c r="O255" i="5"/>
  <c r="H254" i="5"/>
  <c r="I254" i="5"/>
  <c r="L254" i="5"/>
  <c r="O254" i="5"/>
  <c r="H253" i="5"/>
  <c r="I253" i="5"/>
  <c r="L253" i="5"/>
  <c r="O253" i="5"/>
  <c r="H252" i="5"/>
  <c r="I252" i="5"/>
  <c r="L252" i="5"/>
  <c r="O252" i="5"/>
  <c r="H251" i="5"/>
  <c r="I251" i="5"/>
  <c r="L251" i="5"/>
  <c r="O251" i="5"/>
  <c r="H250" i="5"/>
  <c r="I250" i="5"/>
  <c r="L250" i="5"/>
  <c r="O250" i="5"/>
  <c r="H249" i="5"/>
  <c r="I249" i="5"/>
  <c r="L249" i="5"/>
  <c r="O249" i="5"/>
  <c r="H248" i="5"/>
  <c r="I248" i="5"/>
  <c r="L248" i="5"/>
  <c r="O248" i="5"/>
  <c r="H247" i="5"/>
  <c r="I247" i="5"/>
  <c r="L247" i="5"/>
  <c r="O247" i="5"/>
  <c r="H246" i="5"/>
  <c r="I246" i="5"/>
  <c r="L246" i="5"/>
  <c r="O246" i="5"/>
  <c r="H245" i="5"/>
  <c r="I245" i="5"/>
  <c r="L245" i="5"/>
  <c r="O245" i="5"/>
  <c r="H244" i="5"/>
  <c r="I244" i="5"/>
  <c r="L244" i="5"/>
  <c r="O244" i="5"/>
  <c r="H243" i="5"/>
  <c r="I243" i="5"/>
  <c r="L243" i="5"/>
  <c r="O243" i="5"/>
  <c r="H242" i="5"/>
  <c r="I242" i="5"/>
  <c r="L242" i="5"/>
  <c r="O242" i="5"/>
  <c r="H241" i="5"/>
  <c r="I241" i="5"/>
  <c r="L241" i="5"/>
  <c r="O241" i="5"/>
  <c r="H240" i="5"/>
  <c r="I240" i="5"/>
  <c r="L240" i="5"/>
  <c r="O240" i="5"/>
  <c r="H239" i="5"/>
  <c r="I239" i="5"/>
  <c r="L239" i="5"/>
  <c r="O239" i="5"/>
  <c r="H238" i="5"/>
  <c r="I238" i="5"/>
  <c r="L238" i="5"/>
  <c r="O238" i="5"/>
  <c r="H237" i="5"/>
  <c r="I237" i="5"/>
  <c r="L237" i="5"/>
  <c r="O237" i="5"/>
  <c r="H236" i="5"/>
  <c r="I236" i="5"/>
  <c r="L236" i="5"/>
  <c r="O236" i="5"/>
  <c r="H235" i="5"/>
  <c r="I235" i="5"/>
  <c r="L235" i="5"/>
  <c r="O235" i="5"/>
  <c r="H234" i="5"/>
  <c r="I234" i="5"/>
  <c r="L234" i="5"/>
  <c r="O234" i="5"/>
  <c r="H233" i="5"/>
  <c r="I233" i="5"/>
  <c r="L233" i="5"/>
  <c r="O233" i="5"/>
  <c r="H232" i="5"/>
  <c r="I232" i="5"/>
  <c r="L232" i="5"/>
  <c r="O232" i="5"/>
  <c r="H231" i="5"/>
  <c r="I231" i="5"/>
  <c r="L231" i="5"/>
  <c r="O231" i="5"/>
  <c r="H230" i="5"/>
  <c r="I230" i="5"/>
  <c r="L230" i="5"/>
  <c r="O230" i="5"/>
  <c r="H229" i="5"/>
  <c r="I229" i="5"/>
  <c r="L229" i="5"/>
  <c r="O229" i="5"/>
  <c r="H228" i="5"/>
  <c r="I228" i="5"/>
  <c r="L228" i="5"/>
  <c r="O228" i="5"/>
  <c r="H227" i="5"/>
  <c r="I227" i="5"/>
  <c r="L227" i="5"/>
  <c r="O227" i="5"/>
  <c r="H226" i="5"/>
  <c r="I226" i="5"/>
  <c r="L226" i="5"/>
  <c r="O226" i="5"/>
  <c r="H225" i="5"/>
  <c r="I225" i="5"/>
  <c r="L225" i="5"/>
  <c r="O225" i="5"/>
  <c r="H224" i="5"/>
  <c r="I224" i="5"/>
  <c r="L224" i="5"/>
  <c r="O224" i="5"/>
  <c r="H223" i="5"/>
  <c r="I223" i="5"/>
  <c r="L223" i="5"/>
  <c r="O223" i="5"/>
  <c r="H222" i="5"/>
  <c r="I222" i="5"/>
  <c r="L222" i="5"/>
  <c r="O222" i="5"/>
  <c r="H221" i="5"/>
  <c r="I221" i="5"/>
  <c r="L221" i="5"/>
  <c r="O221" i="5"/>
  <c r="H220" i="5"/>
  <c r="I220" i="5"/>
  <c r="L220" i="5"/>
  <c r="O220" i="5"/>
  <c r="H219" i="5"/>
  <c r="I219" i="5"/>
  <c r="L219" i="5"/>
  <c r="O219" i="5"/>
  <c r="H218" i="5"/>
  <c r="I218" i="5"/>
  <c r="L218" i="5"/>
  <c r="O218" i="5"/>
  <c r="H217" i="5"/>
  <c r="I217" i="5"/>
  <c r="L217" i="5"/>
  <c r="O217" i="5"/>
  <c r="H216" i="5"/>
  <c r="I216" i="5"/>
  <c r="L216" i="5"/>
  <c r="O216" i="5"/>
  <c r="H215" i="5"/>
  <c r="I215" i="5"/>
  <c r="L215" i="5"/>
  <c r="O215" i="5"/>
  <c r="H214" i="5"/>
  <c r="I214" i="5"/>
  <c r="L214" i="5"/>
  <c r="O214" i="5"/>
  <c r="H213" i="5"/>
  <c r="I213" i="5"/>
  <c r="L213" i="5"/>
  <c r="O213" i="5"/>
  <c r="H212" i="5"/>
  <c r="I212" i="5"/>
  <c r="L212" i="5"/>
  <c r="O212" i="5"/>
  <c r="H211" i="5"/>
  <c r="I211" i="5"/>
  <c r="L211" i="5"/>
  <c r="O211" i="5"/>
  <c r="H210" i="5"/>
  <c r="I210" i="5"/>
  <c r="L210" i="5"/>
  <c r="O210" i="5"/>
  <c r="H209" i="5"/>
  <c r="I209" i="5"/>
  <c r="L209" i="5"/>
  <c r="O209" i="5"/>
  <c r="H208" i="5"/>
  <c r="I208" i="5"/>
  <c r="L208" i="5"/>
  <c r="O208" i="5"/>
  <c r="H207" i="5"/>
  <c r="I207" i="5"/>
  <c r="L207" i="5"/>
  <c r="O207" i="5"/>
  <c r="H206" i="5"/>
  <c r="I206" i="5"/>
  <c r="L206" i="5"/>
  <c r="O206" i="5"/>
  <c r="H205" i="5"/>
  <c r="I205" i="5"/>
  <c r="L205" i="5"/>
  <c r="O205" i="5"/>
  <c r="H204" i="5"/>
  <c r="I204" i="5"/>
  <c r="L204" i="5"/>
  <c r="O204" i="5"/>
  <c r="H203" i="5"/>
  <c r="I203" i="5"/>
  <c r="L203" i="5"/>
  <c r="O203" i="5"/>
  <c r="H202" i="5"/>
  <c r="I202" i="5"/>
  <c r="L202" i="5"/>
  <c r="O202" i="5"/>
  <c r="H201" i="5"/>
  <c r="I201" i="5"/>
  <c r="L201" i="5"/>
  <c r="O201" i="5"/>
  <c r="H200" i="5"/>
  <c r="I200" i="5"/>
  <c r="L200" i="5"/>
  <c r="O200" i="5"/>
  <c r="H199" i="5"/>
  <c r="I199" i="5"/>
  <c r="L199" i="5"/>
  <c r="O199" i="5"/>
  <c r="H198" i="5"/>
  <c r="I198" i="5"/>
  <c r="L198" i="5"/>
  <c r="O198" i="5"/>
  <c r="H197" i="5"/>
  <c r="I197" i="5"/>
  <c r="L197" i="5"/>
  <c r="O197" i="5"/>
  <c r="H196" i="5"/>
  <c r="I196" i="5"/>
  <c r="L196" i="5"/>
  <c r="O196" i="5"/>
  <c r="H195" i="5"/>
  <c r="I195" i="5"/>
  <c r="L195" i="5"/>
  <c r="O195" i="5"/>
  <c r="H194" i="5"/>
  <c r="I194" i="5"/>
  <c r="L194" i="5"/>
  <c r="O194" i="5"/>
  <c r="H193" i="5"/>
  <c r="I193" i="5"/>
  <c r="L193" i="5"/>
  <c r="O193" i="5"/>
  <c r="H192" i="5"/>
  <c r="I192" i="5"/>
  <c r="L192" i="5"/>
  <c r="O192" i="5"/>
  <c r="H191" i="5"/>
  <c r="I191" i="5"/>
  <c r="L191" i="5"/>
  <c r="O191" i="5"/>
  <c r="H190" i="5"/>
  <c r="I190" i="5"/>
  <c r="L190" i="5"/>
  <c r="O190" i="5"/>
  <c r="H189" i="5"/>
  <c r="I189" i="5"/>
  <c r="L189" i="5"/>
  <c r="O189" i="5"/>
  <c r="H188" i="5"/>
  <c r="I188" i="5"/>
  <c r="L188" i="5"/>
  <c r="O188" i="5"/>
  <c r="H187" i="5"/>
  <c r="I187" i="5"/>
  <c r="L187" i="5"/>
  <c r="O187" i="5"/>
  <c r="H186" i="5"/>
  <c r="I186" i="5"/>
  <c r="L186" i="5"/>
  <c r="O186" i="5"/>
  <c r="H185" i="5"/>
  <c r="I185" i="5"/>
  <c r="L185" i="5"/>
  <c r="O185" i="5"/>
  <c r="H184" i="5"/>
  <c r="I184" i="5"/>
  <c r="L184" i="5"/>
  <c r="O184" i="5"/>
  <c r="H183" i="5"/>
  <c r="I183" i="5"/>
  <c r="L183" i="5"/>
  <c r="O183" i="5"/>
  <c r="H182" i="5"/>
  <c r="I182" i="5"/>
  <c r="L182" i="5"/>
  <c r="O182" i="5"/>
  <c r="H181" i="5"/>
  <c r="I181" i="5"/>
  <c r="L181" i="5"/>
  <c r="O181" i="5"/>
  <c r="H180" i="5"/>
  <c r="I180" i="5"/>
  <c r="L180" i="5"/>
  <c r="O180" i="5"/>
  <c r="H179" i="5"/>
  <c r="I179" i="5"/>
  <c r="L179" i="5"/>
  <c r="O179" i="5"/>
  <c r="H178" i="5"/>
  <c r="I178" i="5"/>
  <c r="L178" i="5"/>
  <c r="O178" i="5"/>
  <c r="H177" i="5"/>
  <c r="I177" i="5"/>
  <c r="L177" i="5"/>
  <c r="O177" i="5"/>
  <c r="H176" i="5"/>
  <c r="I176" i="5"/>
  <c r="L176" i="5"/>
  <c r="O176" i="5"/>
  <c r="H175" i="5"/>
  <c r="I175" i="5"/>
  <c r="L175" i="5"/>
  <c r="O175" i="5"/>
  <c r="H174" i="5"/>
  <c r="I174" i="5"/>
  <c r="L174" i="5"/>
  <c r="O174" i="5"/>
  <c r="H173" i="5"/>
  <c r="I173" i="5"/>
  <c r="L173" i="5"/>
  <c r="O173" i="5"/>
  <c r="H172" i="5"/>
  <c r="I172" i="5"/>
  <c r="L172" i="5"/>
  <c r="O172" i="5"/>
  <c r="H171" i="5"/>
  <c r="I171" i="5"/>
  <c r="L171" i="5"/>
  <c r="O171" i="5"/>
  <c r="H170" i="5"/>
  <c r="I170" i="5"/>
  <c r="L170" i="5"/>
  <c r="O170" i="5"/>
  <c r="H169" i="5"/>
  <c r="I169" i="5"/>
  <c r="L169" i="5"/>
  <c r="O169" i="5"/>
  <c r="H168" i="5"/>
  <c r="I168" i="5"/>
  <c r="L168" i="5"/>
  <c r="O168" i="5"/>
  <c r="H167" i="5"/>
  <c r="I167" i="5"/>
  <c r="L167" i="5"/>
  <c r="O167" i="5"/>
  <c r="H166" i="5"/>
  <c r="I166" i="5"/>
  <c r="L166" i="5"/>
  <c r="O166" i="5"/>
  <c r="H165" i="5"/>
  <c r="I165" i="5"/>
  <c r="L165" i="5"/>
  <c r="O165" i="5"/>
  <c r="H164" i="5"/>
  <c r="I164" i="5"/>
  <c r="L164" i="5"/>
  <c r="O164" i="5"/>
  <c r="H163" i="5"/>
  <c r="I163" i="5"/>
  <c r="L163" i="5"/>
  <c r="O163" i="5"/>
  <c r="H162" i="5"/>
  <c r="I162" i="5"/>
  <c r="L162" i="5"/>
  <c r="O162" i="5"/>
  <c r="H161" i="5"/>
  <c r="I161" i="5"/>
  <c r="L161" i="5"/>
  <c r="O161" i="5"/>
  <c r="H160" i="5"/>
  <c r="I160" i="5"/>
  <c r="L160" i="5"/>
  <c r="O160" i="5"/>
  <c r="H159" i="5"/>
  <c r="I159" i="5"/>
  <c r="L159" i="5"/>
  <c r="O159" i="5"/>
  <c r="H158" i="5"/>
  <c r="I158" i="5"/>
  <c r="L158" i="5"/>
  <c r="O158" i="5"/>
  <c r="H157" i="5"/>
  <c r="I157" i="5"/>
  <c r="L157" i="5"/>
  <c r="O157" i="5"/>
  <c r="H156" i="5"/>
  <c r="I156" i="5"/>
  <c r="L156" i="5"/>
  <c r="O156" i="5"/>
  <c r="H155" i="5"/>
  <c r="I155" i="5"/>
  <c r="L155" i="5"/>
  <c r="O155" i="5"/>
  <c r="H154" i="5"/>
  <c r="I154" i="5"/>
  <c r="L154" i="5"/>
  <c r="O154" i="5"/>
  <c r="H153" i="5"/>
  <c r="I153" i="5"/>
  <c r="L153" i="5"/>
  <c r="O153" i="5"/>
  <c r="H152" i="5"/>
  <c r="I152" i="5"/>
  <c r="L152" i="5"/>
  <c r="O152" i="5"/>
  <c r="H151" i="5"/>
  <c r="I151" i="5"/>
  <c r="L151" i="5"/>
  <c r="O151" i="5"/>
  <c r="H150" i="5"/>
  <c r="I150" i="5"/>
  <c r="L150" i="5"/>
  <c r="O150" i="5"/>
  <c r="H149" i="5"/>
  <c r="I149" i="5"/>
  <c r="L149" i="5"/>
  <c r="O149" i="5"/>
  <c r="H148" i="5"/>
  <c r="I148" i="5"/>
  <c r="L148" i="5"/>
  <c r="O148" i="5"/>
  <c r="H147" i="5"/>
  <c r="I147" i="5"/>
  <c r="L147" i="5"/>
  <c r="O147" i="5"/>
  <c r="H146" i="5"/>
  <c r="I146" i="5"/>
  <c r="L146" i="5"/>
  <c r="O146" i="5"/>
  <c r="H145" i="5"/>
  <c r="I145" i="5"/>
  <c r="L145" i="5"/>
  <c r="O145" i="5"/>
  <c r="H144" i="5"/>
  <c r="I144" i="5"/>
  <c r="L144" i="5"/>
  <c r="O144" i="5"/>
  <c r="H143" i="5"/>
  <c r="I143" i="5"/>
  <c r="L143" i="5"/>
  <c r="O143" i="5"/>
  <c r="H142" i="5"/>
  <c r="I142" i="5"/>
  <c r="L142" i="5"/>
  <c r="O142" i="5"/>
  <c r="H141" i="5"/>
  <c r="I141" i="5"/>
  <c r="L141" i="5"/>
  <c r="O141" i="5"/>
  <c r="H140" i="5"/>
  <c r="I140" i="5"/>
  <c r="L140" i="5"/>
  <c r="O140" i="5"/>
  <c r="H139" i="5"/>
  <c r="I139" i="5"/>
  <c r="L139" i="5"/>
  <c r="O139" i="5"/>
  <c r="H138" i="5"/>
  <c r="I138" i="5"/>
  <c r="L138" i="5"/>
  <c r="O138" i="5"/>
  <c r="H137" i="5"/>
  <c r="I137" i="5"/>
  <c r="L137" i="5"/>
  <c r="O137" i="5"/>
  <c r="H136" i="5"/>
  <c r="I136" i="5"/>
  <c r="L136" i="5"/>
  <c r="O136" i="5"/>
  <c r="H135" i="5"/>
  <c r="I135" i="5"/>
  <c r="L135" i="5"/>
  <c r="O135" i="5"/>
  <c r="H134" i="5"/>
  <c r="I134" i="5"/>
  <c r="L134" i="5"/>
  <c r="O134" i="5"/>
  <c r="H133" i="5"/>
  <c r="I133" i="5"/>
  <c r="L133" i="5"/>
  <c r="O133" i="5"/>
  <c r="H132" i="5"/>
  <c r="I132" i="5"/>
  <c r="L132" i="5"/>
  <c r="O132" i="5"/>
  <c r="H131" i="5"/>
  <c r="I131" i="5"/>
  <c r="L131" i="5"/>
  <c r="O131" i="5"/>
  <c r="H130" i="5"/>
  <c r="I130" i="5"/>
  <c r="L130" i="5"/>
  <c r="O130" i="5"/>
  <c r="H129" i="5"/>
  <c r="I129" i="5"/>
  <c r="L129" i="5"/>
  <c r="O129" i="5"/>
  <c r="H128" i="5"/>
  <c r="I128" i="5"/>
  <c r="L128" i="5"/>
  <c r="O128" i="5"/>
  <c r="H127" i="5"/>
  <c r="I127" i="5"/>
  <c r="L127" i="5"/>
  <c r="O127" i="5"/>
  <c r="H126" i="5"/>
  <c r="I126" i="5"/>
  <c r="L126" i="5"/>
  <c r="O126" i="5"/>
  <c r="H125" i="5"/>
  <c r="I125" i="5"/>
  <c r="L125" i="5"/>
  <c r="O125" i="5"/>
  <c r="H124" i="5"/>
  <c r="I124" i="5"/>
  <c r="L124" i="5"/>
  <c r="O124" i="5"/>
  <c r="H123" i="5"/>
  <c r="I123" i="5"/>
  <c r="L123" i="5"/>
  <c r="O123" i="5"/>
  <c r="H122" i="5"/>
  <c r="I122" i="5"/>
  <c r="L122" i="5"/>
  <c r="O122" i="5"/>
  <c r="H121" i="5"/>
  <c r="I121" i="5"/>
  <c r="L121" i="5"/>
  <c r="O121" i="5"/>
  <c r="H120" i="5"/>
  <c r="I120" i="5"/>
  <c r="L120" i="5"/>
  <c r="O120" i="5"/>
  <c r="H119" i="5"/>
  <c r="I119" i="5"/>
  <c r="L119" i="5"/>
  <c r="O119" i="5"/>
  <c r="H118" i="5"/>
  <c r="I118" i="5"/>
  <c r="L118" i="5"/>
  <c r="O118" i="5"/>
  <c r="H117" i="5"/>
  <c r="I117" i="5"/>
  <c r="L117" i="5"/>
  <c r="O117" i="5"/>
  <c r="H116" i="5"/>
  <c r="I116" i="5"/>
  <c r="L116" i="5"/>
  <c r="O116" i="5"/>
  <c r="H115" i="5"/>
  <c r="I115" i="5"/>
  <c r="L115" i="5"/>
  <c r="O115" i="5"/>
  <c r="H114" i="5"/>
  <c r="I114" i="5"/>
  <c r="L114" i="5"/>
  <c r="O114" i="5"/>
  <c r="H113" i="5"/>
  <c r="I113" i="5"/>
  <c r="L113" i="5"/>
  <c r="O113" i="5"/>
  <c r="H112" i="5"/>
  <c r="I112" i="5"/>
  <c r="L112" i="5"/>
  <c r="O112" i="5"/>
  <c r="H111" i="5"/>
  <c r="I111" i="5"/>
  <c r="L111" i="5"/>
  <c r="O111" i="5"/>
  <c r="H110" i="5"/>
  <c r="I110" i="5"/>
  <c r="L110" i="5"/>
  <c r="O110" i="5"/>
  <c r="H109" i="5"/>
  <c r="I109" i="5"/>
  <c r="L109" i="5"/>
  <c r="O109" i="5"/>
  <c r="H108" i="5"/>
  <c r="I108" i="5"/>
  <c r="L108" i="5"/>
  <c r="O108" i="5"/>
  <c r="H107" i="5"/>
  <c r="I107" i="5"/>
  <c r="L107" i="5"/>
  <c r="O107" i="5"/>
  <c r="H106" i="5"/>
  <c r="I106" i="5"/>
  <c r="L106" i="5"/>
  <c r="O106" i="5"/>
  <c r="H105" i="5"/>
  <c r="I105" i="5"/>
  <c r="L105" i="5"/>
  <c r="O105" i="5"/>
  <c r="H104" i="5"/>
  <c r="I104" i="5"/>
  <c r="L104" i="5"/>
  <c r="O104" i="5"/>
  <c r="H103" i="5"/>
  <c r="I103" i="5"/>
  <c r="L103" i="5"/>
  <c r="O103" i="5"/>
  <c r="H102" i="5"/>
  <c r="I102" i="5"/>
  <c r="L102" i="5"/>
  <c r="O102" i="5"/>
  <c r="H101" i="5"/>
  <c r="I101" i="5"/>
  <c r="L101" i="5"/>
  <c r="O101" i="5"/>
  <c r="H100" i="5"/>
  <c r="I100" i="5"/>
  <c r="L100" i="5"/>
  <c r="O100" i="5"/>
  <c r="H99" i="5"/>
  <c r="I99" i="5"/>
  <c r="L99" i="5"/>
  <c r="O99" i="5"/>
  <c r="H98" i="5"/>
  <c r="I98" i="5"/>
  <c r="L98" i="5"/>
  <c r="O98" i="5"/>
  <c r="H97" i="5"/>
  <c r="I97" i="5"/>
  <c r="L97" i="5"/>
  <c r="O97" i="5"/>
  <c r="H96" i="5"/>
  <c r="I96" i="5"/>
  <c r="L96" i="5"/>
  <c r="O96" i="5"/>
  <c r="H95" i="5"/>
  <c r="I95" i="5"/>
  <c r="L95" i="5"/>
  <c r="O95" i="5"/>
  <c r="H94" i="5"/>
  <c r="I94" i="5"/>
  <c r="L94" i="5"/>
  <c r="O94" i="5"/>
  <c r="H93" i="5"/>
  <c r="I93" i="5"/>
  <c r="L93" i="5"/>
  <c r="O93" i="5"/>
  <c r="H92" i="5"/>
  <c r="I92" i="5"/>
  <c r="L92" i="5"/>
  <c r="O92" i="5"/>
  <c r="H91" i="5"/>
  <c r="I91" i="5"/>
  <c r="L91" i="5"/>
  <c r="O91" i="5"/>
  <c r="H90" i="5"/>
  <c r="I90" i="5"/>
  <c r="L90" i="5"/>
  <c r="O90" i="5"/>
  <c r="H89" i="5"/>
  <c r="I89" i="5"/>
  <c r="L89" i="5"/>
  <c r="O89" i="5"/>
  <c r="H88" i="5"/>
  <c r="I88" i="5"/>
  <c r="L88" i="5"/>
  <c r="O88" i="5"/>
  <c r="H87" i="5"/>
  <c r="I87" i="5"/>
  <c r="L87" i="5"/>
  <c r="O87" i="5"/>
  <c r="H86" i="5"/>
  <c r="I86" i="5"/>
  <c r="L86" i="5"/>
  <c r="O86" i="5"/>
  <c r="H85" i="5"/>
  <c r="I85" i="5"/>
  <c r="L85" i="5"/>
  <c r="O85" i="5"/>
  <c r="H84" i="5"/>
  <c r="I84" i="5"/>
  <c r="L84" i="5"/>
  <c r="O84" i="5"/>
  <c r="H83" i="5"/>
  <c r="I83" i="5"/>
  <c r="L83" i="5"/>
  <c r="O83" i="5"/>
  <c r="H82" i="5"/>
  <c r="I82" i="5"/>
  <c r="L82" i="5"/>
  <c r="O82" i="5"/>
  <c r="H81" i="5"/>
  <c r="I81" i="5"/>
  <c r="L81" i="5"/>
  <c r="O81" i="5"/>
  <c r="H80" i="5"/>
  <c r="I80" i="5"/>
  <c r="L80" i="5"/>
  <c r="O80" i="5"/>
  <c r="H79" i="5"/>
  <c r="I79" i="5"/>
  <c r="L79" i="5"/>
  <c r="O79" i="5"/>
  <c r="H78" i="5"/>
  <c r="I78" i="5"/>
  <c r="L78" i="5"/>
  <c r="O78" i="5"/>
  <c r="H77" i="5"/>
  <c r="I77" i="5"/>
  <c r="L77" i="5"/>
  <c r="O77" i="5"/>
  <c r="H76" i="5"/>
  <c r="I76" i="5"/>
  <c r="L76" i="5"/>
  <c r="O76" i="5"/>
  <c r="H75" i="5"/>
  <c r="I75" i="5"/>
  <c r="L75" i="5"/>
  <c r="O75" i="5"/>
  <c r="H74" i="5"/>
  <c r="I74" i="5"/>
  <c r="L74" i="5"/>
  <c r="O74" i="5"/>
  <c r="H73" i="5"/>
  <c r="I73" i="5"/>
  <c r="L73" i="5"/>
  <c r="O73" i="5"/>
  <c r="H72" i="5"/>
  <c r="I72" i="5"/>
  <c r="L72" i="5"/>
  <c r="O72" i="5"/>
  <c r="H71" i="5"/>
  <c r="I71" i="5"/>
  <c r="L71" i="5"/>
  <c r="O71" i="5"/>
  <c r="H70" i="5"/>
  <c r="I70" i="5"/>
  <c r="L70" i="5"/>
  <c r="O70" i="5"/>
  <c r="H69" i="5"/>
  <c r="I69" i="5"/>
  <c r="L69" i="5"/>
  <c r="O69" i="5"/>
  <c r="H68" i="5"/>
  <c r="I68" i="5"/>
  <c r="L68" i="5"/>
  <c r="O68" i="5"/>
  <c r="H67" i="5"/>
  <c r="I67" i="5"/>
  <c r="L67" i="5"/>
  <c r="O67" i="5"/>
  <c r="H66" i="5"/>
  <c r="I66" i="5"/>
  <c r="L66" i="5"/>
  <c r="O66" i="5"/>
  <c r="H65" i="5"/>
  <c r="I65" i="5"/>
  <c r="L65" i="5"/>
  <c r="O65" i="5"/>
  <c r="H64" i="5"/>
  <c r="I64" i="5"/>
  <c r="L64" i="5"/>
  <c r="O64" i="5"/>
  <c r="H63" i="5"/>
  <c r="I63" i="5"/>
  <c r="L63" i="5"/>
  <c r="O63" i="5"/>
  <c r="H62" i="5"/>
  <c r="I62" i="5"/>
  <c r="L62" i="5"/>
  <c r="O62" i="5"/>
  <c r="H61" i="5"/>
  <c r="I61" i="5"/>
  <c r="L61" i="5"/>
  <c r="O61" i="5"/>
  <c r="H60" i="5"/>
  <c r="I60" i="5"/>
  <c r="L60" i="5"/>
  <c r="O60" i="5"/>
  <c r="H59" i="5"/>
  <c r="I59" i="5"/>
  <c r="L59" i="5"/>
  <c r="O59" i="5"/>
  <c r="H58" i="5"/>
  <c r="I58" i="5"/>
  <c r="L58" i="5"/>
  <c r="O58" i="5"/>
  <c r="H57" i="5"/>
  <c r="I57" i="5"/>
  <c r="L57" i="5"/>
  <c r="O57" i="5"/>
  <c r="H56" i="5"/>
  <c r="I56" i="5"/>
  <c r="L56" i="5"/>
  <c r="O56" i="5"/>
  <c r="H55" i="5"/>
  <c r="I55" i="5"/>
  <c r="L55" i="5"/>
  <c r="O55" i="5"/>
  <c r="H54" i="5"/>
  <c r="I54" i="5"/>
  <c r="L54" i="5"/>
  <c r="O54" i="5"/>
  <c r="H53" i="5"/>
  <c r="I53" i="5"/>
  <c r="L53" i="5"/>
  <c r="O53" i="5"/>
  <c r="H52" i="5"/>
  <c r="I52" i="5"/>
  <c r="L52" i="5"/>
  <c r="O52" i="5"/>
  <c r="H51" i="5"/>
  <c r="I51" i="5"/>
  <c r="L51" i="5"/>
  <c r="O51" i="5"/>
  <c r="H50" i="5"/>
  <c r="I50" i="5"/>
  <c r="L50" i="5"/>
  <c r="O50" i="5"/>
  <c r="H49" i="5"/>
  <c r="I49" i="5"/>
  <c r="L49" i="5"/>
  <c r="O49" i="5"/>
  <c r="H48" i="5"/>
  <c r="I48" i="5"/>
  <c r="L48" i="5"/>
  <c r="O48" i="5"/>
  <c r="H47" i="5"/>
  <c r="I47" i="5"/>
  <c r="L47" i="5"/>
  <c r="O47" i="5"/>
  <c r="H46" i="5"/>
  <c r="I46" i="5"/>
  <c r="L46" i="5"/>
  <c r="O46" i="5"/>
  <c r="H45" i="5"/>
  <c r="I45" i="5"/>
  <c r="L45" i="5"/>
  <c r="O45" i="5"/>
  <c r="H44" i="5"/>
  <c r="I44" i="5"/>
  <c r="L44" i="5"/>
  <c r="O44" i="5"/>
  <c r="H43" i="5"/>
  <c r="I43" i="5"/>
  <c r="L43" i="5"/>
  <c r="O43" i="5"/>
  <c r="H42" i="5"/>
  <c r="I42" i="5"/>
  <c r="L42" i="5"/>
  <c r="O42" i="5"/>
  <c r="H41" i="5"/>
  <c r="I41" i="5"/>
  <c r="L41" i="5"/>
  <c r="O41" i="5"/>
  <c r="H40" i="5"/>
  <c r="I40" i="5"/>
  <c r="L40" i="5"/>
  <c r="O40" i="5"/>
  <c r="H39" i="5"/>
  <c r="I39" i="5"/>
  <c r="L39" i="5"/>
  <c r="O39" i="5"/>
  <c r="H38" i="5"/>
  <c r="I38" i="5"/>
  <c r="L38" i="5"/>
  <c r="O38" i="5"/>
  <c r="H37" i="5"/>
  <c r="I37" i="5"/>
  <c r="L37" i="5"/>
  <c r="O37" i="5"/>
  <c r="H36" i="5"/>
  <c r="I36" i="5"/>
  <c r="L36" i="5"/>
  <c r="O36" i="5"/>
  <c r="H35" i="5"/>
  <c r="I35" i="5"/>
  <c r="L35" i="5"/>
  <c r="O35" i="5"/>
  <c r="H34" i="5"/>
  <c r="I34" i="5"/>
  <c r="L34" i="5"/>
  <c r="O34" i="5"/>
  <c r="H33" i="5"/>
  <c r="I33" i="5"/>
  <c r="L33" i="5"/>
  <c r="O33" i="5"/>
  <c r="H32" i="5"/>
  <c r="I32" i="5"/>
  <c r="L32" i="5"/>
  <c r="O32" i="5"/>
  <c r="H31" i="5"/>
  <c r="I31" i="5"/>
  <c r="L31" i="5"/>
  <c r="O31" i="5"/>
  <c r="H30" i="5"/>
  <c r="I30" i="5"/>
  <c r="L30" i="5"/>
  <c r="O30" i="5"/>
  <c r="H29" i="5"/>
  <c r="I29" i="5"/>
  <c r="L29" i="5"/>
  <c r="O29" i="5"/>
  <c r="H28" i="5"/>
  <c r="I28" i="5"/>
  <c r="L28" i="5"/>
  <c r="O28" i="5"/>
  <c r="H27" i="5"/>
  <c r="I27" i="5"/>
  <c r="L27" i="5"/>
  <c r="O27" i="5"/>
  <c r="H26" i="5"/>
  <c r="I26" i="5"/>
  <c r="L26" i="5"/>
  <c r="O26" i="5"/>
  <c r="H25" i="5"/>
  <c r="I25" i="5"/>
  <c r="L25" i="5"/>
  <c r="O25" i="5"/>
  <c r="H24" i="5"/>
  <c r="I24" i="5"/>
  <c r="L24" i="5"/>
  <c r="O24" i="5"/>
  <c r="H23" i="5"/>
  <c r="I23" i="5"/>
  <c r="L23" i="5"/>
  <c r="O23" i="5"/>
  <c r="H22" i="5"/>
  <c r="I22" i="5"/>
  <c r="L22" i="5"/>
  <c r="O22" i="5"/>
  <c r="H21" i="5"/>
  <c r="I21" i="5"/>
  <c r="L21" i="5"/>
  <c r="O21" i="5"/>
  <c r="H20" i="5"/>
  <c r="I20" i="5"/>
  <c r="L20" i="5"/>
  <c r="O20" i="5"/>
  <c r="H19" i="5"/>
  <c r="I19" i="5"/>
  <c r="L19" i="5"/>
  <c r="O19" i="5"/>
  <c r="H18" i="5"/>
  <c r="I18" i="5"/>
  <c r="L18" i="5"/>
  <c r="O18" i="5"/>
  <c r="H17" i="5"/>
  <c r="I17" i="5"/>
  <c r="L17" i="5"/>
  <c r="O17" i="5"/>
  <c r="H16" i="5"/>
  <c r="I16" i="5"/>
  <c r="L16" i="5"/>
  <c r="O16" i="5"/>
  <c r="H15" i="5"/>
  <c r="I15" i="5"/>
  <c r="L15" i="5"/>
  <c r="O15" i="5"/>
  <c r="H14" i="5"/>
  <c r="I14" i="5"/>
  <c r="L14" i="5"/>
  <c r="O14" i="5"/>
  <c r="H13" i="5"/>
  <c r="I13" i="5"/>
  <c r="L13" i="5"/>
  <c r="O13" i="5"/>
  <c r="H12" i="5"/>
  <c r="I12" i="5"/>
  <c r="L12" i="5"/>
  <c r="O12" i="5"/>
  <c r="H11" i="5"/>
  <c r="I11" i="5"/>
  <c r="L11" i="5"/>
  <c r="O11" i="5"/>
  <c r="H10" i="5"/>
  <c r="I10" i="5"/>
  <c r="L10" i="5"/>
  <c r="O10" i="5"/>
  <c r="H9" i="5"/>
  <c r="I9" i="5"/>
  <c r="L9" i="5"/>
  <c r="O9" i="5"/>
  <c r="H8" i="5"/>
  <c r="I8" i="5"/>
  <c r="L8" i="5"/>
  <c r="O8" i="5"/>
  <c r="H7" i="5"/>
  <c r="I7" i="5"/>
  <c r="L7" i="5"/>
  <c r="O7" i="5"/>
  <c r="H6" i="5"/>
  <c r="I6" i="5"/>
  <c r="L6" i="5"/>
  <c r="O6" i="5"/>
  <c r="H5" i="5"/>
  <c r="I5" i="5"/>
  <c r="L5" i="5"/>
  <c r="O5" i="5"/>
  <c r="H4" i="5"/>
  <c r="I4" i="5"/>
  <c r="L4" i="5"/>
  <c r="O4" i="5"/>
  <c r="H3" i="5"/>
  <c r="I3" i="5"/>
  <c r="L3" i="5"/>
  <c r="O3" i="5"/>
  <c r="H2" i="5"/>
  <c r="I2" i="5"/>
  <c r="L2" i="5"/>
  <c r="F279" i="4"/>
  <c r="D281" i="4"/>
  <c r="Q279" i="4"/>
  <c r="O281" i="4"/>
  <c r="G273" i="4"/>
  <c r="H273" i="4"/>
  <c r="K273" i="4"/>
  <c r="N273" i="4"/>
  <c r="G272" i="4"/>
  <c r="H272" i="4"/>
  <c r="K272" i="4"/>
  <c r="N272" i="4"/>
  <c r="G271" i="4"/>
  <c r="H271" i="4"/>
  <c r="K271" i="4"/>
  <c r="N271" i="4"/>
  <c r="G270" i="4"/>
  <c r="H270" i="4"/>
  <c r="K270" i="4"/>
  <c r="N270" i="4"/>
  <c r="G269" i="4"/>
  <c r="H269" i="4"/>
  <c r="K269" i="4"/>
  <c r="N269" i="4"/>
  <c r="G268" i="4"/>
  <c r="H268" i="4"/>
  <c r="K268" i="4"/>
  <c r="N268" i="4"/>
  <c r="G267" i="4"/>
  <c r="H267" i="4"/>
  <c r="K267" i="4"/>
  <c r="N267" i="4"/>
  <c r="G266" i="4"/>
  <c r="H266" i="4"/>
  <c r="K266" i="4"/>
  <c r="N266" i="4"/>
  <c r="G265" i="4"/>
  <c r="H265" i="4"/>
  <c r="K265" i="4"/>
  <c r="N265" i="4"/>
  <c r="G264" i="4"/>
  <c r="H264" i="4"/>
  <c r="K264" i="4"/>
  <c r="N264" i="4"/>
  <c r="G263" i="4"/>
  <c r="H263" i="4"/>
  <c r="K263" i="4"/>
  <c r="N263" i="4"/>
  <c r="G262" i="4"/>
  <c r="H262" i="4"/>
  <c r="K262" i="4"/>
  <c r="N262" i="4"/>
  <c r="G261" i="4"/>
  <c r="H261" i="4"/>
  <c r="K261" i="4"/>
  <c r="N261" i="4"/>
  <c r="G260" i="4"/>
  <c r="H260" i="4"/>
  <c r="K260" i="4"/>
  <c r="N260" i="4"/>
  <c r="G259" i="4"/>
  <c r="H259" i="4"/>
  <c r="K259" i="4"/>
  <c r="N259" i="4"/>
  <c r="G258" i="4"/>
  <c r="H258" i="4"/>
  <c r="K258" i="4"/>
  <c r="N258" i="4"/>
  <c r="G257" i="4"/>
  <c r="H257" i="4"/>
  <c r="K257" i="4"/>
  <c r="N257" i="4"/>
  <c r="G256" i="4"/>
  <c r="H256" i="4"/>
  <c r="K256" i="4"/>
  <c r="N256" i="4"/>
  <c r="G255" i="4"/>
  <c r="H255" i="4"/>
  <c r="K255" i="4"/>
  <c r="N255" i="4"/>
  <c r="G254" i="4"/>
  <c r="H254" i="4"/>
  <c r="K254" i="4"/>
  <c r="N254" i="4"/>
  <c r="G253" i="4"/>
  <c r="H253" i="4"/>
  <c r="K253" i="4"/>
  <c r="N253" i="4"/>
  <c r="G252" i="4"/>
  <c r="H252" i="4"/>
  <c r="K252" i="4"/>
  <c r="N252" i="4"/>
  <c r="G251" i="4"/>
  <c r="H251" i="4"/>
  <c r="K251" i="4"/>
  <c r="N251" i="4"/>
  <c r="G250" i="4"/>
  <c r="H250" i="4"/>
  <c r="K250" i="4"/>
  <c r="N250" i="4"/>
  <c r="G249" i="4"/>
  <c r="H249" i="4"/>
  <c r="K249" i="4"/>
  <c r="N249" i="4"/>
  <c r="G248" i="4"/>
  <c r="H248" i="4"/>
  <c r="K248" i="4"/>
  <c r="N248" i="4"/>
  <c r="G247" i="4"/>
  <c r="H247" i="4"/>
  <c r="K247" i="4"/>
  <c r="N247" i="4"/>
  <c r="G246" i="4"/>
  <c r="H246" i="4"/>
  <c r="K246" i="4"/>
  <c r="N246" i="4"/>
  <c r="G245" i="4"/>
  <c r="H245" i="4"/>
  <c r="K245" i="4"/>
  <c r="N245" i="4"/>
  <c r="G244" i="4"/>
  <c r="H244" i="4"/>
  <c r="K244" i="4"/>
  <c r="N244" i="4"/>
  <c r="G243" i="4"/>
  <c r="H243" i="4"/>
  <c r="K243" i="4"/>
  <c r="N243" i="4"/>
  <c r="G242" i="4"/>
  <c r="H242" i="4"/>
  <c r="K242" i="4"/>
  <c r="N242" i="4"/>
  <c r="G241" i="4"/>
  <c r="H241" i="4"/>
  <c r="K241" i="4"/>
  <c r="N241" i="4"/>
  <c r="G240" i="4"/>
  <c r="H240" i="4"/>
  <c r="K240" i="4"/>
  <c r="N240" i="4"/>
  <c r="G239" i="4"/>
  <c r="H239" i="4"/>
  <c r="K239" i="4"/>
  <c r="N239" i="4"/>
  <c r="G238" i="4"/>
  <c r="H238" i="4"/>
  <c r="K238" i="4"/>
  <c r="N238" i="4"/>
  <c r="G237" i="4"/>
  <c r="H237" i="4"/>
  <c r="K237" i="4"/>
  <c r="N237" i="4"/>
  <c r="G236" i="4"/>
  <c r="H236" i="4"/>
  <c r="K236" i="4"/>
  <c r="N236" i="4"/>
  <c r="G235" i="4"/>
  <c r="H235" i="4"/>
  <c r="K235" i="4"/>
  <c r="N235" i="4"/>
  <c r="G234" i="4"/>
  <c r="H234" i="4"/>
  <c r="K234" i="4"/>
  <c r="N234" i="4"/>
  <c r="G233" i="4"/>
  <c r="H233" i="4"/>
  <c r="K233" i="4"/>
  <c r="N233" i="4"/>
  <c r="G232" i="4"/>
  <c r="H232" i="4"/>
  <c r="K232" i="4"/>
  <c r="N232" i="4"/>
  <c r="G231" i="4"/>
  <c r="H231" i="4"/>
  <c r="K231" i="4"/>
  <c r="N231" i="4"/>
  <c r="G230" i="4"/>
  <c r="H230" i="4"/>
  <c r="K230" i="4"/>
  <c r="N230" i="4"/>
  <c r="G229" i="4"/>
  <c r="H229" i="4"/>
  <c r="K229" i="4"/>
  <c r="N229" i="4"/>
  <c r="G228" i="4"/>
  <c r="H228" i="4"/>
  <c r="K228" i="4"/>
  <c r="N228" i="4"/>
  <c r="G227" i="4"/>
  <c r="H227" i="4"/>
  <c r="K227" i="4"/>
  <c r="N227" i="4"/>
  <c r="G226" i="4"/>
  <c r="H226" i="4"/>
  <c r="K226" i="4"/>
  <c r="N226" i="4"/>
  <c r="G225" i="4"/>
  <c r="H225" i="4"/>
  <c r="K225" i="4"/>
  <c r="N225" i="4"/>
  <c r="G224" i="4"/>
  <c r="H224" i="4"/>
  <c r="K224" i="4"/>
  <c r="N224" i="4"/>
  <c r="G223" i="4"/>
  <c r="H223" i="4"/>
  <c r="K223" i="4"/>
  <c r="N223" i="4"/>
  <c r="G222" i="4"/>
  <c r="H222" i="4"/>
  <c r="K222" i="4"/>
  <c r="N222" i="4"/>
  <c r="G221" i="4"/>
  <c r="H221" i="4"/>
  <c r="K221" i="4"/>
  <c r="N221" i="4"/>
  <c r="G220" i="4"/>
  <c r="H220" i="4"/>
  <c r="K220" i="4"/>
  <c r="N220" i="4"/>
  <c r="G219" i="4"/>
  <c r="H219" i="4"/>
  <c r="K219" i="4"/>
  <c r="N219" i="4"/>
  <c r="G218" i="4"/>
  <c r="H218" i="4"/>
  <c r="K218" i="4"/>
  <c r="N218" i="4"/>
  <c r="G217" i="4"/>
  <c r="H217" i="4"/>
  <c r="K217" i="4"/>
  <c r="N217" i="4"/>
  <c r="G216" i="4"/>
  <c r="H216" i="4"/>
  <c r="K216" i="4"/>
  <c r="N216" i="4"/>
  <c r="G215" i="4"/>
  <c r="H215" i="4"/>
  <c r="K215" i="4"/>
  <c r="N215" i="4"/>
  <c r="G214" i="4"/>
  <c r="H214" i="4"/>
  <c r="K214" i="4"/>
  <c r="N214" i="4"/>
  <c r="G213" i="4"/>
  <c r="H213" i="4"/>
  <c r="K213" i="4"/>
  <c r="N213" i="4"/>
  <c r="G212" i="4"/>
  <c r="H212" i="4"/>
  <c r="K212" i="4"/>
  <c r="N212" i="4"/>
  <c r="G211" i="4"/>
  <c r="H211" i="4"/>
  <c r="K211" i="4"/>
  <c r="N211" i="4"/>
  <c r="G210" i="4"/>
  <c r="H210" i="4"/>
  <c r="K210" i="4"/>
  <c r="N210" i="4"/>
  <c r="G209" i="4"/>
  <c r="H209" i="4"/>
  <c r="K209" i="4"/>
  <c r="N209" i="4"/>
  <c r="G208" i="4"/>
  <c r="H208" i="4"/>
  <c r="K208" i="4"/>
  <c r="N208" i="4"/>
  <c r="G207" i="4"/>
  <c r="H207" i="4"/>
  <c r="K207" i="4"/>
  <c r="N207" i="4"/>
  <c r="G206" i="4"/>
  <c r="H206" i="4"/>
  <c r="K206" i="4"/>
  <c r="N206" i="4"/>
  <c r="G205" i="4"/>
  <c r="H205" i="4"/>
  <c r="K205" i="4"/>
  <c r="N205" i="4"/>
  <c r="G204" i="4"/>
  <c r="H204" i="4"/>
  <c r="K204" i="4"/>
  <c r="N204" i="4"/>
  <c r="G203" i="4"/>
  <c r="H203" i="4"/>
  <c r="K203" i="4"/>
  <c r="N203" i="4"/>
  <c r="G202" i="4"/>
  <c r="H202" i="4"/>
  <c r="K202" i="4"/>
  <c r="N202" i="4"/>
  <c r="G201" i="4"/>
  <c r="H201" i="4"/>
  <c r="K201" i="4"/>
  <c r="N201" i="4"/>
  <c r="G200" i="4"/>
  <c r="H200" i="4"/>
  <c r="K200" i="4"/>
  <c r="N200" i="4"/>
  <c r="H199" i="4"/>
  <c r="G199" i="4"/>
  <c r="K199" i="4"/>
  <c r="N199" i="4"/>
  <c r="G198" i="4"/>
  <c r="H198" i="4"/>
  <c r="K198" i="4"/>
  <c r="N198" i="4"/>
  <c r="G197" i="4"/>
  <c r="H197" i="4"/>
  <c r="K197" i="4"/>
  <c r="N197" i="4"/>
  <c r="G196" i="4"/>
  <c r="H196" i="4"/>
  <c r="K196" i="4"/>
  <c r="N196" i="4"/>
  <c r="G195" i="4"/>
  <c r="H195" i="4"/>
  <c r="K195" i="4"/>
  <c r="N195" i="4"/>
  <c r="G194" i="4"/>
  <c r="H194" i="4"/>
  <c r="K194" i="4"/>
  <c r="N194" i="4"/>
  <c r="G193" i="4"/>
  <c r="H193" i="4"/>
  <c r="K193" i="4"/>
  <c r="N193" i="4"/>
  <c r="G192" i="4"/>
  <c r="H192" i="4"/>
  <c r="K192" i="4"/>
  <c r="N192" i="4"/>
  <c r="K191" i="4"/>
  <c r="N191" i="4"/>
  <c r="G191" i="4"/>
  <c r="H191" i="4"/>
  <c r="G190" i="4"/>
  <c r="H190" i="4"/>
  <c r="K190" i="4"/>
  <c r="N190" i="4"/>
  <c r="G189" i="4"/>
  <c r="H189" i="4"/>
  <c r="K189" i="4"/>
  <c r="N189" i="4"/>
  <c r="G188" i="4"/>
  <c r="H188" i="4"/>
  <c r="K188" i="4"/>
  <c r="N188" i="4"/>
  <c r="G187" i="4"/>
  <c r="H187" i="4"/>
  <c r="K187" i="4"/>
  <c r="N187" i="4"/>
  <c r="G186" i="4"/>
  <c r="H186" i="4"/>
  <c r="K186" i="4"/>
  <c r="N186" i="4"/>
  <c r="G185" i="4"/>
  <c r="H185" i="4"/>
  <c r="K185" i="4"/>
  <c r="N185" i="4"/>
  <c r="G184" i="4"/>
  <c r="H184" i="4"/>
  <c r="K184" i="4"/>
  <c r="N184" i="4"/>
  <c r="G183" i="4"/>
  <c r="H183" i="4"/>
  <c r="K183" i="4"/>
  <c r="N183" i="4"/>
  <c r="G182" i="4"/>
  <c r="H182" i="4"/>
  <c r="K182" i="4"/>
  <c r="N182" i="4"/>
  <c r="G181" i="4"/>
  <c r="H181" i="4"/>
  <c r="K181" i="4"/>
  <c r="N181" i="4"/>
  <c r="G180" i="4"/>
  <c r="H180" i="4"/>
  <c r="K180" i="4"/>
  <c r="N180" i="4"/>
  <c r="G179" i="4"/>
  <c r="H179" i="4"/>
  <c r="K179" i="4"/>
  <c r="N179" i="4"/>
  <c r="G178" i="4"/>
  <c r="H178" i="4"/>
  <c r="K178" i="4"/>
  <c r="N178" i="4"/>
  <c r="G177" i="4"/>
  <c r="H177" i="4"/>
  <c r="K177" i="4"/>
  <c r="N177" i="4"/>
  <c r="G176" i="4"/>
  <c r="H176" i="4"/>
  <c r="K176" i="4"/>
  <c r="N176" i="4"/>
  <c r="G175" i="4"/>
  <c r="H175" i="4"/>
  <c r="K175" i="4"/>
  <c r="N175" i="4"/>
  <c r="G174" i="4"/>
  <c r="H174" i="4"/>
  <c r="K174" i="4"/>
  <c r="N174" i="4"/>
  <c r="G173" i="4"/>
  <c r="H173" i="4"/>
  <c r="K173" i="4"/>
  <c r="N173" i="4"/>
  <c r="G172" i="4"/>
  <c r="H172" i="4"/>
  <c r="K172" i="4"/>
  <c r="N172" i="4"/>
  <c r="K171" i="4"/>
  <c r="N171" i="4"/>
  <c r="G171" i="4"/>
  <c r="H171" i="4"/>
  <c r="G170" i="4"/>
  <c r="H170" i="4"/>
  <c r="K170" i="4"/>
  <c r="N170" i="4"/>
  <c r="G169" i="4"/>
  <c r="H169" i="4"/>
  <c r="K169" i="4"/>
  <c r="N169" i="4"/>
  <c r="G168" i="4"/>
  <c r="H168" i="4"/>
  <c r="K168" i="4"/>
  <c r="N168" i="4"/>
  <c r="G167" i="4"/>
  <c r="H167" i="4"/>
  <c r="K167" i="4"/>
  <c r="N167" i="4"/>
  <c r="N166" i="4"/>
  <c r="G166" i="4"/>
  <c r="H166" i="4"/>
  <c r="K166" i="4"/>
  <c r="G165" i="4"/>
  <c r="H165" i="4"/>
  <c r="K165" i="4"/>
  <c r="N165" i="4"/>
  <c r="G164" i="4"/>
  <c r="H164" i="4"/>
  <c r="K164" i="4"/>
  <c r="N164" i="4"/>
  <c r="G163" i="4"/>
  <c r="H163" i="4"/>
  <c r="K163" i="4"/>
  <c r="N163" i="4"/>
  <c r="G162" i="4"/>
  <c r="H162" i="4"/>
  <c r="K162" i="4"/>
  <c r="N162" i="4"/>
  <c r="G161" i="4"/>
  <c r="H161" i="4"/>
  <c r="K161" i="4"/>
  <c r="N161" i="4"/>
  <c r="G160" i="4"/>
  <c r="H160" i="4"/>
  <c r="K160" i="4"/>
  <c r="N160" i="4"/>
  <c r="G159" i="4"/>
  <c r="H159" i="4"/>
  <c r="K159" i="4"/>
  <c r="N159" i="4"/>
  <c r="G158" i="4"/>
  <c r="H158" i="4"/>
  <c r="K158" i="4"/>
  <c r="N158" i="4"/>
  <c r="G157" i="4"/>
  <c r="H157" i="4"/>
  <c r="K157" i="4"/>
  <c r="N157" i="4"/>
  <c r="G156" i="4"/>
  <c r="H156" i="4"/>
  <c r="K156" i="4"/>
  <c r="N156" i="4"/>
  <c r="G155" i="4"/>
  <c r="H155" i="4"/>
  <c r="K155" i="4"/>
  <c r="N155" i="4"/>
  <c r="G154" i="4"/>
  <c r="H154" i="4"/>
  <c r="K154" i="4"/>
  <c r="N154" i="4"/>
  <c r="G153" i="4"/>
  <c r="H153" i="4"/>
  <c r="K153" i="4"/>
  <c r="N153" i="4"/>
  <c r="G152" i="4"/>
  <c r="H152" i="4"/>
  <c r="K152" i="4"/>
  <c r="N152" i="4"/>
  <c r="G151" i="4"/>
  <c r="H151" i="4"/>
  <c r="K151" i="4"/>
  <c r="N151" i="4"/>
  <c r="G150" i="4"/>
  <c r="H150" i="4"/>
  <c r="K150" i="4"/>
  <c r="N150" i="4"/>
  <c r="G149" i="4"/>
  <c r="H149" i="4"/>
  <c r="K149" i="4"/>
  <c r="N149" i="4"/>
  <c r="G148" i="4"/>
  <c r="H148" i="4"/>
  <c r="K148" i="4"/>
  <c r="N148" i="4"/>
  <c r="G147" i="4"/>
  <c r="H147" i="4"/>
  <c r="K147" i="4"/>
  <c r="N147" i="4"/>
  <c r="H146" i="4"/>
  <c r="N146" i="4"/>
  <c r="G146" i="4"/>
  <c r="K146" i="4"/>
  <c r="G145" i="4"/>
  <c r="H145" i="4"/>
  <c r="K145" i="4"/>
  <c r="N145" i="4"/>
  <c r="G144" i="4"/>
  <c r="H144" i="4"/>
  <c r="K144" i="4"/>
  <c r="N144" i="4"/>
  <c r="H143" i="4"/>
  <c r="K143" i="4"/>
  <c r="N143" i="4"/>
  <c r="G143" i="4"/>
  <c r="G142" i="4"/>
  <c r="H142" i="4"/>
  <c r="K142" i="4"/>
  <c r="N142" i="4"/>
  <c r="G141" i="4"/>
  <c r="H141" i="4"/>
  <c r="K141" i="4"/>
  <c r="N141" i="4"/>
  <c r="G140" i="4"/>
  <c r="H140" i="4"/>
  <c r="K140" i="4"/>
  <c r="N140" i="4"/>
  <c r="G139" i="4"/>
  <c r="H139" i="4"/>
  <c r="K139" i="4"/>
  <c r="N139" i="4"/>
  <c r="G138" i="4"/>
  <c r="H138" i="4"/>
  <c r="K138" i="4"/>
  <c r="N138" i="4"/>
  <c r="G137" i="4"/>
  <c r="H137" i="4"/>
  <c r="K137" i="4"/>
  <c r="N137" i="4"/>
  <c r="G136" i="4"/>
  <c r="H136" i="4"/>
  <c r="K136" i="4"/>
  <c r="N136" i="4"/>
  <c r="G135" i="4"/>
  <c r="H135" i="4"/>
  <c r="N135" i="4"/>
  <c r="K135" i="4"/>
  <c r="G134" i="4"/>
  <c r="H134" i="4"/>
  <c r="K134" i="4"/>
  <c r="N134" i="4"/>
  <c r="G133" i="4"/>
  <c r="H133" i="4"/>
  <c r="K133" i="4"/>
  <c r="N133" i="4"/>
  <c r="G132" i="4"/>
  <c r="H132" i="4"/>
  <c r="K132" i="4"/>
  <c r="N132" i="4"/>
  <c r="G131" i="4"/>
  <c r="H131" i="4"/>
  <c r="K131" i="4"/>
  <c r="N131" i="4"/>
  <c r="G130" i="4"/>
  <c r="H130" i="4"/>
  <c r="K130" i="4"/>
  <c r="N130" i="4"/>
  <c r="G129" i="4"/>
  <c r="H129" i="4"/>
  <c r="K129" i="4"/>
  <c r="N129" i="4"/>
  <c r="G128" i="4"/>
  <c r="H128" i="4"/>
  <c r="K128" i="4"/>
  <c r="N128" i="4"/>
  <c r="G127" i="4"/>
  <c r="H127" i="4"/>
  <c r="K127" i="4"/>
  <c r="N127" i="4"/>
  <c r="G126" i="4"/>
  <c r="H126" i="4"/>
  <c r="K126" i="4"/>
  <c r="N126" i="4"/>
  <c r="G125" i="4"/>
  <c r="H125" i="4"/>
  <c r="K125" i="4"/>
  <c r="N125" i="4"/>
  <c r="G124" i="4"/>
  <c r="H124" i="4"/>
  <c r="K124" i="4"/>
  <c r="N124" i="4"/>
  <c r="G123" i="4"/>
  <c r="H123" i="4"/>
  <c r="K123" i="4"/>
  <c r="N123" i="4"/>
  <c r="G122" i="4"/>
  <c r="H122" i="4"/>
  <c r="K122" i="4"/>
  <c r="N122" i="4"/>
  <c r="G121" i="4"/>
  <c r="H121" i="4"/>
  <c r="K121" i="4"/>
  <c r="N121" i="4"/>
  <c r="G120" i="4"/>
  <c r="H120" i="4"/>
  <c r="K120" i="4"/>
  <c r="N120" i="4"/>
  <c r="G119" i="4"/>
  <c r="H119" i="4"/>
  <c r="K119" i="4"/>
  <c r="N119" i="4"/>
  <c r="G118" i="4"/>
  <c r="H118" i="4"/>
  <c r="K118" i="4"/>
  <c r="N118" i="4"/>
  <c r="G117" i="4"/>
  <c r="H117" i="4"/>
  <c r="K117" i="4"/>
  <c r="N117" i="4"/>
  <c r="G116" i="4"/>
  <c r="H116" i="4"/>
  <c r="K116" i="4"/>
  <c r="N116" i="4"/>
  <c r="G115" i="4"/>
  <c r="H115" i="4"/>
  <c r="K115" i="4"/>
  <c r="N115" i="4"/>
  <c r="G114" i="4"/>
  <c r="H114" i="4"/>
  <c r="K114" i="4"/>
  <c r="N114" i="4"/>
  <c r="G113" i="4"/>
  <c r="H113" i="4"/>
  <c r="K113" i="4"/>
  <c r="N113" i="4"/>
  <c r="G112" i="4"/>
  <c r="H112" i="4"/>
  <c r="K112" i="4"/>
  <c r="N112" i="4"/>
  <c r="G111" i="4"/>
  <c r="H111" i="4"/>
  <c r="K111" i="4"/>
  <c r="N111" i="4"/>
  <c r="G110" i="4"/>
  <c r="H110" i="4"/>
  <c r="K110" i="4"/>
  <c r="N110" i="4"/>
  <c r="G109" i="4"/>
  <c r="H109" i="4"/>
  <c r="K109" i="4"/>
  <c r="N109" i="4"/>
  <c r="G108" i="4"/>
  <c r="H108" i="4"/>
  <c r="K108" i="4"/>
  <c r="N108" i="4"/>
  <c r="G107" i="4"/>
  <c r="H107" i="4"/>
  <c r="K107" i="4"/>
  <c r="N107" i="4"/>
  <c r="G106" i="4"/>
  <c r="H106" i="4"/>
  <c r="K106" i="4"/>
  <c r="N106" i="4"/>
  <c r="G105" i="4"/>
  <c r="H105" i="4"/>
  <c r="K105" i="4"/>
  <c r="N105" i="4"/>
  <c r="G104" i="4"/>
  <c r="H104" i="4"/>
  <c r="K104" i="4"/>
  <c r="N104" i="4"/>
  <c r="G103" i="4"/>
  <c r="H103" i="4"/>
  <c r="K103" i="4"/>
  <c r="N103" i="4"/>
  <c r="G102" i="4"/>
  <c r="H102" i="4"/>
  <c r="K102" i="4"/>
  <c r="N102" i="4"/>
  <c r="G101" i="4"/>
  <c r="H101" i="4"/>
  <c r="K101" i="4"/>
  <c r="N101" i="4"/>
  <c r="G100" i="4"/>
  <c r="H100" i="4"/>
  <c r="K100" i="4"/>
  <c r="N100" i="4"/>
  <c r="G99" i="4"/>
  <c r="H99" i="4"/>
  <c r="K99" i="4"/>
  <c r="N99" i="4"/>
  <c r="G98" i="4"/>
  <c r="H98" i="4"/>
  <c r="K98" i="4"/>
  <c r="N98" i="4"/>
  <c r="G97" i="4"/>
  <c r="H97" i="4"/>
  <c r="K97" i="4"/>
  <c r="N97" i="4"/>
  <c r="G96" i="4"/>
  <c r="H96" i="4"/>
  <c r="K96" i="4"/>
  <c r="N96" i="4"/>
  <c r="G95" i="4"/>
  <c r="H95" i="4"/>
  <c r="K95" i="4"/>
  <c r="N95" i="4"/>
  <c r="G94" i="4"/>
  <c r="H94" i="4"/>
  <c r="K94" i="4"/>
  <c r="N94" i="4"/>
  <c r="G93" i="4"/>
  <c r="H93" i="4"/>
  <c r="K93" i="4"/>
  <c r="N93" i="4"/>
  <c r="G92" i="4"/>
  <c r="H92" i="4"/>
  <c r="K92" i="4"/>
  <c r="N92" i="4"/>
  <c r="G91" i="4"/>
  <c r="H91" i="4"/>
  <c r="K91" i="4"/>
  <c r="N91" i="4"/>
  <c r="G90" i="4"/>
  <c r="H90" i="4"/>
  <c r="K90" i="4"/>
  <c r="N90" i="4"/>
  <c r="G89" i="4"/>
  <c r="H89" i="4"/>
  <c r="K89" i="4"/>
  <c r="N89" i="4"/>
  <c r="G88" i="4"/>
  <c r="H88" i="4"/>
  <c r="K88" i="4"/>
  <c r="N88" i="4"/>
  <c r="G87" i="4"/>
  <c r="H87" i="4"/>
  <c r="K87" i="4"/>
  <c r="N87" i="4"/>
  <c r="G86" i="4"/>
  <c r="H86" i="4"/>
  <c r="K86" i="4"/>
  <c r="N86" i="4"/>
  <c r="G85" i="4"/>
  <c r="H85" i="4"/>
  <c r="K85" i="4"/>
  <c r="N85" i="4"/>
  <c r="G84" i="4"/>
  <c r="H84" i="4"/>
  <c r="K84" i="4"/>
  <c r="N84" i="4"/>
  <c r="G83" i="4"/>
  <c r="H83" i="4"/>
  <c r="K83" i="4"/>
  <c r="N83" i="4"/>
  <c r="G82" i="4"/>
  <c r="H82" i="4"/>
  <c r="K82" i="4"/>
  <c r="N82" i="4"/>
  <c r="G81" i="4"/>
  <c r="H81" i="4"/>
  <c r="K81" i="4"/>
  <c r="N81" i="4"/>
  <c r="G80" i="4"/>
  <c r="H80" i="4"/>
  <c r="K80" i="4"/>
  <c r="N80" i="4"/>
  <c r="G79" i="4"/>
  <c r="H79" i="4"/>
  <c r="K79" i="4"/>
  <c r="N79" i="4"/>
  <c r="G78" i="4"/>
  <c r="H78" i="4"/>
  <c r="K78" i="4"/>
  <c r="N78" i="4"/>
  <c r="G77" i="4"/>
  <c r="H77" i="4"/>
  <c r="K77" i="4"/>
  <c r="N77" i="4"/>
  <c r="G76" i="4"/>
  <c r="H76" i="4"/>
  <c r="K76" i="4"/>
  <c r="N76" i="4"/>
  <c r="G75" i="4"/>
  <c r="H75" i="4"/>
  <c r="K75" i="4"/>
  <c r="N75" i="4"/>
  <c r="G74" i="4"/>
  <c r="H74" i="4"/>
  <c r="K74" i="4"/>
  <c r="N74" i="4"/>
  <c r="G73" i="4"/>
  <c r="H73" i="4"/>
  <c r="K73" i="4"/>
  <c r="N73" i="4"/>
  <c r="G72" i="4"/>
  <c r="H72" i="4"/>
  <c r="K72" i="4"/>
  <c r="N72" i="4"/>
  <c r="G71" i="4"/>
  <c r="H71" i="4"/>
  <c r="K71" i="4"/>
  <c r="N71" i="4"/>
  <c r="G70" i="4"/>
  <c r="H70" i="4"/>
  <c r="K70" i="4"/>
  <c r="N70" i="4"/>
  <c r="G69" i="4"/>
  <c r="H69" i="4"/>
  <c r="K69" i="4"/>
  <c r="N69" i="4"/>
  <c r="G68" i="4"/>
  <c r="H68" i="4"/>
  <c r="K68" i="4"/>
  <c r="N68" i="4"/>
  <c r="G67" i="4"/>
  <c r="H67" i="4"/>
  <c r="K67" i="4"/>
  <c r="N67" i="4"/>
  <c r="G66" i="4"/>
  <c r="H66" i="4"/>
  <c r="K66" i="4"/>
  <c r="N66" i="4"/>
  <c r="G65" i="4"/>
  <c r="H65" i="4"/>
  <c r="K65" i="4"/>
  <c r="N65" i="4"/>
  <c r="G64" i="4"/>
  <c r="H64" i="4"/>
  <c r="K64" i="4"/>
  <c r="N64" i="4"/>
  <c r="G63" i="4"/>
  <c r="H63" i="4"/>
  <c r="K63" i="4"/>
  <c r="N63" i="4"/>
  <c r="G62" i="4"/>
  <c r="H62" i="4"/>
  <c r="K62" i="4"/>
  <c r="N62" i="4"/>
  <c r="G61" i="4"/>
  <c r="H61" i="4"/>
  <c r="K61" i="4"/>
  <c r="N61" i="4"/>
  <c r="G60" i="4"/>
  <c r="H60" i="4"/>
  <c r="K60" i="4"/>
  <c r="N60" i="4"/>
  <c r="G59" i="4"/>
  <c r="H59" i="4"/>
  <c r="K59" i="4"/>
  <c r="N59" i="4"/>
  <c r="G58" i="4"/>
  <c r="H58" i="4"/>
  <c r="K58" i="4"/>
  <c r="N58" i="4"/>
  <c r="G57" i="4"/>
  <c r="H57" i="4"/>
  <c r="K57" i="4"/>
  <c r="N57" i="4"/>
  <c r="G56" i="4"/>
  <c r="H56" i="4"/>
  <c r="K56" i="4"/>
  <c r="N56" i="4"/>
  <c r="G55" i="4"/>
  <c r="H55" i="4"/>
  <c r="K55" i="4"/>
  <c r="N55" i="4"/>
  <c r="G54" i="4"/>
  <c r="H54" i="4"/>
  <c r="K54" i="4"/>
  <c r="N54" i="4"/>
  <c r="G53" i="4"/>
  <c r="H53" i="4"/>
  <c r="K53" i="4"/>
  <c r="N53" i="4"/>
  <c r="G52" i="4"/>
  <c r="H52" i="4"/>
  <c r="K52" i="4"/>
  <c r="N52" i="4"/>
  <c r="G51" i="4"/>
  <c r="H51" i="4"/>
  <c r="K51" i="4"/>
  <c r="N51" i="4"/>
  <c r="G50" i="4"/>
  <c r="H50" i="4"/>
  <c r="K50" i="4"/>
  <c r="N50" i="4"/>
  <c r="G49" i="4"/>
  <c r="H49" i="4"/>
  <c r="K49" i="4"/>
  <c r="N49" i="4"/>
  <c r="G48" i="4"/>
  <c r="H48" i="4"/>
  <c r="K48" i="4"/>
  <c r="N48" i="4"/>
  <c r="G47" i="4"/>
  <c r="H47" i="4"/>
  <c r="K47" i="4"/>
  <c r="N47" i="4"/>
  <c r="G46" i="4"/>
  <c r="H46" i="4"/>
  <c r="K46" i="4"/>
  <c r="N46" i="4"/>
  <c r="G45" i="4"/>
  <c r="H45" i="4"/>
  <c r="K45" i="4"/>
  <c r="N45" i="4"/>
  <c r="G44" i="4"/>
  <c r="H44" i="4"/>
  <c r="K44" i="4"/>
  <c r="N44" i="4"/>
  <c r="G43" i="4"/>
  <c r="H43" i="4"/>
  <c r="K43" i="4"/>
  <c r="N43" i="4"/>
  <c r="G42" i="4"/>
  <c r="H42" i="4"/>
  <c r="K42" i="4"/>
  <c r="N42" i="4"/>
  <c r="G41" i="4"/>
  <c r="H41" i="4"/>
  <c r="K41" i="4"/>
  <c r="N41" i="4"/>
  <c r="G40" i="4"/>
  <c r="H40" i="4"/>
  <c r="K40" i="4"/>
  <c r="N40" i="4"/>
  <c r="G39" i="4"/>
  <c r="H39" i="4"/>
  <c r="K39" i="4"/>
  <c r="N39" i="4"/>
  <c r="G38" i="4"/>
  <c r="H38" i="4"/>
  <c r="K38" i="4"/>
  <c r="N38" i="4"/>
  <c r="G37" i="4"/>
  <c r="H37" i="4"/>
  <c r="K37" i="4"/>
  <c r="N37" i="4"/>
  <c r="G36" i="4"/>
  <c r="H36" i="4"/>
  <c r="K36" i="4"/>
  <c r="N36" i="4"/>
  <c r="G35" i="4"/>
  <c r="H35" i="4"/>
  <c r="K35" i="4"/>
  <c r="N35" i="4"/>
  <c r="G34" i="4"/>
  <c r="H34" i="4"/>
  <c r="K34" i="4"/>
  <c r="N34" i="4"/>
  <c r="G33" i="4"/>
  <c r="H33" i="4"/>
  <c r="K33" i="4"/>
  <c r="N33" i="4"/>
  <c r="G32" i="4"/>
  <c r="H32" i="4"/>
  <c r="K32" i="4"/>
  <c r="N32" i="4"/>
  <c r="G31" i="4"/>
  <c r="H31" i="4"/>
  <c r="K31" i="4"/>
  <c r="N31" i="4"/>
  <c r="G30" i="4"/>
  <c r="H30" i="4"/>
  <c r="K30" i="4"/>
  <c r="N30" i="4"/>
  <c r="G29" i="4"/>
  <c r="H29" i="4"/>
  <c r="K29" i="4"/>
  <c r="N29" i="4"/>
  <c r="G28" i="4"/>
  <c r="H28" i="4"/>
  <c r="K28" i="4"/>
  <c r="N28" i="4"/>
  <c r="G27" i="4"/>
  <c r="H27" i="4"/>
  <c r="K27" i="4"/>
  <c r="N27" i="4"/>
  <c r="G26" i="4"/>
  <c r="H26" i="4"/>
  <c r="K26" i="4"/>
  <c r="N26" i="4"/>
  <c r="G25" i="4"/>
  <c r="H25" i="4"/>
  <c r="K25" i="4"/>
  <c r="N25" i="4"/>
  <c r="G24" i="4"/>
  <c r="H24" i="4"/>
  <c r="K24" i="4"/>
  <c r="N24" i="4"/>
  <c r="G23" i="4"/>
  <c r="H23" i="4"/>
  <c r="K23" i="4"/>
  <c r="N23" i="4"/>
  <c r="G22" i="4"/>
  <c r="H22" i="4"/>
  <c r="K22" i="4"/>
  <c r="N22" i="4"/>
  <c r="G21" i="4"/>
  <c r="H21" i="4"/>
  <c r="K21" i="4"/>
  <c r="N21" i="4"/>
  <c r="G20" i="4"/>
  <c r="H20" i="4"/>
  <c r="K20" i="4"/>
  <c r="N20" i="4"/>
  <c r="G19" i="4"/>
  <c r="H19" i="4"/>
  <c r="K19" i="4"/>
  <c r="N19" i="4"/>
  <c r="G18" i="4"/>
  <c r="H18" i="4"/>
  <c r="K18" i="4"/>
  <c r="N18" i="4"/>
  <c r="G17" i="4"/>
  <c r="H17" i="4"/>
  <c r="K17" i="4"/>
  <c r="N17" i="4"/>
  <c r="G16" i="4"/>
  <c r="H16" i="4"/>
  <c r="K16" i="4"/>
  <c r="N16" i="4"/>
  <c r="G15" i="4"/>
  <c r="H15" i="4"/>
  <c r="K15" i="4"/>
  <c r="N15" i="4"/>
  <c r="G14" i="4"/>
  <c r="H14" i="4"/>
  <c r="K14" i="4"/>
  <c r="N14" i="4"/>
  <c r="G13" i="4"/>
  <c r="H13" i="4"/>
  <c r="N13" i="4"/>
  <c r="G12" i="4"/>
  <c r="H12" i="4"/>
  <c r="N12" i="4"/>
  <c r="G11" i="4"/>
  <c r="H11" i="4"/>
  <c r="N11" i="4"/>
  <c r="G10" i="4"/>
  <c r="H10" i="4"/>
  <c r="N10" i="4"/>
  <c r="G9" i="4"/>
  <c r="H9" i="4"/>
  <c r="N9" i="4"/>
  <c r="G8" i="4"/>
  <c r="H8" i="4"/>
  <c r="N8" i="4"/>
  <c r="G7" i="4"/>
  <c r="H7" i="4"/>
  <c r="N7" i="4"/>
  <c r="G6" i="4"/>
  <c r="H6" i="4"/>
  <c r="N6" i="4"/>
  <c r="G5" i="4"/>
  <c r="H5" i="4"/>
  <c r="N5" i="4"/>
  <c r="G4" i="4"/>
  <c r="H4" i="4"/>
  <c r="N4" i="4"/>
  <c r="G3" i="4"/>
  <c r="H3" i="4"/>
  <c r="N3" i="4"/>
  <c r="O98" i="3"/>
  <c r="M100" i="3"/>
  <c r="D98" i="3"/>
  <c r="B100" i="3"/>
  <c r="E92" i="3"/>
  <c r="F92" i="3"/>
  <c r="I92" i="3"/>
  <c r="L92" i="3"/>
  <c r="E91" i="3"/>
  <c r="F91" i="3"/>
  <c r="I91" i="3"/>
  <c r="L91" i="3"/>
  <c r="E90" i="3"/>
  <c r="F90" i="3"/>
  <c r="I90" i="3"/>
  <c r="L90" i="3"/>
  <c r="E89" i="3"/>
  <c r="F89" i="3"/>
  <c r="I89" i="3"/>
  <c r="L89" i="3"/>
  <c r="E88" i="3"/>
  <c r="F88" i="3"/>
  <c r="I88" i="3"/>
  <c r="L88" i="3"/>
  <c r="E87" i="3"/>
  <c r="F87" i="3"/>
  <c r="I87" i="3"/>
  <c r="L87" i="3"/>
  <c r="E86" i="3"/>
  <c r="F86" i="3"/>
  <c r="I86" i="3"/>
  <c r="L86" i="3"/>
  <c r="E85" i="3"/>
  <c r="F85" i="3"/>
  <c r="I85" i="3"/>
  <c r="L85" i="3"/>
  <c r="E84" i="3"/>
  <c r="F84" i="3"/>
  <c r="I84" i="3"/>
  <c r="L84" i="3"/>
  <c r="E83" i="3"/>
  <c r="F83" i="3"/>
  <c r="I83" i="3"/>
  <c r="L83" i="3"/>
  <c r="E82" i="3"/>
  <c r="F82" i="3"/>
  <c r="I82" i="3"/>
  <c r="L82" i="3"/>
  <c r="E81" i="3"/>
  <c r="F81" i="3"/>
  <c r="I81" i="3"/>
  <c r="L81" i="3"/>
  <c r="E80" i="3"/>
  <c r="F80" i="3"/>
  <c r="I80" i="3"/>
  <c r="L80" i="3"/>
  <c r="E79" i="3"/>
  <c r="F79" i="3"/>
  <c r="I79" i="3"/>
  <c r="L79" i="3"/>
  <c r="E78" i="3"/>
  <c r="F78" i="3"/>
  <c r="I78" i="3"/>
  <c r="L78" i="3"/>
  <c r="E77" i="3"/>
  <c r="F77" i="3"/>
  <c r="I77" i="3"/>
  <c r="L77" i="3"/>
  <c r="E76" i="3"/>
  <c r="F76" i="3"/>
  <c r="I76" i="3"/>
  <c r="L76" i="3"/>
  <c r="E75" i="3"/>
  <c r="F75" i="3"/>
  <c r="I75" i="3"/>
  <c r="L75" i="3"/>
  <c r="E74" i="3"/>
  <c r="F74" i="3"/>
  <c r="I74" i="3"/>
  <c r="L74" i="3"/>
  <c r="E73" i="3"/>
  <c r="F73" i="3"/>
  <c r="I73" i="3"/>
  <c r="L73" i="3"/>
  <c r="E72" i="3"/>
  <c r="F72" i="3"/>
  <c r="I72" i="3"/>
  <c r="L72" i="3"/>
  <c r="E71" i="3"/>
  <c r="F71" i="3"/>
  <c r="I71" i="3"/>
  <c r="L71" i="3"/>
  <c r="E70" i="3"/>
  <c r="F70" i="3"/>
  <c r="I70" i="3"/>
  <c r="L70" i="3"/>
  <c r="E69" i="3"/>
  <c r="F69" i="3"/>
  <c r="I69" i="3"/>
  <c r="L69" i="3"/>
  <c r="E68" i="3"/>
  <c r="F68" i="3"/>
  <c r="I68" i="3"/>
  <c r="L68" i="3"/>
  <c r="E67" i="3"/>
  <c r="F67" i="3"/>
  <c r="I67" i="3"/>
  <c r="L67" i="3"/>
  <c r="E66" i="3"/>
  <c r="F66" i="3"/>
  <c r="I66" i="3"/>
  <c r="L66" i="3"/>
  <c r="E65" i="3"/>
  <c r="F65" i="3"/>
  <c r="I65" i="3"/>
  <c r="L65" i="3"/>
  <c r="E64" i="3"/>
  <c r="F64" i="3"/>
  <c r="I64" i="3"/>
  <c r="L64" i="3"/>
  <c r="E63" i="3"/>
  <c r="F63" i="3"/>
  <c r="I63" i="3"/>
  <c r="L63" i="3"/>
  <c r="E62" i="3"/>
  <c r="F62" i="3"/>
  <c r="I62" i="3"/>
  <c r="L62" i="3"/>
  <c r="E61" i="3"/>
  <c r="F61" i="3"/>
  <c r="I61" i="3"/>
  <c r="L61" i="3"/>
  <c r="E60" i="3"/>
  <c r="F60" i="3"/>
  <c r="I60" i="3"/>
  <c r="L60" i="3"/>
  <c r="E59" i="3"/>
  <c r="F59" i="3"/>
  <c r="I59" i="3"/>
  <c r="L59" i="3"/>
  <c r="E58" i="3"/>
  <c r="F58" i="3"/>
  <c r="I58" i="3"/>
  <c r="L58" i="3"/>
  <c r="E57" i="3"/>
  <c r="F57" i="3"/>
  <c r="I57" i="3"/>
  <c r="L57" i="3"/>
  <c r="E56" i="3"/>
  <c r="F56" i="3"/>
  <c r="I56" i="3"/>
  <c r="L56" i="3"/>
  <c r="E55" i="3"/>
  <c r="F55" i="3"/>
  <c r="I55" i="3"/>
  <c r="L55" i="3"/>
  <c r="E54" i="3"/>
  <c r="F54" i="3"/>
  <c r="I54" i="3"/>
  <c r="L54" i="3"/>
  <c r="E53" i="3"/>
  <c r="F53" i="3"/>
  <c r="I53" i="3"/>
  <c r="L53" i="3"/>
  <c r="E52" i="3"/>
  <c r="F52" i="3"/>
  <c r="I52" i="3"/>
  <c r="L52" i="3"/>
  <c r="E51" i="3"/>
  <c r="F51" i="3"/>
  <c r="I51" i="3"/>
  <c r="L51" i="3"/>
  <c r="E50" i="3"/>
  <c r="F50" i="3"/>
  <c r="I50" i="3"/>
  <c r="L50" i="3"/>
  <c r="E49" i="3"/>
  <c r="F49" i="3"/>
  <c r="I49" i="3"/>
  <c r="L49" i="3"/>
  <c r="E48" i="3"/>
  <c r="F48" i="3"/>
  <c r="I48" i="3"/>
  <c r="L48" i="3"/>
  <c r="E47" i="3"/>
  <c r="F47" i="3"/>
  <c r="I47" i="3"/>
  <c r="L47" i="3"/>
  <c r="E46" i="3"/>
  <c r="F46" i="3"/>
  <c r="I46" i="3"/>
  <c r="L46" i="3"/>
  <c r="E45" i="3"/>
  <c r="F45" i="3"/>
  <c r="I45" i="3"/>
  <c r="L45" i="3"/>
  <c r="E44" i="3"/>
  <c r="F44" i="3"/>
  <c r="I44" i="3"/>
  <c r="L44" i="3"/>
  <c r="F43" i="3"/>
  <c r="I43" i="3"/>
  <c r="L43" i="3"/>
  <c r="E43" i="3"/>
  <c r="E42" i="3"/>
  <c r="F42" i="3"/>
  <c r="I42" i="3"/>
  <c r="L42" i="3"/>
  <c r="E41" i="3"/>
  <c r="F41" i="3"/>
  <c r="I41" i="3"/>
  <c r="L41" i="3"/>
  <c r="E40" i="3"/>
  <c r="F40" i="3"/>
  <c r="I40" i="3"/>
  <c r="L40" i="3"/>
  <c r="E39" i="3"/>
  <c r="F39" i="3"/>
  <c r="I39" i="3"/>
  <c r="L39" i="3"/>
  <c r="E38" i="3"/>
  <c r="F38" i="3"/>
  <c r="I38" i="3"/>
  <c r="L38" i="3"/>
  <c r="E37" i="3"/>
  <c r="F37" i="3"/>
  <c r="I37" i="3"/>
  <c r="L37" i="3"/>
  <c r="I36" i="3"/>
  <c r="L36" i="3"/>
  <c r="E36" i="3"/>
  <c r="F36" i="3"/>
  <c r="F35" i="3"/>
  <c r="I35" i="3"/>
  <c r="L35" i="3"/>
  <c r="E35" i="3"/>
  <c r="E34" i="3"/>
  <c r="F34" i="3"/>
  <c r="I34" i="3"/>
  <c r="L34" i="3"/>
  <c r="E33" i="3"/>
  <c r="F33" i="3"/>
  <c r="I33" i="3"/>
  <c r="L33" i="3"/>
  <c r="E32" i="3"/>
  <c r="F32" i="3"/>
  <c r="I32" i="3"/>
  <c r="L32" i="3"/>
  <c r="E31" i="3"/>
  <c r="F31" i="3"/>
  <c r="I31" i="3"/>
  <c r="L31" i="3"/>
  <c r="E30" i="3"/>
  <c r="F30" i="3"/>
  <c r="I30" i="3"/>
  <c r="L30" i="3"/>
  <c r="E29" i="3"/>
  <c r="F29" i="3"/>
  <c r="I29" i="3"/>
  <c r="L29" i="3"/>
  <c r="E28" i="3"/>
  <c r="F28" i="3"/>
  <c r="L28" i="3"/>
  <c r="I28" i="3"/>
  <c r="E27" i="3"/>
  <c r="F27" i="3"/>
  <c r="I27" i="3"/>
  <c r="L27" i="3"/>
  <c r="L26" i="3"/>
  <c r="E26" i="3"/>
  <c r="F26" i="3"/>
  <c r="I26" i="3"/>
  <c r="E25" i="3"/>
  <c r="F25" i="3"/>
  <c r="I25" i="3"/>
  <c r="L25" i="3"/>
  <c r="E24" i="3"/>
  <c r="F24" i="3"/>
  <c r="I24" i="3"/>
  <c r="L24" i="3"/>
  <c r="E23" i="3"/>
  <c r="F23" i="3"/>
  <c r="I23" i="3"/>
  <c r="L23" i="3"/>
  <c r="F22" i="3"/>
  <c r="E22" i="3"/>
  <c r="I22" i="3"/>
  <c r="L22" i="3"/>
  <c r="E21" i="3"/>
  <c r="F21" i="3"/>
  <c r="I21" i="3"/>
  <c r="L21" i="3"/>
  <c r="F20" i="3"/>
  <c r="L20" i="3"/>
  <c r="E20" i="3"/>
  <c r="I20" i="3"/>
  <c r="E19" i="3"/>
  <c r="F19" i="3"/>
  <c r="I19" i="3"/>
  <c r="L19" i="3"/>
  <c r="E18" i="3"/>
  <c r="F18" i="3"/>
  <c r="I18" i="3"/>
  <c r="L18" i="3"/>
  <c r="E17" i="3"/>
  <c r="F17" i="3"/>
  <c r="I17" i="3"/>
  <c r="L17" i="3"/>
  <c r="E16" i="3"/>
  <c r="F16" i="3"/>
  <c r="I16" i="3"/>
  <c r="L16" i="3"/>
  <c r="E15" i="3"/>
  <c r="F15" i="3"/>
  <c r="I15" i="3"/>
  <c r="L15" i="3"/>
  <c r="F14" i="3"/>
  <c r="L14" i="3"/>
  <c r="E14" i="3"/>
  <c r="I14" i="3"/>
  <c r="E13" i="3"/>
  <c r="F13" i="3"/>
  <c r="I13" i="3"/>
  <c r="L13" i="3"/>
  <c r="E12" i="3"/>
  <c r="F12" i="3"/>
  <c r="I12" i="3"/>
  <c r="L12" i="3"/>
  <c r="E11" i="3"/>
  <c r="F11" i="3"/>
  <c r="I11" i="3"/>
  <c r="L11" i="3"/>
  <c r="F10" i="3"/>
  <c r="I10" i="3"/>
  <c r="L10" i="3"/>
  <c r="E10" i="3"/>
  <c r="E9" i="3"/>
  <c r="F9" i="3"/>
  <c r="I9" i="3"/>
  <c r="L9" i="3"/>
  <c r="E8" i="3"/>
  <c r="F8" i="3"/>
  <c r="I8" i="3"/>
  <c r="L8" i="3"/>
  <c r="E7" i="3"/>
  <c r="F7" i="3"/>
  <c r="I7" i="3"/>
  <c r="L7" i="3"/>
  <c r="E6" i="3"/>
  <c r="F6" i="3"/>
  <c r="I6" i="3"/>
  <c r="L6" i="3"/>
  <c r="F5" i="3"/>
  <c r="E5" i="3"/>
  <c r="L5" i="3"/>
  <c r="E4" i="3"/>
  <c r="F4" i="3"/>
  <c r="L4" i="3"/>
  <c r="E3" i="3"/>
  <c r="F3" i="3"/>
  <c r="L3" i="3"/>
  <c r="D31" i="2"/>
  <c r="B33" i="2"/>
  <c r="J33" i="2"/>
  <c r="L31" i="2"/>
  <c r="E25" i="2"/>
  <c r="F25" i="2"/>
  <c r="I25" i="2"/>
  <c r="E24" i="2"/>
  <c r="F24" i="2"/>
  <c r="I24" i="2"/>
  <c r="E23" i="2"/>
  <c r="F23" i="2"/>
  <c r="I23" i="2"/>
  <c r="E22" i="2"/>
  <c r="F22" i="2"/>
  <c r="I22" i="2"/>
  <c r="E21" i="2"/>
  <c r="F21" i="2"/>
  <c r="I21" i="2"/>
  <c r="E20" i="2"/>
  <c r="F20" i="2"/>
  <c r="I20" i="2"/>
  <c r="E19" i="2"/>
  <c r="I19" i="2"/>
  <c r="F19" i="2"/>
  <c r="E18" i="2"/>
  <c r="F18" i="2"/>
  <c r="I18" i="2"/>
  <c r="E17" i="2"/>
  <c r="F17" i="2"/>
  <c r="I17" i="2"/>
  <c r="E16" i="2"/>
  <c r="F16" i="2"/>
  <c r="I16" i="2"/>
  <c r="E15" i="2"/>
  <c r="F15" i="2"/>
  <c r="I15" i="2"/>
  <c r="E14" i="2"/>
  <c r="F14" i="2"/>
  <c r="I14" i="2"/>
  <c r="E13" i="2"/>
  <c r="F13" i="2"/>
  <c r="I13" i="2"/>
  <c r="E12" i="2"/>
  <c r="F12" i="2"/>
  <c r="I12" i="2"/>
  <c r="E11" i="2"/>
  <c r="F11" i="2"/>
  <c r="I11" i="2"/>
  <c r="E10" i="2"/>
  <c r="F10" i="2"/>
  <c r="I10" i="2"/>
  <c r="E9" i="2"/>
  <c r="F9" i="2"/>
  <c r="I9" i="2"/>
  <c r="E8" i="2"/>
  <c r="F8" i="2"/>
  <c r="I8" i="2"/>
  <c r="E7" i="2"/>
  <c r="F7" i="2"/>
  <c r="I7" i="2"/>
  <c r="E6" i="2"/>
  <c r="F6" i="2"/>
  <c r="I6" i="2"/>
  <c r="E5" i="2"/>
  <c r="F5" i="2"/>
  <c r="I5" i="2"/>
  <c r="E4" i="2"/>
  <c r="F4" i="2"/>
  <c r="I4" i="2"/>
  <c r="E3" i="2"/>
  <c r="F3" i="2"/>
  <c r="I3" i="2"/>
  <c r="S1592" i="5" l="1"/>
  <c r="T1592" i="5"/>
  <c r="R1594" i="5"/>
  <c r="H1592" i="5"/>
  <c r="I1592" i="5"/>
  <c r="G1594" i="5"/>
  <c r="G279" i="4"/>
  <c r="H279" i="4"/>
  <c r="F281" i="4"/>
  <c r="R279" i="4"/>
  <c r="S279" i="4"/>
  <c r="Q281" i="4"/>
  <c r="P98" i="3"/>
  <c r="Q98" i="3"/>
  <c r="O100" i="3"/>
  <c r="E98" i="3"/>
  <c r="F98" i="3"/>
  <c r="D100" i="3"/>
  <c r="E31" i="2"/>
  <c r="F31" i="2"/>
  <c r="D33" i="2"/>
  <c r="M31" i="2"/>
  <c r="N31" i="2"/>
  <c r="L33" i="2"/>
</calcChain>
</file>

<file path=xl/sharedStrings.xml><?xml version="1.0" encoding="utf-8"?>
<sst xmlns="http://schemas.openxmlformats.org/spreadsheetml/2006/main" count="11354" uniqueCount="235">
  <si>
    <t>Exchange</t>
  </si>
  <si>
    <t>Sheet</t>
  </si>
  <si>
    <t>Data From</t>
  </si>
  <si>
    <t>Data To</t>
  </si>
  <si>
    <t>Data Rows</t>
  </si>
  <si>
    <t>Index Futures Turnover Total (INR Bn)</t>
  </si>
  <si>
    <t>Index Futures Contracts Total</t>
  </si>
  <si>
    <t>Stock/Equity Futures Turnover Total (INR Bn)</t>
  </si>
  <si>
    <t>Stock/Equity Futures Contracts Total</t>
  </si>
  <si>
    <t>Total Futures Turnover Total (INR Bn)</t>
  </si>
  <si>
    <t>Total Futures Contracts Total</t>
  </si>
  <si>
    <t>NSE</t>
  </si>
  <si>
    <t>Year NSE Equity Futures</t>
  </si>
  <si>
    <t>Monthly NSE Equity Futures</t>
  </si>
  <si>
    <t>Daily NSE Equity Futures</t>
  </si>
  <si>
    <t>BSE</t>
  </si>
  <si>
    <t>Year BSE Equity Futures</t>
  </si>
  <si>
    <t>Monthly BSE Equity Futures</t>
  </si>
  <si>
    <t>Daily BSE Equity Futures</t>
  </si>
  <si>
    <t>NSE &amp; BSE daily end dates aligned?</t>
  </si>
  <si>
    <t>Reconciliation</t>
  </si>
  <si>
    <t>Aggregate</t>
  </si>
  <si>
    <t>Component Sum</t>
  </si>
  <si>
    <t>Difference</t>
  </si>
  <si>
    <t>Status</t>
  </si>
  <si>
    <t>Remarks</t>
  </si>
  <si>
    <t>NSE: Yearly vs Monthly (from first yearly FY) - Index Futures Turnover</t>
  </si>
  <si>
    <t>tolerance 0.02 INR Bn (source rounding)</t>
  </si>
  <si>
    <t>NSE: Monthly vs Daily (from daily start) - Index Futures Turnover</t>
  </si>
  <si>
    <t>BSE: Yearly vs Monthly (full history) - Index Futures Turnover</t>
  </si>
  <si>
    <t>BSE: Monthly vs Daily (from daily start) - Index Futures Turnover</t>
  </si>
  <si>
    <t>NSE: Yearly vs Monthly (from first yearly FY) - Index Futures Contracts</t>
  </si>
  <si>
    <t>counts must match exactly</t>
  </si>
  <si>
    <t>NSE: Monthly vs Daily (from daily start) - Index Futures Contracts</t>
  </si>
  <si>
    <t>BSE: Yearly vs Monthly (full history) - Index Futures Contracts</t>
  </si>
  <si>
    <t>BSE: Monthly vs Daily (from daily start) - Index Futures Contracts</t>
  </si>
  <si>
    <t>NSE: Yearly vs Monthly (from first yearly FY) - Stock/Equity Futures Turnover</t>
  </si>
  <si>
    <t>NSE: Monthly vs Daily (from daily start) - Stock/Equity Futures Turnover</t>
  </si>
  <si>
    <t>BSE: Yearly vs Monthly (full history) - Stock/Equity Futures Turnover</t>
  </si>
  <si>
    <t>BSE: Monthly vs Daily (from daily start) - Stock/Equity Futures Turnover</t>
  </si>
  <si>
    <t>NSE: Yearly vs Monthly (from first yearly FY) - Stock/Equity Futures Contracts</t>
  </si>
  <si>
    <t>NSE: Monthly vs Daily (from daily start) - Stock/Equity Futures Contracts</t>
  </si>
  <si>
    <t>BSE: Yearly vs Monthly (full history) - Stock/Equity Futures Contracts</t>
  </si>
  <si>
    <t>BSE: Monthly vs Daily (from daily start) - Stock/Equity Futures Contracts</t>
  </si>
  <si>
    <t>NSE: Yearly vs Monthly (from first yearly FY) - Total Futures Turnover</t>
  </si>
  <si>
    <t>tolerance 0.04 INR Bn (source rounding)</t>
  </si>
  <si>
    <t>NSE: Monthly vs Daily (from daily start) - Total Futures Turnover</t>
  </si>
  <si>
    <t>BSE: Yearly vs Monthly (full history) - Total Futures Turnover</t>
  </si>
  <si>
    <t>BSE: Monthly vs Daily (from daily start) - Total Futures Turnover</t>
  </si>
  <si>
    <t>NSE: Yearly vs Monthly (from first yearly FY) - Total Futures Contracts</t>
  </si>
  <si>
    <t>NSE: Monthly vs Daily (from daily start) - Total Futures Contracts</t>
  </si>
  <si>
    <t>BSE: Yearly vs Monthly (full history) - Total Futures Contracts</t>
  </si>
  <si>
    <t>BSE: Monthly vs Daily (from daily start) - Total Futures Contracts</t>
  </si>
  <si>
    <t>Notes</t>
  </si>
  <si>
    <t>Futures only (Index Futures and Stock/Equity Futures); options are excluded. Total Futures = Index + Stock/Equity per metric. Futures turnover is notional - there is no premium leg. All monetary figures in INR Bn (= published INR Crs / 100); No. of Contracts are raw counts (BSE equity futures trade only a handful of contracts a day).</t>
  </si>
  <si>
    <t>Market Share sheets: values are live SUMIFS on the data sheets at the Total Futures level; one-sided periods (e.g. BSE-only history before Apr-2009, zero-activity BSE days) show the available exchange but a BLANK total/share - never a fake 100%. Growth columns are on Turnover; YoY on in-progress periods compares partial vs full prior period.</t>
  </si>
  <si>
    <t>NSE: single source at three granularities (F&amp;O Business Growth report). Yearly starts FY2015-16, Monthly starts Apr-2009, so Yearly-vs-Monthly reconciles from the first yearly FY and the Year Mkt Share sheet fills NSE from the Monthly sheet (MAX of the two) for FY2009-15; both the in-progress month and fiscal year are published. The feed's Volume (volatility) Futures fields are zero/null over the entire history and are excluded. No. of Trading Days is derived (F&amp;O total turnover / published average, options included) - blank where the published average is internally inconsistent.</t>
  </si>
  <si>
    <t>BSE: Yearly &amp; Monthly from the Key Statistics - Derivatives Turnover page (history FY2003-04 onward); Daily from the independent Derivatives Archives Day-wise Market Summary page (product types IF / EF), so the BSE reconciliation cross-validates the two sources. BSE publishes trading-day counts directly. Days with zero futures trades have no row in the BSE daily source.</t>
  </si>
  <si>
    <t>Each Mkt Share sheet also carries a period-to-date Comparison block below the data - Year &amp; Day sheets: current-FY YTD vs the prior FY; Qrtr sheet: running quarter QTD vs the same quarter a year earlier; Mth sheet: running month MTD vs the same month a year earlier - always over the FIRST EQUAL NUMBER of NSE trading days of the prior period (matched window shown in the block, sliding forward with each refresh); live formulas on the daily data sheets, growth on NSE/BSE/Total for Turnover and Contracts.</t>
  </si>
  <si>
    <t>Colour code: BLUE = Turnover (INR Bn), GREEN = No. of Contracts; grey left borders mark the Index / Stock/Equity / Total group boundaries. On Market Share sheets the share columns show the red-to-green scale instead, and the growth block is blue (turnover-based).</t>
  </si>
  <si>
    <t>Fiscal Year</t>
  </si>
  <si>
    <t>NSE Turnover (INR Bn)</t>
  </si>
  <si>
    <t>BSE Turnover (INR Bn)</t>
  </si>
  <si>
    <t>Total Turnover (INR Bn)</t>
  </si>
  <si>
    <t>NSE Turnover Market Share</t>
  </si>
  <si>
    <t>BSE Turnover Market Share</t>
  </si>
  <si>
    <t>NSE Turnover YoY Growth</t>
  </si>
  <si>
    <t>BSE Turnover YoY Growth</t>
  </si>
  <si>
    <t>Total Turnover YoY Growth</t>
  </si>
  <si>
    <t>NSE No. of Contracts</t>
  </si>
  <si>
    <t>BSE No. of Contracts</t>
  </si>
  <si>
    <t>Total No. of Contracts</t>
  </si>
  <si>
    <t>NSE Contracts Market Share</t>
  </si>
  <si>
    <t>BSE Contracts Market Share</t>
  </si>
  <si>
    <t>2003-2004</t>
  </si>
  <si>
    <t>2004-2005</t>
  </si>
  <si>
    <t>2005-2006</t>
  </si>
  <si>
    <t>2006-2007</t>
  </si>
  <si>
    <t>2007-2008</t>
  </si>
  <si>
    <t>2008-2009</t>
  </si>
  <si>
    <t>2009-2010</t>
  </si>
  <si>
    <t>2010-2011</t>
  </si>
  <si>
    <t>2011-2012</t>
  </si>
  <si>
    <t>2012-2013</t>
  </si>
  <si>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</si>
  <si>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</si>
  <si>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</si>
  <si>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</si>
  <si>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</si>
  <si>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</si>
  <si>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</si>
  <si>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</si>
  <si>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</si>
  <si>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</si>
  <si>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</si>
  <si>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</si>
  <si>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2025-2026</t>
  </si>
  <si>
    <t>2026-2027</t>
  </si>
  <si>
    <t>YTD Comparison - FY2026-2027 YTD vs FY2025-2026 YTD (same number of trading days)</t>
  </si>
  <si>
    <t>Trading days elapsed in FY2026-2027 (per NSE daily)</t>
  </si>
  <si>
    <t>Matched FY2025-2026 window</t>
  </si>
  <si>
    <t>FY2025-2026 YTD (first N trading days)</t>
  </si>
  <si>
    <t>FY2026-2027 YTD</t>
  </si>
  <si>
    <t>YTD Growth (FY2026-2027 vs FY2025-2026)</t>
  </si>
  <si>
    <t>Qrtr - Year</t>
  </si>
  <si>
    <t>NSE Turnover QoQ Growth</t>
  </si>
  <si>
    <t>BSE Turnover QoQ Growth</t>
  </si>
  <si>
    <t>Total Turnover QoQ Growth</t>
  </si>
  <si>
    <t>Q4FY04</t>
  </si>
  <si>
    <t>Q1FY05</t>
  </si>
  <si>
    <t>Q2FY05</t>
  </si>
  <si>
    <t>Q3FY05</t>
  </si>
  <si>
    <t>Q4FY05</t>
  </si>
  <si>
    <t>Q1FY06</t>
  </si>
  <si>
    <t>Q2FY06</t>
  </si>
  <si>
    <t>Q3FY06</t>
  </si>
  <si>
    <t>Q4FY06</t>
  </si>
  <si>
    <t>Q1FY07</t>
  </si>
  <si>
    <t>Q2FY07</t>
  </si>
  <si>
    <t>Q3FY07</t>
  </si>
  <si>
    <t>Q4FY07</t>
  </si>
  <si>
    <t>Q1FY08</t>
  </si>
  <si>
    <t>Q2FY08</t>
  </si>
  <si>
    <t>Q3FY08</t>
  </si>
  <si>
    <t>Q4FY08</t>
  </si>
  <si>
    <t>Q1FY09</t>
  </si>
  <si>
    <t>Q2FY09</t>
  </si>
  <si>
    <t>Q3FY09</t>
  </si>
  <si>
    <t>Q4FY09</t>
  </si>
  <si>
    <t>Q1FY10</t>
  </si>
  <si>
    <t>Q2FY10</t>
  </si>
  <si>
    <t>Q3FY10</t>
  </si>
  <si>
    <t>Q4FY10</t>
  </si>
  <si>
    <t>Q1FY11</t>
  </si>
  <si>
    <t>Q2FY11</t>
  </si>
  <si>
    <t>Q3FY11</t>
  </si>
  <si>
    <t>Q4FY11</t>
  </si>
  <si>
    <t>Q1FY12</t>
  </si>
  <si>
    <t>Q2FY12</t>
  </si>
  <si>
    <t>Q3FY12</t>
  </si>
  <si>
    <t>Q4FY12</t>
  </si>
  <si>
    <t>Q1FY13</t>
  </si>
  <si>
    <t>Q2FY13</t>
  </si>
  <si>
    <t>Q3FY13</t>
  </si>
  <si>
    <t>Q4FY13</t>
  </si>
  <si>
    <t>Q1FY14</t>
  </si>
  <si>
    <t>Q2FY14</t>
  </si>
  <si>
    <t>Q3FY14</t>
  </si>
  <si>
    <t>Q4FY14</t>
  </si>
  <si>
    <t>Q1FY15</t>
  </si>
  <si>
    <t>Q2FY15</t>
  </si>
  <si>
    <t>Q3FY15</t>
  </si>
  <si>
    <t>Q4FY15</t>
  </si>
  <si>
    <t>Q1FY16</t>
  </si>
  <si>
    <t>Q2FY16</t>
  </si>
  <si>
    <t>Q3FY16</t>
  </si>
  <si>
    <t>Q4FY16</t>
  </si>
  <si>
    <t>Q1FY17</t>
  </si>
  <si>
    <t>Q2FY17</t>
  </si>
  <si>
    <t>Q3FY17</t>
  </si>
  <si>
    <t>Q4FY17</t>
  </si>
  <si>
    <t>Q1FY18</t>
  </si>
  <si>
    <t>Q2FY18</t>
  </si>
  <si>
    <t>Q3FY18</t>
  </si>
  <si>
    <t>Q4FY18</t>
  </si>
  <si>
    <t>Q1FY19</t>
  </si>
  <si>
    <t>Q2FY19</t>
  </si>
  <si>
    <t>Q3FY19</t>
  </si>
  <si>
    <t>Q4FY19</t>
  </si>
  <si>
    <t>Q1FY20</t>
  </si>
  <si>
    <t>Q2FY20</t>
  </si>
  <si>
    <t>Q3FY20</t>
  </si>
  <si>
    <t>Q4FY20</t>
  </si>
  <si>
    <t>Q1FY21</t>
  </si>
  <si>
    <t>Q2FY21</t>
  </si>
  <si>
    <t>Q3FY21</t>
  </si>
  <si>
    <t>Q4FY21</t>
  </si>
  <si>
    <t>Q1FY22</t>
  </si>
  <si>
    <t>Q2FY22</t>
  </si>
  <si>
    <t>Q3FY22</t>
  </si>
  <si>
    <t>Q4FY22</t>
  </si>
  <si>
    <t>Q1FY23</t>
  </si>
  <si>
    <t>Q2FY23</t>
  </si>
  <si>
    <t>Q3FY23</t>
  </si>
  <si>
    <t>Q4FY23</t>
  </si>
  <si>
    <t>Q1FY24</t>
  </si>
  <si>
    <t>Q2FY24</t>
  </si>
  <si>
    <t>Q3FY24</t>
  </si>
  <si>
    <t>Q4FY24</t>
  </si>
  <si>
    <t>Q1FY25</t>
  </si>
  <si>
    <t>Q2FY25</t>
  </si>
  <si>
    <t>Q3FY25</t>
  </si>
  <si>
    <t>Q4FY25</t>
  </si>
  <si>
    <t>Q1FY26</t>
  </si>
  <si>
    <t>Q2FY26</t>
  </si>
  <si>
    <t>Q3FY26</t>
  </si>
  <si>
    <t>Q4FY26</t>
  </si>
  <si>
    <t>Q1FY27</t>
  </si>
  <si>
    <t>Q2FY27</t>
  </si>
  <si>
    <t>QTD Comparison - Q2FY27 QTD vs Q2FY26 QTD (same number of trading days)</t>
  </si>
  <si>
    <t>Trading days elapsed in Q2FY27 (per NSE daily)</t>
  </si>
  <si>
    <t>Matched Q2FY26 window</t>
  </si>
  <si>
    <t>Q2FY26 QTD (first N trading days)</t>
  </si>
  <si>
    <t>Q2FY27 QTD</t>
  </si>
  <si>
    <t>QTD Growth (Q2FY27 vs Q2FY26)</t>
  </si>
  <si>
    <t>Month</t>
  </si>
  <si>
    <t>NSE Turnover MoM Growth</t>
  </si>
  <si>
    <t>BSE Turnover MoM Growth</t>
  </si>
  <si>
    <t>Total Turnover MoM Growth</t>
  </si>
  <si>
    <t>MTD Comparison - Aug-2026 MTD vs Aug-2025 MTD (same number of trading days)</t>
  </si>
  <si>
    <t>Trading days elapsed in Aug-2026 (per NSE daily)</t>
  </si>
  <si>
    <t>Matched Aug-2025 window</t>
  </si>
  <si>
    <t>Aug-2025 MTD (first N trading days)</t>
  </si>
  <si>
    <t>Aug-2026 MTD</t>
  </si>
  <si>
    <t>MTD Growth (Aug-2026 vs Aug-2025)</t>
  </si>
  <si>
    <t>Trade Date</t>
  </si>
  <si>
    <t>Trade Day</t>
  </si>
  <si>
    <t>Trade Month - Year</t>
  </si>
  <si>
    <t>NSE Turnover DoD Growth</t>
  </si>
  <si>
    <t>BSE Turnover DoD Growth</t>
  </si>
  <si>
    <t>Total Turnover DoD Growth</t>
  </si>
  <si>
    <t>Wednesday</t>
  </si>
  <si>
    <t>Friday</t>
  </si>
  <si>
    <t>Tuesday</t>
  </si>
  <si>
    <t>Thursday</t>
  </si>
  <si>
    <t>Monday</t>
  </si>
  <si>
    <t>Saturday</t>
  </si>
  <si>
    <t>Sunday</t>
  </si>
  <si>
    <t>Index Futures Turnover (INR Bn)</t>
  </si>
  <si>
    <t>Index Futures No. of Contracts</t>
  </si>
  <si>
    <t>Stock/Equity Futures Turnover (INR Bn)</t>
  </si>
  <si>
    <t>Stock/Equity Futures No. of Contracts</t>
  </si>
  <si>
    <t>Total Futures Turnover (INR Bn)</t>
  </si>
  <si>
    <t>Total Futures No. of Contracts</t>
  </si>
  <si>
    <t>No. of Trading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</si>
</sst>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dd\-mmm\-yyyy"/>
    <numFmt numFmtId="167" formatCode="mmm\-yyyy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DDEBF7"/>
      </patternFill>
    </fill>
    <fill>
      <patternFill patternType="solid">
        <fgColor rgb="FFC6E0B4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medium">
        <color rgb="FF808080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4" borderId="0" xfId="0" applyFont="1" applyFill="1"/>
    <xf numFmtId="0" fontId="2" fillId="0" borderId="0" xfId="0" applyFont="1"/>
    <xf numFmtId="3" fontId="2" fillId="0" borderId="0" xfId="0" applyNumberFormat="1" applyFont="1"/>
    <xf numFmtId="4" fontId="2" fillId="3" borderId="0" xfId="0" applyNumberFormat="1" applyFont="1" applyFill="1"/>
    <xf numFmtId="3" fontId="2" fillId="5" borderId="0" xfId="0" applyNumberFormat="1" applyFont="1" applyFill="1"/>
    <xf numFmtId="167" fontId="2" fillId="0" borderId="0" xfId="0" applyNumberFormat="1" applyFont="1"/>
    <xf numFmtId="165" fontId="2" fillId="0" borderId="0" xfId="0" applyNumberFormat="1" applyFont="1"/>
    <xf numFmtId="0" fontId="2" fillId="3" borderId="0" xfId="0" applyFont="1" applyFill="1"/>
    <xf numFmtId="0" fontId="2" fillId="5" borderId="0" xfId="0" applyFont="1" applyFill="1"/>
    <xf numFmtId="0" fontId="1" fillId="2" borderId="1" xfId="0" applyFont="1" applyFill="1" applyBorder="1"/>
    <xf numFmtId="0" fontId="1" fillId="4" borderId="1" xfId="0" applyFont="1" applyFill="1" applyBorder="1"/>
    <xf numFmtId="4" fontId="2" fillId="3" borderId="1" xfId="0" applyNumberFormat="1" applyFont="1" applyFill="1" applyBorder="1"/>
    <xf numFmtId="164" fontId="2" fillId="3" borderId="0" xfId="0" applyNumberFormat="1" applyFont="1" applyFill="1"/>
    <xf numFmtId="164" fontId="0" fillId="3" borderId="1" xfId="0" applyNumberFormat="1" applyFill="1" applyBorder="1"/>
    <xf numFmtId="164" fontId="0" fillId="3" borderId="0" xfId="0" applyNumberFormat="1" applyFill="1"/>
    <xf numFmtId="3" fontId="2" fillId="5" borderId="1" xfId="0" applyNumberFormat="1" applyFont="1" applyFill="1" applyBorder="1"/>
    <xf numFmtId="164" fontId="2" fillId="5" borderId="0" xfId="0" applyNumberFormat="1" applyFont="1" applyFill="1"/>
    <xf numFmtId="164" fontId="2" fillId="3" borderId="1" xfId="0" applyNumberFormat="1" applyFont="1" applyFill="1" applyBorder="1"/>
    <xf numFmtId="0" fontId="1" fillId="0" borderId="1" xfId="0" applyFont="1" applyBorder="1"/>
    <xf numFmtId="3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tabSelected="1" workbookViewId="0"/>
  </sheetViews>
  <sheetFormatPr baseColWidth="10" defaultColWidth="8.83203125" defaultRowHeight="15" x14ac:dyDescent="0.2"/>
  <cols>
    <col min="1" max="1" width="62" customWidth="1"/>
    <col min="2" max="3" width="26" customWidth="1"/>
    <col min="4" max="4" width="18" customWidth="1"/>
    <col min="5" max="5" width="10" customWidth="1"/>
    <col min="6" max="6" width="70" customWidth="1"/>
    <col min="7" max="11" width="26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3" t="s">
        <v>10</v>
      </c>
    </row>
    <row r="2" spans="1:11" x14ac:dyDescent="0.2">
      <c r="A2" s="4" t="s">
        <v>11</v>
      </c>
      <c r="B2" s="4" t="s">
        <v>12</v>
      </c>
      <c r="C2" s="4" t="str">
        <f>'Year NSE Equity Futures'!A2</f>
        <v>2015-2016</v>
      </c>
      <c r="D2" s="4" t="str">
        <f>LOOKUP(2,1/('Year NSE Equity Futures'!$A$2:$A$100000&lt;&gt;""),'Year NSE Equity Futures'!$A$2:$A$100000)</f>
        <v>2026-2027</v>
      </c>
      <c r="E2" s="5">
        <f>COUNTA('Year NSE Equity Futures'!$A:$A)-1</f>
        <v>12</v>
      </c>
      <c r="F2" s="6">
        <f>SUM('Year NSE Equity Futures'!$B:$B)</f>
        <v>784517.34710000001</v>
      </c>
      <c r="G2" s="7">
        <f>SUM('Year NSE Equity Futures'!$C:$C)</f>
        <v>1011609867</v>
      </c>
      <c r="H2" s="6">
        <f>SUM('Year NSE Equity Futures'!$D:$D)</f>
        <v>2305753.1894000005</v>
      </c>
      <c r="I2" s="7">
        <f>SUM('Year NSE Equity Futures'!$E:$E)</f>
        <v>3441743736</v>
      </c>
      <c r="J2" s="6">
        <f>SUM('Year NSE Equity Futures'!$F:$F)</f>
        <v>3090270.5364999995</v>
      </c>
      <c r="K2" s="7">
        <f>SUM('Year NSE Equity Futures'!$G:$G)</f>
        <v>4453353603</v>
      </c>
    </row>
    <row r="3" spans="1:11" x14ac:dyDescent="0.2">
      <c r="A3" s="4" t="s">
        <v>11</v>
      </c>
      <c r="B3" s="4" t="s">
        <v>13</v>
      </c>
      <c r="C3" s="8">
        <f>'Monthly NSE Equity Futures'!A2</f>
        <v>39904</v>
      </c>
      <c r="D3" s="8">
        <f>LOOKUP(2,1/('Monthly NSE Equity Futures'!$A$2:$A$100000&lt;&gt;""),'Monthly NSE Equity Futures'!$A$2:$A$100000)</f>
        <v>46235</v>
      </c>
      <c r="E3" s="5">
        <f>COUNTA('Monthly NSE Equity Futures'!$A:$A)-1</f>
        <v>209</v>
      </c>
      <c r="F3" s="6">
        <f>SUM('Monthly NSE Equity Futures'!$D:$D)</f>
        <v>1000382.7463000002</v>
      </c>
      <c r="G3" s="7">
        <f>SUM('Monthly NSE Equity Futures'!$E:$E)</f>
        <v>1831783246</v>
      </c>
      <c r="H3" s="6">
        <f>SUM('Monthly NSE Equity Futures'!$F:$F)</f>
        <v>2628059.1229999997</v>
      </c>
      <c r="I3" s="7">
        <f>SUM('Monthly NSE Equity Futures'!$G:$G)</f>
        <v>4487451646</v>
      </c>
      <c r="J3" s="6">
        <f>SUM('Monthly NSE Equity Futures'!$H:$H)</f>
        <v>3628441.8693000004</v>
      </c>
      <c r="K3" s="7">
        <f>SUM('Monthly NSE Equity Futures'!$I:$I)</f>
        <v>6319234892</v>
      </c>
    </row>
    <row r="4" spans="1:11" x14ac:dyDescent="0.2">
      <c r="A4" s="4" t="s">
        <v>11</v>
      </c>
      <c r="B4" s="4" t="s">
        <v>14</v>
      </c>
      <c r="C4" s="9">
        <f>'Daily NSE Equity Futures'!A2</f>
        <v>43922</v>
      </c>
      <c r="D4" s="9">
        <f>LOOKUP(2,1/('Daily NSE Equity Futures'!$A$2:$A$100000&lt;&gt;""),'Daily NSE Equity Futures'!$A$2:$A$100000)</f>
        <v>46254</v>
      </c>
      <c r="E4" s="5">
        <f>COUNTA('Daily NSE Equity Futures'!$A:$A)-1</f>
        <v>1585</v>
      </c>
      <c r="F4" s="6">
        <f>SUM('Daily NSE Equity Futures'!$E:$E)</f>
        <v>525019.9943999995</v>
      </c>
      <c r="G4" s="7">
        <f>SUM('Daily NSE Equity Futures'!$F:$F)</f>
        <v>582564479</v>
      </c>
      <c r="H4" s="6">
        <f>SUM('Daily NSE Equity Futures'!$G:$G)</f>
        <v>1649978.6597000004</v>
      </c>
      <c r="I4" s="7">
        <f>SUM('Daily NSE Equity Futures'!$H:$H)</f>
        <v>2306703494</v>
      </c>
      <c r="J4" s="6">
        <f>SUM('Daily NSE Equity Futures'!$I:$I)</f>
        <v>2174998.6541000004</v>
      </c>
      <c r="K4" s="7">
        <f>SUM('Daily NSE Equity Futures'!$J:$J)</f>
        <v>2889267973</v>
      </c>
    </row>
    <row r="5" spans="1:11" x14ac:dyDescent="0.2">
      <c r="A5" s="4" t="s">
        <v>15</v>
      </c>
      <c r="B5" s="4" t="s">
        <v>16</v>
      </c>
      <c r="C5" s="4" t="str">
        <f>'Year BSE Equity Futures'!A2</f>
        <v>2003-2004</v>
      </c>
      <c r="D5" s="4" t="str">
        <f>LOOKUP(2,1/('Year BSE Equity Futures'!$A$2:$A$100000&lt;&gt;""),'Year BSE Equity Futures'!$A$2:$A$100000)</f>
        <v>2026-2027</v>
      </c>
      <c r="E5" s="5">
        <f>COUNTA('Year BSE Equity Futures'!$A:$A)-1</f>
        <v>24</v>
      </c>
      <c r="F5" s="6">
        <f>SUM('Year BSE Equity Futures'!$B:$B)</f>
        <v>9596.1386000000002</v>
      </c>
      <c r="G5" s="7">
        <f>SUM('Year BSE Equity Futures'!$C:$C)</f>
        <v>27158768</v>
      </c>
      <c r="H5" s="6">
        <f>SUM('Year BSE Equity Futures'!$D:$D)</f>
        <v>944.83699999999999</v>
      </c>
      <c r="I5" s="7">
        <f>SUM('Year BSE Equity Futures'!$E:$E)</f>
        <v>3211546</v>
      </c>
      <c r="J5" s="6">
        <f>SUM('Year BSE Equity Futures'!$F:$F)</f>
        <v>10540.9756</v>
      </c>
      <c r="K5" s="7">
        <f>SUM('Year BSE Equity Futures'!$G:$G)</f>
        <v>30370314</v>
      </c>
    </row>
    <row r="6" spans="1:11" x14ac:dyDescent="0.2">
      <c r="A6" s="4" t="s">
        <v>15</v>
      </c>
      <c r="B6" s="4" t="s">
        <v>17</v>
      </c>
      <c r="C6" s="8">
        <f>'Monthly BSE Equity Futures'!A2</f>
        <v>37987</v>
      </c>
      <c r="D6" s="8">
        <f>LOOKUP(2,1/('Monthly BSE Equity Futures'!$A$2:$A$100000&lt;&gt;""),'Monthly BSE Equity Futures'!$A$2:$A$100000)</f>
        <v>46235</v>
      </c>
      <c r="E6" s="5">
        <f>COUNTA('Monthly BSE Equity Futures'!$A:$A)-1</f>
        <v>272</v>
      </c>
      <c r="F6" s="6">
        <f>SUM('Monthly BSE Equity Futures'!$D:$D)</f>
        <v>9596.13849999999</v>
      </c>
      <c r="G6" s="7">
        <f>SUM('Monthly BSE Equity Futures'!$E:$E)</f>
        <v>27158768</v>
      </c>
      <c r="H6" s="6">
        <f>SUM('Monthly BSE Equity Futures'!$F:$F)</f>
        <v>944.83710000000008</v>
      </c>
      <c r="I6" s="7">
        <f>SUM('Monthly BSE Equity Futures'!$G:$G)</f>
        <v>3211546</v>
      </c>
      <c r="J6" s="6">
        <f>SUM('Monthly BSE Equity Futures'!$H:$H)</f>
        <v>10540.975600000003</v>
      </c>
      <c r="K6" s="7">
        <f>SUM('Monthly BSE Equity Futures'!$I:$I)</f>
        <v>30370314</v>
      </c>
    </row>
    <row r="7" spans="1:11" x14ac:dyDescent="0.2">
      <c r="A7" s="4" t="s">
        <v>15</v>
      </c>
      <c r="B7" s="4" t="s">
        <v>18</v>
      </c>
      <c r="C7" s="9">
        <f>'Daily BSE Equity Futures'!A2</f>
        <v>43922</v>
      </c>
      <c r="D7" s="9">
        <f>LOOKUP(2,1/('Daily BSE Equity Futures'!$A$2:$A$100000&lt;&gt;""),'Daily BSE Equity Futures'!$A$2:$A$100000)</f>
        <v>46254</v>
      </c>
      <c r="E7" s="5">
        <f>COUNTA('Daily BSE Equity Futures'!$A:$A)-1</f>
        <v>1541</v>
      </c>
      <c r="F7" s="6">
        <f>SUM('Daily BSE Equity Futures'!$E:$E)</f>
        <v>1942.0909999999999</v>
      </c>
      <c r="G7" s="7">
        <f>SUM('Daily BSE Equity Futures'!$F:$F)</f>
        <v>1631005</v>
      </c>
      <c r="H7" s="6">
        <f>SUM('Daily BSE Equity Futures'!$G:$G)</f>
        <v>16.568399999999979</v>
      </c>
      <c r="I7" s="7">
        <f>SUM('Daily BSE Equity Futures'!$H:$H)</f>
        <v>24212</v>
      </c>
      <c r="J7" s="6">
        <f>SUM('Daily BSE Equity Futures'!$I:$I)</f>
        <v>1958.6594000000018</v>
      </c>
      <c r="K7" s="7">
        <f>SUM('Daily BSE Equity Futures'!$J:$J)</f>
        <v>1655217</v>
      </c>
    </row>
    <row r="9" spans="1:11" x14ac:dyDescent="0.2">
      <c r="A9" s="1" t="s">
        <v>19</v>
      </c>
      <c r="C9" s="4" t="str">
        <f>IF($D$4=$D$7,"YES","NO")</f>
        <v>YES</v>
      </c>
    </row>
    <row r="11" spans="1:11" x14ac:dyDescent="0.2">
      <c r="A11" s="1" t="s">
        <v>20</v>
      </c>
      <c r="B11" s="1" t="s">
        <v>21</v>
      </c>
      <c r="C11" s="1" t="s">
        <v>22</v>
      </c>
      <c r="D11" s="1" t="s">
        <v>23</v>
      </c>
      <c r="E11" s="1" t="s">
        <v>24</v>
      </c>
      <c r="F11" s="1" t="s">
        <v>25</v>
      </c>
    </row>
    <row r="12" spans="1:11" x14ac:dyDescent="0.2">
      <c r="A12" s="10" t="s">
        <v>26</v>
      </c>
      <c r="B12" s="6">
        <f>SUM('Year NSE Equity Futures'!$B:$B)</f>
        <v>784517.34710000001</v>
      </c>
      <c r="C12" s="6">
        <f>SUMIFS('Monthly NSE Equity Futures'!$D:$D,'Monthly NSE Equity Futures'!$A:$A,"&gt;="&amp;DATE(LEFT('Year NSE Equity Futures'!$A$2,4)+0,4,1))</f>
        <v>784517.3470999999</v>
      </c>
      <c r="D12" s="6">
        <f t="shared" ref="D12:D35" si="0">B12-C12</f>
        <v>0</v>
      </c>
      <c r="E12" s="10" t="str">
        <f>IF(ABS(D12)&lt;=0.02,"OK","CHECK")</f>
        <v>OK</v>
      </c>
      <c r="F12" s="10" t="s">
        <v>27</v>
      </c>
    </row>
    <row r="13" spans="1:11" x14ac:dyDescent="0.2">
      <c r="A13" s="10" t="s">
        <v>28</v>
      </c>
      <c r="B13" s="6">
        <f>SUMIFS('Monthly NSE Equity Futures'!$D:$D,'Monthly NSE Equity Futures'!$A:$A,"&gt;="&amp;DATE(YEAR($C$4),MONTH($C$4),1))</f>
        <v>525019.99440000008</v>
      </c>
      <c r="C13" s="6">
        <f>SUM('Daily NSE Equity Futures'!$E:$E)</f>
        <v>525019.9943999995</v>
      </c>
      <c r="D13" s="6">
        <f t="shared" si="0"/>
        <v>0</v>
      </c>
      <c r="E13" s="10" t="str">
        <f>IF(ABS(D13)&lt;=0.02,"OK","CHECK")</f>
        <v>OK</v>
      </c>
      <c r="F13" s="10" t="s">
        <v>27</v>
      </c>
    </row>
    <row r="14" spans="1:11" x14ac:dyDescent="0.2">
      <c r="A14" s="10" t="s">
        <v>29</v>
      </c>
      <c r="B14" s="6">
        <f>SUM('Year BSE Equity Futures'!$B:$B)</f>
        <v>9596.1386000000002</v>
      </c>
      <c r="C14" s="6">
        <f>SUM('Monthly BSE Equity Futures'!$D:$D)</f>
        <v>9596.13849999999</v>
      </c>
      <c r="D14" s="6">
        <f t="shared" si="0"/>
        <v>1.0000001020671334E-4</v>
      </c>
      <c r="E14" s="10" t="str">
        <f>IF(ABS(D14)&lt;=0.02,"OK","CHECK")</f>
        <v>OK</v>
      </c>
      <c r="F14" s="10" t="s">
        <v>27</v>
      </c>
    </row>
    <row r="15" spans="1:11" x14ac:dyDescent="0.2">
      <c r="A15" s="10" t="s">
        <v>30</v>
      </c>
      <c r="B15" s="6">
        <f>SUMIFS('Monthly BSE Equity Futures'!$D:$D,'Monthly BSE Equity Futures'!$A:$A,"&gt;="&amp;DATE(YEAR($C$7),MONTH($C$7),1))</f>
        <v>1942.0910000000001</v>
      </c>
      <c r="C15" s="6">
        <f>SUM('Daily BSE Equity Futures'!$E:$E)</f>
        <v>1942.0909999999999</v>
      </c>
      <c r="D15" s="6">
        <f t="shared" si="0"/>
        <v>0</v>
      </c>
      <c r="E15" s="10" t="str">
        <f>IF(ABS(D15)&lt;=0.02,"OK","CHECK")</f>
        <v>OK</v>
      </c>
      <c r="F15" s="10" t="s">
        <v>27</v>
      </c>
    </row>
    <row r="16" spans="1:11" x14ac:dyDescent="0.2">
      <c r="A16" s="11" t="s">
        <v>31</v>
      </c>
      <c r="B16" s="7">
        <f>SUM('Year NSE Equity Futures'!$C:$C)</f>
        <v>1011609867</v>
      </c>
      <c r="C16" s="7">
        <f>SUMIFS('Monthly NSE Equity Futures'!$E:$E,'Monthly NSE Equity Futures'!$A:$A,"&gt;="&amp;DATE(LEFT('Year NSE Equity Futures'!$A$2,4)+0,4,1))</f>
        <v>1011609867</v>
      </c>
      <c r="D16" s="7">
        <f t="shared" si="0"/>
        <v>0</v>
      </c>
      <c r="E16" s="11" t="str">
        <f>IF(ABS(D16)&lt;=0,"OK","CHECK")</f>
        <v>OK</v>
      </c>
      <c r="F16" s="11" t="s">
        <v>32</v>
      </c>
    </row>
    <row r="17" spans="1:6" x14ac:dyDescent="0.2">
      <c r="A17" s="11" t="s">
        <v>33</v>
      </c>
      <c r="B17" s="7">
        <f>SUMIFS('Monthly NSE Equity Futures'!$E:$E,'Monthly NSE Equity Futures'!$A:$A,"&gt;="&amp;DATE(YEAR($C$4),MONTH($C$4),1))</f>
        <v>582564479</v>
      </c>
      <c r="C17" s="7">
        <f>SUM('Daily NSE Equity Futures'!$F:$F)</f>
        <v>582564479</v>
      </c>
      <c r="D17" s="7">
        <f t="shared" si="0"/>
        <v>0</v>
      </c>
      <c r="E17" s="11" t="str">
        <f>IF(ABS(D17)&lt;=0,"OK","CHECK")</f>
        <v>OK</v>
      </c>
      <c r="F17" s="11" t="s">
        <v>32</v>
      </c>
    </row>
    <row r="18" spans="1:6" x14ac:dyDescent="0.2">
      <c r="A18" s="11" t="s">
        <v>34</v>
      </c>
      <c r="B18" s="7">
        <f>SUM('Year BSE Equity Futures'!$C:$C)</f>
        <v>27158768</v>
      </c>
      <c r="C18" s="7">
        <f>SUM('Monthly BSE Equity Futures'!$E:$E)</f>
        <v>27158768</v>
      </c>
      <c r="D18" s="7">
        <f t="shared" si="0"/>
        <v>0</v>
      </c>
      <c r="E18" s="11" t="str">
        <f>IF(ABS(D18)&lt;=0,"OK","CHECK")</f>
        <v>OK</v>
      </c>
      <c r="F18" s="11" t="s">
        <v>32</v>
      </c>
    </row>
    <row r="19" spans="1:6" x14ac:dyDescent="0.2">
      <c r="A19" s="11" t="s">
        <v>35</v>
      </c>
      <c r="B19" s="7">
        <f>SUMIFS('Monthly BSE Equity Futures'!$E:$E,'Monthly BSE Equity Futures'!$A:$A,"&gt;="&amp;DATE(YEAR($C$7),MONTH($C$7),1))</f>
        <v>1631005</v>
      </c>
      <c r="C19" s="7">
        <f>SUM('Daily BSE Equity Futures'!$F:$F)</f>
        <v>1631005</v>
      </c>
      <c r="D19" s="7">
        <f t="shared" si="0"/>
        <v>0</v>
      </c>
      <c r="E19" s="11" t="str">
        <f>IF(ABS(D19)&lt;=0,"OK","CHECK")</f>
        <v>OK</v>
      </c>
      <c r="F19" s="11" t="s">
        <v>32</v>
      </c>
    </row>
    <row r="20" spans="1:6" x14ac:dyDescent="0.2">
      <c r="A20" s="10" t="s">
        <v>36</v>
      </c>
      <c r="B20" s="6">
        <f>SUM('Year NSE Equity Futures'!$D:$D)</f>
        <v>2305753.1894000005</v>
      </c>
      <c r="C20" s="6">
        <f>SUMIFS('Monthly NSE Equity Futures'!$F:$F,'Monthly NSE Equity Futures'!$A:$A,"&gt;="&amp;DATE(LEFT('Year NSE Equity Futures'!$A$2,4)+0,4,1))</f>
        <v>2305753.1893999996</v>
      </c>
      <c r="D20" s="6">
        <f t="shared" si="0"/>
        <v>0</v>
      </c>
      <c r="E20" s="10" t="str">
        <f>IF(ABS(D20)&lt;=0.02,"OK","CHECK")</f>
        <v>OK</v>
      </c>
      <c r="F20" s="10" t="s">
        <v>27</v>
      </c>
    </row>
    <row r="21" spans="1:6" x14ac:dyDescent="0.2">
      <c r="A21" s="10" t="s">
        <v>37</v>
      </c>
      <c r="B21" s="6">
        <f>SUMIFS('Monthly NSE Equity Futures'!$F:$F,'Monthly NSE Equity Futures'!$A:$A,"&gt;="&amp;DATE(YEAR($C$4),MONTH($C$4),1))</f>
        <v>1649978.6596999995</v>
      </c>
      <c r="C21" s="6">
        <f>SUM('Daily NSE Equity Futures'!$G:$G)</f>
        <v>1649978.6597000004</v>
      </c>
      <c r="D21" s="6">
        <f t="shared" si="0"/>
        <v>0</v>
      </c>
      <c r="E21" s="10" t="str">
        <f>IF(ABS(D21)&lt;=0.02,"OK","CHECK")</f>
        <v>OK</v>
      </c>
      <c r="F21" s="10" t="s">
        <v>27</v>
      </c>
    </row>
    <row r="22" spans="1:6" x14ac:dyDescent="0.2">
      <c r="A22" s="10" t="s">
        <v>38</v>
      </c>
      <c r="B22" s="6">
        <f>SUM('Year BSE Equity Futures'!$D:$D)</f>
        <v>944.83699999999999</v>
      </c>
      <c r="C22" s="6">
        <f>SUM('Monthly BSE Equity Futures'!$F:$F)</f>
        <v>944.83710000000008</v>
      </c>
      <c r="D22" s="6">
        <f t="shared" si="0"/>
        <v>-1.0000000008858478E-4</v>
      </c>
      <c r="E22" s="10" t="str">
        <f>IF(ABS(D22)&lt;=0.02,"OK","CHECK")</f>
        <v>OK</v>
      </c>
      <c r="F22" s="10" t="s">
        <v>27</v>
      </c>
    </row>
    <row r="23" spans="1:6" x14ac:dyDescent="0.2">
      <c r="A23" s="10" t="s">
        <v>39</v>
      </c>
      <c r="B23" s="6">
        <f>SUMIFS('Monthly BSE Equity Futures'!$F:$F,'Monthly BSE Equity Futures'!$A:$A,"&gt;="&amp;DATE(YEAR($C$7),MONTH($C$7),1))</f>
        <v>16.568400000000004</v>
      </c>
      <c r="C23" s="6">
        <f>SUM('Daily BSE Equity Futures'!$G:$G)</f>
        <v>16.568399999999979</v>
      </c>
      <c r="D23" s="6">
        <f t="shared" si="0"/>
        <v>0</v>
      </c>
      <c r="E23" s="10" t="str">
        <f>IF(ABS(D23)&lt;=0.02,"OK","CHECK")</f>
        <v>OK</v>
      </c>
      <c r="F23" s="10" t="s">
        <v>27</v>
      </c>
    </row>
    <row r="24" spans="1:6" x14ac:dyDescent="0.2">
      <c r="A24" s="11" t="s">
        <v>40</v>
      </c>
      <c r="B24" s="7">
        <f>SUM('Year NSE Equity Futures'!$E:$E)</f>
        <v>3441743736</v>
      </c>
      <c r="C24" s="7">
        <f>SUMIFS('Monthly NSE Equity Futures'!$G:$G,'Monthly NSE Equity Futures'!$A:$A,"&gt;="&amp;DATE(LEFT('Year NSE Equity Futures'!$A$2,4)+0,4,1))</f>
        <v>3441743736</v>
      </c>
      <c r="D24" s="7">
        <f t="shared" si="0"/>
        <v>0</v>
      </c>
      <c r="E24" s="11" t="str">
        <f>IF(ABS(D24)&lt;=0,"OK","CHECK")</f>
        <v>OK</v>
      </c>
      <c r="F24" s="11" t="s">
        <v>32</v>
      </c>
    </row>
    <row r="25" spans="1:6" x14ac:dyDescent="0.2">
      <c r="A25" s="11" t="s">
        <v>41</v>
      </c>
      <c r="B25" s="7">
        <f>SUMIFS('Monthly NSE Equity Futures'!$G:$G,'Monthly NSE Equity Futures'!$A:$A,"&gt;="&amp;DATE(YEAR($C$4),MONTH($C$4),1))</f>
        <v>2306703494</v>
      </c>
      <c r="C25" s="7">
        <f>SUM('Daily NSE Equity Futures'!$H:$H)</f>
        <v>2306703494</v>
      </c>
      <c r="D25" s="7">
        <f t="shared" si="0"/>
        <v>0</v>
      </c>
      <c r="E25" s="11" t="str">
        <f>IF(ABS(D25)&lt;=0,"OK","CHECK")</f>
        <v>OK</v>
      </c>
      <c r="F25" s="11" t="s">
        <v>32</v>
      </c>
    </row>
    <row r="26" spans="1:6" x14ac:dyDescent="0.2">
      <c r="A26" s="11" t="s">
        <v>42</v>
      </c>
      <c r="B26" s="7">
        <f>SUM('Year BSE Equity Futures'!$E:$E)</f>
        <v>3211546</v>
      </c>
      <c r="C26" s="7">
        <f>SUM('Monthly BSE Equity Futures'!$G:$G)</f>
        <v>3211546</v>
      </c>
      <c r="D26" s="7">
        <f t="shared" si="0"/>
        <v>0</v>
      </c>
      <c r="E26" s="11" t="str">
        <f>IF(ABS(D26)&lt;=0,"OK","CHECK")</f>
        <v>OK</v>
      </c>
      <c r="F26" s="11" t="s">
        <v>32</v>
      </c>
    </row>
    <row r="27" spans="1:6" x14ac:dyDescent="0.2">
      <c r="A27" s="11" t="s">
        <v>43</v>
      </c>
      <c r="B27" s="7">
        <f>SUMIFS('Monthly BSE Equity Futures'!$G:$G,'Monthly BSE Equity Futures'!$A:$A,"&gt;="&amp;DATE(YEAR($C$7),MONTH($C$7),1))</f>
        <v>24212</v>
      </c>
      <c r="C27" s="7">
        <f>SUM('Daily BSE Equity Futures'!$H:$H)</f>
        <v>24212</v>
      </c>
      <c r="D27" s="7">
        <f t="shared" si="0"/>
        <v>0</v>
      </c>
      <c r="E27" s="11" t="str">
        <f>IF(ABS(D27)&lt;=0,"OK","CHECK")</f>
        <v>OK</v>
      </c>
      <c r="F27" s="11" t="s">
        <v>32</v>
      </c>
    </row>
    <row r="28" spans="1:6" x14ac:dyDescent="0.2">
      <c r="A28" s="10" t="s">
        <v>44</v>
      </c>
      <c r="B28" s="6">
        <f>SUM('Year NSE Equity Futures'!$F:$F)</f>
        <v>3090270.5364999995</v>
      </c>
      <c r="C28" s="6">
        <f>SUMIFS('Monthly NSE Equity Futures'!$H:$H,'Monthly NSE Equity Futures'!$A:$A,"&gt;="&amp;DATE(LEFT('Year NSE Equity Futures'!$A$2,4)+0,4,1))</f>
        <v>3090270.5364999995</v>
      </c>
      <c r="D28" s="6">
        <f t="shared" si="0"/>
        <v>0</v>
      </c>
      <c r="E28" s="10" t="str">
        <f>IF(ABS(D28)&lt;=0.04,"OK","CHECK")</f>
        <v>OK</v>
      </c>
      <c r="F28" s="10" t="s">
        <v>45</v>
      </c>
    </row>
    <row r="29" spans="1:6" x14ac:dyDescent="0.2">
      <c r="A29" s="10" t="s">
        <v>46</v>
      </c>
      <c r="B29" s="6">
        <f>SUMIFS('Monthly NSE Equity Futures'!$H:$H,'Monthly NSE Equity Futures'!$A:$A,"&gt;="&amp;DATE(YEAR($C$4),MONTH($C$4),1))</f>
        <v>2174998.6541000004</v>
      </c>
      <c r="C29" s="6">
        <f>SUM('Daily NSE Equity Futures'!$I:$I)</f>
        <v>2174998.6541000004</v>
      </c>
      <c r="D29" s="6">
        <f t="shared" si="0"/>
        <v>0</v>
      </c>
      <c r="E29" s="10" t="str">
        <f>IF(ABS(D29)&lt;=0.04,"OK","CHECK")</f>
        <v>OK</v>
      </c>
      <c r="F29" s="10" t="s">
        <v>45</v>
      </c>
    </row>
    <row r="30" spans="1:6" x14ac:dyDescent="0.2">
      <c r="A30" s="10" t="s">
        <v>47</v>
      </c>
      <c r="B30" s="6">
        <f>SUM('Year BSE Equity Futures'!$F:$F)</f>
        <v>10540.9756</v>
      </c>
      <c r="C30" s="6">
        <f>SUM('Monthly BSE Equity Futures'!$H:$H)</f>
        <v>10540.975600000003</v>
      </c>
      <c r="D30" s="6">
        <f t="shared" si="0"/>
        <v>0</v>
      </c>
      <c r="E30" s="10" t="str">
        <f>IF(ABS(D30)&lt;=0.04,"OK","CHECK")</f>
        <v>OK</v>
      </c>
      <c r="F30" s="10" t="s">
        <v>45</v>
      </c>
    </row>
    <row r="31" spans="1:6" x14ac:dyDescent="0.2">
      <c r="A31" s="10" t="s">
        <v>48</v>
      </c>
      <c r="B31" s="6">
        <f>SUMIFS('Monthly BSE Equity Futures'!$H:$H,'Monthly BSE Equity Futures'!$A:$A,"&gt;="&amp;DATE(YEAR($C$7),MONTH($C$7),1))</f>
        <v>1958.6593999999996</v>
      </c>
      <c r="C31" s="6">
        <f>SUM('Daily BSE Equity Futures'!$I:$I)</f>
        <v>1958.6594000000018</v>
      </c>
      <c r="D31" s="6">
        <f t="shared" si="0"/>
        <v>-2.2737367544323206E-12</v>
      </c>
      <c r="E31" s="10" t="str">
        <f>IF(ABS(D31)&lt;=0.04,"OK","CHECK")</f>
        <v>OK</v>
      </c>
      <c r="F31" s="10" t="s">
        <v>45</v>
      </c>
    </row>
    <row r="32" spans="1:6" x14ac:dyDescent="0.2">
      <c r="A32" s="11" t="s">
        <v>49</v>
      </c>
      <c r="B32" s="7">
        <f>SUM('Year NSE Equity Futures'!$G:$G)</f>
        <v>4453353603</v>
      </c>
      <c r="C32" s="7">
        <f>SUMIFS('Monthly NSE Equity Futures'!$I:$I,'Monthly NSE Equity Futures'!$A:$A,"&gt;="&amp;DATE(LEFT('Year NSE Equity Futures'!$A$2,4)+0,4,1))</f>
        <v>4453353603</v>
      </c>
      <c r="D32" s="7">
        <f t="shared" si="0"/>
        <v>0</v>
      </c>
      <c r="E32" s="11" t="str">
        <f>IF(ABS(D32)&lt;=0,"OK","CHECK")</f>
        <v>OK</v>
      </c>
      <c r="F32" s="11" t="s">
        <v>32</v>
      </c>
    </row>
    <row r="33" spans="1:6" x14ac:dyDescent="0.2">
      <c r="A33" s="11" t="s">
        <v>50</v>
      </c>
      <c r="B33" s="7">
        <f>SUMIFS('Monthly NSE Equity Futures'!$I:$I,'Monthly NSE Equity Futures'!$A:$A,"&gt;="&amp;DATE(YEAR($C$4),MONTH($C$4),1))</f>
        <v>2889267973</v>
      </c>
      <c r="C33" s="7">
        <f>SUM('Daily NSE Equity Futures'!$J:$J)</f>
        <v>2889267973</v>
      </c>
      <c r="D33" s="7">
        <f t="shared" si="0"/>
        <v>0</v>
      </c>
      <c r="E33" s="11" t="str">
        <f>IF(ABS(D33)&lt;=0,"OK","CHECK")</f>
        <v>OK</v>
      </c>
      <c r="F33" s="11" t="s">
        <v>32</v>
      </c>
    </row>
    <row r="34" spans="1:6" x14ac:dyDescent="0.2">
      <c r="A34" s="11" t="s">
        <v>51</v>
      </c>
      <c r="B34" s="7">
        <f>SUM('Year BSE Equity Futures'!$G:$G)</f>
        <v>30370314</v>
      </c>
      <c r="C34" s="7">
        <f>SUM('Monthly BSE Equity Futures'!$I:$I)</f>
        <v>30370314</v>
      </c>
      <c r="D34" s="7">
        <f t="shared" si="0"/>
        <v>0</v>
      </c>
      <c r="E34" s="11" t="str">
        <f>IF(ABS(D34)&lt;=0,"OK","CHECK")</f>
        <v>OK</v>
      </c>
      <c r="F34" s="11" t="s">
        <v>32</v>
      </c>
    </row>
    <row r="35" spans="1:6" x14ac:dyDescent="0.2">
      <c r="A35" s="11" t="s">
        <v>52</v>
      </c>
      <c r="B35" s="7">
        <f>SUMIFS('Monthly BSE Equity Futures'!$I:$I,'Monthly BSE Equity Futures'!$A:$A,"&gt;="&amp;DATE(YEAR($C$7),MONTH($C$7),1))</f>
        <v>1655217</v>
      </c>
      <c r="C35" s="7">
        <f>SUM('Daily BSE Equity Futures'!$J:$J)</f>
        <v>1655217</v>
      </c>
      <c r="D35" s="7">
        <f t="shared" si="0"/>
        <v>0</v>
      </c>
      <c r="E35" s="11" t="str">
        <f>IF(ABS(D35)&lt;=0,"OK","CHECK")</f>
        <v>OK</v>
      </c>
      <c r="F35" s="11" t="s">
        <v>32</v>
      </c>
    </row>
    <row r="37" spans="1:6" x14ac:dyDescent="0.2">
      <c r="A37" s="1" t="s">
        <v>53</v>
      </c>
    </row>
    <row r="38" spans="1:6" x14ac:dyDescent="0.2">
      <c r="A38" s="4" t="s">
        <v>54</v>
      </c>
    </row>
    <row r="39" spans="1:6" x14ac:dyDescent="0.2">
      <c r="A39" s="4" t="s">
        <v>55</v>
      </c>
    </row>
    <row r="40" spans="1:6" x14ac:dyDescent="0.2">
      <c r="A40" s="4" t="s">
        <v>56</v>
      </c>
    </row>
    <row r="41" spans="1:6" x14ac:dyDescent="0.2">
      <c r="A41" s="4" t="s">
        <v>57</v>
      </c>
    </row>
    <row r="42" spans="1:6" x14ac:dyDescent="0.2">
      <c r="A42" s="4" t="s">
        <v>58</v>
      </c>
    </row>
    <row r="43" spans="1:6" x14ac:dyDescent="0.2">
      <c r="A43" s="4" t="s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4" width="22" customWidth="1"/>
    <col min="5" max="6" width="16" customWidth="1"/>
    <col min="7" max="9" width="14" customWidth="1"/>
    <col min="10" max="12" width="22" customWidth="1"/>
    <col min="13" max="14" width="16" customWidth="1"/>
  </cols>
  <sheetData>
    <row r="1" spans="1:14" x14ac:dyDescent="0.2">
      <c r="A1" s="1" t="s">
        <v>60</v>
      </c>
      <c r="B1" s="1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12" t="s">
        <v>66</v>
      </c>
      <c r="H1" s="2" t="s">
        <v>67</v>
      </c>
      <c r="I1" s="2" t="s">
        <v>68</v>
      </c>
      <c r="J1" s="13" t="s">
        <v>69</v>
      </c>
      <c r="K1" s="3" t="s">
        <v>70</v>
      </c>
      <c r="L1" s="3" t="s">
        <v>71</v>
      </c>
      <c r="M1" s="3" t="s">
        <v>72</v>
      </c>
      <c r="N1" s="3" t="s">
        <v>73</v>
      </c>
    </row>
    <row r="2" spans="1:14" x14ac:dyDescent="0.2">
      <c r="A2" s="4" t="s">
        <v>74</v>
      </c>
      <c r="B2" s="14" t="str">
        <f>IF(MAX(SUMIFS('Year NSE Equity Futures'!$F:$F,'Year NSE Equity Futures'!$A:$A,$A2),SUMIFS('Monthly NSE Equity Futures'!$H:$H,'Monthly NSE Equity Futures'!$B:$B,$A2))=0,"",MAX(SUMIFS('Year NSE Equity Futures'!$F:$F,'Year NSE Equity Futures'!$A:$A,$A2),SUMIFS('Monthly NSE Equity Futures'!$H:$H,'Monthly NSE Equity Futures'!$B:$B,$A2)))</f>
        <v/>
      </c>
      <c r="C2" s="6">
        <f>IF(SUMIFS('Year BSE Equity Futures'!$F:$F,'Year BSE Equity Futures'!$A:$A,$A2)=0,"",SUMIFS('Year BSE Equity Futures'!$F:$F,'Year BSE Equity Futures'!$A:$A,$A2))</f>
        <v>47.6297</v>
      </c>
      <c r="D2" s="6" t="str">
        <f t="shared" ref="D2:D25" si="0">IF(OR(B2="",C2=""),"",B2+C2)</f>
        <v/>
      </c>
      <c r="E2" s="15" t="str">
        <f t="shared" ref="E2:E25" si="1">IF(D2="","",B2/D2)</f>
        <v/>
      </c>
      <c r="F2" s="15" t="str">
        <f t="shared" ref="F2:F25" si="2">IF(D2="","",C2/D2)</f>
        <v/>
      </c>
      <c r="G2" s="16"/>
      <c r="H2" s="17"/>
      <c r="I2" s="17"/>
      <c r="J2" s="18" t="str">
        <f>IF(MAX(SUMIFS('Year NSE Equity Futures'!$G:$G,'Year NSE Equity Futures'!$A:$A,$A2),SUMIFS('Monthly NSE Equity Futures'!$I:$I,'Monthly NSE Equity Futures'!$B:$B,$A2))=0,"",MAX(SUMIFS('Year NSE Equity Futures'!$G:$G,'Year NSE Equity Futures'!$A:$A,$A2),SUMIFS('Monthly NSE Equity Futures'!$I:$I,'Monthly NSE Equity Futures'!$B:$B,$A2)))</f>
        <v/>
      </c>
      <c r="K2" s="7">
        <f>IF(SUMIFS('Year BSE Equity Futures'!$G:$G,'Year BSE Equity Futures'!$A:$A,$A2)=0,"",SUMIFS('Year BSE Equity Futures'!$G:$G,'Year BSE Equity Futures'!$A:$A,$A2))</f>
        <v>137214</v>
      </c>
      <c r="L2" s="7" t="str">
        <f t="shared" ref="L2:L25" si="3">IF(OR(J2="",K2=""),"",J2+K2)</f>
        <v/>
      </c>
      <c r="M2" s="19" t="str">
        <f t="shared" ref="M2:M25" si="4">IF(L2="","",J2/L2)</f>
        <v/>
      </c>
      <c r="N2" s="19" t="str">
        <f t="shared" ref="N2:N25" si="5">IF(L2="","",K2/L2)</f>
        <v/>
      </c>
    </row>
    <row r="3" spans="1:14" x14ac:dyDescent="0.2">
      <c r="A3" s="4" t="s">
        <v>75</v>
      </c>
      <c r="B3" s="14" t="str">
        <f>IF(MAX(SUMIFS('Year NSE Equity Futures'!$F:$F,'Year NSE Equity Futures'!$A:$A,$A3),SUMIFS('Monthly NSE Equity Futures'!$H:$H,'Monthly NSE Equity Futures'!$B:$B,$A3))=0,"",MAX(SUMIFS('Year NSE Equity Futures'!$F:$F,'Year NSE Equity Futures'!$A:$A,$A3),SUMIFS('Monthly NSE Equity Futures'!$H:$H,'Monthly NSE Equity Futures'!$B:$B,$A3)))</f>
        <v/>
      </c>
      <c r="C3" s="6">
        <f>IF(SUMIFS('Year BSE Equity Futures'!$F:$F,'Year BSE Equity Futures'!$A:$A,$A3)=0,"",SUMIFS('Year BSE Equity Futures'!$F:$F,'Year BSE Equity Futures'!$A:$A,$A3))</f>
        <v>138.1251</v>
      </c>
      <c r="D3" s="6" t="str">
        <f t="shared" si="0"/>
        <v/>
      </c>
      <c r="E3" s="15" t="str">
        <f t="shared" si="1"/>
        <v/>
      </c>
      <c r="F3" s="15" t="str">
        <f t="shared" si="2"/>
        <v/>
      </c>
      <c r="G3" s="20" t="str">
        <f t="shared" ref="G3:G25" si="6">IF(OR(B3="",B2=""),"",B3/B2-1)</f>
        <v/>
      </c>
      <c r="H3" s="15">
        <f t="shared" ref="H3:H25" si="7">IF(OR(C3="",C2=""),"",C3/C2-1)</f>
        <v>1.8999783748375489</v>
      </c>
      <c r="I3" s="15" t="str">
        <f t="shared" ref="I3:I25" si="8">IF(OR(D3="",D2=""),"",D3/D2-1)</f>
        <v/>
      </c>
      <c r="J3" s="18" t="str">
        <f>IF(MAX(SUMIFS('Year NSE Equity Futures'!$G:$G,'Year NSE Equity Futures'!$A:$A,$A3),SUMIFS('Monthly NSE Equity Futures'!$I:$I,'Monthly NSE Equity Futures'!$B:$B,$A3))=0,"",MAX(SUMIFS('Year NSE Equity Futures'!$G:$G,'Year NSE Equity Futures'!$A:$A,$A3),SUMIFS('Monthly NSE Equity Futures'!$I:$I,'Monthly NSE Equity Futures'!$B:$B,$A3)))</f>
        <v/>
      </c>
      <c r="K3" s="7">
        <f>IF(SUMIFS('Year BSE Equity Futures'!$G:$G,'Year BSE Equity Futures'!$A:$A,$A3)=0,"",SUMIFS('Year BSE Equity Futures'!$G:$G,'Year BSE Equity Futures'!$A:$A,$A3))</f>
        <v>456355</v>
      </c>
      <c r="L3" s="7" t="str">
        <f t="shared" si="3"/>
        <v/>
      </c>
      <c r="M3" s="19" t="str">
        <f t="shared" si="4"/>
        <v/>
      </c>
      <c r="N3" s="19" t="str">
        <f t="shared" si="5"/>
        <v/>
      </c>
    </row>
    <row r="4" spans="1:14" x14ac:dyDescent="0.2">
      <c r="A4" s="4" t="s">
        <v>76</v>
      </c>
      <c r="B4" s="14" t="str">
        <f>IF(MAX(SUMIFS('Year NSE Equity Futures'!$F:$F,'Year NSE Equity Futures'!$A:$A,$A4),SUMIFS('Monthly NSE Equity Futures'!$H:$H,'Monthly NSE Equity Futures'!$B:$B,$A4))=0,"",MAX(SUMIFS('Year NSE Equity Futures'!$F:$F,'Year NSE Equity Futures'!$A:$A,$A4),SUMIFS('Monthly NSE Equity Futures'!$H:$H,'Monthly NSE Equity Futures'!$B:$B,$A4)))</f>
        <v/>
      </c>
      <c r="C4" s="6">
        <f>IF(SUMIFS('Year BSE Equity Futures'!$F:$F,'Year BSE Equity Futures'!$A:$A,$A4)=0,"",SUMIFS('Year BSE Equity Futures'!$F:$F,'Year BSE Equity Futures'!$A:$A,$A4))</f>
        <v>5.4899999999999997E-2</v>
      </c>
      <c r="D4" s="6" t="str">
        <f t="shared" si="0"/>
        <v/>
      </c>
      <c r="E4" s="15" t="str">
        <f t="shared" si="1"/>
        <v/>
      </c>
      <c r="F4" s="15" t="str">
        <f t="shared" si="2"/>
        <v/>
      </c>
      <c r="G4" s="20" t="str">
        <f t="shared" si="6"/>
        <v/>
      </c>
      <c r="H4" s="15">
        <f t="shared" si="7"/>
        <v>-0.99960253422440959</v>
      </c>
      <c r="I4" s="15" t="str">
        <f t="shared" si="8"/>
        <v/>
      </c>
      <c r="J4" s="18" t="str">
        <f>IF(MAX(SUMIFS('Year NSE Equity Futures'!$G:$G,'Year NSE Equity Futures'!$A:$A,$A4),SUMIFS('Monthly NSE Equity Futures'!$I:$I,'Monthly NSE Equity Futures'!$B:$B,$A4))=0,"",MAX(SUMIFS('Year NSE Equity Futures'!$G:$G,'Year NSE Equity Futures'!$A:$A,$A4),SUMIFS('Monthly NSE Equity Futures'!$I:$I,'Monthly NSE Equity Futures'!$B:$B,$A4)))</f>
        <v/>
      </c>
      <c r="K4" s="7">
        <f>IF(SUMIFS('Year BSE Equity Futures'!$G:$G,'Year BSE Equity Futures'!$A:$A,$A4)=0,"",SUMIFS('Year BSE Equity Futures'!$G:$G,'Year BSE Equity Futures'!$A:$A,$A4))</f>
        <v>101</v>
      </c>
      <c r="L4" s="7" t="str">
        <f t="shared" si="3"/>
        <v/>
      </c>
      <c r="M4" s="19" t="str">
        <f t="shared" si="4"/>
        <v/>
      </c>
      <c r="N4" s="19" t="str">
        <f t="shared" si="5"/>
        <v/>
      </c>
    </row>
    <row r="5" spans="1:14" x14ac:dyDescent="0.2">
      <c r="A5" s="4" t="s">
        <v>77</v>
      </c>
      <c r="B5" s="14" t="str">
        <f>IF(MAX(SUMIFS('Year NSE Equity Futures'!$F:$F,'Year NSE Equity Futures'!$A:$A,$A5),SUMIFS('Monthly NSE Equity Futures'!$H:$H,'Monthly NSE Equity Futures'!$B:$B,$A5))=0,"",MAX(SUMIFS('Year NSE Equity Futures'!$F:$F,'Year NSE Equity Futures'!$A:$A,$A5),SUMIFS('Monthly NSE Equity Futures'!$H:$H,'Monthly NSE Equity Futures'!$B:$B,$A5)))</f>
        <v/>
      </c>
      <c r="C5" s="6">
        <f>IF(SUMIFS('Year BSE Equity Futures'!$F:$F,'Year BSE Equity Futures'!$A:$A,$A5)=0,"",SUMIFS('Year BSE Equity Futures'!$F:$F,'Year BSE Equity Futures'!$A:$A,$A5))</f>
        <v>590.06359999999995</v>
      </c>
      <c r="D5" s="6" t="str">
        <f t="shared" si="0"/>
        <v/>
      </c>
      <c r="E5" s="15" t="str">
        <f t="shared" si="1"/>
        <v/>
      </c>
      <c r="F5" s="15" t="str">
        <f t="shared" si="2"/>
        <v/>
      </c>
      <c r="G5" s="20" t="str">
        <f t="shared" si="6"/>
        <v/>
      </c>
      <c r="H5" s="15">
        <f t="shared" si="7"/>
        <v>10746.970856102003</v>
      </c>
      <c r="I5" s="15" t="str">
        <f t="shared" si="8"/>
        <v/>
      </c>
      <c r="J5" s="18" t="str">
        <f>IF(MAX(SUMIFS('Year NSE Equity Futures'!$G:$G,'Year NSE Equity Futures'!$A:$A,$A5),SUMIFS('Monthly NSE Equity Futures'!$I:$I,'Monthly NSE Equity Futures'!$B:$B,$A5))=0,"",MAX(SUMIFS('Year NSE Equity Futures'!$G:$G,'Year NSE Equity Futures'!$A:$A,$A5),SUMIFS('Monthly NSE Equity Futures'!$I:$I,'Monthly NSE Equity Futures'!$B:$B,$A5)))</f>
        <v/>
      </c>
      <c r="K5" s="7">
        <f>IF(SUMIFS('Year BSE Equity Futures'!$G:$G,'Year BSE Equity Futures'!$A:$A,$A5)=0,"",SUMIFS('Year BSE Equity Futures'!$G:$G,'Year BSE Equity Futures'!$A:$A,$A5))</f>
        <v>1781212</v>
      </c>
      <c r="L5" s="7" t="str">
        <f t="shared" si="3"/>
        <v/>
      </c>
      <c r="M5" s="19" t="str">
        <f t="shared" si="4"/>
        <v/>
      </c>
      <c r="N5" s="19" t="str">
        <f t="shared" si="5"/>
        <v/>
      </c>
    </row>
    <row r="6" spans="1:14" x14ac:dyDescent="0.2">
      <c r="A6" s="4" t="s">
        <v>78</v>
      </c>
      <c r="B6" s="14" t="str">
        <f>IF(MAX(SUMIFS('Year NSE Equity Futures'!$F:$F,'Year NSE Equity Futures'!$A:$A,$A6),SUMIFS('Monthly NSE Equity Futures'!$H:$H,'Monthly NSE Equity Futures'!$B:$B,$A6))=0,"",MAX(SUMIFS('Year NSE Equity Futures'!$F:$F,'Year NSE Equity Futures'!$A:$A,$A6),SUMIFS('Monthly NSE Equity Futures'!$H:$H,'Monthly NSE Equity Futures'!$B:$B,$A6)))</f>
        <v/>
      </c>
      <c r="C6" s="6">
        <f>IF(SUMIFS('Year BSE Equity Futures'!$F:$F,'Year BSE Equity Futures'!$A:$A,$A6)=0,"",SUMIFS('Year BSE Equity Futures'!$F:$F,'Year BSE Equity Futures'!$A:$A,$A6))</f>
        <v>2422.694</v>
      </c>
      <c r="D6" s="6" t="str">
        <f t="shared" si="0"/>
        <v/>
      </c>
      <c r="E6" s="15" t="str">
        <f t="shared" si="1"/>
        <v/>
      </c>
      <c r="F6" s="15" t="str">
        <f t="shared" si="2"/>
        <v/>
      </c>
      <c r="G6" s="20" t="str">
        <f t="shared" si="6"/>
        <v/>
      </c>
      <c r="H6" s="15">
        <f t="shared" si="7"/>
        <v>3.1058184236411126</v>
      </c>
      <c r="I6" s="15" t="str">
        <f t="shared" si="8"/>
        <v/>
      </c>
      <c r="J6" s="18" t="str">
        <f>IF(MAX(SUMIFS('Year NSE Equity Futures'!$G:$G,'Year NSE Equity Futures'!$A:$A,$A6),SUMIFS('Monthly NSE Equity Futures'!$I:$I,'Monthly NSE Equity Futures'!$B:$B,$A6))=0,"",MAX(SUMIFS('Year NSE Equity Futures'!$G:$G,'Year NSE Equity Futures'!$A:$A,$A6),SUMIFS('Monthly NSE Equity Futures'!$I:$I,'Monthly NSE Equity Futures'!$B:$B,$A6)))</f>
        <v/>
      </c>
      <c r="K6" s="7">
        <f>IF(SUMIFS('Year BSE Equity Futures'!$G:$G,'Year BSE Equity Futures'!$A:$A,$A6)=0,"",SUMIFS('Year BSE Equity Futures'!$G:$G,'Year BSE Equity Futures'!$A:$A,$A6))</f>
        <v>7452195</v>
      </c>
      <c r="L6" s="7" t="str">
        <f t="shared" si="3"/>
        <v/>
      </c>
      <c r="M6" s="19" t="str">
        <f t="shared" si="4"/>
        <v/>
      </c>
      <c r="N6" s="19" t="str">
        <f t="shared" si="5"/>
        <v/>
      </c>
    </row>
    <row r="7" spans="1:14" x14ac:dyDescent="0.2">
      <c r="A7" s="4" t="s">
        <v>79</v>
      </c>
      <c r="B7" s="14" t="str">
        <f>IF(MAX(SUMIFS('Year NSE Equity Futures'!$F:$F,'Year NSE Equity Futures'!$A:$A,$A7),SUMIFS('Monthly NSE Equity Futures'!$H:$H,'Monthly NSE Equity Futures'!$B:$B,$A7))=0,"",MAX(SUMIFS('Year NSE Equity Futures'!$F:$F,'Year NSE Equity Futures'!$A:$A,$A7),SUMIFS('Monthly NSE Equity Futures'!$H:$H,'Monthly NSE Equity Futures'!$B:$B,$A7)))</f>
        <v/>
      </c>
      <c r="C7" s="6">
        <f>IF(SUMIFS('Year BSE Equity Futures'!$F:$F,'Year BSE Equity Futures'!$A:$A,$A7)=0,"",SUMIFS('Year BSE Equity Futures'!$F:$F,'Year BSE Equity Futures'!$A:$A,$A7))</f>
        <v>117.6571</v>
      </c>
      <c r="D7" s="6" t="str">
        <f t="shared" si="0"/>
        <v/>
      </c>
      <c r="E7" s="15" t="str">
        <f t="shared" si="1"/>
        <v/>
      </c>
      <c r="F7" s="15" t="str">
        <f t="shared" si="2"/>
        <v/>
      </c>
      <c r="G7" s="20" t="str">
        <f t="shared" si="6"/>
        <v/>
      </c>
      <c r="H7" s="15">
        <f t="shared" si="7"/>
        <v>-0.9514354268430103</v>
      </c>
      <c r="I7" s="15" t="str">
        <f t="shared" si="8"/>
        <v/>
      </c>
      <c r="J7" s="18" t="str">
        <f>IF(MAX(SUMIFS('Year NSE Equity Futures'!$G:$G,'Year NSE Equity Futures'!$A:$A,$A7),SUMIFS('Monthly NSE Equity Futures'!$I:$I,'Monthly NSE Equity Futures'!$B:$B,$A7))=0,"",MAX(SUMIFS('Year NSE Equity Futures'!$G:$G,'Year NSE Equity Futures'!$A:$A,$A7),SUMIFS('Monthly NSE Equity Futures'!$I:$I,'Monthly NSE Equity Futures'!$B:$B,$A7)))</f>
        <v/>
      </c>
      <c r="K7" s="7">
        <f>IF(SUMIFS('Year BSE Equity Futures'!$G:$G,'Year BSE Equity Futures'!$A:$A,$A7)=0,"",SUMIFS('Year BSE Equity Futures'!$G:$G,'Year BSE Equity Futures'!$A:$A,$A7))</f>
        <v>496129</v>
      </c>
      <c r="L7" s="7" t="str">
        <f t="shared" si="3"/>
        <v/>
      </c>
      <c r="M7" s="19" t="str">
        <f t="shared" si="4"/>
        <v/>
      </c>
      <c r="N7" s="19" t="str">
        <f t="shared" si="5"/>
        <v/>
      </c>
    </row>
    <row r="8" spans="1:14" x14ac:dyDescent="0.2">
      <c r="A8" s="4" t="s">
        <v>80</v>
      </c>
      <c r="B8" s="14">
        <f>IF(MAX(SUMIFS('Year NSE Equity Futures'!$F:$F,'Year NSE Equity Futures'!$A:$A,$A8),SUMIFS('Monthly NSE Equity Futures'!$H:$H,'Monthly NSE Equity Futures'!$B:$B,$A8))=0,"",MAX(SUMIFS('Year NSE Equity Futures'!$F:$F,'Year NSE Equity Futures'!$A:$A,$A8),SUMIFS('Monthly NSE Equity Futures'!$H:$H,'Monthly NSE Equity Futures'!$B:$B,$A8)))</f>
        <v>91296.353100000008</v>
      </c>
      <c r="C8" s="6">
        <f>IF(SUMIFS('Year BSE Equity Futures'!$F:$F,'Year BSE Equity Futures'!$A:$A,$A8)=0,"",SUMIFS('Year BSE Equity Futures'!$F:$F,'Year BSE Equity Futures'!$A:$A,$A8))</f>
        <v>0.96299999999999997</v>
      </c>
      <c r="D8" s="6">
        <f t="shared" si="0"/>
        <v>91297.316100000011</v>
      </c>
      <c r="E8" s="15">
        <f t="shared" si="1"/>
        <v>0.99998945204480105</v>
      </c>
      <c r="F8" s="15">
        <f t="shared" si="2"/>
        <v>1.0547955198871393E-5</v>
      </c>
      <c r="G8" s="20" t="str">
        <f t="shared" si="6"/>
        <v/>
      </c>
      <c r="H8" s="15">
        <f t="shared" si="7"/>
        <v>-0.99181519857280176</v>
      </c>
      <c r="I8" s="15" t="str">
        <f t="shared" si="8"/>
        <v/>
      </c>
      <c r="J8" s="18">
        <f>IF(MAX(SUMIFS('Year NSE Equity Futures'!$G:$G,'Year NSE Equity Futures'!$A:$A,$A8),SUMIFS('Monthly NSE Equity Futures'!$I:$I,'Monthly NSE Equity Futures'!$B:$B,$A8))=0,"",MAX(SUMIFS('Year NSE Equity Futures'!$G:$G,'Year NSE Equity Futures'!$A:$A,$A8),SUMIFS('Monthly NSE Equity Futures'!$I:$I,'Monthly NSE Equity Futures'!$B:$B,$A8)))</f>
        <v>323898129</v>
      </c>
      <c r="K8" s="7">
        <f>IF(SUMIFS('Year BSE Equity Futures'!$G:$G,'Year BSE Equity Futures'!$A:$A,$A8)=0,"",SUMIFS('Year BSE Equity Futures'!$G:$G,'Year BSE Equity Futures'!$A:$A,$A8))</f>
        <v>3752</v>
      </c>
      <c r="L8" s="7">
        <f t="shared" si="3"/>
        <v>323901881</v>
      </c>
      <c r="M8" s="19">
        <f t="shared" si="4"/>
        <v>0.9999884162451036</v>
      </c>
      <c r="N8" s="19">
        <f t="shared" si="5"/>
        <v>1.1583754896440382E-5</v>
      </c>
    </row>
    <row r="9" spans="1:14" x14ac:dyDescent="0.2">
      <c r="A9" s="4" t="s">
        <v>81</v>
      </c>
      <c r="B9" s="14">
        <f>IF(MAX(SUMIFS('Year NSE Equity Futures'!$F:$F,'Year NSE Equity Futures'!$A:$A,$A9),SUMIFS('Monthly NSE Equity Futures'!$H:$H,'Monthly NSE Equity Futures'!$B:$B,$A9))=0,"",MAX(SUMIFS('Year NSE Equity Futures'!$F:$F,'Year NSE Equity Futures'!$A:$A,$A9),SUMIFS('Monthly NSE Equity Futures'!$H:$H,'Monthly NSE Equity Futures'!$B:$B,$A9)))</f>
        <v>98525.112299999993</v>
      </c>
      <c r="C9" s="6">
        <f>IF(SUMIFS('Year BSE Equity Futures'!$F:$F,'Year BSE Equity Futures'!$A:$A,$A9)=0,"",SUMIFS('Year BSE Equity Futures'!$F:$F,'Year BSE Equity Futures'!$A:$A,$A9))</f>
        <v>1.5407999999999999</v>
      </c>
      <c r="D9" s="6">
        <f t="shared" si="0"/>
        <v>98526.653099999996</v>
      </c>
      <c r="E9" s="15">
        <f t="shared" si="1"/>
        <v>0.99998436159200055</v>
      </c>
      <c r="F9" s="15">
        <f t="shared" si="2"/>
        <v>1.5638407999469535E-5</v>
      </c>
      <c r="G9" s="20">
        <f t="shared" si="6"/>
        <v>7.917905759151278E-2</v>
      </c>
      <c r="H9" s="15">
        <f t="shared" si="7"/>
        <v>0.60000000000000009</v>
      </c>
      <c r="I9" s="15">
        <f t="shared" si="8"/>
        <v>7.9184551187480023E-2</v>
      </c>
      <c r="J9" s="18">
        <f>IF(MAX(SUMIFS('Year NSE Equity Futures'!$G:$G,'Year NSE Equity Futures'!$A:$A,$A9),SUMIFS('Monthly NSE Equity Futures'!$I:$I,'Monthly NSE Equity Futures'!$B:$B,$A9))=0,"",MAX(SUMIFS('Year NSE Equity Futures'!$G:$G,'Year NSE Equity Futures'!$A:$A,$A9),SUMIFS('Monthly NSE Equity Futures'!$I:$I,'Monthly NSE Equity Futures'!$B:$B,$A9)))</f>
        <v>351065112</v>
      </c>
      <c r="K9" s="7">
        <f>IF(SUMIFS('Year BSE Equity Futures'!$G:$G,'Year BSE Equity Futures'!$A:$A,$A9)=0,"",SUMIFS('Year BSE Equity Futures'!$G:$G,'Year BSE Equity Futures'!$A:$A,$A9))</f>
        <v>5613</v>
      </c>
      <c r="L9" s="7">
        <f t="shared" si="3"/>
        <v>351070725</v>
      </c>
      <c r="M9" s="19">
        <f t="shared" si="4"/>
        <v>0.99998401176856888</v>
      </c>
      <c r="N9" s="19">
        <f t="shared" si="5"/>
        <v>1.598823143114539E-5</v>
      </c>
    </row>
    <row r="10" spans="1:14" x14ac:dyDescent="0.2">
      <c r="A10" s="4" t="s">
        <v>82</v>
      </c>
      <c r="B10" s="14">
        <f>IF(MAX(SUMIFS('Year NSE Equity Futures'!$F:$F,'Year NSE Equity Futures'!$A:$A,$A10),SUMIFS('Monthly NSE Equity Futures'!$H:$H,'Monthly NSE Equity Futures'!$B:$B,$A10))=0,"",MAX(SUMIFS('Year NSE Equity Futures'!$F:$F,'Year NSE Equity Futures'!$A:$A,$A10),SUMIFS('Monthly NSE Equity Futures'!$H:$H,'Monthly NSE Equity Futures'!$B:$B,$A10)))</f>
        <v>76526.691399999996</v>
      </c>
      <c r="C10" s="6">
        <f>IF(SUMIFS('Year BSE Equity Futures'!$F:$F,'Year BSE Equity Futures'!$A:$A,$A10)=0,"",SUMIFS('Year BSE Equity Futures'!$F:$F,'Year BSE Equity Futures'!$A:$A,$A10))</f>
        <v>1886.6452999999999</v>
      </c>
      <c r="D10" s="6">
        <f t="shared" si="0"/>
        <v>78413.3367</v>
      </c>
      <c r="E10" s="15">
        <f t="shared" si="1"/>
        <v>0.97593973959789415</v>
      </c>
      <c r="F10" s="15">
        <f t="shared" si="2"/>
        <v>2.4060260402105807E-2</v>
      </c>
      <c r="G10" s="20">
        <f t="shared" si="6"/>
        <v>-0.22327729841115851</v>
      </c>
      <c r="H10" s="15">
        <f t="shared" si="7"/>
        <v>1223.4582684319835</v>
      </c>
      <c r="I10" s="15">
        <f t="shared" si="8"/>
        <v>-0.20414086713760504</v>
      </c>
      <c r="J10" s="18">
        <f>IF(MAX(SUMIFS('Year NSE Equity Futures'!$G:$G,'Year NSE Equity Futures'!$A:$A,$A10),SUMIFS('Monthly NSE Equity Futures'!$I:$I,'Monthly NSE Equity Futures'!$B:$B,$A10))=0,"",MAX(SUMIFS('Year NSE Equity Futures'!$G:$G,'Year NSE Equity Futures'!$A:$A,$A10),SUMIFS('Monthly NSE Equity Futures'!$I:$I,'Monthly NSE Equity Futures'!$B:$B,$A10)))</f>
        <v>304533357</v>
      </c>
      <c r="K10" s="7">
        <f>IF(SUMIFS('Year BSE Equity Futures'!$G:$G,'Year BSE Equity Futures'!$A:$A,$A10)=0,"",SUMIFS('Year BSE Equity Futures'!$G:$G,'Year BSE Equity Futures'!$A:$A,$A10))</f>
        <v>7399676</v>
      </c>
      <c r="L10" s="7">
        <f t="shared" si="3"/>
        <v>311933033</v>
      </c>
      <c r="M10" s="19">
        <f t="shared" si="4"/>
        <v>0.97627799810480476</v>
      </c>
      <c r="N10" s="19">
        <f t="shared" si="5"/>
        <v>2.3722001895195244E-2</v>
      </c>
    </row>
    <row r="11" spans="1:14" x14ac:dyDescent="0.2">
      <c r="A11" s="4" t="s">
        <v>83</v>
      </c>
      <c r="B11" s="14">
        <f>IF(MAX(SUMIFS('Year NSE Equity Futures'!$F:$F,'Year NSE Equity Futures'!$A:$A,$A11),SUMIFS('Monthly NSE Equity Futures'!$H:$H,'Monthly NSE Equity Futures'!$B:$B,$A11))=0,"",MAX(SUMIFS('Year NSE Equity Futures'!$F:$F,'Year NSE Equity Futures'!$A:$A,$A11),SUMIFS('Monthly NSE Equity Futures'!$H:$H,'Monthly NSE Equity Futures'!$B:$B,$A11)))</f>
        <v>67509.511799999993</v>
      </c>
      <c r="C11" s="6">
        <f>IF(SUMIFS('Year BSE Equity Futures'!$F:$F,'Year BSE Equity Futures'!$A:$A,$A11)=0,"",SUMIFS('Year BSE Equity Futures'!$F:$F,'Year BSE Equity Futures'!$A:$A,$A11))</f>
        <v>1258.4984999999999</v>
      </c>
      <c r="D11" s="6">
        <f t="shared" si="0"/>
        <v>68768.010299999994</v>
      </c>
      <c r="E11" s="15">
        <f t="shared" si="1"/>
        <v>0.98169936145440573</v>
      </c>
      <c r="F11" s="15">
        <f t="shared" si="2"/>
        <v>1.8300638545594217E-2</v>
      </c>
      <c r="G11" s="20">
        <f t="shared" si="6"/>
        <v>-0.11783051684369572</v>
      </c>
      <c r="H11" s="15">
        <f t="shared" si="7"/>
        <v>-0.33294377061761427</v>
      </c>
      <c r="I11" s="15">
        <f t="shared" si="8"/>
        <v>-0.12300619774544053</v>
      </c>
      <c r="J11" s="18">
        <f>IF(MAX(SUMIFS('Year NSE Equity Futures'!$G:$G,'Year NSE Equity Futures'!$A:$A,$A11),SUMIFS('Monthly NSE Equity Futures'!$I:$I,'Monthly NSE Equity Futures'!$B:$B,$A11))=0,"",MAX(SUMIFS('Year NSE Equity Futures'!$G:$G,'Year NSE Equity Futures'!$A:$A,$A11),SUMIFS('Monthly NSE Equity Futures'!$I:$I,'Monthly NSE Equity Futures'!$B:$B,$A11)))</f>
        <v>243809737</v>
      </c>
      <c r="K11" s="7">
        <f>IF(SUMIFS('Year BSE Equity Futures'!$G:$G,'Year BSE Equity Futures'!$A:$A,$A11)=0,"",SUMIFS('Year BSE Equity Futures'!$G:$G,'Year BSE Equity Futures'!$A:$A,$A11))</f>
        <v>4818860</v>
      </c>
      <c r="L11" s="7">
        <f t="shared" si="3"/>
        <v>248628597</v>
      </c>
      <c r="M11" s="19">
        <f t="shared" si="4"/>
        <v>0.98061823918026614</v>
      </c>
      <c r="N11" s="19">
        <f t="shared" si="5"/>
        <v>1.9381760819733862E-2</v>
      </c>
    </row>
    <row r="12" spans="1:14" x14ac:dyDescent="0.2">
      <c r="A12" s="4" t="s">
        <v>84</v>
      </c>
      <c r="B12" s="14">
        <f>IF(MAX(SUMIFS('Year NSE Equity Futures'!$F:$F,'Year NSE Equity Futures'!$A:$A,$A12),SUMIFS('Monthly NSE Equity Futures'!$H:$H,'Monthly NSE Equity Futures'!$B:$B,$A12))=0,"",MAX(SUMIFS('Year NSE Equity Futures'!$F:$F,'Year NSE Equity Futures'!$A:$A,$A12),SUMIFS('Monthly NSE Equity Futures'!$H:$H,'Monthly NSE Equity Futures'!$B:$B,$A12)))</f>
        <v>80323.849500000011</v>
      </c>
      <c r="C12" s="6">
        <f>IF(SUMIFS('Year BSE Equity Futures'!$F:$F,'Year BSE Equity Futures'!$A:$A,$A12)=0,"",SUMIFS('Year BSE Equity Futures'!$F:$F,'Year BSE Equity Futures'!$A:$A,$A12))</f>
        <v>1180.9326000000001</v>
      </c>
      <c r="D12" s="6">
        <f t="shared" si="0"/>
        <v>81504.782100000011</v>
      </c>
      <c r="E12" s="15">
        <f t="shared" si="1"/>
        <v>0.98551087961254735</v>
      </c>
      <c r="F12" s="15">
        <f t="shared" si="2"/>
        <v>1.4489120387452701E-2</v>
      </c>
      <c r="G12" s="20">
        <f t="shared" si="6"/>
        <v>0.18981529207266501</v>
      </c>
      <c r="H12" s="15">
        <f t="shared" si="7"/>
        <v>-6.1633684903080854E-2</v>
      </c>
      <c r="I12" s="15">
        <f t="shared" si="8"/>
        <v>0.18521361523237223</v>
      </c>
      <c r="J12" s="18">
        <f>IF(MAX(SUMIFS('Year NSE Equity Futures'!$G:$G,'Year NSE Equity Futures'!$A:$A,$A12),SUMIFS('Monthly NSE Equity Futures'!$I:$I,'Monthly NSE Equity Futures'!$B:$B,$A12))=0,"",MAX(SUMIFS('Year NSE Equity Futures'!$G:$G,'Year NSE Equity Futures'!$A:$A,$A12),SUMIFS('Monthly NSE Equity Futures'!$I:$I,'Monthly NSE Equity Futures'!$B:$B,$A12)))</f>
        <v>275667169</v>
      </c>
      <c r="K12" s="7">
        <f>IF(SUMIFS('Year BSE Equity Futures'!$G:$G,'Year BSE Equity Futures'!$A:$A,$A12)=0,"",SUMIFS('Year BSE Equity Futures'!$G:$G,'Year BSE Equity Futures'!$A:$A,$A12))</f>
        <v>4038146</v>
      </c>
      <c r="L12" s="7">
        <f t="shared" si="3"/>
        <v>279705315</v>
      </c>
      <c r="M12" s="19">
        <f t="shared" si="4"/>
        <v>0.98556285567902058</v>
      </c>
      <c r="N12" s="19">
        <f t="shared" si="5"/>
        <v>1.4437144320979384E-2</v>
      </c>
    </row>
    <row r="13" spans="1:14" x14ac:dyDescent="0.2">
      <c r="A13" s="4" t="s">
        <v>85</v>
      </c>
      <c r="B13" s="14">
        <f>IF(MAX(SUMIFS('Year NSE Equity Futures'!$F:$F,'Year NSE Equity Futures'!$A:$A,$A13),SUMIFS('Monthly NSE Equity Futures'!$H:$H,'Monthly NSE Equity Futures'!$B:$B,$A13))=0,"",MAX(SUMIFS('Year NSE Equity Futures'!$F:$F,'Year NSE Equity Futures'!$A:$A,$A13),SUMIFS('Monthly NSE Equity Futures'!$H:$H,'Monthly NSE Equity Futures'!$B:$B,$A13)))</f>
        <v>123989.81469999999</v>
      </c>
      <c r="C13" s="6">
        <f>IF(SUMIFS('Year BSE Equity Futures'!$F:$F,'Year BSE Equity Futures'!$A:$A,$A13)=0,"",SUMIFS('Year BSE Equity Futures'!$F:$F,'Year BSE Equity Futures'!$A:$A,$A13))</f>
        <v>584.26610000000005</v>
      </c>
      <c r="D13" s="6">
        <f t="shared" si="0"/>
        <v>124574.08079999998</v>
      </c>
      <c r="E13" s="15">
        <f t="shared" si="1"/>
        <v>0.99530989033795869</v>
      </c>
      <c r="F13" s="15">
        <f t="shared" si="2"/>
        <v>4.6901096620413528E-3</v>
      </c>
      <c r="G13" s="20">
        <f t="shared" si="6"/>
        <v>0.54362391085352524</v>
      </c>
      <c r="H13" s="15">
        <f t="shared" si="7"/>
        <v>-0.50525025729664841</v>
      </c>
      <c r="I13" s="15">
        <f t="shared" si="8"/>
        <v>0.52842664675990791</v>
      </c>
      <c r="J13" s="18">
        <f>IF(MAX(SUMIFS('Year NSE Equity Futures'!$G:$G,'Year NSE Equity Futures'!$A:$A,$A13),SUMIFS('Monthly NSE Equity Futures'!$I:$I,'Monthly NSE Equity Futures'!$B:$B,$A13))=0,"",MAX(SUMIFS('Year NSE Equity Futures'!$G:$G,'Year NSE Equity Futures'!$A:$A,$A13),SUMIFS('Monthly NSE Equity Futures'!$I:$I,'Monthly NSE Equity Futures'!$B:$B,$A13)))</f>
        <v>366907785</v>
      </c>
      <c r="K13" s="7">
        <f>IF(SUMIFS('Year BSE Equity Futures'!$G:$G,'Year BSE Equity Futures'!$A:$A,$A13)=0,"",SUMIFS('Year BSE Equity Futures'!$G:$G,'Year BSE Equity Futures'!$A:$A,$A13))</f>
        <v>1533640</v>
      </c>
      <c r="L13" s="7">
        <f t="shared" si="3"/>
        <v>368441425</v>
      </c>
      <c r="M13" s="19">
        <f t="shared" si="4"/>
        <v>0.99583749302891222</v>
      </c>
      <c r="N13" s="19">
        <f t="shared" si="5"/>
        <v>4.1625069710877378E-3</v>
      </c>
    </row>
    <row r="14" spans="1:14" x14ac:dyDescent="0.2">
      <c r="A14" s="4" t="s">
        <v>86</v>
      </c>
      <c r="B14" s="14">
        <f>IF(MAX(SUMIFS('Year NSE Equity Futures'!$F:$F,'Year NSE Equity Futures'!$A:$A,$A14),SUMIFS('Monthly NSE Equity Futures'!$H:$H,'Monthly NSE Equity Futures'!$B:$B,$A14))=0,"",MAX(SUMIFS('Year NSE Equity Futures'!$F:$F,'Year NSE Equity Futures'!$A:$A,$A14),SUMIFS('Monthly NSE Equity Futures'!$H:$H,'Monthly NSE Equity Futures'!$B:$B,$A14)))</f>
        <v>123857.1964</v>
      </c>
      <c r="C14" s="6">
        <f>IF(SUMIFS('Year BSE Equity Futures'!$F:$F,'Year BSE Equity Futures'!$A:$A,$A14)=0,"",SUMIFS('Year BSE Equity Futures'!$F:$F,'Year BSE Equity Futures'!$A:$A,$A14))</f>
        <v>144.4675</v>
      </c>
      <c r="D14" s="6">
        <f t="shared" si="0"/>
        <v>124001.6639</v>
      </c>
      <c r="E14" s="15">
        <f t="shared" si="1"/>
        <v>0.99883495514933973</v>
      </c>
      <c r="F14" s="15">
        <f t="shared" si="2"/>
        <v>1.165044850660266E-3</v>
      </c>
      <c r="G14" s="20">
        <f t="shared" si="6"/>
        <v>-1.0695902749824349E-3</v>
      </c>
      <c r="H14" s="15">
        <f t="shared" si="7"/>
        <v>-0.75273680947773625</v>
      </c>
      <c r="I14" s="15">
        <f t="shared" si="8"/>
        <v>-4.5949919624049818E-3</v>
      </c>
      <c r="J14" s="18">
        <f>IF(MAX(SUMIFS('Year NSE Equity Futures'!$G:$G,'Year NSE Equity Futures'!$A:$A,$A14),SUMIFS('Monthly NSE Equity Futures'!$I:$I,'Monthly NSE Equity Futures'!$B:$B,$A14))=0,"",MAX(SUMIFS('Year NSE Equity Futures'!$G:$G,'Year NSE Equity Futures'!$A:$A,$A14),SUMIFS('Monthly NSE Equity Futures'!$I:$I,'Monthly NSE Equity Futures'!$B:$B,$A14)))</f>
        <v>374782641</v>
      </c>
      <c r="K14" s="7">
        <f>IF(SUMIFS('Year BSE Equity Futures'!$G:$G,'Year BSE Equity Futures'!$A:$A,$A14)=0,"",SUMIFS('Year BSE Equity Futures'!$G:$G,'Year BSE Equity Futures'!$A:$A,$A14))</f>
        <v>358527</v>
      </c>
      <c r="L14" s="7">
        <f t="shared" si="3"/>
        <v>375141168</v>
      </c>
      <c r="M14" s="19">
        <f t="shared" si="4"/>
        <v>0.99904428777595533</v>
      </c>
      <c r="N14" s="19">
        <f t="shared" si="5"/>
        <v>9.5571222404468282E-4</v>
      </c>
    </row>
    <row r="15" spans="1:14" x14ac:dyDescent="0.2">
      <c r="A15" s="4" t="s">
        <v>87</v>
      </c>
      <c r="B15" s="14">
        <f>IF(MAX(SUMIFS('Year NSE Equity Futures'!$F:$F,'Year NSE Equity Futures'!$A:$A,$A15),SUMIFS('Monthly NSE Equity Futures'!$H:$H,'Monthly NSE Equity Futures'!$B:$B,$A15))=0,"",MAX(SUMIFS('Year NSE Equity Futures'!$F:$F,'Year NSE Equity Futures'!$A:$A,$A15),SUMIFS('Monthly NSE Equity Futures'!$H:$H,'Monthly NSE Equity Futures'!$B:$B,$A15)))</f>
        <v>154655.27919999999</v>
      </c>
      <c r="C15" s="6">
        <f>IF(SUMIFS('Year BSE Equity Futures'!$F:$F,'Year BSE Equity Futures'!$A:$A,$A15)=0,"",SUMIFS('Year BSE Equity Futures'!$F:$F,'Year BSE Equity Futures'!$A:$A,$A15))</f>
        <v>24.699400000000001</v>
      </c>
      <c r="D15" s="6">
        <f t="shared" si="0"/>
        <v>154679.9786</v>
      </c>
      <c r="E15" s="15">
        <f t="shared" si="1"/>
        <v>0.99984031934692796</v>
      </c>
      <c r="F15" s="15">
        <f t="shared" si="2"/>
        <v>1.5968065307192899E-4</v>
      </c>
      <c r="G15" s="20">
        <f t="shared" si="6"/>
        <v>0.2486580004647998</v>
      </c>
      <c r="H15" s="15">
        <f t="shared" si="7"/>
        <v>-0.82903144305812726</v>
      </c>
      <c r="I15" s="15">
        <f t="shared" si="8"/>
        <v>0.24740244392801247</v>
      </c>
      <c r="J15" s="18">
        <f>IF(MAX(SUMIFS('Year NSE Equity Futures'!$G:$G,'Year NSE Equity Futures'!$A:$A,$A15),SUMIFS('Monthly NSE Equity Futures'!$I:$I,'Monthly NSE Equity Futures'!$B:$B,$A15))=0,"",MAX(SUMIFS('Year NSE Equity Futures'!$G:$G,'Year NSE Equity Futures'!$A:$A,$A15),SUMIFS('Monthly NSE Equity Futures'!$I:$I,'Monthly NSE Equity Futures'!$B:$B,$A15)))</f>
        <v>240395200</v>
      </c>
      <c r="K15" s="7">
        <f>IF(SUMIFS('Year BSE Equity Futures'!$G:$G,'Year BSE Equity Futures'!$A:$A,$A15)=0,"",SUMIFS('Year BSE Equity Futures'!$G:$G,'Year BSE Equity Futures'!$A:$A,$A15))</f>
        <v>35189</v>
      </c>
      <c r="L15" s="7">
        <f t="shared" si="3"/>
        <v>240430389</v>
      </c>
      <c r="M15" s="19">
        <f t="shared" si="4"/>
        <v>0.99985364162930335</v>
      </c>
      <c r="N15" s="19">
        <f t="shared" si="5"/>
        <v>1.4635837069664268E-4</v>
      </c>
    </row>
    <row r="16" spans="1:14" x14ac:dyDescent="0.2">
      <c r="A16" s="4" t="s">
        <v>88</v>
      </c>
      <c r="B16" s="14">
        <f>IF(MAX(SUMIFS('Year NSE Equity Futures'!$F:$F,'Year NSE Equity Futures'!$A:$A,$A16),SUMIFS('Monthly NSE Equity Futures'!$H:$H,'Monthly NSE Equity Futures'!$B:$B,$A16))=0,"",MAX(SUMIFS('Year NSE Equity Futures'!$F:$F,'Year NSE Equity Futures'!$A:$A,$A16),SUMIFS('Monthly NSE Equity Futures'!$H:$H,'Monthly NSE Equity Futures'!$B:$B,$A16)))</f>
        <v>204079.74050000001</v>
      </c>
      <c r="C16" s="6">
        <f>IF(SUMIFS('Year BSE Equity Futures'!$F:$F,'Year BSE Equity Futures'!$A:$A,$A16)=0,"",SUMIFS('Year BSE Equity Futures'!$F:$F,'Year BSE Equity Futures'!$A:$A,$A16))</f>
        <v>32.542700000000004</v>
      </c>
      <c r="D16" s="6">
        <f t="shared" si="0"/>
        <v>204112.28320000001</v>
      </c>
      <c r="E16" s="15">
        <f t="shared" si="1"/>
        <v>0.99984056471521554</v>
      </c>
      <c r="F16" s="15">
        <f t="shared" si="2"/>
        <v>1.594352847844681E-4</v>
      </c>
      <c r="G16" s="20">
        <f t="shared" si="6"/>
        <v>0.31957823590415169</v>
      </c>
      <c r="H16" s="15">
        <f t="shared" si="7"/>
        <v>0.31755022389207843</v>
      </c>
      <c r="I16" s="15">
        <f t="shared" si="8"/>
        <v>0.31957791206986896</v>
      </c>
      <c r="J16" s="18">
        <f>IF(MAX(SUMIFS('Year NSE Equity Futures'!$G:$G,'Year NSE Equity Futures'!$A:$A,$A16),SUMIFS('Monthly NSE Equity Futures'!$I:$I,'Monthly NSE Equity Futures'!$B:$B,$A16))=0,"",MAX(SUMIFS('Year NSE Equity Futures'!$G:$G,'Year NSE Equity Futures'!$A:$A,$A16),SUMIFS('Monthly NSE Equity Futures'!$I:$I,'Monthly NSE Equity Futures'!$B:$B,$A16)))</f>
        <v>272432950</v>
      </c>
      <c r="K16" s="7">
        <f>IF(SUMIFS('Year BSE Equity Futures'!$G:$G,'Year BSE Equity Futures'!$A:$A,$A16)=0,"",SUMIFS('Year BSE Equity Futures'!$G:$G,'Year BSE Equity Futures'!$A:$A,$A16))</f>
        <v>44584</v>
      </c>
      <c r="L16" s="7">
        <f t="shared" si="3"/>
        <v>272477534</v>
      </c>
      <c r="M16" s="19">
        <f t="shared" si="4"/>
        <v>0.99983637550096149</v>
      </c>
      <c r="N16" s="19">
        <f t="shared" si="5"/>
        <v>1.6362449903851523E-4</v>
      </c>
    </row>
    <row r="17" spans="1:14" x14ac:dyDescent="0.2">
      <c r="A17" s="4" t="s">
        <v>89</v>
      </c>
      <c r="B17" s="14">
        <f>IF(MAX(SUMIFS('Year NSE Equity Futures'!$F:$F,'Year NSE Equity Futures'!$A:$A,$A17),SUMIFS('Monthly NSE Equity Futures'!$H:$H,'Monthly NSE Equity Futures'!$B:$B,$A17))=0,"",MAX(SUMIFS('Year NSE Equity Futures'!$F:$F,'Year NSE Equity Futures'!$A:$A,$A17),SUMIFS('Monthly NSE Equity Futures'!$H:$H,'Monthly NSE Equity Futures'!$B:$B,$A17)))</f>
        <v>217159.25330000001</v>
      </c>
      <c r="C17" s="6">
        <f>IF(SUMIFS('Year BSE Equity Futures'!$F:$F,'Year BSE Equity Futures'!$A:$A,$A17)=0,"",SUMIFS('Year BSE Equity Futures'!$F:$F,'Year BSE Equity Futures'!$A:$A,$A17))</f>
        <v>0.56899999999999995</v>
      </c>
      <c r="D17" s="6">
        <f t="shared" si="0"/>
        <v>217159.8223</v>
      </c>
      <c r="E17" s="15">
        <f t="shared" si="1"/>
        <v>0.99999737980997605</v>
      </c>
      <c r="F17" s="15">
        <f t="shared" si="2"/>
        <v>2.6201900239812451E-6</v>
      </c>
      <c r="G17" s="20">
        <f t="shared" si="6"/>
        <v>6.4090206935558003E-2</v>
      </c>
      <c r="H17" s="15">
        <f t="shared" si="7"/>
        <v>-0.98251527992452992</v>
      </c>
      <c r="I17" s="15">
        <f t="shared" si="8"/>
        <v>6.3923341091703501E-2</v>
      </c>
      <c r="J17" s="18">
        <f>IF(MAX(SUMIFS('Year NSE Equity Futures'!$G:$G,'Year NSE Equity Futures'!$A:$A,$A17),SUMIFS('Monthly NSE Equity Futures'!$I:$I,'Monthly NSE Equity Futures'!$B:$B,$A17))=0,"",MAX(SUMIFS('Year NSE Equity Futures'!$G:$G,'Year NSE Equity Futures'!$A:$A,$A17),SUMIFS('Monthly NSE Equity Futures'!$I:$I,'Monthly NSE Equity Futures'!$B:$B,$A17)))</f>
        <v>325358391</v>
      </c>
      <c r="K17" s="7">
        <f>IF(SUMIFS('Year BSE Equity Futures'!$G:$G,'Year BSE Equity Futures'!$A:$A,$A17)=0,"",SUMIFS('Year BSE Equity Futures'!$G:$G,'Year BSE Equity Futures'!$A:$A,$A17))</f>
        <v>709</v>
      </c>
      <c r="L17" s="7">
        <f t="shared" si="3"/>
        <v>325359100</v>
      </c>
      <c r="M17" s="19">
        <f t="shared" si="4"/>
        <v>0.99999782086931022</v>
      </c>
      <c r="N17" s="19">
        <f t="shared" si="5"/>
        <v>2.1791306897517234E-6</v>
      </c>
    </row>
    <row r="18" spans="1:14" x14ac:dyDescent="0.2">
      <c r="A18" s="4" t="s">
        <v>90</v>
      </c>
      <c r="B18" s="14">
        <f>IF(MAX(SUMIFS('Year NSE Equity Futures'!$F:$F,'Year NSE Equity Futures'!$A:$A,$A18),SUMIFS('Monthly NSE Equity Futures'!$H:$H,'Monthly NSE Equity Futures'!$B:$B,$A18))=0,"",MAX(SUMIFS('Year NSE Equity Futures'!$F:$F,'Year NSE Equity Futures'!$A:$A,$A18),SUMIFS('Monthly NSE Equity Futures'!$H:$H,'Monthly NSE Equity Futures'!$B:$B,$A18)))</f>
        <v>215520.413</v>
      </c>
      <c r="C18" s="6">
        <f>IF(SUMIFS('Year BSE Equity Futures'!$F:$F,'Year BSE Equity Futures'!$A:$A,$A18)=0,"",SUMIFS('Year BSE Equity Futures'!$F:$F,'Year BSE Equity Futures'!$A:$A,$A18))</f>
        <v>150.96690000000001</v>
      </c>
      <c r="D18" s="6">
        <f t="shared" si="0"/>
        <v>215671.3799</v>
      </c>
      <c r="E18" s="15">
        <f t="shared" si="1"/>
        <v>0.9993000142157481</v>
      </c>
      <c r="F18" s="15">
        <f t="shared" si="2"/>
        <v>6.999857842519419E-4</v>
      </c>
      <c r="G18" s="20">
        <f t="shared" si="6"/>
        <v>-7.546721012785973E-3</v>
      </c>
      <c r="H18" s="15">
        <f t="shared" si="7"/>
        <v>264.3196836555361</v>
      </c>
      <c r="I18" s="15">
        <f t="shared" si="8"/>
        <v>-6.8541334406866383E-3</v>
      </c>
      <c r="J18" s="18">
        <f>IF(MAX(SUMIFS('Year NSE Equity Futures'!$G:$G,'Year NSE Equity Futures'!$A:$A,$A18),SUMIFS('Monthly NSE Equity Futures'!$I:$I,'Monthly NSE Equity Futures'!$B:$B,$A18))=0,"",MAX(SUMIFS('Year NSE Equity Futures'!$G:$G,'Year NSE Equity Futures'!$A:$A,$A18),SUMIFS('Monthly NSE Equity Futures'!$I:$I,'Monthly NSE Equity Futures'!$B:$B,$A18)))</f>
        <v>351116448</v>
      </c>
      <c r="K18" s="7">
        <f>IF(SUMIFS('Year BSE Equity Futures'!$G:$G,'Year BSE Equity Futures'!$A:$A,$A18)=0,"",SUMIFS('Year BSE Equity Futures'!$G:$G,'Year BSE Equity Futures'!$A:$A,$A18))</f>
        <v>153195</v>
      </c>
      <c r="L18" s="7">
        <f t="shared" si="3"/>
        <v>351269643</v>
      </c>
      <c r="M18" s="19">
        <f t="shared" si="4"/>
        <v>0.99956388204032764</v>
      </c>
      <c r="N18" s="19">
        <f t="shared" si="5"/>
        <v>4.3611795967236488E-4</v>
      </c>
    </row>
    <row r="19" spans="1:14" x14ac:dyDescent="0.2">
      <c r="A19" s="4" t="s">
        <v>91</v>
      </c>
      <c r="B19" s="14">
        <f>IF(MAX(SUMIFS('Year NSE Equity Futures'!$F:$F,'Year NSE Equity Futures'!$A:$A,$A19),SUMIFS('Monthly NSE Equity Futures'!$H:$H,'Monthly NSE Equity Futures'!$B:$B,$A19))=0,"",MAX(SUMIFS('Year NSE Equity Futures'!$F:$F,'Year NSE Equity Futures'!$A:$A,$A19),SUMIFS('Monthly NSE Equity Futures'!$H:$H,'Monthly NSE Equity Futures'!$B:$B,$A19)))</f>
        <v>271460.11040000001</v>
      </c>
      <c r="C19" s="6">
        <f>IF(SUMIFS('Year BSE Equity Futures'!$F:$F,'Year BSE Equity Futures'!$A:$A,$A19)=0,"",SUMIFS('Year BSE Equity Futures'!$F:$F,'Year BSE Equity Futures'!$A:$A,$A19))</f>
        <v>50.102699999999999</v>
      </c>
      <c r="D19" s="6">
        <f t="shared" si="0"/>
        <v>271510.21309999999</v>
      </c>
      <c r="E19" s="15">
        <f t="shared" si="1"/>
        <v>0.9998154666101583</v>
      </c>
      <c r="F19" s="15">
        <f t="shared" si="2"/>
        <v>1.8453338984175397E-4</v>
      </c>
      <c r="G19" s="20">
        <f t="shared" si="6"/>
        <v>0.25955637622130956</v>
      </c>
      <c r="H19" s="15">
        <f t="shared" si="7"/>
        <v>-0.66812129016360544</v>
      </c>
      <c r="I19" s="15">
        <f t="shared" si="8"/>
        <v>0.25890701504247193</v>
      </c>
      <c r="J19" s="18">
        <f>IF(MAX(SUMIFS('Year NSE Equity Futures'!$G:$G,'Year NSE Equity Futures'!$A:$A,$A19),SUMIFS('Monthly NSE Equity Futures'!$I:$I,'Monthly NSE Equity Futures'!$B:$B,$A19))=0,"",MAX(SUMIFS('Year NSE Equity Futures'!$G:$G,'Year NSE Equity Futures'!$A:$A,$A19),SUMIFS('Monthly NSE Equity Futures'!$I:$I,'Monthly NSE Equity Futures'!$B:$B,$A19)))</f>
        <v>380430548</v>
      </c>
      <c r="K19" s="7">
        <f>IF(SUMIFS('Year BSE Equity Futures'!$G:$G,'Year BSE Equity Futures'!$A:$A,$A19)=0,"",SUMIFS('Year BSE Equity Futures'!$G:$G,'Year BSE Equity Futures'!$A:$A,$A19))</f>
        <v>53629</v>
      </c>
      <c r="L19" s="7">
        <f t="shared" si="3"/>
        <v>380484177</v>
      </c>
      <c r="M19" s="19">
        <f t="shared" si="4"/>
        <v>0.99985905064325442</v>
      </c>
      <c r="N19" s="19">
        <f t="shared" si="5"/>
        <v>1.4094935674552374E-4</v>
      </c>
    </row>
    <row r="20" spans="1:14" x14ac:dyDescent="0.2">
      <c r="A20" s="4" t="s">
        <v>92</v>
      </c>
      <c r="B20" s="14">
        <f>IF(MAX(SUMIFS('Year NSE Equity Futures'!$F:$F,'Year NSE Equity Futures'!$A:$A,$A20),SUMIFS('Monthly NSE Equity Futures'!$H:$H,'Monthly NSE Equity Futures'!$B:$B,$A20))=0,"",MAX(SUMIFS('Year NSE Equity Futures'!$F:$F,'Year NSE Equity Futures'!$A:$A,$A20),SUMIFS('Monthly NSE Equity Futures'!$H:$H,'Monthly NSE Equity Futures'!$B:$B,$A20)))</f>
        <v>294683.15830000001</v>
      </c>
      <c r="C20" s="6">
        <f>IF(SUMIFS('Year BSE Equity Futures'!$F:$F,'Year BSE Equity Futures'!$A:$A,$A20)=0,"",SUMIFS('Year BSE Equity Futures'!$F:$F,'Year BSE Equity Futures'!$A:$A,$A20))</f>
        <v>4.9352</v>
      </c>
      <c r="D20" s="6">
        <f t="shared" si="0"/>
        <v>294688.09350000002</v>
      </c>
      <c r="E20" s="15">
        <f t="shared" si="1"/>
        <v>0.99998325280149125</v>
      </c>
      <c r="F20" s="15">
        <f t="shared" si="2"/>
        <v>1.6747198508717487E-5</v>
      </c>
      <c r="G20" s="20">
        <f t="shared" si="6"/>
        <v>8.5548657096545577E-2</v>
      </c>
      <c r="H20" s="15">
        <f t="shared" si="7"/>
        <v>-0.9014983224456965</v>
      </c>
      <c r="I20" s="15">
        <f t="shared" si="8"/>
        <v>8.5366513971477653E-2</v>
      </c>
      <c r="J20" s="18">
        <f>IF(MAX(SUMIFS('Year NSE Equity Futures'!$G:$G,'Year NSE Equity Futures'!$A:$A,$A20),SUMIFS('Monthly NSE Equity Futures'!$I:$I,'Monthly NSE Equity Futures'!$B:$B,$A20))=0,"",MAX(SUMIFS('Year NSE Equity Futures'!$G:$G,'Year NSE Equity Futures'!$A:$A,$A20),SUMIFS('Monthly NSE Equity Futures'!$I:$I,'Monthly NSE Equity Futures'!$B:$B,$A20)))</f>
        <v>359272669</v>
      </c>
      <c r="K20" s="7">
        <f>IF(SUMIFS('Year BSE Equity Futures'!$G:$G,'Year BSE Equity Futures'!$A:$A,$A20)=0,"",SUMIFS('Year BSE Equity Futures'!$G:$G,'Year BSE Equity Futures'!$A:$A,$A20))</f>
        <v>4454</v>
      </c>
      <c r="L20" s="7">
        <f t="shared" si="3"/>
        <v>359277123</v>
      </c>
      <c r="M20" s="19">
        <f t="shared" si="4"/>
        <v>0.99998760288447308</v>
      </c>
      <c r="N20" s="19">
        <f t="shared" si="5"/>
        <v>1.2397115526890924E-5</v>
      </c>
    </row>
    <row r="21" spans="1:14" x14ac:dyDescent="0.2">
      <c r="A21" s="4" t="s">
        <v>93</v>
      </c>
      <c r="B21" s="14">
        <f>IF(MAX(SUMIFS('Year NSE Equity Futures'!$F:$F,'Year NSE Equity Futures'!$A:$A,$A21),SUMIFS('Monthly NSE Equity Futures'!$H:$H,'Monthly NSE Equity Futures'!$B:$B,$A21))=0,"",MAX(SUMIFS('Year NSE Equity Futures'!$F:$F,'Year NSE Equity Futures'!$A:$A,$A21),SUMIFS('Monthly NSE Equity Futures'!$H:$H,'Monthly NSE Equity Futures'!$B:$B,$A21)))</f>
        <v>285929.89079999999</v>
      </c>
      <c r="C21" s="6">
        <f>IF(SUMIFS('Year BSE Equity Futures'!$F:$F,'Year BSE Equity Futures'!$A:$A,$A21)=0,"",SUMIFS('Year BSE Equity Futures'!$F:$F,'Year BSE Equity Futures'!$A:$A,$A21))</f>
        <v>0.58650000000000002</v>
      </c>
      <c r="D21" s="6">
        <f t="shared" si="0"/>
        <v>285930.47729999997</v>
      </c>
      <c r="E21" s="15">
        <f t="shared" si="1"/>
        <v>0.99999794880208115</v>
      </c>
      <c r="F21" s="15">
        <f t="shared" si="2"/>
        <v>2.0511979189425154E-6</v>
      </c>
      <c r="G21" s="20">
        <f t="shared" si="6"/>
        <v>-2.9703996490660689E-2</v>
      </c>
      <c r="H21" s="15">
        <f t="shared" si="7"/>
        <v>-0.8811598314151402</v>
      </c>
      <c r="I21" s="15">
        <f t="shared" si="8"/>
        <v>-2.9718255990549669E-2</v>
      </c>
      <c r="J21" s="18">
        <f>IF(MAX(SUMIFS('Year NSE Equity Futures'!$G:$G,'Year NSE Equity Futures'!$A:$A,$A21),SUMIFS('Monthly NSE Equity Futures'!$I:$I,'Monthly NSE Equity Futures'!$B:$B,$A21))=0,"",MAX(SUMIFS('Year NSE Equity Futures'!$G:$G,'Year NSE Equity Futures'!$A:$A,$A21),SUMIFS('Monthly NSE Equity Futures'!$I:$I,'Monthly NSE Equity Futures'!$B:$B,$A21)))</f>
        <v>388863723</v>
      </c>
      <c r="K21" s="7">
        <f>IF(SUMIFS('Year BSE Equity Futures'!$G:$G,'Year BSE Equity Futures'!$A:$A,$A21)=0,"",SUMIFS('Year BSE Equity Futures'!$G:$G,'Year BSE Equity Futures'!$A:$A,$A21))</f>
        <v>651</v>
      </c>
      <c r="L21" s="7">
        <f t="shared" si="3"/>
        <v>388864374</v>
      </c>
      <c r="M21" s="19">
        <f t="shared" si="4"/>
        <v>0.99999832589446724</v>
      </c>
      <c r="N21" s="19">
        <f t="shared" si="5"/>
        <v>1.6741055327428889E-6</v>
      </c>
    </row>
    <row r="22" spans="1:14" x14ac:dyDescent="0.2">
      <c r="A22" s="4" t="s">
        <v>94</v>
      </c>
      <c r="B22" s="14">
        <f>IF(MAX(SUMIFS('Year NSE Equity Futures'!$F:$F,'Year NSE Equity Futures'!$A:$A,$A22),SUMIFS('Monthly NSE Equity Futures'!$H:$H,'Monthly NSE Equity Futures'!$B:$B,$A22))=0,"",MAX(SUMIFS('Year NSE Equity Futures'!$F:$F,'Year NSE Equity Futures'!$A:$A,$A22),SUMIFS('Monthly NSE Equity Futures'!$H:$H,'Monthly NSE Equity Futures'!$B:$B,$A22)))</f>
        <v>329640.83750000002</v>
      </c>
      <c r="C22" s="6">
        <f>IF(SUMIFS('Year BSE Equity Futures'!$F:$F,'Year BSE Equity Futures'!$A:$A,$A22)=0,"",SUMIFS('Year BSE Equity Futures'!$F:$F,'Year BSE Equity Futures'!$A:$A,$A22))</f>
        <v>202.47219999999999</v>
      </c>
      <c r="D22" s="6">
        <f t="shared" si="0"/>
        <v>329843.30970000004</v>
      </c>
      <c r="E22" s="15">
        <f t="shared" si="1"/>
        <v>0.99938615641413442</v>
      </c>
      <c r="F22" s="15">
        <f t="shared" si="2"/>
        <v>6.138435858655221E-4</v>
      </c>
      <c r="G22" s="20">
        <f t="shared" si="6"/>
        <v>0.15287295279867963</v>
      </c>
      <c r="H22" s="15">
        <f t="shared" si="7"/>
        <v>344.22114236999141</v>
      </c>
      <c r="I22" s="15">
        <f t="shared" si="8"/>
        <v>0.15357870491688241</v>
      </c>
      <c r="J22" s="18">
        <f>IF(MAX(SUMIFS('Year NSE Equity Futures'!$G:$G,'Year NSE Equity Futures'!$A:$A,$A22),SUMIFS('Monthly NSE Equity Futures'!$I:$I,'Monthly NSE Equity Futures'!$B:$B,$A22))=0,"",MAX(SUMIFS('Year NSE Equity Futures'!$G:$G,'Year NSE Equity Futures'!$A:$A,$A22),SUMIFS('Monthly NSE Equity Futures'!$I:$I,'Monthly NSE Equity Futures'!$B:$B,$A22)))</f>
        <v>411226317</v>
      </c>
      <c r="K22" s="7">
        <f>IF(SUMIFS('Year BSE Equity Futures'!$G:$G,'Year BSE Equity Futures'!$A:$A,$A22)=0,"",SUMIFS('Year BSE Equity Futures'!$G:$G,'Year BSE Equity Futures'!$A:$A,$A22))</f>
        <v>281533</v>
      </c>
      <c r="L22" s="7">
        <f t="shared" si="3"/>
        <v>411507850</v>
      </c>
      <c r="M22" s="19">
        <f t="shared" si="4"/>
        <v>0.99931585023226166</v>
      </c>
      <c r="N22" s="19">
        <f t="shared" si="5"/>
        <v>6.8414976773833113E-4</v>
      </c>
    </row>
    <row r="23" spans="1:14" x14ac:dyDescent="0.2">
      <c r="A23" s="4" t="s">
        <v>95</v>
      </c>
      <c r="B23" s="14">
        <f>IF(MAX(SUMIFS('Year NSE Equity Futures'!$F:$F,'Year NSE Equity Futures'!$A:$A,$A23),SUMIFS('Monthly NSE Equity Futures'!$H:$H,'Monthly NSE Equity Futures'!$B:$B,$A23))=0,"",MAX(SUMIFS('Year NSE Equity Futures'!$F:$F,'Year NSE Equity Futures'!$A:$A,$A23),SUMIFS('Monthly NSE Equity Futures'!$H:$H,'Monthly NSE Equity Futures'!$B:$B,$A23)))</f>
        <v>462894.58840000012</v>
      </c>
      <c r="C23" s="6">
        <f>IF(SUMIFS('Year BSE Equity Futures'!$F:$F,'Year BSE Equity Futures'!$A:$A,$A23)=0,"",SUMIFS('Year BSE Equity Futures'!$F:$F,'Year BSE Equity Futures'!$A:$A,$A23))</f>
        <v>515.78229999999996</v>
      </c>
      <c r="D23" s="6">
        <f t="shared" si="0"/>
        <v>463410.37070000015</v>
      </c>
      <c r="E23" s="15">
        <f t="shared" si="1"/>
        <v>0.99888698584966729</v>
      </c>
      <c r="F23" s="15">
        <f t="shared" si="2"/>
        <v>1.113014150332652E-3</v>
      </c>
      <c r="G23" s="20">
        <f t="shared" si="6"/>
        <v>0.4042392074677339</v>
      </c>
      <c r="H23" s="15">
        <f t="shared" si="7"/>
        <v>1.5474228066865474</v>
      </c>
      <c r="I23" s="15">
        <f t="shared" si="8"/>
        <v>0.40494094338758102</v>
      </c>
      <c r="J23" s="18">
        <f>IF(MAX(SUMIFS('Year NSE Equity Futures'!$G:$G,'Year NSE Equity Futures'!$A:$A,$A23),SUMIFS('Monthly NSE Equity Futures'!$I:$I,'Monthly NSE Equity Futures'!$B:$B,$A23))=0,"",MAX(SUMIFS('Year NSE Equity Futures'!$G:$G,'Year NSE Equity Futures'!$A:$A,$A23),SUMIFS('Monthly NSE Equity Futures'!$I:$I,'Monthly NSE Equity Futures'!$B:$B,$A23)))</f>
        <v>636068766</v>
      </c>
      <c r="K23" s="7">
        <f>IF(SUMIFS('Year BSE Equity Futures'!$G:$G,'Year BSE Equity Futures'!$A:$A,$A23)=0,"",SUMIFS('Year BSE Equity Futures'!$G:$G,'Year BSE Equity Futures'!$A:$A,$A23))</f>
        <v>564324</v>
      </c>
      <c r="L23" s="7">
        <f t="shared" si="3"/>
        <v>636633090</v>
      </c>
      <c r="M23" s="19">
        <f t="shared" si="4"/>
        <v>0.99911358047694321</v>
      </c>
      <c r="N23" s="19">
        <f t="shared" si="5"/>
        <v>8.8641952305683639E-4</v>
      </c>
    </row>
    <row r="24" spans="1:14" x14ac:dyDescent="0.2">
      <c r="A24" s="4" t="s">
        <v>96</v>
      </c>
      <c r="B24" s="14">
        <f>IF(MAX(SUMIFS('Year NSE Equity Futures'!$F:$F,'Year NSE Equity Futures'!$A:$A,$A24),SUMIFS('Monthly NSE Equity Futures'!$H:$H,'Monthly NSE Equity Futures'!$B:$B,$A24))=0,"",MAX(SUMIFS('Year NSE Equity Futures'!$F:$F,'Year NSE Equity Futures'!$A:$A,$A24),SUMIFS('Monthly NSE Equity Futures'!$H:$H,'Monthly NSE Equity Futures'!$B:$B,$A24)))</f>
        <v>393824.73640000005</v>
      </c>
      <c r="C24" s="6">
        <f>IF(SUMIFS('Year BSE Equity Futures'!$F:$F,'Year BSE Equity Futures'!$A:$A,$A24)=0,"",SUMIFS('Year BSE Equity Futures'!$F:$F,'Year BSE Equity Futures'!$A:$A,$A24))</f>
        <v>845.24919999999997</v>
      </c>
      <c r="D24" s="6">
        <f t="shared" si="0"/>
        <v>394669.98560000007</v>
      </c>
      <c r="E24" s="15">
        <f t="shared" si="1"/>
        <v>0.99785833929399259</v>
      </c>
      <c r="F24" s="15">
        <f t="shared" si="2"/>
        <v>2.1416607060073325E-3</v>
      </c>
      <c r="G24" s="20">
        <f t="shared" si="6"/>
        <v>-0.14921291743491905</v>
      </c>
      <c r="H24" s="15">
        <f t="shared" si="7"/>
        <v>0.63877124127757012</v>
      </c>
      <c r="I24" s="15">
        <f t="shared" si="8"/>
        <v>-0.14833587991603414</v>
      </c>
      <c r="J24" s="18">
        <f>IF(MAX(SUMIFS('Year NSE Equity Futures'!$G:$G,'Year NSE Equity Futures'!$A:$A,$A24),SUMIFS('Monthly NSE Equity Futures'!$I:$I,'Monthly NSE Equity Futures'!$B:$B,$A24))=0,"",MAX(SUMIFS('Year NSE Equity Futures'!$G:$G,'Year NSE Equity Futures'!$A:$A,$A24),SUMIFS('Monthly NSE Equity Futures'!$I:$I,'Monthly NSE Equity Futures'!$B:$B,$A24)))</f>
        <v>523538124</v>
      </c>
      <c r="K24" s="7">
        <f>IF(SUMIFS('Year BSE Equity Futures'!$G:$G,'Year BSE Equity Futures'!$A:$A,$A24)=0,"",SUMIFS('Year BSE Equity Futures'!$G:$G,'Year BSE Equity Futures'!$A:$A,$A24))</f>
        <v>529059</v>
      </c>
      <c r="L24" s="7">
        <f t="shared" si="3"/>
        <v>524067183</v>
      </c>
      <c r="M24" s="19">
        <f t="shared" si="4"/>
        <v>0.99899047485291592</v>
      </c>
      <c r="N24" s="19">
        <f t="shared" si="5"/>
        <v>1.0095251470840525E-3</v>
      </c>
    </row>
    <row r="25" spans="1:14" x14ac:dyDescent="0.2">
      <c r="A25" s="4" t="s">
        <v>97</v>
      </c>
      <c r="B25" s="14">
        <f>IF(MAX(SUMIFS('Year NSE Equity Futures'!$F:$F,'Year NSE Equity Futures'!$A:$A,$A25),SUMIFS('Monthly NSE Equity Futures'!$H:$H,'Monthly NSE Equity Futures'!$B:$B,$A25))=0,"",MAX(SUMIFS('Year NSE Equity Futures'!$F:$F,'Year NSE Equity Futures'!$A:$A,$A25),SUMIFS('Monthly NSE Equity Futures'!$H:$H,'Monthly NSE Equity Futures'!$B:$B,$A25)))</f>
        <v>136565.33230000001</v>
      </c>
      <c r="C25" s="6">
        <f>IF(SUMIFS('Year BSE Equity Futures'!$F:$F,'Year BSE Equity Futures'!$A:$A,$A25)=0,"",SUMIFS('Year BSE Equity Futures'!$F:$F,'Year BSE Equity Futures'!$A:$A,$A25))</f>
        <v>339.53129999999999</v>
      </c>
      <c r="D25" s="6">
        <f t="shared" si="0"/>
        <v>136904.86360000001</v>
      </c>
      <c r="E25" s="15">
        <f t="shared" si="1"/>
        <v>0.9975199471291829</v>
      </c>
      <c r="F25" s="15">
        <f t="shared" si="2"/>
        <v>2.4800528708170742E-3</v>
      </c>
      <c r="G25" s="20">
        <f t="shared" si="6"/>
        <v>-0.65323322869873446</v>
      </c>
      <c r="H25" s="15">
        <f t="shared" si="7"/>
        <v>-0.5983062746465776</v>
      </c>
      <c r="I25" s="15">
        <f t="shared" si="8"/>
        <v>-0.65311559379954032</v>
      </c>
      <c r="J25" s="18">
        <f>IF(MAX(SUMIFS('Year NSE Equity Futures'!$G:$G,'Year NSE Equity Futures'!$A:$A,$A25),SUMIFS('Monthly NSE Equity Futures'!$I:$I,'Monthly NSE Equity Futures'!$B:$B,$A25))=0,"",MAX(SUMIFS('Year NSE Equity Futures'!$G:$G,'Year NSE Equity Futures'!$A:$A,$A25),SUMIFS('Monthly NSE Equity Futures'!$I:$I,'Monthly NSE Equity Futures'!$B:$B,$A25)))</f>
        <v>189867826</v>
      </c>
      <c r="K25" s="7">
        <f>IF(SUMIFS('Year BSE Equity Futures'!$G:$G,'Year BSE Equity Futures'!$A:$A,$A25)=0,"",SUMIFS('Year BSE Equity Futures'!$G:$G,'Year BSE Equity Futures'!$A:$A,$A25))</f>
        <v>221567</v>
      </c>
      <c r="L25" s="7">
        <f t="shared" si="3"/>
        <v>190089393</v>
      </c>
      <c r="M25" s="19">
        <f t="shared" si="4"/>
        <v>0.99883440629430598</v>
      </c>
      <c r="N25" s="19">
        <f t="shared" si="5"/>
        <v>1.1655937056940363E-3</v>
      </c>
    </row>
    <row r="27" spans="1:14" x14ac:dyDescent="0.2">
      <c r="A27" s="1" t="s">
        <v>98</v>
      </c>
    </row>
    <row r="28" spans="1:14" x14ac:dyDescent="0.2">
      <c r="A28" s="4" t="s">
        <v>99</v>
      </c>
      <c r="B28" s="5">
        <f>COUNTIF('Daily NSE Equity Futures'!$A:$A,"&gt;="&amp;DATE(2026,4,1))</f>
        <v>97</v>
      </c>
    </row>
    <row r="29" spans="1:14" x14ac:dyDescent="0.2">
      <c r="A29" s="4" t="s">
        <v>100</v>
      </c>
      <c r="B29" s="9">
        <f>DATE(2025,4,1)</f>
        <v>45748</v>
      </c>
      <c r="C29" s="9">
        <f>INDEX('Daily NSE Equity Futures'!$A:$A,COUNTIF('Daily NSE Equity Futures'!$A:$A,"&lt;"&amp;DATE(2025,4,1))+1+$B28)</f>
        <v>45889</v>
      </c>
    </row>
    <row r="30" spans="1:14" x14ac:dyDescent="0.2">
      <c r="B30" s="2" t="s">
        <v>61</v>
      </c>
      <c r="C30" s="2" t="s">
        <v>62</v>
      </c>
      <c r="D30" s="2" t="s">
        <v>63</v>
      </c>
      <c r="E30" s="2" t="s">
        <v>64</v>
      </c>
      <c r="F30" s="2" t="s">
        <v>65</v>
      </c>
      <c r="J30" s="3" t="s">
        <v>69</v>
      </c>
      <c r="K30" s="3" t="s">
        <v>70</v>
      </c>
      <c r="L30" s="3" t="s">
        <v>71</v>
      </c>
      <c r="M30" s="3" t="s">
        <v>72</v>
      </c>
      <c r="N30" s="3" t="s">
        <v>73</v>
      </c>
    </row>
    <row r="31" spans="1:14" x14ac:dyDescent="0.2">
      <c r="A31" s="4" t="s">
        <v>101</v>
      </c>
      <c r="B31" s="6">
        <f>SUMIFS('Daily NSE Equity Futures'!$I:$I,'Daily NSE Equity Futures'!$A:$A,"&gt;="&amp;$B$29,'Daily NSE Equity Futures'!$A:$A,"&lt;="&amp;$C$29)</f>
        <v>147287.09940000001</v>
      </c>
      <c r="C31" s="6">
        <f>SUMIFS('Daily BSE Equity Futures'!$I:$I,'Daily BSE Equity Futures'!$A:$A,"&gt;="&amp;$B$29,'Daily BSE Equity Futures'!$A:$A,"&lt;="&amp;$C$29)</f>
        <v>328.26400000000018</v>
      </c>
      <c r="D31" s="6">
        <f>B31+C31</f>
        <v>147615.3634</v>
      </c>
      <c r="E31" s="15">
        <f>IF(D31=0,"",B31/D31)</f>
        <v>0.99777622062880755</v>
      </c>
      <c r="F31" s="15">
        <f>IF(D31=0,"",C31/D31)</f>
        <v>2.2237793711924717E-3</v>
      </c>
      <c r="J31" s="7">
        <f>SUMIFS('Daily NSE Equity Futures'!$J:$J,'Daily NSE Equity Futures'!$A:$A,"&gt;="&amp;$B$29,'Daily NSE Equity Futures'!$A:$A,"&lt;="&amp;$C$29)</f>
        <v>198081278</v>
      </c>
      <c r="K31" s="7">
        <f>SUMIFS('Daily BSE Equity Futures'!$J:$J,'Daily BSE Equity Futures'!$A:$A,"&gt;="&amp;$B$29,'Daily BSE Equity Futures'!$A:$A,"&lt;="&amp;$C$29)</f>
        <v>208467</v>
      </c>
      <c r="L31" s="7">
        <f>J31+K31</f>
        <v>198289745</v>
      </c>
      <c r="M31" s="19">
        <f>IF(L31=0,"",J31/L31)</f>
        <v>0.99894867482935135</v>
      </c>
      <c r="N31" s="19">
        <f>IF(L31=0,"",K31/L31)</f>
        <v>1.0513251706486385E-3</v>
      </c>
    </row>
    <row r="32" spans="1:14" x14ac:dyDescent="0.2">
      <c r="A32" s="4" t="s">
        <v>102</v>
      </c>
      <c r="B32" s="6">
        <f>SUMIFS('Daily NSE Equity Futures'!$I:$I,'Daily NSE Equity Futures'!$A:$A,"&gt;="&amp;DATE(2026,4,1))</f>
        <v>136565.33230000007</v>
      </c>
      <c r="C32" s="6">
        <f>SUMIFS('Daily BSE Equity Futures'!$I:$I,'Daily BSE Equity Futures'!$A:$A,"&gt;="&amp;DATE(2026,4,1))</f>
        <v>339.53129999999987</v>
      </c>
      <c r="D32" s="6">
        <f>B32+C32</f>
        <v>136904.86360000007</v>
      </c>
      <c r="E32" s="15">
        <f>IF(D32=0,"",B32/D32)</f>
        <v>0.9975199471291829</v>
      </c>
      <c r="F32" s="15">
        <f>IF(D32=0,"",C32/D32)</f>
        <v>2.4800528708170725E-3</v>
      </c>
      <c r="J32" s="7">
        <f>SUMIFS('Daily NSE Equity Futures'!$J:$J,'Daily NSE Equity Futures'!$A:$A,"&gt;="&amp;DATE(2026,4,1))</f>
        <v>189867826</v>
      </c>
      <c r="K32" s="7">
        <f>SUMIFS('Daily BSE Equity Futures'!$J:$J,'Daily BSE Equity Futures'!$A:$A,"&gt;="&amp;DATE(2026,4,1))</f>
        <v>221567</v>
      </c>
      <c r="L32" s="7">
        <f>J32+K32</f>
        <v>190089393</v>
      </c>
      <c r="M32" s="19">
        <f>IF(L32=0,"",J32/L32)</f>
        <v>0.99883440629430598</v>
      </c>
      <c r="N32" s="19">
        <f>IF(L32=0,"",K32/L32)</f>
        <v>1.1655937056940363E-3</v>
      </c>
    </row>
    <row r="33" spans="1:12" x14ac:dyDescent="0.2">
      <c r="A33" s="1" t="s">
        <v>103</v>
      </c>
      <c r="B33" s="15">
        <f>IF(OR(B31=0,B31=""),"",B32/B31-1)</f>
        <v>-7.2795018325956251E-2</v>
      </c>
      <c r="C33" s="15">
        <f>IF(OR(C31=0,C31=""),"",C32/C31-1)</f>
        <v>3.4323897838324235E-2</v>
      </c>
      <c r="D33" s="15">
        <f>IF(OR(D31=0,D31=""),"",D32/D31-1)</f>
        <v>-7.25568094899256E-2</v>
      </c>
      <c r="J33" s="19">
        <f>IF(OR(J31=0,J31=""),"",J32/J31-1)</f>
        <v>-4.1465059610530153E-2</v>
      </c>
      <c r="K33" s="19">
        <f>IF(OR(K31=0,K31=""),"",K32/K31-1)</f>
        <v>6.2839682059990354E-2</v>
      </c>
      <c r="L33" s="19">
        <f>IF(OR(L31=0,L31=""),"",L32/L31-1)</f>
        <v>-4.1355401410194004E-2</v>
      </c>
    </row>
  </sheetData>
  <conditionalFormatting sqref="E2:E25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F2:F25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M2:M25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N2:N25">
    <cfRule type="colorScale" priority="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4" width="22" customWidth="1"/>
    <col min="5" max="6" width="16" customWidth="1"/>
    <col min="7" max="12" width="14" customWidth="1"/>
    <col min="13" max="15" width="22" customWidth="1"/>
    <col min="16" max="17" width="16" customWidth="1"/>
  </cols>
  <sheetData>
    <row r="1" spans="1:17" x14ac:dyDescent="0.2">
      <c r="A1" s="1" t="s">
        <v>104</v>
      </c>
      <c r="B1" s="1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12" t="s">
        <v>66</v>
      </c>
      <c r="H1" s="2" t="s">
        <v>67</v>
      </c>
      <c r="I1" s="2" t="s">
        <v>68</v>
      </c>
      <c r="J1" s="2" t="s">
        <v>105</v>
      </c>
      <c r="K1" s="2" t="s">
        <v>106</v>
      </c>
      <c r="L1" s="2" t="s">
        <v>107</v>
      </c>
      <c r="M1" s="13" t="s">
        <v>69</v>
      </c>
      <c r="N1" s="3" t="s">
        <v>70</v>
      </c>
      <c r="O1" s="3" t="s">
        <v>71</v>
      </c>
      <c r="P1" s="3" t="s">
        <v>72</v>
      </c>
      <c r="Q1" s="3" t="s">
        <v>73</v>
      </c>
    </row>
    <row r="2" spans="1:17" x14ac:dyDescent="0.2">
      <c r="A2" s="4" t="s">
        <v>108</v>
      </c>
      <c r="B2" s="14" t="str">
        <f>IF(SUMIFS('Monthly NSE Equity Futures'!$H:$H,'Monthly NSE Equity Futures'!$C:$C,$A2)=0,"",SUMIFS('Monthly NSE Equity Futures'!$H:$H,'Monthly NSE Equity Futures'!$C:$C,$A2))</f>
        <v/>
      </c>
      <c r="C2" s="6">
        <f>IF(SUMIFS('Monthly BSE Equity Futures'!$H:$H,'Monthly BSE Equity Futures'!$C:$C,$A2)=0,"",SUMIFS('Monthly BSE Equity Futures'!$H:$H,'Monthly BSE Equity Futures'!$C:$C,$A2))</f>
        <v>47.6297</v>
      </c>
      <c r="D2" s="6" t="str">
        <f t="shared" ref="D2:D33" si="0">IF(OR(B2="",C2=""),"",B2+C2)</f>
        <v/>
      </c>
      <c r="E2" s="15" t="str">
        <f t="shared" ref="E2:E33" si="1">IF(D2="","",B2/D2)</f>
        <v/>
      </c>
      <c r="F2" s="15" t="str">
        <f t="shared" ref="F2:F33" si="2">IF(D2="","",C2/D2)</f>
        <v/>
      </c>
      <c r="G2" s="16"/>
      <c r="H2" s="17"/>
      <c r="I2" s="17"/>
      <c r="J2" s="17"/>
      <c r="K2" s="17"/>
      <c r="L2" s="17"/>
      <c r="M2" s="18" t="str">
        <f>IF(SUMIFS('Monthly NSE Equity Futures'!$I:$I,'Monthly NSE Equity Futures'!$C:$C,$A2)=0,"",SUMIFS('Monthly NSE Equity Futures'!$I:$I,'Monthly NSE Equity Futures'!$C:$C,$A2))</f>
        <v/>
      </c>
      <c r="N2" s="7">
        <f>IF(SUMIFS('Monthly BSE Equity Futures'!$I:$I,'Monthly BSE Equity Futures'!$C:$C,$A2)=0,"",SUMIFS('Monthly BSE Equity Futures'!$I:$I,'Monthly BSE Equity Futures'!$C:$C,$A2))</f>
        <v>137214</v>
      </c>
      <c r="O2" s="7" t="str">
        <f t="shared" ref="O2:O33" si="3">IF(OR(M2="",N2=""),"",M2+N2)</f>
        <v/>
      </c>
      <c r="P2" s="19" t="str">
        <f t="shared" ref="P2:P33" si="4">IF(O2="","",M2/O2)</f>
        <v/>
      </c>
      <c r="Q2" s="19" t="str">
        <f t="shared" ref="Q2:Q33" si="5">IF(O2="","",N2/O2)</f>
        <v/>
      </c>
    </row>
    <row r="3" spans="1:17" x14ac:dyDescent="0.2">
      <c r="A3" s="4" t="s">
        <v>109</v>
      </c>
      <c r="B3" s="14" t="str">
        <f>IF(SUMIFS('Monthly NSE Equity Futures'!$H:$H,'Monthly NSE Equity Futures'!$C:$C,$A3)=0,"",SUMIFS('Monthly NSE Equity Futures'!$H:$H,'Monthly NSE Equity Futures'!$C:$C,$A3))</f>
        <v/>
      </c>
      <c r="C3" s="6">
        <f>IF(SUMIFS('Monthly BSE Equity Futures'!$H:$H,'Monthly BSE Equity Futures'!$C:$C,$A3)=0,"",SUMIFS('Monthly BSE Equity Futures'!$H:$H,'Monthly BSE Equity Futures'!$C:$C,$A3))</f>
        <v>1.2356</v>
      </c>
      <c r="D3" s="6" t="str">
        <f t="shared" si="0"/>
        <v/>
      </c>
      <c r="E3" s="15" t="str">
        <f t="shared" si="1"/>
        <v/>
      </c>
      <c r="F3" s="15" t="str">
        <f t="shared" si="2"/>
        <v/>
      </c>
      <c r="G3" s="16"/>
      <c r="H3" s="17"/>
      <c r="I3" s="17"/>
      <c r="J3" s="15" t="str">
        <f t="shared" ref="J3:J34" si="6">IF(OR(B3="",B2=""),"",B3/B2-1)</f>
        <v/>
      </c>
      <c r="K3" s="15">
        <f t="shared" ref="K3:K34" si="7">IF(OR(C3="",C2=""),"",C3/C2-1)</f>
        <v>-0.97405820317994862</v>
      </c>
      <c r="L3" s="15" t="str">
        <f t="shared" ref="L3:L34" si="8">IF(OR(D3="",D2=""),"",D3/D2-1)</f>
        <v/>
      </c>
      <c r="M3" s="18" t="str">
        <f>IF(SUMIFS('Monthly NSE Equity Futures'!$I:$I,'Monthly NSE Equity Futures'!$C:$C,$A3)=0,"",SUMIFS('Monthly NSE Equity Futures'!$I:$I,'Monthly NSE Equity Futures'!$C:$C,$A3))</f>
        <v/>
      </c>
      <c r="N3" s="7">
        <f>IF(SUMIFS('Monthly BSE Equity Futures'!$I:$I,'Monthly BSE Equity Futures'!$C:$C,$A3)=0,"",SUMIFS('Monthly BSE Equity Futures'!$I:$I,'Monthly BSE Equity Futures'!$C:$C,$A3))</f>
        <v>4038</v>
      </c>
      <c r="O3" s="7" t="str">
        <f t="shared" si="3"/>
        <v/>
      </c>
      <c r="P3" s="19" t="str">
        <f t="shared" si="4"/>
        <v/>
      </c>
      <c r="Q3" s="19" t="str">
        <f t="shared" si="5"/>
        <v/>
      </c>
    </row>
    <row r="4" spans="1:17" x14ac:dyDescent="0.2">
      <c r="A4" s="4" t="s">
        <v>110</v>
      </c>
      <c r="B4" s="14" t="str">
        <f>IF(SUMIFS('Monthly NSE Equity Futures'!$H:$H,'Monthly NSE Equity Futures'!$C:$C,$A4)=0,"",SUMIFS('Monthly NSE Equity Futures'!$H:$H,'Monthly NSE Equity Futures'!$C:$C,$A4))</f>
        <v/>
      </c>
      <c r="C4" s="6">
        <f>IF(SUMIFS('Monthly BSE Equity Futures'!$H:$H,'Monthly BSE Equity Futures'!$C:$C,$A4)=0,"",SUMIFS('Monthly BSE Equity Futures'!$H:$H,'Monthly BSE Equity Futures'!$C:$C,$A4))</f>
        <v>8.6648999999999994</v>
      </c>
      <c r="D4" s="6" t="str">
        <f t="shared" si="0"/>
        <v/>
      </c>
      <c r="E4" s="15" t="str">
        <f t="shared" si="1"/>
        <v/>
      </c>
      <c r="F4" s="15" t="str">
        <f t="shared" si="2"/>
        <v/>
      </c>
      <c r="G4" s="16"/>
      <c r="H4" s="17"/>
      <c r="I4" s="17"/>
      <c r="J4" s="15" t="str">
        <f t="shared" si="6"/>
        <v/>
      </c>
      <c r="K4" s="15">
        <f t="shared" si="7"/>
        <v>6.0127063774684357</v>
      </c>
      <c r="L4" s="15" t="str">
        <f t="shared" si="8"/>
        <v/>
      </c>
      <c r="M4" s="18" t="str">
        <f>IF(SUMIFS('Monthly NSE Equity Futures'!$I:$I,'Monthly NSE Equity Futures'!$C:$C,$A4)=0,"",SUMIFS('Monthly NSE Equity Futures'!$I:$I,'Monthly NSE Equity Futures'!$C:$C,$A4))</f>
        <v/>
      </c>
      <c r="N4" s="7">
        <f>IF(SUMIFS('Monthly BSE Equity Futures'!$I:$I,'Monthly BSE Equity Futures'!$C:$C,$A4)=0,"",SUMIFS('Monthly BSE Equity Futures'!$I:$I,'Monthly BSE Equity Futures'!$C:$C,$A4))</f>
        <v>31552</v>
      </c>
      <c r="O4" s="7" t="str">
        <f t="shared" si="3"/>
        <v/>
      </c>
      <c r="P4" s="19" t="str">
        <f t="shared" si="4"/>
        <v/>
      </c>
      <c r="Q4" s="19" t="str">
        <f t="shared" si="5"/>
        <v/>
      </c>
    </row>
    <row r="5" spans="1:17" x14ac:dyDescent="0.2">
      <c r="A5" s="4" t="s">
        <v>111</v>
      </c>
      <c r="B5" s="14" t="str">
        <f>IF(SUMIFS('Monthly NSE Equity Futures'!$H:$H,'Monthly NSE Equity Futures'!$C:$C,$A5)=0,"",SUMIFS('Monthly NSE Equity Futures'!$H:$H,'Monthly NSE Equity Futures'!$C:$C,$A5))</f>
        <v/>
      </c>
      <c r="C5" s="6">
        <f>IF(SUMIFS('Monthly BSE Equity Futures'!$H:$H,'Monthly BSE Equity Futures'!$C:$C,$A5)=0,"",SUMIFS('Monthly BSE Equity Futures'!$H:$H,'Monthly BSE Equity Futures'!$C:$C,$A5))</f>
        <v>114.94030000000001</v>
      </c>
      <c r="D5" s="6" t="str">
        <f t="shared" si="0"/>
        <v/>
      </c>
      <c r="E5" s="15" t="str">
        <f t="shared" si="1"/>
        <v/>
      </c>
      <c r="F5" s="15" t="str">
        <f t="shared" si="2"/>
        <v/>
      </c>
      <c r="G5" s="16"/>
      <c r="H5" s="17"/>
      <c r="I5" s="17"/>
      <c r="J5" s="15" t="str">
        <f t="shared" si="6"/>
        <v/>
      </c>
      <c r="K5" s="15">
        <f t="shared" si="7"/>
        <v>12.265046336368568</v>
      </c>
      <c r="L5" s="15" t="str">
        <f t="shared" si="8"/>
        <v/>
      </c>
      <c r="M5" s="18" t="str">
        <f>IF(SUMIFS('Monthly NSE Equity Futures'!$I:$I,'Monthly NSE Equity Futures'!$C:$C,$A5)=0,"",SUMIFS('Monthly NSE Equity Futures'!$I:$I,'Monthly NSE Equity Futures'!$C:$C,$A5))</f>
        <v/>
      </c>
      <c r="N5" s="7">
        <f>IF(SUMIFS('Monthly BSE Equity Futures'!$I:$I,'Monthly BSE Equity Futures'!$C:$C,$A5)=0,"",SUMIFS('Monthly BSE Equity Futures'!$I:$I,'Monthly BSE Equity Futures'!$C:$C,$A5))</f>
        <v>379839</v>
      </c>
      <c r="O5" s="7" t="str">
        <f t="shared" si="3"/>
        <v/>
      </c>
      <c r="P5" s="19" t="str">
        <f t="shared" si="4"/>
        <v/>
      </c>
      <c r="Q5" s="19" t="str">
        <f t="shared" si="5"/>
        <v/>
      </c>
    </row>
    <row r="6" spans="1:17" x14ac:dyDescent="0.2">
      <c r="A6" s="4" t="s">
        <v>112</v>
      </c>
      <c r="B6" s="14" t="str">
        <f>IF(SUMIFS('Monthly NSE Equity Futures'!$H:$H,'Monthly NSE Equity Futures'!$C:$C,$A6)=0,"",SUMIFS('Monthly NSE Equity Futures'!$H:$H,'Monthly NSE Equity Futures'!$C:$C,$A6))</f>
        <v/>
      </c>
      <c r="C6" s="6">
        <f>IF(SUMIFS('Monthly BSE Equity Futures'!$H:$H,'Monthly BSE Equity Futures'!$C:$C,$A6)=0,"",SUMIFS('Monthly BSE Equity Futures'!$H:$H,'Monthly BSE Equity Futures'!$C:$C,$A6))</f>
        <v>13.2843</v>
      </c>
      <c r="D6" s="6" t="str">
        <f t="shared" si="0"/>
        <v/>
      </c>
      <c r="E6" s="15" t="str">
        <f t="shared" si="1"/>
        <v/>
      </c>
      <c r="F6" s="15" t="str">
        <f t="shared" si="2"/>
        <v/>
      </c>
      <c r="G6" s="20" t="str">
        <f t="shared" ref="G6:G37" si="9">IF(OR(B6="",B2=""),"",B6/B2-1)</f>
        <v/>
      </c>
      <c r="H6" s="15">
        <f t="shared" ref="H6:H37" si="10">IF(OR(C6="",C2=""),"",C6/C2-1)</f>
        <v>-0.72109209169908683</v>
      </c>
      <c r="I6" s="15" t="str">
        <f t="shared" ref="I6:I37" si="11">IF(OR(D6="",D2=""),"",D6/D2-1)</f>
        <v/>
      </c>
      <c r="J6" s="15" t="str">
        <f t="shared" si="6"/>
        <v/>
      </c>
      <c r="K6" s="15">
        <f t="shared" si="7"/>
        <v>-0.88442434898812694</v>
      </c>
      <c r="L6" s="15" t="str">
        <f t="shared" si="8"/>
        <v/>
      </c>
      <c r="M6" s="18" t="str">
        <f>IF(SUMIFS('Monthly NSE Equity Futures'!$I:$I,'Monthly NSE Equity Futures'!$C:$C,$A6)=0,"",SUMIFS('Monthly NSE Equity Futures'!$I:$I,'Monthly NSE Equity Futures'!$C:$C,$A6))</f>
        <v/>
      </c>
      <c r="N6" s="7">
        <f>IF(SUMIFS('Monthly BSE Equity Futures'!$I:$I,'Monthly BSE Equity Futures'!$C:$C,$A6)=0,"",SUMIFS('Monthly BSE Equity Futures'!$I:$I,'Monthly BSE Equity Futures'!$C:$C,$A6))</f>
        <v>40926</v>
      </c>
      <c r="O6" s="7" t="str">
        <f t="shared" si="3"/>
        <v/>
      </c>
      <c r="P6" s="19" t="str">
        <f t="shared" si="4"/>
        <v/>
      </c>
      <c r="Q6" s="19" t="str">
        <f t="shared" si="5"/>
        <v/>
      </c>
    </row>
    <row r="7" spans="1:17" x14ac:dyDescent="0.2">
      <c r="A7" s="4" t="s">
        <v>113</v>
      </c>
      <c r="B7" s="14" t="str">
        <f>IF(SUMIFS('Monthly NSE Equity Futures'!$H:$H,'Monthly NSE Equity Futures'!$C:$C,$A7)=0,"",SUMIFS('Monthly NSE Equity Futures'!$H:$H,'Monthly NSE Equity Futures'!$C:$C,$A7))</f>
        <v/>
      </c>
      <c r="C7" s="6" t="str">
        <f>IF(SUMIFS('Monthly BSE Equity Futures'!$H:$H,'Monthly BSE Equity Futures'!$C:$C,$A7)=0,"",SUMIFS('Monthly BSE Equity Futures'!$H:$H,'Monthly BSE Equity Futures'!$C:$C,$A7))</f>
        <v/>
      </c>
      <c r="D7" s="6" t="str">
        <f t="shared" si="0"/>
        <v/>
      </c>
      <c r="E7" s="15" t="str">
        <f t="shared" si="1"/>
        <v/>
      </c>
      <c r="F7" s="15" t="str">
        <f t="shared" si="2"/>
        <v/>
      </c>
      <c r="G7" s="20" t="str">
        <f t="shared" si="9"/>
        <v/>
      </c>
      <c r="H7" s="15" t="str">
        <f t="shared" si="10"/>
        <v/>
      </c>
      <c r="I7" s="15" t="str">
        <f t="shared" si="11"/>
        <v/>
      </c>
      <c r="J7" s="15" t="str">
        <f t="shared" si="6"/>
        <v/>
      </c>
      <c r="K7" s="15" t="str">
        <f t="shared" si="7"/>
        <v/>
      </c>
      <c r="L7" s="15" t="str">
        <f t="shared" si="8"/>
        <v/>
      </c>
      <c r="M7" s="18" t="str">
        <f>IF(SUMIFS('Monthly NSE Equity Futures'!$I:$I,'Monthly NSE Equity Futures'!$C:$C,$A7)=0,"",SUMIFS('Monthly NSE Equity Futures'!$I:$I,'Monthly NSE Equity Futures'!$C:$C,$A7))</f>
        <v/>
      </c>
      <c r="N7" s="7" t="str">
        <f>IF(SUMIFS('Monthly BSE Equity Futures'!$I:$I,'Monthly BSE Equity Futures'!$C:$C,$A7)=0,"",SUMIFS('Monthly BSE Equity Futures'!$I:$I,'Monthly BSE Equity Futures'!$C:$C,$A7))</f>
        <v/>
      </c>
      <c r="O7" s="7" t="str">
        <f t="shared" si="3"/>
        <v/>
      </c>
      <c r="P7" s="19" t="str">
        <f t="shared" si="4"/>
        <v/>
      </c>
      <c r="Q7" s="19" t="str">
        <f t="shared" si="5"/>
        <v/>
      </c>
    </row>
    <row r="8" spans="1:17" x14ac:dyDescent="0.2">
      <c r="A8" s="4" t="s">
        <v>114</v>
      </c>
      <c r="B8" s="14" t="str">
        <f>IF(SUMIFS('Monthly NSE Equity Futures'!$H:$H,'Monthly NSE Equity Futures'!$C:$C,$A8)=0,"",SUMIFS('Monthly NSE Equity Futures'!$H:$H,'Monthly NSE Equity Futures'!$C:$C,$A8))</f>
        <v/>
      </c>
      <c r="C8" s="6" t="str">
        <f>IF(SUMIFS('Monthly BSE Equity Futures'!$H:$H,'Monthly BSE Equity Futures'!$C:$C,$A8)=0,"",SUMIFS('Monthly BSE Equity Futures'!$H:$H,'Monthly BSE Equity Futures'!$C:$C,$A8))</f>
        <v/>
      </c>
      <c r="D8" s="6" t="str">
        <f t="shared" si="0"/>
        <v/>
      </c>
      <c r="E8" s="15" t="str">
        <f t="shared" si="1"/>
        <v/>
      </c>
      <c r="F8" s="15" t="str">
        <f t="shared" si="2"/>
        <v/>
      </c>
      <c r="G8" s="20" t="str">
        <f t="shared" si="9"/>
        <v/>
      </c>
      <c r="H8" s="15" t="str">
        <f t="shared" si="10"/>
        <v/>
      </c>
      <c r="I8" s="15" t="str">
        <f t="shared" si="11"/>
        <v/>
      </c>
      <c r="J8" s="15" t="str">
        <f t="shared" si="6"/>
        <v/>
      </c>
      <c r="K8" s="15" t="str">
        <f t="shared" si="7"/>
        <v/>
      </c>
      <c r="L8" s="15" t="str">
        <f t="shared" si="8"/>
        <v/>
      </c>
      <c r="M8" s="18" t="str">
        <f>IF(SUMIFS('Monthly NSE Equity Futures'!$I:$I,'Monthly NSE Equity Futures'!$C:$C,$A8)=0,"",SUMIFS('Monthly NSE Equity Futures'!$I:$I,'Monthly NSE Equity Futures'!$C:$C,$A8))</f>
        <v/>
      </c>
      <c r="N8" s="7" t="str">
        <f>IF(SUMIFS('Monthly BSE Equity Futures'!$I:$I,'Monthly BSE Equity Futures'!$C:$C,$A8)=0,"",SUMIFS('Monthly BSE Equity Futures'!$I:$I,'Monthly BSE Equity Futures'!$C:$C,$A8))</f>
        <v/>
      </c>
      <c r="O8" s="7" t="str">
        <f t="shared" si="3"/>
        <v/>
      </c>
      <c r="P8" s="19" t="str">
        <f t="shared" si="4"/>
        <v/>
      </c>
      <c r="Q8" s="19" t="str">
        <f t="shared" si="5"/>
        <v/>
      </c>
    </row>
    <row r="9" spans="1:17" x14ac:dyDescent="0.2">
      <c r="A9" s="4" t="s">
        <v>115</v>
      </c>
      <c r="B9" s="14" t="str">
        <f>IF(SUMIFS('Monthly NSE Equity Futures'!$H:$H,'Monthly NSE Equity Futures'!$C:$C,$A9)=0,"",SUMIFS('Monthly NSE Equity Futures'!$H:$H,'Monthly NSE Equity Futures'!$C:$C,$A9))</f>
        <v/>
      </c>
      <c r="C9" s="6" t="str">
        <f>IF(SUMIFS('Monthly BSE Equity Futures'!$H:$H,'Monthly BSE Equity Futures'!$C:$C,$A9)=0,"",SUMIFS('Monthly BSE Equity Futures'!$H:$H,'Monthly BSE Equity Futures'!$C:$C,$A9))</f>
        <v/>
      </c>
      <c r="D9" s="6" t="str">
        <f t="shared" si="0"/>
        <v/>
      </c>
      <c r="E9" s="15" t="str">
        <f t="shared" si="1"/>
        <v/>
      </c>
      <c r="F9" s="15" t="str">
        <f t="shared" si="2"/>
        <v/>
      </c>
      <c r="G9" s="20" t="str">
        <f t="shared" si="9"/>
        <v/>
      </c>
      <c r="H9" s="15" t="str">
        <f t="shared" si="10"/>
        <v/>
      </c>
      <c r="I9" s="15" t="str">
        <f t="shared" si="11"/>
        <v/>
      </c>
      <c r="J9" s="15" t="str">
        <f t="shared" si="6"/>
        <v/>
      </c>
      <c r="K9" s="15" t="str">
        <f t="shared" si="7"/>
        <v/>
      </c>
      <c r="L9" s="15" t="str">
        <f t="shared" si="8"/>
        <v/>
      </c>
      <c r="M9" s="18" t="str">
        <f>IF(SUMIFS('Monthly NSE Equity Futures'!$I:$I,'Monthly NSE Equity Futures'!$C:$C,$A9)=0,"",SUMIFS('Monthly NSE Equity Futures'!$I:$I,'Monthly NSE Equity Futures'!$C:$C,$A9))</f>
        <v/>
      </c>
      <c r="N9" s="7" t="str">
        <f>IF(SUMIFS('Monthly BSE Equity Futures'!$I:$I,'Monthly BSE Equity Futures'!$C:$C,$A9)=0,"",SUMIFS('Monthly BSE Equity Futures'!$I:$I,'Monthly BSE Equity Futures'!$C:$C,$A9))</f>
        <v/>
      </c>
      <c r="O9" s="7" t="str">
        <f t="shared" si="3"/>
        <v/>
      </c>
      <c r="P9" s="19" t="str">
        <f t="shared" si="4"/>
        <v/>
      </c>
      <c r="Q9" s="19" t="str">
        <f t="shared" si="5"/>
        <v/>
      </c>
    </row>
    <row r="10" spans="1:17" x14ac:dyDescent="0.2">
      <c r="A10" s="4" t="s">
        <v>116</v>
      </c>
      <c r="B10" s="14" t="str">
        <f>IF(SUMIFS('Monthly NSE Equity Futures'!$H:$H,'Monthly NSE Equity Futures'!$C:$C,$A10)=0,"",SUMIFS('Monthly NSE Equity Futures'!$H:$H,'Monthly NSE Equity Futures'!$C:$C,$A10))</f>
        <v/>
      </c>
      <c r="C10" s="6">
        <f>IF(SUMIFS('Monthly BSE Equity Futures'!$H:$H,'Monthly BSE Equity Futures'!$C:$C,$A10)=0,"",SUMIFS('Monthly BSE Equity Futures'!$H:$H,'Monthly BSE Equity Futures'!$C:$C,$A10))</f>
        <v>5.4899999999999997E-2</v>
      </c>
      <c r="D10" s="6" t="str">
        <f t="shared" si="0"/>
        <v/>
      </c>
      <c r="E10" s="15" t="str">
        <f t="shared" si="1"/>
        <v/>
      </c>
      <c r="F10" s="15" t="str">
        <f t="shared" si="2"/>
        <v/>
      </c>
      <c r="G10" s="20" t="str">
        <f t="shared" si="9"/>
        <v/>
      </c>
      <c r="H10" s="15">
        <f t="shared" si="10"/>
        <v>-0.99586730200311646</v>
      </c>
      <c r="I10" s="15" t="str">
        <f t="shared" si="11"/>
        <v/>
      </c>
      <c r="J10" s="15" t="str">
        <f t="shared" si="6"/>
        <v/>
      </c>
      <c r="K10" s="15" t="str">
        <f t="shared" si="7"/>
        <v/>
      </c>
      <c r="L10" s="15" t="str">
        <f t="shared" si="8"/>
        <v/>
      </c>
      <c r="M10" s="18" t="str">
        <f>IF(SUMIFS('Monthly NSE Equity Futures'!$I:$I,'Monthly NSE Equity Futures'!$C:$C,$A10)=0,"",SUMIFS('Monthly NSE Equity Futures'!$I:$I,'Monthly NSE Equity Futures'!$C:$C,$A10))</f>
        <v/>
      </c>
      <c r="N10" s="7">
        <f>IF(SUMIFS('Monthly BSE Equity Futures'!$I:$I,'Monthly BSE Equity Futures'!$C:$C,$A10)=0,"",SUMIFS('Monthly BSE Equity Futures'!$I:$I,'Monthly BSE Equity Futures'!$C:$C,$A10))</f>
        <v>101</v>
      </c>
      <c r="O10" s="7" t="str">
        <f t="shared" si="3"/>
        <v/>
      </c>
      <c r="P10" s="19" t="str">
        <f t="shared" si="4"/>
        <v/>
      </c>
      <c r="Q10" s="19" t="str">
        <f t="shared" si="5"/>
        <v/>
      </c>
    </row>
    <row r="11" spans="1:17" x14ac:dyDescent="0.2">
      <c r="A11" s="4" t="s">
        <v>117</v>
      </c>
      <c r="B11" s="14" t="str">
        <f>IF(SUMIFS('Monthly NSE Equity Futures'!$H:$H,'Monthly NSE Equity Futures'!$C:$C,$A11)=0,"",SUMIFS('Monthly NSE Equity Futures'!$H:$H,'Monthly NSE Equity Futures'!$C:$C,$A11))</f>
        <v/>
      </c>
      <c r="C11" s="6">
        <f>IF(SUMIFS('Monthly BSE Equity Futures'!$H:$H,'Monthly BSE Equity Futures'!$C:$C,$A11)=0,"",SUMIFS('Monthly BSE Equity Futures'!$H:$H,'Monthly BSE Equity Futures'!$C:$C,$A11))</f>
        <v>0.1903</v>
      </c>
      <c r="D11" s="6" t="str">
        <f t="shared" si="0"/>
        <v/>
      </c>
      <c r="E11" s="15" t="str">
        <f t="shared" si="1"/>
        <v/>
      </c>
      <c r="F11" s="15" t="str">
        <f t="shared" si="2"/>
        <v/>
      </c>
      <c r="G11" s="20" t="str">
        <f t="shared" si="9"/>
        <v/>
      </c>
      <c r="H11" s="15" t="str">
        <f t="shared" si="10"/>
        <v/>
      </c>
      <c r="I11" s="15" t="str">
        <f t="shared" si="11"/>
        <v/>
      </c>
      <c r="J11" s="15" t="str">
        <f t="shared" si="6"/>
        <v/>
      </c>
      <c r="K11" s="15">
        <f t="shared" si="7"/>
        <v>2.4663023679417124</v>
      </c>
      <c r="L11" s="15" t="str">
        <f t="shared" si="8"/>
        <v/>
      </c>
      <c r="M11" s="18" t="str">
        <f>IF(SUMIFS('Monthly NSE Equity Futures'!$I:$I,'Monthly NSE Equity Futures'!$C:$C,$A11)=0,"",SUMIFS('Monthly NSE Equity Futures'!$I:$I,'Monthly NSE Equity Futures'!$C:$C,$A11))</f>
        <v/>
      </c>
      <c r="N11" s="7">
        <f>IF(SUMIFS('Monthly BSE Equity Futures'!$I:$I,'Monthly BSE Equity Futures'!$C:$C,$A11)=0,"",SUMIFS('Monthly BSE Equity Futures'!$I:$I,'Monthly BSE Equity Futures'!$C:$C,$A11))</f>
        <v>370</v>
      </c>
      <c r="O11" s="7" t="str">
        <f t="shared" si="3"/>
        <v/>
      </c>
      <c r="P11" s="19" t="str">
        <f t="shared" si="4"/>
        <v/>
      </c>
      <c r="Q11" s="19" t="str">
        <f t="shared" si="5"/>
        <v/>
      </c>
    </row>
    <row r="12" spans="1:17" x14ac:dyDescent="0.2">
      <c r="A12" s="4" t="s">
        <v>118</v>
      </c>
      <c r="B12" s="14" t="str">
        <f>IF(SUMIFS('Monthly NSE Equity Futures'!$H:$H,'Monthly NSE Equity Futures'!$C:$C,$A12)=0,"",SUMIFS('Monthly NSE Equity Futures'!$H:$H,'Monthly NSE Equity Futures'!$C:$C,$A12))</f>
        <v/>
      </c>
      <c r="C12" s="6">
        <f>IF(SUMIFS('Monthly BSE Equity Futures'!$H:$H,'Monthly BSE Equity Futures'!$C:$C,$A12)=0,"",SUMIFS('Monthly BSE Equity Futures'!$H:$H,'Monthly BSE Equity Futures'!$C:$C,$A12))</f>
        <v>3.5992000000000002</v>
      </c>
      <c r="D12" s="6" t="str">
        <f t="shared" si="0"/>
        <v/>
      </c>
      <c r="E12" s="15" t="str">
        <f t="shared" si="1"/>
        <v/>
      </c>
      <c r="F12" s="15" t="str">
        <f t="shared" si="2"/>
        <v/>
      </c>
      <c r="G12" s="20" t="str">
        <f t="shared" si="9"/>
        <v/>
      </c>
      <c r="H12" s="15" t="str">
        <f t="shared" si="10"/>
        <v/>
      </c>
      <c r="I12" s="15" t="str">
        <f t="shared" si="11"/>
        <v/>
      </c>
      <c r="J12" s="15" t="str">
        <f t="shared" si="6"/>
        <v/>
      </c>
      <c r="K12" s="15">
        <f t="shared" si="7"/>
        <v>17.913294797687861</v>
      </c>
      <c r="L12" s="15" t="str">
        <f t="shared" si="8"/>
        <v/>
      </c>
      <c r="M12" s="18" t="str">
        <f>IF(SUMIFS('Monthly NSE Equity Futures'!$I:$I,'Monthly NSE Equity Futures'!$C:$C,$A12)=0,"",SUMIFS('Monthly NSE Equity Futures'!$I:$I,'Monthly NSE Equity Futures'!$C:$C,$A12))</f>
        <v/>
      </c>
      <c r="N12" s="7">
        <f>IF(SUMIFS('Monthly BSE Equity Futures'!$I:$I,'Monthly BSE Equity Futures'!$C:$C,$A12)=0,"",SUMIFS('Monthly BSE Equity Futures'!$I:$I,'Monthly BSE Equity Futures'!$C:$C,$A12))</f>
        <v>12252</v>
      </c>
      <c r="O12" s="7" t="str">
        <f t="shared" si="3"/>
        <v/>
      </c>
      <c r="P12" s="19" t="str">
        <f t="shared" si="4"/>
        <v/>
      </c>
      <c r="Q12" s="19" t="str">
        <f t="shared" si="5"/>
        <v/>
      </c>
    </row>
    <row r="13" spans="1:17" x14ac:dyDescent="0.2">
      <c r="A13" s="4" t="s">
        <v>119</v>
      </c>
      <c r="B13" s="14" t="str">
        <f>IF(SUMIFS('Monthly NSE Equity Futures'!$H:$H,'Monthly NSE Equity Futures'!$C:$C,$A13)=0,"",SUMIFS('Monthly NSE Equity Futures'!$H:$H,'Monthly NSE Equity Futures'!$C:$C,$A13))</f>
        <v/>
      </c>
      <c r="C13" s="6">
        <f>IF(SUMIFS('Monthly BSE Equity Futures'!$H:$H,'Monthly BSE Equity Futures'!$C:$C,$A13)=0,"",SUMIFS('Monthly BSE Equity Futures'!$H:$H,'Monthly BSE Equity Futures'!$C:$C,$A13))</f>
        <v>176.858</v>
      </c>
      <c r="D13" s="6" t="str">
        <f t="shared" si="0"/>
        <v/>
      </c>
      <c r="E13" s="15" t="str">
        <f t="shared" si="1"/>
        <v/>
      </c>
      <c r="F13" s="15" t="str">
        <f t="shared" si="2"/>
        <v/>
      </c>
      <c r="G13" s="20" t="str">
        <f t="shared" si="9"/>
        <v/>
      </c>
      <c r="H13" s="15" t="str">
        <f t="shared" si="10"/>
        <v/>
      </c>
      <c r="I13" s="15" t="str">
        <f t="shared" si="11"/>
        <v/>
      </c>
      <c r="J13" s="15" t="str">
        <f t="shared" si="6"/>
        <v/>
      </c>
      <c r="K13" s="15">
        <f t="shared" si="7"/>
        <v>48.13814180929095</v>
      </c>
      <c r="L13" s="15" t="str">
        <f t="shared" si="8"/>
        <v/>
      </c>
      <c r="M13" s="18" t="str">
        <f>IF(SUMIFS('Monthly NSE Equity Futures'!$I:$I,'Monthly NSE Equity Futures'!$C:$C,$A13)=0,"",SUMIFS('Monthly NSE Equity Futures'!$I:$I,'Monthly NSE Equity Futures'!$C:$C,$A13))</f>
        <v/>
      </c>
      <c r="N13" s="7">
        <f>IF(SUMIFS('Monthly BSE Equity Futures'!$I:$I,'Monthly BSE Equity Futures'!$C:$C,$A13)=0,"",SUMIFS('Monthly BSE Equity Futures'!$I:$I,'Monthly BSE Equity Futures'!$C:$C,$A13))</f>
        <v>520109</v>
      </c>
      <c r="O13" s="7" t="str">
        <f t="shared" si="3"/>
        <v/>
      </c>
      <c r="P13" s="19" t="str">
        <f t="shared" si="4"/>
        <v/>
      </c>
      <c r="Q13" s="19" t="str">
        <f t="shared" si="5"/>
        <v/>
      </c>
    </row>
    <row r="14" spans="1:17" x14ac:dyDescent="0.2">
      <c r="A14" s="4" t="s">
        <v>120</v>
      </c>
      <c r="B14" s="14" t="str">
        <f>IF(SUMIFS('Monthly NSE Equity Futures'!$H:$H,'Monthly NSE Equity Futures'!$C:$C,$A14)=0,"",SUMIFS('Monthly NSE Equity Futures'!$H:$H,'Monthly NSE Equity Futures'!$C:$C,$A14))</f>
        <v/>
      </c>
      <c r="C14" s="6">
        <f>IF(SUMIFS('Monthly BSE Equity Futures'!$H:$H,'Monthly BSE Equity Futures'!$C:$C,$A14)=0,"",SUMIFS('Monthly BSE Equity Futures'!$H:$H,'Monthly BSE Equity Futures'!$C:$C,$A14))</f>
        <v>409.41609999999997</v>
      </c>
      <c r="D14" s="6" t="str">
        <f t="shared" si="0"/>
        <v/>
      </c>
      <c r="E14" s="15" t="str">
        <f t="shared" si="1"/>
        <v/>
      </c>
      <c r="F14" s="15" t="str">
        <f t="shared" si="2"/>
        <v/>
      </c>
      <c r="G14" s="20" t="str">
        <f t="shared" si="9"/>
        <v/>
      </c>
      <c r="H14" s="15">
        <f t="shared" si="10"/>
        <v>7456.4881602914384</v>
      </c>
      <c r="I14" s="15" t="str">
        <f t="shared" si="11"/>
        <v/>
      </c>
      <c r="J14" s="15" t="str">
        <f t="shared" si="6"/>
        <v/>
      </c>
      <c r="K14" s="15">
        <f t="shared" si="7"/>
        <v>1.314942496239921</v>
      </c>
      <c r="L14" s="15" t="str">
        <f t="shared" si="8"/>
        <v/>
      </c>
      <c r="M14" s="18" t="str">
        <f>IF(SUMIFS('Monthly NSE Equity Futures'!$I:$I,'Monthly NSE Equity Futures'!$C:$C,$A14)=0,"",SUMIFS('Monthly NSE Equity Futures'!$I:$I,'Monthly NSE Equity Futures'!$C:$C,$A14))</f>
        <v/>
      </c>
      <c r="N14" s="7">
        <f>IF(SUMIFS('Monthly BSE Equity Futures'!$I:$I,'Monthly BSE Equity Futures'!$C:$C,$A14)=0,"",SUMIFS('Monthly BSE Equity Futures'!$I:$I,'Monthly BSE Equity Futures'!$C:$C,$A14))</f>
        <v>1248481</v>
      </c>
      <c r="O14" s="7" t="str">
        <f t="shared" si="3"/>
        <v/>
      </c>
      <c r="P14" s="19" t="str">
        <f t="shared" si="4"/>
        <v/>
      </c>
      <c r="Q14" s="19" t="str">
        <f t="shared" si="5"/>
        <v/>
      </c>
    </row>
    <row r="15" spans="1:17" x14ac:dyDescent="0.2">
      <c r="A15" s="4" t="s">
        <v>121</v>
      </c>
      <c r="B15" s="14" t="str">
        <f>IF(SUMIFS('Monthly NSE Equity Futures'!$H:$H,'Monthly NSE Equity Futures'!$C:$C,$A15)=0,"",SUMIFS('Monthly NSE Equity Futures'!$H:$H,'Monthly NSE Equity Futures'!$C:$C,$A15))</f>
        <v/>
      </c>
      <c r="C15" s="6">
        <f>IF(SUMIFS('Monthly BSE Equity Futures'!$H:$H,'Monthly BSE Equity Futures'!$C:$C,$A15)=0,"",SUMIFS('Monthly BSE Equity Futures'!$H:$H,'Monthly BSE Equity Futures'!$C:$C,$A15))</f>
        <v>503.2826</v>
      </c>
      <c r="D15" s="6" t="str">
        <f t="shared" si="0"/>
        <v/>
      </c>
      <c r="E15" s="15" t="str">
        <f t="shared" si="1"/>
        <v/>
      </c>
      <c r="F15" s="15" t="str">
        <f t="shared" si="2"/>
        <v/>
      </c>
      <c r="G15" s="20" t="str">
        <f t="shared" si="9"/>
        <v/>
      </c>
      <c r="H15" s="15">
        <f t="shared" si="10"/>
        <v>2643.6799789805573</v>
      </c>
      <c r="I15" s="15" t="str">
        <f t="shared" si="11"/>
        <v/>
      </c>
      <c r="J15" s="15" t="str">
        <f t="shared" si="6"/>
        <v/>
      </c>
      <c r="K15" s="15">
        <f t="shared" si="7"/>
        <v>0.22926919581325711</v>
      </c>
      <c r="L15" s="15" t="str">
        <f t="shared" si="8"/>
        <v/>
      </c>
      <c r="M15" s="18" t="str">
        <f>IF(SUMIFS('Monthly NSE Equity Futures'!$I:$I,'Monthly NSE Equity Futures'!$C:$C,$A15)=0,"",SUMIFS('Monthly NSE Equity Futures'!$I:$I,'Monthly NSE Equity Futures'!$C:$C,$A15))</f>
        <v/>
      </c>
      <c r="N15" s="7">
        <f>IF(SUMIFS('Monthly BSE Equity Futures'!$I:$I,'Monthly BSE Equity Futures'!$C:$C,$A15)=0,"",SUMIFS('Monthly BSE Equity Futures'!$I:$I,'Monthly BSE Equity Futures'!$C:$C,$A15))</f>
        <v>1485054</v>
      </c>
      <c r="O15" s="7" t="str">
        <f t="shared" si="3"/>
        <v/>
      </c>
      <c r="P15" s="19" t="str">
        <f t="shared" si="4"/>
        <v/>
      </c>
      <c r="Q15" s="19" t="str">
        <f t="shared" si="5"/>
        <v/>
      </c>
    </row>
    <row r="16" spans="1:17" x14ac:dyDescent="0.2">
      <c r="A16" s="4" t="s">
        <v>122</v>
      </c>
      <c r="B16" s="14" t="str">
        <f>IF(SUMIFS('Monthly NSE Equity Futures'!$H:$H,'Monthly NSE Equity Futures'!$C:$C,$A16)=0,"",SUMIFS('Monthly NSE Equity Futures'!$H:$H,'Monthly NSE Equity Futures'!$C:$C,$A16))</f>
        <v/>
      </c>
      <c r="C16" s="6">
        <f>IF(SUMIFS('Monthly BSE Equity Futures'!$H:$H,'Monthly BSE Equity Futures'!$C:$C,$A16)=0,"",SUMIFS('Monthly BSE Equity Futures'!$H:$H,'Monthly BSE Equity Futures'!$C:$C,$A16))</f>
        <v>619.59449999999993</v>
      </c>
      <c r="D16" s="6" t="str">
        <f t="shared" si="0"/>
        <v/>
      </c>
      <c r="E16" s="15" t="str">
        <f t="shared" si="1"/>
        <v/>
      </c>
      <c r="F16" s="15" t="str">
        <f t="shared" si="2"/>
        <v/>
      </c>
      <c r="G16" s="20" t="str">
        <f t="shared" si="9"/>
        <v/>
      </c>
      <c r="H16" s="15">
        <f t="shared" si="10"/>
        <v>171.14783840853519</v>
      </c>
      <c r="I16" s="15" t="str">
        <f t="shared" si="11"/>
        <v/>
      </c>
      <c r="J16" s="15" t="str">
        <f t="shared" si="6"/>
        <v/>
      </c>
      <c r="K16" s="15">
        <f t="shared" si="7"/>
        <v>0.23110653934787329</v>
      </c>
      <c r="L16" s="15" t="str">
        <f t="shared" si="8"/>
        <v/>
      </c>
      <c r="M16" s="18" t="str">
        <f>IF(SUMIFS('Monthly NSE Equity Futures'!$I:$I,'Monthly NSE Equity Futures'!$C:$C,$A16)=0,"",SUMIFS('Monthly NSE Equity Futures'!$I:$I,'Monthly NSE Equity Futures'!$C:$C,$A16))</f>
        <v/>
      </c>
      <c r="N16" s="7">
        <f>IF(SUMIFS('Monthly BSE Equity Futures'!$I:$I,'Monthly BSE Equity Futures'!$C:$C,$A16)=0,"",SUMIFS('Monthly BSE Equity Futures'!$I:$I,'Monthly BSE Equity Futures'!$C:$C,$A16))</f>
        <v>1656810</v>
      </c>
      <c r="O16" s="7" t="str">
        <f t="shared" si="3"/>
        <v/>
      </c>
      <c r="P16" s="19" t="str">
        <f t="shared" si="4"/>
        <v/>
      </c>
      <c r="Q16" s="19" t="str">
        <f t="shared" si="5"/>
        <v/>
      </c>
    </row>
    <row r="17" spans="1:17" x14ac:dyDescent="0.2">
      <c r="A17" s="4" t="s">
        <v>123</v>
      </c>
      <c r="B17" s="14" t="str">
        <f>IF(SUMIFS('Monthly NSE Equity Futures'!$H:$H,'Monthly NSE Equity Futures'!$C:$C,$A17)=0,"",SUMIFS('Monthly NSE Equity Futures'!$H:$H,'Monthly NSE Equity Futures'!$C:$C,$A17))</f>
        <v/>
      </c>
      <c r="C17" s="6">
        <f>IF(SUMIFS('Monthly BSE Equity Futures'!$H:$H,'Monthly BSE Equity Futures'!$C:$C,$A17)=0,"",SUMIFS('Monthly BSE Equity Futures'!$H:$H,'Monthly BSE Equity Futures'!$C:$C,$A17))</f>
        <v>665.66300000000001</v>
      </c>
      <c r="D17" s="6" t="str">
        <f t="shared" si="0"/>
        <v/>
      </c>
      <c r="E17" s="15" t="str">
        <f t="shared" si="1"/>
        <v/>
      </c>
      <c r="F17" s="15" t="str">
        <f t="shared" si="2"/>
        <v/>
      </c>
      <c r="G17" s="20" t="str">
        <f t="shared" si="9"/>
        <v/>
      </c>
      <c r="H17" s="15">
        <f t="shared" si="10"/>
        <v>2.7638274774112563</v>
      </c>
      <c r="I17" s="15" t="str">
        <f t="shared" si="11"/>
        <v/>
      </c>
      <c r="J17" s="15" t="str">
        <f t="shared" si="6"/>
        <v/>
      </c>
      <c r="K17" s="15">
        <f t="shared" si="7"/>
        <v>7.4352661297025779E-2</v>
      </c>
      <c r="L17" s="15" t="str">
        <f t="shared" si="8"/>
        <v/>
      </c>
      <c r="M17" s="18" t="str">
        <f>IF(SUMIFS('Monthly NSE Equity Futures'!$I:$I,'Monthly NSE Equity Futures'!$C:$C,$A17)=0,"",SUMIFS('Monthly NSE Equity Futures'!$I:$I,'Monthly NSE Equity Futures'!$C:$C,$A17))</f>
        <v/>
      </c>
      <c r="N17" s="7">
        <f>IF(SUMIFS('Monthly BSE Equity Futures'!$I:$I,'Monthly BSE Equity Futures'!$C:$C,$A17)=0,"",SUMIFS('Monthly BSE Equity Futures'!$I:$I,'Monthly BSE Equity Futures'!$C:$C,$A17))</f>
        <v>1656622</v>
      </c>
      <c r="O17" s="7" t="str">
        <f t="shared" si="3"/>
        <v/>
      </c>
      <c r="P17" s="19" t="str">
        <f t="shared" si="4"/>
        <v/>
      </c>
      <c r="Q17" s="19" t="str">
        <f t="shared" si="5"/>
        <v/>
      </c>
    </row>
    <row r="18" spans="1:17" x14ac:dyDescent="0.2">
      <c r="A18" s="4" t="s">
        <v>124</v>
      </c>
      <c r="B18" s="14" t="str">
        <f>IF(SUMIFS('Monthly NSE Equity Futures'!$H:$H,'Monthly NSE Equity Futures'!$C:$C,$A18)=0,"",SUMIFS('Monthly NSE Equity Futures'!$H:$H,'Monthly NSE Equity Futures'!$C:$C,$A18))</f>
        <v/>
      </c>
      <c r="C18" s="6">
        <f>IF(SUMIFS('Monthly BSE Equity Futures'!$H:$H,'Monthly BSE Equity Futures'!$C:$C,$A18)=0,"",SUMIFS('Monthly BSE Equity Futures'!$H:$H,'Monthly BSE Equity Futures'!$C:$C,$A18))</f>
        <v>634.15390000000002</v>
      </c>
      <c r="D18" s="6" t="str">
        <f t="shared" si="0"/>
        <v/>
      </c>
      <c r="E18" s="15" t="str">
        <f t="shared" si="1"/>
        <v/>
      </c>
      <c r="F18" s="15" t="str">
        <f t="shared" si="2"/>
        <v/>
      </c>
      <c r="G18" s="20" t="str">
        <f t="shared" si="9"/>
        <v/>
      </c>
      <c r="H18" s="15">
        <f t="shared" si="10"/>
        <v>0.54892272189589053</v>
      </c>
      <c r="I18" s="15" t="str">
        <f t="shared" si="11"/>
        <v/>
      </c>
      <c r="J18" s="15" t="str">
        <f t="shared" si="6"/>
        <v/>
      </c>
      <c r="K18" s="15">
        <f t="shared" si="7"/>
        <v>-4.7334912711086474E-2</v>
      </c>
      <c r="L18" s="15" t="str">
        <f t="shared" si="8"/>
        <v/>
      </c>
      <c r="M18" s="18" t="str">
        <f>IF(SUMIFS('Monthly NSE Equity Futures'!$I:$I,'Monthly NSE Equity Futures'!$C:$C,$A18)=0,"",SUMIFS('Monthly NSE Equity Futures'!$I:$I,'Monthly NSE Equity Futures'!$C:$C,$A18))</f>
        <v/>
      </c>
      <c r="N18" s="7">
        <f>IF(SUMIFS('Monthly BSE Equity Futures'!$I:$I,'Monthly BSE Equity Futures'!$C:$C,$A18)=0,"",SUMIFS('Monthly BSE Equity Futures'!$I:$I,'Monthly BSE Equity Futures'!$C:$C,$A18))</f>
        <v>2653709</v>
      </c>
      <c r="O18" s="7" t="str">
        <f t="shared" si="3"/>
        <v/>
      </c>
      <c r="P18" s="19" t="str">
        <f t="shared" si="4"/>
        <v/>
      </c>
      <c r="Q18" s="19" t="str">
        <f t="shared" si="5"/>
        <v/>
      </c>
    </row>
    <row r="19" spans="1:17" x14ac:dyDescent="0.2">
      <c r="A19" s="4" t="s">
        <v>125</v>
      </c>
      <c r="B19" s="14" t="str">
        <f>IF(SUMIFS('Monthly NSE Equity Futures'!$H:$H,'Monthly NSE Equity Futures'!$C:$C,$A19)=0,"",SUMIFS('Monthly NSE Equity Futures'!$H:$H,'Monthly NSE Equity Futures'!$C:$C,$A19))</f>
        <v/>
      </c>
      <c r="C19" s="6">
        <f>IF(SUMIFS('Monthly BSE Equity Futures'!$H:$H,'Monthly BSE Equity Futures'!$C:$C,$A19)=0,"",SUMIFS('Monthly BSE Equity Futures'!$H:$H,'Monthly BSE Equity Futures'!$C:$C,$A19))</f>
        <v>99.719200000000001</v>
      </c>
      <c r="D19" s="6" t="str">
        <f t="shared" si="0"/>
        <v/>
      </c>
      <c r="E19" s="15" t="str">
        <f t="shared" si="1"/>
        <v/>
      </c>
      <c r="F19" s="15" t="str">
        <f t="shared" si="2"/>
        <v/>
      </c>
      <c r="G19" s="20" t="str">
        <f t="shared" si="9"/>
        <v/>
      </c>
      <c r="H19" s="15">
        <f t="shared" si="10"/>
        <v>-0.80186241288691484</v>
      </c>
      <c r="I19" s="15" t="str">
        <f t="shared" si="11"/>
        <v/>
      </c>
      <c r="J19" s="15" t="str">
        <f t="shared" si="6"/>
        <v/>
      </c>
      <c r="K19" s="15">
        <f t="shared" si="7"/>
        <v>-0.84275236657852304</v>
      </c>
      <c r="L19" s="15" t="str">
        <f t="shared" si="8"/>
        <v/>
      </c>
      <c r="M19" s="18" t="str">
        <f>IF(SUMIFS('Monthly NSE Equity Futures'!$I:$I,'Monthly NSE Equity Futures'!$C:$C,$A19)=0,"",SUMIFS('Monthly NSE Equity Futures'!$I:$I,'Monthly NSE Equity Futures'!$C:$C,$A19))</f>
        <v/>
      </c>
      <c r="N19" s="7">
        <f>IF(SUMIFS('Monthly BSE Equity Futures'!$I:$I,'Monthly BSE Equity Futures'!$C:$C,$A19)=0,"",SUMIFS('Monthly BSE Equity Futures'!$I:$I,'Monthly BSE Equity Futures'!$C:$C,$A19))</f>
        <v>405256</v>
      </c>
      <c r="O19" s="7" t="str">
        <f t="shared" si="3"/>
        <v/>
      </c>
      <c r="P19" s="19" t="str">
        <f t="shared" si="4"/>
        <v/>
      </c>
      <c r="Q19" s="19" t="str">
        <f t="shared" si="5"/>
        <v/>
      </c>
    </row>
    <row r="20" spans="1:17" x14ac:dyDescent="0.2">
      <c r="A20" s="4" t="s">
        <v>126</v>
      </c>
      <c r="B20" s="14" t="str">
        <f>IF(SUMIFS('Monthly NSE Equity Futures'!$H:$H,'Monthly NSE Equity Futures'!$C:$C,$A20)=0,"",SUMIFS('Monthly NSE Equity Futures'!$H:$H,'Monthly NSE Equity Futures'!$C:$C,$A20))</f>
        <v/>
      </c>
      <c r="C20" s="6">
        <f>IF(SUMIFS('Monthly BSE Equity Futures'!$H:$H,'Monthly BSE Equity Futures'!$C:$C,$A20)=0,"",SUMIFS('Monthly BSE Equity Futures'!$H:$H,'Monthly BSE Equity Futures'!$C:$C,$A20))</f>
        <v>15.0969</v>
      </c>
      <c r="D20" s="6" t="str">
        <f t="shared" si="0"/>
        <v/>
      </c>
      <c r="E20" s="15" t="str">
        <f t="shared" si="1"/>
        <v/>
      </c>
      <c r="F20" s="15" t="str">
        <f t="shared" si="2"/>
        <v/>
      </c>
      <c r="G20" s="20" t="str">
        <f t="shared" si="9"/>
        <v/>
      </c>
      <c r="H20" s="15">
        <f t="shared" si="10"/>
        <v>-0.97563422528766797</v>
      </c>
      <c r="I20" s="15" t="str">
        <f t="shared" si="11"/>
        <v/>
      </c>
      <c r="J20" s="15" t="str">
        <f t="shared" si="6"/>
        <v/>
      </c>
      <c r="K20" s="15">
        <f t="shared" si="7"/>
        <v>-0.84860588532599546</v>
      </c>
      <c r="L20" s="15" t="str">
        <f t="shared" si="8"/>
        <v/>
      </c>
      <c r="M20" s="18" t="str">
        <f>IF(SUMIFS('Monthly NSE Equity Futures'!$I:$I,'Monthly NSE Equity Futures'!$C:$C,$A20)=0,"",SUMIFS('Monthly NSE Equity Futures'!$I:$I,'Monthly NSE Equity Futures'!$C:$C,$A20))</f>
        <v/>
      </c>
      <c r="N20" s="7">
        <f>IF(SUMIFS('Monthly BSE Equity Futures'!$I:$I,'Monthly BSE Equity Futures'!$C:$C,$A20)=0,"",SUMIFS('Monthly BSE Equity Futures'!$I:$I,'Monthly BSE Equity Futures'!$C:$C,$A20))</f>
        <v>72057</v>
      </c>
      <c r="O20" s="7" t="str">
        <f t="shared" si="3"/>
        <v/>
      </c>
      <c r="P20" s="19" t="str">
        <f t="shared" si="4"/>
        <v/>
      </c>
      <c r="Q20" s="19" t="str">
        <f t="shared" si="5"/>
        <v/>
      </c>
    </row>
    <row r="21" spans="1:17" x14ac:dyDescent="0.2">
      <c r="A21" s="4" t="s">
        <v>127</v>
      </c>
      <c r="B21" s="14" t="str">
        <f>IF(SUMIFS('Monthly NSE Equity Futures'!$H:$H,'Monthly NSE Equity Futures'!$C:$C,$A21)=0,"",SUMIFS('Monthly NSE Equity Futures'!$H:$H,'Monthly NSE Equity Futures'!$C:$C,$A21))</f>
        <v/>
      </c>
      <c r="C21" s="6">
        <f>IF(SUMIFS('Monthly BSE Equity Futures'!$H:$H,'Monthly BSE Equity Futures'!$C:$C,$A21)=0,"",SUMIFS('Monthly BSE Equity Futures'!$H:$H,'Monthly BSE Equity Futures'!$C:$C,$A21))</f>
        <v>2.6186000000000003</v>
      </c>
      <c r="D21" s="6" t="str">
        <f t="shared" si="0"/>
        <v/>
      </c>
      <c r="E21" s="15" t="str">
        <f t="shared" si="1"/>
        <v/>
      </c>
      <c r="F21" s="15" t="str">
        <f t="shared" si="2"/>
        <v/>
      </c>
      <c r="G21" s="20" t="str">
        <f t="shared" si="9"/>
        <v/>
      </c>
      <c r="H21" s="15">
        <f t="shared" si="10"/>
        <v>-0.9960661776304226</v>
      </c>
      <c r="I21" s="15" t="str">
        <f t="shared" si="11"/>
        <v/>
      </c>
      <c r="J21" s="15" t="str">
        <f t="shared" si="6"/>
        <v/>
      </c>
      <c r="K21" s="15">
        <f t="shared" si="7"/>
        <v>-0.82654717193596028</v>
      </c>
      <c r="L21" s="15" t="str">
        <f t="shared" si="8"/>
        <v/>
      </c>
      <c r="M21" s="18" t="str">
        <f>IF(SUMIFS('Monthly NSE Equity Futures'!$I:$I,'Monthly NSE Equity Futures'!$C:$C,$A21)=0,"",SUMIFS('Monthly NSE Equity Futures'!$I:$I,'Monthly NSE Equity Futures'!$C:$C,$A21))</f>
        <v/>
      </c>
      <c r="N21" s="7">
        <f>IF(SUMIFS('Monthly BSE Equity Futures'!$I:$I,'Monthly BSE Equity Futures'!$C:$C,$A21)=0,"",SUMIFS('Monthly BSE Equity Futures'!$I:$I,'Monthly BSE Equity Futures'!$C:$C,$A21))</f>
        <v>17224</v>
      </c>
      <c r="O21" s="7" t="str">
        <f t="shared" si="3"/>
        <v/>
      </c>
      <c r="P21" s="19" t="str">
        <f t="shared" si="4"/>
        <v/>
      </c>
      <c r="Q21" s="19" t="str">
        <f t="shared" si="5"/>
        <v/>
      </c>
    </row>
    <row r="22" spans="1:17" x14ac:dyDescent="0.2">
      <c r="A22" s="4" t="s">
        <v>128</v>
      </c>
      <c r="B22" s="14" t="str">
        <f>IF(SUMIFS('Monthly NSE Equity Futures'!$H:$H,'Monthly NSE Equity Futures'!$C:$C,$A22)=0,"",SUMIFS('Monthly NSE Equity Futures'!$H:$H,'Monthly NSE Equity Futures'!$C:$C,$A22))</f>
        <v/>
      </c>
      <c r="C22" s="6">
        <f>IF(SUMIFS('Monthly BSE Equity Futures'!$H:$H,'Monthly BSE Equity Futures'!$C:$C,$A22)=0,"",SUMIFS('Monthly BSE Equity Futures'!$H:$H,'Monthly BSE Equity Futures'!$C:$C,$A22))</f>
        <v>0.22239999999999999</v>
      </c>
      <c r="D22" s="6" t="str">
        <f t="shared" si="0"/>
        <v/>
      </c>
      <c r="E22" s="15" t="str">
        <f t="shared" si="1"/>
        <v/>
      </c>
      <c r="F22" s="15" t="str">
        <f t="shared" si="2"/>
        <v/>
      </c>
      <c r="G22" s="20" t="str">
        <f t="shared" si="9"/>
        <v/>
      </c>
      <c r="H22" s="15">
        <f t="shared" si="10"/>
        <v>-0.99964929648780843</v>
      </c>
      <c r="I22" s="15" t="str">
        <f t="shared" si="11"/>
        <v/>
      </c>
      <c r="J22" s="15" t="str">
        <f t="shared" si="6"/>
        <v/>
      </c>
      <c r="K22" s="15">
        <f t="shared" si="7"/>
        <v>-0.91506912090430004</v>
      </c>
      <c r="L22" s="15" t="str">
        <f t="shared" si="8"/>
        <v/>
      </c>
      <c r="M22" s="18" t="str">
        <f>IF(SUMIFS('Monthly NSE Equity Futures'!$I:$I,'Monthly NSE Equity Futures'!$C:$C,$A22)=0,"",SUMIFS('Monthly NSE Equity Futures'!$I:$I,'Monthly NSE Equity Futures'!$C:$C,$A22))</f>
        <v/>
      </c>
      <c r="N22" s="7">
        <f>IF(SUMIFS('Monthly BSE Equity Futures'!$I:$I,'Monthly BSE Equity Futures'!$C:$C,$A22)=0,"",SUMIFS('Monthly BSE Equity Futures'!$I:$I,'Monthly BSE Equity Futures'!$C:$C,$A22))</f>
        <v>1592</v>
      </c>
      <c r="O22" s="7" t="str">
        <f t="shared" si="3"/>
        <v/>
      </c>
      <c r="P22" s="19" t="str">
        <f t="shared" si="4"/>
        <v/>
      </c>
      <c r="Q22" s="19" t="str">
        <f t="shared" si="5"/>
        <v/>
      </c>
    </row>
    <row r="23" spans="1:17" x14ac:dyDescent="0.2">
      <c r="A23" s="4" t="s">
        <v>129</v>
      </c>
      <c r="B23" s="14">
        <f>IF(SUMIFS('Monthly NSE Equity Futures'!$H:$H,'Monthly NSE Equity Futures'!$C:$C,$A23)=0,"",SUMIFS('Monthly NSE Equity Futures'!$H:$H,'Monthly NSE Equity Futures'!$C:$C,$A23))</f>
        <v>23603.087199999998</v>
      </c>
      <c r="C23" s="6">
        <f>IF(SUMIFS('Monthly BSE Equity Futures'!$H:$H,'Monthly BSE Equity Futures'!$C:$C,$A23)=0,"",SUMIFS('Monthly BSE Equity Futures'!$H:$H,'Monthly BSE Equity Futures'!$C:$C,$A23))</f>
        <v>2.8599999999999997E-2</v>
      </c>
      <c r="D23" s="6">
        <f t="shared" si="0"/>
        <v>23603.1158</v>
      </c>
      <c r="E23" s="15">
        <f t="shared" si="1"/>
        <v>0.99999878829556899</v>
      </c>
      <c r="F23" s="15">
        <f t="shared" si="2"/>
        <v>1.2117044309887256E-6</v>
      </c>
      <c r="G23" s="20" t="str">
        <f t="shared" si="9"/>
        <v/>
      </c>
      <c r="H23" s="15">
        <f t="shared" si="10"/>
        <v>-0.99971319465057884</v>
      </c>
      <c r="I23" s="15" t="str">
        <f t="shared" si="11"/>
        <v/>
      </c>
      <c r="J23" s="15" t="str">
        <f t="shared" si="6"/>
        <v/>
      </c>
      <c r="K23" s="15">
        <f t="shared" si="7"/>
        <v>-0.87140287769784175</v>
      </c>
      <c r="L23" s="15" t="str">
        <f t="shared" si="8"/>
        <v/>
      </c>
      <c r="M23" s="18">
        <f>IF(SUMIFS('Monthly NSE Equity Futures'!$I:$I,'Monthly NSE Equity Futures'!$C:$C,$A23)=0,"",SUMIFS('Monthly NSE Equity Futures'!$I:$I,'Monthly NSE Equity Futures'!$C:$C,$A23))</f>
        <v>82002326</v>
      </c>
      <c r="N23" s="7">
        <f>IF(SUMIFS('Monthly BSE Equity Futures'!$I:$I,'Monthly BSE Equity Futures'!$C:$C,$A23)=0,"",SUMIFS('Monthly BSE Equity Futures'!$I:$I,'Monthly BSE Equity Futures'!$C:$C,$A23))</f>
        <v>159</v>
      </c>
      <c r="O23" s="7">
        <f t="shared" si="3"/>
        <v>82002485</v>
      </c>
      <c r="P23" s="19">
        <f t="shared" si="4"/>
        <v>0.99999806103436983</v>
      </c>
      <c r="Q23" s="19">
        <f t="shared" si="5"/>
        <v>1.9389656301269406E-6</v>
      </c>
    </row>
    <row r="24" spans="1:17" x14ac:dyDescent="0.2">
      <c r="A24" s="4" t="s">
        <v>130</v>
      </c>
      <c r="B24" s="14">
        <f>IF(SUMIFS('Monthly NSE Equity Futures'!$H:$H,'Monthly NSE Equity Futures'!$C:$C,$A24)=0,"",SUMIFS('Monthly NSE Equity Futures'!$H:$H,'Monthly NSE Equity Futures'!$C:$C,$A24))</f>
        <v>23487.7412</v>
      </c>
      <c r="C24" s="6">
        <f>IF(SUMIFS('Monthly BSE Equity Futures'!$H:$H,'Monthly BSE Equity Futures'!$C:$C,$A24)=0,"",SUMIFS('Monthly BSE Equity Futures'!$H:$H,'Monthly BSE Equity Futures'!$C:$C,$A24))</f>
        <v>1.4E-3</v>
      </c>
      <c r="D24" s="6">
        <f t="shared" si="0"/>
        <v>23487.742600000001</v>
      </c>
      <c r="E24" s="15">
        <f t="shared" si="1"/>
        <v>0.99999994039444207</v>
      </c>
      <c r="F24" s="15">
        <f t="shared" si="2"/>
        <v>5.9605557836792708E-8</v>
      </c>
      <c r="G24" s="20" t="str">
        <f t="shared" si="9"/>
        <v/>
      </c>
      <c r="H24" s="15">
        <f t="shared" si="10"/>
        <v>-0.99990726573005051</v>
      </c>
      <c r="I24" s="15" t="str">
        <f t="shared" si="11"/>
        <v/>
      </c>
      <c r="J24" s="15">
        <f t="shared" si="6"/>
        <v>-4.8869030996927521E-3</v>
      </c>
      <c r="K24" s="15">
        <f t="shared" si="7"/>
        <v>-0.95104895104895104</v>
      </c>
      <c r="L24" s="15">
        <f t="shared" si="8"/>
        <v>-4.8880495684386904E-3</v>
      </c>
      <c r="M24" s="18">
        <f>IF(SUMIFS('Monthly NSE Equity Futures'!$I:$I,'Monthly NSE Equity Futures'!$C:$C,$A24)=0,"",SUMIFS('Monthly NSE Equity Futures'!$I:$I,'Monthly NSE Equity Futures'!$C:$C,$A24))</f>
        <v>89967538</v>
      </c>
      <c r="N24" s="7">
        <f>IF(SUMIFS('Monthly BSE Equity Futures'!$I:$I,'Monthly BSE Equity Futures'!$C:$C,$A24)=0,"",SUMIFS('Monthly BSE Equity Futures'!$I:$I,'Monthly BSE Equity Futures'!$C:$C,$A24))</f>
        <v>6</v>
      </c>
      <c r="O24" s="7">
        <f t="shared" si="3"/>
        <v>89967544</v>
      </c>
      <c r="P24" s="19">
        <f t="shared" si="4"/>
        <v>0.99999993330928316</v>
      </c>
      <c r="Q24" s="19">
        <f t="shared" si="5"/>
        <v>6.6690716821168307E-8</v>
      </c>
    </row>
    <row r="25" spans="1:17" x14ac:dyDescent="0.2">
      <c r="A25" s="4" t="s">
        <v>131</v>
      </c>
      <c r="B25" s="14">
        <f>IF(SUMIFS('Monthly NSE Equity Futures'!$H:$H,'Monthly NSE Equity Futures'!$C:$C,$A25)=0,"",SUMIFS('Monthly NSE Equity Futures'!$H:$H,'Monthly NSE Equity Futures'!$C:$C,$A25))</f>
        <v>23226.315399999999</v>
      </c>
      <c r="C25" s="6">
        <f>IF(SUMIFS('Monthly BSE Equity Futures'!$H:$H,'Monthly BSE Equity Futures'!$C:$C,$A25)=0,"",SUMIFS('Monthly BSE Equity Futures'!$H:$H,'Monthly BSE Equity Futures'!$C:$C,$A25))</f>
        <v>7.1999999999999998E-3</v>
      </c>
      <c r="D25" s="6">
        <f t="shared" si="0"/>
        <v>23226.3226</v>
      </c>
      <c r="E25" s="15">
        <f t="shared" si="1"/>
        <v>0.99999969000688904</v>
      </c>
      <c r="F25" s="15">
        <f t="shared" si="2"/>
        <v>3.0999311100587226E-7</v>
      </c>
      <c r="G25" s="20" t="str">
        <f t="shared" si="9"/>
        <v/>
      </c>
      <c r="H25" s="15">
        <f t="shared" si="10"/>
        <v>-0.99725043916596656</v>
      </c>
      <c r="I25" s="15" t="str">
        <f t="shared" si="11"/>
        <v/>
      </c>
      <c r="J25" s="15">
        <f t="shared" si="6"/>
        <v>-1.1130308264806654E-2</v>
      </c>
      <c r="K25" s="15">
        <f t="shared" si="7"/>
        <v>4.1428571428571423</v>
      </c>
      <c r="L25" s="15">
        <f t="shared" si="8"/>
        <v>-1.113006066406752E-2</v>
      </c>
      <c r="M25" s="18">
        <f>IF(SUMIFS('Monthly NSE Equity Futures'!$I:$I,'Monthly NSE Equity Futures'!$C:$C,$A25)=0,"",SUMIFS('Monthly NSE Equity Futures'!$I:$I,'Monthly NSE Equity Futures'!$C:$C,$A25))</f>
        <v>80744236</v>
      </c>
      <c r="N25" s="7">
        <f>IF(SUMIFS('Monthly BSE Equity Futures'!$I:$I,'Monthly BSE Equity Futures'!$C:$C,$A25)=0,"",SUMIFS('Monthly BSE Equity Futures'!$I:$I,'Monthly BSE Equity Futures'!$C:$C,$A25))</f>
        <v>28</v>
      </c>
      <c r="O25" s="7">
        <f t="shared" si="3"/>
        <v>80744264</v>
      </c>
      <c r="P25" s="19">
        <f t="shared" si="4"/>
        <v>0.99999965322614126</v>
      </c>
      <c r="Q25" s="19">
        <f t="shared" si="5"/>
        <v>3.4677385875979993E-7</v>
      </c>
    </row>
    <row r="26" spans="1:17" x14ac:dyDescent="0.2">
      <c r="A26" s="4" t="s">
        <v>132</v>
      </c>
      <c r="B26" s="14">
        <f>IF(SUMIFS('Monthly NSE Equity Futures'!$H:$H,'Monthly NSE Equity Futures'!$C:$C,$A26)=0,"",SUMIFS('Monthly NSE Equity Futures'!$H:$H,'Monthly NSE Equity Futures'!$C:$C,$A26))</f>
        <v>20979.209299999999</v>
      </c>
      <c r="C26" s="6">
        <f>IF(SUMIFS('Monthly BSE Equity Futures'!$H:$H,'Monthly BSE Equity Futures'!$C:$C,$A26)=0,"",SUMIFS('Monthly BSE Equity Futures'!$H:$H,'Monthly BSE Equity Futures'!$C:$C,$A26))</f>
        <v>0.92579999999999996</v>
      </c>
      <c r="D26" s="6">
        <f t="shared" si="0"/>
        <v>20980.1351</v>
      </c>
      <c r="E26" s="15">
        <f t="shared" si="1"/>
        <v>0.99995587254345175</v>
      </c>
      <c r="F26" s="15">
        <f t="shared" si="2"/>
        <v>4.4127456548170654E-5</v>
      </c>
      <c r="G26" s="20" t="str">
        <f t="shared" si="9"/>
        <v/>
      </c>
      <c r="H26" s="15">
        <f t="shared" si="10"/>
        <v>3.1627697841726619</v>
      </c>
      <c r="I26" s="15" t="str">
        <f t="shared" si="11"/>
        <v/>
      </c>
      <c r="J26" s="15">
        <f t="shared" si="6"/>
        <v>-9.6748281477310849E-2</v>
      </c>
      <c r="K26" s="15">
        <f t="shared" si="7"/>
        <v>127.58333333333334</v>
      </c>
      <c r="L26" s="15">
        <f t="shared" si="8"/>
        <v>-9.6708701531597607E-2</v>
      </c>
      <c r="M26" s="18">
        <f>IF(SUMIFS('Monthly NSE Equity Futures'!$I:$I,'Monthly NSE Equity Futures'!$C:$C,$A26)=0,"",SUMIFS('Monthly NSE Equity Futures'!$I:$I,'Monthly NSE Equity Futures'!$C:$C,$A26))</f>
        <v>71184029</v>
      </c>
      <c r="N26" s="7">
        <f>IF(SUMIFS('Monthly BSE Equity Futures'!$I:$I,'Monthly BSE Equity Futures'!$C:$C,$A26)=0,"",SUMIFS('Monthly BSE Equity Futures'!$I:$I,'Monthly BSE Equity Futures'!$C:$C,$A26))</f>
        <v>3559</v>
      </c>
      <c r="O26" s="7">
        <f t="shared" si="3"/>
        <v>71187588</v>
      </c>
      <c r="P26" s="19">
        <f t="shared" si="4"/>
        <v>0.99995000532958078</v>
      </c>
      <c r="Q26" s="19">
        <f t="shared" si="5"/>
        <v>4.999467041923095E-5</v>
      </c>
    </row>
    <row r="27" spans="1:17" x14ac:dyDescent="0.2">
      <c r="A27" s="4" t="s">
        <v>133</v>
      </c>
      <c r="B27" s="14">
        <f>IF(SUMIFS('Monthly NSE Equity Futures'!$H:$H,'Monthly NSE Equity Futures'!$C:$C,$A27)=0,"",SUMIFS('Monthly NSE Equity Futures'!$H:$H,'Monthly NSE Equity Futures'!$C:$C,$A27))</f>
        <v>23107.3115</v>
      </c>
      <c r="C27" s="6">
        <f>IF(SUMIFS('Monthly BSE Equity Futures'!$H:$H,'Monthly BSE Equity Futures'!$C:$C,$A27)=0,"",SUMIFS('Monthly BSE Equity Futures'!$H:$H,'Monthly BSE Equity Futures'!$C:$C,$A27))</f>
        <v>7.5300000000000006E-2</v>
      </c>
      <c r="D27" s="6">
        <f t="shared" si="0"/>
        <v>23107.3868</v>
      </c>
      <c r="E27" s="15">
        <f t="shared" si="1"/>
        <v>0.99999674130179006</v>
      </c>
      <c r="F27" s="15">
        <f t="shared" si="2"/>
        <v>3.2586982098728708E-6</v>
      </c>
      <c r="G27" s="20">
        <f t="shared" si="9"/>
        <v>-2.1004697216048807E-2</v>
      </c>
      <c r="H27" s="15">
        <f t="shared" si="10"/>
        <v>1.6328671328671334</v>
      </c>
      <c r="I27" s="15">
        <f t="shared" si="11"/>
        <v>-2.1002693212224144E-2</v>
      </c>
      <c r="J27" s="15">
        <f t="shared" si="6"/>
        <v>0.101438627622634</v>
      </c>
      <c r="K27" s="15">
        <f t="shared" si="7"/>
        <v>-0.91866493843162667</v>
      </c>
      <c r="L27" s="15">
        <f t="shared" si="8"/>
        <v>0.10139361304684824</v>
      </c>
      <c r="M27" s="18">
        <f>IF(SUMIFS('Monthly NSE Equity Futures'!$I:$I,'Monthly NSE Equity Futures'!$C:$C,$A27)=0,"",SUMIFS('Monthly NSE Equity Futures'!$I:$I,'Monthly NSE Equity Futures'!$C:$C,$A27))</f>
        <v>82525124</v>
      </c>
      <c r="N27" s="7">
        <f>IF(SUMIFS('Monthly BSE Equity Futures'!$I:$I,'Monthly BSE Equity Futures'!$C:$C,$A27)=0,"",SUMIFS('Monthly BSE Equity Futures'!$I:$I,'Monthly BSE Equity Futures'!$C:$C,$A27))</f>
        <v>295</v>
      </c>
      <c r="O27" s="7">
        <f t="shared" si="3"/>
        <v>82525419</v>
      </c>
      <c r="P27" s="19">
        <f t="shared" si="4"/>
        <v>0.99999642534380828</v>
      </c>
      <c r="Q27" s="19">
        <f t="shared" si="5"/>
        <v>3.5746561916880422E-6</v>
      </c>
    </row>
    <row r="28" spans="1:17" x14ac:dyDescent="0.2">
      <c r="A28" s="4" t="s">
        <v>134</v>
      </c>
      <c r="B28" s="14">
        <f>IF(SUMIFS('Monthly NSE Equity Futures'!$H:$H,'Monthly NSE Equity Futures'!$C:$C,$A28)=0,"",SUMIFS('Monthly NSE Equity Futures'!$H:$H,'Monthly NSE Equity Futures'!$C:$C,$A28))</f>
        <v>24476.949099999998</v>
      </c>
      <c r="C28" s="6">
        <f>IF(SUMIFS('Monthly BSE Equity Futures'!$H:$H,'Monthly BSE Equity Futures'!$C:$C,$A28)=0,"",SUMIFS('Monthly BSE Equity Futures'!$H:$H,'Monthly BSE Equity Futures'!$C:$C,$A28))</f>
        <v>7.7700000000000005E-2</v>
      </c>
      <c r="D28" s="6">
        <f t="shared" si="0"/>
        <v>24477.0268</v>
      </c>
      <c r="E28" s="15">
        <f t="shared" si="1"/>
        <v>0.99999682559484715</v>
      </c>
      <c r="F28" s="15">
        <f t="shared" si="2"/>
        <v>3.1744051528349844E-6</v>
      </c>
      <c r="G28" s="20">
        <f t="shared" si="9"/>
        <v>4.2115923007530309E-2</v>
      </c>
      <c r="H28" s="15">
        <f t="shared" si="10"/>
        <v>54.500000000000007</v>
      </c>
      <c r="I28" s="15">
        <f t="shared" si="11"/>
        <v>4.2119169000089274E-2</v>
      </c>
      <c r="J28" s="15">
        <f t="shared" si="6"/>
        <v>5.9272910221511488E-2</v>
      </c>
      <c r="K28" s="15">
        <f t="shared" si="7"/>
        <v>3.1872509960159334E-2</v>
      </c>
      <c r="L28" s="15">
        <f t="shared" si="8"/>
        <v>5.9272820931876247E-2</v>
      </c>
      <c r="M28" s="18">
        <f>IF(SUMIFS('Monthly NSE Equity Futures'!$I:$I,'Monthly NSE Equity Futures'!$C:$C,$A28)=0,"",SUMIFS('Monthly NSE Equity Futures'!$I:$I,'Monthly NSE Equity Futures'!$C:$C,$A28))</f>
        <v>86197791</v>
      </c>
      <c r="N28" s="7">
        <f>IF(SUMIFS('Monthly BSE Equity Futures'!$I:$I,'Monthly BSE Equity Futures'!$C:$C,$A28)=0,"",SUMIFS('Monthly BSE Equity Futures'!$I:$I,'Monthly BSE Equity Futures'!$C:$C,$A28))</f>
        <v>276</v>
      </c>
      <c r="O28" s="7">
        <f t="shared" si="3"/>
        <v>86198067</v>
      </c>
      <c r="P28" s="19">
        <f t="shared" si="4"/>
        <v>0.99999679807204955</v>
      </c>
      <c r="Q28" s="19">
        <f t="shared" si="5"/>
        <v>3.201927950426081E-6</v>
      </c>
    </row>
    <row r="29" spans="1:17" x14ac:dyDescent="0.2">
      <c r="A29" s="4" t="s">
        <v>135</v>
      </c>
      <c r="B29" s="14">
        <f>IF(SUMIFS('Monthly NSE Equity Futures'!$H:$H,'Monthly NSE Equity Futures'!$C:$C,$A29)=0,"",SUMIFS('Monthly NSE Equity Futures'!$H:$H,'Monthly NSE Equity Futures'!$C:$C,$A29))</f>
        <v>27313.859799999998</v>
      </c>
      <c r="C29" s="6">
        <f>IF(SUMIFS('Monthly BSE Equity Futures'!$H:$H,'Monthly BSE Equity Futures'!$C:$C,$A29)=0,"",SUMIFS('Monthly BSE Equity Futures'!$H:$H,'Monthly BSE Equity Futures'!$C:$C,$A29))</f>
        <v>0.19570000000000001</v>
      </c>
      <c r="D29" s="6">
        <f t="shared" si="0"/>
        <v>27314.055499999999</v>
      </c>
      <c r="E29" s="15">
        <f t="shared" si="1"/>
        <v>0.99999283519065851</v>
      </c>
      <c r="F29" s="15">
        <f t="shared" si="2"/>
        <v>7.1648093414762234E-6</v>
      </c>
      <c r="G29" s="20">
        <f t="shared" si="9"/>
        <v>0.17598763857309874</v>
      </c>
      <c r="H29" s="15">
        <f t="shared" si="10"/>
        <v>26.180555555555557</v>
      </c>
      <c r="I29" s="15">
        <f t="shared" si="11"/>
        <v>0.17599569981000784</v>
      </c>
      <c r="J29" s="15">
        <f t="shared" si="6"/>
        <v>0.11590131958071526</v>
      </c>
      <c r="K29" s="15">
        <f t="shared" si="7"/>
        <v>1.5186615186615184</v>
      </c>
      <c r="L29" s="15">
        <f t="shared" si="8"/>
        <v>0.11590577250991929</v>
      </c>
      <c r="M29" s="18">
        <f>IF(SUMIFS('Monthly NSE Equity Futures'!$I:$I,'Monthly NSE Equity Futures'!$C:$C,$A29)=0,"",SUMIFS('Monthly NSE Equity Futures'!$I:$I,'Monthly NSE Equity Futures'!$C:$C,$A29))</f>
        <v>92118630</v>
      </c>
      <c r="N29" s="7">
        <f>IF(SUMIFS('Monthly BSE Equity Futures'!$I:$I,'Monthly BSE Equity Futures'!$C:$C,$A29)=0,"",SUMIFS('Monthly BSE Equity Futures'!$I:$I,'Monthly BSE Equity Futures'!$C:$C,$A29))</f>
        <v>652</v>
      </c>
      <c r="O29" s="7">
        <f t="shared" si="3"/>
        <v>92119282</v>
      </c>
      <c r="P29" s="19">
        <f t="shared" si="4"/>
        <v>0.99999292222012759</v>
      </c>
      <c r="Q29" s="19">
        <f t="shared" si="5"/>
        <v>7.0777798724049979E-6</v>
      </c>
    </row>
    <row r="30" spans="1:17" x14ac:dyDescent="0.2">
      <c r="A30" s="4" t="s">
        <v>136</v>
      </c>
      <c r="B30" s="14">
        <f>IF(SUMIFS('Monthly NSE Equity Futures'!$H:$H,'Monthly NSE Equity Futures'!$C:$C,$A30)=0,"",SUMIFS('Monthly NSE Equity Futures'!$H:$H,'Monthly NSE Equity Futures'!$C:$C,$A30))</f>
        <v>23626.991900000001</v>
      </c>
      <c r="C30" s="6">
        <f>IF(SUMIFS('Monthly BSE Equity Futures'!$H:$H,'Monthly BSE Equity Futures'!$C:$C,$A30)=0,"",SUMIFS('Monthly BSE Equity Futures'!$H:$H,'Monthly BSE Equity Futures'!$C:$C,$A30))</f>
        <v>1.1920999999999999</v>
      </c>
      <c r="D30" s="6">
        <f t="shared" si="0"/>
        <v>23628.184000000001</v>
      </c>
      <c r="E30" s="15">
        <f t="shared" si="1"/>
        <v>0.99994954754034415</v>
      </c>
      <c r="F30" s="15">
        <f t="shared" si="2"/>
        <v>5.0452459655807649E-5</v>
      </c>
      <c r="G30" s="20">
        <f t="shared" si="9"/>
        <v>0.12620983766056448</v>
      </c>
      <c r="H30" s="15">
        <f t="shared" si="10"/>
        <v>0.28764311946424703</v>
      </c>
      <c r="I30" s="15">
        <f t="shared" si="11"/>
        <v>0.12621696130069249</v>
      </c>
      <c r="J30" s="15">
        <f t="shared" si="6"/>
        <v>-0.13498157810709699</v>
      </c>
      <c r="K30" s="15">
        <f t="shared" si="7"/>
        <v>5.0914665304036788</v>
      </c>
      <c r="L30" s="15">
        <f t="shared" si="8"/>
        <v>-0.13494413160286645</v>
      </c>
      <c r="M30" s="18">
        <f>IF(SUMIFS('Monthly NSE Equity Futures'!$I:$I,'Monthly NSE Equity Futures'!$C:$C,$A30)=0,"",SUMIFS('Monthly NSE Equity Futures'!$I:$I,'Monthly NSE Equity Futures'!$C:$C,$A30))</f>
        <v>90223567</v>
      </c>
      <c r="N30" s="7">
        <f>IF(SUMIFS('Monthly BSE Equity Futures'!$I:$I,'Monthly BSE Equity Futures'!$C:$C,$A30)=0,"",SUMIFS('Monthly BSE Equity Futures'!$I:$I,'Monthly BSE Equity Futures'!$C:$C,$A30))</f>
        <v>4390</v>
      </c>
      <c r="O30" s="7">
        <f t="shared" si="3"/>
        <v>90227957</v>
      </c>
      <c r="P30" s="19">
        <f t="shared" si="4"/>
        <v>0.99995134545715136</v>
      </c>
      <c r="Q30" s="19">
        <f t="shared" si="5"/>
        <v>4.8654542848620634E-5</v>
      </c>
    </row>
    <row r="31" spans="1:17" x14ac:dyDescent="0.2">
      <c r="A31" s="4" t="s">
        <v>137</v>
      </c>
      <c r="B31" s="14">
        <f>IF(SUMIFS('Monthly NSE Equity Futures'!$H:$H,'Monthly NSE Equity Futures'!$C:$C,$A31)=0,"",SUMIFS('Monthly NSE Equity Futures'!$H:$H,'Monthly NSE Equity Futures'!$C:$C,$A31))</f>
        <v>18657.678400000001</v>
      </c>
      <c r="C31" s="6">
        <f>IF(SUMIFS('Monthly BSE Equity Futures'!$H:$H,'Monthly BSE Equity Futures'!$C:$C,$A31)=0,"",SUMIFS('Monthly BSE Equity Futures'!$H:$H,'Monthly BSE Equity Futures'!$C:$C,$A31))</f>
        <v>0.27600000000000002</v>
      </c>
      <c r="D31" s="6">
        <f t="shared" si="0"/>
        <v>18657.954400000002</v>
      </c>
      <c r="E31" s="15">
        <f t="shared" si="1"/>
        <v>0.99998520738157648</v>
      </c>
      <c r="F31" s="15">
        <f t="shared" si="2"/>
        <v>1.4792618423378716E-5</v>
      </c>
      <c r="G31" s="20">
        <f t="shared" si="9"/>
        <v>-0.19256386014443949</v>
      </c>
      <c r="H31" s="15">
        <f t="shared" si="10"/>
        <v>2.6653386454183265</v>
      </c>
      <c r="I31" s="15">
        <f t="shared" si="11"/>
        <v>-0.19255454710266062</v>
      </c>
      <c r="J31" s="15">
        <f t="shared" si="6"/>
        <v>-0.21032357910953536</v>
      </c>
      <c r="K31" s="15">
        <f t="shared" si="7"/>
        <v>-0.76847579901015006</v>
      </c>
      <c r="L31" s="15">
        <f t="shared" si="8"/>
        <v>-0.21035173926189155</v>
      </c>
      <c r="M31" s="18">
        <f>IF(SUMIFS('Monthly NSE Equity Futures'!$I:$I,'Monthly NSE Equity Futures'!$C:$C,$A31)=0,"",SUMIFS('Monthly NSE Equity Futures'!$I:$I,'Monthly NSE Equity Futures'!$C:$C,$A31))</f>
        <v>71822123</v>
      </c>
      <c r="N31" s="7">
        <f>IF(SUMIFS('Monthly BSE Equity Futures'!$I:$I,'Monthly BSE Equity Futures'!$C:$C,$A31)=0,"",SUMIFS('Monthly BSE Equity Futures'!$I:$I,'Monthly BSE Equity Futures'!$C:$C,$A31))</f>
        <v>963</v>
      </c>
      <c r="O31" s="7">
        <f t="shared" si="3"/>
        <v>71823086</v>
      </c>
      <c r="P31" s="19">
        <f t="shared" si="4"/>
        <v>0.99998659205481644</v>
      </c>
      <c r="Q31" s="19">
        <f t="shared" si="5"/>
        <v>1.3407945183530543E-5</v>
      </c>
    </row>
    <row r="32" spans="1:17" x14ac:dyDescent="0.2">
      <c r="A32" s="4" t="s">
        <v>138</v>
      </c>
      <c r="B32" s="14">
        <f>IF(SUMIFS('Monthly NSE Equity Futures'!$H:$H,'Monthly NSE Equity Futures'!$C:$C,$A32)=0,"",SUMIFS('Monthly NSE Equity Futures'!$H:$H,'Monthly NSE Equity Futures'!$C:$C,$A32))</f>
        <v>19696.149299999997</v>
      </c>
      <c r="C32" s="6">
        <f>IF(SUMIFS('Monthly BSE Equity Futures'!$H:$H,'Monthly BSE Equity Futures'!$C:$C,$A32)=0,"",SUMIFS('Monthly BSE Equity Futures'!$H:$H,'Monthly BSE Equity Futures'!$C:$C,$A32))</f>
        <v>8.0829000000000004</v>
      </c>
      <c r="D32" s="6">
        <f t="shared" si="0"/>
        <v>19704.232199999999</v>
      </c>
      <c r="E32" s="15">
        <f t="shared" si="1"/>
        <v>0.99958978863434211</v>
      </c>
      <c r="F32" s="15">
        <f t="shared" si="2"/>
        <v>4.1021136565777989E-4</v>
      </c>
      <c r="G32" s="20">
        <f t="shared" si="9"/>
        <v>-0.19531845167746009</v>
      </c>
      <c r="H32" s="15">
        <f t="shared" si="10"/>
        <v>103.02702702702703</v>
      </c>
      <c r="I32" s="15">
        <f t="shared" si="11"/>
        <v>-0.19499078213208476</v>
      </c>
      <c r="J32" s="15">
        <f t="shared" si="6"/>
        <v>5.5659170328501206E-2</v>
      </c>
      <c r="K32" s="15">
        <f t="shared" si="7"/>
        <v>28.285869565217389</v>
      </c>
      <c r="L32" s="15">
        <f t="shared" si="8"/>
        <v>5.6076769058884368E-2</v>
      </c>
      <c r="M32" s="18">
        <f>IF(SUMIFS('Monthly NSE Equity Futures'!$I:$I,'Monthly NSE Equity Futures'!$C:$C,$A32)=0,"",SUMIFS('Monthly NSE Equity Futures'!$I:$I,'Monthly NSE Equity Futures'!$C:$C,$A32))</f>
        <v>78387471</v>
      </c>
      <c r="N32" s="7">
        <f>IF(SUMIFS('Monthly BSE Equity Futures'!$I:$I,'Monthly BSE Equity Futures'!$C:$C,$A32)=0,"",SUMIFS('Monthly BSE Equity Futures'!$I:$I,'Monthly BSE Equity Futures'!$C:$C,$A32))</f>
        <v>30464</v>
      </c>
      <c r="O32" s="7">
        <f t="shared" si="3"/>
        <v>78417935</v>
      </c>
      <c r="P32" s="19">
        <f t="shared" si="4"/>
        <v>0.9996115174417689</v>
      </c>
      <c r="Q32" s="19">
        <f t="shared" si="5"/>
        <v>3.8848255823109855E-4</v>
      </c>
    </row>
    <row r="33" spans="1:17" x14ac:dyDescent="0.2">
      <c r="A33" s="4" t="s">
        <v>139</v>
      </c>
      <c r="B33" s="14">
        <f>IF(SUMIFS('Monthly NSE Equity Futures'!$H:$H,'Monthly NSE Equity Futures'!$C:$C,$A33)=0,"",SUMIFS('Monthly NSE Equity Futures'!$H:$H,'Monthly NSE Equity Futures'!$C:$C,$A33))</f>
        <v>17505.946100000001</v>
      </c>
      <c r="C33" s="6">
        <f>IF(SUMIFS('Monthly BSE Equity Futures'!$H:$H,'Monthly BSE Equity Futures'!$C:$C,$A33)=0,"",SUMIFS('Monthly BSE Equity Futures'!$H:$H,'Monthly BSE Equity Futures'!$C:$C,$A33))</f>
        <v>642.78710000000001</v>
      </c>
      <c r="D33" s="6">
        <f t="shared" si="0"/>
        <v>18148.733200000002</v>
      </c>
      <c r="E33" s="15">
        <f t="shared" si="1"/>
        <v>0.96458226076076747</v>
      </c>
      <c r="F33" s="15">
        <f t="shared" si="2"/>
        <v>3.5417739239232408E-2</v>
      </c>
      <c r="G33" s="20">
        <f t="shared" si="9"/>
        <v>-0.35908193758833007</v>
      </c>
      <c r="H33" s="15">
        <f t="shared" si="10"/>
        <v>3283.5533980582522</v>
      </c>
      <c r="I33" s="15">
        <f t="shared" si="11"/>
        <v>-0.33555333077506544</v>
      </c>
      <c r="J33" s="15">
        <f t="shared" si="6"/>
        <v>-0.11119956325676295</v>
      </c>
      <c r="K33" s="15">
        <f t="shared" si="7"/>
        <v>78.524316767496813</v>
      </c>
      <c r="L33" s="15">
        <f t="shared" si="8"/>
        <v>-7.8942380713519777E-2</v>
      </c>
      <c r="M33" s="18">
        <f>IF(SUMIFS('Monthly NSE Equity Futures'!$I:$I,'Monthly NSE Equity Futures'!$C:$C,$A33)=0,"",SUMIFS('Monthly NSE Equity Futures'!$I:$I,'Monthly NSE Equity Futures'!$C:$C,$A33))</f>
        <v>76158950</v>
      </c>
      <c r="N33" s="7">
        <f>IF(SUMIFS('Monthly BSE Equity Futures'!$I:$I,'Monthly BSE Equity Futures'!$C:$C,$A33)=0,"",SUMIFS('Monthly BSE Equity Futures'!$I:$I,'Monthly BSE Equity Futures'!$C:$C,$A33))</f>
        <v>2602287</v>
      </c>
      <c r="O33" s="7">
        <f t="shared" si="3"/>
        <v>78761237</v>
      </c>
      <c r="P33" s="19">
        <f t="shared" si="4"/>
        <v>0.96695980028856077</v>
      </c>
      <c r="Q33" s="19">
        <f t="shared" si="5"/>
        <v>3.3040199711439268E-2</v>
      </c>
    </row>
    <row r="34" spans="1:17" x14ac:dyDescent="0.2">
      <c r="A34" s="4" t="s">
        <v>140</v>
      </c>
      <c r="B34" s="14">
        <f>IF(SUMIFS('Monthly NSE Equity Futures'!$H:$H,'Monthly NSE Equity Futures'!$C:$C,$A34)=0,"",SUMIFS('Monthly NSE Equity Futures'!$H:$H,'Monthly NSE Equity Futures'!$C:$C,$A34))</f>
        <v>20666.917600000001</v>
      </c>
      <c r="C34" s="6">
        <f>IF(SUMIFS('Monthly BSE Equity Futures'!$H:$H,'Monthly BSE Equity Futures'!$C:$C,$A34)=0,"",SUMIFS('Monthly BSE Equity Futures'!$H:$H,'Monthly BSE Equity Futures'!$C:$C,$A34))</f>
        <v>1235.4992999999999</v>
      </c>
      <c r="D34" s="6">
        <f t="shared" ref="D34:D65" si="12">IF(OR(B34="",C34=""),"",B34+C34)</f>
        <v>21902.4169</v>
      </c>
      <c r="E34" s="15">
        <f t="shared" ref="E34:E65" si="13">IF(D34="","",B34/D34)</f>
        <v>0.94359073221731982</v>
      </c>
      <c r="F34" s="15">
        <f t="shared" ref="F34:F65" si="14">IF(D34="","",C34/D34)</f>
        <v>5.6409267782680184E-2</v>
      </c>
      <c r="G34" s="20">
        <f t="shared" si="9"/>
        <v>-0.12528358720095889</v>
      </c>
      <c r="H34" s="15">
        <f t="shared" si="10"/>
        <v>1035.4057545507928</v>
      </c>
      <c r="I34" s="15">
        <f t="shared" si="11"/>
        <v>-7.3038499276965152E-2</v>
      </c>
      <c r="J34" s="15">
        <f t="shared" si="6"/>
        <v>0.18056559079660373</v>
      </c>
      <c r="K34" s="15">
        <f t="shared" si="7"/>
        <v>0.92209722317078224</v>
      </c>
      <c r="L34" s="15">
        <f t="shared" si="8"/>
        <v>0.20682896478967461</v>
      </c>
      <c r="M34" s="18">
        <f>IF(SUMIFS('Monthly NSE Equity Futures'!$I:$I,'Monthly NSE Equity Futures'!$C:$C,$A34)=0,"",SUMIFS('Monthly NSE Equity Futures'!$I:$I,'Monthly NSE Equity Futures'!$C:$C,$A34))</f>
        <v>78164813</v>
      </c>
      <c r="N34" s="7">
        <f>IF(SUMIFS('Monthly BSE Equity Futures'!$I:$I,'Monthly BSE Equity Futures'!$C:$C,$A34)=0,"",SUMIFS('Monthly BSE Equity Futures'!$I:$I,'Monthly BSE Equity Futures'!$C:$C,$A34))</f>
        <v>4765962</v>
      </c>
      <c r="O34" s="7">
        <f t="shared" ref="O34:O65" si="15">IF(OR(M34="",N34=""),"",M34+N34)</f>
        <v>82930775</v>
      </c>
      <c r="P34" s="19">
        <f t="shared" ref="P34:P65" si="16">IF(O34="","",M34/O34)</f>
        <v>0.94253083972747154</v>
      </c>
      <c r="Q34" s="19">
        <f t="shared" ref="Q34:Q65" si="17">IF(O34="","",N34/O34)</f>
        <v>5.7469160272528505E-2</v>
      </c>
    </row>
    <row r="35" spans="1:17" x14ac:dyDescent="0.2">
      <c r="A35" s="4" t="s">
        <v>141</v>
      </c>
      <c r="B35" s="14">
        <f>IF(SUMIFS('Monthly NSE Equity Futures'!$H:$H,'Monthly NSE Equity Futures'!$C:$C,$A35)=0,"",SUMIFS('Monthly NSE Equity Futures'!$H:$H,'Monthly NSE Equity Futures'!$C:$C,$A35))</f>
        <v>16709.006799999999</v>
      </c>
      <c r="C35" s="6">
        <f>IF(SUMIFS('Monthly BSE Equity Futures'!$H:$H,'Monthly BSE Equity Futures'!$C:$C,$A35)=0,"",SUMIFS('Monthly BSE Equity Futures'!$H:$H,'Monthly BSE Equity Futures'!$C:$C,$A35))</f>
        <v>732.6345</v>
      </c>
      <c r="D35" s="6">
        <f t="shared" si="12"/>
        <v>17441.641299999999</v>
      </c>
      <c r="E35" s="15">
        <f t="shared" si="13"/>
        <v>0.95799509418875617</v>
      </c>
      <c r="F35" s="15">
        <f t="shared" si="14"/>
        <v>4.200490581124381E-2</v>
      </c>
      <c r="G35" s="20">
        <f t="shared" si="9"/>
        <v>-0.10444341242370225</v>
      </c>
      <c r="H35" s="15">
        <f t="shared" si="10"/>
        <v>2653.4728260869565</v>
      </c>
      <c r="I35" s="15">
        <f t="shared" si="11"/>
        <v>-6.5190056419046849E-2</v>
      </c>
      <c r="J35" s="15">
        <f t="shared" ref="J35:J66" si="18">IF(OR(B35="",B34=""),"",B35/B34-1)</f>
        <v>-0.19150948760738284</v>
      </c>
      <c r="K35" s="15">
        <f t="shared" ref="K35:K66" si="19">IF(OR(C35="",C34=""),"",C35/C34-1)</f>
        <v>-0.40701342364176163</v>
      </c>
      <c r="L35" s="15">
        <f t="shared" ref="L35:L66" si="20">IF(OR(D35="",D34=""),"",D35/D34-1)</f>
        <v>-0.20366590684336761</v>
      </c>
      <c r="M35" s="18">
        <f>IF(SUMIFS('Monthly NSE Equity Futures'!$I:$I,'Monthly NSE Equity Futures'!$C:$C,$A35)=0,"",SUMIFS('Monthly NSE Equity Futures'!$I:$I,'Monthly NSE Equity Futures'!$C:$C,$A35))</f>
        <v>67698916</v>
      </c>
      <c r="N35" s="7">
        <f>IF(SUMIFS('Monthly BSE Equity Futures'!$I:$I,'Monthly BSE Equity Futures'!$C:$C,$A35)=0,"",SUMIFS('Monthly BSE Equity Futures'!$I:$I,'Monthly BSE Equity Futures'!$C:$C,$A35))</f>
        <v>2916690</v>
      </c>
      <c r="O35" s="7">
        <f t="shared" si="15"/>
        <v>70615606</v>
      </c>
      <c r="P35" s="19">
        <f t="shared" si="16"/>
        <v>0.95869624060154635</v>
      </c>
      <c r="Q35" s="19">
        <f t="shared" si="17"/>
        <v>4.1303759398453647E-2</v>
      </c>
    </row>
    <row r="36" spans="1:17" x14ac:dyDescent="0.2">
      <c r="A36" s="4" t="s">
        <v>142</v>
      </c>
      <c r="B36" s="14">
        <f>IF(SUMIFS('Monthly NSE Equity Futures'!$H:$H,'Monthly NSE Equity Futures'!$C:$C,$A36)=0,"",SUMIFS('Monthly NSE Equity Futures'!$H:$H,'Monthly NSE Equity Futures'!$C:$C,$A36))</f>
        <v>16324.046899999999</v>
      </c>
      <c r="C36" s="6">
        <f>IF(SUMIFS('Monthly BSE Equity Futures'!$H:$H,'Monthly BSE Equity Futures'!$C:$C,$A36)=0,"",SUMIFS('Monthly BSE Equity Futures'!$H:$H,'Monthly BSE Equity Futures'!$C:$C,$A36))</f>
        <v>310.51190000000003</v>
      </c>
      <c r="D36" s="6">
        <f t="shared" si="12"/>
        <v>16634.558799999999</v>
      </c>
      <c r="E36" s="15">
        <f t="shared" si="13"/>
        <v>0.98133332517361394</v>
      </c>
      <c r="F36" s="15">
        <f t="shared" si="14"/>
        <v>1.8666674826386141E-2</v>
      </c>
      <c r="G36" s="20">
        <f t="shared" si="9"/>
        <v>-0.17120617581833619</v>
      </c>
      <c r="H36" s="15">
        <f t="shared" si="10"/>
        <v>37.415902708186422</v>
      </c>
      <c r="I36" s="15">
        <f t="shared" si="11"/>
        <v>-0.15578751655190093</v>
      </c>
      <c r="J36" s="15">
        <f t="shared" si="18"/>
        <v>-2.3039065374011347E-2</v>
      </c>
      <c r="K36" s="15">
        <f t="shared" si="19"/>
        <v>-0.57617079184777675</v>
      </c>
      <c r="L36" s="15">
        <f t="shared" si="20"/>
        <v>-4.627331144575253E-2</v>
      </c>
      <c r="M36" s="18">
        <f>IF(SUMIFS('Monthly NSE Equity Futures'!$I:$I,'Monthly NSE Equity Futures'!$C:$C,$A36)=0,"",SUMIFS('Monthly NSE Equity Futures'!$I:$I,'Monthly NSE Equity Futures'!$C:$C,$A36))</f>
        <v>61300515</v>
      </c>
      <c r="N36" s="7">
        <f>IF(SUMIFS('Monthly BSE Equity Futures'!$I:$I,'Monthly BSE Equity Futures'!$C:$C,$A36)=0,"",SUMIFS('Monthly BSE Equity Futures'!$I:$I,'Monthly BSE Equity Futures'!$C:$C,$A36))</f>
        <v>1166628</v>
      </c>
      <c r="O36" s="7">
        <f t="shared" si="15"/>
        <v>62467143</v>
      </c>
      <c r="P36" s="19">
        <f t="shared" si="16"/>
        <v>0.98132413387306672</v>
      </c>
      <c r="Q36" s="19">
        <f t="shared" si="17"/>
        <v>1.8675866126933321E-2</v>
      </c>
    </row>
    <row r="37" spans="1:17" x14ac:dyDescent="0.2">
      <c r="A37" s="4" t="s">
        <v>143</v>
      </c>
      <c r="B37" s="14">
        <f>IF(SUMIFS('Monthly NSE Equity Futures'!$H:$H,'Monthly NSE Equity Futures'!$C:$C,$A37)=0,"",SUMIFS('Monthly NSE Equity Futures'!$H:$H,'Monthly NSE Equity Futures'!$C:$C,$A37))</f>
        <v>16921.141900000002</v>
      </c>
      <c r="C37" s="6">
        <f>IF(SUMIFS('Monthly BSE Equity Futures'!$H:$H,'Monthly BSE Equity Futures'!$C:$C,$A37)=0,"",SUMIFS('Monthly BSE Equity Futures'!$H:$H,'Monthly BSE Equity Futures'!$C:$C,$A37))</f>
        <v>83.887900000000002</v>
      </c>
      <c r="D37" s="6">
        <f t="shared" si="12"/>
        <v>17005.029800000004</v>
      </c>
      <c r="E37" s="15">
        <f t="shared" si="13"/>
        <v>0.99506687721299958</v>
      </c>
      <c r="F37" s="15">
        <f t="shared" si="14"/>
        <v>4.9331227870003484E-3</v>
      </c>
      <c r="G37" s="20">
        <f t="shared" si="9"/>
        <v>-3.3406032250950402E-2</v>
      </c>
      <c r="H37" s="15">
        <f t="shared" si="10"/>
        <v>-0.86949349170199586</v>
      </c>
      <c r="I37" s="15">
        <f t="shared" si="11"/>
        <v>-6.3018359870979812E-2</v>
      </c>
      <c r="J37" s="15">
        <f t="shared" si="18"/>
        <v>3.6577633209323945E-2</v>
      </c>
      <c r="K37" s="15">
        <f t="shared" si="19"/>
        <v>-0.72983998358839064</v>
      </c>
      <c r="L37" s="15">
        <f t="shared" si="20"/>
        <v>2.2271164775347296E-2</v>
      </c>
      <c r="M37" s="18">
        <f>IF(SUMIFS('Monthly NSE Equity Futures'!$I:$I,'Monthly NSE Equity Futures'!$C:$C,$A37)=0,"",SUMIFS('Monthly NSE Equity Futures'!$I:$I,'Monthly NSE Equity Futures'!$C:$C,$A37))</f>
        <v>58247949</v>
      </c>
      <c r="N37" s="7">
        <f>IF(SUMIFS('Monthly BSE Equity Futures'!$I:$I,'Monthly BSE Equity Futures'!$C:$C,$A37)=0,"",SUMIFS('Monthly BSE Equity Futures'!$I:$I,'Monthly BSE Equity Futures'!$C:$C,$A37))</f>
        <v>290779</v>
      </c>
      <c r="O37" s="7">
        <f t="shared" si="15"/>
        <v>58538728</v>
      </c>
      <c r="P37" s="19">
        <f t="shared" si="16"/>
        <v>0.99503270723613946</v>
      </c>
      <c r="Q37" s="19">
        <f t="shared" si="17"/>
        <v>4.9672927638605337E-3</v>
      </c>
    </row>
    <row r="38" spans="1:17" x14ac:dyDescent="0.2">
      <c r="A38" s="4" t="s">
        <v>144</v>
      </c>
      <c r="B38" s="14">
        <f>IF(SUMIFS('Monthly NSE Equity Futures'!$H:$H,'Monthly NSE Equity Futures'!$C:$C,$A38)=0,"",SUMIFS('Monthly NSE Equity Futures'!$H:$H,'Monthly NSE Equity Futures'!$C:$C,$A38))</f>
        <v>17555.316200000001</v>
      </c>
      <c r="C38" s="6">
        <f>IF(SUMIFS('Monthly BSE Equity Futures'!$H:$H,'Monthly BSE Equity Futures'!$C:$C,$A38)=0,"",SUMIFS('Monthly BSE Equity Futures'!$H:$H,'Monthly BSE Equity Futures'!$C:$C,$A38))</f>
        <v>131.46440000000001</v>
      </c>
      <c r="D38" s="6">
        <f t="shared" si="12"/>
        <v>17686.780600000002</v>
      </c>
      <c r="E38" s="15">
        <f t="shared" si="13"/>
        <v>0.99256708142803551</v>
      </c>
      <c r="F38" s="15">
        <f t="shared" si="14"/>
        <v>7.4329185719644196E-3</v>
      </c>
      <c r="G38" s="20">
        <f t="shared" ref="G38:G69" si="21">IF(OR(B38="",B34=""),"",B38/B34-1)</f>
        <v>-0.15055952998041655</v>
      </c>
      <c r="H38" s="15">
        <f t="shared" ref="H38:H69" si="22">IF(OR(C38="",C34=""),"",C38/C34-1)</f>
        <v>-0.89359411211321604</v>
      </c>
      <c r="I38" s="15">
        <f t="shared" ref="I38:I69" si="23">IF(OR(D38="",D34=""),"",D38/D34-1)</f>
        <v>-0.19247356669573745</v>
      </c>
      <c r="J38" s="15">
        <f t="shared" si="18"/>
        <v>3.747822125408673E-2</v>
      </c>
      <c r="K38" s="15">
        <f t="shared" si="19"/>
        <v>0.56714377162856633</v>
      </c>
      <c r="L38" s="15">
        <f t="shared" si="20"/>
        <v>4.0091126450128245E-2</v>
      </c>
      <c r="M38" s="18">
        <f>IF(SUMIFS('Monthly NSE Equity Futures'!$I:$I,'Monthly NSE Equity Futures'!$C:$C,$A38)=0,"",SUMIFS('Monthly NSE Equity Futures'!$I:$I,'Monthly NSE Equity Futures'!$C:$C,$A38))</f>
        <v>56562357</v>
      </c>
      <c r="N38" s="7">
        <f>IF(SUMIFS('Monthly BSE Equity Futures'!$I:$I,'Monthly BSE Equity Futures'!$C:$C,$A38)=0,"",SUMIFS('Monthly BSE Equity Futures'!$I:$I,'Monthly BSE Equity Futures'!$C:$C,$A38))</f>
        <v>444763</v>
      </c>
      <c r="O38" s="7">
        <f t="shared" si="15"/>
        <v>57007120</v>
      </c>
      <c r="P38" s="19">
        <f t="shared" si="16"/>
        <v>0.99219811490213849</v>
      </c>
      <c r="Q38" s="19">
        <f t="shared" si="17"/>
        <v>7.80188509786146E-3</v>
      </c>
    </row>
    <row r="39" spans="1:17" x14ac:dyDescent="0.2">
      <c r="A39" s="4" t="s">
        <v>145</v>
      </c>
      <c r="B39" s="14">
        <f>IF(SUMIFS('Monthly NSE Equity Futures'!$H:$H,'Monthly NSE Equity Futures'!$C:$C,$A39)=0,"",SUMIFS('Monthly NSE Equity Futures'!$H:$H,'Monthly NSE Equity Futures'!$C:$C,$A39))</f>
        <v>18191.322100000001</v>
      </c>
      <c r="C39" s="6">
        <f>IF(SUMIFS('Monthly BSE Equity Futures'!$H:$H,'Monthly BSE Equity Futures'!$C:$C,$A39)=0,"",SUMIFS('Monthly BSE Equity Futures'!$H:$H,'Monthly BSE Equity Futures'!$C:$C,$A39))</f>
        <v>378.68599999999998</v>
      </c>
      <c r="D39" s="6">
        <f t="shared" si="12"/>
        <v>18570.008100000003</v>
      </c>
      <c r="E39" s="15">
        <f t="shared" si="13"/>
        <v>0.97960765563694063</v>
      </c>
      <c r="F39" s="15">
        <f t="shared" si="14"/>
        <v>2.0392344363059266E-2</v>
      </c>
      <c r="G39" s="20">
        <f t="shared" si="21"/>
        <v>8.8713549389422885E-2</v>
      </c>
      <c r="H39" s="15">
        <f t="shared" si="22"/>
        <v>-0.48311743440965449</v>
      </c>
      <c r="I39" s="15">
        <f t="shared" si="23"/>
        <v>6.4693842774991683E-2</v>
      </c>
      <c r="J39" s="15">
        <f t="shared" si="18"/>
        <v>3.6228678125433067E-2</v>
      </c>
      <c r="K39" s="15">
        <f t="shared" si="19"/>
        <v>1.8805212665938456</v>
      </c>
      <c r="L39" s="15">
        <f t="shared" si="20"/>
        <v>4.9937154758396218E-2</v>
      </c>
      <c r="M39" s="18">
        <f>IF(SUMIFS('Monthly NSE Equity Futures'!$I:$I,'Monthly NSE Equity Futures'!$C:$C,$A39)=0,"",SUMIFS('Monthly NSE Equity Futures'!$I:$I,'Monthly NSE Equity Futures'!$C:$C,$A39))</f>
        <v>62705868</v>
      </c>
      <c r="N39" s="7">
        <f>IF(SUMIFS('Monthly BSE Equity Futures'!$I:$I,'Monthly BSE Equity Futures'!$C:$C,$A39)=0,"",SUMIFS('Monthly BSE Equity Futures'!$I:$I,'Monthly BSE Equity Futures'!$C:$C,$A39))</f>
        <v>1349676</v>
      </c>
      <c r="O39" s="7">
        <f t="shared" si="15"/>
        <v>64055544</v>
      </c>
      <c r="P39" s="19">
        <f t="shared" si="16"/>
        <v>0.97892959897429022</v>
      </c>
      <c r="Q39" s="19">
        <f t="shared" si="17"/>
        <v>2.1070401025709812E-2</v>
      </c>
    </row>
    <row r="40" spans="1:17" x14ac:dyDescent="0.2">
      <c r="A40" s="4" t="s">
        <v>146</v>
      </c>
      <c r="B40" s="14">
        <f>IF(SUMIFS('Monthly NSE Equity Futures'!$H:$H,'Monthly NSE Equity Futures'!$C:$C,$A40)=0,"",SUMIFS('Monthly NSE Equity Futures'!$H:$H,'Monthly NSE Equity Futures'!$C:$C,$A40))</f>
        <v>21249.246599999999</v>
      </c>
      <c r="C40" s="6">
        <f>IF(SUMIFS('Monthly BSE Equity Futures'!$H:$H,'Monthly BSE Equity Futures'!$C:$C,$A40)=0,"",SUMIFS('Monthly BSE Equity Futures'!$H:$H,'Monthly BSE Equity Futures'!$C:$C,$A40))</f>
        <v>358.07479999999998</v>
      </c>
      <c r="D40" s="6">
        <f t="shared" si="12"/>
        <v>21607.321399999997</v>
      </c>
      <c r="E40" s="15">
        <f t="shared" si="13"/>
        <v>0.98342808007659854</v>
      </c>
      <c r="F40" s="15">
        <f t="shared" si="14"/>
        <v>1.6571919923401519E-2</v>
      </c>
      <c r="G40" s="20">
        <f t="shared" si="21"/>
        <v>0.30171438064172684</v>
      </c>
      <c r="H40" s="15">
        <f t="shared" si="22"/>
        <v>0.15317577200744958</v>
      </c>
      <c r="I40" s="15">
        <f t="shared" si="23"/>
        <v>0.29894165873518674</v>
      </c>
      <c r="J40" s="15">
        <f t="shared" si="18"/>
        <v>0.16809798008029309</v>
      </c>
      <c r="K40" s="15">
        <f t="shared" si="19"/>
        <v>-5.4428207010557506E-2</v>
      </c>
      <c r="L40" s="15">
        <f t="shared" si="20"/>
        <v>0.16356014944333785</v>
      </c>
      <c r="M40" s="18">
        <f>IF(SUMIFS('Monthly NSE Equity Futures'!$I:$I,'Monthly NSE Equity Futures'!$C:$C,$A40)=0,"",SUMIFS('Monthly NSE Equity Futures'!$I:$I,'Monthly NSE Equity Futures'!$C:$C,$A40))</f>
        <v>79485989</v>
      </c>
      <c r="N40" s="7">
        <f>IF(SUMIFS('Monthly BSE Equity Futures'!$I:$I,'Monthly BSE Equity Futures'!$C:$C,$A40)=0,"",SUMIFS('Monthly BSE Equity Futures'!$I:$I,'Monthly BSE Equity Futures'!$C:$C,$A40))</f>
        <v>1267709</v>
      </c>
      <c r="O40" s="7">
        <f t="shared" si="15"/>
        <v>80753698</v>
      </c>
      <c r="P40" s="19">
        <f t="shared" si="16"/>
        <v>0.98430153625905781</v>
      </c>
      <c r="Q40" s="19">
        <f t="shared" si="17"/>
        <v>1.5698463740942241E-2</v>
      </c>
    </row>
    <row r="41" spans="1:17" x14ac:dyDescent="0.2">
      <c r="A41" s="4" t="s">
        <v>147</v>
      </c>
      <c r="B41" s="14">
        <f>IF(SUMIFS('Monthly NSE Equity Futures'!$H:$H,'Monthly NSE Equity Futures'!$C:$C,$A41)=0,"",SUMIFS('Monthly NSE Equity Futures'!$H:$H,'Monthly NSE Equity Futures'!$C:$C,$A41))</f>
        <v>20232.903900000001</v>
      </c>
      <c r="C41" s="6">
        <f>IF(SUMIFS('Monthly BSE Equity Futures'!$H:$H,'Monthly BSE Equity Futures'!$C:$C,$A41)=0,"",SUMIFS('Monthly BSE Equity Futures'!$H:$H,'Monthly BSE Equity Futures'!$C:$C,$A41))</f>
        <v>216.67160000000001</v>
      </c>
      <c r="D41" s="6">
        <f t="shared" si="12"/>
        <v>20449.575500000003</v>
      </c>
      <c r="E41" s="15">
        <f t="shared" si="13"/>
        <v>0.98940459179702767</v>
      </c>
      <c r="F41" s="15">
        <f t="shared" si="14"/>
        <v>1.0595408202972232E-2</v>
      </c>
      <c r="G41" s="20">
        <f t="shared" si="21"/>
        <v>0.19571740604574672</v>
      </c>
      <c r="H41" s="15">
        <f t="shared" si="22"/>
        <v>1.5828707119858763</v>
      </c>
      <c r="I41" s="15">
        <f t="shared" si="23"/>
        <v>0.20256040362834282</v>
      </c>
      <c r="J41" s="15">
        <f t="shared" si="18"/>
        <v>-4.7829587520528682E-2</v>
      </c>
      <c r="K41" s="15">
        <f t="shared" si="19"/>
        <v>-0.3948984960684192</v>
      </c>
      <c r="L41" s="15">
        <f t="shared" si="20"/>
        <v>-5.3581185680886545E-2</v>
      </c>
      <c r="M41" s="18">
        <f>IF(SUMIFS('Monthly NSE Equity Futures'!$I:$I,'Monthly NSE Equity Futures'!$C:$C,$A41)=0,"",SUMIFS('Monthly NSE Equity Futures'!$I:$I,'Monthly NSE Equity Futures'!$C:$C,$A41))</f>
        <v>69366942</v>
      </c>
      <c r="N41" s="7">
        <f>IF(SUMIFS('Monthly BSE Equity Futures'!$I:$I,'Monthly BSE Equity Futures'!$C:$C,$A41)=0,"",SUMIFS('Monthly BSE Equity Futures'!$I:$I,'Monthly BSE Equity Futures'!$C:$C,$A41))</f>
        <v>695610</v>
      </c>
      <c r="O41" s="7">
        <f t="shared" si="15"/>
        <v>70062552</v>
      </c>
      <c r="P41" s="19">
        <f t="shared" si="16"/>
        <v>0.9900715863161822</v>
      </c>
      <c r="Q41" s="19">
        <f t="shared" si="17"/>
        <v>9.9284136838178553E-3</v>
      </c>
    </row>
    <row r="42" spans="1:17" x14ac:dyDescent="0.2">
      <c r="A42" s="4" t="s">
        <v>148</v>
      </c>
      <c r="B42" s="14">
        <f>IF(SUMIFS('Monthly NSE Equity Futures'!$H:$H,'Monthly NSE Equity Futures'!$C:$C,$A42)=0,"",SUMIFS('Monthly NSE Equity Futures'!$H:$H,'Monthly NSE Equity Futures'!$C:$C,$A42))</f>
        <v>20650.376900000003</v>
      </c>
      <c r="C42" s="6">
        <f>IF(SUMIFS('Monthly BSE Equity Futures'!$H:$H,'Monthly BSE Equity Futures'!$C:$C,$A42)=0,"",SUMIFS('Monthly BSE Equity Futures'!$H:$H,'Monthly BSE Equity Futures'!$C:$C,$A42))</f>
        <v>227.5</v>
      </c>
      <c r="D42" s="6">
        <f t="shared" si="12"/>
        <v>20877.876900000003</v>
      </c>
      <c r="E42" s="15">
        <f t="shared" si="13"/>
        <v>0.98910329814235087</v>
      </c>
      <c r="F42" s="15">
        <f t="shared" si="14"/>
        <v>1.0896701857649136E-2</v>
      </c>
      <c r="G42" s="20">
        <f t="shared" si="21"/>
        <v>0.1763033297002079</v>
      </c>
      <c r="H42" s="15">
        <f t="shared" si="22"/>
        <v>0.73050650974712528</v>
      </c>
      <c r="I42" s="15">
        <f t="shared" si="23"/>
        <v>0.18042267680982027</v>
      </c>
      <c r="J42" s="15">
        <f t="shared" si="18"/>
        <v>2.0633370378436044E-2</v>
      </c>
      <c r="K42" s="15">
        <f t="shared" si="19"/>
        <v>4.9976092852039633E-2</v>
      </c>
      <c r="L42" s="15">
        <f t="shared" si="20"/>
        <v>2.094426850083031E-2</v>
      </c>
      <c r="M42" s="18">
        <f>IF(SUMIFS('Monthly NSE Equity Futures'!$I:$I,'Monthly NSE Equity Futures'!$C:$C,$A42)=0,"",SUMIFS('Monthly NSE Equity Futures'!$I:$I,'Monthly NSE Equity Futures'!$C:$C,$A42))</f>
        <v>64108370</v>
      </c>
      <c r="N42" s="7">
        <f>IF(SUMIFS('Monthly BSE Equity Futures'!$I:$I,'Monthly BSE Equity Futures'!$C:$C,$A42)=0,"",SUMIFS('Monthly BSE Equity Futures'!$I:$I,'Monthly BSE Equity Futures'!$C:$C,$A42))</f>
        <v>725151</v>
      </c>
      <c r="O42" s="7">
        <f t="shared" si="15"/>
        <v>64833521</v>
      </c>
      <c r="P42" s="19">
        <f t="shared" si="16"/>
        <v>0.98881518404653668</v>
      </c>
      <c r="Q42" s="19">
        <f t="shared" si="17"/>
        <v>1.1184815953463333E-2</v>
      </c>
    </row>
    <row r="43" spans="1:17" x14ac:dyDescent="0.2">
      <c r="A43" s="4" t="s">
        <v>149</v>
      </c>
      <c r="B43" s="14">
        <f>IF(SUMIFS('Monthly NSE Equity Futures'!$H:$H,'Monthly NSE Equity Futures'!$C:$C,$A43)=0,"",SUMIFS('Monthly NSE Equity Futures'!$H:$H,'Monthly NSE Equity Futures'!$C:$C,$A43))</f>
        <v>31263.907600000002</v>
      </c>
      <c r="C43" s="6">
        <f>IF(SUMIFS('Monthly BSE Equity Futures'!$H:$H,'Monthly BSE Equity Futures'!$C:$C,$A43)=0,"",SUMIFS('Monthly BSE Equity Futures'!$H:$H,'Monthly BSE Equity Futures'!$C:$C,$A43))</f>
        <v>181.745</v>
      </c>
      <c r="D43" s="6">
        <f t="shared" si="12"/>
        <v>31445.652600000001</v>
      </c>
      <c r="E43" s="15">
        <f t="shared" si="13"/>
        <v>0.99422034574025664</v>
      </c>
      <c r="F43" s="15">
        <f t="shared" si="14"/>
        <v>5.7796542597433644E-3</v>
      </c>
      <c r="G43" s="20">
        <f t="shared" si="21"/>
        <v>0.71861657048005334</v>
      </c>
      <c r="H43" s="15">
        <f t="shared" si="22"/>
        <v>-0.52006411644475892</v>
      </c>
      <c r="I43" s="15">
        <f t="shared" si="23"/>
        <v>0.6933569673564115</v>
      </c>
      <c r="J43" s="15">
        <f t="shared" si="18"/>
        <v>0.51396305023372224</v>
      </c>
      <c r="K43" s="15">
        <f t="shared" si="19"/>
        <v>-0.20112087912087906</v>
      </c>
      <c r="L43" s="15">
        <f t="shared" si="20"/>
        <v>0.50617099385234887</v>
      </c>
      <c r="M43" s="18">
        <f>IF(SUMIFS('Monthly NSE Equity Futures'!$I:$I,'Monthly NSE Equity Futures'!$C:$C,$A43)=0,"",SUMIFS('Monthly NSE Equity Futures'!$I:$I,'Monthly NSE Equity Futures'!$C:$C,$A43))</f>
        <v>84855911</v>
      </c>
      <c r="N43" s="7">
        <f>IF(SUMIFS('Monthly BSE Equity Futures'!$I:$I,'Monthly BSE Equity Futures'!$C:$C,$A43)=0,"",SUMIFS('Monthly BSE Equity Futures'!$I:$I,'Monthly BSE Equity Futures'!$C:$C,$A43))</f>
        <v>520274</v>
      </c>
      <c r="O43" s="7">
        <f t="shared" si="15"/>
        <v>85376185</v>
      </c>
      <c r="P43" s="19">
        <f t="shared" si="16"/>
        <v>0.99390609922427431</v>
      </c>
      <c r="Q43" s="19">
        <f t="shared" si="17"/>
        <v>6.0939007757256896E-3</v>
      </c>
    </row>
    <row r="44" spans="1:17" x14ac:dyDescent="0.2">
      <c r="A44" s="4" t="s">
        <v>150</v>
      </c>
      <c r="B44" s="14">
        <f>IF(SUMIFS('Monthly NSE Equity Futures'!$H:$H,'Monthly NSE Equity Futures'!$C:$C,$A44)=0,"",SUMIFS('Monthly NSE Equity Futures'!$H:$H,'Monthly NSE Equity Futures'!$C:$C,$A44))</f>
        <v>31330.7143</v>
      </c>
      <c r="C44" s="6">
        <f>IF(SUMIFS('Monthly BSE Equity Futures'!$H:$H,'Monthly BSE Equity Futures'!$C:$C,$A44)=0,"",SUMIFS('Monthly BSE Equity Futures'!$H:$H,'Monthly BSE Equity Futures'!$C:$C,$A44))</f>
        <v>133.42089999999999</v>
      </c>
      <c r="D44" s="6">
        <f t="shared" si="12"/>
        <v>31464.135200000001</v>
      </c>
      <c r="E44" s="15">
        <f t="shared" si="13"/>
        <v>0.9957595878878629</v>
      </c>
      <c r="F44" s="15">
        <f t="shared" si="14"/>
        <v>4.2404121121371223E-3</v>
      </c>
      <c r="G44" s="20">
        <f t="shared" si="21"/>
        <v>0.47443883022186784</v>
      </c>
      <c r="H44" s="15">
        <f t="shared" si="22"/>
        <v>-0.62739377359143955</v>
      </c>
      <c r="I44" s="15">
        <f t="shared" si="23"/>
        <v>0.45617934854248077</v>
      </c>
      <c r="J44" s="15">
        <f t="shared" si="18"/>
        <v>2.1368634034728551E-3</v>
      </c>
      <c r="K44" s="15">
        <f t="shared" si="19"/>
        <v>-0.26588957055214735</v>
      </c>
      <c r="L44" s="15">
        <f t="shared" si="20"/>
        <v>5.877632827375745E-4</v>
      </c>
      <c r="M44" s="18">
        <f>IF(SUMIFS('Monthly NSE Equity Futures'!$I:$I,'Monthly NSE Equity Futures'!$C:$C,$A44)=0,"",SUMIFS('Monthly NSE Equity Futures'!$I:$I,'Monthly NSE Equity Futures'!$C:$C,$A44))</f>
        <v>80171887</v>
      </c>
      <c r="N44" s="7">
        <f>IF(SUMIFS('Monthly BSE Equity Futures'!$I:$I,'Monthly BSE Equity Futures'!$C:$C,$A44)=0,"",SUMIFS('Monthly BSE Equity Futures'!$I:$I,'Monthly BSE Equity Futures'!$C:$C,$A44))</f>
        <v>342117</v>
      </c>
      <c r="O44" s="7">
        <f t="shared" si="15"/>
        <v>80514004</v>
      </c>
      <c r="P44" s="19">
        <f t="shared" si="16"/>
        <v>0.99575083857461621</v>
      </c>
      <c r="Q44" s="19">
        <f t="shared" si="17"/>
        <v>4.249161425383838E-3</v>
      </c>
    </row>
    <row r="45" spans="1:17" x14ac:dyDescent="0.2">
      <c r="A45" s="4" t="s">
        <v>151</v>
      </c>
      <c r="B45" s="14">
        <f>IF(SUMIFS('Monthly NSE Equity Futures'!$H:$H,'Monthly NSE Equity Futures'!$C:$C,$A45)=0,"",SUMIFS('Monthly NSE Equity Futures'!$H:$H,'Monthly NSE Equity Futures'!$C:$C,$A45))</f>
        <v>27132.1976</v>
      </c>
      <c r="C45" s="6">
        <f>IF(SUMIFS('Monthly BSE Equity Futures'!$H:$H,'Monthly BSE Equity Futures'!$C:$C,$A45)=0,"",SUMIFS('Monthly BSE Equity Futures'!$H:$H,'Monthly BSE Equity Futures'!$C:$C,$A45))</f>
        <v>144.53649999999999</v>
      </c>
      <c r="D45" s="6">
        <f t="shared" si="12"/>
        <v>27276.734099999998</v>
      </c>
      <c r="E45" s="15">
        <f t="shared" si="13"/>
        <v>0.99470110683082114</v>
      </c>
      <c r="F45" s="15">
        <f t="shared" si="14"/>
        <v>5.2988931691789302E-3</v>
      </c>
      <c r="G45" s="20">
        <f t="shared" si="21"/>
        <v>0.34099374633020418</v>
      </c>
      <c r="H45" s="15">
        <f t="shared" si="22"/>
        <v>-0.33292365035380744</v>
      </c>
      <c r="I45" s="15">
        <f t="shared" si="23"/>
        <v>0.33385331641725258</v>
      </c>
      <c r="J45" s="15">
        <f t="shared" si="18"/>
        <v>-0.13400641491279375</v>
      </c>
      <c r="K45" s="15">
        <f t="shared" si="19"/>
        <v>8.3312284657051539E-2</v>
      </c>
      <c r="L45" s="15">
        <f t="shared" si="20"/>
        <v>-0.13308489406694402</v>
      </c>
      <c r="M45" s="18">
        <f>IF(SUMIFS('Monthly NSE Equity Futures'!$I:$I,'Monthly NSE Equity Futures'!$C:$C,$A45)=0,"",SUMIFS('Monthly NSE Equity Futures'!$I:$I,'Monthly NSE Equity Futures'!$C:$C,$A45))</f>
        <v>86893841</v>
      </c>
      <c r="N45" s="7">
        <f>IF(SUMIFS('Monthly BSE Equity Futures'!$I:$I,'Monthly BSE Equity Futures'!$C:$C,$A45)=0,"",SUMIFS('Monthly BSE Equity Futures'!$I:$I,'Monthly BSE Equity Futures'!$C:$C,$A45))</f>
        <v>355313</v>
      </c>
      <c r="O45" s="7">
        <f t="shared" si="15"/>
        <v>87249154</v>
      </c>
      <c r="P45" s="19">
        <f t="shared" si="16"/>
        <v>0.99592760521208035</v>
      </c>
      <c r="Q45" s="19">
        <f t="shared" si="17"/>
        <v>4.0723947879196627E-3</v>
      </c>
    </row>
    <row r="46" spans="1:17" x14ac:dyDescent="0.2">
      <c r="A46" s="4" t="s">
        <v>152</v>
      </c>
      <c r="B46" s="14">
        <f>IF(SUMIFS('Monthly NSE Equity Futures'!$H:$H,'Monthly NSE Equity Futures'!$C:$C,$A46)=0,"",SUMIFS('Monthly NSE Equity Futures'!$H:$H,'Monthly NSE Equity Futures'!$C:$C,$A46))</f>
        <v>34262.995199999998</v>
      </c>
      <c r="C46" s="6">
        <f>IF(SUMIFS('Monthly BSE Equity Futures'!$H:$H,'Monthly BSE Equity Futures'!$C:$C,$A46)=0,"",SUMIFS('Monthly BSE Equity Futures'!$H:$H,'Monthly BSE Equity Futures'!$C:$C,$A46))</f>
        <v>124.5637</v>
      </c>
      <c r="D46" s="6">
        <f t="shared" si="12"/>
        <v>34387.558899999996</v>
      </c>
      <c r="E46" s="15">
        <f t="shared" si="13"/>
        <v>0.99637765215140062</v>
      </c>
      <c r="F46" s="15">
        <f t="shared" si="14"/>
        <v>3.6223478485993958E-3</v>
      </c>
      <c r="G46" s="20">
        <f t="shared" si="21"/>
        <v>0.65919466583682507</v>
      </c>
      <c r="H46" s="15">
        <f t="shared" si="22"/>
        <v>-0.45246725274725275</v>
      </c>
      <c r="I46" s="15">
        <f t="shared" si="23"/>
        <v>0.64708121734351209</v>
      </c>
      <c r="J46" s="15">
        <f t="shared" si="18"/>
        <v>0.2628168092067853</v>
      </c>
      <c r="K46" s="15">
        <f t="shared" si="19"/>
        <v>-0.13818516430105887</v>
      </c>
      <c r="L46" s="15">
        <f t="shared" si="20"/>
        <v>0.26069194258853745</v>
      </c>
      <c r="M46" s="18">
        <f>IF(SUMIFS('Monthly NSE Equity Futures'!$I:$I,'Monthly NSE Equity Futures'!$C:$C,$A46)=0,"",SUMIFS('Monthly NSE Equity Futures'!$I:$I,'Monthly NSE Equity Futures'!$C:$C,$A46))</f>
        <v>114986146</v>
      </c>
      <c r="N46" s="7">
        <f>IF(SUMIFS('Monthly BSE Equity Futures'!$I:$I,'Monthly BSE Equity Futures'!$C:$C,$A46)=0,"",SUMIFS('Monthly BSE Equity Futures'!$I:$I,'Monthly BSE Equity Futures'!$C:$C,$A46))</f>
        <v>315936</v>
      </c>
      <c r="O46" s="7">
        <f t="shared" si="15"/>
        <v>115302082</v>
      </c>
      <c r="P46" s="19">
        <f t="shared" si="16"/>
        <v>0.99725992805576569</v>
      </c>
      <c r="Q46" s="19">
        <f t="shared" si="17"/>
        <v>2.7400719442342769E-3</v>
      </c>
    </row>
    <row r="47" spans="1:17" x14ac:dyDescent="0.2">
      <c r="A47" s="4" t="s">
        <v>153</v>
      </c>
      <c r="B47" s="14">
        <f>IF(SUMIFS('Monthly NSE Equity Futures'!$H:$H,'Monthly NSE Equity Futures'!$C:$C,$A47)=0,"",SUMIFS('Monthly NSE Equity Futures'!$H:$H,'Monthly NSE Equity Futures'!$C:$C,$A47))</f>
        <v>30831.8174</v>
      </c>
      <c r="C47" s="6">
        <f>IF(SUMIFS('Monthly BSE Equity Futures'!$H:$H,'Monthly BSE Equity Futures'!$C:$C,$A47)=0,"",SUMIFS('Monthly BSE Equity Futures'!$H:$H,'Monthly BSE Equity Futures'!$C:$C,$A47))</f>
        <v>77.123099999999994</v>
      </c>
      <c r="D47" s="6">
        <f t="shared" si="12"/>
        <v>30908.940500000001</v>
      </c>
      <c r="E47" s="15">
        <f t="shared" si="13"/>
        <v>0.99750482874040924</v>
      </c>
      <c r="F47" s="15">
        <f t="shared" si="14"/>
        <v>2.4951712595907322E-3</v>
      </c>
      <c r="G47" s="20">
        <f t="shared" si="21"/>
        <v>-1.3820735575613141E-2</v>
      </c>
      <c r="H47" s="15">
        <f t="shared" si="22"/>
        <v>-0.57565214999037118</v>
      </c>
      <c r="I47" s="15">
        <f t="shared" si="23"/>
        <v>-1.7067926903193031E-2</v>
      </c>
      <c r="J47" s="15">
        <f t="shared" si="18"/>
        <v>-0.10014237751170096</v>
      </c>
      <c r="K47" s="15">
        <f t="shared" si="19"/>
        <v>-0.38085413326675432</v>
      </c>
      <c r="L47" s="15">
        <f t="shared" si="20"/>
        <v>-0.10115921313623677</v>
      </c>
      <c r="M47" s="18">
        <f>IF(SUMIFS('Monthly NSE Equity Futures'!$I:$I,'Monthly NSE Equity Futures'!$C:$C,$A47)=0,"",SUMIFS('Monthly NSE Equity Futures'!$I:$I,'Monthly NSE Equity Futures'!$C:$C,$A47))</f>
        <v>114493970</v>
      </c>
      <c r="N47" s="7">
        <f>IF(SUMIFS('Monthly BSE Equity Futures'!$I:$I,'Monthly BSE Equity Futures'!$C:$C,$A47)=0,"",SUMIFS('Monthly BSE Equity Futures'!$I:$I,'Monthly BSE Equity Futures'!$C:$C,$A47))</f>
        <v>198126</v>
      </c>
      <c r="O47" s="7">
        <f t="shared" si="15"/>
        <v>114692096</v>
      </c>
      <c r="P47" s="19">
        <f t="shared" si="16"/>
        <v>0.99827254007111355</v>
      </c>
      <c r="Q47" s="19">
        <f t="shared" si="17"/>
        <v>1.7274599288864684E-3</v>
      </c>
    </row>
    <row r="48" spans="1:17" x14ac:dyDescent="0.2">
      <c r="A48" s="4" t="s">
        <v>154</v>
      </c>
      <c r="B48" s="14">
        <f>IF(SUMIFS('Monthly NSE Equity Futures'!$H:$H,'Monthly NSE Equity Futures'!$C:$C,$A48)=0,"",SUMIFS('Monthly NSE Equity Futures'!$H:$H,'Monthly NSE Equity Futures'!$C:$C,$A48))</f>
        <v>33102.039300000004</v>
      </c>
      <c r="C48" s="6">
        <f>IF(SUMIFS('Monthly BSE Equity Futures'!$H:$H,'Monthly BSE Equity Futures'!$C:$C,$A48)=0,"",SUMIFS('Monthly BSE Equity Futures'!$H:$H,'Monthly BSE Equity Futures'!$C:$C,$A48))</f>
        <v>31.494099999999996</v>
      </c>
      <c r="D48" s="6">
        <f t="shared" si="12"/>
        <v>33133.533400000008</v>
      </c>
      <c r="E48" s="15">
        <f t="shared" si="13"/>
        <v>0.99904947958251855</v>
      </c>
      <c r="F48" s="15">
        <f t="shared" si="14"/>
        <v>9.5052041748134198E-4</v>
      </c>
      <c r="G48" s="20">
        <f t="shared" si="21"/>
        <v>5.6536374595200556E-2</v>
      </c>
      <c r="H48" s="15">
        <f t="shared" si="22"/>
        <v>-0.76394927631278153</v>
      </c>
      <c r="I48" s="15">
        <f t="shared" si="23"/>
        <v>5.3057177303255543E-2</v>
      </c>
      <c r="J48" s="15">
        <f t="shared" si="18"/>
        <v>7.3632438547070578E-2</v>
      </c>
      <c r="K48" s="15">
        <f t="shared" si="19"/>
        <v>-0.59163856224659028</v>
      </c>
      <c r="L48" s="15">
        <f t="shared" si="20"/>
        <v>7.1972473466051179E-2</v>
      </c>
      <c r="M48" s="18">
        <f>IF(SUMIFS('Monthly NSE Equity Futures'!$I:$I,'Monthly NSE Equity Futures'!$C:$C,$A48)=0,"",SUMIFS('Monthly NSE Equity Futures'!$I:$I,'Monthly NSE Equity Futures'!$C:$C,$A48))</f>
        <v>125831486</v>
      </c>
      <c r="N48" s="7">
        <f>IF(SUMIFS('Monthly BSE Equity Futures'!$I:$I,'Monthly BSE Equity Futures'!$C:$C,$A48)=0,"",SUMIFS('Monthly BSE Equity Futures'!$I:$I,'Monthly BSE Equity Futures'!$C:$C,$A48))</f>
        <v>83809</v>
      </c>
      <c r="O48" s="7">
        <f t="shared" si="15"/>
        <v>125915295</v>
      </c>
      <c r="P48" s="19">
        <f t="shared" si="16"/>
        <v>0.99933440175000188</v>
      </c>
      <c r="Q48" s="19">
        <f t="shared" si="17"/>
        <v>6.655982499981436E-4</v>
      </c>
    </row>
    <row r="49" spans="1:17" x14ac:dyDescent="0.2">
      <c r="A49" s="4" t="s">
        <v>155</v>
      </c>
      <c r="B49" s="14">
        <f>IF(SUMIFS('Monthly NSE Equity Futures'!$H:$H,'Monthly NSE Equity Futures'!$C:$C,$A49)=0,"",SUMIFS('Monthly NSE Equity Futures'!$H:$H,'Monthly NSE Equity Futures'!$C:$C,$A49))</f>
        <v>27812.017399999997</v>
      </c>
      <c r="C49" s="6">
        <f>IF(SUMIFS('Monthly BSE Equity Futures'!$H:$H,'Monthly BSE Equity Futures'!$C:$C,$A49)=0,"",SUMIFS('Monthly BSE Equity Futures'!$H:$H,'Monthly BSE Equity Futures'!$C:$C,$A49))</f>
        <v>18.394499999999997</v>
      </c>
      <c r="D49" s="6">
        <f t="shared" si="12"/>
        <v>27830.411899999996</v>
      </c>
      <c r="E49" s="15">
        <f t="shared" si="13"/>
        <v>0.99933905038609949</v>
      </c>
      <c r="F49" s="15">
        <f t="shared" si="14"/>
        <v>6.6094961390061207E-4</v>
      </c>
      <c r="G49" s="20">
        <f t="shared" si="21"/>
        <v>2.5055832558141145E-2</v>
      </c>
      <c r="H49" s="15">
        <f t="shared" si="22"/>
        <v>-0.87273456877674493</v>
      </c>
      <c r="I49" s="15">
        <f t="shared" si="23"/>
        <v>2.0298537133153216E-2</v>
      </c>
      <c r="J49" s="15">
        <f t="shared" si="18"/>
        <v>-0.15980954683961135</v>
      </c>
      <c r="K49" s="15">
        <f t="shared" si="19"/>
        <v>-0.41593822334977026</v>
      </c>
      <c r="L49" s="15">
        <f t="shared" si="20"/>
        <v>-0.16005300237613684</v>
      </c>
      <c r="M49" s="18">
        <f>IF(SUMIFS('Monthly NSE Equity Futures'!$I:$I,'Monthly NSE Equity Futures'!$C:$C,$A49)=0,"",SUMIFS('Monthly NSE Equity Futures'!$I:$I,'Monthly NSE Equity Futures'!$C:$C,$A49))</f>
        <v>67063534</v>
      </c>
      <c r="N49" s="7">
        <f>IF(SUMIFS('Monthly BSE Equity Futures'!$I:$I,'Monthly BSE Equity Futures'!$C:$C,$A49)=0,"",SUMIFS('Monthly BSE Equity Futures'!$I:$I,'Monthly BSE Equity Futures'!$C:$C,$A49))</f>
        <v>40704</v>
      </c>
      <c r="O49" s="7">
        <f t="shared" si="15"/>
        <v>67104238</v>
      </c>
      <c r="P49" s="19">
        <f t="shared" si="16"/>
        <v>0.99939342132161613</v>
      </c>
      <c r="Q49" s="19">
        <f t="shared" si="17"/>
        <v>6.0657867838391966E-4</v>
      </c>
    </row>
    <row r="50" spans="1:17" x14ac:dyDescent="0.2">
      <c r="A50" s="4" t="s">
        <v>156</v>
      </c>
      <c r="B50" s="14">
        <f>IF(SUMIFS('Monthly NSE Equity Futures'!$H:$H,'Monthly NSE Equity Futures'!$C:$C,$A50)=0,"",SUMIFS('Monthly NSE Equity Futures'!$H:$H,'Monthly NSE Equity Futures'!$C:$C,$A50))</f>
        <v>32111.3223</v>
      </c>
      <c r="C50" s="6">
        <f>IF(SUMIFS('Monthly BSE Equity Futures'!$H:$H,'Monthly BSE Equity Futures'!$C:$C,$A50)=0,"",SUMIFS('Monthly BSE Equity Futures'!$H:$H,'Monthly BSE Equity Futures'!$C:$C,$A50))</f>
        <v>17.4558</v>
      </c>
      <c r="D50" s="6">
        <f t="shared" si="12"/>
        <v>32128.7781</v>
      </c>
      <c r="E50" s="15">
        <f t="shared" si="13"/>
        <v>0.9994566926900964</v>
      </c>
      <c r="F50" s="15">
        <f t="shared" si="14"/>
        <v>5.4330730990357831E-4</v>
      </c>
      <c r="G50" s="20">
        <f t="shared" si="21"/>
        <v>-6.2798739206547771E-2</v>
      </c>
      <c r="H50" s="15">
        <f t="shared" si="22"/>
        <v>-0.85986447094940177</v>
      </c>
      <c r="I50" s="15">
        <f t="shared" si="23"/>
        <v>-6.5685988545118756E-2</v>
      </c>
      <c r="J50" s="15">
        <f t="shared" si="18"/>
        <v>0.15458443154864421</v>
      </c>
      <c r="K50" s="15">
        <f t="shared" si="19"/>
        <v>-5.1031558346244621E-2</v>
      </c>
      <c r="L50" s="15">
        <f t="shared" si="20"/>
        <v>0.15444852973951151</v>
      </c>
      <c r="M50" s="18">
        <f>IF(SUMIFS('Monthly NSE Equity Futures'!$I:$I,'Monthly NSE Equity Futures'!$C:$C,$A50)=0,"",SUMIFS('Monthly NSE Equity Futures'!$I:$I,'Monthly NSE Equity Futures'!$C:$C,$A50))</f>
        <v>67393651</v>
      </c>
      <c r="N50" s="7">
        <f>IF(SUMIFS('Monthly BSE Equity Futures'!$I:$I,'Monthly BSE Equity Futures'!$C:$C,$A50)=0,"",SUMIFS('Monthly BSE Equity Futures'!$I:$I,'Monthly BSE Equity Futures'!$C:$C,$A50))</f>
        <v>35888</v>
      </c>
      <c r="O50" s="7">
        <f t="shared" si="15"/>
        <v>67429539</v>
      </c>
      <c r="P50" s="19">
        <f t="shared" si="16"/>
        <v>0.99946777034913437</v>
      </c>
      <c r="Q50" s="19">
        <f t="shared" si="17"/>
        <v>5.3222965086562437E-4</v>
      </c>
    </row>
    <row r="51" spans="1:17" x14ac:dyDescent="0.2">
      <c r="A51" s="4" t="s">
        <v>157</v>
      </c>
      <c r="B51" s="14">
        <f>IF(SUMIFS('Monthly NSE Equity Futures'!$H:$H,'Monthly NSE Equity Futures'!$C:$C,$A51)=0,"",SUMIFS('Monthly NSE Equity Futures'!$H:$H,'Monthly NSE Equity Futures'!$C:$C,$A51))</f>
        <v>33405.600899999998</v>
      </c>
      <c r="C51" s="6">
        <f>IF(SUMIFS('Monthly BSE Equity Futures'!$H:$H,'Monthly BSE Equity Futures'!$C:$C,$A51)=0,"",SUMIFS('Monthly BSE Equity Futures'!$H:$H,'Monthly BSE Equity Futures'!$C:$C,$A51))</f>
        <v>0.72399999999999998</v>
      </c>
      <c r="D51" s="6">
        <f t="shared" si="12"/>
        <v>33406.3249</v>
      </c>
      <c r="E51" s="15">
        <f t="shared" si="13"/>
        <v>0.99997832745738513</v>
      </c>
      <c r="F51" s="15">
        <f t="shared" si="14"/>
        <v>2.1672542614826811E-5</v>
      </c>
      <c r="G51" s="20">
        <f t="shared" si="21"/>
        <v>8.3478163697220165E-2</v>
      </c>
      <c r="H51" s="15">
        <f t="shared" si="22"/>
        <v>-0.99061241054884985</v>
      </c>
      <c r="I51" s="15">
        <f t="shared" si="23"/>
        <v>8.079812376616391E-2</v>
      </c>
      <c r="J51" s="15">
        <f t="shared" si="18"/>
        <v>4.0305988894141498E-2</v>
      </c>
      <c r="K51" s="15">
        <f t="shared" si="19"/>
        <v>-0.9585238144341709</v>
      </c>
      <c r="L51" s="15">
        <f t="shared" si="20"/>
        <v>3.9763317360643757E-2</v>
      </c>
      <c r="M51" s="18">
        <f>IF(SUMIFS('Monthly NSE Equity Futures'!$I:$I,'Monthly NSE Equity Futures'!$C:$C,$A51)=0,"",SUMIFS('Monthly NSE Equity Futures'!$I:$I,'Monthly NSE Equity Futures'!$C:$C,$A51))</f>
        <v>63773616</v>
      </c>
      <c r="N51" s="7">
        <f>IF(SUMIFS('Monthly BSE Equity Futures'!$I:$I,'Monthly BSE Equity Futures'!$C:$C,$A51)=0,"",SUMIFS('Monthly BSE Equity Futures'!$I:$I,'Monthly BSE Equity Futures'!$C:$C,$A51))</f>
        <v>1302</v>
      </c>
      <c r="O51" s="7">
        <f t="shared" si="15"/>
        <v>63774918</v>
      </c>
      <c r="P51" s="19">
        <f t="shared" si="16"/>
        <v>0.99997958445042612</v>
      </c>
      <c r="Q51" s="19">
        <f t="shared" si="17"/>
        <v>2.0415549573893613E-5</v>
      </c>
    </row>
    <row r="52" spans="1:17" x14ac:dyDescent="0.2">
      <c r="A52" s="4" t="s">
        <v>158</v>
      </c>
      <c r="B52" s="14">
        <f>IF(SUMIFS('Monthly NSE Equity Futures'!$H:$H,'Monthly NSE Equity Futures'!$C:$C,$A52)=0,"",SUMIFS('Monthly NSE Equity Futures'!$H:$H,'Monthly NSE Equity Futures'!$C:$C,$A52))</f>
        <v>41321.7048</v>
      </c>
      <c r="C52" s="6">
        <f>IF(SUMIFS('Monthly BSE Equity Futures'!$H:$H,'Monthly BSE Equity Futures'!$C:$C,$A52)=0,"",SUMIFS('Monthly BSE Equity Futures'!$H:$H,'Monthly BSE Equity Futures'!$C:$C,$A52))</f>
        <v>20.166600000000003</v>
      </c>
      <c r="D52" s="6">
        <f t="shared" si="12"/>
        <v>41341.871399999996</v>
      </c>
      <c r="E52" s="15">
        <f t="shared" si="13"/>
        <v>0.99951219915023015</v>
      </c>
      <c r="F52" s="15">
        <f t="shared" si="14"/>
        <v>4.878008497699503E-4</v>
      </c>
      <c r="G52" s="20">
        <f t="shared" si="21"/>
        <v>0.24831296421063676</v>
      </c>
      <c r="H52" s="15">
        <f t="shared" si="22"/>
        <v>-0.35967054146649668</v>
      </c>
      <c r="I52" s="15">
        <f t="shared" si="23"/>
        <v>0.24773506347499863</v>
      </c>
      <c r="J52" s="15">
        <f t="shared" si="18"/>
        <v>0.23696936102712063</v>
      </c>
      <c r="K52" s="15">
        <f t="shared" si="19"/>
        <v>26.854419889502768</v>
      </c>
      <c r="L52" s="15">
        <f t="shared" si="20"/>
        <v>0.23754622885799681</v>
      </c>
      <c r="M52" s="18">
        <f>IF(SUMIFS('Monthly NSE Equity Futures'!$I:$I,'Monthly NSE Equity Futures'!$C:$C,$A52)=0,"",SUMIFS('Monthly NSE Equity Futures'!$I:$I,'Monthly NSE Equity Futures'!$C:$C,$A52))</f>
        <v>60143062</v>
      </c>
      <c r="N52" s="7">
        <f>IF(SUMIFS('Monthly BSE Equity Futures'!$I:$I,'Monthly BSE Equity Futures'!$C:$C,$A52)=0,"",SUMIFS('Monthly BSE Equity Futures'!$I:$I,'Monthly BSE Equity Futures'!$C:$C,$A52))</f>
        <v>28587</v>
      </c>
      <c r="O52" s="7">
        <f t="shared" si="15"/>
        <v>60171649</v>
      </c>
      <c r="P52" s="19">
        <f t="shared" si="16"/>
        <v>0.9995249091478281</v>
      </c>
      <c r="Q52" s="19">
        <f t="shared" si="17"/>
        <v>4.750908521719257E-4</v>
      </c>
    </row>
    <row r="53" spans="1:17" x14ac:dyDescent="0.2">
      <c r="A53" s="4" t="s">
        <v>159</v>
      </c>
      <c r="B53" s="14">
        <f>IF(SUMIFS('Monthly NSE Equity Futures'!$H:$H,'Monthly NSE Equity Futures'!$C:$C,$A53)=0,"",SUMIFS('Monthly NSE Equity Futures'!$H:$H,'Monthly NSE Equity Futures'!$C:$C,$A53))</f>
        <v>37684.039100000002</v>
      </c>
      <c r="C53" s="6">
        <f>IF(SUMIFS('Monthly BSE Equity Futures'!$H:$H,'Monthly BSE Equity Futures'!$C:$C,$A53)=0,"",SUMIFS('Monthly BSE Equity Futures'!$H:$H,'Monthly BSE Equity Futures'!$C:$C,$A53))</f>
        <v>1.3137000000000001</v>
      </c>
      <c r="D53" s="6">
        <f t="shared" si="12"/>
        <v>37685.352800000001</v>
      </c>
      <c r="E53" s="15">
        <f t="shared" si="13"/>
        <v>0.99996514030246786</v>
      </c>
      <c r="F53" s="15">
        <f t="shared" si="14"/>
        <v>3.4859697532140392E-5</v>
      </c>
      <c r="G53" s="20">
        <f t="shared" si="21"/>
        <v>0.354955253983122</v>
      </c>
      <c r="H53" s="15">
        <f t="shared" si="22"/>
        <v>-0.92858191307184212</v>
      </c>
      <c r="I53" s="15">
        <f t="shared" si="23"/>
        <v>0.35410690058812988</v>
      </c>
      <c r="J53" s="15">
        <f t="shared" si="18"/>
        <v>-8.8032807881634145E-2</v>
      </c>
      <c r="K53" s="15">
        <f t="shared" si="19"/>
        <v>-0.93485763589301119</v>
      </c>
      <c r="L53" s="15">
        <f t="shared" si="20"/>
        <v>-8.8445889752344353E-2</v>
      </c>
      <c r="M53" s="18">
        <f>IF(SUMIFS('Monthly NSE Equity Futures'!$I:$I,'Monthly NSE Equity Futures'!$C:$C,$A53)=0,"",SUMIFS('Monthly NSE Equity Futures'!$I:$I,'Monthly NSE Equity Futures'!$C:$C,$A53))</f>
        <v>56276256</v>
      </c>
      <c r="N53" s="7">
        <f>IF(SUMIFS('Monthly BSE Equity Futures'!$I:$I,'Monthly BSE Equity Futures'!$C:$C,$A53)=0,"",SUMIFS('Monthly BSE Equity Futures'!$I:$I,'Monthly BSE Equity Futures'!$C:$C,$A53))</f>
        <v>1832</v>
      </c>
      <c r="O53" s="7">
        <f t="shared" si="15"/>
        <v>56278088</v>
      </c>
      <c r="P53" s="19">
        <f t="shared" si="16"/>
        <v>0.99996744736601573</v>
      </c>
      <c r="Q53" s="19">
        <f t="shared" si="17"/>
        <v>3.2552633984295986E-5</v>
      </c>
    </row>
    <row r="54" spans="1:17" x14ac:dyDescent="0.2">
      <c r="A54" s="4" t="s">
        <v>160</v>
      </c>
      <c r="B54" s="14">
        <f>IF(SUMIFS('Monthly NSE Equity Futures'!$H:$H,'Monthly NSE Equity Futures'!$C:$C,$A54)=0,"",SUMIFS('Monthly NSE Equity Futures'!$H:$H,'Monthly NSE Equity Futures'!$C:$C,$A54))</f>
        <v>42243.934399999998</v>
      </c>
      <c r="C54" s="6">
        <f>IF(SUMIFS('Monthly BSE Equity Futures'!$H:$H,'Monthly BSE Equity Futures'!$C:$C,$A54)=0,"",SUMIFS('Monthly BSE Equity Futures'!$H:$H,'Monthly BSE Equity Futures'!$C:$C,$A54))</f>
        <v>2.4950999999999999</v>
      </c>
      <c r="D54" s="6">
        <f t="shared" si="12"/>
        <v>42246.429499999998</v>
      </c>
      <c r="E54" s="15">
        <f t="shared" si="13"/>
        <v>0.99994093938755224</v>
      </c>
      <c r="F54" s="15">
        <f t="shared" si="14"/>
        <v>5.9060612447733601E-5</v>
      </c>
      <c r="G54" s="20">
        <f t="shared" si="21"/>
        <v>0.31554639841162802</v>
      </c>
      <c r="H54" s="15">
        <f t="shared" si="22"/>
        <v>-0.85706183618052456</v>
      </c>
      <c r="I54" s="15">
        <f t="shared" si="23"/>
        <v>0.31490931178612103</v>
      </c>
      <c r="J54" s="15">
        <f t="shared" si="18"/>
        <v>0.12100335868720591</v>
      </c>
      <c r="K54" s="15">
        <f t="shared" si="19"/>
        <v>0.89929207581639625</v>
      </c>
      <c r="L54" s="15">
        <f t="shared" si="20"/>
        <v>0.12103048959647777</v>
      </c>
      <c r="M54" s="18">
        <f>IF(SUMIFS('Monthly NSE Equity Futures'!$I:$I,'Monthly NSE Equity Futures'!$C:$C,$A54)=0,"",SUMIFS('Monthly NSE Equity Futures'!$I:$I,'Monthly NSE Equity Futures'!$C:$C,$A54))</f>
        <v>60202266</v>
      </c>
      <c r="N54" s="7">
        <f>IF(SUMIFS('Monthly BSE Equity Futures'!$I:$I,'Monthly BSE Equity Futures'!$C:$C,$A54)=0,"",SUMIFS('Monthly BSE Equity Futures'!$I:$I,'Monthly BSE Equity Futures'!$C:$C,$A54))</f>
        <v>3468</v>
      </c>
      <c r="O54" s="7">
        <f t="shared" si="15"/>
        <v>60205734</v>
      </c>
      <c r="P54" s="19">
        <f t="shared" si="16"/>
        <v>0.99994239751316705</v>
      </c>
      <c r="Q54" s="19">
        <f t="shared" si="17"/>
        <v>5.7602486832898676E-5</v>
      </c>
    </row>
    <row r="55" spans="1:17" x14ac:dyDescent="0.2">
      <c r="A55" s="4" t="s">
        <v>161</v>
      </c>
      <c r="B55" s="14">
        <f>IF(SUMIFS('Monthly NSE Equity Futures'!$H:$H,'Monthly NSE Equity Futures'!$C:$C,$A55)=0,"",SUMIFS('Monthly NSE Equity Futures'!$H:$H,'Monthly NSE Equity Futures'!$C:$C,$A55))</f>
        <v>46858.644</v>
      </c>
      <c r="C55" s="6">
        <f>IF(SUMIFS('Monthly BSE Equity Futures'!$H:$H,'Monthly BSE Equity Futures'!$C:$C,$A55)=0,"",SUMIFS('Monthly BSE Equity Futures'!$H:$H,'Monthly BSE Equity Futures'!$C:$C,$A55))</f>
        <v>28.918800000000001</v>
      </c>
      <c r="D55" s="6">
        <f t="shared" si="12"/>
        <v>46887.5628</v>
      </c>
      <c r="E55" s="15">
        <f t="shared" si="13"/>
        <v>0.99938323089806669</v>
      </c>
      <c r="F55" s="15">
        <f t="shared" si="14"/>
        <v>6.1676910193335962E-4</v>
      </c>
      <c r="G55" s="20">
        <f t="shared" si="21"/>
        <v>0.40271818909265611</v>
      </c>
      <c r="H55" s="15">
        <f t="shared" si="22"/>
        <v>38.943093922651933</v>
      </c>
      <c r="I55" s="15">
        <f t="shared" si="23"/>
        <v>0.40355345702813294</v>
      </c>
      <c r="J55" s="15">
        <f t="shared" si="18"/>
        <v>0.10923957878317325</v>
      </c>
      <c r="K55" s="15">
        <f t="shared" si="19"/>
        <v>10.590236864253939</v>
      </c>
      <c r="L55" s="15">
        <f t="shared" si="20"/>
        <v>0.10985859290191624</v>
      </c>
      <c r="M55" s="18">
        <f>IF(SUMIFS('Monthly NSE Equity Futures'!$I:$I,'Monthly NSE Equity Futures'!$C:$C,$A55)=0,"",SUMIFS('Monthly NSE Equity Futures'!$I:$I,'Monthly NSE Equity Futures'!$C:$C,$A55))</f>
        <v>63808829</v>
      </c>
      <c r="N55" s="7">
        <f>IF(SUMIFS('Monthly BSE Equity Futures'!$I:$I,'Monthly BSE Equity Futures'!$C:$C,$A55)=0,"",SUMIFS('Monthly BSE Equity Futures'!$I:$I,'Monthly BSE Equity Futures'!$C:$C,$A55))</f>
        <v>39839</v>
      </c>
      <c r="O55" s="7">
        <f t="shared" si="15"/>
        <v>63848668</v>
      </c>
      <c r="P55" s="19">
        <f t="shared" si="16"/>
        <v>0.99937604023313376</v>
      </c>
      <c r="Q55" s="19">
        <f t="shared" si="17"/>
        <v>6.2395976686624064E-4</v>
      </c>
    </row>
    <row r="56" spans="1:17" x14ac:dyDescent="0.2">
      <c r="A56" s="4" t="s">
        <v>162</v>
      </c>
      <c r="B56" s="14">
        <f>IF(SUMIFS('Monthly NSE Equity Futures'!$H:$H,'Monthly NSE Equity Futures'!$C:$C,$A56)=0,"",SUMIFS('Monthly NSE Equity Futures'!$H:$H,'Monthly NSE Equity Futures'!$C:$C,$A56))</f>
        <v>48886.675799999997</v>
      </c>
      <c r="C56" s="6">
        <f>IF(SUMIFS('Monthly BSE Equity Futures'!$H:$H,'Monthly BSE Equity Futures'!$C:$C,$A56)=0,"",SUMIFS('Monthly BSE Equity Futures'!$H:$H,'Monthly BSE Equity Futures'!$C:$C,$A56))</f>
        <v>3.4632000000000001</v>
      </c>
      <c r="D56" s="6">
        <f t="shared" si="12"/>
        <v>48890.138999999996</v>
      </c>
      <c r="E56" s="15">
        <f t="shared" si="13"/>
        <v>0.99992916362950002</v>
      </c>
      <c r="F56" s="15">
        <f t="shared" si="14"/>
        <v>7.0836370499989789E-5</v>
      </c>
      <c r="G56" s="20">
        <f t="shared" si="21"/>
        <v>0.18307499742847</v>
      </c>
      <c r="H56" s="15">
        <f t="shared" si="22"/>
        <v>-0.82827050667936097</v>
      </c>
      <c r="I56" s="15">
        <f t="shared" si="23"/>
        <v>0.18258166223215522</v>
      </c>
      <c r="J56" s="15">
        <f t="shared" si="18"/>
        <v>4.3279779927050344E-2</v>
      </c>
      <c r="K56" s="15">
        <f t="shared" si="19"/>
        <v>-0.88024399352670235</v>
      </c>
      <c r="L56" s="15">
        <f t="shared" si="20"/>
        <v>4.2710178998683013E-2</v>
      </c>
      <c r="M56" s="18">
        <f>IF(SUMIFS('Monthly NSE Equity Futures'!$I:$I,'Monthly NSE Equity Futures'!$C:$C,$A56)=0,"",SUMIFS('Monthly NSE Equity Futures'!$I:$I,'Monthly NSE Equity Futures'!$C:$C,$A56))</f>
        <v>65240812</v>
      </c>
      <c r="N56" s="7">
        <f>IF(SUMIFS('Monthly BSE Equity Futures'!$I:$I,'Monthly BSE Equity Futures'!$C:$C,$A56)=0,"",SUMIFS('Monthly BSE Equity Futures'!$I:$I,'Monthly BSE Equity Futures'!$C:$C,$A56))</f>
        <v>4532</v>
      </c>
      <c r="O56" s="7">
        <f t="shared" si="15"/>
        <v>65245344</v>
      </c>
      <c r="P56" s="19">
        <f t="shared" si="16"/>
        <v>0.99993053910482865</v>
      </c>
      <c r="Q56" s="19">
        <f t="shared" si="17"/>
        <v>6.9460895171309084E-5</v>
      </c>
    </row>
    <row r="57" spans="1:17" x14ac:dyDescent="0.2">
      <c r="A57" s="4" t="s">
        <v>163</v>
      </c>
      <c r="B57" s="14">
        <f>IF(SUMIFS('Monthly NSE Equity Futures'!$H:$H,'Monthly NSE Equity Futures'!$C:$C,$A57)=0,"",SUMIFS('Monthly NSE Equity Futures'!$H:$H,'Monthly NSE Equity Futures'!$C:$C,$A57))</f>
        <v>50445.9329</v>
      </c>
      <c r="C57" s="6">
        <f>IF(SUMIFS('Monthly BSE Equity Futures'!$H:$H,'Monthly BSE Equity Futures'!$C:$C,$A57)=0,"",SUMIFS('Monthly BSE Equity Futures'!$H:$H,'Monthly BSE Equity Futures'!$C:$C,$A57))</f>
        <v>5.8599999999999999E-2</v>
      </c>
      <c r="D57" s="6">
        <f t="shared" si="12"/>
        <v>50445.991499999996</v>
      </c>
      <c r="E57" s="15">
        <f t="shared" si="13"/>
        <v>0.99999883836161696</v>
      </c>
      <c r="F57" s="15">
        <f t="shared" si="14"/>
        <v>1.161638383101262E-6</v>
      </c>
      <c r="G57" s="20">
        <f t="shared" si="21"/>
        <v>0.33865514697441235</v>
      </c>
      <c r="H57" s="15">
        <f t="shared" si="22"/>
        <v>-0.95539316434497978</v>
      </c>
      <c r="I57" s="15">
        <f t="shared" si="23"/>
        <v>0.33861003684168756</v>
      </c>
      <c r="J57" s="15">
        <f t="shared" si="18"/>
        <v>3.1895339056782435E-2</v>
      </c>
      <c r="K57" s="15">
        <f t="shared" si="19"/>
        <v>-0.98307923307923306</v>
      </c>
      <c r="L57" s="15">
        <f t="shared" si="20"/>
        <v>3.1823441941942532E-2</v>
      </c>
      <c r="M57" s="18">
        <f>IF(SUMIFS('Monthly NSE Equity Futures'!$I:$I,'Monthly NSE Equity Futures'!$C:$C,$A57)=0,"",SUMIFS('Monthly NSE Equity Futures'!$I:$I,'Monthly NSE Equity Futures'!$C:$C,$A57))</f>
        <v>67004152</v>
      </c>
      <c r="N57" s="7">
        <f>IF(SUMIFS('Monthly BSE Equity Futures'!$I:$I,'Monthly BSE Equity Futures'!$C:$C,$A57)=0,"",SUMIFS('Monthly BSE Equity Futures'!$I:$I,'Monthly BSE Equity Futures'!$C:$C,$A57))</f>
        <v>65</v>
      </c>
      <c r="O57" s="7">
        <f t="shared" si="15"/>
        <v>67004217</v>
      </c>
      <c r="P57" s="19">
        <f t="shared" si="16"/>
        <v>0.99999902991180389</v>
      </c>
      <c r="Q57" s="19">
        <f t="shared" si="17"/>
        <v>9.7008819609070282E-7</v>
      </c>
    </row>
    <row r="58" spans="1:17" x14ac:dyDescent="0.2">
      <c r="A58" s="4" t="s">
        <v>164</v>
      </c>
      <c r="B58" s="14">
        <f>IF(SUMIFS('Monthly NSE Equity Futures'!$H:$H,'Monthly NSE Equity Futures'!$C:$C,$A58)=0,"",SUMIFS('Monthly NSE Equity Futures'!$H:$H,'Monthly NSE Equity Futures'!$C:$C,$A58))</f>
        <v>57888.487800000003</v>
      </c>
      <c r="C58" s="6">
        <f>IF(SUMIFS('Monthly BSE Equity Futures'!$H:$H,'Monthly BSE Equity Futures'!$C:$C,$A58)=0,"",SUMIFS('Monthly BSE Equity Futures'!$H:$H,'Monthly BSE Equity Futures'!$C:$C,$A58))</f>
        <v>0.1021</v>
      </c>
      <c r="D58" s="6">
        <f t="shared" si="12"/>
        <v>57888.589899999999</v>
      </c>
      <c r="E58" s="15">
        <f t="shared" si="13"/>
        <v>0.99999823626728213</v>
      </c>
      <c r="F58" s="15">
        <f t="shared" si="14"/>
        <v>1.7637327179047421E-6</v>
      </c>
      <c r="G58" s="20">
        <f t="shared" si="21"/>
        <v>0.37033845502799578</v>
      </c>
      <c r="H58" s="15">
        <f t="shared" si="22"/>
        <v>-0.95907979640094587</v>
      </c>
      <c r="I58" s="15">
        <f t="shared" si="23"/>
        <v>0.37025993877186703</v>
      </c>
      <c r="J58" s="15">
        <f t="shared" si="18"/>
        <v>0.1475352812833004</v>
      </c>
      <c r="K58" s="15">
        <f t="shared" si="19"/>
        <v>0.74232081911262804</v>
      </c>
      <c r="L58" s="15">
        <f t="shared" si="20"/>
        <v>0.14753597220901105</v>
      </c>
      <c r="M58" s="18">
        <f>IF(SUMIFS('Monthly NSE Equity Futures'!$I:$I,'Monthly NSE Equity Futures'!$C:$C,$A58)=0,"",SUMIFS('Monthly NSE Equity Futures'!$I:$I,'Monthly NSE Equity Futures'!$C:$C,$A58))</f>
        <v>76379157</v>
      </c>
      <c r="N58" s="7">
        <f>IF(SUMIFS('Monthly BSE Equity Futures'!$I:$I,'Monthly BSE Equity Futures'!$C:$C,$A58)=0,"",SUMIFS('Monthly BSE Equity Futures'!$I:$I,'Monthly BSE Equity Futures'!$C:$C,$A58))</f>
        <v>148</v>
      </c>
      <c r="O58" s="7">
        <f t="shared" si="15"/>
        <v>76379305</v>
      </c>
      <c r="P58" s="19">
        <f t="shared" si="16"/>
        <v>0.99999806230234745</v>
      </c>
      <c r="Q58" s="19">
        <f t="shared" si="17"/>
        <v>1.9376976525251177E-6</v>
      </c>
    </row>
    <row r="59" spans="1:17" x14ac:dyDescent="0.2">
      <c r="A59" s="4" t="s">
        <v>165</v>
      </c>
      <c r="B59" s="14">
        <f>IF(SUMIFS('Monthly NSE Equity Futures'!$H:$H,'Monthly NSE Equity Futures'!$C:$C,$A59)=0,"",SUMIFS('Monthly NSE Equity Futures'!$H:$H,'Monthly NSE Equity Futures'!$C:$C,$A59))</f>
        <v>55288.199200000003</v>
      </c>
      <c r="C59" s="6">
        <f>IF(SUMIFS('Monthly BSE Equity Futures'!$H:$H,'Monthly BSE Equity Futures'!$C:$C,$A59)=0,"",SUMIFS('Monthly BSE Equity Futures'!$H:$H,'Monthly BSE Equity Futures'!$C:$C,$A59))</f>
        <v>0.373</v>
      </c>
      <c r="D59" s="6">
        <f t="shared" si="12"/>
        <v>55288.572200000002</v>
      </c>
      <c r="E59" s="15">
        <f t="shared" si="13"/>
        <v>0.9999932535787206</v>
      </c>
      <c r="F59" s="15">
        <f t="shared" si="14"/>
        <v>6.7464212794411789E-6</v>
      </c>
      <c r="G59" s="20">
        <f t="shared" si="21"/>
        <v>0.17989328073599409</v>
      </c>
      <c r="H59" s="15">
        <f t="shared" si="22"/>
        <v>-0.98710181611961767</v>
      </c>
      <c r="I59" s="15">
        <f t="shared" si="23"/>
        <v>0.17917351421814587</v>
      </c>
      <c r="J59" s="15">
        <f t="shared" si="18"/>
        <v>-4.4918924277030481E-2</v>
      </c>
      <c r="K59" s="15">
        <f t="shared" si="19"/>
        <v>2.6532810969637612</v>
      </c>
      <c r="L59" s="15">
        <f t="shared" si="20"/>
        <v>-4.4914165373373449E-2</v>
      </c>
      <c r="M59" s="18">
        <f>IF(SUMIFS('Monthly NSE Equity Futures'!$I:$I,'Monthly NSE Equity Futures'!$C:$C,$A59)=0,"",SUMIFS('Monthly NSE Equity Futures'!$I:$I,'Monthly NSE Equity Futures'!$C:$C,$A59))</f>
        <v>76985539</v>
      </c>
      <c r="N59" s="7">
        <f>IF(SUMIFS('Monthly BSE Equity Futures'!$I:$I,'Monthly BSE Equity Futures'!$C:$C,$A59)=0,"",SUMIFS('Monthly BSE Equity Futures'!$I:$I,'Monthly BSE Equity Futures'!$C:$C,$A59))</f>
        <v>450</v>
      </c>
      <c r="O59" s="7">
        <f t="shared" si="15"/>
        <v>76985989</v>
      </c>
      <c r="P59" s="19">
        <f t="shared" si="16"/>
        <v>0.99999415478055365</v>
      </c>
      <c r="Q59" s="19">
        <f t="shared" si="17"/>
        <v>5.8452194463592588E-6</v>
      </c>
    </row>
    <row r="60" spans="1:17" x14ac:dyDescent="0.2">
      <c r="A60" s="4" t="s">
        <v>166</v>
      </c>
      <c r="B60" s="14">
        <f>IF(SUMIFS('Monthly NSE Equity Futures'!$H:$H,'Monthly NSE Equity Futures'!$C:$C,$A60)=0,"",SUMIFS('Monthly NSE Equity Futures'!$H:$H,'Monthly NSE Equity Futures'!$C:$C,$A60))</f>
        <v>58499.891300000003</v>
      </c>
      <c r="C60" s="6">
        <f>IF(SUMIFS('Monthly BSE Equity Futures'!$H:$H,'Monthly BSE Equity Futures'!$C:$C,$A60)=0,"",SUMIFS('Monthly BSE Equity Futures'!$H:$H,'Monthly BSE Equity Futures'!$C:$C,$A60))</f>
        <v>5.1100000000000007E-2</v>
      </c>
      <c r="D60" s="6">
        <f t="shared" si="12"/>
        <v>58499.9424</v>
      </c>
      <c r="E60" s="15">
        <f t="shared" si="13"/>
        <v>0.99999912649486644</v>
      </c>
      <c r="F60" s="15">
        <f t="shared" si="14"/>
        <v>8.7350513357086671E-7</v>
      </c>
      <c r="G60" s="20">
        <f t="shared" si="21"/>
        <v>0.19664285498422052</v>
      </c>
      <c r="H60" s="15">
        <f t="shared" si="22"/>
        <v>-0.98524486024486024</v>
      </c>
      <c r="I60" s="15">
        <f t="shared" si="23"/>
        <v>0.19655913434813521</v>
      </c>
      <c r="J60" s="15">
        <f t="shared" si="18"/>
        <v>5.8090011005458742E-2</v>
      </c>
      <c r="K60" s="15">
        <f t="shared" si="19"/>
        <v>-0.86300268096514743</v>
      </c>
      <c r="L60" s="15">
        <f t="shared" si="20"/>
        <v>5.8083796926121423E-2</v>
      </c>
      <c r="M60" s="18">
        <f>IF(SUMIFS('Monthly NSE Equity Futures'!$I:$I,'Monthly NSE Equity Futures'!$C:$C,$A60)=0,"",SUMIFS('Monthly NSE Equity Futures'!$I:$I,'Monthly NSE Equity Futures'!$C:$C,$A60))</f>
        <v>79630042</v>
      </c>
      <c r="N60" s="7">
        <f>IF(SUMIFS('Monthly BSE Equity Futures'!$I:$I,'Monthly BSE Equity Futures'!$C:$C,$A60)=0,"",SUMIFS('Monthly BSE Equity Futures'!$I:$I,'Monthly BSE Equity Futures'!$C:$C,$A60))</f>
        <v>72</v>
      </c>
      <c r="O60" s="7">
        <f t="shared" si="15"/>
        <v>79630114</v>
      </c>
      <c r="P60" s="19">
        <f t="shared" si="16"/>
        <v>0.99999909581945345</v>
      </c>
      <c r="Q60" s="19">
        <f t="shared" si="17"/>
        <v>9.0418054657061021E-7</v>
      </c>
    </row>
    <row r="61" spans="1:17" x14ac:dyDescent="0.2">
      <c r="A61" s="4" t="s">
        <v>167</v>
      </c>
      <c r="B61" s="14">
        <f>IF(SUMIFS('Monthly NSE Equity Futures'!$H:$H,'Monthly NSE Equity Futures'!$C:$C,$A61)=0,"",SUMIFS('Monthly NSE Equity Futures'!$H:$H,'Monthly NSE Equity Futures'!$C:$C,$A61))</f>
        <v>53873.796200000004</v>
      </c>
      <c r="C61" s="6">
        <f>IF(SUMIFS('Monthly BSE Equity Futures'!$H:$H,'Monthly BSE Equity Futures'!$C:$C,$A61)=0,"",SUMIFS('Monthly BSE Equity Futures'!$H:$H,'Monthly BSE Equity Futures'!$C:$C,$A61))</f>
        <v>1.0999999999999999E-2</v>
      </c>
      <c r="D61" s="6">
        <f t="shared" si="12"/>
        <v>53873.807200000003</v>
      </c>
      <c r="E61" s="15">
        <f t="shared" si="13"/>
        <v>0.99999979581914533</v>
      </c>
      <c r="F61" s="15">
        <f t="shared" si="14"/>
        <v>2.041808546992758E-7</v>
      </c>
      <c r="G61" s="20">
        <f t="shared" si="21"/>
        <v>6.7951232199335632E-2</v>
      </c>
      <c r="H61" s="15">
        <f t="shared" si="22"/>
        <v>-0.8122866894197952</v>
      </c>
      <c r="I61" s="15">
        <f t="shared" si="23"/>
        <v>6.7950209681179707E-2</v>
      </c>
      <c r="J61" s="15">
        <f t="shared" si="18"/>
        <v>-7.907869565562764E-2</v>
      </c>
      <c r="K61" s="15">
        <f t="shared" si="19"/>
        <v>-0.78473581213307242</v>
      </c>
      <c r="L61" s="15">
        <f t="shared" si="20"/>
        <v>-7.9079312050741368E-2</v>
      </c>
      <c r="M61" s="18">
        <f>IF(SUMIFS('Monthly NSE Equity Futures'!$I:$I,'Monthly NSE Equity Futures'!$C:$C,$A61)=0,"",SUMIFS('Monthly NSE Equity Futures'!$I:$I,'Monthly NSE Equity Futures'!$C:$C,$A61))</f>
        <v>88009778</v>
      </c>
      <c r="N61" s="7">
        <f>IF(SUMIFS('Monthly BSE Equity Futures'!$I:$I,'Monthly BSE Equity Futures'!$C:$C,$A61)=0,"",SUMIFS('Monthly BSE Equity Futures'!$I:$I,'Monthly BSE Equity Futures'!$C:$C,$A61))</f>
        <v>18</v>
      </c>
      <c r="O61" s="7">
        <f t="shared" si="15"/>
        <v>88009796</v>
      </c>
      <c r="P61" s="19">
        <f t="shared" si="16"/>
        <v>0.99999979547731255</v>
      </c>
      <c r="Q61" s="19">
        <f t="shared" si="17"/>
        <v>2.0452268745174685E-7</v>
      </c>
    </row>
    <row r="62" spans="1:17" x14ac:dyDescent="0.2">
      <c r="A62" s="4" t="s">
        <v>168</v>
      </c>
      <c r="B62" s="14">
        <f>IF(SUMIFS('Monthly NSE Equity Futures'!$H:$H,'Monthly NSE Equity Futures'!$C:$C,$A62)=0,"",SUMIFS('Monthly NSE Equity Futures'!$H:$H,'Monthly NSE Equity Futures'!$C:$C,$A62))</f>
        <v>49497.366600000001</v>
      </c>
      <c r="C62" s="6">
        <f>IF(SUMIFS('Monthly BSE Equity Futures'!$H:$H,'Monthly BSE Equity Futures'!$C:$C,$A62)=0,"",SUMIFS('Monthly BSE Equity Futures'!$H:$H,'Monthly BSE Equity Futures'!$C:$C,$A62))</f>
        <v>0.13390000000000002</v>
      </c>
      <c r="D62" s="6">
        <f t="shared" si="12"/>
        <v>49497.500500000002</v>
      </c>
      <c r="E62" s="15">
        <f t="shared" si="13"/>
        <v>0.99999729481289668</v>
      </c>
      <c r="F62" s="15">
        <f t="shared" si="14"/>
        <v>2.7051871033366628E-6</v>
      </c>
      <c r="G62" s="20">
        <f t="shared" si="21"/>
        <v>-0.14495319395784945</v>
      </c>
      <c r="H62" s="15">
        <f t="shared" si="22"/>
        <v>0.31145935357492682</v>
      </c>
      <c r="I62" s="15">
        <f t="shared" si="23"/>
        <v>-0.14495238896810647</v>
      </c>
      <c r="J62" s="15">
        <f t="shared" si="18"/>
        <v>-8.1234847155619683E-2</v>
      </c>
      <c r="K62" s="15">
        <f t="shared" si="19"/>
        <v>11.172727272727276</v>
      </c>
      <c r="L62" s="15">
        <f t="shared" si="20"/>
        <v>-8.1232549312015179E-2</v>
      </c>
      <c r="M62" s="18">
        <f>IF(SUMIFS('Monthly NSE Equity Futures'!$I:$I,'Monthly NSE Equity Futures'!$C:$C,$A62)=0,"",SUMIFS('Monthly NSE Equity Futures'!$I:$I,'Monthly NSE Equity Futures'!$C:$C,$A62))</f>
        <v>80733032</v>
      </c>
      <c r="N62" s="7">
        <f>IF(SUMIFS('Monthly BSE Equity Futures'!$I:$I,'Monthly BSE Equity Futures'!$C:$C,$A62)=0,"",SUMIFS('Monthly BSE Equity Futures'!$I:$I,'Monthly BSE Equity Futures'!$C:$C,$A62))</f>
        <v>169</v>
      </c>
      <c r="O62" s="7">
        <f t="shared" si="15"/>
        <v>80733201</v>
      </c>
      <c r="P62" s="19">
        <f t="shared" si="16"/>
        <v>0.99999790668525579</v>
      </c>
      <c r="Q62" s="19">
        <f t="shared" si="17"/>
        <v>2.0933147442029458E-6</v>
      </c>
    </row>
    <row r="63" spans="1:17" x14ac:dyDescent="0.2">
      <c r="A63" s="4" t="s">
        <v>169</v>
      </c>
      <c r="B63" s="14">
        <f>IF(SUMIFS('Monthly NSE Equity Futures'!$H:$H,'Monthly NSE Equity Futures'!$C:$C,$A63)=0,"",SUMIFS('Monthly NSE Equity Futures'!$H:$H,'Monthly NSE Equity Futures'!$C:$C,$A63))</f>
        <v>50523.415599999993</v>
      </c>
      <c r="C63" s="6">
        <f>IF(SUMIFS('Monthly BSE Equity Futures'!$H:$H,'Monthly BSE Equity Futures'!$C:$C,$A63)=0,"",SUMIFS('Monthly BSE Equity Futures'!$H:$H,'Monthly BSE Equity Futures'!$C:$C,$A63))</f>
        <v>9.4199999999999992E-2</v>
      </c>
      <c r="D63" s="6">
        <f t="shared" si="12"/>
        <v>50523.509799999993</v>
      </c>
      <c r="E63" s="15">
        <f t="shared" si="13"/>
        <v>0.99999813552145578</v>
      </c>
      <c r="F63" s="15">
        <f t="shared" si="14"/>
        <v>1.8644785442043854E-6</v>
      </c>
      <c r="G63" s="20">
        <f t="shared" si="21"/>
        <v>-8.6180842728551199E-2</v>
      </c>
      <c r="H63" s="15">
        <f t="shared" si="22"/>
        <v>-0.74745308310991954</v>
      </c>
      <c r="I63" s="15">
        <f t="shared" si="23"/>
        <v>-8.6185303949665171E-2</v>
      </c>
      <c r="J63" s="15">
        <f t="shared" si="18"/>
        <v>2.0729365428503232E-2</v>
      </c>
      <c r="K63" s="15">
        <f t="shared" si="19"/>
        <v>-0.29648991784914136</v>
      </c>
      <c r="L63" s="15">
        <f t="shared" si="20"/>
        <v>2.0728507290989073E-2</v>
      </c>
      <c r="M63" s="18">
        <f>IF(SUMIFS('Monthly NSE Equity Futures'!$I:$I,'Monthly NSE Equity Futures'!$C:$C,$A63)=0,"",SUMIFS('Monthly NSE Equity Futures'!$I:$I,'Monthly NSE Equity Futures'!$C:$C,$A63))</f>
        <v>80903577</v>
      </c>
      <c r="N63" s="7">
        <f>IF(SUMIFS('Monthly BSE Equity Futures'!$I:$I,'Monthly BSE Equity Futures'!$C:$C,$A63)=0,"",SUMIFS('Monthly BSE Equity Futures'!$I:$I,'Monthly BSE Equity Futures'!$C:$C,$A63))</f>
        <v>118</v>
      </c>
      <c r="O63" s="7">
        <f t="shared" si="15"/>
        <v>80903695</v>
      </c>
      <c r="P63" s="19">
        <f t="shared" si="16"/>
        <v>0.99999854147576328</v>
      </c>
      <c r="Q63" s="19">
        <f t="shared" si="17"/>
        <v>1.4585242367483957E-6</v>
      </c>
    </row>
    <row r="64" spans="1:17" x14ac:dyDescent="0.2">
      <c r="A64" s="4" t="s">
        <v>170</v>
      </c>
      <c r="B64" s="14">
        <f>IF(SUMIFS('Monthly NSE Equity Futures'!$H:$H,'Monthly NSE Equity Futures'!$C:$C,$A64)=0,"",SUMIFS('Monthly NSE Equity Futures'!$H:$H,'Monthly NSE Equity Futures'!$C:$C,$A64))</f>
        <v>55224.318700000003</v>
      </c>
      <c r="C64" s="6">
        <f>IF(SUMIFS('Monthly BSE Equity Futures'!$H:$H,'Monthly BSE Equity Futures'!$C:$C,$A64)=0,"",SUMIFS('Monthly BSE Equity Futures'!$H:$H,'Monthly BSE Equity Futures'!$C:$C,$A64))</f>
        <v>3.3508999999999998</v>
      </c>
      <c r="D64" s="6">
        <f t="shared" si="12"/>
        <v>55227.669600000001</v>
      </c>
      <c r="E64" s="15">
        <f t="shared" si="13"/>
        <v>0.99993932570350574</v>
      </c>
      <c r="F64" s="15">
        <f t="shared" si="14"/>
        <v>6.0674296494306539E-5</v>
      </c>
      <c r="G64" s="20">
        <f t="shared" si="21"/>
        <v>-5.599279805841284E-2</v>
      </c>
      <c r="H64" s="15">
        <f t="shared" si="22"/>
        <v>64.575342465753408</v>
      </c>
      <c r="I64" s="15">
        <f t="shared" si="23"/>
        <v>-5.5936342255270333E-2</v>
      </c>
      <c r="J64" s="15">
        <f t="shared" si="18"/>
        <v>9.3044047877079983E-2</v>
      </c>
      <c r="K64" s="15">
        <f t="shared" si="19"/>
        <v>34.57218683651805</v>
      </c>
      <c r="L64" s="15">
        <f t="shared" si="20"/>
        <v>9.3108333499031914E-2</v>
      </c>
      <c r="M64" s="18">
        <f>IF(SUMIFS('Monthly NSE Equity Futures'!$I:$I,'Monthly NSE Equity Futures'!$C:$C,$A64)=0,"",SUMIFS('Monthly NSE Equity Futures'!$I:$I,'Monthly NSE Equity Futures'!$C:$C,$A64))</f>
        <v>91361526</v>
      </c>
      <c r="N64" s="7">
        <f>IF(SUMIFS('Monthly BSE Equity Futures'!$I:$I,'Monthly BSE Equity Futures'!$C:$C,$A64)=0,"",SUMIFS('Monthly BSE Equity Futures'!$I:$I,'Monthly BSE Equity Futures'!$C:$C,$A64))</f>
        <v>4181</v>
      </c>
      <c r="O64" s="7">
        <f t="shared" si="15"/>
        <v>91365707</v>
      </c>
      <c r="P64" s="19">
        <f t="shared" si="16"/>
        <v>0.99995423884806145</v>
      </c>
      <c r="Q64" s="19">
        <f t="shared" si="17"/>
        <v>4.5761151938549549E-5</v>
      </c>
    </row>
    <row r="65" spans="1:17" x14ac:dyDescent="0.2">
      <c r="A65" s="4" t="s">
        <v>171</v>
      </c>
      <c r="B65" s="14">
        <f>IF(SUMIFS('Monthly NSE Equity Futures'!$H:$H,'Monthly NSE Equity Futures'!$C:$C,$A65)=0,"",SUMIFS('Monthly NSE Equity Futures'!$H:$H,'Monthly NSE Equity Futures'!$C:$C,$A65))</f>
        <v>50840.673799999997</v>
      </c>
      <c r="C65" s="6">
        <f>IF(SUMIFS('Monthly BSE Equity Futures'!$H:$H,'Monthly BSE Equity Futures'!$C:$C,$A65)=0,"",SUMIFS('Monthly BSE Equity Futures'!$H:$H,'Monthly BSE Equity Futures'!$C:$C,$A65))</f>
        <v>81.687899999999999</v>
      </c>
      <c r="D65" s="6">
        <f t="shared" si="12"/>
        <v>50922.361699999994</v>
      </c>
      <c r="E65" s="15">
        <f t="shared" si="13"/>
        <v>0.99839583441786839</v>
      </c>
      <c r="F65" s="15">
        <f t="shared" si="14"/>
        <v>1.6041655821316711E-3</v>
      </c>
      <c r="G65" s="20">
        <f t="shared" si="21"/>
        <v>-5.6300513680897946E-2</v>
      </c>
      <c r="H65" s="15">
        <f t="shared" si="22"/>
        <v>7425.1727272727276</v>
      </c>
      <c r="I65" s="15">
        <f t="shared" si="23"/>
        <v>-5.4784424071666615E-2</v>
      </c>
      <c r="J65" s="15">
        <f t="shared" si="18"/>
        <v>-7.9378886026891027E-2</v>
      </c>
      <c r="K65" s="15">
        <f t="shared" si="19"/>
        <v>23.377898475036559</v>
      </c>
      <c r="L65" s="15">
        <f t="shared" si="20"/>
        <v>-7.7955632225336635E-2</v>
      </c>
      <c r="M65" s="18">
        <f>IF(SUMIFS('Monthly NSE Equity Futures'!$I:$I,'Monthly NSE Equity Futures'!$C:$C,$A65)=0,"",SUMIFS('Monthly NSE Equity Futures'!$I:$I,'Monthly NSE Equity Futures'!$C:$C,$A65))</f>
        <v>84570531</v>
      </c>
      <c r="N65" s="7">
        <f>IF(SUMIFS('Monthly BSE Equity Futures'!$I:$I,'Monthly BSE Equity Futures'!$C:$C,$A65)=0,"",SUMIFS('Monthly BSE Equity Futures'!$I:$I,'Monthly BSE Equity Futures'!$C:$C,$A65))</f>
        <v>81138</v>
      </c>
      <c r="O65" s="7">
        <f t="shared" si="15"/>
        <v>84651669</v>
      </c>
      <c r="P65" s="19">
        <f t="shared" si="16"/>
        <v>0.9990415073800849</v>
      </c>
      <c r="Q65" s="19">
        <f t="shared" si="17"/>
        <v>9.5849261991514897E-4</v>
      </c>
    </row>
    <row r="66" spans="1:17" x14ac:dyDescent="0.2">
      <c r="A66" s="4" t="s">
        <v>172</v>
      </c>
      <c r="B66" s="14">
        <f>IF(SUMIFS('Monthly NSE Equity Futures'!$H:$H,'Monthly NSE Equity Futures'!$C:$C,$A66)=0,"",SUMIFS('Monthly NSE Equity Futures'!$H:$H,'Monthly NSE Equity Futures'!$C:$C,$A66))</f>
        <v>58932.0049</v>
      </c>
      <c r="C66" s="6">
        <f>IF(SUMIFS('Monthly BSE Equity Futures'!$H:$H,'Monthly BSE Equity Futures'!$C:$C,$A66)=0,"",SUMIFS('Monthly BSE Equity Futures'!$H:$H,'Monthly BSE Equity Futures'!$C:$C,$A66))</f>
        <v>65.8339</v>
      </c>
      <c r="D66" s="6">
        <f t="shared" ref="D66:D97" si="24">IF(OR(B66="",C66=""),"",B66+C66)</f>
        <v>58997.838799999998</v>
      </c>
      <c r="E66" s="15">
        <f t="shared" ref="E66:E97" si="25">IF(D66="","",B66/D66)</f>
        <v>0.99888413031156664</v>
      </c>
      <c r="F66" s="15">
        <f t="shared" ref="F66:F92" si="26">IF(D66="","",C66/D66)</f>
        <v>1.1158696884334008E-3</v>
      </c>
      <c r="G66" s="20">
        <f t="shared" si="21"/>
        <v>0.19060889392851044</v>
      </c>
      <c r="H66" s="15">
        <f t="shared" si="22"/>
        <v>490.66467513069449</v>
      </c>
      <c r="I66" s="15">
        <f t="shared" si="23"/>
        <v>0.19193571804701515</v>
      </c>
      <c r="J66" s="15">
        <f t="shared" si="18"/>
        <v>0.15915074477238744</v>
      </c>
      <c r="K66" s="15">
        <f t="shared" si="19"/>
        <v>-0.19408015140553248</v>
      </c>
      <c r="L66" s="15">
        <f t="shared" si="20"/>
        <v>0.15858410392619327</v>
      </c>
      <c r="M66" s="18">
        <f>IF(SUMIFS('Monthly NSE Equity Futures'!$I:$I,'Monthly NSE Equity Futures'!$C:$C,$A66)=0,"",SUMIFS('Monthly NSE Equity Futures'!$I:$I,'Monthly NSE Equity Futures'!$C:$C,$A66))</f>
        <v>94280814</v>
      </c>
      <c r="N66" s="7">
        <f>IF(SUMIFS('Monthly BSE Equity Futures'!$I:$I,'Monthly BSE Equity Futures'!$C:$C,$A66)=0,"",SUMIFS('Monthly BSE Equity Futures'!$I:$I,'Monthly BSE Equity Futures'!$C:$C,$A66))</f>
        <v>67758</v>
      </c>
      <c r="O66" s="7">
        <f t="shared" ref="O66:O97" si="27">IF(OR(M66="",N66=""),"",M66+N66)</f>
        <v>94348572</v>
      </c>
      <c r="P66" s="19">
        <f t="shared" ref="P66:P97" si="28">IF(O66="","",M66/O66)</f>
        <v>0.99928183332758869</v>
      </c>
      <c r="Q66" s="19">
        <f t="shared" ref="Q66:Q92" si="29">IF(O66="","",N66/O66)</f>
        <v>7.1816667241132173E-4</v>
      </c>
    </row>
    <row r="67" spans="1:17" x14ac:dyDescent="0.2">
      <c r="A67" s="4" t="s">
        <v>173</v>
      </c>
      <c r="B67" s="14">
        <f>IF(SUMIFS('Monthly NSE Equity Futures'!$H:$H,'Monthly NSE Equity Futures'!$C:$C,$A67)=0,"",SUMIFS('Monthly NSE Equity Futures'!$H:$H,'Monthly NSE Equity Futures'!$C:$C,$A67))</f>
        <v>56234.396500000003</v>
      </c>
      <c r="C67" s="6">
        <f>IF(SUMIFS('Monthly BSE Equity Futures'!$H:$H,'Monthly BSE Equity Futures'!$C:$C,$A67)=0,"",SUMIFS('Monthly BSE Equity Futures'!$H:$H,'Monthly BSE Equity Futures'!$C:$C,$A67))</f>
        <v>5.5</v>
      </c>
      <c r="D67" s="6">
        <f t="shared" si="24"/>
        <v>56239.896500000003</v>
      </c>
      <c r="E67" s="15">
        <f t="shared" si="25"/>
        <v>0.99990220465643997</v>
      </c>
      <c r="F67" s="15">
        <f t="shared" si="26"/>
        <v>9.7795343560065049E-5</v>
      </c>
      <c r="G67" s="20">
        <f t="shared" si="21"/>
        <v>0.11303631855008645</v>
      </c>
      <c r="H67" s="15">
        <f t="shared" si="22"/>
        <v>57.386411889596609</v>
      </c>
      <c r="I67" s="15">
        <f t="shared" si="23"/>
        <v>0.11314310352999279</v>
      </c>
      <c r="J67" s="15">
        <f t="shared" ref="J67:J92" si="30">IF(OR(B67="",B66=""),"",B67/B66-1)</f>
        <v>-4.5774930015998749E-2</v>
      </c>
      <c r="K67" s="15">
        <f t="shared" ref="K67:K92" si="31">IF(OR(C67="",C66=""),"",C67/C66-1)</f>
        <v>-0.91645641531186817</v>
      </c>
      <c r="L67" s="15">
        <f t="shared" ref="L67:L92" si="32">IF(OR(D67="",D66=""),"",D67/D66-1)</f>
        <v>-4.6746497093720585E-2</v>
      </c>
      <c r="M67" s="18">
        <f>IF(SUMIFS('Monthly NSE Equity Futures'!$I:$I,'Monthly NSE Equity Futures'!$C:$C,$A67)=0,"",SUMIFS('Monthly NSE Equity Futures'!$I:$I,'Monthly NSE Equity Futures'!$C:$C,$A67))</f>
        <v>107988118</v>
      </c>
      <c r="N67" s="7">
        <f>IF(SUMIFS('Monthly BSE Equity Futures'!$I:$I,'Monthly BSE Equity Futures'!$C:$C,$A67)=0,"",SUMIFS('Monthly BSE Equity Futures'!$I:$I,'Monthly BSE Equity Futures'!$C:$C,$A67))</f>
        <v>6853</v>
      </c>
      <c r="O67" s="7">
        <f t="shared" si="27"/>
        <v>107994971</v>
      </c>
      <c r="P67" s="19">
        <f t="shared" si="28"/>
        <v>0.99993654334144877</v>
      </c>
      <c r="Q67" s="19">
        <f t="shared" si="29"/>
        <v>6.3456658551257916E-5</v>
      </c>
    </row>
    <row r="68" spans="1:17" x14ac:dyDescent="0.2">
      <c r="A68" s="4" t="s">
        <v>174</v>
      </c>
      <c r="B68" s="14">
        <f>IF(SUMIFS('Monthly NSE Equity Futures'!$H:$H,'Monthly NSE Equity Futures'!$C:$C,$A68)=0,"",SUMIFS('Monthly NSE Equity Futures'!$H:$H,'Monthly NSE Equity Futures'!$C:$C,$A68))</f>
        <v>67276.041599999997</v>
      </c>
      <c r="C68" s="6">
        <f>IF(SUMIFS('Monthly BSE Equity Futures'!$H:$H,'Monthly BSE Equity Futures'!$C:$C,$A68)=0,"",SUMIFS('Monthly BSE Equity Futures'!$H:$H,'Monthly BSE Equity Futures'!$C:$C,$A68))</f>
        <v>19.8706</v>
      </c>
      <c r="D68" s="6">
        <f t="shared" si="24"/>
        <v>67295.912199999992</v>
      </c>
      <c r="E68" s="15">
        <f t="shared" si="25"/>
        <v>0.999704727979005</v>
      </c>
      <c r="F68" s="15">
        <f t="shared" si="26"/>
        <v>2.9527202099505835E-4</v>
      </c>
      <c r="G68" s="20">
        <f t="shared" si="21"/>
        <v>0.21823216987917293</v>
      </c>
      <c r="H68" s="15">
        <f t="shared" si="22"/>
        <v>4.9299292727326991</v>
      </c>
      <c r="I68" s="15">
        <f t="shared" si="23"/>
        <v>0.21851804878618286</v>
      </c>
      <c r="J68" s="15">
        <f t="shared" si="30"/>
        <v>0.19635037961152468</v>
      </c>
      <c r="K68" s="15">
        <f t="shared" si="31"/>
        <v>2.6128363636363634</v>
      </c>
      <c r="L68" s="15">
        <f t="shared" si="32"/>
        <v>0.19658670068854045</v>
      </c>
      <c r="M68" s="18">
        <f>IF(SUMIFS('Monthly NSE Equity Futures'!$I:$I,'Monthly NSE Equity Futures'!$C:$C,$A68)=0,"",SUMIFS('Monthly NSE Equity Futures'!$I:$I,'Monthly NSE Equity Futures'!$C:$C,$A68))</f>
        <v>96059816</v>
      </c>
      <c r="N68" s="7">
        <f>IF(SUMIFS('Monthly BSE Equity Futures'!$I:$I,'Monthly BSE Equity Futures'!$C:$C,$A68)=0,"",SUMIFS('Monthly BSE Equity Futures'!$I:$I,'Monthly BSE Equity Futures'!$C:$C,$A68))</f>
        <v>22592</v>
      </c>
      <c r="O68" s="7">
        <f t="shared" si="27"/>
        <v>96082408</v>
      </c>
      <c r="P68" s="19">
        <f t="shared" si="28"/>
        <v>0.99976486850745871</v>
      </c>
      <c r="Q68" s="19">
        <f t="shared" si="29"/>
        <v>2.351314925412777E-4</v>
      </c>
    </row>
    <row r="69" spans="1:17" x14ac:dyDescent="0.2">
      <c r="A69" s="4" t="s">
        <v>175</v>
      </c>
      <c r="B69" s="14">
        <f>IF(SUMIFS('Monthly NSE Equity Futures'!$H:$H,'Monthly NSE Equity Futures'!$C:$C,$A69)=0,"",SUMIFS('Monthly NSE Equity Futures'!$H:$H,'Monthly NSE Equity Futures'!$C:$C,$A69))</f>
        <v>68344.016799999998</v>
      </c>
      <c r="C69" s="6">
        <f>IF(SUMIFS('Monthly BSE Equity Futures'!$H:$H,'Monthly BSE Equity Futures'!$C:$C,$A69)=0,"",SUMIFS('Monthly BSE Equity Futures'!$H:$H,'Monthly BSE Equity Futures'!$C:$C,$A69))</f>
        <v>17.487099999999998</v>
      </c>
      <c r="D69" s="6">
        <f t="shared" si="24"/>
        <v>68361.503899999996</v>
      </c>
      <c r="E69" s="15">
        <f t="shared" si="25"/>
        <v>0.99974419667499448</v>
      </c>
      <c r="F69" s="15">
        <f t="shared" si="26"/>
        <v>2.5580332500555185E-4</v>
      </c>
      <c r="G69" s="20">
        <f t="shared" si="21"/>
        <v>0.34427834432044846</v>
      </c>
      <c r="H69" s="15">
        <f t="shared" si="22"/>
        <v>-0.78592790364301202</v>
      </c>
      <c r="I69" s="15">
        <f t="shared" si="23"/>
        <v>0.34246530635675532</v>
      </c>
      <c r="J69" s="15">
        <f t="shared" si="30"/>
        <v>1.5874524936377865E-2</v>
      </c>
      <c r="K69" s="15">
        <f t="shared" si="31"/>
        <v>-0.11995108351031181</v>
      </c>
      <c r="L69" s="15">
        <f t="shared" si="32"/>
        <v>1.583441943446906E-2</v>
      </c>
      <c r="M69" s="18">
        <f>IF(SUMIFS('Monthly NSE Equity Futures'!$I:$I,'Monthly NSE Equity Futures'!$C:$C,$A69)=0,"",SUMIFS('Monthly NSE Equity Futures'!$I:$I,'Monthly NSE Equity Futures'!$C:$C,$A69))</f>
        <v>89115310</v>
      </c>
      <c r="N69" s="7">
        <f>IF(SUMIFS('Monthly BSE Equity Futures'!$I:$I,'Monthly BSE Equity Futures'!$C:$C,$A69)=0,"",SUMIFS('Monthly BSE Equity Futures'!$I:$I,'Monthly BSE Equity Futures'!$C:$C,$A69))</f>
        <v>17866</v>
      </c>
      <c r="O69" s="7">
        <f t="shared" si="27"/>
        <v>89133176</v>
      </c>
      <c r="P69" s="19">
        <f t="shared" si="28"/>
        <v>0.999799558359729</v>
      </c>
      <c r="Q69" s="19">
        <f t="shared" si="29"/>
        <v>2.0044164027095815E-4</v>
      </c>
    </row>
    <row r="70" spans="1:17" x14ac:dyDescent="0.2">
      <c r="A70" s="4" t="s">
        <v>176</v>
      </c>
      <c r="B70" s="14">
        <f>IF(SUMIFS('Monthly NSE Equity Futures'!$H:$H,'Monthly NSE Equity Futures'!$C:$C,$A70)=0,"",SUMIFS('Monthly NSE Equity Futures'!$H:$H,'Monthly NSE Equity Futures'!$C:$C,$A70))</f>
        <v>79605.655499999993</v>
      </c>
      <c r="C70" s="6">
        <f>IF(SUMIFS('Monthly BSE Equity Futures'!$H:$H,'Monthly BSE Equity Futures'!$C:$C,$A70)=0,"",SUMIFS('Monthly BSE Equity Futures'!$H:$H,'Monthly BSE Equity Futures'!$C:$C,$A70))</f>
        <v>7.2450000000000001</v>
      </c>
      <c r="D70" s="6">
        <f t="shared" si="24"/>
        <v>79612.900499999989</v>
      </c>
      <c r="E70" s="15">
        <f t="shared" si="25"/>
        <v>0.99990899716057957</v>
      </c>
      <c r="F70" s="15">
        <f t="shared" si="26"/>
        <v>9.1002839420478108E-5</v>
      </c>
      <c r="G70" s="20">
        <f t="shared" ref="G70:G101" si="33">IF(OR(B70="",B66=""),"",B70/B66-1)</f>
        <v>0.35080514628817583</v>
      </c>
      <c r="H70" s="15">
        <f t="shared" ref="H70:H101" si="34">IF(OR(C70="",C66=""),"",C70/C66-1)</f>
        <v>-0.88995031435172456</v>
      </c>
      <c r="I70" s="15">
        <f t="shared" ref="I70:I101" si="35">IF(OR(D70="",D66=""),"",D70/D66-1)</f>
        <v>0.34942062487888959</v>
      </c>
      <c r="J70" s="15">
        <f t="shared" si="30"/>
        <v>0.16477870671482098</v>
      </c>
      <c r="K70" s="15">
        <f t="shared" si="31"/>
        <v>-0.58569459773204247</v>
      </c>
      <c r="L70" s="15">
        <f t="shared" si="32"/>
        <v>0.16458673314821559</v>
      </c>
      <c r="M70" s="18">
        <f>IF(SUMIFS('Monthly NSE Equity Futures'!$I:$I,'Monthly NSE Equity Futures'!$C:$C,$A70)=0,"",SUMIFS('Monthly NSE Equity Futures'!$I:$I,'Monthly NSE Equity Futures'!$C:$C,$A70))</f>
        <v>87267304</v>
      </c>
      <c r="N70" s="7">
        <f>IF(SUMIFS('Monthly BSE Equity Futures'!$I:$I,'Monthly BSE Equity Futures'!$C:$C,$A70)=0,"",SUMIFS('Monthly BSE Equity Futures'!$I:$I,'Monthly BSE Equity Futures'!$C:$C,$A70))</f>
        <v>6318</v>
      </c>
      <c r="O70" s="7">
        <f t="shared" si="27"/>
        <v>87273622</v>
      </c>
      <c r="P70" s="19">
        <f t="shared" si="28"/>
        <v>0.9999276069921792</v>
      </c>
      <c r="Q70" s="19">
        <f t="shared" si="29"/>
        <v>7.2393007820851073E-5</v>
      </c>
    </row>
    <row r="71" spans="1:17" x14ac:dyDescent="0.2">
      <c r="A71" s="4" t="s">
        <v>177</v>
      </c>
      <c r="B71" s="14">
        <f>IF(SUMIFS('Monthly NSE Equity Futures'!$H:$H,'Monthly NSE Equity Futures'!$C:$C,$A71)=0,"",SUMIFS('Monthly NSE Equity Futures'!$H:$H,'Monthly NSE Equity Futures'!$C:$C,$A71))</f>
        <v>69901.429100000008</v>
      </c>
      <c r="C71" s="6">
        <f>IF(SUMIFS('Monthly BSE Equity Futures'!$H:$H,'Monthly BSE Equity Futures'!$C:$C,$A71)=0,"",SUMIFS('Monthly BSE Equity Futures'!$H:$H,'Monthly BSE Equity Futures'!$C:$C,$A71))</f>
        <v>4.3101000000000003</v>
      </c>
      <c r="D71" s="6">
        <f t="shared" si="24"/>
        <v>69905.739200000011</v>
      </c>
      <c r="E71" s="15">
        <f t="shared" si="25"/>
        <v>0.99993834411810345</v>
      </c>
      <c r="F71" s="15">
        <f t="shared" si="26"/>
        <v>6.1655881896460933E-5</v>
      </c>
      <c r="G71" s="20">
        <f t="shared" si="33"/>
        <v>0.24303688579640048</v>
      </c>
      <c r="H71" s="15">
        <f t="shared" si="34"/>
        <v>-0.21634545454545451</v>
      </c>
      <c r="I71" s="15">
        <f t="shared" si="35"/>
        <v>0.2429919603426014</v>
      </c>
      <c r="J71" s="15">
        <f t="shared" si="30"/>
        <v>-0.12190373082224026</v>
      </c>
      <c r="K71" s="15">
        <f t="shared" si="31"/>
        <v>-0.40509316770186332</v>
      </c>
      <c r="L71" s="15">
        <f t="shared" si="32"/>
        <v>-0.12192950186509011</v>
      </c>
      <c r="M71" s="18">
        <f>IF(SUMIFS('Monthly NSE Equity Futures'!$I:$I,'Monthly NSE Equity Futures'!$C:$C,$A71)=0,"",SUMIFS('Monthly NSE Equity Futures'!$I:$I,'Monthly NSE Equity Futures'!$C:$C,$A71))</f>
        <v>81219633</v>
      </c>
      <c r="N71" s="7">
        <f>IF(SUMIFS('Monthly BSE Equity Futures'!$I:$I,'Monthly BSE Equity Futures'!$C:$C,$A71)=0,"",SUMIFS('Monthly BSE Equity Futures'!$I:$I,'Monthly BSE Equity Futures'!$C:$C,$A71))</f>
        <v>3733</v>
      </c>
      <c r="O71" s="7">
        <f t="shared" si="27"/>
        <v>81223366</v>
      </c>
      <c r="P71" s="19">
        <f t="shared" si="28"/>
        <v>0.99995404031889046</v>
      </c>
      <c r="Q71" s="19">
        <f t="shared" si="29"/>
        <v>4.5959681109497482E-5</v>
      </c>
    </row>
    <row r="72" spans="1:17" x14ac:dyDescent="0.2">
      <c r="A72" s="4" t="s">
        <v>178</v>
      </c>
      <c r="B72" s="14">
        <f>IF(SUMIFS('Monthly NSE Equity Futures'!$H:$H,'Monthly NSE Equity Futures'!$C:$C,$A72)=0,"",SUMIFS('Monthly NSE Equity Futures'!$H:$H,'Monthly NSE Equity Futures'!$C:$C,$A72))</f>
        <v>68365.792199999996</v>
      </c>
      <c r="C72" s="6">
        <f>IF(SUMIFS('Monthly BSE Equity Futures'!$H:$H,'Monthly BSE Equity Futures'!$C:$C,$A72)=0,"",SUMIFS('Monthly BSE Equity Futures'!$H:$H,'Monthly BSE Equity Futures'!$C:$C,$A72))</f>
        <v>0.35620000000000002</v>
      </c>
      <c r="D72" s="6">
        <f t="shared" si="24"/>
        <v>68366.148399999991</v>
      </c>
      <c r="E72" s="15">
        <f t="shared" si="25"/>
        <v>0.99999478981910883</v>
      </c>
      <c r="F72" s="15">
        <f t="shared" si="26"/>
        <v>5.2101808912201362E-6</v>
      </c>
      <c r="G72" s="20">
        <f t="shared" si="33"/>
        <v>1.6198197368377798E-2</v>
      </c>
      <c r="H72" s="15">
        <f t="shared" si="34"/>
        <v>-0.98207401890229784</v>
      </c>
      <c r="I72" s="15">
        <f t="shared" si="35"/>
        <v>1.5903435513576314E-2</v>
      </c>
      <c r="J72" s="15">
        <f t="shared" si="30"/>
        <v>-2.1968605216971304E-2</v>
      </c>
      <c r="K72" s="15">
        <f t="shared" si="31"/>
        <v>-0.91735690587225349</v>
      </c>
      <c r="L72" s="15">
        <f t="shared" si="32"/>
        <v>-2.2023811172288132E-2</v>
      </c>
      <c r="M72" s="18">
        <f>IF(SUMIFS('Monthly NSE Equity Futures'!$I:$I,'Monthly NSE Equity Futures'!$C:$C,$A72)=0,"",SUMIFS('Monthly NSE Equity Futures'!$I:$I,'Monthly NSE Equity Futures'!$C:$C,$A72))</f>
        <v>80993177</v>
      </c>
      <c r="N72" s="7">
        <f>IF(SUMIFS('Monthly BSE Equity Futures'!$I:$I,'Monthly BSE Equity Futures'!$C:$C,$A72)=0,"",SUMIFS('Monthly BSE Equity Futures'!$I:$I,'Monthly BSE Equity Futures'!$C:$C,$A72))</f>
        <v>425</v>
      </c>
      <c r="O72" s="7">
        <f t="shared" si="27"/>
        <v>80993602</v>
      </c>
      <c r="P72" s="19">
        <f t="shared" si="28"/>
        <v>0.9999947526719456</v>
      </c>
      <c r="Q72" s="19">
        <f t="shared" si="29"/>
        <v>5.2473280543813817E-6</v>
      </c>
    </row>
    <row r="73" spans="1:17" x14ac:dyDescent="0.2">
      <c r="A73" s="4" t="s">
        <v>179</v>
      </c>
      <c r="B73" s="14">
        <f>IF(SUMIFS('Monthly NSE Equity Futures'!$H:$H,'Monthly NSE Equity Futures'!$C:$C,$A73)=0,"",SUMIFS('Monthly NSE Equity Futures'!$H:$H,'Monthly NSE Equity Futures'!$C:$C,$A73))</f>
        <v>76901.541700000002</v>
      </c>
      <c r="C73" s="6">
        <f>IF(SUMIFS('Monthly BSE Equity Futures'!$H:$H,'Monthly BSE Equity Futures'!$C:$C,$A73)=0,"",SUMIFS('Monthly BSE Equity Futures'!$H:$H,'Monthly BSE Equity Futures'!$C:$C,$A73))</f>
        <v>0.1154</v>
      </c>
      <c r="D73" s="6">
        <f t="shared" si="24"/>
        <v>76901.657099999997</v>
      </c>
      <c r="E73" s="15">
        <f t="shared" si="25"/>
        <v>0.99999849938214147</v>
      </c>
      <c r="F73" s="15">
        <f t="shared" si="26"/>
        <v>1.500617858597484E-6</v>
      </c>
      <c r="G73" s="20">
        <f t="shared" si="33"/>
        <v>0.12521249555820679</v>
      </c>
      <c r="H73" s="15">
        <f t="shared" si="34"/>
        <v>-0.99340084976925846</v>
      </c>
      <c r="I73" s="15">
        <f t="shared" si="35"/>
        <v>0.12492635054507639</v>
      </c>
      <c r="J73" s="15">
        <f t="shared" si="30"/>
        <v>0.12485410064479585</v>
      </c>
      <c r="K73" s="15">
        <f t="shared" si="31"/>
        <v>-0.67602470522178559</v>
      </c>
      <c r="L73" s="15">
        <f t="shared" si="32"/>
        <v>0.12484992792134553</v>
      </c>
      <c r="M73" s="18">
        <f>IF(SUMIFS('Monthly NSE Equity Futures'!$I:$I,'Monthly NSE Equity Futures'!$C:$C,$A73)=0,"",SUMIFS('Monthly NSE Equity Futures'!$I:$I,'Monthly NSE Equity Futures'!$C:$C,$A73))</f>
        <v>92495370</v>
      </c>
      <c r="N73" s="7">
        <f>IF(SUMIFS('Monthly BSE Equity Futures'!$I:$I,'Monthly BSE Equity Futures'!$C:$C,$A73)=0,"",SUMIFS('Monthly BSE Equity Futures'!$I:$I,'Monthly BSE Equity Futures'!$C:$C,$A73))</f>
        <v>126</v>
      </c>
      <c r="O73" s="7">
        <f t="shared" si="27"/>
        <v>92495496</v>
      </c>
      <c r="P73" s="19">
        <f t="shared" si="28"/>
        <v>0.99999863777150833</v>
      </c>
      <c r="Q73" s="19">
        <f t="shared" si="29"/>
        <v>1.3622284916446094E-6</v>
      </c>
    </row>
    <row r="74" spans="1:17" x14ac:dyDescent="0.2">
      <c r="A74" s="4" t="s">
        <v>180</v>
      </c>
      <c r="B74" s="14">
        <f>IF(SUMIFS('Monthly NSE Equity Futures'!$H:$H,'Monthly NSE Equity Futures'!$C:$C,$A74)=0,"",SUMIFS('Monthly NSE Equity Futures'!$H:$H,'Monthly NSE Equity Futures'!$C:$C,$A74))</f>
        <v>79514.395300000004</v>
      </c>
      <c r="C74" s="6">
        <f>IF(SUMIFS('Monthly BSE Equity Futures'!$H:$H,'Monthly BSE Equity Futures'!$C:$C,$A74)=0,"",SUMIFS('Monthly BSE Equity Futures'!$H:$H,'Monthly BSE Equity Futures'!$C:$C,$A74))</f>
        <v>0.1535</v>
      </c>
      <c r="D74" s="6">
        <f t="shared" si="24"/>
        <v>79514.548800000004</v>
      </c>
      <c r="E74" s="15">
        <f t="shared" si="25"/>
        <v>0.99999806953567216</v>
      </c>
      <c r="F74" s="15">
        <f t="shared" si="26"/>
        <v>1.9304643278061334E-6</v>
      </c>
      <c r="G74" s="20">
        <f t="shared" si="33"/>
        <v>-1.146403473808344E-3</v>
      </c>
      <c r="H74" s="15">
        <f t="shared" si="34"/>
        <v>-0.97881297446514837</v>
      </c>
      <c r="I74" s="15">
        <f t="shared" si="35"/>
        <v>-1.2353739077749504E-3</v>
      </c>
      <c r="J74" s="15">
        <f t="shared" si="30"/>
        <v>3.3976608820054377E-2</v>
      </c>
      <c r="K74" s="15">
        <f t="shared" si="31"/>
        <v>0.33015597920277284</v>
      </c>
      <c r="L74" s="15">
        <f t="shared" si="32"/>
        <v>3.3977053272107094E-2</v>
      </c>
      <c r="M74" s="18">
        <f>IF(SUMIFS('Monthly NSE Equity Futures'!$I:$I,'Monthly NSE Equity Futures'!$C:$C,$A74)=0,"",SUMIFS('Monthly NSE Equity Futures'!$I:$I,'Monthly NSE Equity Futures'!$C:$C,$A74))</f>
        <v>104564489</v>
      </c>
      <c r="N74" s="7">
        <f>IF(SUMIFS('Monthly BSE Equity Futures'!$I:$I,'Monthly BSE Equity Futures'!$C:$C,$A74)=0,"",SUMIFS('Monthly BSE Equity Futures'!$I:$I,'Monthly BSE Equity Futures'!$C:$C,$A74))</f>
        <v>170</v>
      </c>
      <c r="O74" s="7">
        <f t="shared" si="27"/>
        <v>104564659</v>
      </c>
      <c r="P74" s="19">
        <f t="shared" si="28"/>
        <v>0.99999837421169235</v>
      </c>
      <c r="Q74" s="19">
        <f t="shared" si="29"/>
        <v>1.6257883076919899E-6</v>
      </c>
    </row>
    <row r="75" spans="1:17" x14ac:dyDescent="0.2">
      <c r="A75" s="4" t="s">
        <v>181</v>
      </c>
      <c r="B75" s="14">
        <f>IF(SUMIFS('Monthly NSE Equity Futures'!$H:$H,'Monthly NSE Equity Futures'!$C:$C,$A75)=0,"",SUMIFS('Monthly NSE Equity Futures'!$H:$H,'Monthly NSE Equity Futures'!$C:$C,$A75))</f>
        <v>73906.653399999996</v>
      </c>
      <c r="C75" s="6">
        <f>IF(SUMIFS('Monthly BSE Equity Futures'!$H:$H,'Monthly BSE Equity Futures'!$C:$C,$A75)=0,"",SUMIFS('Monthly BSE Equity Futures'!$H:$H,'Monthly BSE Equity Futures'!$C:$C,$A75))</f>
        <v>0.1784</v>
      </c>
      <c r="D75" s="6">
        <f t="shared" si="24"/>
        <v>73906.8318</v>
      </c>
      <c r="E75" s="15">
        <f t="shared" si="25"/>
        <v>0.99999758615008028</v>
      </c>
      <c r="F75" s="15">
        <f t="shared" si="26"/>
        <v>2.4138499196227217E-6</v>
      </c>
      <c r="G75" s="20">
        <f t="shared" si="33"/>
        <v>5.729817475219523E-2</v>
      </c>
      <c r="H75" s="15">
        <f t="shared" si="34"/>
        <v>-0.95860884898262222</v>
      </c>
      <c r="I75" s="15">
        <f t="shared" si="35"/>
        <v>5.7235538108722173E-2</v>
      </c>
      <c r="J75" s="15">
        <f t="shared" si="30"/>
        <v>-7.0524863816703198E-2</v>
      </c>
      <c r="K75" s="15">
        <f t="shared" si="31"/>
        <v>0.16221498371335508</v>
      </c>
      <c r="L75" s="15">
        <f t="shared" si="32"/>
        <v>-7.0524414520729883E-2</v>
      </c>
      <c r="M75" s="18">
        <f>IF(SUMIFS('Monthly NSE Equity Futures'!$I:$I,'Monthly NSE Equity Futures'!$C:$C,$A75)=0,"",SUMIFS('Monthly NSE Equity Futures'!$I:$I,'Monthly NSE Equity Futures'!$C:$C,$A75))</f>
        <v>105278884</v>
      </c>
      <c r="N75" s="7">
        <f>IF(SUMIFS('Monthly BSE Equity Futures'!$I:$I,'Monthly BSE Equity Futures'!$C:$C,$A75)=0,"",SUMIFS('Monthly BSE Equity Futures'!$I:$I,'Monthly BSE Equity Futures'!$C:$C,$A75))</f>
        <v>209</v>
      </c>
      <c r="O75" s="7">
        <f t="shared" si="27"/>
        <v>105279093</v>
      </c>
      <c r="P75" s="19">
        <f t="shared" si="28"/>
        <v>0.99999801480052641</v>
      </c>
      <c r="Q75" s="19">
        <f t="shared" si="29"/>
        <v>1.985199473555495E-6</v>
      </c>
    </row>
    <row r="76" spans="1:17" x14ac:dyDescent="0.2">
      <c r="A76" s="4" t="s">
        <v>182</v>
      </c>
      <c r="B76" s="14">
        <f>IF(SUMIFS('Monthly NSE Equity Futures'!$H:$H,'Monthly NSE Equity Futures'!$C:$C,$A76)=0,"",SUMIFS('Monthly NSE Equity Futures'!$H:$H,'Monthly NSE Equity Futures'!$C:$C,$A76))</f>
        <v>74689.653300000005</v>
      </c>
      <c r="C76" s="6">
        <f>IF(SUMIFS('Monthly BSE Equity Futures'!$H:$H,'Monthly BSE Equity Futures'!$C:$C,$A76)=0,"",SUMIFS('Monthly BSE Equity Futures'!$H:$H,'Monthly BSE Equity Futures'!$C:$C,$A76))</f>
        <v>0.15810000000000002</v>
      </c>
      <c r="D76" s="6">
        <f t="shared" si="24"/>
        <v>74689.811400000006</v>
      </c>
      <c r="E76" s="15">
        <f t="shared" si="25"/>
        <v>0.99999788324542482</v>
      </c>
      <c r="F76" s="15">
        <f t="shared" si="26"/>
        <v>2.1167545751762335E-6</v>
      </c>
      <c r="G76" s="20">
        <f t="shared" si="33"/>
        <v>9.2500370382602171E-2</v>
      </c>
      <c r="H76" s="15">
        <f t="shared" si="34"/>
        <v>-0.55614823133071312</v>
      </c>
      <c r="I76" s="15">
        <f t="shared" si="35"/>
        <v>9.2496990806052448E-2</v>
      </c>
      <c r="J76" s="15">
        <f t="shared" si="30"/>
        <v>1.0594443990884495E-2</v>
      </c>
      <c r="K76" s="15">
        <f t="shared" si="31"/>
        <v>-0.1137892376681614</v>
      </c>
      <c r="L76" s="15">
        <f t="shared" si="32"/>
        <v>1.0594143747344464E-2</v>
      </c>
      <c r="M76" s="18">
        <f>IF(SUMIFS('Monthly NSE Equity Futures'!$I:$I,'Monthly NSE Equity Futures'!$C:$C,$A76)=0,"",SUMIFS('Monthly NSE Equity Futures'!$I:$I,'Monthly NSE Equity Futures'!$C:$C,$A76))</f>
        <v>100589693</v>
      </c>
      <c r="N76" s="7">
        <f>IF(SUMIFS('Monthly BSE Equity Futures'!$I:$I,'Monthly BSE Equity Futures'!$C:$C,$A76)=0,"",SUMIFS('Monthly BSE Equity Futures'!$I:$I,'Monthly BSE Equity Futures'!$C:$C,$A76))</f>
        <v>176</v>
      </c>
      <c r="O76" s="7">
        <f t="shared" si="27"/>
        <v>100589869</v>
      </c>
      <c r="P76" s="19">
        <f t="shared" si="28"/>
        <v>0.99999825032081513</v>
      </c>
      <c r="Q76" s="19">
        <f t="shared" si="29"/>
        <v>1.7496791848888878E-6</v>
      </c>
    </row>
    <row r="77" spans="1:17" x14ac:dyDescent="0.2">
      <c r="A77" s="4" t="s">
        <v>183</v>
      </c>
      <c r="B77" s="14">
        <f>IF(SUMIFS('Monthly NSE Equity Futures'!$H:$H,'Monthly NSE Equity Futures'!$C:$C,$A77)=0,"",SUMIFS('Monthly NSE Equity Futures'!$H:$H,'Monthly NSE Equity Futures'!$C:$C,$A77))</f>
        <v>67513.135899999994</v>
      </c>
      <c r="C77" s="6">
        <f>IF(SUMIFS('Monthly BSE Equity Futures'!$H:$H,'Monthly BSE Equity Futures'!$C:$C,$A77)=0,"",SUMIFS('Monthly BSE Equity Futures'!$H:$H,'Monthly BSE Equity Futures'!$C:$C,$A77))</f>
        <v>0.1236</v>
      </c>
      <c r="D77" s="6">
        <f t="shared" si="24"/>
        <v>67513.2595</v>
      </c>
      <c r="E77" s="15">
        <f t="shared" si="25"/>
        <v>0.99999816924851614</v>
      </c>
      <c r="F77" s="15">
        <f t="shared" si="26"/>
        <v>1.8307514837140992E-6</v>
      </c>
      <c r="G77" s="20">
        <f t="shared" si="33"/>
        <v>-0.12208345362730233</v>
      </c>
      <c r="H77" s="15">
        <f t="shared" si="34"/>
        <v>7.1057192374350153E-2</v>
      </c>
      <c r="I77" s="15">
        <f t="shared" si="35"/>
        <v>-0.12208316379699957</v>
      </c>
      <c r="J77" s="15">
        <f t="shared" si="30"/>
        <v>-9.6084492067122884E-2</v>
      </c>
      <c r="K77" s="15">
        <f t="shared" si="31"/>
        <v>-0.21821631878557879</v>
      </c>
      <c r="L77" s="15">
        <f t="shared" si="32"/>
        <v>-9.6084750590225809E-2</v>
      </c>
      <c r="M77" s="18">
        <f>IF(SUMIFS('Monthly NSE Equity Futures'!$I:$I,'Monthly NSE Equity Futures'!$C:$C,$A77)=0,"",SUMIFS('Monthly NSE Equity Futures'!$I:$I,'Monthly NSE Equity Futures'!$C:$C,$A77))</f>
        <v>88449776</v>
      </c>
      <c r="N77" s="7">
        <f>IF(SUMIFS('Monthly BSE Equity Futures'!$I:$I,'Monthly BSE Equity Futures'!$C:$C,$A77)=0,"",SUMIFS('Monthly BSE Equity Futures'!$I:$I,'Monthly BSE Equity Futures'!$C:$C,$A77))</f>
        <v>130</v>
      </c>
      <c r="O77" s="7">
        <f t="shared" si="27"/>
        <v>88449906</v>
      </c>
      <c r="P77" s="19">
        <f t="shared" si="28"/>
        <v>0.99999853024151319</v>
      </c>
      <c r="Q77" s="19">
        <f t="shared" si="29"/>
        <v>1.4697584867981658E-6</v>
      </c>
    </row>
    <row r="78" spans="1:17" x14ac:dyDescent="0.2">
      <c r="A78" s="4" t="s">
        <v>184</v>
      </c>
      <c r="B78" s="14">
        <f>IF(SUMIFS('Monthly NSE Equity Futures'!$H:$H,'Monthly NSE Equity Futures'!$C:$C,$A78)=0,"",SUMIFS('Monthly NSE Equity Futures'!$H:$H,'Monthly NSE Equity Futures'!$C:$C,$A78))</f>
        <v>69820.448199999999</v>
      </c>
      <c r="C78" s="6">
        <f>IF(SUMIFS('Monthly BSE Equity Futures'!$H:$H,'Monthly BSE Equity Futures'!$C:$C,$A78)=0,"",SUMIFS('Monthly BSE Equity Futures'!$H:$H,'Monthly BSE Equity Futures'!$C:$C,$A78))</f>
        <v>0.12640000000000001</v>
      </c>
      <c r="D78" s="6">
        <f t="shared" si="24"/>
        <v>69820.574599999993</v>
      </c>
      <c r="E78" s="15">
        <f t="shared" si="25"/>
        <v>0.99999818964537723</v>
      </c>
      <c r="F78" s="15">
        <f t="shared" si="26"/>
        <v>1.8103546228907722E-6</v>
      </c>
      <c r="G78" s="20">
        <f t="shared" si="33"/>
        <v>-0.12191436611478579</v>
      </c>
      <c r="H78" s="15">
        <f t="shared" si="34"/>
        <v>-0.17654723127035821</v>
      </c>
      <c r="I78" s="15">
        <f t="shared" si="35"/>
        <v>-0.12191447158158319</v>
      </c>
      <c r="J78" s="15">
        <f t="shared" si="30"/>
        <v>3.4175753640263151E-2</v>
      </c>
      <c r="K78" s="15">
        <f t="shared" si="31"/>
        <v>2.265372168284796E-2</v>
      </c>
      <c r="L78" s="15">
        <f t="shared" si="32"/>
        <v>3.417573254628592E-2</v>
      </c>
      <c r="M78" s="18">
        <f>IF(SUMIFS('Monthly NSE Equity Futures'!$I:$I,'Monthly NSE Equity Futures'!$C:$C,$A78)=0,"",SUMIFS('Monthly NSE Equity Futures'!$I:$I,'Monthly NSE Equity Futures'!$C:$C,$A78))</f>
        <v>94545370</v>
      </c>
      <c r="N78" s="7">
        <f>IF(SUMIFS('Monthly BSE Equity Futures'!$I:$I,'Monthly BSE Equity Futures'!$C:$C,$A78)=0,"",SUMIFS('Monthly BSE Equity Futures'!$I:$I,'Monthly BSE Equity Futures'!$C:$C,$A78))</f>
        <v>136</v>
      </c>
      <c r="O78" s="7">
        <f t="shared" si="27"/>
        <v>94545506</v>
      </c>
      <c r="P78" s="19">
        <f t="shared" si="28"/>
        <v>0.99999856153924438</v>
      </c>
      <c r="Q78" s="19">
        <f t="shared" si="29"/>
        <v>1.438460755606935E-6</v>
      </c>
    </row>
    <row r="79" spans="1:17" x14ac:dyDescent="0.2">
      <c r="A79" s="4" t="s">
        <v>185</v>
      </c>
      <c r="B79" s="14">
        <f>IF(SUMIFS('Monthly NSE Equity Futures'!$H:$H,'Monthly NSE Equity Futures'!$C:$C,$A79)=0,"",SUMIFS('Monthly NSE Equity Futures'!$H:$H,'Monthly NSE Equity Futures'!$C:$C,$A79))</f>
        <v>62435.917199999996</v>
      </c>
      <c r="C79" s="6">
        <f>IF(SUMIFS('Monthly BSE Equity Futures'!$H:$H,'Monthly BSE Equity Futures'!$C:$C,$A79)=0,"",SUMIFS('Monthly BSE Equity Futures'!$H:$H,'Monthly BSE Equity Futures'!$C:$C,$A79))</f>
        <v>10.2942</v>
      </c>
      <c r="D79" s="6">
        <f t="shared" si="24"/>
        <v>62446.211399999993</v>
      </c>
      <c r="E79" s="15">
        <f t="shared" si="25"/>
        <v>0.99983515092798736</v>
      </c>
      <c r="F79" s="15">
        <f t="shared" si="26"/>
        <v>1.6484907201271784E-4</v>
      </c>
      <c r="G79" s="20">
        <f t="shared" si="33"/>
        <v>-0.15520573145042449</v>
      </c>
      <c r="H79" s="15">
        <f t="shared" si="34"/>
        <v>56.70291479820628</v>
      </c>
      <c r="I79" s="15">
        <f t="shared" si="35"/>
        <v>-0.15506848448075417</v>
      </c>
      <c r="J79" s="15">
        <f t="shared" si="30"/>
        <v>-0.10576458889016416</v>
      </c>
      <c r="K79" s="15">
        <f t="shared" si="31"/>
        <v>80.441455696202524</v>
      </c>
      <c r="L79" s="15">
        <f t="shared" si="32"/>
        <v>-0.10561876985756002</v>
      </c>
      <c r="M79" s="18">
        <f>IF(SUMIFS('Monthly NSE Equity Futures'!$I:$I,'Monthly NSE Equity Futures'!$C:$C,$A79)=0,"",SUMIFS('Monthly NSE Equity Futures'!$I:$I,'Monthly NSE Equity Futures'!$C:$C,$A79))</f>
        <v>82531732</v>
      </c>
      <c r="N79" s="7">
        <f>IF(SUMIFS('Monthly BSE Equity Futures'!$I:$I,'Monthly BSE Equity Futures'!$C:$C,$A79)=0,"",SUMIFS('Monthly BSE Equity Futures'!$I:$I,'Monthly BSE Equity Futures'!$C:$C,$A79))</f>
        <v>16326</v>
      </c>
      <c r="O79" s="7">
        <f t="shared" si="27"/>
        <v>82548058</v>
      </c>
      <c r="P79" s="19">
        <f t="shared" si="28"/>
        <v>0.99980222429944987</v>
      </c>
      <c r="Q79" s="19">
        <f t="shared" si="29"/>
        <v>1.9777570055009653E-4</v>
      </c>
    </row>
    <row r="80" spans="1:17" x14ac:dyDescent="0.2">
      <c r="A80" s="4" t="s">
        <v>186</v>
      </c>
      <c r="B80" s="14">
        <f>IF(SUMIFS('Monthly NSE Equity Futures'!$H:$H,'Monthly NSE Equity Futures'!$C:$C,$A80)=0,"",SUMIFS('Monthly NSE Equity Futures'!$H:$H,'Monthly NSE Equity Futures'!$C:$C,$A80))</f>
        <v>77586.536399999997</v>
      </c>
      <c r="C80" s="6">
        <f>IF(SUMIFS('Monthly BSE Equity Futures'!$H:$H,'Monthly BSE Equity Futures'!$C:$C,$A80)=0,"",SUMIFS('Monthly BSE Equity Futures'!$H:$H,'Monthly BSE Equity Futures'!$C:$C,$A80))</f>
        <v>34.150799999999997</v>
      </c>
      <c r="D80" s="6">
        <f t="shared" si="24"/>
        <v>77620.6872</v>
      </c>
      <c r="E80" s="15">
        <f t="shared" si="25"/>
        <v>0.99956002966178326</v>
      </c>
      <c r="F80" s="15">
        <f t="shared" si="26"/>
        <v>4.3997033821674278E-4</v>
      </c>
      <c r="G80" s="20">
        <f t="shared" si="33"/>
        <v>3.878560111083007E-2</v>
      </c>
      <c r="H80" s="15">
        <f t="shared" si="34"/>
        <v>215.00759013282729</v>
      </c>
      <c r="I80" s="15">
        <f t="shared" si="35"/>
        <v>3.9240637311342752E-2</v>
      </c>
      <c r="J80" s="15">
        <f t="shared" si="30"/>
        <v>0.24265871119452376</v>
      </c>
      <c r="K80" s="15">
        <f t="shared" si="31"/>
        <v>2.3174797458763186</v>
      </c>
      <c r="L80" s="15">
        <f t="shared" si="32"/>
        <v>0.24300074351668366</v>
      </c>
      <c r="M80" s="18">
        <f>IF(SUMIFS('Monthly NSE Equity Futures'!$I:$I,'Monthly NSE Equity Futures'!$C:$C,$A80)=0,"",SUMIFS('Monthly NSE Equity Futures'!$I:$I,'Monthly NSE Equity Futures'!$C:$C,$A80))</f>
        <v>97568525</v>
      </c>
      <c r="N80" s="7">
        <f>IF(SUMIFS('Monthly BSE Equity Futures'!$I:$I,'Monthly BSE Equity Futures'!$C:$C,$A80)=0,"",SUMIFS('Monthly BSE Equity Futures'!$I:$I,'Monthly BSE Equity Futures'!$C:$C,$A80))</f>
        <v>51756</v>
      </c>
      <c r="O80" s="7">
        <f t="shared" si="27"/>
        <v>97620281</v>
      </c>
      <c r="P80" s="19">
        <f t="shared" si="28"/>
        <v>0.99946982328395473</v>
      </c>
      <c r="Q80" s="19">
        <f t="shared" si="29"/>
        <v>5.3017671604530621E-4</v>
      </c>
    </row>
    <row r="81" spans="1:17" x14ac:dyDescent="0.2">
      <c r="A81" s="4" t="s">
        <v>187</v>
      </c>
      <c r="B81" s="14">
        <f>IF(SUMIFS('Monthly NSE Equity Futures'!$H:$H,'Monthly NSE Equity Futures'!$C:$C,$A81)=0,"",SUMIFS('Monthly NSE Equity Futures'!$H:$H,'Monthly NSE Equity Futures'!$C:$C,$A81))</f>
        <v>79916.275500000003</v>
      </c>
      <c r="C81" s="6">
        <f>IF(SUMIFS('Monthly BSE Equity Futures'!$H:$H,'Monthly BSE Equity Futures'!$C:$C,$A81)=0,"",SUMIFS('Monthly BSE Equity Futures'!$H:$H,'Monthly BSE Equity Futures'!$C:$C,$A81))</f>
        <v>52.793800000000005</v>
      </c>
      <c r="D81" s="6">
        <f t="shared" si="24"/>
        <v>79969.069300000003</v>
      </c>
      <c r="E81" s="15">
        <f t="shared" si="25"/>
        <v>0.999339822253002</v>
      </c>
      <c r="F81" s="15">
        <f t="shared" si="26"/>
        <v>6.6017774699798839E-4</v>
      </c>
      <c r="G81" s="20">
        <f t="shared" si="33"/>
        <v>0.18371446437285122</v>
      </c>
      <c r="H81" s="15">
        <f t="shared" si="34"/>
        <v>426.13430420711978</v>
      </c>
      <c r="I81" s="15">
        <f t="shared" si="35"/>
        <v>0.18449427404701146</v>
      </c>
      <c r="J81" s="15">
        <f t="shared" si="30"/>
        <v>3.0027620874696126E-2</v>
      </c>
      <c r="K81" s="15">
        <f t="shared" si="31"/>
        <v>0.5459022921864205</v>
      </c>
      <c r="L81" s="15">
        <f t="shared" si="32"/>
        <v>3.0254590428310468E-2</v>
      </c>
      <c r="M81" s="18">
        <f>IF(SUMIFS('Monthly NSE Equity Futures'!$I:$I,'Monthly NSE Equity Futures'!$C:$C,$A81)=0,"",SUMIFS('Monthly NSE Equity Futures'!$I:$I,'Monthly NSE Equity Futures'!$C:$C,$A81))</f>
        <v>102088269</v>
      </c>
      <c r="N81" s="7">
        <f>IF(SUMIFS('Monthly BSE Equity Futures'!$I:$I,'Monthly BSE Equity Futures'!$C:$C,$A81)=0,"",SUMIFS('Monthly BSE Equity Futures'!$I:$I,'Monthly BSE Equity Futures'!$C:$C,$A81))</f>
        <v>74370</v>
      </c>
      <c r="O81" s="7">
        <f t="shared" si="27"/>
        <v>102162639</v>
      </c>
      <c r="P81" s="19">
        <f t="shared" si="28"/>
        <v>0.99927204308024975</v>
      </c>
      <c r="Q81" s="19">
        <f t="shared" si="29"/>
        <v>7.2795691975028167E-4</v>
      </c>
    </row>
    <row r="82" spans="1:17" x14ac:dyDescent="0.2">
      <c r="A82" s="4" t="s">
        <v>188</v>
      </c>
      <c r="B82" s="14">
        <f>IF(SUMIFS('Monthly NSE Equity Futures'!$H:$H,'Monthly NSE Equity Futures'!$C:$C,$A82)=0,"",SUMIFS('Monthly NSE Equity Futures'!$H:$H,'Monthly NSE Equity Futures'!$C:$C,$A82))</f>
        <v>109702.1084</v>
      </c>
      <c r="C82" s="6">
        <f>IF(SUMIFS('Monthly BSE Equity Futures'!$H:$H,'Monthly BSE Equity Futures'!$C:$C,$A82)=0,"",SUMIFS('Monthly BSE Equity Futures'!$H:$H,'Monthly BSE Equity Futures'!$C:$C,$A82))</f>
        <v>105.23339999999999</v>
      </c>
      <c r="D82" s="6">
        <f t="shared" si="24"/>
        <v>109807.34179999999</v>
      </c>
      <c r="E82" s="15">
        <f t="shared" si="25"/>
        <v>0.99904165424392422</v>
      </c>
      <c r="F82" s="15">
        <f t="shared" si="26"/>
        <v>9.5834575607584732E-4</v>
      </c>
      <c r="G82" s="20">
        <f t="shared" si="33"/>
        <v>0.57120315363429586</v>
      </c>
      <c r="H82" s="15">
        <f t="shared" si="34"/>
        <v>831.54272151898715</v>
      </c>
      <c r="I82" s="15">
        <f t="shared" si="35"/>
        <v>0.57270750676405924</v>
      </c>
      <c r="J82" s="15">
        <f t="shared" si="30"/>
        <v>0.37271297634484979</v>
      </c>
      <c r="K82" s="15">
        <f t="shared" si="31"/>
        <v>0.99329087885319822</v>
      </c>
      <c r="L82" s="15">
        <f t="shared" si="32"/>
        <v>0.3731226680663644</v>
      </c>
      <c r="M82" s="18">
        <f>IF(SUMIFS('Monthly NSE Equity Futures'!$I:$I,'Monthly NSE Equity Futures'!$C:$C,$A82)=0,"",SUMIFS('Monthly NSE Equity Futures'!$I:$I,'Monthly NSE Equity Futures'!$C:$C,$A82))</f>
        <v>129037791</v>
      </c>
      <c r="N82" s="7">
        <f>IF(SUMIFS('Monthly BSE Equity Futures'!$I:$I,'Monthly BSE Equity Futures'!$C:$C,$A82)=0,"",SUMIFS('Monthly BSE Equity Futures'!$I:$I,'Monthly BSE Equity Futures'!$C:$C,$A82))</f>
        <v>139081</v>
      </c>
      <c r="O82" s="7">
        <f t="shared" si="27"/>
        <v>129176872</v>
      </c>
      <c r="P82" s="19">
        <f t="shared" si="28"/>
        <v>0.99892332893770641</v>
      </c>
      <c r="Q82" s="19">
        <f t="shared" si="29"/>
        <v>1.0766710622935659E-3</v>
      </c>
    </row>
    <row r="83" spans="1:17" x14ac:dyDescent="0.2">
      <c r="A83" s="4" t="s">
        <v>189</v>
      </c>
      <c r="B83" s="14">
        <f>IF(SUMIFS('Monthly NSE Equity Futures'!$H:$H,'Monthly NSE Equity Futures'!$C:$C,$A83)=0,"",SUMIFS('Monthly NSE Equity Futures'!$H:$H,'Monthly NSE Equity Futures'!$C:$C,$A83))</f>
        <v>127689.3395</v>
      </c>
      <c r="C83" s="6">
        <f>IF(SUMIFS('Monthly BSE Equity Futures'!$H:$H,'Monthly BSE Equity Futures'!$C:$C,$A83)=0,"",SUMIFS('Monthly BSE Equity Futures'!$H:$H,'Monthly BSE Equity Futures'!$C:$C,$A83))</f>
        <v>86.126199999999997</v>
      </c>
      <c r="D83" s="6">
        <f t="shared" si="24"/>
        <v>127775.4657</v>
      </c>
      <c r="E83" s="15">
        <f t="shared" si="25"/>
        <v>0.99932595667307356</v>
      </c>
      <c r="F83" s="15">
        <f t="shared" si="26"/>
        <v>6.740433269264148E-4</v>
      </c>
      <c r="G83" s="20">
        <f t="shared" si="33"/>
        <v>1.0451263507665747</v>
      </c>
      <c r="H83" s="15">
        <f t="shared" si="34"/>
        <v>7.3664782110314544</v>
      </c>
      <c r="I83" s="15">
        <f t="shared" si="35"/>
        <v>1.0461684197546051</v>
      </c>
      <c r="J83" s="15">
        <f t="shared" si="30"/>
        <v>0.16396431538411527</v>
      </c>
      <c r="K83" s="15">
        <f t="shared" si="31"/>
        <v>-0.18156972976260388</v>
      </c>
      <c r="L83" s="15">
        <f t="shared" si="32"/>
        <v>0.16363317429836921</v>
      </c>
      <c r="M83" s="18">
        <f>IF(SUMIFS('Monthly NSE Equity Futures'!$I:$I,'Monthly NSE Equity Futures'!$C:$C,$A83)=0,"",SUMIFS('Monthly NSE Equity Futures'!$I:$I,'Monthly NSE Equity Futures'!$C:$C,$A83))</f>
        <v>164021876</v>
      </c>
      <c r="N83" s="7">
        <f>IF(SUMIFS('Monthly BSE Equity Futures'!$I:$I,'Monthly BSE Equity Futures'!$C:$C,$A83)=0,"",SUMIFS('Monthly BSE Equity Futures'!$I:$I,'Monthly BSE Equity Futures'!$C:$C,$A83))</f>
        <v>112537</v>
      </c>
      <c r="O83" s="7">
        <f t="shared" si="27"/>
        <v>164134413</v>
      </c>
      <c r="P83" s="19">
        <f t="shared" si="28"/>
        <v>0.9993143607245849</v>
      </c>
      <c r="Q83" s="19">
        <f t="shared" si="29"/>
        <v>6.8563927541508314E-4</v>
      </c>
    </row>
    <row r="84" spans="1:17" x14ac:dyDescent="0.2">
      <c r="A84" s="4" t="s">
        <v>190</v>
      </c>
      <c r="B84" s="14">
        <f>IF(SUMIFS('Monthly NSE Equity Futures'!$H:$H,'Monthly NSE Equity Futures'!$C:$C,$A84)=0,"",SUMIFS('Monthly NSE Equity Futures'!$H:$H,'Monthly NSE Equity Futures'!$C:$C,$A84))</f>
        <v>129033.85149999999</v>
      </c>
      <c r="C84" s="6">
        <f>IF(SUMIFS('Monthly BSE Equity Futures'!$H:$H,'Monthly BSE Equity Futures'!$C:$C,$A84)=0,"",SUMIFS('Monthly BSE Equity Futures'!$H:$H,'Monthly BSE Equity Futures'!$C:$C,$A84))</f>
        <v>156.69710000000001</v>
      </c>
      <c r="D84" s="6">
        <f t="shared" si="24"/>
        <v>129190.54859999999</v>
      </c>
      <c r="E84" s="15">
        <f t="shared" si="25"/>
        <v>0.99878708541996231</v>
      </c>
      <c r="F84" s="15">
        <f t="shared" si="26"/>
        <v>1.21291458003763E-3</v>
      </c>
      <c r="G84" s="20">
        <f t="shared" si="33"/>
        <v>0.66309591183142436</v>
      </c>
      <c r="H84" s="15">
        <f t="shared" si="34"/>
        <v>3.5883873877039489</v>
      </c>
      <c r="I84" s="15">
        <f t="shared" si="35"/>
        <v>0.66438295331144648</v>
      </c>
      <c r="J84" s="15">
        <f t="shared" si="30"/>
        <v>1.0529555601624718E-2</v>
      </c>
      <c r="K84" s="15">
        <f t="shared" si="31"/>
        <v>0.81938945408017561</v>
      </c>
      <c r="L84" s="15">
        <f t="shared" si="32"/>
        <v>1.1074762218612699E-2</v>
      </c>
      <c r="M84" s="18">
        <f>IF(SUMIFS('Monthly NSE Equity Futures'!$I:$I,'Monthly NSE Equity Futures'!$C:$C,$A84)=0,"",SUMIFS('Monthly NSE Equity Futures'!$I:$I,'Monthly NSE Equity Futures'!$C:$C,$A84))</f>
        <v>166332907</v>
      </c>
      <c r="N84" s="7">
        <f>IF(SUMIFS('Monthly BSE Equity Futures'!$I:$I,'Monthly BSE Equity Futures'!$C:$C,$A84)=0,"",SUMIFS('Monthly BSE Equity Futures'!$I:$I,'Monthly BSE Equity Futures'!$C:$C,$A84))</f>
        <v>188979</v>
      </c>
      <c r="O84" s="7">
        <f t="shared" si="27"/>
        <v>166521886</v>
      </c>
      <c r="P84" s="19">
        <f t="shared" si="28"/>
        <v>0.9988651401654195</v>
      </c>
      <c r="Q84" s="19">
        <f t="shared" si="29"/>
        <v>1.1348598345805427E-3</v>
      </c>
    </row>
    <row r="85" spans="1:17" x14ac:dyDescent="0.2">
      <c r="A85" s="4" t="s">
        <v>191</v>
      </c>
      <c r="B85" s="14">
        <f>IF(SUMIFS('Monthly NSE Equity Futures'!$H:$H,'Monthly NSE Equity Futures'!$C:$C,$A85)=0,"",SUMIFS('Monthly NSE Equity Futures'!$H:$H,'Monthly NSE Equity Futures'!$C:$C,$A85))</f>
        <v>106531.584</v>
      </c>
      <c r="C85" s="6">
        <f>IF(SUMIFS('Monthly BSE Equity Futures'!$H:$H,'Monthly BSE Equity Futures'!$C:$C,$A85)=0,"",SUMIFS('Monthly BSE Equity Futures'!$H:$H,'Monthly BSE Equity Futures'!$C:$C,$A85))</f>
        <v>121.0291</v>
      </c>
      <c r="D85" s="6">
        <f t="shared" si="24"/>
        <v>106652.6131</v>
      </c>
      <c r="E85" s="15">
        <f t="shared" si="25"/>
        <v>0.99886520267547008</v>
      </c>
      <c r="F85" s="15">
        <f t="shared" si="26"/>
        <v>1.134797324529876E-3</v>
      </c>
      <c r="G85" s="20">
        <f t="shared" si="33"/>
        <v>0.33303990124014216</v>
      </c>
      <c r="H85" s="15">
        <f t="shared" si="34"/>
        <v>1.2924869965791435</v>
      </c>
      <c r="I85" s="15">
        <f t="shared" si="35"/>
        <v>0.33367330686190688</v>
      </c>
      <c r="J85" s="15">
        <f t="shared" si="30"/>
        <v>-0.17439041955591006</v>
      </c>
      <c r="K85" s="15">
        <f t="shared" si="31"/>
        <v>-0.2276238679592667</v>
      </c>
      <c r="L85" s="15">
        <f t="shared" si="32"/>
        <v>-0.17445498718162411</v>
      </c>
      <c r="M85" s="18">
        <f>IF(SUMIFS('Monthly NSE Equity Futures'!$I:$I,'Monthly NSE Equity Futures'!$C:$C,$A85)=0,"",SUMIFS('Monthly NSE Equity Futures'!$I:$I,'Monthly NSE Equity Futures'!$C:$C,$A85))</f>
        <v>153636756</v>
      </c>
      <c r="N85" s="7">
        <f>IF(SUMIFS('Monthly BSE Equity Futures'!$I:$I,'Monthly BSE Equity Futures'!$C:$C,$A85)=0,"",SUMIFS('Monthly BSE Equity Futures'!$I:$I,'Monthly BSE Equity Futures'!$C:$C,$A85))</f>
        <v>149133</v>
      </c>
      <c r="O85" s="7">
        <f t="shared" si="27"/>
        <v>153785889</v>
      </c>
      <c r="P85" s="19">
        <f t="shared" si="28"/>
        <v>0.99903025563028092</v>
      </c>
      <c r="Q85" s="19">
        <f t="shared" si="29"/>
        <v>9.6974436971912297E-4</v>
      </c>
    </row>
    <row r="86" spans="1:17" x14ac:dyDescent="0.2">
      <c r="A86" s="4" t="s">
        <v>192</v>
      </c>
      <c r="B86" s="14">
        <f>IF(SUMIFS('Monthly NSE Equity Futures'!$H:$H,'Monthly NSE Equity Futures'!$C:$C,$A86)=0,"",SUMIFS('Monthly NSE Equity Futures'!$H:$H,'Monthly NSE Equity Futures'!$C:$C,$A86))</f>
        <v>99639.813399999985</v>
      </c>
      <c r="C86" s="6">
        <f>IF(SUMIFS('Monthly BSE Equity Futures'!$H:$H,'Monthly BSE Equity Futures'!$C:$C,$A86)=0,"",SUMIFS('Monthly BSE Equity Futures'!$H:$H,'Monthly BSE Equity Futures'!$C:$C,$A86))</f>
        <v>151.9299</v>
      </c>
      <c r="D86" s="6">
        <f t="shared" si="24"/>
        <v>99791.743299999987</v>
      </c>
      <c r="E86" s="15">
        <f t="shared" si="25"/>
        <v>0.99847753035495868</v>
      </c>
      <c r="F86" s="15">
        <f t="shared" si="26"/>
        <v>1.5224696450412648E-3</v>
      </c>
      <c r="G86" s="20">
        <f t="shared" si="33"/>
        <v>-9.1723806832504029E-2</v>
      </c>
      <c r="H86" s="15">
        <f t="shared" si="34"/>
        <v>0.44374219591878639</v>
      </c>
      <c r="I86" s="15">
        <f t="shared" si="35"/>
        <v>-9.1210645261244339E-2</v>
      </c>
      <c r="J86" s="15">
        <f t="shared" si="30"/>
        <v>-6.4692275672912358E-2</v>
      </c>
      <c r="K86" s="15">
        <f t="shared" si="31"/>
        <v>0.25531710968684385</v>
      </c>
      <c r="L86" s="15">
        <f t="shared" si="32"/>
        <v>-6.4329129878581637E-2</v>
      </c>
      <c r="M86" s="18">
        <f>IF(SUMIFS('Monthly NSE Equity Futures'!$I:$I,'Monthly NSE Equity Futures'!$C:$C,$A86)=0,"",SUMIFS('Monthly NSE Equity Futures'!$I:$I,'Monthly NSE Equity Futures'!$C:$C,$A86))</f>
        <v>152077227</v>
      </c>
      <c r="N86" s="7">
        <f>IF(SUMIFS('Monthly BSE Equity Futures'!$I:$I,'Monthly BSE Equity Futures'!$C:$C,$A86)=0,"",SUMIFS('Monthly BSE Equity Futures'!$I:$I,'Monthly BSE Equity Futures'!$C:$C,$A86))</f>
        <v>113675</v>
      </c>
      <c r="O86" s="7">
        <f t="shared" si="27"/>
        <v>152190902</v>
      </c>
      <c r="P86" s="19">
        <f t="shared" si="28"/>
        <v>0.99925307624499127</v>
      </c>
      <c r="Q86" s="19">
        <f t="shared" si="29"/>
        <v>7.4692375500869297E-4</v>
      </c>
    </row>
    <row r="87" spans="1:17" x14ac:dyDescent="0.2">
      <c r="A87" s="4" t="s">
        <v>193</v>
      </c>
      <c r="B87" s="14">
        <f>IF(SUMIFS('Monthly NSE Equity Futures'!$H:$H,'Monthly NSE Equity Futures'!$C:$C,$A87)=0,"",SUMIFS('Monthly NSE Equity Futures'!$H:$H,'Monthly NSE Equity Futures'!$C:$C,$A87))</f>
        <v>102742.0787</v>
      </c>
      <c r="C87" s="6">
        <f>IF(SUMIFS('Monthly BSE Equity Futures'!$H:$H,'Monthly BSE Equity Futures'!$C:$C,$A87)=0,"",SUMIFS('Monthly BSE Equity Futures'!$H:$H,'Monthly BSE Equity Futures'!$C:$C,$A87))</f>
        <v>237.90390000000002</v>
      </c>
      <c r="D87" s="6">
        <f t="shared" si="24"/>
        <v>102979.9826</v>
      </c>
      <c r="E87" s="15">
        <f t="shared" si="25"/>
        <v>0.99768980442612731</v>
      </c>
      <c r="F87" s="15">
        <f t="shared" si="26"/>
        <v>2.3101955738726258E-3</v>
      </c>
      <c r="G87" s="20">
        <f t="shared" si="33"/>
        <v>-0.19537465615913852</v>
      </c>
      <c r="H87" s="15">
        <f t="shared" si="34"/>
        <v>1.762270946587682</v>
      </c>
      <c r="I87" s="15">
        <f t="shared" si="35"/>
        <v>-0.19405511820412014</v>
      </c>
      <c r="J87" s="15">
        <f t="shared" si="30"/>
        <v>3.1134796364442163E-2</v>
      </c>
      <c r="K87" s="15">
        <f t="shared" si="31"/>
        <v>0.56587939569498835</v>
      </c>
      <c r="L87" s="15">
        <f t="shared" si="32"/>
        <v>3.1948928784772734E-2</v>
      </c>
      <c r="M87" s="18">
        <f>IF(SUMIFS('Monthly NSE Equity Futures'!$I:$I,'Monthly NSE Equity Futures'!$C:$C,$A87)=0,"",SUMIFS('Monthly NSE Equity Futures'!$I:$I,'Monthly NSE Equity Futures'!$C:$C,$A87))</f>
        <v>140855060</v>
      </c>
      <c r="N87" s="7">
        <f>IF(SUMIFS('Monthly BSE Equity Futures'!$I:$I,'Monthly BSE Equity Futures'!$C:$C,$A87)=0,"",SUMIFS('Monthly BSE Equity Futures'!$I:$I,'Monthly BSE Equity Futures'!$C:$C,$A87))</f>
        <v>152286</v>
      </c>
      <c r="O87" s="7">
        <f t="shared" si="27"/>
        <v>141007346</v>
      </c>
      <c r="P87" s="19">
        <f t="shared" si="28"/>
        <v>0.99892001371332806</v>
      </c>
      <c r="Q87" s="19">
        <f t="shared" si="29"/>
        <v>1.0799862866719015E-3</v>
      </c>
    </row>
    <row r="88" spans="1:17" x14ac:dyDescent="0.2">
      <c r="A88" s="4" t="s">
        <v>194</v>
      </c>
      <c r="B88" s="14">
        <f>IF(SUMIFS('Monthly NSE Equity Futures'!$H:$H,'Monthly NSE Equity Futures'!$C:$C,$A88)=0,"",SUMIFS('Monthly NSE Equity Futures'!$H:$H,'Monthly NSE Equity Futures'!$C:$C,$A88))</f>
        <v>90267.050700000007</v>
      </c>
      <c r="C88" s="6">
        <f>IF(SUMIFS('Monthly BSE Equity Futures'!$H:$H,'Monthly BSE Equity Futures'!$C:$C,$A88)=0,"",SUMIFS('Monthly BSE Equity Futures'!$H:$H,'Monthly BSE Equity Futures'!$C:$C,$A88))</f>
        <v>157.97460000000001</v>
      </c>
      <c r="D88" s="6">
        <f t="shared" si="24"/>
        <v>90425.025300000008</v>
      </c>
      <c r="E88" s="15">
        <f t="shared" si="25"/>
        <v>0.99825297698866111</v>
      </c>
      <c r="F88" s="15">
        <f t="shared" si="26"/>
        <v>1.7470230113388755E-3</v>
      </c>
      <c r="G88" s="20">
        <f t="shared" si="33"/>
        <v>-0.30043899604128288</v>
      </c>
      <c r="H88" s="15">
        <f t="shared" si="34"/>
        <v>8.1526716193216497E-3</v>
      </c>
      <c r="I88" s="15">
        <f t="shared" si="35"/>
        <v>-0.30006470070829927</v>
      </c>
      <c r="J88" s="15">
        <f t="shared" si="30"/>
        <v>-0.12142082540909294</v>
      </c>
      <c r="K88" s="15">
        <f t="shared" si="31"/>
        <v>-0.33597305466619087</v>
      </c>
      <c r="L88" s="15">
        <f t="shared" si="32"/>
        <v>-0.12191648301948732</v>
      </c>
      <c r="M88" s="18">
        <f>IF(SUMIFS('Monthly NSE Equity Futures'!$I:$I,'Monthly NSE Equity Futures'!$C:$C,$A88)=0,"",SUMIFS('Monthly NSE Equity Futures'!$I:$I,'Monthly NSE Equity Futures'!$C:$C,$A88))</f>
        <v>117012068</v>
      </c>
      <c r="N88" s="7">
        <f>IF(SUMIFS('Monthly BSE Equity Futures'!$I:$I,'Monthly BSE Equity Futures'!$C:$C,$A88)=0,"",SUMIFS('Monthly BSE Equity Futures'!$I:$I,'Monthly BSE Equity Futures'!$C:$C,$A88))</f>
        <v>98224</v>
      </c>
      <c r="O88" s="7">
        <f t="shared" si="27"/>
        <v>117110292</v>
      </c>
      <c r="P88" s="19">
        <f t="shared" si="28"/>
        <v>0.99916126927597448</v>
      </c>
      <c r="Q88" s="19">
        <f t="shared" si="29"/>
        <v>8.3873072402551943E-4</v>
      </c>
    </row>
    <row r="89" spans="1:17" x14ac:dyDescent="0.2">
      <c r="A89" s="4" t="s">
        <v>195</v>
      </c>
      <c r="B89" s="14">
        <f>IF(SUMIFS('Monthly NSE Equity Futures'!$H:$H,'Monthly NSE Equity Futures'!$C:$C,$A89)=0,"",SUMIFS('Monthly NSE Equity Futures'!$H:$H,'Monthly NSE Equity Futures'!$C:$C,$A89))</f>
        <v>94081.156700000007</v>
      </c>
      <c r="C89" s="6">
        <f>IF(SUMIFS('Monthly BSE Equity Futures'!$H:$H,'Monthly BSE Equity Futures'!$C:$C,$A89)=0,"",SUMIFS('Monthly BSE Equity Futures'!$H:$H,'Monthly BSE Equity Futures'!$C:$C,$A89))</f>
        <v>164.35969999999998</v>
      </c>
      <c r="D89" s="6">
        <f t="shared" si="24"/>
        <v>94245.516400000008</v>
      </c>
      <c r="E89" s="15">
        <f t="shared" si="25"/>
        <v>0.99825604754180119</v>
      </c>
      <c r="F89" s="15">
        <f t="shared" si="26"/>
        <v>1.7439524581988493E-3</v>
      </c>
      <c r="G89" s="20">
        <f t="shared" si="33"/>
        <v>-0.11687076106931815</v>
      </c>
      <c r="H89" s="15">
        <f t="shared" si="34"/>
        <v>0.35801803037451307</v>
      </c>
      <c r="I89" s="15">
        <f t="shared" si="35"/>
        <v>-0.11633185853933847</v>
      </c>
      <c r="J89" s="15">
        <f t="shared" si="30"/>
        <v>4.225357946695385E-2</v>
      </c>
      <c r="K89" s="15">
        <f t="shared" si="31"/>
        <v>4.0418522977744287E-2</v>
      </c>
      <c r="L89" s="15">
        <f t="shared" si="32"/>
        <v>4.2250373581040002E-2</v>
      </c>
      <c r="M89" s="18">
        <f>IF(SUMIFS('Monthly NSE Equity Futures'!$I:$I,'Monthly NSE Equity Futures'!$C:$C,$A89)=0,"",SUMIFS('Monthly NSE Equity Futures'!$I:$I,'Monthly NSE Equity Futures'!$C:$C,$A89))</f>
        <v>120716250</v>
      </c>
      <c r="N89" s="7">
        <f>IF(SUMIFS('Monthly BSE Equity Futures'!$I:$I,'Monthly BSE Equity Futures'!$C:$C,$A89)=0,"",SUMIFS('Monthly BSE Equity Futures'!$I:$I,'Monthly BSE Equity Futures'!$C:$C,$A89))</f>
        <v>98310</v>
      </c>
      <c r="O89" s="7">
        <f t="shared" si="27"/>
        <v>120814560</v>
      </c>
      <c r="P89" s="19">
        <f t="shared" si="28"/>
        <v>0.99918627357497303</v>
      </c>
      <c r="Q89" s="19">
        <f t="shared" si="29"/>
        <v>8.1372642502691727E-4</v>
      </c>
    </row>
    <row r="90" spans="1:17" x14ac:dyDescent="0.2">
      <c r="A90" s="4" t="s">
        <v>196</v>
      </c>
      <c r="B90" s="14">
        <f>IF(SUMIFS('Monthly NSE Equity Futures'!$H:$H,'Monthly NSE Equity Futures'!$C:$C,$A90)=0,"",SUMIFS('Monthly NSE Equity Futures'!$H:$H,'Monthly NSE Equity Futures'!$C:$C,$A90))</f>
        <v>106734.4503</v>
      </c>
      <c r="C90" s="6">
        <f>IF(SUMIFS('Monthly BSE Equity Futures'!$H:$H,'Monthly BSE Equity Futures'!$C:$C,$A90)=0,"",SUMIFS('Monthly BSE Equity Futures'!$H:$H,'Monthly BSE Equity Futures'!$C:$C,$A90))</f>
        <v>285.01100000000002</v>
      </c>
      <c r="D90" s="6">
        <f t="shared" si="24"/>
        <v>107019.4613</v>
      </c>
      <c r="E90" s="15">
        <f t="shared" si="25"/>
        <v>0.9973368301752048</v>
      </c>
      <c r="F90" s="15">
        <f t="shared" si="26"/>
        <v>2.6631698247952221E-3</v>
      </c>
      <c r="G90" s="20">
        <f t="shared" si="33"/>
        <v>7.1202832059900301E-2</v>
      </c>
      <c r="H90" s="15">
        <f t="shared" si="34"/>
        <v>0.87593752118575741</v>
      </c>
      <c r="I90" s="15">
        <f t="shared" si="35"/>
        <v>7.2428016196406153E-2</v>
      </c>
      <c r="J90" s="15">
        <f t="shared" si="30"/>
        <v>0.13449338894023177</v>
      </c>
      <c r="K90" s="15">
        <f t="shared" si="31"/>
        <v>0.73406863117905474</v>
      </c>
      <c r="L90" s="15">
        <f t="shared" si="32"/>
        <v>0.13553901965780923</v>
      </c>
      <c r="M90" s="18">
        <f>IF(SUMIFS('Monthly NSE Equity Futures'!$I:$I,'Monthly NSE Equity Futures'!$C:$C,$A90)=0,"",SUMIFS('Monthly NSE Equity Futures'!$I:$I,'Monthly NSE Equity Futures'!$C:$C,$A90))</f>
        <v>144954746</v>
      </c>
      <c r="N90" s="7">
        <f>IF(SUMIFS('Monthly BSE Equity Futures'!$I:$I,'Monthly BSE Equity Futures'!$C:$C,$A90)=0,"",SUMIFS('Monthly BSE Equity Futures'!$I:$I,'Monthly BSE Equity Futures'!$C:$C,$A90))</f>
        <v>180239</v>
      </c>
      <c r="O90" s="7">
        <f t="shared" si="27"/>
        <v>145134985</v>
      </c>
      <c r="P90" s="19">
        <f t="shared" si="28"/>
        <v>0.9987581285105035</v>
      </c>
      <c r="Q90" s="19">
        <f t="shared" si="29"/>
        <v>1.2418714894964849E-3</v>
      </c>
    </row>
    <row r="91" spans="1:17" x14ac:dyDescent="0.2">
      <c r="A91" s="4" t="s">
        <v>197</v>
      </c>
      <c r="B91" s="14">
        <f>IF(SUMIFS('Monthly NSE Equity Futures'!$H:$H,'Monthly NSE Equity Futures'!$C:$C,$A91)=0,"",SUMIFS('Monthly NSE Equity Futures'!$H:$H,'Monthly NSE Equity Futures'!$C:$C,$A91))</f>
        <v>91847.338000000003</v>
      </c>
      <c r="C91" s="6">
        <f>IF(SUMIFS('Monthly BSE Equity Futures'!$H:$H,'Monthly BSE Equity Futures'!$C:$C,$A91)=0,"",SUMIFS('Monthly BSE Equity Futures'!$H:$H,'Monthly BSE Equity Futures'!$C:$C,$A91))</f>
        <v>254.0145</v>
      </c>
      <c r="D91" s="6">
        <f t="shared" si="24"/>
        <v>92101.352500000008</v>
      </c>
      <c r="E91" s="15">
        <f t="shared" si="25"/>
        <v>0.9972420111854492</v>
      </c>
      <c r="F91" s="15">
        <f t="shared" si="26"/>
        <v>2.757988814550796E-3</v>
      </c>
      <c r="G91" s="20">
        <f t="shared" si="33"/>
        <v>-0.10603971457314887</v>
      </c>
      <c r="H91" s="15">
        <f t="shared" si="34"/>
        <v>6.7718940294799523E-2</v>
      </c>
      <c r="I91" s="15">
        <f t="shared" si="35"/>
        <v>-0.10563829809775083</v>
      </c>
      <c r="J91" s="15">
        <f t="shared" si="30"/>
        <v>-0.13947804348227377</v>
      </c>
      <c r="K91" s="15">
        <f t="shared" si="31"/>
        <v>-0.10875545154397559</v>
      </c>
      <c r="L91" s="15">
        <f t="shared" si="32"/>
        <v>-0.13939622400248419</v>
      </c>
      <c r="M91" s="18">
        <f>IF(SUMIFS('Monthly NSE Equity Futures'!$I:$I,'Monthly NSE Equity Futures'!$C:$C,$A91)=0,"",SUMIFS('Monthly NSE Equity Futures'!$I:$I,'Monthly NSE Equity Futures'!$C:$C,$A91))</f>
        <v>128790703</v>
      </c>
      <c r="N91" s="7">
        <f>IF(SUMIFS('Monthly BSE Equity Futures'!$I:$I,'Monthly BSE Equity Futures'!$C:$C,$A91)=0,"",SUMIFS('Monthly BSE Equity Futures'!$I:$I,'Monthly BSE Equity Futures'!$C:$C,$A91))</f>
        <v>166599</v>
      </c>
      <c r="O91" s="7">
        <f t="shared" si="27"/>
        <v>128957302</v>
      </c>
      <c r="P91" s="19">
        <f t="shared" si="28"/>
        <v>0.99870810727724435</v>
      </c>
      <c r="Q91" s="19">
        <f t="shared" si="29"/>
        <v>1.2918927227556296E-3</v>
      </c>
    </row>
    <row r="92" spans="1:17" x14ac:dyDescent="0.2">
      <c r="A92" s="4" t="s">
        <v>198</v>
      </c>
      <c r="B92" s="14">
        <f>IF(SUMIFS('Monthly NSE Equity Futures'!$H:$H,'Monthly NSE Equity Futures'!$C:$C,$A92)=0,"",SUMIFS('Monthly NSE Equity Futures'!$H:$H,'Monthly NSE Equity Futures'!$C:$C,$A92))</f>
        <v>44717.994299999998</v>
      </c>
      <c r="C92" s="6">
        <f>IF(SUMIFS('Monthly BSE Equity Futures'!$H:$H,'Monthly BSE Equity Futures'!$C:$C,$A92)=0,"",SUMIFS('Monthly BSE Equity Futures'!$H:$H,'Monthly BSE Equity Futures'!$C:$C,$A92))</f>
        <v>85.516800000000003</v>
      </c>
      <c r="D92" s="6">
        <f t="shared" si="24"/>
        <v>44803.511099999996</v>
      </c>
      <c r="E92" s="15">
        <f t="shared" si="25"/>
        <v>0.99809129244783679</v>
      </c>
      <c r="F92" s="15">
        <f t="shared" si="26"/>
        <v>1.9087075521632502E-3</v>
      </c>
      <c r="G92" s="20">
        <f t="shared" si="33"/>
        <v>-0.50460335246114352</v>
      </c>
      <c r="H92" s="15">
        <f t="shared" si="34"/>
        <v>-0.45866740602603207</v>
      </c>
      <c r="I92" s="15">
        <f t="shared" si="35"/>
        <v>-0.50452310130567368</v>
      </c>
      <c r="J92" s="15">
        <f t="shared" si="30"/>
        <v>-0.51312694223103128</v>
      </c>
      <c r="K92" s="15">
        <f t="shared" si="31"/>
        <v>-0.66333890388147132</v>
      </c>
      <c r="L92" s="15">
        <f t="shared" si="32"/>
        <v>-0.51354122514107492</v>
      </c>
      <c r="M92" s="18">
        <f>IF(SUMIFS('Monthly NSE Equity Futures'!$I:$I,'Monthly NSE Equity Futures'!$C:$C,$A92)=0,"",SUMIFS('Monthly NSE Equity Futures'!$I:$I,'Monthly NSE Equity Futures'!$C:$C,$A92))</f>
        <v>61077123</v>
      </c>
      <c r="N92" s="7">
        <f>IF(SUMIFS('Monthly BSE Equity Futures'!$I:$I,'Monthly BSE Equity Futures'!$C:$C,$A92)=0,"",SUMIFS('Monthly BSE Equity Futures'!$I:$I,'Monthly BSE Equity Futures'!$C:$C,$A92))</f>
        <v>54968</v>
      </c>
      <c r="O92" s="7">
        <f t="shared" si="27"/>
        <v>61132091</v>
      </c>
      <c r="P92" s="19">
        <f t="shared" si="28"/>
        <v>0.99910083232716507</v>
      </c>
      <c r="Q92" s="19">
        <f t="shared" si="29"/>
        <v>8.9916767283487818E-4</v>
      </c>
    </row>
    <row r="94" spans="1:17" x14ac:dyDescent="0.2">
      <c r="A94" s="1" t="s">
        <v>199</v>
      </c>
    </row>
    <row r="95" spans="1:17" x14ac:dyDescent="0.2">
      <c r="A95" s="4" t="s">
        <v>200</v>
      </c>
      <c r="B95" s="5">
        <f>COUNTIF('Daily NSE Equity Futures'!$A:$A,"&gt;="&amp;DATE(2026,7,1))</f>
        <v>37</v>
      </c>
    </row>
    <row r="96" spans="1:17" x14ac:dyDescent="0.2">
      <c r="A96" s="4" t="s">
        <v>201</v>
      </c>
      <c r="B96" s="9">
        <f>DATE(2025,7,1)</f>
        <v>45839</v>
      </c>
      <c r="C96" s="9">
        <f>INDEX('Daily NSE Equity Futures'!$A:$A,COUNTIF('Daily NSE Equity Futures'!$A:$A,"&lt;"&amp;DATE(2025,7,1))+1+$B95)</f>
        <v>45890</v>
      </c>
    </row>
    <row r="97" spans="1:17" x14ac:dyDescent="0.2">
      <c r="B97" s="2" t="s">
        <v>61</v>
      </c>
      <c r="C97" s="2" t="s">
        <v>62</v>
      </c>
      <c r="D97" s="2" t="s">
        <v>63</v>
      </c>
      <c r="E97" s="2" t="s">
        <v>64</v>
      </c>
      <c r="F97" s="2" t="s">
        <v>65</v>
      </c>
      <c r="M97" s="3" t="s">
        <v>69</v>
      </c>
      <c r="N97" s="3" t="s">
        <v>70</v>
      </c>
      <c r="O97" s="3" t="s">
        <v>71</v>
      </c>
      <c r="P97" s="3" t="s">
        <v>72</v>
      </c>
      <c r="Q97" s="3" t="s">
        <v>73</v>
      </c>
    </row>
    <row r="98" spans="1:17" x14ac:dyDescent="0.2">
      <c r="A98" s="4" t="s">
        <v>202</v>
      </c>
      <c r="B98" s="6">
        <f>SUMIFS('Daily NSE Equity Futures'!$I:$I,'Daily NSE Equity Futures'!$A:$A,"&gt;="&amp;$B$96,'Daily NSE Equity Futures'!$A:$A,"&lt;="&amp;$C$96)</f>
        <v>45713.077899999997</v>
      </c>
      <c r="C98" s="6">
        <f>SUMIFS('Daily BSE Equity Futures'!$I:$I,'Daily BSE Equity Futures'!$A:$A,"&gt;="&amp;$B$96,'Daily BSE Equity Futures'!$A:$A,"&lt;="&amp;$C$96)</f>
        <v>92.138900000000007</v>
      </c>
      <c r="D98" s="6">
        <f>B98+C98</f>
        <v>45805.216799999995</v>
      </c>
      <c r="E98" s="15">
        <f>IF(D98=0,"",B98/D98)</f>
        <v>0.99798846274645292</v>
      </c>
      <c r="F98" s="15">
        <f>IF(D98=0,"",C98/D98)</f>
        <v>2.0115372535470678E-3</v>
      </c>
      <c r="M98" s="7">
        <f>SUMIFS('Daily NSE Equity Futures'!$J:$J,'Daily NSE Equity Futures'!$A:$A,"&gt;="&amp;$B$96,'Daily NSE Equity Futures'!$A:$A,"&lt;="&amp;$C$96)</f>
        <v>58741775</v>
      </c>
      <c r="N98" s="7">
        <f>SUMIFS('Daily BSE Equity Futures'!$J:$J,'Daily BSE Equity Futures'!$A:$A,"&gt;="&amp;$B$96,'Daily BSE Equity Futures'!$A:$A,"&lt;="&amp;$C$96)</f>
        <v>57267</v>
      </c>
      <c r="O98" s="7">
        <f>M98+N98</f>
        <v>58799042</v>
      </c>
      <c r="P98" s="19">
        <f>IF(O98=0,"",M98/O98)</f>
        <v>0.99902605556056512</v>
      </c>
      <c r="Q98" s="19">
        <f>IF(O98=0,"",N98/O98)</f>
        <v>9.7394443943491459E-4</v>
      </c>
    </row>
    <row r="99" spans="1:17" x14ac:dyDescent="0.2">
      <c r="A99" s="4" t="s">
        <v>203</v>
      </c>
      <c r="B99" s="6">
        <f>SUMIFS('Daily NSE Equity Futures'!$I:$I,'Daily NSE Equity Futures'!$A:$A,"&gt;="&amp;DATE(2026,7,1))</f>
        <v>44717.994299999991</v>
      </c>
      <c r="C99" s="6">
        <f>SUMIFS('Daily BSE Equity Futures'!$I:$I,'Daily BSE Equity Futures'!$A:$A,"&gt;="&amp;DATE(2026,7,1))</f>
        <v>85.516799999999975</v>
      </c>
      <c r="D99" s="6">
        <f>B99+C99</f>
        <v>44803.511099999989</v>
      </c>
      <c r="E99" s="15">
        <f>IF(D99=0,"",B99/D99)</f>
        <v>0.99809129244783679</v>
      </c>
      <c r="F99" s="15">
        <f>IF(D99=0,"",C99/D99)</f>
        <v>1.90870755216325E-3</v>
      </c>
      <c r="M99" s="7">
        <f>SUMIFS('Daily NSE Equity Futures'!$J:$J,'Daily NSE Equity Futures'!$A:$A,"&gt;="&amp;DATE(2026,7,1))</f>
        <v>61077123</v>
      </c>
      <c r="N99" s="7">
        <f>SUMIFS('Daily BSE Equity Futures'!$J:$J,'Daily BSE Equity Futures'!$A:$A,"&gt;="&amp;DATE(2026,7,1))</f>
        <v>54968</v>
      </c>
      <c r="O99" s="7">
        <f>M99+N99</f>
        <v>61132091</v>
      </c>
      <c r="P99" s="19">
        <f>IF(O99=0,"",M99/O99)</f>
        <v>0.99910083232716507</v>
      </c>
      <c r="Q99" s="19">
        <f>IF(O99=0,"",N99/O99)</f>
        <v>8.9916767283487818E-4</v>
      </c>
    </row>
    <row r="100" spans="1:17" x14ac:dyDescent="0.2">
      <c r="A100" s="1" t="s">
        <v>204</v>
      </c>
      <c r="B100" s="15">
        <f>IF(OR(B98=0,B98=""),"",B99/B98-1)</f>
        <v>-2.1768028881730683E-2</v>
      </c>
      <c r="C100" s="15">
        <f>IF(OR(C98=0,C98=""),"",C99/C98-1)</f>
        <v>-7.187083848407172E-2</v>
      </c>
      <c r="D100" s="15">
        <f>IF(OR(D98=0,D98=""),"",D99/D98-1)</f>
        <v>-2.1868812549753147E-2</v>
      </c>
      <c r="M100" s="19">
        <f>IF(OR(M98=0,M98=""),"",M99/M98-1)</f>
        <v>3.9756170119135792E-2</v>
      </c>
      <c r="N100" s="19">
        <f>IF(OR(N98=0,N98=""),"",N99/N98-1)</f>
        <v>-4.0145284369706769E-2</v>
      </c>
      <c r="O100" s="19">
        <f>IF(OR(O98=0,O98=""),"",O99/O98-1)</f>
        <v>3.9678350541833662E-2</v>
      </c>
    </row>
  </sheetData>
  <conditionalFormatting sqref="E2:E92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F2:F92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P2:P92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Q2:Q92">
    <cfRule type="colorScale" priority="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8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14" customWidth="1"/>
    <col min="4" max="6" width="22" customWidth="1"/>
    <col min="7" max="8" width="16" customWidth="1"/>
    <col min="9" max="14" width="14" customWidth="1"/>
    <col min="15" max="17" width="22" customWidth="1"/>
    <col min="18" max="19" width="16" customWidth="1"/>
  </cols>
  <sheetData>
    <row r="1" spans="1:19" x14ac:dyDescent="0.2">
      <c r="A1" s="1" t="s">
        <v>205</v>
      </c>
      <c r="B1" s="1" t="s">
        <v>60</v>
      </c>
      <c r="C1" s="1" t="s">
        <v>104</v>
      </c>
      <c r="D1" s="12" t="s">
        <v>61</v>
      </c>
      <c r="E1" s="2" t="s">
        <v>62</v>
      </c>
      <c r="F1" s="2" t="s">
        <v>63</v>
      </c>
      <c r="G1" s="2" t="s">
        <v>64</v>
      </c>
      <c r="H1" s="2" t="s">
        <v>65</v>
      </c>
      <c r="I1" s="12" t="s">
        <v>66</v>
      </c>
      <c r="J1" s="2" t="s">
        <v>67</v>
      </c>
      <c r="K1" s="2" t="s">
        <v>68</v>
      </c>
      <c r="L1" s="2" t="s">
        <v>206</v>
      </c>
      <c r="M1" s="2" t="s">
        <v>207</v>
      </c>
      <c r="N1" s="2" t="s">
        <v>208</v>
      </c>
      <c r="O1" s="13" t="s">
        <v>69</v>
      </c>
      <c r="P1" s="3" t="s">
        <v>70</v>
      </c>
      <c r="Q1" s="3" t="s">
        <v>71</v>
      </c>
      <c r="R1" s="3" t="s">
        <v>72</v>
      </c>
      <c r="S1" s="3" t="s">
        <v>73</v>
      </c>
    </row>
    <row r="2" spans="1:19" x14ac:dyDescent="0.2">
      <c r="A2" s="8">
        <v>37987</v>
      </c>
      <c r="B2" s="4" t="s">
        <v>74</v>
      </c>
      <c r="C2" s="4" t="s">
        <v>108</v>
      </c>
      <c r="D2" s="14" t="str">
        <f>IF(SUMIFS('Monthly NSE Equity Futures'!$H:$H,'Monthly NSE Equity Futures'!$A:$A,$A2)=0,"",SUMIFS('Monthly NSE Equity Futures'!$H:$H,'Monthly NSE Equity Futures'!$A:$A,$A2))</f>
        <v/>
      </c>
      <c r="E2" s="6">
        <f>IF(SUMIFS('Monthly BSE Equity Futures'!$H:$H,'Monthly BSE Equity Futures'!$A:$A,$A2)=0,"",SUMIFS('Monthly BSE Equity Futures'!$H:$H,'Monthly BSE Equity Futures'!$A:$A,$A2))</f>
        <v>37.116300000000003</v>
      </c>
      <c r="F2" s="6" t="str">
        <f t="shared" ref="F2:F65" si="0">IF(OR(D2="",E2=""),"",D2+E2)</f>
        <v/>
      </c>
      <c r="G2" s="15" t="str">
        <f t="shared" ref="G2:G65" si="1">IF(F2="","",D2/F2)</f>
        <v/>
      </c>
      <c r="H2" s="15" t="str">
        <f t="shared" ref="H2:H65" si="2">IF(F2="","",E2/F2)</f>
        <v/>
      </c>
      <c r="I2" s="16"/>
      <c r="J2" s="17"/>
      <c r="K2" s="17"/>
      <c r="L2" s="17"/>
      <c r="M2" s="17"/>
      <c r="N2" s="17"/>
      <c r="O2" s="18" t="str">
        <f>IF(SUMIFS('Monthly NSE Equity Futures'!$I:$I,'Monthly NSE Equity Futures'!$A:$A,$A2)=0,"",SUMIFS('Monthly NSE Equity Futures'!$I:$I,'Monthly NSE Equity Futures'!$A:$A,$A2))</f>
        <v/>
      </c>
      <c r="P2" s="7">
        <f>IF(SUMIFS('Monthly BSE Equity Futures'!$I:$I,'Monthly BSE Equity Futures'!$A:$A,$A2)=0,"",SUMIFS('Monthly BSE Equity Futures'!$I:$I,'Monthly BSE Equity Futures'!$A:$A,$A2))</f>
        <v>101925</v>
      </c>
      <c r="Q2" s="7" t="str">
        <f t="shared" ref="Q2:Q65" si="3">IF(OR(O2="",P2=""),"",O2+P2)</f>
        <v/>
      </c>
      <c r="R2" s="19" t="str">
        <f t="shared" ref="R2:R65" si="4">IF(Q2="","",O2/Q2)</f>
        <v/>
      </c>
      <c r="S2" s="19" t="str">
        <f t="shared" ref="S2:S65" si="5">IF(Q2="","",P2/Q2)</f>
        <v/>
      </c>
    </row>
    <row r="3" spans="1:19" x14ac:dyDescent="0.2">
      <c r="A3" s="8">
        <v>38018</v>
      </c>
      <c r="B3" s="4" t="s">
        <v>74</v>
      </c>
      <c r="C3" s="4" t="s">
        <v>108</v>
      </c>
      <c r="D3" s="14" t="str">
        <f>IF(SUMIFS('Monthly NSE Equity Futures'!$H:$H,'Monthly NSE Equity Futures'!$A:$A,$A3)=0,"",SUMIFS('Monthly NSE Equity Futures'!$H:$H,'Monthly NSE Equity Futures'!$A:$A,$A3))</f>
        <v/>
      </c>
      <c r="E3" s="6">
        <f>IF(SUMIFS('Monthly BSE Equity Futures'!$H:$H,'Monthly BSE Equity Futures'!$A:$A,$A3)=0,"",SUMIFS('Monthly BSE Equity Futures'!$H:$H,'Monthly BSE Equity Futures'!$A:$A,$A3))</f>
        <v>6.3371000000000004</v>
      </c>
      <c r="F3" s="6" t="str">
        <f t="shared" si="0"/>
        <v/>
      </c>
      <c r="G3" s="15" t="str">
        <f t="shared" si="1"/>
        <v/>
      </c>
      <c r="H3" s="15" t="str">
        <f t="shared" si="2"/>
        <v/>
      </c>
      <c r="I3" s="16"/>
      <c r="J3" s="17"/>
      <c r="K3" s="17"/>
      <c r="L3" s="15" t="str">
        <f t="shared" ref="L3:L66" si="6">IF(OR(D3="",D2=""),"",D3/D2-1)</f>
        <v/>
      </c>
      <c r="M3" s="15">
        <f t="shared" ref="M3:M66" si="7">IF(OR(E3="",E2=""),"",E3/E2-1)</f>
        <v>-0.82926369277110057</v>
      </c>
      <c r="N3" s="15" t="str">
        <f t="shared" ref="N3:N66" si="8">IF(OR(F3="",F2=""),"",F3/F2-1)</f>
        <v/>
      </c>
      <c r="O3" s="18" t="str">
        <f>IF(SUMIFS('Monthly NSE Equity Futures'!$I:$I,'Monthly NSE Equity Futures'!$A:$A,$A3)=0,"",SUMIFS('Monthly NSE Equity Futures'!$I:$I,'Monthly NSE Equity Futures'!$A:$A,$A3))</f>
        <v/>
      </c>
      <c r="P3" s="7">
        <f>IF(SUMIFS('Monthly BSE Equity Futures'!$I:$I,'Monthly BSE Equity Futures'!$A:$A,$A3)=0,"",SUMIFS('Monthly BSE Equity Futures'!$I:$I,'Monthly BSE Equity Futures'!$A:$A,$A3))</f>
        <v>20733</v>
      </c>
      <c r="Q3" s="7" t="str">
        <f t="shared" si="3"/>
        <v/>
      </c>
      <c r="R3" s="19" t="str">
        <f t="shared" si="4"/>
        <v/>
      </c>
      <c r="S3" s="19" t="str">
        <f t="shared" si="5"/>
        <v/>
      </c>
    </row>
    <row r="4" spans="1:19" x14ac:dyDescent="0.2">
      <c r="A4" s="8">
        <v>38047</v>
      </c>
      <c r="B4" s="4" t="s">
        <v>74</v>
      </c>
      <c r="C4" s="4" t="s">
        <v>108</v>
      </c>
      <c r="D4" s="14" t="str">
        <f>IF(SUMIFS('Monthly NSE Equity Futures'!$H:$H,'Monthly NSE Equity Futures'!$A:$A,$A4)=0,"",SUMIFS('Monthly NSE Equity Futures'!$H:$H,'Monthly NSE Equity Futures'!$A:$A,$A4))</f>
        <v/>
      </c>
      <c r="E4" s="6">
        <f>IF(SUMIFS('Monthly BSE Equity Futures'!$H:$H,'Monthly BSE Equity Futures'!$A:$A,$A4)=0,"",SUMIFS('Monthly BSE Equity Futures'!$H:$H,'Monthly BSE Equity Futures'!$A:$A,$A4))</f>
        <v>4.1763000000000003</v>
      </c>
      <c r="F4" s="6" t="str">
        <f t="shared" si="0"/>
        <v/>
      </c>
      <c r="G4" s="15" t="str">
        <f t="shared" si="1"/>
        <v/>
      </c>
      <c r="H4" s="15" t="str">
        <f t="shared" si="2"/>
        <v/>
      </c>
      <c r="I4" s="16"/>
      <c r="J4" s="17"/>
      <c r="K4" s="17"/>
      <c r="L4" s="15" t="str">
        <f t="shared" si="6"/>
        <v/>
      </c>
      <c r="M4" s="15">
        <f t="shared" si="7"/>
        <v>-0.34097615628599831</v>
      </c>
      <c r="N4" s="15" t="str">
        <f t="shared" si="8"/>
        <v/>
      </c>
      <c r="O4" s="18" t="str">
        <f>IF(SUMIFS('Monthly NSE Equity Futures'!$I:$I,'Monthly NSE Equity Futures'!$A:$A,$A4)=0,"",SUMIFS('Monthly NSE Equity Futures'!$I:$I,'Monthly NSE Equity Futures'!$A:$A,$A4))</f>
        <v/>
      </c>
      <c r="P4" s="7">
        <f>IF(SUMIFS('Monthly BSE Equity Futures'!$I:$I,'Monthly BSE Equity Futures'!$A:$A,$A4)=0,"",SUMIFS('Monthly BSE Equity Futures'!$I:$I,'Monthly BSE Equity Futures'!$A:$A,$A4))</f>
        <v>14556</v>
      </c>
      <c r="Q4" s="7" t="str">
        <f t="shared" si="3"/>
        <v/>
      </c>
      <c r="R4" s="19" t="str">
        <f t="shared" si="4"/>
        <v/>
      </c>
      <c r="S4" s="19" t="str">
        <f t="shared" si="5"/>
        <v/>
      </c>
    </row>
    <row r="5" spans="1:19" x14ac:dyDescent="0.2">
      <c r="A5" s="8">
        <v>38078</v>
      </c>
      <c r="B5" s="4" t="s">
        <v>75</v>
      </c>
      <c r="C5" s="4" t="s">
        <v>109</v>
      </c>
      <c r="D5" s="14" t="str">
        <f>IF(SUMIFS('Monthly NSE Equity Futures'!$H:$H,'Monthly NSE Equity Futures'!$A:$A,$A5)=0,"",SUMIFS('Monthly NSE Equity Futures'!$H:$H,'Monthly NSE Equity Futures'!$A:$A,$A5))</f>
        <v/>
      </c>
      <c r="E5" s="6">
        <f>IF(SUMIFS('Monthly BSE Equity Futures'!$H:$H,'Monthly BSE Equity Futures'!$A:$A,$A5)=0,"",SUMIFS('Monthly BSE Equity Futures'!$H:$H,'Monthly BSE Equity Futures'!$A:$A,$A5))</f>
        <v>0.84789999999999999</v>
      </c>
      <c r="F5" s="6" t="str">
        <f t="shared" si="0"/>
        <v/>
      </c>
      <c r="G5" s="15" t="str">
        <f t="shared" si="1"/>
        <v/>
      </c>
      <c r="H5" s="15" t="str">
        <f t="shared" si="2"/>
        <v/>
      </c>
      <c r="I5" s="16"/>
      <c r="J5" s="17"/>
      <c r="K5" s="17"/>
      <c r="L5" s="15" t="str">
        <f t="shared" si="6"/>
        <v/>
      </c>
      <c r="M5" s="15">
        <f t="shared" si="7"/>
        <v>-0.79697339750496854</v>
      </c>
      <c r="N5" s="15" t="str">
        <f t="shared" si="8"/>
        <v/>
      </c>
      <c r="O5" s="18" t="str">
        <f>IF(SUMIFS('Monthly NSE Equity Futures'!$I:$I,'Monthly NSE Equity Futures'!$A:$A,$A5)=0,"",SUMIFS('Monthly NSE Equity Futures'!$I:$I,'Monthly NSE Equity Futures'!$A:$A,$A5))</f>
        <v/>
      </c>
      <c r="P5" s="7">
        <f>IF(SUMIFS('Monthly BSE Equity Futures'!$I:$I,'Monthly BSE Equity Futures'!$A:$A,$A5)=0,"",SUMIFS('Monthly BSE Equity Futures'!$I:$I,'Monthly BSE Equity Futures'!$A:$A,$A5))</f>
        <v>2892</v>
      </c>
      <c r="Q5" s="7" t="str">
        <f t="shared" si="3"/>
        <v/>
      </c>
      <c r="R5" s="19" t="str">
        <f t="shared" si="4"/>
        <v/>
      </c>
      <c r="S5" s="19" t="str">
        <f t="shared" si="5"/>
        <v/>
      </c>
    </row>
    <row r="6" spans="1:19" x14ac:dyDescent="0.2">
      <c r="A6" s="8">
        <v>38108</v>
      </c>
      <c r="B6" s="4" t="s">
        <v>75</v>
      </c>
      <c r="C6" s="4" t="s">
        <v>109</v>
      </c>
      <c r="D6" s="14" t="str">
        <f>IF(SUMIFS('Monthly NSE Equity Futures'!$H:$H,'Monthly NSE Equity Futures'!$A:$A,$A6)=0,"",SUMIFS('Monthly NSE Equity Futures'!$H:$H,'Monthly NSE Equity Futures'!$A:$A,$A6))</f>
        <v/>
      </c>
      <c r="E6" s="6">
        <f>IF(SUMIFS('Monthly BSE Equity Futures'!$H:$H,'Monthly BSE Equity Futures'!$A:$A,$A6)=0,"",SUMIFS('Monthly BSE Equity Futures'!$H:$H,'Monthly BSE Equity Futures'!$A:$A,$A6))</f>
        <v>0.38769999999999999</v>
      </c>
      <c r="F6" s="6" t="str">
        <f t="shared" si="0"/>
        <v/>
      </c>
      <c r="G6" s="15" t="str">
        <f t="shared" si="1"/>
        <v/>
      </c>
      <c r="H6" s="15" t="str">
        <f t="shared" si="2"/>
        <v/>
      </c>
      <c r="I6" s="16"/>
      <c r="J6" s="17"/>
      <c r="K6" s="17"/>
      <c r="L6" s="15" t="str">
        <f t="shared" si="6"/>
        <v/>
      </c>
      <c r="M6" s="15">
        <f t="shared" si="7"/>
        <v>-0.54275268309942204</v>
      </c>
      <c r="N6" s="15" t="str">
        <f t="shared" si="8"/>
        <v/>
      </c>
      <c r="O6" s="18" t="str">
        <f>IF(SUMIFS('Monthly NSE Equity Futures'!$I:$I,'Monthly NSE Equity Futures'!$A:$A,$A6)=0,"",SUMIFS('Monthly NSE Equity Futures'!$I:$I,'Monthly NSE Equity Futures'!$A:$A,$A6))</f>
        <v/>
      </c>
      <c r="P6" s="7">
        <f>IF(SUMIFS('Monthly BSE Equity Futures'!$I:$I,'Monthly BSE Equity Futures'!$A:$A,$A6)=0,"",SUMIFS('Monthly BSE Equity Futures'!$I:$I,'Monthly BSE Equity Futures'!$A:$A,$A6))</f>
        <v>1146</v>
      </c>
      <c r="Q6" s="7" t="str">
        <f t="shared" si="3"/>
        <v/>
      </c>
      <c r="R6" s="19" t="str">
        <f t="shared" si="4"/>
        <v/>
      </c>
      <c r="S6" s="19" t="str">
        <f t="shared" si="5"/>
        <v/>
      </c>
    </row>
    <row r="7" spans="1:19" x14ac:dyDescent="0.2">
      <c r="A7" s="8">
        <v>38139</v>
      </c>
      <c r="B7" s="4" t="s">
        <v>75</v>
      </c>
      <c r="C7" s="4" t="s">
        <v>109</v>
      </c>
      <c r="D7" s="14" t="str">
        <f>IF(SUMIFS('Monthly NSE Equity Futures'!$H:$H,'Monthly NSE Equity Futures'!$A:$A,$A7)=0,"",SUMIFS('Monthly NSE Equity Futures'!$H:$H,'Monthly NSE Equity Futures'!$A:$A,$A7))</f>
        <v/>
      </c>
      <c r="E7" s="6" t="str">
        <f>IF(SUMIFS('Monthly BSE Equity Futures'!$H:$H,'Monthly BSE Equity Futures'!$A:$A,$A7)=0,"",SUMIFS('Monthly BSE Equity Futures'!$H:$H,'Monthly BSE Equity Futures'!$A:$A,$A7))</f>
        <v/>
      </c>
      <c r="F7" s="6" t="str">
        <f t="shared" si="0"/>
        <v/>
      </c>
      <c r="G7" s="15" t="str">
        <f t="shared" si="1"/>
        <v/>
      </c>
      <c r="H7" s="15" t="str">
        <f t="shared" si="2"/>
        <v/>
      </c>
      <c r="I7" s="16"/>
      <c r="J7" s="17"/>
      <c r="K7" s="17"/>
      <c r="L7" s="15" t="str">
        <f t="shared" si="6"/>
        <v/>
      </c>
      <c r="M7" s="15" t="str">
        <f t="shared" si="7"/>
        <v/>
      </c>
      <c r="N7" s="15" t="str">
        <f t="shared" si="8"/>
        <v/>
      </c>
      <c r="O7" s="18" t="str">
        <f>IF(SUMIFS('Monthly NSE Equity Futures'!$I:$I,'Monthly NSE Equity Futures'!$A:$A,$A7)=0,"",SUMIFS('Monthly NSE Equity Futures'!$I:$I,'Monthly NSE Equity Futures'!$A:$A,$A7))</f>
        <v/>
      </c>
      <c r="P7" s="7" t="str">
        <f>IF(SUMIFS('Monthly BSE Equity Futures'!$I:$I,'Monthly BSE Equity Futures'!$A:$A,$A7)=0,"",SUMIFS('Monthly BSE Equity Futures'!$I:$I,'Monthly BSE Equity Futures'!$A:$A,$A7))</f>
        <v/>
      </c>
      <c r="Q7" s="7" t="str">
        <f t="shared" si="3"/>
        <v/>
      </c>
      <c r="R7" s="19" t="str">
        <f t="shared" si="4"/>
        <v/>
      </c>
      <c r="S7" s="19" t="str">
        <f t="shared" si="5"/>
        <v/>
      </c>
    </row>
    <row r="8" spans="1:19" x14ac:dyDescent="0.2">
      <c r="A8" s="8">
        <v>38169</v>
      </c>
      <c r="B8" s="4" t="s">
        <v>75</v>
      </c>
      <c r="C8" s="4" t="s">
        <v>110</v>
      </c>
      <c r="D8" s="14" t="str">
        <f>IF(SUMIFS('Monthly NSE Equity Futures'!$H:$H,'Monthly NSE Equity Futures'!$A:$A,$A8)=0,"",SUMIFS('Monthly NSE Equity Futures'!$H:$H,'Monthly NSE Equity Futures'!$A:$A,$A8))</f>
        <v/>
      </c>
      <c r="E8" s="6">
        <f>IF(SUMIFS('Monthly BSE Equity Futures'!$H:$H,'Monthly BSE Equity Futures'!$A:$A,$A8)=0,"",SUMIFS('Monthly BSE Equity Futures'!$H:$H,'Monthly BSE Equity Futures'!$A:$A,$A8))</f>
        <v>3.2000000000000002E-3</v>
      </c>
      <c r="F8" s="6" t="str">
        <f t="shared" si="0"/>
        <v/>
      </c>
      <c r="G8" s="15" t="str">
        <f t="shared" si="1"/>
        <v/>
      </c>
      <c r="H8" s="15" t="str">
        <f t="shared" si="2"/>
        <v/>
      </c>
      <c r="I8" s="16"/>
      <c r="J8" s="17"/>
      <c r="K8" s="17"/>
      <c r="L8" s="15" t="str">
        <f t="shared" si="6"/>
        <v/>
      </c>
      <c r="M8" s="15" t="str">
        <f t="shared" si="7"/>
        <v/>
      </c>
      <c r="N8" s="15" t="str">
        <f t="shared" si="8"/>
        <v/>
      </c>
      <c r="O8" s="18" t="str">
        <f>IF(SUMIFS('Monthly NSE Equity Futures'!$I:$I,'Monthly NSE Equity Futures'!$A:$A,$A8)=0,"",SUMIFS('Monthly NSE Equity Futures'!$I:$I,'Monthly NSE Equity Futures'!$A:$A,$A8))</f>
        <v/>
      </c>
      <c r="P8" s="7">
        <f>IF(SUMIFS('Monthly BSE Equity Futures'!$I:$I,'Monthly BSE Equity Futures'!$A:$A,$A8)=0,"",SUMIFS('Monthly BSE Equity Futures'!$I:$I,'Monthly BSE Equity Futures'!$A:$A,$A8))</f>
        <v>10</v>
      </c>
      <c r="Q8" s="7" t="str">
        <f t="shared" si="3"/>
        <v/>
      </c>
      <c r="R8" s="19" t="str">
        <f t="shared" si="4"/>
        <v/>
      </c>
      <c r="S8" s="19" t="str">
        <f t="shared" si="5"/>
        <v/>
      </c>
    </row>
    <row r="9" spans="1:19" x14ac:dyDescent="0.2">
      <c r="A9" s="8">
        <v>38200</v>
      </c>
      <c r="B9" s="4" t="s">
        <v>75</v>
      </c>
      <c r="C9" s="4" t="s">
        <v>110</v>
      </c>
      <c r="D9" s="14" t="str">
        <f>IF(SUMIFS('Monthly NSE Equity Futures'!$H:$H,'Monthly NSE Equity Futures'!$A:$A,$A9)=0,"",SUMIFS('Monthly NSE Equity Futures'!$H:$H,'Monthly NSE Equity Futures'!$A:$A,$A9))</f>
        <v/>
      </c>
      <c r="E9" s="6" t="str">
        <f>IF(SUMIFS('Monthly BSE Equity Futures'!$H:$H,'Monthly BSE Equity Futures'!$A:$A,$A9)=0,"",SUMIFS('Monthly BSE Equity Futures'!$H:$H,'Monthly BSE Equity Futures'!$A:$A,$A9))</f>
        <v/>
      </c>
      <c r="F9" s="6" t="str">
        <f t="shared" si="0"/>
        <v/>
      </c>
      <c r="G9" s="15" t="str">
        <f t="shared" si="1"/>
        <v/>
      </c>
      <c r="H9" s="15" t="str">
        <f t="shared" si="2"/>
        <v/>
      </c>
      <c r="I9" s="16"/>
      <c r="J9" s="17"/>
      <c r="K9" s="17"/>
      <c r="L9" s="15" t="str">
        <f t="shared" si="6"/>
        <v/>
      </c>
      <c r="M9" s="15" t="str">
        <f t="shared" si="7"/>
        <v/>
      </c>
      <c r="N9" s="15" t="str">
        <f t="shared" si="8"/>
        <v/>
      </c>
      <c r="O9" s="18" t="str">
        <f>IF(SUMIFS('Monthly NSE Equity Futures'!$I:$I,'Monthly NSE Equity Futures'!$A:$A,$A9)=0,"",SUMIFS('Monthly NSE Equity Futures'!$I:$I,'Monthly NSE Equity Futures'!$A:$A,$A9))</f>
        <v/>
      </c>
      <c r="P9" s="7" t="str">
        <f>IF(SUMIFS('Monthly BSE Equity Futures'!$I:$I,'Monthly BSE Equity Futures'!$A:$A,$A9)=0,"",SUMIFS('Monthly BSE Equity Futures'!$I:$I,'Monthly BSE Equity Futures'!$A:$A,$A9))</f>
        <v/>
      </c>
      <c r="Q9" s="7" t="str">
        <f t="shared" si="3"/>
        <v/>
      </c>
      <c r="R9" s="19" t="str">
        <f t="shared" si="4"/>
        <v/>
      </c>
      <c r="S9" s="19" t="str">
        <f t="shared" si="5"/>
        <v/>
      </c>
    </row>
    <row r="10" spans="1:19" x14ac:dyDescent="0.2">
      <c r="A10" s="8">
        <v>38231</v>
      </c>
      <c r="B10" s="4" t="s">
        <v>75</v>
      </c>
      <c r="C10" s="4" t="s">
        <v>110</v>
      </c>
      <c r="D10" s="14" t="str">
        <f>IF(SUMIFS('Monthly NSE Equity Futures'!$H:$H,'Monthly NSE Equity Futures'!$A:$A,$A10)=0,"",SUMIFS('Monthly NSE Equity Futures'!$H:$H,'Monthly NSE Equity Futures'!$A:$A,$A10))</f>
        <v/>
      </c>
      <c r="E10" s="6">
        <f>IF(SUMIFS('Monthly BSE Equity Futures'!$H:$H,'Monthly BSE Equity Futures'!$A:$A,$A10)=0,"",SUMIFS('Monthly BSE Equity Futures'!$H:$H,'Monthly BSE Equity Futures'!$A:$A,$A10))</f>
        <v>8.6616999999999997</v>
      </c>
      <c r="F10" s="6" t="str">
        <f t="shared" si="0"/>
        <v/>
      </c>
      <c r="G10" s="15" t="str">
        <f t="shared" si="1"/>
        <v/>
      </c>
      <c r="H10" s="15" t="str">
        <f t="shared" si="2"/>
        <v/>
      </c>
      <c r="I10" s="16"/>
      <c r="J10" s="17"/>
      <c r="K10" s="17"/>
      <c r="L10" s="15" t="str">
        <f t="shared" si="6"/>
        <v/>
      </c>
      <c r="M10" s="15" t="str">
        <f t="shared" si="7"/>
        <v/>
      </c>
      <c r="N10" s="15" t="str">
        <f t="shared" si="8"/>
        <v/>
      </c>
      <c r="O10" s="18" t="str">
        <f>IF(SUMIFS('Monthly NSE Equity Futures'!$I:$I,'Monthly NSE Equity Futures'!$A:$A,$A10)=0,"",SUMIFS('Monthly NSE Equity Futures'!$I:$I,'Monthly NSE Equity Futures'!$A:$A,$A10))</f>
        <v/>
      </c>
      <c r="P10" s="7">
        <f>IF(SUMIFS('Monthly BSE Equity Futures'!$I:$I,'Monthly BSE Equity Futures'!$A:$A,$A10)=0,"",SUMIFS('Monthly BSE Equity Futures'!$I:$I,'Monthly BSE Equity Futures'!$A:$A,$A10))</f>
        <v>31542</v>
      </c>
      <c r="Q10" s="7" t="str">
        <f t="shared" si="3"/>
        <v/>
      </c>
      <c r="R10" s="19" t="str">
        <f t="shared" si="4"/>
        <v/>
      </c>
      <c r="S10" s="19" t="str">
        <f t="shared" si="5"/>
        <v/>
      </c>
    </row>
    <row r="11" spans="1:19" x14ac:dyDescent="0.2">
      <c r="A11" s="8">
        <v>38261</v>
      </c>
      <c r="B11" s="4" t="s">
        <v>75</v>
      </c>
      <c r="C11" s="4" t="s">
        <v>111</v>
      </c>
      <c r="D11" s="14" t="str">
        <f>IF(SUMIFS('Monthly NSE Equity Futures'!$H:$H,'Monthly NSE Equity Futures'!$A:$A,$A11)=0,"",SUMIFS('Monthly NSE Equity Futures'!$H:$H,'Monthly NSE Equity Futures'!$A:$A,$A11))</f>
        <v/>
      </c>
      <c r="E11" s="6">
        <f>IF(SUMIFS('Monthly BSE Equity Futures'!$H:$H,'Monthly BSE Equity Futures'!$A:$A,$A11)=0,"",SUMIFS('Monthly BSE Equity Futures'!$H:$H,'Monthly BSE Equity Futures'!$A:$A,$A11))</f>
        <v>27.7622</v>
      </c>
      <c r="F11" s="6" t="str">
        <f t="shared" si="0"/>
        <v/>
      </c>
      <c r="G11" s="15" t="str">
        <f t="shared" si="1"/>
        <v/>
      </c>
      <c r="H11" s="15" t="str">
        <f t="shared" si="2"/>
        <v/>
      </c>
      <c r="I11" s="16"/>
      <c r="J11" s="17"/>
      <c r="K11" s="17"/>
      <c r="L11" s="15" t="str">
        <f t="shared" si="6"/>
        <v/>
      </c>
      <c r="M11" s="15">
        <f t="shared" si="7"/>
        <v>2.2051675768036301</v>
      </c>
      <c r="N11" s="15" t="str">
        <f t="shared" si="8"/>
        <v/>
      </c>
      <c r="O11" s="18" t="str">
        <f>IF(SUMIFS('Monthly NSE Equity Futures'!$I:$I,'Monthly NSE Equity Futures'!$A:$A,$A11)=0,"",SUMIFS('Monthly NSE Equity Futures'!$I:$I,'Monthly NSE Equity Futures'!$A:$A,$A11))</f>
        <v/>
      </c>
      <c r="P11" s="7">
        <f>IF(SUMIFS('Monthly BSE Equity Futures'!$I:$I,'Monthly BSE Equity Futures'!$A:$A,$A11)=0,"",SUMIFS('Monthly BSE Equity Futures'!$I:$I,'Monthly BSE Equity Futures'!$A:$A,$A11))</f>
        <v>97405</v>
      </c>
      <c r="Q11" s="7" t="str">
        <f t="shared" si="3"/>
        <v/>
      </c>
      <c r="R11" s="19" t="str">
        <f t="shared" si="4"/>
        <v/>
      </c>
      <c r="S11" s="19" t="str">
        <f t="shared" si="5"/>
        <v/>
      </c>
    </row>
    <row r="12" spans="1:19" x14ac:dyDescent="0.2">
      <c r="A12" s="8">
        <v>38292</v>
      </c>
      <c r="B12" s="4" t="s">
        <v>75</v>
      </c>
      <c r="C12" s="4" t="s">
        <v>111</v>
      </c>
      <c r="D12" s="14" t="str">
        <f>IF(SUMIFS('Monthly NSE Equity Futures'!$H:$H,'Monthly NSE Equity Futures'!$A:$A,$A12)=0,"",SUMIFS('Monthly NSE Equity Futures'!$H:$H,'Monthly NSE Equity Futures'!$A:$A,$A12))</f>
        <v/>
      </c>
      <c r="E12" s="6">
        <f>IF(SUMIFS('Monthly BSE Equity Futures'!$H:$H,'Monthly BSE Equity Futures'!$A:$A,$A12)=0,"",SUMIFS('Monthly BSE Equity Futures'!$H:$H,'Monthly BSE Equity Futures'!$A:$A,$A12))</f>
        <v>42.130099999999999</v>
      </c>
      <c r="F12" s="6" t="str">
        <f t="shared" si="0"/>
        <v/>
      </c>
      <c r="G12" s="15" t="str">
        <f t="shared" si="1"/>
        <v/>
      </c>
      <c r="H12" s="15" t="str">
        <f t="shared" si="2"/>
        <v/>
      </c>
      <c r="I12" s="16"/>
      <c r="J12" s="17"/>
      <c r="K12" s="17"/>
      <c r="L12" s="15" t="str">
        <f t="shared" si="6"/>
        <v/>
      </c>
      <c r="M12" s="15">
        <f t="shared" si="7"/>
        <v>0.51753463342242334</v>
      </c>
      <c r="N12" s="15" t="str">
        <f t="shared" si="8"/>
        <v/>
      </c>
      <c r="O12" s="18" t="str">
        <f>IF(SUMIFS('Monthly NSE Equity Futures'!$I:$I,'Monthly NSE Equity Futures'!$A:$A,$A12)=0,"",SUMIFS('Monthly NSE Equity Futures'!$I:$I,'Monthly NSE Equity Futures'!$A:$A,$A12))</f>
        <v/>
      </c>
      <c r="P12" s="7">
        <f>IF(SUMIFS('Monthly BSE Equity Futures'!$I:$I,'Monthly BSE Equity Futures'!$A:$A,$A12)=0,"",SUMIFS('Monthly BSE Equity Futures'!$I:$I,'Monthly BSE Equity Futures'!$A:$A,$A12))</f>
        <v>141301</v>
      </c>
      <c r="Q12" s="7" t="str">
        <f t="shared" si="3"/>
        <v/>
      </c>
      <c r="R12" s="19" t="str">
        <f t="shared" si="4"/>
        <v/>
      </c>
      <c r="S12" s="19" t="str">
        <f t="shared" si="5"/>
        <v/>
      </c>
    </row>
    <row r="13" spans="1:19" x14ac:dyDescent="0.2">
      <c r="A13" s="8">
        <v>38322</v>
      </c>
      <c r="B13" s="4" t="s">
        <v>75</v>
      </c>
      <c r="C13" s="4" t="s">
        <v>111</v>
      </c>
      <c r="D13" s="14" t="str">
        <f>IF(SUMIFS('Monthly NSE Equity Futures'!$H:$H,'Monthly NSE Equity Futures'!$A:$A,$A13)=0,"",SUMIFS('Monthly NSE Equity Futures'!$H:$H,'Monthly NSE Equity Futures'!$A:$A,$A13))</f>
        <v/>
      </c>
      <c r="E13" s="6">
        <f>IF(SUMIFS('Monthly BSE Equity Futures'!$H:$H,'Monthly BSE Equity Futures'!$A:$A,$A13)=0,"",SUMIFS('Monthly BSE Equity Futures'!$H:$H,'Monthly BSE Equity Futures'!$A:$A,$A13))</f>
        <v>45.048000000000002</v>
      </c>
      <c r="F13" s="6" t="str">
        <f t="shared" si="0"/>
        <v/>
      </c>
      <c r="G13" s="15" t="str">
        <f t="shared" si="1"/>
        <v/>
      </c>
      <c r="H13" s="15" t="str">
        <f t="shared" si="2"/>
        <v/>
      </c>
      <c r="I13" s="16"/>
      <c r="J13" s="17"/>
      <c r="K13" s="17"/>
      <c r="L13" s="15" t="str">
        <f t="shared" si="6"/>
        <v/>
      </c>
      <c r="M13" s="15">
        <f t="shared" si="7"/>
        <v>6.9259270687703101E-2</v>
      </c>
      <c r="N13" s="15" t="str">
        <f t="shared" si="8"/>
        <v/>
      </c>
      <c r="O13" s="18" t="str">
        <f>IF(SUMIFS('Monthly NSE Equity Futures'!$I:$I,'Monthly NSE Equity Futures'!$A:$A,$A13)=0,"",SUMIFS('Monthly NSE Equity Futures'!$I:$I,'Monthly NSE Equity Futures'!$A:$A,$A13))</f>
        <v/>
      </c>
      <c r="P13" s="7">
        <f>IF(SUMIFS('Monthly BSE Equity Futures'!$I:$I,'Monthly BSE Equity Futures'!$A:$A,$A13)=0,"",SUMIFS('Monthly BSE Equity Futures'!$I:$I,'Monthly BSE Equity Futures'!$A:$A,$A13))</f>
        <v>141133</v>
      </c>
      <c r="Q13" s="7" t="str">
        <f t="shared" si="3"/>
        <v/>
      </c>
      <c r="R13" s="19" t="str">
        <f t="shared" si="4"/>
        <v/>
      </c>
      <c r="S13" s="19" t="str">
        <f t="shared" si="5"/>
        <v/>
      </c>
    </row>
    <row r="14" spans="1:19" x14ac:dyDescent="0.2">
      <c r="A14" s="8">
        <v>38353</v>
      </c>
      <c r="B14" s="4" t="s">
        <v>75</v>
      </c>
      <c r="C14" s="4" t="s">
        <v>112</v>
      </c>
      <c r="D14" s="14" t="str">
        <f>IF(SUMIFS('Monthly NSE Equity Futures'!$H:$H,'Monthly NSE Equity Futures'!$A:$A,$A14)=0,"",SUMIFS('Monthly NSE Equity Futures'!$H:$H,'Monthly NSE Equity Futures'!$A:$A,$A14))</f>
        <v/>
      </c>
      <c r="E14" s="6">
        <f>IF(SUMIFS('Monthly BSE Equity Futures'!$H:$H,'Monthly BSE Equity Futures'!$A:$A,$A14)=0,"",SUMIFS('Monthly BSE Equity Futures'!$H:$H,'Monthly BSE Equity Futures'!$A:$A,$A14))</f>
        <v>11.1418</v>
      </c>
      <c r="F14" s="6" t="str">
        <f t="shared" si="0"/>
        <v/>
      </c>
      <c r="G14" s="15" t="str">
        <f t="shared" si="1"/>
        <v/>
      </c>
      <c r="H14" s="15" t="str">
        <f t="shared" si="2"/>
        <v/>
      </c>
      <c r="I14" s="20" t="str">
        <f t="shared" ref="I14:I77" si="9">IF(OR(D14="",D2=""),"",D14/D2-1)</f>
        <v/>
      </c>
      <c r="J14" s="15">
        <f t="shared" ref="J14:J77" si="10">IF(OR(E14="",E2=""),"",E14/E2-1)</f>
        <v>-0.69981382842578599</v>
      </c>
      <c r="K14" s="15" t="str">
        <f t="shared" ref="K14:K77" si="11">IF(OR(F14="",F2=""),"",F14/F2-1)</f>
        <v/>
      </c>
      <c r="L14" s="15" t="str">
        <f t="shared" si="6"/>
        <v/>
      </c>
      <c r="M14" s="15">
        <f t="shared" si="7"/>
        <v>-0.75266826496181849</v>
      </c>
      <c r="N14" s="15" t="str">
        <f t="shared" si="8"/>
        <v/>
      </c>
      <c r="O14" s="18" t="str">
        <f>IF(SUMIFS('Monthly NSE Equity Futures'!$I:$I,'Monthly NSE Equity Futures'!$A:$A,$A14)=0,"",SUMIFS('Monthly NSE Equity Futures'!$I:$I,'Monthly NSE Equity Futures'!$A:$A,$A14))</f>
        <v/>
      </c>
      <c r="P14" s="7">
        <f>IF(SUMIFS('Monthly BSE Equity Futures'!$I:$I,'Monthly BSE Equity Futures'!$A:$A,$A14)=0,"",SUMIFS('Monthly BSE Equity Futures'!$I:$I,'Monthly BSE Equity Futures'!$A:$A,$A14))</f>
        <v>34556</v>
      </c>
      <c r="Q14" s="7" t="str">
        <f t="shared" si="3"/>
        <v/>
      </c>
      <c r="R14" s="19" t="str">
        <f t="shared" si="4"/>
        <v/>
      </c>
      <c r="S14" s="19" t="str">
        <f t="shared" si="5"/>
        <v/>
      </c>
    </row>
    <row r="15" spans="1:19" x14ac:dyDescent="0.2">
      <c r="A15" s="8">
        <v>38384</v>
      </c>
      <c r="B15" s="4" t="s">
        <v>75</v>
      </c>
      <c r="C15" s="4" t="s">
        <v>112</v>
      </c>
      <c r="D15" s="14" t="str">
        <f>IF(SUMIFS('Monthly NSE Equity Futures'!$H:$H,'Monthly NSE Equity Futures'!$A:$A,$A15)=0,"",SUMIFS('Monthly NSE Equity Futures'!$H:$H,'Monthly NSE Equity Futures'!$A:$A,$A15))</f>
        <v/>
      </c>
      <c r="E15" s="6">
        <f>IF(SUMIFS('Monthly BSE Equity Futures'!$H:$H,'Monthly BSE Equity Futures'!$A:$A,$A15)=0,"",SUMIFS('Monthly BSE Equity Futures'!$H:$H,'Monthly BSE Equity Futures'!$A:$A,$A15))</f>
        <v>1.5545</v>
      </c>
      <c r="F15" s="6" t="str">
        <f t="shared" si="0"/>
        <v/>
      </c>
      <c r="G15" s="15" t="str">
        <f t="shared" si="1"/>
        <v/>
      </c>
      <c r="H15" s="15" t="str">
        <f t="shared" si="2"/>
        <v/>
      </c>
      <c r="I15" s="20" t="str">
        <f t="shared" si="9"/>
        <v/>
      </c>
      <c r="J15" s="15">
        <f t="shared" si="10"/>
        <v>-0.75469852140569027</v>
      </c>
      <c r="K15" s="15" t="str">
        <f t="shared" si="11"/>
        <v/>
      </c>
      <c r="L15" s="15" t="str">
        <f t="shared" si="6"/>
        <v/>
      </c>
      <c r="M15" s="15">
        <f t="shared" si="7"/>
        <v>-0.86048035326428407</v>
      </c>
      <c r="N15" s="15" t="str">
        <f t="shared" si="8"/>
        <v/>
      </c>
      <c r="O15" s="18" t="str">
        <f>IF(SUMIFS('Monthly NSE Equity Futures'!$I:$I,'Monthly NSE Equity Futures'!$A:$A,$A15)=0,"",SUMIFS('Monthly NSE Equity Futures'!$I:$I,'Monthly NSE Equity Futures'!$A:$A,$A15))</f>
        <v/>
      </c>
      <c r="P15" s="7">
        <f>IF(SUMIFS('Monthly BSE Equity Futures'!$I:$I,'Monthly BSE Equity Futures'!$A:$A,$A15)=0,"",SUMIFS('Monthly BSE Equity Futures'!$I:$I,'Monthly BSE Equity Futures'!$A:$A,$A15))</f>
        <v>4714</v>
      </c>
      <c r="Q15" s="7" t="str">
        <f t="shared" si="3"/>
        <v/>
      </c>
      <c r="R15" s="19" t="str">
        <f t="shared" si="4"/>
        <v/>
      </c>
      <c r="S15" s="19" t="str">
        <f t="shared" si="5"/>
        <v/>
      </c>
    </row>
    <row r="16" spans="1:19" x14ac:dyDescent="0.2">
      <c r="A16" s="8">
        <v>38412</v>
      </c>
      <c r="B16" s="4" t="s">
        <v>75</v>
      </c>
      <c r="C16" s="4" t="s">
        <v>112</v>
      </c>
      <c r="D16" s="14" t="str">
        <f>IF(SUMIFS('Monthly NSE Equity Futures'!$H:$H,'Monthly NSE Equity Futures'!$A:$A,$A16)=0,"",SUMIFS('Monthly NSE Equity Futures'!$H:$H,'Monthly NSE Equity Futures'!$A:$A,$A16))</f>
        <v/>
      </c>
      <c r="E16" s="6">
        <f>IF(SUMIFS('Monthly BSE Equity Futures'!$H:$H,'Monthly BSE Equity Futures'!$A:$A,$A16)=0,"",SUMIFS('Monthly BSE Equity Futures'!$H:$H,'Monthly BSE Equity Futures'!$A:$A,$A16))</f>
        <v>0.58799999999999997</v>
      </c>
      <c r="F16" s="6" t="str">
        <f t="shared" si="0"/>
        <v/>
      </c>
      <c r="G16" s="15" t="str">
        <f t="shared" si="1"/>
        <v/>
      </c>
      <c r="H16" s="15" t="str">
        <f t="shared" si="2"/>
        <v/>
      </c>
      <c r="I16" s="20" t="str">
        <f t="shared" si="9"/>
        <v/>
      </c>
      <c r="J16" s="15">
        <f t="shared" si="10"/>
        <v>-0.85920551684505431</v>
      </c>
      <c r="K16" s="15" t="str">
        <f t="shared" si="11"/>
        <v/>
      </c>
      <c r="L16" s="15" t="str">
        <f t="shared" si="6"/>
        <v/>
      </c>
      <c r="M16" s="15">
        <f t="shared" si="7"/>
        <v>-0.62174332582824055</v>
      </c>
      <c r="N16" s="15" t="str">
        <f t="shared" si="8"/>
        <v/>
      </c>
      <c r="O16" s="18" t="str">
        <f>IF(SUMIFS('Monthly NSE Equity Futures'!$I:$I,'Monthly NSE Equity Futures'!$A:$A,$A16)=0,"",SUMIFS('Monthly NSE Equity Futures'!$I:$I,'Monthly NSE Equity Futures'!$A:$A,$A16))</f>
        <v/>
      </c>
      <c r="P16" s="7">
        <f>IF(SUMIFS('Monthly BSE Equity Futures'!$I:$I,'Monthly BSE Equity Futures'!$A:$A,$A16)=0,"",SUMIFS('Monthly BSE Equity Futures'!$I:$I,'Monthly BSE Equity Futures'!$A:$A,$A16))</f>
        <v>1656</v>
      </c>
      <c r="Q16" s="7" t="str">
        <f t="shared" si="3"/>
        <v/>
      </c>
      <c r="R16" s="19" t="str">
        <f t="shared" si="4"/>
        <v/>
      </c>
      <c r="S16" s="19" t="str">
        <f t="shared" si="5"/>
        <v/>
      </c>
    </row>
    <row r="17" spans="1:19" x14ac:dyDescent="0.2">
      <c r="A17" s="8">
        <v>38443</v>
      </c>
      <c r="B17" s="4" t="s">
        <v>76</v>
      </c>
      <c r="C17" s="4" t="s">
        <v>113</v>
      </c>
      <c r="D17" s="14" t="str">
        <f>IF(SUMIFS('Monthly NSE Equity Futures'!$H:$H,'Monthly NSE Equity Futures'!$A:$A,$A17)=0,"",SUMIFS('Monthly NSE Equity Futures'!$H:$H,'Monthly NSE Equity Futures'!$A:$A,$A17))</f>
        <v/>
      </c>
      <c r="E17" s="6" t="str">
        <f>IF(SUMIFS('Monthly BSE Equity Futures'!$H:$H,'Monthly BSE Equity Futures'!$A:$A,$A17)=0,"",SUMIFS('Monthly BSE Equity Futures'!$H:$H,'Monthly BSE Equity Futures'!$A:$A,$A17))</f>
        <v/>
      </c>
      <c r="F17" s="6" t="str">
        <f t="shared" si="0"/>
        <v/>
      </c>
      <c r="G17" s="15" t="str">
        <f t="shared" si="1"/>
        <v/>
      </c>
      <c r="H17" s="15" t="str">
        <f t="shared" si="2"/>
        <v/>
      </c>
      <c r="I17" s="20" t="str">
        <f t="shared" si="9"/>
        <v/>
      </c>
      <c r="J17" s="15" t="str">
        <f t="shared" si="10"/>
        <v/>
      </c>
      <c r="K17" s="15" t="str">
        <f t="shared" si="11"/>
        <v/>
      </c>
      <c r="L17" s="15" t="str">
        <f t="shared" si="6"/>
        <v/>
      </c>
      <c r="M17" s="15" t="str">
        <f t="shared" si="7"/>
        <v/>
      </c>
      <c r="N17" s="15" t="str">
        <f t="shared" si="8"/>
        <v/>
      </c>
      <c r="O17" s="18" t="str">
        <f>IF(SUMIFS('Monthly NSE Equity Futures'!$I:$I,'Monthly NSE Equity Futures'!$A:$A,$A17)=0,"",SUMIFS('Monthly NSE Equity Futures'!$I:$I,'Monthly NSE Equity Futures'!$A:$A,$A17))</f>
        <v/>
      </c>
      <c r="P17" s="7" t="str">
        <f>IF(SUMIFS('Monthly BSE Equity Futures'!$I:$I,'Monthly BSE Equity Futures'!$A:$A,$A17)=0,"",SUMIFS('Monthly BSE Equity Futures'!$I:$I,'Monthly BSE Equity Futures'!$A:$A,$A17))</f>
        <v/>
      </c>
      <c r="Q17" s="7" t="str">
        <f t="shared" si="3"/>
        <v/>
      </c>
      <c r="R17" s="19" t="str">
        <f t="shared" si="4"/>
        <v/>
      </c>
      <c r="S17" s="19" t="str">
        <f t="shared" si="5"/>
        <v/>
      </c>
    </row>
    <row r="18" spans="1:19" x14ac:dyDescent="0.2">
      <c r="A18" s="8">
        <v>38473</v>
      </c>
      <c r="B18" s="4" t="s">
        <v>76</v>
      </c>
      <c r="C18" s="4" t="s">
        <v>113</v>
      </c>
      <c r="D18" s="14" t="str">
        <f>IF(SUMIFS('Monthly NSE Equity Futures'!$H:$H,'Monthly NSE Equity Futures'!$A:$A,$A18)=0,"",SUMIFS('Monthly NSE Equity Futures'!$H:$H,'Monthly NSE Equity Futures'!$A:$A,$A18))</f>
        <v/>
      </c>
      <c r="E18" s="6" t="str">
        <f>IF(SUMIFS('Monthly BSE Equity Futures'!$H:$H,'Monthly BSE Equity Futures'!$A:$A,$A18)=0,"",SUMIFS('Monthly BSE Equity Futures'!$H:$H,'Monthly BSE Equity Futures'!$A:$A,$A18))</f>
        <v/>
      </c>
      <c r="F18" s="6" t="str">
        <f t="shared" si="0"/>
        <v/>
      </c>
      <c r="G18" s="15" t="str">
        <f t="shared" si="1"/>
        <v/>
      </c>
      <c r="H18" s="15" t="str">
        <f t="shared" si="2"/>
        <v/>
      </c>
      <c r="I18" s="20" t="str">
        <f t="shared" si="9"/>
        <v/>
      </c>
      <c r="J18" s="15" t="str">
        <f t="shared" si="10"/>
        <v/>
      </c>
      <c r="K18" s="15" t="str">
        <f t="shared" si="11"/>
        <v/>
      </c>
      <c r="L18" s="15" t="str">
        <f t="shared" si="6"/>
        <v/>
      </c>
      <c r="M18" s="15" t="str">
        <f t="shared" si="7"/>
        <v/>
      </c>
      <c r="N18" s="15" t="str">
        <f t="shared" si="8"/>
        <v/>
      </c>
      <c r="O18" s="18" t="str">
        <f>IF(SUMIFS('Monthly NSE Equity Futures'!$I:$I,'Monthly NSE Equity Futures'!$A:$A,$A18)=0,"",SUMIFS('Monthly NSE Equity Futures'!$I:$I,'Monthly NSE Equity Futures'!$A:$A,$A18))</f>
        <v/>
      </c>
      <c r="P18" s="7" t="str">
        <f>IF(SUMIFS('Monthly BSE Equity Futures'!$I:$I,'Monthly BSE Equity Futures'!$A:$A,$A18)=0,"",SUMIFS('Monthly BSE Equity Futures'!$I:$I,'Monthly BSE Equity Futures'!$A:$A,$A18))</f>
        <v/>
      </c>
      <c r="Q18" s="7" t="str">
        <f t="shared" si="3"/>
        <v/>
      </c>
      <c r="R18" s="19" t="str">
        <f t="shared" si="4"/>
        <v/>
      </c>
      <c r="S18" s="19" t="str">
        <f t="shared" si="5"/>
        <v/>
      </c>
    </row>
    <row r="19" spans="1:19" x14ac:dyDescent="0.2">
      <c r="A19" s="8">
        <v>38504</v>
      </c>
      <c r="B19" s="4" t="s">
        <v>76</v>
      </c>
      <c r="C19" s="4" t="s">
        <v>113</v>
      </c>
      <c r="D19" s="14" t="str">
        <f>IF(SUMIFS('Monthly NSE Equity Futures'!$H:$H,'Monthly NSE Equity Futures'!$A:$A,$A19)=0,"",SUMIFS('Monthly NSE Equity Futures'!$H:$H,'Monthly NSE Equity Futures'!$A:$A,$A19))</f>
        <v/>
      </c>
      <c r="E19" s="6" t="str">
        <f>IF(SUMIFS('Monthly BSE Equity Futures'!$H:$H,'Monthly BSE Equity Futures'!$A:$A,$A19)=0,"",SUMIFS('Monthly BSE Equity Futures'!$H:$H,'Monthly BSE Equity Futures'!$A:$A,$A19))</f>
        <v/>
      </c>
      <c r="F19" s="6" t="str">
        <f t="shared" si="0"/>
        <v/>
      </c>
      <c r="G19" s="15" t="str">
        <f t="shared" si="1"/>
        <v/>
      </c>
      <c r="H19" s="15" t="str">
        <f t="shared" si="2"/>
        <v/>
      </c>
      <c r="I19" s="20" t="str">
        <f t="shared" si="9"/>
        <v/>
      </c>
      <c r="J19" s="15" t="str">
        <f t="shared" si="10"/>
        <v/>
      </c>
      <c r="K19" s="15" t="str">
        <f t="shared" si="11"/>
        <v/>
      </c>
      <c r="L19" s="15" t="str">
        <f t="shared" si="6"/>
        <v/>
      </c>
      <c r="M19" s="15" t="str">
        <f t="shared" si="7"/>
        <v/>
      </c>
      <c r="N19" s="15" t="str">
        <f t="shared" si="8"/>
        <v/>
      </c>
      <c r="O19" s="18" t="str">
        <f>IF(SUMIFS('Monthly NSE Equity Futures'!$I:$I,'Monthly NSE Equity Futures'!$A:$A,$A19)=0,"",SUMIFS('Monthly NSE Equity Futures'!$I:$I,'Monthly NSE Equity Futures'!$A:$A,$A19))</f>
        <v/>
      </c>
      <c r="P19" s="7" t="str">
        <f>IF(SUMIFS('Monthly BSE Equity Futures'!$I:$I,'Monthly BSE Equity Futures'!$A:$A,$A19)=0,"",SUMIFS('Monthly BSE Equity Futures'!$I:$I,'Monthly BSE Equity Futures'!$A:$A,$A19))</f>
        <v/>
      </c>
      <c r="Q19" s="7" t="str">
        <f t="shared" si="3"/>
        <v/>
      </c>
      <c r="R19" s="19" t="str">
        <f t="shared" si="4"/>
        <v/>
      </c>
      <c r="S19" s="19" t="str">
        <f t="shared" si="5"/>
        <v/>
      </c>
    </row>
    <row r="20" spans="1:19" x14ac:dyDescent="0.2">
      <c r="A20" s="8">
        <v>38534</v>
      </c>
      <c r="B20" s="4" t="s">
        <v>76</v>
      </c>
      <c r="C20" s="4" t="s">
        <v>114</v>
      </c>
      <c r="D20" s="14" t="str">
        <f>IF(SUMIFS('Monthly NSE Equity Futures'!$H:$H,'Monthly NSE Equity Futures'!$A:$A,$A20)=0,"",SUMIFS('Monthly NSE Equity Futures'!$H:$H,'Monthly NSE Equity Futures'!$A:$A,$A20))</f>
        <v/>
      </c>
      <c r="E20" s="6" t="str">
        <f>IF(SUMIFS('Monthly BSE Equity Futures'!$H:$H,'Monthly BSE Equity Futures'!$A:$A,$A20)=0,"",SUMIFS('Monthly BSE Equity Futures'!$H:$H,'Monthly BSE Equity Futures'!$A:$A,$A20))</f>
        <v/>
      </c>
      <c r="F20" s="6" t="str">
        <f t="shared" si="0"/>
        <v/>
      </c>
      <c r="G20" s="15" t="str">
        <f t="shared" si="1"/>
        <v/>
      </c>
      <c r="H20" s="15" t="str">
        <f t="shared" si="2"/>
        <v/>
      </c>
      <c r="I20" s="20" t="str">
        <f t="shared" si="9"/>
        <v/>
      </c>
      <c r="J20" s="15" t="str">
        <f t="shared" si="10"/>
        <v/>
      </c>
      <c r="K20" s="15" t="str">
        <f t="shared" si="11"/>
        <v/>
      </c>
      <c r="L20" s="15" t="str">
        <f t="shared" si="6"/>
        <v/>
      </c>
      <c r="M20" s="15" t="str">
        <f t="shared" si="7"/>
        <v/>
      </c>
      <c r="N20" s="15" t="str">
        <f t="shared" si="8"/>
        <v/>
      </c>
      <c r="O20" s="18" t="str">
        <f>IF(SUMIFS('Monthly NSE Equity Futures'!$I:$I,'Monthly NSE Equity Futures'!$A:$A,$A20)=0,"",SUMIFS('Monthly NSE Equity Futures'!$I:$I,'Monthly NSE Equity Futures'!$A:$A,$A20))</f>
        <v/>
      </c>
      <c r="P20" s="7" t="str">
        <f>IF(SUMIFS('Monthly BSE Equity Futures'!$I:$I,'Monthly BSE Equity Futures'!$A:$A,$A20)=0,"",SUMIFS('Monthly BSE Equity Futures'!$I:$I,'Monthly BSE Equity Futures'!$A:$A,$A20))</f>
        <v/>
      </c>
      <c r="Q20" s="7" t="str">
        <f t="shared" si="3"/>
        <v/>
      </c>
      <c r="R20" s="19" t="str">
        <f t="shared" si="4"/>
        <v/>
      </c>
      <c r="S20" s="19" t="str">
        <f t="shared" si="5"/>
        <v/>
      </c>
    </row>
    <row r="21" spans="1:19" x14ac:dyDescent="0.2">
      <c r="A21" s="8">
        <v>38565</v>
      </c>
      <c r="B21" s="4" t="s">
        <v>76</v>
      </c>
      <c r="C21" s="4" t="s">
        <v>114</v>
      </c>
      <c r="D21" s="14" t="str">
        <f>IF(SUMIFS('Monthly NSE Equity Futures'!$H:$H,'Monthly NSE Equity Futures'!$A:$A,$A21)=0,"",SUMIFS('Monthly NSE Equity Futures'!$H:$H,'Monthly NSE Equity Futures'!$A:$A,$A21))</f>
        <v/>
      </c>
      <c r="E21" s="6" t="str">
        <f>IF(SUMIFS('Monthly BSE Equity Futures'!$H:$H,'Monthly BSE Equity Futures'!$A:$A,$A21)=0,"",SUMIFS('Monthly BSE Equity Futures'!$H:$H,'Monthly BSE Equity Futures'!$A:$A,$A21))</f>
        <v/>
      </c>
      <c r="F21" s="6" t="str">
        <f t="shared" si="0"/>
        <v/>
      </c>
      <c r="G21" s="15" t="str">
        <f t="shared" si="1"/>
        <v/>
      </c>
      <c r="H21" s="15" t="str">
        <f t="shared" si="2"/>
        <v/>
      </c>
      <c r="I21" s="20" t="str">
        <f t="shared" si="9"/>
        <v/>
      </c>
      <c r="J21" s="15" t="str">
        <f t="shared" si="10"/>
        <v/>
      </c>
      <c r="K21" s="15" t="str">
        <f t="shared" si="11"/>
        <v/>
      </c>
      <c r="L21" s="15" t="str">
        <f t="shared" si="6"/>
        <v/>
      </c>
      <c r="M21" s="15" t="str">
        <f t="shared" si="7"/>
        <v/>
      </c>
      <c r="N21" s="15" t="str">
        <f t="shared" si="8"/>
        <v/>
      </c>
      <c r="O21" s="18" t="str">
        <f>IF(SUMIFS('Monthly NSE Equity Futures'!$I:$I,'Monthly NSE Equity Futures'!$A:$A,$A21)=0,"",SUMIFS('Monthly NSE Equity Futures'!$I:$I,'Monthly NSE Equity Futures'!$A:$A,$A21))</f>
        <v/>
      </c>
      <c r="P21" s="7" t="str">
        <f>IF(SUMIFS('Monthly BSE Equity Futures'!$I:$I,'Monthly BSE Equity Futures'!$A:$A,$A21)=0,"",SUMIFS('Monthly BSE Equity Futures'!$I:$I,'Monthly BSE Equity Futures'!$A:$A,$A21))</f>
        <v/>
      </c>
      <c r="Q21" s="7" t="str">
        <f t="shared" si="3"/>
        <v/>
      </c>
      <c r="R21" s="19" t="str">
        <f t="shared" si="4"/>
        <v/>
      </c>
      <c r="S21" s="19" t="str">
        <f t="shared" si="5"/>
        <v/>
      </c>
    </row>
    <row r="22" spans="1:19" x14ac:dyDescent="0.2">
      <c r="A22" s="8">
        <v>38596</v>
      </c>
      <c r="B22" s="4" t="s">
        <v>76</v>
      </c>
      <c r="C22" s="4" t="s">
        <v>114</v>
      </c>
      <c r="D22" s="14" t="str">
        <f>IF(SUMIFS('Monthly NSE Equity Futures'!$H:$H,'Monthly NSE Equity Futures'!$A:$A,$A22)=0,"",SUMIFS('Monthly NSE Equity Futures'!$H:$H,'Monthly NSE Equity Futures'!$A:$A,$A22))</f>
        <v/>
      </c>
      <c r="E22" s="6" t="str">
        <f>IF(SUMIFS('Monthly BSE Equity Futures'!$H:$H,'Monthly BSE Equity Futures'!$A:$A,$A22)=0,"",SUMIFS('Monthly BSE Equity Futures'!$H:$H,'Monthly BSE Equity Futures'!$A:$A,$A22))</f>
        <v/>
      </c>
      <c r="F22" s="6" t="str">
        <f t="shared" si="0"/>
        <v/>
      </c>
      <c r="G22" s="15" t="str">
        <f t="shared" si="1"/>
        <v/>
      </c>
      <c r="H22" s="15" t="str">
        <f t="shared" si="2"/>
        <v/>
      </c>
      <c r="I22" s="20" t="str">
        <f t="shared" si="9"/>
        <v/>
      </c>
      <c r="J22" s="15" t="str">
        <f t="shared" si="10"/>
        <v/>
      </c>
      <c r="K22" s="15" t="str">
        <f t="shared" si="11"/>
        <v/>
      </c>
      <c r="L22" s="15" t="str">
        <f t="shared" si="6"/>
        <v/>
      </c>
      <c r="M22" s="15" t="str">
        <f t="shared" si="7"/>
        <v/>
      </c>
      <c r="N22" s="15" t="str">
        <f t="shared" si="8"/>
        <v/>
      </c>
      <c r="O22" s="18" t="str">
        <f>IF(SUMIFS('Monthly NSE Equity Futures'!$I:$I,'Monthly NSE Equity Futures'!$A:$A,$A22)=0,"",SUMIFS('Monthly NSE Equity Futures'!$I:$I,'Monthly NSE Equity Futures'!$A:$A,$A22))</f>
        <v/>
      </c>
      <c r="P22" s="7" t="str">
        <f>IF(SUMIFS('Monthly BSE Equity Futures'!$I:$I,'Monthly BSE Equity Futures'!$A:$A,$A22)=0,"",SUMIFS('Monthly BSE Equity Futures'!$I:$I,'Monthly BSE Equity Futures'!$A:$A,$A22))</f>
        <v/>
      </c>
      <c r="Q22" s="7" t="str">
        <f t="shared" si="3"/>
        <v/>
      </c>
      <c r="R22" s="19" t="str">
        <f t="shared" si="4"/>
        <v/>
      </c>
      <c r="S22" s="19" t="str">
        <f t="shared" si="5"/>
        <v/>
      </c>
    </row>
    <row r="23" spans="1:19" x14ac:dyDescent="0.2">
      <c r="A23" s="8">
        <v>38626</v>
      </c>
      <c r="B23" s="4" t="s">
        <v>76</v>
      </c>
      <c r="C23" s="4" t="s">
        <v>115</v>
      </c>
      <c r="D23" s="14" t="str">
        <f>IF(SUMIFS('Monthly NSE Equity Futures'!$H:$H,'Monthly NSE Equity Futures'!$A:$A,$A23)=0,"",SUMIFS('Monthly NSE Equity Futures'!$H:$H,'Monthly NSE Equity Futures'!$A:$A,$A23))</f>
        <v/>
      </c>
      <c r="E23" s="6" t="str">
        <f>IF(SUMIFS('Monthly BSE Equity Futures'!$H:$H,'Monthly BSE Equity Futures'!$A:$A,$A23)=0,"",SUMIFS('Monthly BSE Equity Futures'!$H:$H,'Monthly BSE Equity Futures'!$A:$A,$A23))</f>
        <v/>
      </c>
      <c r="F23" s="6" t="str">
        <f t="shared" si="0"/>
        <v/>
      </c>
      <c r="G23" s="15" t="str">
        <f t="shared" si="1"/>
        <v/>
      </c>
      <c r="H23" s="15" t="str">
        <f t="shared" si="2"/>
        <v/>
      </c>
      <c r="I23" s="20" t="str">
        <f t="shared" si="9"/>
        <v/>
      </c>
      <c r="J23" s="15" t="str">
        <f t="shared" si="10"/>
        <v/>
      </c>
      <c r="K23" s="15" t="str">
        <f t="shared" si="11"/>
        <v/>
      </c>
      <c r="L23" s="15" t="str">
        <f t="shared" si="6"/>
        <v/>
      </c>
      <c r="M23" s="15" t="str">
        <f t="shared" si="7"/>
        <v/>
      </c>
      <c r="N23" s="15" t="str">
        <f t="shared" si="8"/>
        <v/>
      </c>
      <c r="O23" s="18" t="str">
        <f>IF(SUMIFS('Monthly NSE Equity Futures'!$I:$I,'Monthly NSE Equity Futures'!$A:$A,$A23)=0,"",SUMIFS('Monthly NSE Equity Futures'!$I:$I,'Monthly NSE Equity Futures'!$A:$A,$A23))</f>
        <v/>
      </c>
      <c r="P23" s="7" t="str">
        <f>IF(SUMIFS('Monthly BSE Equity Futures'!$I:$I,'Monthly BSE Equity Futures'!$A:$A,$A23)=0,"",SUMIFS('Monthly BSE Equity Futures'!$I:$I,'Monthly BSE Equity Futures'!$A:$A,$A23))</f>
        <v/>
      </c>
      <c r="Q23" s="7" t="str">
        <f t="shared" si="3"/>
        <v/>
      </c>
      <c r="R23" s="19" t="str">
        <f t="shared" si="4"/>
        <v/>
      </c>
      <c r="S23" s="19" t="str">
        <f t="shared" si="5"/>
        <v/>
      </c>
    </row>
    <row r="24" spans="1:19" x14ac:dyDescent="0.2">
      <c r="A24" s="8">
        <v>38657</v>
      </c>
      <c r="B24" s="4" t="s">
        <v>76</v>
      </c>
      <c r="C24" s="4" t="s">
        <v>115</v>
      </c>
      <c r="D24" s="14" t="str">
        <f>IF(SUMIFS('Monthly NSE Equity Futures'!$H:$H,'Monthly NSE Equity Futures'!$A:$A,$A24)=0,"",SUMIFS('Monthly NSE Equity Futures'!$H:$H,'Monthly NSE Equity Futures'!$A:$A,$A24))</f>
        <v/>
      </c>
      <c r="E24" s="6" t="str">
        <f>IF(SUMIFS('Monthly BSE Equity Futures'!$H:$H,'Monthly BSE Equity Futures'!$A:$A,$A24)=0,"",SUMIFS('Monthly BSE Equity Futures'!$H:$H,'Monthly BSE Equity Futures'!$A:$A,$A24))</f>
        <v/>
      </c>
      <c r="F24" s="6" t="str">
        <f t="shared" si="0"/>
        <v/>
      </c>
      <c r="G24" s="15" t="str">
        <f t="shared" si="1"/>
        <v/>
      </c>
      <c r="H24" s="15" t="str">
        <f t="shared" si="2"/>
        <v/>
      </c>
      <c r="I24" s="20" t="str">
        <f t="shared" si="9"/>
        <v/>
      </c>
      <c r="J24" s="15" t="str">
        <f t="shared" si="10"/>
        <v/>
      </c>
      <c r="K24" s="15" t="str">
        <f t="shared" si="11"/>
        <v/>
      </c>
      <c r="L24" s="15" t="str">
        <f t="shared" si="6"/>
        <v/>
      </c>
      <c r="M24" s="15" t="str">
        <f t="shared" si="7"/>
        <v/>
      </c>
      <c r="N24" s="15" t="str">
        <f t="shared" si="8"/>
        <v/>
      </c>
      <c r="O24" s="18" t="str">
        <f>IF(SUMIFS('Monthly NSE Equity Futures'!$I:$I,'Monthly NSE Equity Futures'!$A:$A,$A24)=0,"",SUMIFS('Monthly NSE Equity Futures'!$I:$I,'Monthly NSE Equity Futures'!$A:$A,$A24))</f>
        <v/>
      </c>
      <c r="P24" s="7" t="str">
        <f>IF(SUMIFS('Monthly BSE Equity Futures'!$I:$I,'Monthly BSE Equity Futures'!$A:$A,$A24)=0,"",SUMIFS('Monthly BSE Equity Futures'!$I:$I,'Monthly BSE Equity Futures'!$A:$A,$A24))</f>
        <v/>
      </c>
      <c r="Q24" s="7" t="str">
        <f t="shared" si="3"/>
        <v/>
      </c>
      <c r="R24" s="19" t="str">
        <f t="shared" si="4"/>
        <v/>
      </c>
      <c r="S24" s="19" t="str">
        <f t="shared" si="5"/>
        <v/>
      </c>
    </row>
    <row r="25" spans="1:19" x14ac:dyDescent="0.2">
      <c r="A25" s="8">
        <v>38687</v>
      </c>
      <c r="B25" s="4" t="s">
        <v>76</v>
      </c>
      <c r="C25" s="4" t="s">
        <v>115</v>
      </c>
      <c r="D25" s="14" t="str">
        <f>IF(SUMIFS('Monthly NSE Equity Futures'!$H:$H,'Monthly NSE Equity Futures'!$A:$A,$A25)=0,"",SUMIFS('Monthly NSE Equity Futures'!$H:$H,'Monthly NSE Equity Futures'!$A:$A,$A25))</f>
        <v/>
      </c>
      <c r="E25" s="6" t="str">
        <f>IF(SUMIFS('Monthly BSE Equity Futures'!$H:$H,'Monthly BSE Equity Futures'!$A:$A,$A25)=0,"",SUMIFS('Monthly BSE Equity Futures'!$H:$H,'Monthly BSE Equity Futures'!$A:$A,$A25))</f>
        <v/>
      </c>
      <c r="F25" s="6" t="str">
        <f t="shared" si="0"/>
        <v/>
      </c>
      <c r="G25" s="15" t="str">
        <f t="shared" si="1"/>
        <v/>
      </c>
      <c r="H25" s="15" t="str">
        <f t="shared" si="2"/>
        <v/>
      </c>
      <c r="I25" s="20" t="str">
        <f t="shared" si="9"/>
        <v/>
      </c>
      <c r="J25" s="15" t="str">
        <f t="shared" si="10"/>
        <v/>
      </c>
      <c r="K25" s="15" t="str">
        <f t="shared" si="11"/>
        <v/>
      </c>
      <c r="L25" s="15" t="str">
        <f t="shared" si="6"/>
        <v/>
      </c>
      <c r="M25" s="15" t="str">
        <f t="shared" si="7"/>
        <v/>
      </c>
      <c r="N25" s="15" t="str">
        <f t="shared" si="8"/>
        <v/>
      </c>
      <c r="O25" s="18" t="str">
        <f>IF(SUMIFS('Monthly NSE Equity Futures'!$I:$I,'Monthly NSE Equity Futures'!$A:$A,$A25)=0,"",SUMIFS('Monthly NSE Equity Futures'!$I:$I,'Monthly NSE Equity Futures'!$A:$A,$A25))</f>
        <v/>
      </c>
      <c r="P25" s="7" t="str">
        <f>IF(SUMIFS('Monthly BSE Equity Futures'!$I:$I,'Monthly BSE Equity Futures'!$A:$A,$A25)=0,"",SUMIFS('Monthly BSE Equity Futures'!$I:$I,'Monthly BSE Equity Futures'!$A:$A,$A25))</f>
        <v/>
      </c>
      <c r="Q25" s="7" t="str">
        <f t="shared" si="3"/>
        <v/>
      </c>
      <c r="R25" s="19" t="str">
        <f t="shared" si="4"/>
        <v/>
      </c>
      <c r="S25" s="19" t="str">
        <f t="shared" si="5"/>
        <v/>
      </c>
    </row>
    <row r="26" spans="1:19" x14ac:dyDescent="0.2">
      <c r="A26" s="8">
        <v>38718</v>
      </c>
      <c r="B26" s="4" t="s">
        <v>76</v>
      </c>
      <c r="C26" s="4" t="s">
        <v>116</v>
      </c>
      <c r="D26" s="14" t="str">
        <f>IF(SUMIFS('Monthly NSE Equity Futures'!$H:$H,'Monthly NSE Equity Futures'!$A:$A,$A26)=0,"",SUMIFS('Monthly NSE Equity Futures'!$H:$H,'Monthly NSE Equity Futures'!$A:$A,$A26))</f>
        <v/>
      </c>
      <c r="E26" s="6" t="str">
        <f>IF(SUMIFS('Monthly BSE Equity Futures'!$H:$H,'Monthly BSE Equity Futures'!$A:$A,$A26)=0,"",SUMIFS('Monthly BSE Equity Futures'!$H:$H,'Monthly BSE Equity Futures'!$A:$A,$A26))</f>
        <v/>
      </c>
      <c r="F26" s="6" t="str">
        <f t="shared" si="0"/>
        <v/>
      </c>
      <c r="G26" s="15" t="str">
        <f t="shared" si="1"/>
        <v/>
      </c>
      <c r="H26" s="15" t="str">
        <f t="shared" si="2"/>
        <v/>
      </c>
      <c r="I26" s="20" t="str">
        <f t="shared" si="9"/>
        <v/>
      </c>
      <c r="J26" s="15" t="str">
        <f t="shared" si="10"/>
        <v/>
      </c>
      <c r="K26" s="15" t="str">
        <f t="shared" si="11"/>
        <v/>
      </c>
      <c r="L26" s="15" t="str">
        <f t="shared" si="6"/>
        <v/>
      </c>
      <c r="M26" s="15" t="str">
        <f t="shared" si="7"/>
        <v/>
      </c>
      <c r="N26" s="15" t="str">
        <f t="shared" si="8"/>
        <v/>
      </c>
      <c r="O26" s="18" t="str">
        <f>IF(SUMIFS('Monthly NSE Equity Futures'!$I:$I,'Monthly NSE Equity Futures'!$A:$A,$A26)=0,"",SUMIFS('Monthly NSE Equity Futures'!$I:$I,'Monthly NSE Equity Futures'!$A:$A,$A26))</f>
        <v/>
      </c>
      <c r="P26" s="7" t="str">
        <f>IF(SUMIFS('Monthly BSE Equity Futures'!$I:$I,'Monthly BSE Equity Futures'!$A:$A,$A26)=0,"",SUMIFS('Monthly BSE Equity Futures'!$I:$I,'Monthly BSE Equity Futures'!$A:$A,$A26))</f>
        <v/>
      </c>
      <c r="Q26" s="7" t="str">
        <f t="shared" si="3"/>
        <v/>
      </c>
      <c r="R26" s="19" t="str">
        <f t="shared" si="4"/>
        <v/>
      </c>
      <c r="S26" s="19" t="str">
        <f t="shared" si="5"/>
        <v/>
      </c>
    </row>
    <row r="27" spans="1:19" x14ac:dyDescent="0.2">
      <c r="A27" s="8">
        <v>38749</v>
      </c>
      <c r="B27" s="4" t="s">
        <v>76</v>
      </c>
      <c r="C27" s="4" t="s">
        <v>116</v>
      </c>
      <c r="D27" s="14" t="str">
        <f>IF(SUMIFS('Monthly NSE Equity Futures'!$H:$H,'Monthly NSE Equity Futures'!$A:$A,$A27)=0,"",SUMIFS('Monthly NSE Equity Futures'!$H:$H,'Monthly NSE Equity Futures'!$A:$A,$A27))</f>
        <v/>
      </c>
      <c r="E27" s="6">
        <f>IF(SUMIFS('Monthly BSE Equity Futures'!$H:$H,'Monthly BSE Equity Futures'!$A:$A,$A27)=0,"",SUMIFS('Monthly BSE Equity Futures'!$H:$H,'Monthly BSE Equity Futures'!$A:$A,$A27))</f>
        <v>8.9999999999999998E-4</v>
      </c>
      <c r="F27" s="6" t="str">
        <f t="shared" si="0"/>
        <v/>
      </c>
      <c r="G27" s="15" t="str">
        <f t="shared" si="1"/>
        <v/>
      </c>
      <c r="H27" s="15" t="str">
        <f t="shared" si="2"/>
        <v/>
      </c>
      <c r="I27" s="20" t="str">
        <f t="shared" si="9"/>
        <v/>
      </c>
      <c r="J27" s="15">
        <f t="shared" si="10"/>
        <v>-0.99942103570279828</v>
      </c>
      <c r="K27" s="15" t="str">
        <f t="shared" si="11"/>
        <v/>
      </c>
      <c r="L27" s="15" t="str">
        <f t="shared" si="6"/>
        <v/>
      </c>
      <c r="M27" s="15" t="str">
        <f t="shared" si="7"/>
        <v/>
      </c>
      <c r="N27" s="15" t="str">
        <f t="shared" si="8"/>
        <v/>
      </c>
      <c r="O27" s="18" t="str">
        <f>IF(SUMIFS('Monthly NSE Equity Futures'!$I:$I,'Monthly NSE Equity Futures'!$A:$A,$A27)=0,"",SUMIFS('Monthly NSE Equity Futures'!$I:$I,'Monthly NSE Equity Futures'!$A:$A,$A27))</f>
        <v/>
      </c>
      <c r="P27" s="7">
        <f>IF(SUMIFS('Monthly BSE Equity Futures'!$I:$I,'Monthly BSE Equity Futures'!$A:$A,$A27)=0,"",SUMIFS('Monthly BSE Equity Futures'!$I:$I,'Monthly BSE Equity Futures'!$A:$A,$A27))</f>
        <v>2</v>
      </c>
      <c r="Q27" s="7" t="str">
        <f t="shared" si="3"/>
        <v/>
      </c>
      <c r="R27" s="19" t="str">
        <f t="shared" si="4"/>
        <v/>
      </c>
      <c r="S27" s="19" t="str">
        <f t="shared" si="5"/>
        <v/>
      </c>
    </row>
    <row r="28" spans="1:19" x14ac:dyDescent="0.2">
      <c r="A28" s="8">
        <v>38777</v>
      </c>
      <c r="B28" s="4" t="s">
        <v>76</v>
      </c>
      <c r="C28" s="4" t="s">
        <v>116</v>
      </c>
      <c r="D28" s="14" t="str">
        <f>IF(SUMIFS('Monthly NSE Equity Futures'!$H:$H,'Monthly NSE Equity Futures'!$A:$A,$A28)=0,"",SUMIFS('Monthly NSE Equity Futures'!$H:$H,'Monthly NSE Equity Futures'!$A:$A,$A28))</f>
        <v/>
      </c>
      <c r="E28" s="6">
        <f>IF(SUMIFS('Monthly BSE Equity Futures'!$H:$H,'Monthly BSE Equity Futures'!$A:$A,$A28)=0,"",SUMIFS('Monthly BSE Equity Futures'!$H:$H,'Monthly BSE Equity Futures'!$A:$A,$A28))</f>
        <v>5.3999999999999999E-2</v>
      </c>
      <c r="F28" s="6" t="str">
        <f t="shared" si="0"/>
        <v/>
      </c>
      <c r="G28" s="15" t="str">
        <f t="shared" si="1"/>
        <v/>
      </c>
      <c r="H28" s="15" t="str">
        <f t="shared" si="2"/>
        <v/>
      </c>
      <c r="I28" s="20" t="str">
        <f t="shared" si="9"/>
        <v/>
      </c>
      <c r="J28" s="15">
        <f t="shared" si="10"/>
        <v>-0.90816326530612246</v>
      </c>
      <c r="K28" s="15" t="str">
        <f t="shared" si="11"/>
        <v/>
      </c>
      <c r="L28" s="15" t="str">
        <f t="shared" si="6"/>
        <v/>
      </c>
      <c r="M28" s="15">
        <f t="shared" si="7"/>
        <v>59</v>
      </c>
      <c r="N28" s="15" t="str">
        <f t="shared" si="8"/>
        <v/>
      </c>
      <c r="O28" s="18" t="str">
        <f>IF(SUMIFS('Monthly NSE Equity Futures'!$I:$I,'Monthly NSE Equity Futures'!$A:$A,$A28)=0,"",SUMIFS('Monthly NSE Equity Futures'!$I:$I,'Monthly NSE Equity Futures'!$A:$A,$A28))</f>
        <v/>
      </c>
      <c r="P28" s="7">
        <f>IF(SUMIFS('Monthly BSE Equity Futures'!$I:$I,'Monthly BSE Equity Futures'!$A:$A,$A28)=0,"",SUMIFS('Monthly BSE Equity Futures'!$I:$I,'Monthly BSE Equity Futures'!$A:$A,$A28))</f>
        <v>99</v>
      </c>
      <c r="Q28" s="7" t="str">
        <f t="shared" si="3"/>
        <v/>
      </c>
      <c r="R28" s="19" t="str">
        <f t="shared" si="4"/>
        <v/>
      </c>
      <c r="S28" s="19" t="str">
        <f t="shared" si="5"/>
        <v/>
      </c>
    </row>
    <row r="29" spans="1:19" x14ac:dyDescent="0.2">
      <c r="A29" s="8">
        <v>38808</v>
      </c>
      <c r="B29" s="4" t="s">
        <v>77</v>
      </c>
      <c r="C29" s="4" t="s">
        <v>117</v>
      </c>
      <c r="D29" s="14" t="str">
        <f>IF(SUMIFS('Monthly NSE Equity Futures'!$H:$H,'Monthly NSE Equity Futures'!$A:$A,$A29)=0,"",SUMIFS('Monthly NSE Equity Futures'!$H:$H,'Monthly NSE Equity Futures'!$A:$A,$A29))</f>
        <v/>
      </c>
      <c r="E29" s="6">
        <f>IF(SUMIFS('Monthly BSE Equity Futures'!$H:$H,'Monthly BSE Equity Futures'!$A:$A,$A29)=0,"",SUMIFS('Monthly BSE Equity Futures'!$H:$H,'Monthly BSE Equity Futures'!$A:$A,$A29))</f>
        <v>1.3899999999999999E-2</v>
      </c>
      <c r="F29" s="6" t="str">
        <f t="shared" si="0"/>
        <v/>
      </c>
      <c r="G29" s="15" t="str">
        <f t="shared" si="1"/>
        <v/>
      </c>
      <c r="H29" s="15" t="str">
        <f t="shared" si="2"/>
        <v/>
      </c>
      <c r="I29" s="20" t="str">
        <f t="shared" si="9"/>
        <v/>
      </c>
      <c r="J29" s="15" t="str">
        <f t="shared" si="10"/>
        <v/>
      </c>
      <c r="K29" s="15" t="str">
        <f t="shared" si="11"/>
        <v/>
      </c>
      <c r="L29" s="15" t="str">
        <f t="shared" si="6"/>
        <v/>
      </c>
      <c r="M29" s="15">
        <f t="shared" si="7"/>
        <v>-0.74259259259259258</v>
      </c>
      <c r="N29" s="15" t="str">
        <f t="shared" si="8"/>
        <v/>
      </c>
      <c r="O29" s="18" t="str">
        <f>IF(SUMIFS('Monthly NSE Equity Futures'!$I:$I,'Monthly NSE Equity Futures'!$A:$A,$A29)=0,"",SUMIFS('Monthly NSE Equity Futures'!$I:$I,'Monthly NSE Equity Futures'!$A:$A,$A29))</f>
        <v/>
      </c>
      <c r="P29" s="7">
        <f>IF(SUMIFS('Monthly BSE Equity Futures'!$I:$I,'Monthly BSE Equity Futures'!$A:$A,$A29)=0,"",SUMIFS('Monthly BSE Equity Futures'!$I:$I,'Monthly BSE Equity Futures'!$A:$A,$A29))</f>
        <v>24</v>
      </c>
      <c r="Q29" s="7" t="str">
        <f t="shared" si="3"/>
        <v/>
      </c>
      <c r="R29" s="19" t="str">
        <f t="shared" si="4"/>
        <v/>
      </c>
      <c r="S29" s="19" t="str">
        <f t="shared" si="5"/>
        <v/>
      </c>
    </row>
    <row r="30" spans="1:19" x14ac:dyDescent="0.2">
      <c r="A30" s="8">
        <v>38838</v>
      </c>
      <c r="B30" s="4" t="s">
        <v>77</v>
      </c>
      <c r="C30" s="4" t="s">
        <v>117</v>
      </c>
      <c r="D30" s="14" t="str">
        <f>IF(SUMIFS('Monthly NSE Equity Futures'!$H:$H,'Monthly NSE Equity Futures'!$A:$A,$A30)=0,"",SUMIFS('Monthly NSE Equity Futures'!$H:$H,'Monthly NSE Equity Futures'!$A:$A,$A30))</f>
        <v/>
      </c>
      <c r="E30" s="6" t="str">
        <f>IF(SUMIFS('Monthly BSE Equity Futures'!$H:$H,'Monthly BSE Equity Futures'!$A:$A,$A30)=0,"",SUMIFS('Monthly BSE Equity Futures'!$H:$H,'Monthly BSE Equity Futures'!$A:$A,$A30))</f>
        <v/>
      </c>
      <c r="F30" s="6" t="str">
        <f t="shared" si="0"/>
        <v/>
      </c>
      <c r="G30" s="15" t="str">
        <f t="shared" si="1"/>
        <v/>
      </c>
      <c r="H30" s="15" t="str">
        <f t="shared" si="2"/>
        <v/>
      </c>
      <c r="I30" s="20" t="str">
        <f t="shared" si="9"/>
        <v/>
      </c>
      <c r="J30" s="15" t="str">
        <f t="shared" si="10"/>
        <v/>
      </c>
      <c r="K30" s="15" t="str">
        <f t="shared" si="11"/>
        <v/>
      </c>
      <c r="L30" s="15" t="str">
        <f t="shared" si="6"/>
        <v/>
      </c>
      <c r="M30" s="15" t="str">
        <f t="shared" si="7"/>
        <v/>
      </c>
      <c r="N30" s="15" t="str">
        <f t="shared" si="8"/>
        <v/>
      </c>
      <c r="O30" s="18" t="str">
        <f>IF(SUMIFS('Monthly NSE Equity Futures'!$I:$I,'Monthly NSE Equity Futures'!$A:$A,$A30)=0,"",SUMIFS('Monthly NSE Equity Futures'!$I:$I,'Monthly NSE Equity Futures'!$A:$A,$A30))</f>
        <v/>
      </c>
      <c r="P30" s="7" t="str">
        <f>IF(SUMIFS('Monthly BSE Equity Futures'!$I:$I,'Monthly BSE Equity Futures'!$A:$A,$A30)=0,"",SUMIFS('Monthly BSE Equity Futures'!$I:$I,'Monthly BSE Equity Futures'!$A:$A,$A30))</f>
        <v/>
      </c>
      <c r="Q30" s="7" t="str">
        <f t="shared" si="3"/>
        <v/>
      </c>
      <c r="R30" s="19" t="str">
        <f t="shared" si="4"/>
        <v/>
      </c>
      <c r="S30" s="19" t="str">
        <f t="shared" si="5"/>
        <v/>
      </c>
    </row>
    <row r="31" spans="1:19" x14ac:dyDescent="0.2">
      <c r="A31" s="8">
        <v>38869</v>
      </c>
      <c r="B31" s="4" t="s">
        <v>77</v>
      </c>
      <c r="C31" s="4" t="s">
        <v>117</v>
      </c>
      <c r="D31" s="14" t="str">
        <f>IF(SUMIFS('Monthly NSE Equity Futures'!$H:$H,'Monthly NSE Equity Futures'!$A:$A,$A31)=0,"",SUMIFS('Monthly NSE Equity Futures'!$H:$H,'Monthly NSE Equity Futures'!$A:$A,$A31))</f>
        <v/>
      </c>
      <c r="E31" s="6">
        <f>IF(SUMIFS('Monthly BSE Equity Futures'!$H:$H,'Monthly BSE Equity Futures'!$A:$A,$A31)=0,"",SUMIFS('Monthly BSE Equity Futures'!$H:$H,'Monthly BSE Equity Futures'!$A:$A,$A31))</f>
        <v>0.1764</v>
      </c>
      <c r="F31" s="6" t="str">
        <f t="shared" si="0"/>
        <v/>
      </c>
      <c r="G31" s="15" t="str">
        <f t="shared" si="1"/>
        <v/>
      </c>
      <c r="H31" s="15" t="str">
        <f t="shared" si="2"/>
        <v/>
      </c>
      <c r="I31" s="20" t="str">
        <f t="shared" si="9"/>
        <v/>
      </c>
      <c r="J31" s="15" t="str">
        <f t="shared" si="10"/>
        <v/>
      </c>
      <c r="K31" s="15" t="str">
        <f t="shared" si="11"/>
        <v/>
      </c>
      <c r="L31" s="15" t="str">
        <f t="shared" si="6"/>
        <v/>
      </c>
      <c r="M31" s="15" t="str">
        <f t="shared" si="7"/>
        <v/>
      </c>
      <c r="N31" s="15" t="str">
        <f t="shared" si="8"/>
        <v/>
      </c>
      <c r="O31" s="18" t="str">
        <f>IF(SUMIFS('Monthly NSE Equity Futures'!$I:$I,'Monthly NSE Equity Futures'!$A:$A,$A31)=0,"",SUMIFS('Monthly NSE Equity Futures'!$I:$I,'Monthly NSE Equity Futures'!$A:$A,$A31))</f>
        <v/>
      </c>
      <c r="P31" s="7">
        <f>IF(SUMIFS('Monthly BSE Equity Futures'!$I:$I,'Monthly BSE Equity Futures'!$A:$A,$A31)=0,"",SUMIFS('Monthly BSE Equity Futures'!$I:$I,'Monthly BSE Equity Futures'!$A:$A,$A31))</f>
        <v>346</v>
      </c>
      <c r="Q31" s="7" t="str">
        <f t="shared" si="3"/>
        <v/>
      </c>
      <c r="R31" s="19" t="str">
        <f t="shared" si="4"/>
        <v/>
      </c>
      <c r="S31" s="19" t="str">
        <f t="shared" si="5"/>
        <v/>
      </c>
    </row>
    <row r="32" spans="1:19" x14ac:dyDescent="0.2">
      <c r="A32" s="8">
        <v>38899</v>
      </c>
      <c r="B32" s="4" t="s">
        <v>77</v>
      </c>
      <c r="C32" s="4" t="s">
        <v>118</v>
      </c>
      <c r="D32" s="14" t="str">
        <f>IF(SUMIFS('Monthly NSE Equity Futures'!$H:$H,'Monthly NSE Equity Futures'!$A:$A,$A32)=0,"",SUMIFS('Monthly NSE Equity Futures'!$H:$H,'Monthly NSE Equity Futures'!$A:$A,$A32))</f>
        <v/>
      </c>
      <c r="E32" s="6">
        <f>IF(SUMIFS('Monthly BSE Equity Futures'!$H:$H,'Monthly BSE Equity Futures'!$A:$A,$A32)=0,"",SUMIFS('Monthly BSE Equity Futures'!$H:$H,'Monthly BSE Equity Futures'!$A:$A,$A32))</f>
        <v>0.26040000000000002</v>
      </c>
      <c r="F32" s="6" t="str">
        <f t="shared" si="0"/>
        <v/>
      </c>
      <c r="G32" s="15" t="str">
        <f t="shared" si="1"/>
        <v/>
      </c>
      <c r="H32" s="15" t="str">
        <f t="shared" si="2"/>
        <v/>
      </c>
      <c r="I32" s="20" t="str">
        <f t="shared" si="9"/>
        <v/>
      </c>
      <c r="J32" s="15" t="str">
        <f t="shared" si="10"/>
        <v/>
      </c>
      <c r="K32" s="15" t="str">
        <f t="shared" si="11"/>
        <v/>
      </c>
      <c r="L32" s="15" t="str">
        <f t="shared" si="6"/>
        <v/>
      </c>
      <c r="M32" s="15">
        <f t="shared" si="7"/>
        <v>0.47619047619047628</v>
      </c>
      <c r="N32" s="15" t="str">
        <f t="shared" si="8"/>
        <v/>
      </c>
      <c r="O32" s="18" t="str">
        <f>IF(SUMIFS('Monthly NSE Equity Futures'!$I:$I,'Monthly NSE Equity Futures'!$A:$A,$A32)=0,"",SUMIFS('Monthly NSE Equity Futures'!$I:$I,'Monthly NSE Equity Futures'!$A:$A,$A32))</f>
        <v/>
      </c>
      <c r="P32" s="7">
        <f>IF(SUMIFS('Monthly BSE Equity Futures'!$I:$I,'Monthly BSE Equity Futures'!$A:$A,$A32)=0,"",SUMIFS('Monthly BSE Equity Futures'!$I:$I,'Monthly BSE Equity Futures'!$A:$A,$A32))</f>
        <v>988</v>
      </c>
      <c r="Q32" s="7" t="str">
        <f t="shared" si="3"/>
        <v/>
      </c>
      <c r="R32" s="19" t="str">
        <f t="shared" si="4"/>
        <v/>
      </c>
      <c r="S32" s="19" t="str">
        <f t="shared" si="5"/>
        <v/>
      </c>
    </row>
    <row r="33" spans="1:19" x14ac:dyDescent="0.2">
      <c r="A33" s="8">
        <v>38930</v>
      </c>
      <c r="B33" s="4" t="s">
        <v>77</v>
      </c>
      <c r="C33" s="4" t="s">
        <v>118</v>
      </c>
      <c r="D33" s="14" t="str">
        <f>IF(SUMIFS('Monthly NSE Equity Futures'!$H:$H,'Monthly NSE Equity Futures'!$A:$A,$A33)=0,"",SUMIFS('Monthly NSE Equity Futures'!$H:$H,'Monthly NSE Equity Futures'!$A:$A,$A33))</f>
        <v/>
      </c>
      <c r="E33" s="6">
        <f>IF(SUMIFS('Monthly BSE Equity Futures'!$H:$H,'Monthly BSE Equity Futures'!$A:$A,$A33)=0,"",SUMIFS('Monthly BSE Equity Futures'!$H:$H,'Monthly BSE Equity Futures'!$A:$A,$A33))</f>
        <v>0.68510000000000004</v>
      </c>
      <c r="F33" s="6" t="str">
        <f t="shared" si="0"/>
        <v/>
      </c>
      <c r="G33" s="15" t="str">
        <f t="shared" si="1"/>
        <v/>
      </c>
      <c r="H33" s="15" t="str">
        <f t="shared" si="2"/>
        <v/>
      </c>
      <c r="I33" s="20" t="str">
        <f t="shared" si="9"/>
        <v/>
      </c>
      <c r="J33" s="15" t="str">
        <f t="shared" si="10"/>
        <v/>
      </c>
      <c r="K33" s="15" t="str">
        <f t="shared" si="11"/>
        <v/>
      </c>
      <c r="L33" s="15" t="str">
        <f t="shared" si="6"/>
        <v/>
      </c>
      <c r="M33" s="15">
        <f t="shared" si="7"/>
        <v>1.6309523809523809</v>
      </c>
      <c r="N33" s="15" t="str">
        <f t="shared" si="8"/>
        <v/>
      </c>
      <c r="O33" s="18" t="str">
        <f>IF(SUMIFS('Monthly NSE Equity Futures'!$I:$I,'Monthly NSE Equity Futures'!$A:$A,$A33)=0,"",SUMIFS('Monthly NSE Equity Futures'!$I:$I,'Monthly NSE Equity Futures'!$A:$A,$A33))</f>
        <v/>
      </c>
      <c r="P33" s="7">
        <f>IF(SUMIFS('Monthly BSE Equity Futures'!$I:$I,'Monthly BSE Equity Futures'!$A:$A,$A33)=0,"",SUMIFS('Monthly BSE Equity Futures'!$I:$I,'Monthly BSE Equity Futures'!$A:$A,$A33))</f>
        <v>2362</v>
      </c>
      <c r="Q33" s="7" t="str">
        <f t="shared" si="3"/>
        <v/>
      </c>
      <c r="R33" s="19" t="str">
        <f t="shared" si="4"/>
        <v/>
      </c>
      <c r="S33" s="19" t="str">
        <f t="shared" si="5"/>
        <v/>
      </c>
    </row>
    <row r="34" spans="1:19" x14ac:dyDescent="0.2">
      <c r="A34" s="8">
        <v>38961</v>
      </c>
      <c r="B34" s="4" t="s">
        <v>77</v>
      </c>
      <c r="C34" s="4" t="s">
        <v>118</v>
      </c>
      <c r="D34" s="14" t="str">
        <f>IF(SUMIFS('Monthly NSE Equity Futures'!$H:$H,'Monthly NSE Equity Futures'!$A:$A,$A34)=0,"",SUMIFS('Monthly NSE Equity Futures'!$H:$H,'Monthly NSE Equity Futures'!$A:$A,$A34))</f>
        <v/>
      </c>
      <c r="E34" s="6">
        <f>IF(SUMIFS('Monthly BSE Equity Futures'!$H:$H,'Monthly BSE Equity Futures'!$A:$A,$A34)=0,"",SUMIFS('Monthly BSE Equity Futures'!$H:$H,'Monthly BSE Equity Futures'!$A:$A,$A34))</f>
        <v>2.6537000000000002</v>
      </c>
      <c r="F34" s="6" t="str">
        <f t="shared" si="0"/>
        <v/>
      </c>
      <c r="G34" s="15" t="str">
        <f t="shared" si="1"/>
        <v/>
      </c>
      <c r="H34" s="15" t="str">
        <f t="shared" si="2"/>
        <v/>
      </c>
      <c r="I34" s="20" t="str">
        <f t="shared" si="9"/>
        <v/>
      </c>
      <c r="J34" s="15" t="str">
        <f t="shared" si="10"/>
        <v/>
      </c>
      <c r="K34" s="15" t="str">
        <f t="shared" si="11"/>
        <v/>
      </c>
      <c r="L34" s="15" t="str">
        <f t="shared" si="6"/>
        <v/>
      </c>
      <c r="M34" s="15">
        <f t="shared" si="7"/>
        <v>2.8734491315136474</v>
      </c>
      <c r="N34" s="15" t="str">
        <f t="shared" si="8"/>
        <v/>
      </c>
      <c r="O34" s="18" t="str">
        <f>IF(SUMIFS('Monthly NSE Equity Futures'!$I:$I,'Monthly NSE Equity Futures'!$A:$A,$A34)=0,"",SUMIFS('Monthly NSE Equity Futures'!$I:$I,'Monthly NSE Equity Futures'!$A:$A,$A34))</f>
        <v/>
      </c>
      <c r="P34" s="7">
        <f>IF(SUMIFS('Monthly BSE Equity Futures'!$I:$I,'Monthly BSE Equity Futures'!$A:$A,$A34)=0,"",SUMIFS('Monthly BSE Equity Futures'!$I:$I,'Monthly BSE Equity Futures'!$A:$A,$A34))</f>
        <v>8902</v>
      </c>
      <c r="Q34" s="7" t="str">
        <f t="shared" si="3"/>
        <v/>
      </c>
      <c r="R34" s="19" t="str">
        <f t="shared" si="4"/>
        <v/>
      </c>
      <c r="S34" s="19" t="str">
        <f t="shared" si="5"/>
        <v/>
      </c>
    </row>
    <row r="35" spans="1:19" x14ac:dyDescent="0.2">
      <c r="A35" s="8">
        <v>38991</v>
      </c>
      <c r="B35" s="4" t="s">
        <v>77</v>
      </c>
      <c r="C35" s="4" t="s">
        <v>119</v>
      </c>
      <c r="D35" s="14" t="str">
        <f>IF(SUMIFS('Monthly NSE Equity Futures'!$H:$H,'Monthly NSE Equity Futures'!$A:$A,$A35)=0,"",SUMIFS('Monthly NSE Equity Futures'!$H:$H,'Monthly NSE Equity Futures'!$A:$A,$A35))</f>
        <v/>
      </c>
      <c r="E35" s="6">
        <f>IF(SUMIFS('Monthly BSE Equity Futures'!$H:$H,'Monthly BSE Equity Futures'!$A:$A,$A35)=0,"",SUMIFS('Monthly BSE Equity Futures'!$H:$H,'Monthly BSE Equity Futures'!$A:$A,$A35))</f>
        <v>1.9616</v>
      </c>
      <c r="F35" s="6" t="str">
        <f t="shared" si="0"/>
        <v/>
      </c>
      <c r="G35" s="15" t="str">
        <f t="shared" si="1"/>
        <v/>
      </c>
      <c r="H35" s="15" t="str">
        <f t="shared" si="2"/>
        <v/>
      </c>
      <c r="I35" s="20" t="str">
        <f t="shared" si="9"/>
        <v/>
      </c>
      <c r="J35" s="15" t="str">
        <f t="shared" si="10"/>
        <v/>
      </c>
      <c r="K35" s="15" t="str">
        <f t="shared" si="11"/>
        <v/>
      </c>
      <c r="L35" s="15" t="str">
        <f t="shared" si="6"/>
        <v/>
      </c>
      <c r="M35" s="15">
        <f t="shared" si="7"/>
        <v>-0.26080566755850332</v>
      </c>
      <c r="N35" s="15" t="str">
        <f t="shared" si="8"/>
        <v/>
      </c>
      <c r="O35" s="18" t="str">
        <f>IF(SUMIFS('Monthly NSE Equity Futures'!$I:$I,'Monthly NSE Equity Futures'!$A:$A,$A35)=0,"",SUMIFS('Monthly NSE Equity Futures'!$I:$I,'Monthly NSE Equity Futures'!$A:$A,$A35))</f>
        <v/>
      </c>
      <c r="P35" s="7">
        <f>IF(SUMIFS('Monthly BSE Equity Futures'!$I:$I,'Monthly BSE Equity Futures'!$A:$A,$A35)=0,"",SUMIFS('Monthly BSE Equity Futures'!$I:$I,'Monthly BSE Equity Futures'!$A:$A,$A35))</f>
        <v>6170</v>
      </c>
      <c r="Q35" s="7" t="str">
        <f t="shared" si="3"/>
        <v/>
      </c>
      <c r="R35" s="19" t="str">
        <f t="shared" si="4"/>
        <v/>
      </c>
      <c r="S35" s="19" t="str">
        <f t="shared" si="5"/>
        <v/>
      </c>
    </row>
    <row r="36" spans="1:19" x14ac:dyDescent="0.2">
      <c r="A36" s="8">
        <v>39022</v>
      </c>
      <c r="B36" s="4" t="s">
        <v>77</v>
      </c>
      <c r="C36" s="4" t="s">
        <v>119</v>
      </c>
      <c r="D36" s="14" t="str">
        <f>IF(SUMIFS('Monthly NSE Equity Futures'!$H:$H,'Monthly NSE Equity Futures'!$A:$A,$A36)=0,"",SUMIFS('Monthly NSE Equity Futures'!$H:$H,'Monthly NSE Equity Futures'!$A:$A,$A36))</f>
        <v/>
      </c>
      <c r="E36" s="6">
        <f>IF(SUMIFS('Monthly BSE Equity Futures'!$H:$H,'Monthly BSE Equity Futures'!$A:$A,$A36)=0,"",SUMIFS('Monthly BSE Equity Futures'!$H:$H,'Monthly BSE Equity Futures'!$A:$A,$A36))</f>
        <v>79.857799999999997</v>
      </c>
      <c r="F36" s="6" t="str">
        <f t="shared" si="0"/>
        <v/>
      </c>
      <c r="G36" s="15" t="str">
        <f t="shared" si="1"/>
        <v/>
      </c>
      <c r="H36" s="15" t="str">
        <f t="shared" si="2"/>
        <v/>
      </c>
      <c r="I36" s="20" t="str">
        <f t="shared" si="9"/>
        <v/>
      </c>
      <c r="J36" s="15" t="str">
        <f t="shared" si="10"/>
        <v/>
      </c>
      <c r="K36" s="15" t="str">
        <f t="shared" si="11"/>
        <v/>
      </c>
      <c r="L36" s="15" t="str">
        <f t="shared" si="6"/>
        <v/>
      </c>
      <c r="M36" s="15">
        <f t="shared" si="7"/>
        <v>39.710542414355629</v>
      </c>
      <c r="N36" s="15" t="str">
        <f t="shared" si="8"/>
        <v/>
      </c>
      <c r="O36" s="18" t="str">
        <f>IF(SUMIFS('Monthly NSE Equity Futures'!$I:$I,'Monthly NSE Equity Futures'!$A:$A,$A36)=0,"",SUMIFS('Monthly NSE Equity Futures'!$I:$I,'Monthly NSE Equity Futures'!$A:$A,$A36))</f>
        <v/>
      </c>
      <c r="P36" s="7">
        <f>IF(SUMIFS('Monthly BSE Equity Futures'!$I:$I,'Monthly BSE Equity Futures'!$A:$A,$A36)=0,"",SUMIFS('Monthly BSE Equity Futures'!$I:$I,'Monthly BSE Equity Futures'!$A:$A,$A36))</f>
        <v>236051</v>
      </c>
      <c r="Q36" s="7" t="str">
        <f t="shared" si="3"/>
        <v/>
      </c>
      <c r="R36" s="19" t="str">
        <f t="shared" si="4"/>
        <v/>
      </c>
      <c r="S36" s="19" t="str">
        <f t="shared" si="5"/>
        <v/>
      </c>
    </row>
    <row r="37" spans="1:19" x14ac:dyDescent="0.2">
      <c r="A37" s="8">
        <v>39052</v>
      </c>
      <c r="B37" s="4" t="s">
        <v>77</v>
      </c>
      <c r="C37" s="4" t="s">
        <v>119</v>
      </c>
      <c r="D37" s="14" t="str">
        <f>IF(SUMIFS('Monthly NSE Equity Futures'!$H:$H,'Monthly NSE Equity Futures'!$A:$A,$A37)=0,"",SUMIFS('Monthly NSE Equity Futures'!$H:$H,'Monthly NSE Equity Futures'!$A:$A,$A37))</f>
        <v/>
      </c>
      <c r="E37" s="6">
        <f>IF(SUMIFS('Monthly BSE Equity Futures'!$H:$H,'Monthly BSE Equity Futures'!$A:$A,$A37)=0,"",SUMIFS('Monthly BSE Equity Futures'!$H:$H,'Monthly BSE Equity Futures'!$A:$A,$A37))</f>
        <v>95.038600000000002</v>
      </c>
      <c r="F37" s="6" t="str">
        <f t="shared" si="0"/>
        <v/>
      </c>
      <c r="G37" s="15" t="str">
        <f t="shared" si="1"/>
        <v/>
      </c>
      <c r="H37" s="15" t="str">
        <f t="shared" si="2"/>
        <v/>
      </c>
      <c r="I37" s="20" t="str">
        <f t="shared" si="9"/>
        <v/>
      </c>
      <c r="J37" s="15" t="str">
        <f t="shared" si="10"/>
        <v/>
      </c>
      <c r="K37" s="15" t="str">
        <f t="shared" si="11"/>
        <v/>
      </c>
      <c r="L37" s="15" t="str">
        <f t="shared" si="6"/>
        <v/>
      </c>
      <c r="M37" s="15">
        <f t="shared" si="7"/>
        <v>0.19009789901550023</v>
      </c>
      <c r="N37" s="15" t="str">
        <f t="shared" si="8"/>
        <v/>
      </c>
      <c r="O37" s="18" t="str">
        <f>IF(SUMIFS('Monthly NSE Equity Futures'!$I:$I,'Monthly NSE Equity Futures'!$A:$A,$A37)=0,"",SUMIFS('Monthly NSE Equity Futures'!$I:$I,'Monthly NSE Equity Futures'!$A:$A,$A37))</f>
        <v/>
      </c>
      <c r="P37" s="7">
        <f>IF(SUMIFS('Monthly BSE Equity Futures'!$I:$I,'Monthly BSE Equity Futures'!$A:$A,$A37)=0,"",SUMIFS('Monthly BSE Equity Futures'!$I:$I,'Monthly BSE Equity Futures'!$A:$A,$A37))</f>
        <v>277888</v>
      </c>
      <c r="Q37" s="7" t="str">
        <f t="shared" si="3"/>
        <v/>
      </c>
      <c r="R37" s="19" t="str">
        <f t="shared" si="4"/>
        <v/>
      </c>
      <c r="S37" s="19" t="str">
        <f t="shared" si="5"/>
        <v/>
      </c>
    </row>
    <row r="38" spans="1:19" x14ac:dyDescent="0.2">
      <c r="A38" s="8">
        <v>39083</v>
      </c>
      <c r="B38" s="4" t="s">
        <v>77</v>
      </c>
      <c r="C38" s="4" t="s">
        <v>120</v>
      </c>
      <c r="D38" s="14" t="str">
        <f>IF(SUMIFS('Monthly NSE Equity Futures'!$H:$H,'Monthly NSE Equity Futures'!$A:$A,$A38)=0,"",SUMIFS('Monthly NSE Equity Futures'!$H:$H,'Monthly NSE Equity Futures'!$A:$A,$A38))</f>
        <v/>
      </c>
      <c r="E38" s="6">
        <f>IF(SUMIFS('Monthly BSE Equity Futures'!$H:$H,'Monthly BSE Equity Futures'!$A:$A,$A38)=0,"",SUMIFS('Monthly BSE Equity Futures'!$H:$H,'Monthly BSE Equity Futures'!$A:$A,$A38))</f>
        <v>109.52509999999999</v>
      </c>
      <c r="F38" s="6" t="str">
        <f t="shared" si="0"/>
        <v/>
      </c>
      <c r="G38" s="15" t="str">
        <f t="shared" si="1"/>
        <v/>
      </c>
      <c r="H38" s="15" t="str">
        <f t="shared" si="2"/>
        <v/>
      </c>
      <c r="I38" s="20" t="str">
        <f t="shared" si="9"/>
        <v/>
      </c>
      <c r="J38" s="15" t="str">
        <f t="shared" si="10"/>
        <v/>
      </c>
      <c r="K38" s="15" t="str">
        <f t="shared" si="11"/>
        <v/>
      </c>
      <c r="L38" s="15" t="str">
        <f t="shared" si="6"/>
        <v/>
      </c>
      <c r="M38" s="15">
        <f t="shared" si="7"/>
        <v>0.15242753996797087</v>
      </c>
      <c r="N38" s="15" t="str">
        <f t="shared" si="8"/>
        <v/>
      </c>
      <c r="O38" s="18" t="str">
        <f>IF(SUMIFS('Monthly NSE Equity Futures'!$I:$I,'Monthly NSE Equity Futures'!$A:$A,$A38)=0,"",SUMIFS('Monthly NSE Equity Futures'!$I:$I,'Monthly NSE Equity Futures'!$A:$A,$A38))</f>
        <v/>
      </c>
      <c r="P38" s="7">
        <f>IF(SUMIFS('Monthly BSE Equity Futures'!$I:$I,'Monthly BSE Equity Futures'!$A:$A,$A38)=0,"",SUMIFS('Monthly BSE Equity Futures'!$I:$I,'Monthly BSE Equity Futures'!$A:$A,$A38))</f>
        <v>309320</v>
      </c>
      <c r="Q38" s="7" t="str">
        <f t="shared" si="3"/>
        <v/>
      </c>
      <c r="R38" s="19" t="str">
        <f t="shared" si="4"/>
        <v/>
      </c>
      <c r="S38" s="19" t="str">
        <f t="shared" si="5"/>
        <v/>
      </c>
    </row>
    <row r="39" spans="1:19" x14ac:dyDescent="0.2">
      <c r="A39" s="8">
        <v>39114</v>
      </c>
      <c r="B39" s="4" t="s">
        <v>77</v>
      </c>
      <c r="C39" s="4" t="s">
        <v>120</v>
      </c>
      <c r="D39" s="14" t="str">
        <f>IF(SUMIFS('Monthly NSE Equity Futures'!$H:$H,'Monthly NSE Equity Futures'!$A:$A,$A39)=0,"",SUMIFS('Monthly NSE Equity Futures'!$H:$H,'Monthly NSE Equity Futures'!$A:$A,$A39))</f>
        <v/>
      </c>
      <c r="E39" s="6">
        <f>IF(SUMIFS('Monthly BSE Equity Futures'!$H:$H,'Monthly BSE Equity Futures'!$A:$A,$A39)=0,"",SUMIFS('Monthly BSE Equity Futures'!$H:$H,'Monthly BSE Equity Futures'!$A:$A,$A39))</f>
        <v>131.89279999999999</v>
      </c>
      <c r="F39" s="6" t="str">
        <f t="shared" si="0"/>
        <v/>
      </c>
      <c r="G39" s="15" t="str">
        <f t="shared" si="1"/>
        <v/>
      </c>
      <c r="H39" s="15" t="str">
        <f t="shared" si="2"/>
        <v/>
      </c>
      <c r="I39" s="20" t="str">
        <f t="shared" si="9"/>
        <v/>
      </c>
      <c r="J39" s="15">
        <f t="shared" si="10"/>
        <v>146546.55555555556</v>
      </c>
      <c r="K39" s="15" t="str">
        <f t="shared" si="11"/>
        <v/>
      </c>
      <c r="L39" s="15" t="str">
        <f t="shared" si="6"/>
        <v/>
      </c>
      <c r="M39" s="15">
        <f t="shared" si="7"/>
        <v>0.20422441979053207</v>
      </c>
      <c r="N39" s="15" t="str">
        <f t="shared" si="8"/>
        <v/>
      </c>
      <c r="O39" s="18" t="str">
        <f>IF(SUMIFS('Monthly NSE Equity Futures'!$I:$I,'Monthly NSE Equity Futures'!$A:$A,$A39)=0,"",SUMIFS('Monthly NSE Equity Futures'!$I:$I,'Monthly NSE Equity Futures'!$A:$A,$A39))</f>
        <v/>
      </c>
      <c r="P39" s="7">
        <f>IF(SUMIFS('Monthly BSE Equity Futures'!$I:$I,'Monthly BSE Equity Futures'!$A:$A,$A39)=0,"",SUMIFS('Monthly BSE Equity Futures'!$I:$I,'Monthly BSE Equity Futures'!$A:$A,$A39))</f>
        <v>392670</v>
      </c>
      <c r="Q39" s="7" t="str">
        <f t="shared" si="3"/>
        <v/>
      </c>
      <c r="R39" s="19" t="str">
        <f t="shared" si="4"/>
        <v/>
      </c>
      <c r="S39" s="19" t="str">
        <f t="shared" si="5"/>
        <v/>
      </c>
    </row>
    <row r="40" spans="1:19" x14ac:dyDescent="0.2">
      <c r="A40" s="8">
        <v>39142</v>
      </c>
      <c r="B40" s="4" t="s">
        <v>77</v>
      </c>
      <c r="C40" s="4" t="s">
        <v>120</v>
      </c>
      <c r="D40" s="14" t="str">
        <f>IF(SUMIFS('Monthly NSE Equity Futures'!$H:$H,'Monthly NSE Equity Futures'!$A:$A,$A40)=0,"",SUMIFS('Monthly NSE Equity Futures'!$H:$H,'Monthly NSE Equity Futures'!$A:$A,$A40))</f>
        <v/>
      </c>
      <c r="E40" s="6">
        <f>IF(SUMIFS('Monthly BSE Equity Futures'!$H:$H,'Monthly BSE Equity Futures'!$A:$A,$A40)=0,"",SUMIFS('Monthly BSE Equity Futures'!$H:$H,'Monthly BSE Equity Futures'!$A:$A,$A40))</f>
        <v>167.9982</v>
      </c>
      <c r="F40" s="6" t="str">
        <f t="shared" si="0"/>
        <v/>
      </c>
      <c r="G40" s="15" t="str">
        <f t="shared" si="1"/>
        <v/>
      </c>
      <c r="H40" s="15" t="str">
        <f t="shared" si="2"/>
        <v/>
      </c>
      <c r="I40" s="20" t="str">
        <f t="shared" si="9"/>
        <v/>
      </c>
      <c r="J40" s="15">
        <f t="shared" si="10"/>
        <v>3110.0777777777776</v>
      </c>
      <c r="K40" s="15" t="str">
        <f t="shared" si="11"/>
        <v/>
      </c>
      <c r="L40" s="15" t="str">
        <f t="shared" si="6"/>
        <v/>
      </c>
      <c r="M40" s="15">
        <f t="shared" si="7"/>
        <v>0.2737480741935876</v>
      </c>
      <c r="N40" s="15" t="str">
        <f t="shared" si="8"/>
        <v/>
      </c>
      <c r="O40" s="18" t="str">
        <f>IF(SUMIFS('Monthly NSE Equity Futures'!$I:$I,'Monthly NSE Equity Futures'!$A:$A,$A40)=0,"",SUMIFS('Monthly NSE Equity Futures'!$I:$I,'Monthly NSE Equity Futures'!$A:$A,$A40))</f>
        <v/>
      </c>
      <c r="P40" s="7">
        <f>IF(SUMIFS('Monthly BSE Equity Futures'!$I:$I,'Monthly BSE Equity Futures'!$A:$A,$A40)=0,"",SUMIFS('Monthly BSE Equity Futures'!$I:$I,'Monthly BSE Equity Futures'!$A:$A,$A40))</f>
        <v>546491</v>
      </c>
      <c r="Q40" s="7" t="str">
        <f t="shared" si="3"/>
        <v/>
      </c>
      <c r="R40" s="19" t="str">
        <f t="shared" si="4"/>
        <v/>
      </c>
      <c r="S40" s="19" t="str">
        <f t="shared" si="5"/>
        <v/>
      </c>
    </row>
    <row r="41" spans="1:19" x14ac:dyDescent="0.2">
      <c r="A41" s="8">
        <v>39173</v>
      </c>
      <c r="B41" s="4" t="s">
        <v>78</v>
      </c>
      <c r="C41" s="4" t="s">
        <v>121</v>
      </c>
      <c r="D41" s="14" t="str">
        <f>IF(SUMIFS('Monthly NSE Equity Futures'!$H:$H,'Monthly NSE Equity Futures'!$A:$A,$A41)=0,"",SUMIFS('Monthly NSE Equity Futures'!$H:$H,'Monthly NSE Equity Futures'!$A:$A,$A41))</f>
        <v/>
      </c>
      <c r="E41" s="6">
        <f>IF(SUMIFS('Monthly BSE Equity Futures'!$H:$H,'Monthly BSE Equity Futures'!$A:$A,$A41)=0,"",SUMIFS('Monthly BSE Equity Futures'!$H:$H,'Monthly BSE Equity Futures'!$A:$A,$A41))</f>
        <v>155.8528</v>
      </c>
      <c r="F41" s="6" t="str">
        <f t="shared" si="0"/>
        <v/>
      </c>
      <c r="G41" s="15" t="str">
        <f t="shared" si="1"/>
        <v/>
      </c>
      <c r="H41" s="15" t="str">
        <f t="shared" si="2"/>
        <v/>
      </c>
      <c r="I41" s="20" t="str">
        <f t="shared" si="9"/>
        <v/>
      </c>
      <c r="J41" s="15">
        <f t="shared" si="10"/>
        <v>11211.43165467626</v>
      </c>
      <c r="K41" s="15" t="str">
        <f t="shared" si="11"/>
        <v/>
      </c>
      <c r="L41" s="15" t="str">
        <f t="shared" si="6"/>
        <v/>
      </c>
      <c r="M41" s="15">
        <f t="shared" si="7"/>
        <v>-7.2294822206428355E-2</v>
      </c>
      <c r="N41" s="15" t="str">
        <f t="shared" si="8"/>
        <v/>
      </c>
      <c r="O41" s="18" t="str">
        <f>IF(SUMIFS('Monthly NSE Equity Futures'!$I:$I,'Monthly NSE Equity Futures'!$A:$A,$A41)=0,"",SUMIFS('Monthly NSE Equity Futures'!$I:$I,'Monthly NSE Equity Futures'!$A:$A,$A41))</f>
        <v/>
      </c>
      <c r="P41" s="7">
        <f>IF(SUMIFS('Monthly BSE Equity Futures'!$I:$I,'Monthly BSE Equity Futures'!$A:$A,$A41)=0,"",SUMIFS('Monthly BSE Equity Futures'!$I:$I,'Monthly BSE Equity Futures'!$A:$A,$A41))</f>
        <v>483332</v>
      </c>
      <c r="Q41" s="7" t="str">
        <f t="shared" si="3"/>
        <v/>
      </c>
      <c r="R41" s="19" t="str">
        <f t="shared" si="4"/>
        <v/>
      </c>
      <c r="S41" s="19" t="str">
        <f t="shared" si="5"/>
        <v/>
      </c>
    </row>
    <row r="42" spans="1:19" x14ac:dyDescent="0.2">
      <c r="A42" s="8">
        <v>39203</v>
      </c>
      <c r="B42" s="4" t="s">
        <v>78</v>
      </c>
      <c r="C42" s="4" t="s">
        <v>121</v>
      </c>
      <c r="D42" s="14" t="str">
        <f>IF(SUMIFS('Monthly NSE Equity Futures'!$H:$H,'Monthly NSE Equity Futures'!$A:$A,$A42)=0,"",SUMIFS('Monthly NSE Equity Futures'!$H:$H,'Monthly NSE Equity Futures'!$A:$A,$A42))</f>
        <v/>
      </c>
      <c r="E42" s="6">
        <f>IF(SUMIFS('Monthly BSE Equity Futures'!$H:$H,'Monthly BSE Equity Futures'!$A:$A,$A42)=0,"",SUMIFS('Monthly BSE Equity Futures'!$H:$H,'Monthly BSE Equity Futures'!$A:$A,$A42))</f>
        <v>170.15880000000001</v>
      </c>
      <c r="F42" s="6" t="str">
        <f t="shared" si="0"/>
        <v/>
      </c>
      <c r="G42" s="15" t="str">
        <f t="shared" si="1"/>
        <v/>
      </c>
      <c r="H42" s="15" t="str">
        <f t="shared" si="2"/>
        <v/>
      </c>
      <c r="I42" s="20" t="str">
        <f t="shared" si="9"/>
        <v/>
      </c>
      <c r="J42" s="15" t="str">
        <f t="shared" si="10"/>
        <v/>
      </c>
      <c r="K42" s="15" t="str">
        <f t="shared" si="11"/>
        <v/>
      </c>
      <c r="L42" s="15" t="str">
        <f t="shared" si="6"/>
        <v/>
      </c>
      <c r="M42" s="15">
        <f t="shared" si="7"/>
        <v>9.1791741951379846E-2</v>
      </c>
      <c r="N42" s="15" t="str">
        <f t="shared" si="8"/>
        <v/>
      </c>
      <c r="O42" s="18" t="str">
        <f>IF(SUMIFS('Monthly NSE Equity Futures'!$I:$I,'Monthly NSE Equity Futures'!$A:$A,$A42)=0,"",SUMIFS('Monthly NSE Equity Futures'!$I:$I,'Monthly NSE Equity Futures'!$A:$A,$A42))</f>
        <v/>
      </c>
      <c r="P42" s="7">
        <f>IF(SUMIFS('Monthly BSE Equity Futures'!$I:$I,'Monthly BSE Equity Futures'!$A:$A,$A42)=0,"",SUMIFS('Monthly BSE Equity Futures'!$I:$I,'Monthly BSE Equity Futures'!$A:$A,$A42))</f>
        <v>494242</v>
      </c>
      <c r="Q42" s="7" t="str">
        <f t="shared" si="3"/>
        <v/>
      </c>
      <c r="R42" s="19" t="str">
        <f t="shared" si="4"/>
        <v/>
      </c>
      <c r="S42" s="19" t="str">
        <f t="shared" si="5"/>
        <v/>
      </c>
    </row>
    <row r="43" spans="1:19" x14ac:dyDescent="0.2">
      <c r="A43" s="8">
        <v>39234</v>
      </c>
      <c r="B43" s="4" t="s">
        <v>78</v>
      </c>
      <c r="C43" s="4" t="s">
        <v>121</v>
      </c>
      <c r="D43" s="14" t="str">
        <f>IF(SUMIFS('Monthly NSE Equity Futures'!$H:$H,'Monthly NSE Equity Futures'!$A:$A,$A43)=0,"",SUMIFS('Monthly NSE Equity Futures'!$H:$H,'Monthly NSE Equity Futures'!$A:$A,$A43))</f>
        <v/>
      </c>
      <c r="E43" s="6">
        <f>IF(SUMIFS('Monthly BSE Equity Futures'!$H:$H,'Monthly BSE Equity Futures'!$A:$A,$A43)=0,"",SUMIFS('Monthly BSE Equity Futures'!$H:$H,'Monthly BSE Equity Futures'!$A:$A,$A43))</f>
        <v>177.27099999999999</v>
      </c>
      <c r="F43" s="6" t="str">
        <f t="shared" si="0"/>
        <v/>
      </c>
      <c r="G43" s="15" t="str">
        <f t="shared" si="1"/>
        <v/>
      </c>
      <c r="H43" s="15" t="str">
        <f t="shared" si="2"/>
        <v/>
      </c>
      <c r="I43" s="20" t="str">
        <f t="shared" si="9"/>
        <v/>
      </c>
      <c r="J43" s="15">
        <f t="shared" si="10"/>
        <v>1003.9376417233559</v>
      </c>
      <c r="K43" s="15" t="str">
        <f t="shared" si="11"/>
        <v/>
      </c>
      <c r="L43" s="15" t="str">
        <f t="shared" si="6"/>
        <v/>
      </c>
      <c r="M43" s="15">
        <f t="shared" si="7"/>
        <v>4.1797426874190302E-2</v>
      </c>
      <c r="N43" s="15" t="str">
        <f t="shared" si="8"/>
        <v/>
      </c>
      <c r="O43" s="18" t="str">
        <f>IF(SUMIFS('Monthly NSE Equity Futures'!$I:$I,'Monthly NSE Equity Futures'!$A:$A,$A43)=0,"",SUMIFS('Monthly NSE Equity Futures'!$I:$I,'Monthly NSE Equity Futures'!$A:$A,$A43))</f>
        <v/>
      </c>
      <c r="P43" s="7">
        <f>IF(SUMIFS('Monthly BSE Equity Futures'!$I:$I,'Monthly BSE Equity Futures'!$A:$A,$A43)=0,"",SUMIFS('Monthly BSE Equity Futures'!$I:$I,'Monthly BSE Equity Futures'!$A:$A,$A43))</f>
        <v>507480</v>
      </c>
      <c r="Q43" s="7" t="str">
        <f t="shared" si="3"/>
        <v/>
      </c>
      <c r="R43" s="19" t="str">
        <f t="shared" si="4"/>
        <v/>
      </c>
      <c r="S43" s="19" t="str">
        <f t="shared" si="5"/>
        <v/>
      </c>
    </row>
    <row r="44" spans="1:19" x14ac:dyDescent="0.2">
      <c r="A44" s="8">
        <v>39264</v>
      </c>
      <c r="B44" s="4" t="s">
        <v>78</v>
      </c>
      <c r="C44" s="4" t="s">
        <v>122</v>
      </c>
      <c r="D44" s="14" t="str">
        <f>IF(SUMIFS('Monthly NSE Equity Futures'!$H:$H,'Monthly NSE Equity Futures'!$A:$A,$A44)=0,"",SUMIFS('Monthly NSE Equity Futures'!$H:$H,'Monthly NSE Equity Futures'!$A:$A,$A44))</f>
        <v/>
      </c>
      <c r="E44" s="6">
        <f>IF(SUMIFS('Monthly BSE Equity Futures'!$H:$H,'Monthly BSE Equity Futures'!$A:$A,$A44)=0,"",SUMIFS('Monthly BSE Equity Futures'!$H:$H,'Monthly BSE Equity Futures'!$A:$A,$A44))</f>
        <v>204.45249999999999</v>
      </c>
      <c r="F44" s="6" t="str">
        <f t="shared" si="0"/>
        <v/>
      </c>
      <c r="G44" s="15" t="str">
        <f t="shared" si="1"/>
        <v/>
      </c>
      <c r="H44" s="15" t="str">
        <f t="shared" si="2"/>
        <v/>
      </c>
      <c r="I44" s="20" t="str">
        <f t="shared" si="9"/>
        <v/>
      </c>
      <c r="J44" s="15">
        <f t="shared" si="10"/>
        <v>784.14784946236546</v>
      </c>
      <c r="K44" s="15" t="str">
        <f t="shared" si="11"/>
        <v/>
      </c>
      <c r="L44" s="15" t="str">
        <f t="shared" si="6"/>
        <v/>
      </c>
      <c r="M44" s="15">
        <f t="shared" si="7"/>
        <v>0.15333303247570096</v>
      </c>
      <c r="N44" s="15" t="str">
        <f t="shared" si="8"/>
        <v/>
      </c>
      <c r="O44" s="18" t="str">
        <f>IF(SUMIFS('Monthly NSE Equity Futures'!$I:$I,'Monthly NSE Equity Futures'!$A:$A,$A44)=0,"",SUMIFS('Monthly NSE Equity Futures'!$I:$I,'Monthly NSE Equity Futures'!$A:$A,$A44))</f>
        <v/>
      </c>
      <c r="P44" s="7">
        <f>IF(SUMIFS('Monthly BSE Equity Futures'!$I:$I,'Monthly BSE Equity Futures'!$A:$A,$A44)=0,"",SUMIFS('Monthly BSE Equity Futures'!$I:$I,'Monthly BSE Equity Futures'!$A:$A,$A44))</f>
        <v>564604</v>
      </c>
      <c r="Q44" s="7" t="str">
        <f t="shared" si="3"/>
        <v/>
      </c>
      <c r="R44" s="19" t="str">
        <f t="shared" si="4"/>
        <v/>
      </c>
      <c r="S44" s="19" t="str">
        <f t="shared" si="5"/>
        <v/>
      </c>
    </row>
    <row r="45" spans="1:19" x14ac:dyDescent="0.2">
      <c r="A45" s="8">
        <v>39295</v>
      </c>
      <c r="B45" s="4" t="s">
        <v>78</v>
      </c>
      <c r="C45" s="4" t="s">
        <v>122</v>
      </c>
      <c r="D45" s="14" t="str">
        <f>IF(SUMIFS('Monthly NSE Equity Futures'!$H:$H,'Monthly NSE Equity Futures'!$A:$A,$A45)=0,"",SUMIFS('Monthly NSE Equity Futures'!$H:$H,'Monthly NSE Equity Futures'!$A:$A,$A45))</f>
        <v/>
      </c>
      <c r="E45" s="6">
        <f>IF(SUMIFS('Monthly BSE Equity Futures'!$H:$H,'Monthly BSE Equity Futures'!$A:$A,$A45)=0,"",SUMIFS('Monthly BSE Equity Futures'!$H:$H,'Monthly BSE Equity Futures'!$A:$A,$A45))</f>
        <v>200.11259999999999</v>
      </c>
      <c r="F45" s="6" t="str">
        <f t="shared" si="0"/>
        <v/>
      </c>
      <c r="G45" s="15" t="str">
        <f t="shared" si="1"/>
        <v/>
      </c>
      <c r="H45" s="15" t="str">
        <f t="shared" si="2"/>
        <v/>
      </c>
      <c r="I45" s="20" t="str">
        <f t="shared" si="9"/>
        <v/>
      </c>
      <c r="J45" s="15">
        <f t="shared" si="10"/>
        <v>291.09254123485618</v>
      </c>
      <c r="K45" s="15" t="str">
        <f t="shared" si="11"/>
        <v/>
      </c>
      <c r="L45" s="15" t="str">
        <f t="shared" si="6"/>
        <v/>
      </c>
      <c r="M45" s="15">
        <f t="shared" si="7"/>
        <v>-2.1226935351732035E-2</v>
      </c>
      <c r="N45" s="15" t="str">
        <f t="shared" si="8"/>
        <v/>
      </c>
      <c r="O45" s="18" t="str">
        <f>IF(SUMIFS('Monthly NSE Equity Futures'!$I:$I,'Monthly NSE Equity Futures'!$A:$A,$A45)=0,"",SUMIFS('Monthly NSE Equity Futures'!$I:$I,'Monthly NSE Equity Futures'!$A:$A,$A45))</f>
        <v/>
      </c>
      <c r="P45" s="7">
        <f>IF(SUMIFS('Monthly BSE Equity Futures'!$I:$I,'Monthly BSE Equity Futures'!$A:$A,$A45)=0,"",SUMIFS('Monthly BSE Equity Futures'!$I:$I,'Monthly BSE Equity Futures'!$A:$A,$A45))</f>
        <v>554655</v>
      </c>
      <c r="Q45" s="7" t="str">
        <f t="shared" si="3"/>
        <v/>
      </c>
      <c r="R45" s="19" t="str">
        <f t="shared" si="4"/>
        <v/>
      </c>
      <c r="S45" s="19" t="str">
        <f t="shared" si="5"/>
        <v/>
      </c>
    </row>
    <row r="46" spans="1:19" x14ac:dyDescent="0.2">
      <c r="A46" s="8">
        <v>39326</v>
      </c>
      <c r="B46" s="4" t="s">
        <v>78</v>
      </c>
      <c r="C46" s="4" t="s">
        <v>122</v>
      </c>
      <c r="D46" s="14" t="str">
        <f>IF(SUMIFS('Monthly NSE Equity Futures'!$H:$H,'Monthly NSE Equity Futures'!$A:$A,$A46)=0,"",SUMIFS('Monthly NSE Equity Futures'!$H:$H,'Monthly NSE Equity Futures'!$A:$A,$A46))</f>
        <v/>
      </c>
      <c r="E46" s="6">
        <f>IF(SUMIFS('Monthly BSE Equity Futures'!$H:$H,'Monthly BSE Equity Futures'!$A:$A,$A46)=0,"",SUMIFS('Monthly BSE Equity Futures'!$H:$H,'Monthly BSE Equity Futures'!$A:$A,$A46))</f>
        <v>215.02940000000001</v>
      </c>
      <c r="F46" s="6" t="str">
        <f t="shared" si="0"/>
        <v/>
      </c>
      <c r="G46" s="15" t="str">
        <f t="shared" si="1"/>
        <v/>
      </c>
      <c r="H46" s="15" t="str">
        <f t="shared" si="2"/>
        <v/>
      </c>
      <c r="I46" s="20" t="str">
        <f t="shared" si="9"/>
        <v/>
      </c>
      <c r="J46" s="15">
        <f t="shared" si="10"/>
        <v>80.030033538078911</v>
      </c>
      <c r="K46" s="15" t="str">
        <f t="shared" si="11"/>
        <v/>
      </c>
      <c r="L46" s="15" t="str">
        <f t="shared" si="6"/>
        <v/>
      </c>
      <c r="M46" s="15">
        <f t="shared" si="7"/>
        <v>7.454203283551375E-2</v>
      </c>
      <c r="N46" s="15" t="str">
        <f t="shared" si="8"/>
        <v/>
      </c>
      <c r="O46" s="18" t="str">
        <f>IF(SUMIFS('Monthly NSE Equity Futures'!$I:$I,'Monthly NSE Equity Futures'!$A:$A,$A46)=0,"",SUMIFS('Monthly NSE Equity Futures'!$I:$I,'Monthly NSE Equity Futures'!$A:$A,$A46))</f>
        <v/>
      </c>
      <c r="P46" s="7">
        <f>IF(SUMIFS('Monthly BSE Equity Futures'!$I:$I,'Monthly BSE Equity Futures'!$A:$A,$A46)=0,"",SUMIFS('Monthly BSE Equity Futures'!$I:$I,'Monthly BSE Equity Futures'!$A:$A,$A46))</f>
        <v>537551</v>
      </c>
      <c r="Q46" s="7" t="str">
        <f t="shared" si="3"/>
        <v/>
      </c>
      <c r="R46" s="19" t="str">
        <f t="shared" si="4"/>
        <v/>
      </c>
      <c r="S46" s="19" t="str">
        <f t="shared" si="5"/>
        <v/>
      </c>
    </row>
    <row r="47" spans="1:19" x14ac:dyDescent="0.2">
      <c r="A47" s="8">
        <v>39356</v>
      </c>
      <c r="B47" s="4" t="s">
        <v>78</v>
      </c>
      <c r="C47" s="4" t="s">
        <v>123</v>
      </c>
      <c r="D47" s="14" t="str">
        <f>IF(SUMIFS('Monthly NSE Equity Futures'!$H:$H,'Monthly NSE Equity Futures'!$A:$A,$A47)=0,"",SUMIFS('Monthly NSE Equity Futures'!$H:$H,'Monthly NSE Equity Futures'!$A:$A,$A47))</f>
        <v/>
      </c>
      <c r="E47" s="6">
        <f>IF(SUMIFS('Monthly BSE Equity Futures'!$H:$H,'Monthly BSE Equity Futures'!$A:$A,$A47)=0,"",SUMIFS('Monthly BSE Equity Futures'!$H:$H,'Monthly BSE Equity Futures'!$A:$A,$A47))</f>
        <v>239.84829999999999</v>
      </c>
      <c r="F47" s="6" t="str">
        <f t="shared" si="0"/>
        <v/>
      </c>
      <c r="G47" s="15" t="str">
        <f t="shared" si="1"/>
        <v/>
      </c>
      <c r="H47" s="15" t="str">
        <f t="shared" si="2"/>
        <v/>
      </c>
      <c r="I47" s="20" t="str">
        <f t="shared" si="9"/>
        <v/>
      </c>
      <c r="J47" s="15">
        <f t="shared" si="10"/>
        <v>121.27176794453507</v>
      </c>
      <c r="K47" s="15" t="str">
        <f t="shared" si="11"/>
        <v/>
      </c>
      <c r="L47" s="15" t="str">
        <f t="shared" si="6"/>
        <v/>
      </c>
      <c r="M47" s="15">
        <f t="shared" si="7"/>
        <v>0.11542096104067623</v>
      </c>
      <c r="N47" s="15" t="str">
        <f t="shared" si="8"/>
        <v/>
      </c>
      <c r="O47" s="18" t="str">
        <f>IF(SUMIFS('Monthly NSE Equity Futures'!$I:$I,'Monthly NSE Equity Futures'!$A:$A,$A47)=0,"",SUMIFS('Monthly NSE Equity Futures'!$I:$I,'Monthly NSE Equity Futures'!$A:$A,$A47))</f>
        <v/>
      </c>
      <c r="P47" s="7">
        <f>IF(SUMIFS('Monthly BSE Equity Futures'!$I:$I,'Monthly BSE Equity Futures'!$A:$A,$A47)=0,"",SUMIFS('Monthly BSE Equity Futures'!$I:$I,'Monthly BSE Equity Futures'!$A:$A,$A47))</f>
        <v>519573</v>
      </c>
      <c r="Q47" s="7" t="str">
        <f t="shared" si="3"/>
        <v/>
      </c>
      <c r="R47" s="19" t="str">
        <f t="shared" si="4"/>
        <v/>
      </c>
      <c r="S47" s="19" t="str">
        <f t="shared" si="5"/>
        <v/>
      </c>
    </row>
    <row r="48" spans="1:19" x14ac:dyDescent="0.2">
      <c r="A48" s="8">
        <v>39387</v>
      </c>
      <c r="B48" s="4" t="s">
        <v>78</v>
      </c>
      <c r="C48" s="4" t="s">
        <v>123</v>
      </c>
      <c r="D48" s="14" t="str">
        <f>IF(SUMIFS('Monthly NSE Equity Futures'!$H:$H,'Monthly NSE Equity Futures'!$A:$A,$A48)=0,"",SUMIFS('Monthly NSE Equity Futures'!$H:$H,'Monthly NSE Equity Futures'!$A:$A,$A48))</f>
        <v/>
      </c>
      <c r="E48" s="6">
        <f>IF(SUMIFS('Monthly BSE Equity Futures'!$H:$H,'Monthly BSE Equity Futures'!$A:$A,$A48)=0,"",SUMIFS('Monthly BSE Equity Futures'!$H:$H,'Monthly BSE Equity Futures'!$A:$A,$A48))</f>
        <v>222.67670000000001</v>
      </c>
      <c r="F48" s="6" t="str">
        <f t="shared" si="0"/>
        <v/>
      </c>
      <c r="G48" s="15" t="str">
        <f t="shared" si="1"/>
        <v/>
      </c>
      <c r="H48" s="15" t="str">
        <f t="shared" si="2"/>
        <v/>
      </c>
      <c r="I48" s="20" t="str">
        <f t="shared" si="9"/>
        <v/>
      </c>
      <c r="J48" s="15">
        <f t="shared" si="10"/>
        <v>1.7884151579432443</v>
      </c>
      <c r="K48" s="15" t="str">
        <f t="shared" si="11"/>
        <v/>
      </c>
      <c r="L48" s="15" t="str">
        <f t="shared" si="6"/>
        <v/>
      </c>
      <c r="M48" s="15">
        <f t="shared" si="7"/>
        <v>-7.1593586446099367E-2</v>
      </c>
      <c r="N48" s="15" t="str">
        <f t="shared" si="8"/>
        <v/>
      </c>
      <c r="O48" s="18" t="str">
        <f>IF(SUMIFS('Monthly NSE Equity Futures'!$I:$I,'Monthly NSE Equity Futures'!$A:$A,$A48)=0,"",SUMIFS('Monthly NSE Equity Futures'!$I:$I,'Monthly NSE Equity Futures'!$A:$A,$A48))</f>
        <v/>
      </c>
      <c r="P48" s="7">
        <f>IF(SUMIFS('Monthly BSE Equity Futures'!$I:$I,'Monthly BSE Equity Futures'!$A:$A,$A48)=0,"",SUMIFS('Monthly BSE Equity Futures'!$I:$I,'Monthly BSE Equity Futures'!$A:$A,$A48))</f>
        <v>458249</v>
      </c>
      <c r="Q48" s="7" t="str">
        <f t="shared" si="3"/>
        <v/>
      </c>
      <c r="R48" s="19" t="str">
        <f t="shared" si="4"/>
        <v/>
      </c>
      <c r="S48" s="19" t="str">
        <f t="shared" si="5"/>
        <v/>
      </c>
    </row>
    <row r="49" spans="1:19" x14ac:dyDescent="0.2">
      <c r="A49" s="8">
        <v>39417</v>
      </c>
      <c r="B49" s="4" t="s">
        <v>78</v>
      </c>
      <c r="C49" s="4" t="s">
        <v>123</v>
      </c>
      <c r="D49" s="14" t="str">
        <f>IF(SUMIFS('Monthly NSE Equity Futures'!$H:$H,'Monthly NSE Equity Futures'!$A:$A,$A49)=0,"",SUMIFS('Monthly NSE Equity Futures'!$H:$H,'Monthly NSE Equity Futures'!$A:$A,$A49))</f>
        <v/>
      </c>
      <c r="E49" s="6">
        <f>IF(SUMIFS('Monthly BSE Equity Futures'!$H:$H,'Monthly BSE Equity Futures'!$A:$A,$A49)=0,"",SUMIFS('Monthly BSE Equity Futures'!$H:$H,'Monthly BSE Equity Futures'!$A:$A,$A49))</f>
        <v>203.13800000000001</v>
      </c>
      <c r="F49" s="6" t="str">
        <f t="shared" si="0"/>
        <v/>
      </c>
      <c r="G49" s="15" t="str">
        <f t="shared" si="1"/>
        <v/>
      </c>
      <c r="H49" s="15" t="str">
        <f t="shared" si="2"/>
        <v/>
      </c>
      <c r="I49" s="20" t="str">
        <f t="shared" si="9"/>
        <v/>
      </c>
      <c r="J49" s="15">
        <f t="shared" si="10"/>
        <v>1.1374262668010684</v>
      </c>
      <c r="K49" s="15" t="str">
        <f t="shared" si="11"/>
        <v/>
      </c>
      <c r="L49" s="15" t="str">
        <f t="shared" si="6"/>
        <v/>
      </c>
      <c r="M49" s="15">
        <f t="shared" si="7"/>
        <v>-8.7744698928985398E-2</v>
      </c>
      <c r="N49" s="15" t="str">
        <f t="shared" si="8"/>
        <v/>
      </c>
      <c r="O49" s="18" t="str">
        <f>IF(SUMIFS('Monthly NSE Equity Futures'!$I:$I,'Monthly NSE Equity Futures'!$A:$A,$A49)=0,"",SUMIFS('Monthly NSE Equity Futures'!$I:$I,'Monthly NSE Equity Futures'!$A:$A,$A49))</f>
        <v/>
      </c>
      <c r="P49" s="7">
        <f>IF(SUMIFS('Monthly BSE Equity Futures'!$I:$I,'Monthly BSE Equity Futures'!$A:$A,$A49)=0,"",SUMIFS('Monthly BSE Equity Futures'!$I:$I,'Monthly BSE Equity Futures'!$A:$A,$A49))</f>
        <v>678800</v>
      </c>
      <c r="Q49" s="7" t="str">
        <f t="shared" si="3"/>
        <v/>
      </c>
      <c r="R49" s="19" t="str">
        <f t="shared" si="4"/>
        <v/>
      </c>
      <c r="S49" s="19" t="str">
        <f t="shared" si="5"/>
        <v/>
      </c>
    </row>
    <row r="50" spans="1:19" x14ac:dyDescent="0.2">
      <c r="A50" s="8">
        <v>39448</v>
      </c>
      <c r="B50" s="4" t="s">
        <v>78</v>
      </c>
      <c r="C50" s="4" t="s">
        <v>124</v>
      </c>
      <c r="D50" s="14" t="str">
        <f>IF(SUMIFS('Monthly NSE Equity Futures'!$H:$H,'Monthly NSE Equity Futures'!$A:$A,$A50)=0,"",SUMIFS('Monthly NSE Equity Futures'!$H:$H,'Monthly NSE Equity Futures'!$A:$A,$A50))</f>
        <v/>
      </c>
      <c r="E50" s="6">
        <f>IF(SUMIFS('Monthly BSE Equity Futures'!$H:$H,'Monthly BSE Equity Futures'!$A:$A,$A50)=0,"",SUMIFS('Monthly BSE Equity Futures'!$H:$H,'Monthly BSE Equity Futures'!$A:$A,$A50))</f>
        <v>222.8263</v>
      </c>
      <c r="F50" s="6" t="str">
        <f t="shared" si="0"/>
        <v/>
      </c>
      <c r="G50" s="15" t="str">
        <f t="shared" si="1"/>
        <v/>
      </c>
      <c r="H50" s="15" t="str">
        <f t="shared" si="2"/>
        <v/>
      </c>
      <c r="I50" s="20" t="str">
        <f t="shared" si="9"/>
        <v/>
      </c>
      <c r="J50" s="15">
        <f t="shared" si="10"/>
        <v>1.0344770285532725</v>
      </c>
      <c r="K50" s="15" t="str">
        <f t="shared" si="11"/>
        <v/>
      </c>
      <c r="L50" s="15" t="str">
        <f t="shared" si="6"/>
        <v/>
      </c>
      <c r="M50" s="15">
        <f t="shared" si="7"/>
        <v>9.692081245261841E-2</v>
      </c>
      <c r="N50" s="15" t="str">
        <f t="shared" si="8"/>
        <v/>
      </c>
      <c r="O50" s="18" t="str">
        <f>IF(SUMIFS('Monthly NSE Equity Futures'!$I:$I,'Monthly NSE Equity Futures'!$A:$A,$A50)=0,"",SUMIFS('Monthly NSE Equity Futures'!$I:$I,'Monthly NSE Equity Futures'!$A:$A,$A50))</f>
        <v/>
      </c>
      <c r="P50" s="7">
        <f>IF(SUMIFS('Monthly BSE Equity Futures'!$I:$I,'Monthly BSE Equity Futures'!$A:$A,$A50)=0,"",SUMIFS('Monthly BSE Equity Futures'!$I:$I,'Monthly BSE Equity Futures'!$A:$A,$A50))</f>
        <v>1008630</v>
      </c>
      <c r="Q50" s="7" t="str">
        <f t="shared" si="3"/>
        <v/>
      </c>
      <c r="R50" s="19" t="str">
        <f t="shared" si="4"/>
        <v/>
      </c>
      <c r="S50" s="19" t="str">
        <f t="shared" si="5"/>
        <v/>
      </c>
    </row>
    <row r="51" spans="1:19" x14ac:dyDescent="0.2">
      <c r="A51" s="8">
        <v>39479</v>
      </c>
      <c r="B51" s="4" t="s">
        <v>78</v>
      </c>
      <c r="C51" s="4" t="s">
        <v>124</v>
      </c>
      <c r="D51" s="14" t="str">
        <f>IF(SUMIFS('Monthly NSE Equity Futures'!$H:$H,'Monthly NSE Equity Futures'!$A:$A,$A51)=0,"",SUMIFS('Monthly NSE Equity Futures'!$H:$H,'Monthly NSE Equity Futures'!$A:$A,$A51))</f>
        <v/>
      </c>
      <c r="E51" s="6">
        <f>IF(SUMIFS('Monthly BSE Equity Futures'!$H:$H,'Monthly BSE Equity Futures'!$A:$A,$A51)=0,"",SUMIFS('Monthly BSE Equity Futures'!$H:$H,'Monthly BSE Equity Futures'!$A:$A,$A51))</f>
        <v>225.6446</v>
      </c>
      <c r="F51" s="6" t="str">
        <f t="shared" si="0"/>
        <v/>
      </c>
      <c r="G51" s="15" t="str">
        <f t="shared" si="1"/>
        <v/>
      </c>
      <c r="H51" s="15" t="str">
        <f t="shared" si="2"/>
        <v/>
      </c>
      <c r="I51" s="20" t="str">
        <f t="shared" si="9"/>
        <v/>
      </c>
      <c r="J51" s="15">
        <f t="shared" si="10"/>
        <v>0.71081817961253391</v>
      </c>
      <c r="K51" s="15" t="str">
        <f t="shared" si="11"/>
        <v/>
      </c>
      <c r="L51" s="15" t="str">
        <f t="shared" si="6"/>
        <v/>
      </c>
      <c r="M51" s="15">
        <f t="shared" si="7"/>
        <v>1.2647968395113063E-2</v>
      </c>
      <c r="N51" s="15" t="str">
        <f t="shared" si="8"/>
        <v/>
      </c>
      <c r="O51" s="18" t="str">
        <f>IF(SUMIFS('Monthly NSE Equity Futures'!$I:$I,'Monthly NSE Equity Futures'!$A:$A,$A51)=0,"",SUMIFS('Monthly NSE Equity Futures'!$I:$I,'Monthly NSE Equity Futures'!$A:$A,$A51))</f>
        <v/>
      </c>
      <c r="P51" s="7">
        <f>IF(SUMIFS('Monthly BSE Equity Futures'!$I:$I,'Monthly BSE Equity Futures'!$A:$A,$A51)=0,"",SUMIFS('Monthly BSE Equity Futures'!$I:$I,'Monthly BSE Equity Futures'!$A:$A,$A51))</f>
        <v>855792</v>
      </c>
      <c r="Q51" s="7" t="str">
        <f t="shared" si="3"/>
        <v/>
      </c>
      <c r="R51" s="19" t="str">
        <f t="shared" si="4"/>
        <v/>
      </c>
      <c r="S51" s="19" t="str">
        <f t="shared" si="5"/>
        <v/>
      </c>
    </row>
    <row r="52" spans="1:19" x14ac:dyDescent="0.2">
      <c r="A52" s="8">
        <v>39508</v>
      </c>
      <c r="B52" s="4" t="s">
        <v>78</v>
      </c>
      <c r="C52" s="4" t="s">
        <v>124</v>
      </c>
      <c r="D52" s="14" t="str">
        <f>IF(SUMIFS('Monthly NSE Equity Futures'!$H:$H,'Monthly NSE Equity Futures'!$A:$A,$A52)=0,"",SUMIFS('Monthly NSE Equity Futures'!$H:$H,'Monthly NSE Equity Futures'!$A:$A,$A52))</f>
        <v/>
      </c>
      <c r="E52" s="6">
        <f>IF(SUMIFS('Monthly BSE Equity Futures'!$H:$H,'Monthly BSE Equity Futures'!$A:$A,$A52)=0,"",SUMIFS('Monthly BSE Equity Futures'!$H:$H,'Monthly BSE Equity Futures'!$A:$A,$A52))</f>
        <v>185.68299999999999</v>
      </c>
      <c r="F52" s="6" t="str">
        <f t="shared" si="0"/>
        <v/>
      </c>
      <c r="G52" s="15" t="str">
        <f t="shared" si="1"/>
        <v/>
      </c>
      <c r="H52" s="15" t="str">
        <f t="shared" si="2"/>
        <v/>
      </c>
      <c r="I52" s="20" t="str">
        <f t="shared" si="9"/>
        <v/>
      </c>
      <c r="J52" s="15">
        <f t="shared" si="10"/>
        <v>0.10526779453589374</v>
      </c>
      <c r="K52" s="15" t="str">
        <f t="shared" si="11"/>
        <v/>
      </c>
      <c r="L52" s="15" t="str">
        <f t="shared" si="6"/>
        <v/>
      </c>
      <c r="M52" s="15">
        <f t="shared" si="7"/>
        <v>-0.17709974003366358</v>
      </c>
      <c r="N52" s="15" t="str">
        <f t="shared" si="8"/>
        <v/>
      </c>
      <c r="O52" s="18" t="str">
        <f>IF(SUMIFS('Monthly NSE Equity Futures'!$I:$I,'Monthly NSE Equity Futures'!$A:$A,$A52)=0,"",SUMIFS('Monthly NSE Equity Futures'!$I:$I,'Monthly NSE Equity Futures'!$A:$A,$A52))</f>
        <v/>
      </c>
      <c r="P52" s="7">
        <f>IF(SUMIFS('Monthly BSE Equity Futures'!$I:$I,'Monthly BSE Equity Futures'!$A:$A,$A52)=0,"",SUMIFS('Monthly BSE Equity Futures'!$I:$I,'Monthly BSE Equity Futures'!$A:$A,$A52))</f>
        <v>789287</v>
      </c>
      <c r="Q52" s="7" t="str">
        <f t="shared" si="3"/>
        <v/>
      </c>
      <c r="R52" s="19" t="str">
        <f t="shared" si="4"/>
        <v/>
      </c>
      <c r="S52" s="19" t="str">
        <f t="shared" si="5"/>
        <v/>
      </c>
    </row>
    <row r="53" spans="1:19" x14ac:dyDescent="0.2">
      <c r="A53" s="8">
        <v>39539</v>
      </c>
      <c r="B53" s="4" t="s">
        <v>79</v>
      </c>
      <c r="C53" s="4" t="s">
        <v>125</v>
      </c>
      <c r="D53" s="14" t="str">
        <f>IF(SUMIFS('Monthly NSE Equity Futures'!$H:$H,'Monthly NSE Equity Futures'!$A:$A,$A53)=0,"",SUMIFS('Monthly NSE Equity Futures'!$H:$H,'Monthly NSE Equity Futures'!$A:$A,$A53))</f>
        <v/>
      </c>
      <c r="E53" s="6">
        <f>IF(SUMIFS('Monthly BSE Equity Futures'!$H:$H,'Monthly BSE Equity Futures'!$A:$A,$A53)=0,"",SUMIFS('Monthly BSE Equity Futures'!$H:$H,'Monthly BSE Equity Futures'!$A:$A,$A53))</f>
        <v>40.5349</v>
      </c>
      <c r="F53" s="6" t="str">
        <f t="shared" si="0"/>
        <v/>
      </c>
      <c r="G53" s="15" t="str">
        <f t="shared" si="1"/>
        <v/>
      </c>
      <c r="H53" s="15" t="str">
        <f t="shared" si="2"/>
        <v/>
      </c>
      <c r="I53" s="20" t="str">
        <f t="shared" si="9"/>
        <v/>
      </c>
      <c r="J53" s="15">
        <f t="shared" si="10"/>
        <v>-0.73991548435446775</v>
      </c>
      <c r="K53" s="15" t="str">
        <f t="shared" si="11"/>
        <v/>
      </c>
      <c r="L53" s="15" t="str">
        <f t="shared" si="6"/>
        <v/>
      </c>
      <c r="M53" s="15">
        <f t="shared" si="7"/>
        <v>-0.7816983784191337</v>
      </c>
      <c r="N53" s="15" t="str">
        <f t="shared" si="8"/>
        <v/>
      </c>
      <c r="O53" s="18" t="str">
        <f>IF(SUMIFS('Monthly NSE Equity Futures'!$I:$I,'Monthly NSE Equity Futures'!$A:$A,$A53)=0,"",SUMIFS('Monthly NSE Equity Futures'!$I:$I,'Monthly NSE Equity Futures'!$A:$A,$A53))</f>
        <v/>
      </c>
      <c r="P53" s="7">
        <f>IF(SUMIFS('Monthly BSE Equity Futures'!$I:$I,'Monthly BSE Equity Futures'!$A:$A,$A53)=0,"",SUMIFS('Monthly BSE Equity Futures'!$I:$I,'Monthly BSE Equity Futures'!$A:$A,$A53))</f>
        <v>166234</v>
      </c>
      <c r="Q53" s="7" t="str">
        <f t="shared" si="3"/>
        <v/>
      </c>
      <c r="R53" s="19" t="str">
        <f t="shared" si="4"/>
        <v/>
      </c>
      <c r="S53" s="19" t="str">
        <f t="shared" si="5"/>
        <v/>
      </c>
    </row>
    <row r="54" spans="1:19" x14ac:dyDescent="0.2">
      <c r="A54" s="8">
        <v>39569</v>
      </c>
      <c r="B54" s="4" t="s">
        <v>79</v>
      </c>
      <c r="C54" s="4" t="s">
        <v>125</v>
      </c>
      <c r="D54" s="14" t="str">
        <f>IF(SUMIFS('Monthly NSE Equity Futures'!$H:$H,'Monthly NSE Equity Futures'!$A:$A,$A54)=0,"",SUMIFS('Monthly NSE Equity Futures'!$H:$H,'Monthly NSE Equity Futures'!$A:$A,$A54))</f>
        <v/>
      </c>
      <c r="E54" s="6">
        <f>IF(SUMIFS('Monthly BSE Equity Futures'!$H:$H,'Monthly BSE Equity Futures'!$A:$A,$A54)=0,"",SUMIFS('Monthly BSE Equity Futures'!$H:$H,'Monthly BSE Equity Futures'!$A:$A,$A54))</f>
        <v>45.579900000000002</v>
      </c>
      <c r="F54" s="6" t="str">
        <f t="shared" si="0"/>
        <v/>
      </c>
      <c r="G54" s="15" t="str">
        <f t="shared" si="1"/>
        <v/>
      </c>
      <c r="H54" s="15" t="str">
        <f t="shared" si="2"/>
        <v/>
      </c>
      <c r="I54" s="20" t="str">
        <f t="shared" si="9"/>
        <v/>
      </c>
      <c r="J54" s="15">
        <f t="shared" si="10"/>
        <v>-0.73213316031847897</v>
      </c>
      <c r="K54" s="15" t="str">
        <f t="shared" si="11"/>
        <v/>
      </c>
      <c r="L54" s="15" t="str">
        <f t="shared" si="6"/>
        <v/>
      </c>
      <c r="M54" s="15">
        <f t="shared" si="7"/>
        <v>0.12446064995843087</v>
      </c>
      <c r="N54" s="15" t="str">
        <f t="shared" si="8"/>
        <v/>
      </c>
      <c r="O54" s="18" t="str">
        <f>IF(SUMIFS('Monthly NSE Equity Futures'!$I:$I,'Monthly NSE Equity Futures'!$A:$A,$A54)=0,"",SUMIFS('Monthly NSE Equity Futures'!$I:$I,'Monthly NSE Equity Futures'!$A:$A,$A54))</f>
        <v/>
      </c>
      <c r="P54" s="7">
        <f>IF(SUMIFS('Monthly BSE Equity Futures'!$I:$I,'Monthly BSE Equity Futures'!$A:$A,$A54)=0,"",SUMIFS('Monthly BSE Equity Futures'!$I:$I,'Monthly BSE Equity Futures'!$A:$A,$A54))</f>
        <v>179060</v>
      </c>
      <c r="Q54" s="7" t="str">
        <f t="shared" si="3"/>
        <v/>
      </c>
      <c r="R54" s="19" t="str">
        <f t="shared" si="4"/>
        <v/>
      </c>
      <c r="S54" s="19" t="str">
        <f t="shared" si="5"/>
        <v/>
      </c>
    </row>
    <row r="55" spans="1:19" x14ac:dyDescent="0.2">
      <c r="A55" s="8">
        <v>39600</v>
      </c>
      <c r="B55" s="4" t="s">
        <v>79</v>
      </c>
      <c r="C55" s="4" t="s">
        <v>125</v>
      </c>
      <c r="D55" s="14" t="str">
        <f>IF(SUMIFS('Monthly NSE Equity Futures'!$H:$H,'Monthly NSE Equity Futures'!$A:$A,$A55)=0,"",SUMIFS('Monthly NSE Equity Futures'!$H:$H,'Monthly NSE Equity Futures'!$A:$A,$A55))</f>
        <v/>
      </c>
      <c r="E55" s="6">
        <f>IF(SUMIFS('Monthly BSE Equity Futures'!$H:$H,'Monthly BSE Equity Futures'!$A:$A,$A55)=0,"",SUMIFS('Monthly BSE Equity Futures'!$H:$H,'Monthly BSE Equity Futures'!$A:$A,$A55))</f>
        <v>13.6044</v>
      </c>
      <c r="F55" s="6" t="str">
        <f t="shared" si="0"/>
        <v/>
      </c>
      <c r="G55" s="15" t="str">
        <f t="shared" si="1"/>
        <v/>
      </c>
      <c r="H55" s="15" t="str">
        <f t="shared" si="2"/>
        <v/>
      </c>
      <c r="I55" s="20" t="str">
        <f t="shared" si="9"/>
        <v/>
      </c>
      <c r="J55" s="15">
        <f t="shared" si="10"/>
        <v>-0.92325648301188579</v>
      </c>
      <c r="K55" s="15" t="str">
        <f t="shared" si="11"/>
        <v/>
      </c>
      <c r="L55" s="15" t="str">
        <f t="shared" si="6"/>
        <v/>
      </c>
      <c r="M55" s="15">
        <f t="shared" si="7"/>
        <v>-0.70152633068523629</v>
      </c>
      <c r="N55" s="15" t="str">
        <f t="shared" si="8"/>
        <v/>
      </c>
      <c r="O55" s="18" t="str">
        <f>IF(SUMIFS('Monthly NSE Equity Futures'!$I:$I,'Monthly NSE Equity Futures'!$A:$A,$A55)=0,"",SUMIFS('Monthly NSE Equity Futures'!$I:$I,'Monthly NSE Equity Futures'!$A:$A,$A55))</f>
        <v/>
      </c>
      <c r="P55" s="7">
        <f>IF(SUMIFS('Monthly BSE Equity Futures'!$I:$I,'Monthly BSE Equity Futures'!$A:$A,$A55)=0,"",SUMIFS('Monthly BSE Equity Futures'!$I:$I,'Monthly BSE Equity Futures'!$A:$A,$A55))</f>
        <v>59962</v>
      </c>
      <c r="Q55" s="7" t="str">
        <f t="shared" si="3"/>
        <v/>
      </c>
      <c r="R55" s="19" t="str">
        <f t="shared" si="4"/>
        <v/>
      </c>
      <c r="S55" s="19" t="str">
        <f t="shared" si="5"/>
        <v/>
      </c>
    </row>
    <row r="56" spans="1:19" x14ac:dyDescent="0.2">
      <c r="A56" s="8">
        <v>39630</v>
      </c>
      <c r="B56" s="4" t="s">
        <v>79</v>
      </c>
      <c r="C56" s="4" t="s">
        <v>126</v>
      </c>
      <c r="D56" s="14" t="str">
        <f>IF(SUMIFS('Monthly NSE Equity Futures'!$H:$H,'Monthly NSE Equity Futures'!$A:$A,$A56)=0,"",SUMIFS('Monthly NSE Equity Futures'!$H:$H,'Monthly NSE Equity Futures'!$A:$A,$A56))</f>
        <v/>
      </c>
      <c r="E56" s="6">
        <f>IF(SUMIFS('Monthly BSE Equity Futures'!$H:$H,'Monthly BSE Equity Futures'!$A:$A,$A56)=0,"",SUMIFS('Monthly BSE Equity Futures'!$H:$H,'Monthly BSE Equity Futures'!$A:$A,$A56))</f>
        <v>7.6607000000000003</v>
      </c>
      <c r="F56" s="6" t="str">
        <f t="shared" si="0"/>
        <v/>
      </c>
      <c r="G56" s="15" t="str">
        <f t="shared" si="1"/>
        <v/>
      </c>
      <c r="H56" s="15" t="str">
        <f t="shared" si="2"/>
        <v/>
      </c>
      <c r="I56" s="20" t="str">
        <f t="shared" si="9"/>
        <v/>
      </c>
      <c r="J56" s="15">
        <f t="shared" si="10"/>
        <v>-0.96253066115601427</v>
      </c>
      <c r="K56" s="15" t="str">
        <f t="shared" si="11"/>
        <v/>
      </c>
      <c r="L56" s="15" t="str">
        <f t="shared" si="6"/>
        <v/>
      </c>
      <c r="M56" s="15">
        <f t="shared" si="7"/>
        <v>-0.43689541618888006</v>
      </c>
      <c r="N56" s="15" t="str">
        <f t="shared" si="8"/>
        <v/>
      </c>
      <c r="O56" s="18" t="str">
        <f>IF(SUMIFS('Monthly NSE Equity Futures'!$I:$I,'Monthly NSE Equity Futures'!$A:$A,$A56)=0,"",SUMIFS('Monthly NSE Equity Futures'!$I:$I,'Monthly NSE Equity Futures'!$A:$A,$A56))</f>
        <v/>
      </c>
      <c r="P56" s="7">
        <f>IF(SUMIFS('Monthly BSE Equity Futures'!$I:$I,'Monthly BSE Equity Futures'!$A:$A,$A56)=0,"",SUMIFS('Monthly BSE Equity Futures'!$I:$I,'Monthly BSE Equity Futures'!$A:$A,$A56))</f>
        <v>37802</v>
      </c>
      <c r="Q56" s="7" t="str">
        <f t="shared" si="3"/>
        <v/>
      </c>
      <c r="R56" s="19" t="str">
        <f t="shared" si="4"/>
        <v/>
      </c>
      <c r="S56" s="19" t="str">
        <f t="shared" si="5"/>
        <v/>
      </c>
    </row>
    <row r="57" spans="1:19" x14ac:dyDescent="0.2">
      <c r="A57" s="8">
        <v>39661</v>
      </c>
      <c r="B57" s="4" t="s">
        <v>79</v>
      </c>
      <c r="C57" s="4" t="s">
        <v>126</v>
      </c>
      <c r="D57" s="14" t="str">
        <f>IF(SUMIFS('Monthly NSE Equity Futures'!$H:$H,'Monthly NSE Equity Futures'!$A:$A,$A57)=0,"",SUMIFS('Monthly NSE Equity Futures'!$H:$H,'Monthly NSE Equity Futures'!$A:$A,$A57))</f>
        <v/>
      </c>
      <c r="E57" s="6">
        <f>IF(SUMIFS('Monthly BSE Equity Futures'!$H:$H,'Monthly BSE Equity Futures'!$A:$A,$A57)=0,"",SUMIFS('Monthly BSE Equity Futures'!$H:$H,'Monthly BSE Equity Futures'!$A:$A,$A57))</f>
        <v>3.7256</v>
      </c>
      <c r="F57" s="6" t="str">
        <f t="shared" si="0"/>
        <v/>
      </c>
      <c r="G57" s="15" t="str">
        <f t="shared" si="1"/>
        <v/>
      </c>
      <c r="H57" s="15" t="str">
        <f t="shared" si="2"/>
        <v/>
      </c>
      <c r="I57" s="20" t="str">
        <f t="shared" si="9"/>
        <v/>
      </c>
      <c r="J57" s="15">
        <f t="shared" si="10"/>
        <v>-0.98138248166282382</v>
      </c>
      <c r="K57" s="15" t="str">
        <f t="shared" si="11"/>
        <v/>
      </c>
      <c r="L57" s="15" t="str">
        <f t="shared" si="6"/>
        <v/>
      </c>
      <c r="M57" s="15">
        <f t="shared" si="7"/>
        <v>-0.51367368517237333</v>
      </c>
      <c r="N57" s="15" t="str">
        <f t="shared" si="8"/>
        <v/>
      </c>
      <c r="O57" s="18" t="str">
        <f>IF(SUMIFS('Monthly NSE Equity Futures'!$I:$I,'Monthly NSE Equity Futures'!$A:$A,$A57)=0,"",SUMIFS('Monthly NSE Equity Futures'!$I:$I,'Monthly NSE Equity Futures'!$A:$A,$A57))</f>
        <v/>
      </c>
      <c r="P57" s="7">
        <f>IF(SUMIFS('Monthly BSE Equity Futures'!$I:$I,'Monthly BSE Equity Futures'!$A:$A,$A57)=0,"",SUMIFS('Monthly BSE Equity Futures'!$I:$I,'Monthly BSE Equity Futures'!$A:$A,$A57))</f>
        <v>16753</v>
      </c>
      <c r="Q57" s="7" t="str">
        <f t="shared" si="3"/>
        <v/>
      </c>
      <c r="R57" s="19" t="str">
        <f t="shared" si="4"/>
        <v/>
      </c>
      <c r="S57" s="19" t="str">
        <f t="shared" si="5"/>
        <v/>
      </c>
    </row>
    <row r="58" spans="1:19" x14ac:dyDescent="0.2">
      <c r="A58" s="8">
        <v>39692</v>
      </c>
      <c r="B58" s="4" t="s">
        <v>79</v>
      </c>
      <c r="C58" s="4" t="s">
        <v>126</v>
      </c>
      <c r="D58" s="14" t="str">
        <f>IF(SUMIFS('Monthly NSE Equity Futures'!$H:$H,'Monthly NSE Equity Futures'!$A:$A,$A58)=0,"",SUMIFS('Monthly NSE Equity Futures'!$H:$H,'Monthly NSE Equity Futures'!$A:$A,$A58))</f>
        <v/>
      </c>
      <c r="E58" s="6">
        <f>IF(SUMIFS('Monthly BSE Equity Futures'!$H:$H,'Monthly BSE Equity Futures'!$A:$A,$A58)=0,"",SUMIFS('Monthly BSE Equity Futures'!$H:$H,'Monthly BSE Equity Futures'!$A:$A,$A58))</f>
        <v>3.7105999999999999</v>
      </c>
      <c r="F58" s="6" t="str">
        <f t="shared" si="0"/>
        <v/>
      </c>
      <c r="G58" s="15" t="str">
        <f t="shared" si="1"/>
        <v/>
      </c>
      <c r="H58" s="15" t="str">
        <f t="shared" si="2"/>
        <v/>
      </c>
      <c r="I58" s="20" t="str">
        <f t="shared" si="9"/>
        <v/>
      </c>
      <c r="J58" s="15">
        <f t="shared" si="10"/>
        <v>-0.98274375504000844</v>
      </c>
      <c r="K58" s="15" t="str">
        <f t="shared" si="11"/>
        <v/>
      </c>
      <c r="L58" s="15" t="str">
        <f t="shared" si="6"/>
        <v/>
      </c>
      <c r="M58" s="15">
        <f t="shared" si="7"/>
        <v>-4.0261971226112081E-3</v>
      </c>
      <c r="N58" s="15" t="str">
        <f t="shared" si="8"/>
        <v/>
      </c>
      <c r="O58" s="18" t="str">
        <f>IF(SUMIFS('Monthly NSE Equity Futures'!$I:$I,'Monthly NSE Equity Futures'!$A:$A,$A58)=0,"",SUMIFS('Monthly NSE Equity Futures'!$I:$I,'Monthly NSE Equity Futures'!$A:$A,$A58))</f>
        <v/>
      </c>
      <c r="P58" s="7">
        <f>IF(SUMIFS('Monthly BSE Equity Futures'!$I:$I,'Monthly BSE Equity Futures'!$A:$A,$A58)=0,"",SUMIFS('Monthly BSE Equity Futures'!$I:$I,'Monthly BSE Equity Futures'!$A:$A,$A58))</f>
        <v>17502</v>
      </c>
      <c r="Q58" s="7" t="str">
        <f t="shared" si="3"/>
        <v/>
      </c>
      <c r="R58" s="19" t="str">
        <f t="shared" si="4"/>
        <v/>
      </c>
      <c r="S58" s="19" t="str">
        <f t="shared" si="5"/>
        <v/>
      </c>
    </row>
    <row r="59" spans="1:19" x14ac:dyDescent="0.2">
      <c r="A59" s="8">
        <v>39722</v>
      </c>
      <c r="B59" s="4" t="s">
        <v>79</v>
      </c>
      <c r="C59" s="4" t="s">
        <v>127</v>
      </c>
      <c r="D59" s="14" t="str">
        <f>IF(SUMIFS('Monthly NSE Equity Futures'!$H:$H,'Monthly NSE Equity Futures'!$A:$A,$A59)=0,"",SUMIFS('Monthly NSE Equity Futures'!$H:$H,'Monthly NSE Equity Futures'!$A:$A,$A59))</f>
        <v/>
      </c>
      <c r="E59" s="6">
        <f>IF(SUMIFS('Monthly BSE Equity Futures'!$H:$H,'Monthly BSE Equity Futures'!$A:$A,$A59)=0,"",SUMIFS('Monthly BSE Equity Futures'!$H:$H,'Monthly BSE Equity Futures'!$A:$A,$A59))</f>
        <v>1.8271999999999999</v>
      </c>
      <c r="F59" s="6" t="str">
        <f t="shared" si="0"/>
        <v/>
      </c>
      <c r="G59" s="15" t="str">
        <f t="shared" si="1"/>
        <v/>
      </c>
      <c r="H59" s="15" t="str">
        <f t="shared" si="2"/>
        <v/>
      </c>
      <c r="I59" s="20" t="str">
        <f t="shared" si="9"/>
        <v/>
      </c>
      <c r="J59" s="15">
        <f t="shared" si="10"/>
        <v>-0.99238185136188162</v>
      </c>
      <c r="K59" s="15" t="str">
        <f t="shared" si="11"/>
        <v/>
      </c>
      <c r="L59" s="15" t="str">
        <f t="shared" si="6"/>
        <v/>
      </c>
      <c r="M59" s="15">
        <f t="shared" si="7"/>
        <v>-0.50757289926157489</v>
      </c>
      <c r="N59" s="15" t="str">
        <f t="shared" si="8"/>
        <v/>
      </c>
      <c r="O59" s="18" t="str">
        <f>IF(SUMIFS('Monthly NSE Equity Futures'!$I:$I,'Monthly NSE Equity Futures'!$A:$A,$A59)=0,"",SUMIFS('Monthly NSE Equity Futures'!$I:$I,'Monthly NSE Equity Futures'!$A:$A,$A59))</f>
        <v/>
      </c>
      <c r="P59" s="7">
        <f>IF(SUMIFS('Monthly BSE Equity Futures'!$I:$I,'Monthly BSE Equity Futures'!$A:$A,$A59)=0,"",SUMIFS('Monthly BSE Equity Futures'!$I:$I,'Monthly BSE Equity Futures'!$A:$A,$A59))</f>
        <v>11706</v>
      </c>
      <c r="Q59" s="7" t="str">
        <f t="shared" si="3"/>
        <v/>
      </c>
      <c r="R59" s="19" t="str">
        <f t="shared" si="4"/>
        <v/>
      </c>
      <c r="S59" s="19" t="str">
        <f t="shared" si="5"/>
        <v/>
      </c>
    </row>
    <row r="60" spans="1:19" x14ac:dyDescent="0.2">
      <c r="A60" s="8">
        <v>39753</v>
      </c>
      <c r="B60" s="4" t="s">
        <v>79</v>
      </c>
      <c r="C60" s="4" t="s">
        <v>127</v>
      </c>
      <c r="D60" s="14" t="str">
        <f>IF(SUMIFS('Monthly NSE Equity Futures'!$H:$H,'Monthly NSE Equity Futures'!$A:$A,$A60)=0,"",SUMIFS('Monthly NSE Equity Futures'!$H:$H,'Monthly NSE Equity Futures'!$A:$A,$A60))</f>
        <v/>
      </c>
      <c r="E60" s="6">
        <f>IF(SUMIFS('Monthly BSE Equity Futures'!$H:$H,'Monthly BSE Equity Futures'!$A:$A,$A60)=0,"",SUMIFS('Monthly BSE Equity Futures'!$H:$H,'Monthly BSE Equity Futures'!$A:$A,$A60))</f>
        <v>0.49059999999999998</v>
      </c>
      <c r="F60" s="6" t="str">
        <f t="shared" si="0"/>
        <v/>
      </c>
      <c r="G60" s="15" t="str">
        <f t="shared" si="1"/>
        <v/>
      </c>
      <c r="H60" s="15" t="str">
        <f t="shared" si="2"/>
        <v/>
      </c>
      <c r="I60" s="20" t="str">
        <f t="shared" si="9"/>
        <v/>
      </c>
      <c r="J60" s="15">
        <f t="shared" si="10"/>
        <v>-0.99779680586249031</v>
      </c>
      <c r="K60" s="15" t="str">
        <f t="shared" si="11"/>
        <v/>
      </c>
      <c r="L60" s="15" t="str">
        <f t="shared" si="6"/>
        <v/>
      </c>
      <c r="M60" s="15">
        <f t="shared" si="7"/>
        <v>-0.73150175131348516</v>
      </c>
      <c r="N60" s="15" t="str">
        <f t="shared" si="8"/>
        <v/>
      </c>
      <c r="O60" s="18" t="str">
        <f>IF(SUMIFS('Monthly NSE Equity Futures'!$I:$I,'Monthly NSE Equity Futures'!$A:$A,$A60)=0,"",SUMIFS('Monthly NSE Equity Futures'!$I:$I,'Monthly NSE Equity Futures'!$A:$A,$A60))</f>
        <v/>
      </c>
      <c r="P60" s="7">
        <f>IF(SUMIFS('Monthly BSE Equity Futures'!$I:$I,'Monthly BSE Equity Futures'!$A:$A,$A60)=0,"",SUMIFS('Monthly BSE Equity Futures'!$I:$I,'Monthly BSE Equity Futures'!$A:$A,$A60))</f>
        <v>3387</v>
      </c>
      <c r="Q60" s="7" t="str">
        <f t="shared" si="3"/>
        <v/>
      </c>
      <c r="R60" s="19" t="str">
        <f t="shared" si="4"/>
        <v/>
      </c>
      <c r="S60" s="19" t="str">
        <f t="shared" si="5"/>
        <v/>
      </c>
    </row>
    <row r="61" spans="1:19" x14ac:dyDescent="0.2">
      <c r="A61" s="8">
        <v>39783</v>
      </c>
      <c r="B61" s="4" t="s">
        <v>79</v>
      </c>
      <c r="C61" s="4" t="s">
        <v>127</v>
      </c>
      <c r="D61" s="14" t="str">
        <f>IF(SUMIFS('Monthly NSE Equity Futures'!$H:$H,'Monthly NSE Equity Futures'!$A:$A,$A61)=0,"",SUMIFS('Monthly NSE Equity Futures'!$H:$H,'Monthly NSE Equity Futures'!$A:$A,$A61))</f>
        <v/>
      </c>
      <c r="E61" s="6">
        <f>IF(SUMIFS('Monthly BSE Equity Futures'!$H:$H,'Monthly BSE Equity Futures'!$A:$A,$A61)=0,"",SUMIFS('Monthly BSE Equity Futures'!$H:$H,'Monthly BSE Equity Futures'!$A:$A,$A61))</f>
        <v>0.30080000000000001</v>
      </c>
      <c r="F61" s="6" t="str">
        <f t="shared" si="0"/>
        <v/>
      </c>
      <c r="G61" s="15" t="str">
        <f t="shared" si="1"/>
        <v/>
      </c>
      <c r="H61" s="15" t="str">
        <f t="shared" si="2"/>
        <v/>
      </c>
      <c r="I61" s="20" t="str">
        <f t="shared" si="9"/>
        <v/>
      </c>
      <c r="J61" s="15">
        <f t="shared" si="10"/>
        <v>-0.99851923323061165</v>
      </c>
      <c r="K61" s="15" t="str">
        <f t="shared" si="11"/>
        <v/>
      </c>
      <c r="L61" s="15" t="str">
        <f t="shared" si="6"/>
        <v/>
      </c>
      <c r="M61" s="15">
        <f t="shared" si="7"/>
        <v>-0.38687321646962902</v>
      </c>
      <c r="N61" s="15" t="str">
        <f t="shared" si="8"/>
        <v/>
      </c>
      <c r="O61" s="18" t="str">
        <f>IF(SUMIFS('Monthly NSE Equity Futures'!$I:$I,'Monthly NSE Equity Futures'!$A:$A,$A61)=0,"",SUMIFS('Monthly NSE Equity Futures'!$I:$I,'Monthly NSE Equity Futures'!$A:$A,$A61))</f>
        <v/>
      </c>
      <c r="P61" s="7">
        <f>IF(SUMIFS('Monthly BSE Equity Futures'!$I:$I,'Monthly BSE Equity Futures'!$A:$A,$A61)=0,"",SUMIFS('Monthly BSE Equity Futures'!$I:$I,'Monthly BSE Equity Futures'!$A:$A,$A61))</f>
        <v>2131</v>
      </c>
      <c r="Q61" s="7" t="str">
        <f t="shared" si="3"/>
        <v/>
      </c>
      <c r="R61" s="19" t="str">
        <f t="shared" si="4"/>
        <v/>
      </c>
      <c r="S61" s="19" t="str">
        <f t="shared" si="5"/>
        <v/>
      </c>
    </row>
    <row r="62" spans="1:19" x14ac:dyDescent="0.2">
      <c r="A62" s="8">
        <v>39814</v>
      </c>
      <c r="B62" s="4" t="s">
        <v>79</v>
      </c>
      <c r="C62" s="4" t="s">
        <v>128</v>
      </c>
      <c r="D62" s="14" t="str">
        <f>IF(SUMIFS('Monthly NSE Equity Futures'!$H:$H,'Monthly NSE Equity Futures'!$A:$A,$A62)=0,"",SUMIFS('Monthly NSE Equity Futures'!$H:$H,'Monthly NSE Equity Futures'!$A:$A,$A62))</f>
        <v/>
      </c>
      <c r="E62" s="6">
        <f>IF(SUMIFS('Monthly BSE Equity Futures'!$H:$H,'Monthly BSE Equity Futures'!$A:$A,$A62)=0,"",SUMIFS('Monthly BSE Equity Futures'!$H:$H,'Monthly BSE Equity Futures'!$A:$A,$A62))</f>
        <v>0.1197</v>
      </c>
      <c r="F62" s="6" t="str">
        <f t="shared" si="0"/>
        <v/>
      </c>
      <c r="G62" s="15" t="str">
        <f t="shared" si="1"/>
        <v/>
      </c>
      <c r="H62" s="15" t="str">
        <f t="shared" si="2"/>
        <v/>
      </c>
      <c r="I62" s="20" t="str">
        <f t="shared" si="9"/>
        <v/>
      </c>
      <c r="J62" s="15">
        <f t="shared" si="10"/>
        <v>-0.99946281026970341</v>
      </c>
      <c r="K62" s="15" t="str">
        <f t="shared" si="11"/>
        <v/>
      </c>
      <c r="L62" s="15" t="str">
        <f t="shared" si="6"/>
        <v/>
      </c>
      <c r="M62" s="15">
        <f t="shared" si="7"/>
        <v>-0.60206117021276595</v>
      </c>
      <c r="N62" s="15" t="str">
        <f t="shared" si="8"/>
        <v/>
      </c>
      <c r="O62" s="18" t="str">
        <f>IF(SUMIFS('Monthly NSE Equity Futures'!$I:$I,'Monthly NSE Equity Futures'!$A:$A,$A62)=0,"",SUMIFS('Monthly NSE Equity Futures'!$I:$I,'Monthly NSE Equity Futures'!$A:$A,$A62))</f>
        <v/>
      </c>
      <c r="P62" s="7">
        <f>IF(SUMIFS('Monthly BSE Equity Futures'!$I:$I,'Monthly BSE Equity Futures'!$A:$A,$A62)=0,"",SUMIFS('Monthly BSE Equity Futures'!$I:$I,'Monthly BSE Equity Futures'!$A:$A,$A62))</f>
        <v>844</v>
      </c>
      <c r="Q62" s="7" t="str">
        <f t="shared" si="3"/>
        <v/>
      </c>
      <c r="R62" s="19" t="str">
        <f t="shared" si="4"/>
        <v/>
      </c>
      <c r="S62" s="19" t="str">
        <f t="shared" si="5"/>
        <v/>
      </c>
    </row>
    <row r="63" spans="1:19" x14ac:dyDescent="0.2">
      <c r="A63" s="8">
        <v>39845</v>
      </c>
      <c r="B63" s="4" t="s">
        <v>79</v>
      </c>
      <c r="C63" s="4" t="s">
        <v>128</v>
      </c>
      <c r="D63" s="14" t="str">
        <f>IF(SUMIFS('Monthly NSE Equity Futures'!$H:$H,'Monthly NSE Equity Futures'!$A:$A,$A63)=0,"",SUMIFS('Monthly NSE Equity Futures'!$H:$H,'Monthly NSE Equity Futures'!$A:$A,$A63))</f>
        <v/>
      </c>
      <c r="E63" s="6">
        <f>IF(SUMIFS('Monthly BSE Equity Futures'!$H:$H,'Monthly BSE Equity Futures'!$A:$A,$A63)=0,"",SUMIFS('Monthly BSE Equity Futures'!$H:$H,'Monthly BSE Equity Futures'!$A:$A,$A63))</f>
        <v>6.2399999999999997E-2</v>
      </c>
      <c r="F63" s="6" t="str">
        <f t="shared" si="0"/>
        <v/>
      </c>
      <c r="G63" s="15" t="str">
        <f t="shared" si="1"/>
        <v/>
      </c>
      <c r="H63" s="15" t="str">
        <f t="shared" si="2"/>
        <v/>
      </c>
      <c r="I63" s="20" t="str">
        <f t="shared" si="9"/>
        <v/>
      </c>
      <c r="J63" s="15">
        <f t="shared" si="10"/>
        <v>-0.99972345892611658</v>
      </c>
      <c r="K63" s="15" t="str">
        <f t="shared" si="11"/>
        <v/>
      </c>
      <c r="L63" s="15" t="str">
        <f t="shared" si="6"/>
        <v/>
      </c>
      <c r="M63" s="15">
        <f t="shared" si="7"/>
        <v>-0.47869674185463662</v>
      </c>
      <c r="N63" s="15" t="str">
        <f t="shared" si="8"/>
        <v/>
      </c>
      <c r="O63" s="18" t="str">
        <f>IF(SUMIFS('Monthly NSE Equity Futures'!$I:$I,'Monthly NSE Equity Futures'!$A:$A,$A63)=0,"",SUMIFS('Monthly NSE Equity Futures'!$I:$I,'Monthly NSE Equity Futures'!$A:$A,$A63))</f>
        <v/>
      </c>
      <c r="P63" s="7">
        <f>IF(SUMIFS('Monthly BSE Equity Futures'!$I:$I,'Monthly BSE Equity Futures'!$A:$A,$A63)=0,"",SUMIFS('Monthly BSE Equity Futures'!$I:$I,'Monthly BSE Equity Futures'!$A:$A,$A63))</f>
        <v>454</v>
      </c>
      <c r="Q63" s="7" t="str">
        <f t="shared" si="3"/>
        <v/>
      </c>
      <c r="R63" s="19" t="str">
        <f t="shared" si="4"/>
        <v/>
      </c>
      <c r="S63" s="19" t="str">
        <f t="shared" si="5"/>
        <v/>
      </c>
    </row>
    <row r="64" spans="1:19" x14ac:dyDescent="0.2">
      <c r="A64" s="8">
        <v>39873</v>
      </c>
      <c r="B64" s="4" t="s">
        <v>79</v>
      </c>
      <c r="C64" s="4" t="s">
        <v>128</v>
      </c>
      <c r="D64" s="14" t="str">
        <f>IF(SUMIFS('Monthly NSE Equity Futures'!$H:$H,'Monthly NSE Equity Futures'!$A:$A,$A64)=0,"",SUMIFS('Monthly NSE Equity Futures'!$H:$H,'Monthly NSE Equity Futures'!$A:$A,$A64))</f>
        <v/>
      </c>
      <c r="E64" s="6">
        <f>IF(SUMIFS('Monthly BSE Equity Futures'!$H:$H,'Monthly BSE Equity Futures'!$A:$A,$A64)=0,"",SUMIFS('Monthly BSE Equity Futures'!$H:$H,'Monthly BSE Equity Futures'!$A:$A,$A64))</f>
        <v>4.0300000000000002E-2</v>
      </c>
      <c r="F64" s="6" t="str">
        <f t="shared" si="0"/>
        <v/>
      </c>
      <c r="G64" s="15" t="str">
        <f t="shared" si="1"/>
        <v/>
      </c>
      <c r="H64" s="15" t="str">
        <f t="shared" si="2"/>
        <v/>
      </c>
      <c r="I64" s="20" t="str">
        <f t="shared" si="9"/>
        <v/>
      </c>
      <c r="J64" s="15">
        <f t="shared" si="10"/>
        <v>-0.9997829634376868</v>
      </c>
      <c r="K64" s="15" t="str">
        <f t="shared" si="11"/>
        <v/>
      </c>
      <c r="L64" s="15" t="str">
        <f t="shared" si="6"/>
        <v/>
      </c>
      <c r="M64" s="15">
        <f t="shared" si="7"/>
        <v>-0.35416666666666663</v>
      </c>
      <c r="N64" s="15" t="str">
        <f t="shared" si="8"/>
        <v/>
      </c>
      <c r="O64" s="18" t="str">
        <f>IF(SUMIFS('Monthly NSE Equity Futures'!$I:$I,'Monthly NSE Equity Futures'!$A:$A,$A64)=0,"",SUMIFS('Monthly NSE Equity Futures'!$I:$I,'Monthly NSE Equity Futures'!$A:$A,$A64))</f>
        <v/>
      </c>
      <c r="P64" s="7">
        <f>IF(SUMIFS('Monthly BSE Equity Futures'!$I:$I,'Monthly BSE Equity Futures'!$A:$A,$A64)=0,"",SUMIFS('Monthly BSE Equity Futures'!$I:$I,'Monthly BSE Equity Futures'!$A:$A,$A64))</f>
        <v>294</v>
      </c>
      <c r="Q64" s="7" t="str">
        <f t="shared" si="3"/>
        <v/>
      </c>
      <c r="R64" s="19" t="str">
        <f t="shared" si="4"/>
        <v/>
      </c>
      <c r="S64" s="19" t="str">
        <f t="shared" si="5"/>
        <v/>
      </c>
    </row>
    <row r="65" spans="1:19" x14ac:dyDescent="0.2">
      <c r="A65" s="8">
        <v>39904</v>
      </c>
      <c r="B65" s="4" t="s">
        <v>80</v>
      </c>
      <c r="C65" s="4" t="s">
        <v>129</v>
      </c>
      <c r="D65" s="14">
        <f>IF(SUMIFS('Monthly NSE Equity Futures'!$H:$H,'Monthly NSE Equity Futures'!$A:$A,$A65)=0,"",SUMIFS('Monthly NSE Equity Futures'!$H:$H,'Monthly NSE Equity Futures'!$A:$A,$A65))</f>
        <v>6581.4719999999998</v>
      </c>
      <c r="E65" s="6">
        <f>IF(SUMIFS('Monthly BSE Equity Futures'!$H:$H,'Monthly BSE Equity Futures'!$A:$A,$A65)=0,"",SUMIFS('Monthly BSE Equity Futures'!$H:$H,'Monthly BSE Equity Futures'!$A:$A,$A65))</f>
        <v>1.8499999999999999E-2</v>
      </c>
      <c r="F65" s="6">
        <f t="shared" si="0"/>
        <v>6581.4904999999999</v>
      </c>
      <c r="G65" s="15">
        <f t="shared" si="1"/>
        <v>0.99999718908657542</v>
      </c>
      <c r="H65" s="15">
        <f t="shared" si="2"/>
        <v>2.8109134245502593E-6</v>
      </c>
      <c r="I65" s="20" t="str">
        <f t="shared" si="9"/>
        <v/>
      </c>
      <c r="J65" s="15">
        <f t="shared" si="10"/>
        <v>-0.99954360316665392</v>
      </c>
      <c r="K65" s="15" t="str">
        <f t="shared" si="11"/>
        <v/>
      </c>
      <c r="L65" s="15" t="str">
        <f t="shared" si="6"/>
        <v/>
      </c>
      <c r="M65" s="15">
        <f t="shared" si="7"/>
        <v>-0.54094292803970223</v>
      </c>
      <c r="N65" s="15" t="str">
        <f t="shared" si="8"/>
        <v/>
      </c>
      <c r="O65" s="18">
        <f>IF(SUMIFS('Monthly NSE Equity Futures'!$I:$I,'Monthly NSE Equity Futures'!$A:$A,$A65)=0,"",SUMIFS('Monthly NSE Equity Futures'!$I:$I,'Monthly NSE Equity Futures'!$A:$A,$A65))</f>
        <v>28521024</v>
      </c>
      <c r="P65" s="7">
        <f>IF(SUMIFS('Monthly BSE Equity Futures'!$I:$I,'Monthly BSE Equity Futures'!$A:$A,$A65)=0,"",SUMIFS('Monthly BSE Equity Futures'!$I:$I,'Monthly BSE Equity Futures'!$A:$A,$A65))</f>
        <v>113</v>
      </c>
      <c r="Q65" s="7">
        <f t="shared" si="3"/>
        <v>28521137</v>
      </c>
      <c r="R65" s="19">
        <f t="shared" si="4"/>
        <v>0.99999603802611381</v>
      </c>
      <c r="S65" s="19">
        <f t="shared" si="5"/>
        <v>3.9619738862444366E-6</v>
      </c>
    </row>
    <row r="66" spans="1:19" x14ac:dyDescent="0.2">
      <c r="A66" s="8">
        <v>39934</v>
      </c>
      <c r="B66" s="4" t="s">
        <v>80</v>
      </c>
      <c r="C66" s="4" t="s">
        <v>129</v>
      </c>
      <c r="D66" s="14">
        <f>IF(SUMIFS('Monthly NSE Equity Futures'!$H:$H,'Monthly NSE Equity Futures'!$A:$A,$A66)=0,"",SUMIFS('Monthly NSE Equity Futures'!$H:$H,'Monthly NSE Equity Futures'!$A:$A,$A66))</f>
        <v>7655.6989999999996</v>
      </c>
      <c r="E66" s="6">
        <f>IF(SUMIFS('Monthly BSE Equity Futures'!$H:$H,'Monthly BSE Equity Futures'!$A:$A,$A66)=0,"",SUMIFS('Monthly BSE Equity Futures'!$H:$H,'Monthly BSE Equity Futures'!$A:$A,$A66))</f>
        <v>8.6999999999999994E-3</v>
      </c>
      <c r="F66" s="6">
        <f t="shared" ref="F66:F129" si="12">IF(OR(D66="",E66=""),"",D66+E66)</f>
        <v>7655.7076999999999</v>
      </c>
      <c r="G66" s="15">
        <f t="shared" ref="G66:G129" si="13">IF(F66="","",D66/F66)</f>
        <v>0.99999886359297652</v>
      </c>
      <c r="H66" s="15">
        <f t="shared" ref="H66:H129" si="14">IF(F66="","",E66/F66)</f>
        <v>1.1364070234813169E-6</v>
      </c>
      <c r="I66" s="20" t="str">
        <f t="shared" si="9"/>
        <v/>
      </c>
      <c r="J66" s="15">
        <f t="shared" si="10"/>
        <v>-0.9998091263912382</v>
      </c>
      <c r="K66" s="15" t="str">
        <f t="shared" si="11"/>
        <v/>
      </c>
      <c r="L66" s="15">
        <f t="shared" si="6"/>
        <v>0.16321986935445443</v>
      </c>
      <c r="M66" s="15">
        <f t="shared" si="7"/>
        <v>-0.52972972972972976</v>
      </c>
      <c r="N66" s="15">
        <f t="shared" si="8"/>
        <v>0.16321792153312376</v>
      </c>
      <c r="O66" s="18">
        <f>IF(SUMIFS('Monthly NSE Equity Futures'!$I:$I,'Monthly NSE Equity Futures'!$A:$A,$A66)=0,"",SUMIFS('Monthly NSE Equity Futures'!$I:$I,'Monthly NSE Equity Futures'!$A:$A,$A66))</f>
        <v>26145694</v>
      </c>
      <c r="P66" s="7">
        <f>IF(SUMIFS('Monthly BSE Equity Futures'!$I:$I,'Monthly BSE Equity Futures'!$A:$A,$A66)=0,"",SUMIFS('Monthly BSE Equity Futures'!$I:$I,'Monthly BSE Equity Futures'!$A:$A,$A66))</f>
        <v>41</v>
      </c>
      <c r="Q66" s="7">
        <f t="shared" ref="Q66:Q129" si="15">IF(OR(O66="",P66=""),"",O66+P66)</f>
        <v>26145735</v>
      </c>
      <c r="R66" s="19">
        <f t="shared" ref="R66:R129" si="16">IF(Q66="","",O66/Q66)</f>
        <v>0.9999984318666123</v>
      </c>
      <c r="S66" s="19">
        <f t="shared" ref="S66:S129" si="17">IF(Q66="","",P66/Q66)</f>
        <v>1.5681333877207888E-6</v>
      </c>
    </row>
    <row r="67" spans="1:19" x14ac:dyDescent="0.2">
      <c r="A67" s="8">
        <v>39965</v>
      </c>
      <c r="B67" s="4" t="s">
        <v>80</v>
      </c>
      <c r="C67" s="4" t="s">
        <v>129</v>
      </c>
      <c r="D67" s="14">
        <f>IF(SUMIFS('Monthly NSE Equity Futures'!$H:$H,'Monthly NSE Equity Futures'!$A:$A,$A67)=0,"",SUMIFS('Monthly NSE Equity Futures'!$H:$H,'Monthly NSE Equity Futures'!$A:$A,$A67))</f>
        <v>9365.9161999999997</v>
      </c>
      <c r="E67" s="6">
        <f>IF(SUMIFS('Monthly BSE Equity Futures'!$H:$H,'Monthly BSE Equity Futures'!$A:$A,$A67)=0,"",SUMIFS('Monthly BSE Equity Futures'!$H:$H,'Monthly BSE Equity Futures'!$A:$A,$A67))</f>
        <v>1.4E-3</v>
      </c>
      <c r="F67" s="6">
        <f t="shared" si="12"/>
        <v>9365.9175999999989</v>
      </c>
      <c r="G67" s="15">
        <f t="shared" si="13"/>
        <v>0.99999985052185392</v>
      </c>
      <c r="H67" s="15">
        <f t="shared" si="14"/>
        <v>1.4947814616690629E-7</v>
      </c>
      <c r="I67" s="20" t="str">
        <f t="shared" si="9"/>
        <v/>
      </c>
      <c r="J67" s="15">
        <f t="shared" si="10"/>
        <v>-0.99989709211725619</v>
      </c>
      <c r="K67" s="15" t="str">
        <f t="shared" si="11"/>
        <v/>
      </c>
      <c r="L67" s="15">
        <f t="shared" ref="L67:L130" si="18">IF(OR(D67="",D66=""),"",D67/D66-1)</f>
        <v>0.22339138464038366</v>
      </c>
      <c r="M67" s="15">
        <f t="shared" ref="M67:M130" si="19">IF(OR(E67="",E66=""),"",E67/E66-1)</f>
        <v>-0.83908045977011492</v>
      </c>
      <c r="N67" s="15">
        <f t="shared" ref="N67:N130" si="20">IF(OR(F67="",F66=""),"",F67/F66-1)</f>
        <v>0.22339017723991716</v>
      </c>
      <c r="O67" s="18">
        <f>IF(SUMIFS('Monthly NSE Equity Futures'!$I:$I,'Monthly NSE Equity Futures'!$A:$A,$A67)=0,"",SUMIFS('Monthly NSE Equity Futures'!$I:$I,'Monthly NSE Equity Futures'!$A:$A,$A67))</f>
        <v>27335608</v>
      </c>
      <c r="P67" s="7">
        <f>IF(SUMIFS('Monthly BSE Equity Futures'!$I:$I,'Monthly BSE Equity Futures'!$A:$A,$A67)=0,"",SUMIFS('Monthly BSE Equity Futures'!$I:$I,'Monthly BSE Equity Futures'!$A:$A,$A67))</f>
        <v>5</v>
      </c>
      <c r="Q67" s="7">
        <f t="shared" si="15"/>
        <v>27335613</v>
      </c>
      <c r="R67" s="19">
        <f t="shared" si="16"/>
        <v>0.999999817088426</v>
      </c>
      <c r="S67" s="19">
        <f t="shared" si="17"/>
        <v>1.8291157399689555E-7</v>
      </c>
    </row>
    <row r="68" spans="1:19" x14ac:dyDescent="0.2">
      <c r="A68" s="8">
        <v>39995</v>
      </c>
      <c r="B68" s="4" t="s">
        <v>80</v>
      </c>
      <c r="C68" s="4" t="s">
        <v>130</v>
      </c>
      <c r="D68" s="14">
        <f>IF(SUMIFS('Monthly NSE Equity Futures'!$H:$H,'Monthly NSE Equity Futures'!$A:$A,$A68)=0,"",SUMIFS('Monthly NSE Equity Futures'!$H:$H,'Monthly NSE Equity Futures'!$A:$A,$A68))</f>
        <v>8335.5542999999998</v>
      </c>
      <c r="E68" s="6">
        <f>IF(SUMIFS('Monthly BSE Equity Futures'!$H:$H,'Monthly BSE Equity Futures'!$A:$A,$A68)=0,"",SUMIFS('Monthly BSE Equity Futures'!$H:$H,'Monthly BSE Equity Futures'!$A:$A,$A68))</f>
        <v>8.9999999999999998E-4</v>
      </c>
      <c r="F68" s="6">
        <f t="shared" si="12"/>
        <v>8335.5551999999989</v>
      </c>
      <c r="G68" s="15">
        <f t="shared" si="13"/>
        <v>0.99999989202878781</v>
      </c>
      <c r="H68" s="15">
        <f t="shared" si="14"/>
        <v>1.0797121228349614E-7</v>
      </c>
      <c r="I68" s="20" t="str">
        <f t="shared" si="9"/>
        <v/>
      </c>
      <c r="J68" s="15">
        <f t="shared" si="10"/>
        <v>-0.99988251726343547</v>
      </c>
      <c r="K68" s="15" t="str">
        <f t="shared" si="11"/>
        <v/>
      </c>
      <c r="L68" s="15">
        <f t="shared" si="18"/>
        <v>-0.11001186408223473</v>
      </c>
      <c r="M68" s="15">
        <f t="shared" si="19"/>
        <v>-0.35714285714285721</v>
      </c>
      <c r="N68" s="15">
        <f t="shared" si="20"/>
        <v>-0.11001190102291736</v>
      </c>
      <c r="O68" s="18">
        <f>IF(SUMIFS('Monthly NSE Equity Futures'!$I:$I,'Monthly NSE Equity Futures'!$A:$A,$A68)=0,"",SUMIFS('Monthly NSE Equity Futures'!$I:$I,'Monthly NSE Equity Futures'!$A:$A,$A68))</f>
        <v>33772340</v>
      </c>
      <c r="P68" s="7">
        <f>IF(SUMIFS('Monthly BSE Equity Futures'!$I:$I,'Monthly BSE Equity Futures'!$A:$A,$A68)=0,"",SUMIFS('Monthly BSE Equity Futures'!$I:$I,'Monthly BSE Equity Futures'!$A:$A,$A68))</f>
        <v>4</v>
      </c>
      <c r="Q68" s="7">
        <f t="shared" si="15"/>
        <v>33772344</v>
      </c>
      <c r="R68" s="19">
        <f t="shared" si="16"/>
        <v>0.99999988155989405</v>
      </c>
      <c r="S68" s="19">
        <f t="shared" si="17"/>
        <v>1.184401059044051E-7</v>
      </c>
    </row>
    <row r="69" spans="1:19" x14ac:dyDescent="0.2">
      <c r="A69" s="8">
        <v>40026</v>
      </c>
      <c r="B69" s="4" t="s">
        <v>80</v>
      </c>
      <c r="C69" s="4" t="s">
        <v>130</v>
      </c>
      <c r="D69" s="14">
        <f>IF(SUMIFS('Monthly NSE Equity Futures'!$H:$H,'Monthly NSE Equity Futures'!$A:$A,$A69)=0,"",SUMIFS('Monthly NSE Equity Futures'!$H:$H,'Monthly NSE Equity Futures'!$A:$A,$A69))</f>
        <v>7786.7447000000002</v>
      </c>
      <c r="E69" s="6">
        <f>IF(SUMIFS('Monthly BSE Equity Futures'!$H:$H,'Monthly BSE Equity Futures'!$A:$A,$A69)=0,"",SUMIFS('Monthly BSE Equity Futures'!$H:$H,'Monthly BSE Equity Futures'!$A:$A,$A69))</f>
        <v>2.0000000000000001E-4</v>
      </c>
      <c r="F69" s="6">
        <f t="shared" si="12"/>
        <v>7786.7449000000006</v>
      </c>
      <c r="G69" s="15">
        <f t="shared" si="13"/>
        <v>0.9999999743153265</v>
      </c>
      <c r="H69" s="15">
        <f t="shared" si="14"/>
        <v>2.5684673450648163E-8</v>
      </c>
      <c r="I69" s="20" t="str">
        <f t="shared" si="9"/>
        <v/>
      </c>
      <c r="J69" s="15">
        <f t="shared" si="10"/>
        <v>-0.99994631737169848</v>
      </c>
      <c r="K69" s="15" t="str">
        <f t="shared" si="11"/>
        <v/>
      </c>
      <c r="L69" s="15">
        <f t="shared" si="18"/>
        <v>-6.5839604691915854E-2</v>
      </c>
      <c r="M69" s="15">
        <f t="shared" si="19"/>
        <v>-0.77777777777777779</v>
      </c>
      <c r="N69" s="15">
        <f t="shared" si="20"/>
        <v>-6.5839681560743379E-2</v>
      </c>
      <c r="O69" s="18">
        <f>IF(SUMIFS('Monthly NSE Equity Futures'!$I:$I,'Monthly NSE Equity Futures'!$A:$A,$A69)=0,"",SUMIFS('Monthly NSE Equity Futures'!$I:$I,'Monthly NSE Equity Futures'!$A:$A,$A69))</f>
        <v>30005335</v>
      </c>
      <c r="P69" s="7">
        <f>IF(SUMIFS('Monthly BSE Equity Futures'!$I:$I,'Monthly BSE Equity Futures'!$A:$A,$A69)=0,"",SUMIFS('Monthly BSE Equity Futures'!$I:$I,'Monthly BSE Equity Futures'!$A:$A,$A69))</f>
        <v>1</v>
      </c>
      <c r="Q69" s="7">
        <f t="shared" si="15"/>
        <v>30005336</v>
      </c>
      <c r="R69" s="19">
        <f t="shared" si="16"/>
        <v>0.9999999666725945</v>
      </c>
      <c r="S69" s="19">
        <f t="shared" si="17"/>
        <v>3.3327405498808615E-8</v>
      </c>
    </row>
    <row r="70" spans="1:19" x14ac:dyDescent="0.2">
      <c r="A70" s="8">
        <v>40057</v>
      </c>
      <c r="B70" s="4" t="s">
        <v>80</v>
      </c>
      <c r="C70" s="4" t="s">
        <v>130</v>
      </c>
      <c r="D70" s="14">
        <f>IF(SUMIFS('Monthly NSE Equity Futures'!$H:$H,'Monthly NSE Equity Futures'!$A:$A,$A70)=0,"",SUMIFS('Monthly NSE Equity Futures'!$H:$H,'Monthly NSE Equity Futures'!$A:$A,$A70))</f>
        <v>7365.4422000000004</v>
      </c>
      <c r="E70" s="6">
        <f>IF(SUMIFS('Monthly BSE Equity Futures'!$H:$H,'Monthly BSE Equity Futures'!$A:$A,$A70)=0,"",SUMIFS('Monthly BSE Equity Futures'!$H:$H,'Monthly BSE Equity Futures'!$A:$A,$A70))</f>
        <v>2.9999999999999997E-4</v>
      </c>
      <c r="F70" s="6">
        <f t="shared" si="12"/>
        <v>7365.4425000000001</v>
      </c>
      <c r="G70" s="15">
        <f t="shared" si="13"/>
        <v>0.99999995926924967</v>
      </c>
      <c r="H70" s="15">
        <f t="shared" si="14"/>
        <v>4.0730750392797172E-8</v>
      </c>
      <c r="I70" s="20" t="str">
        <f t="shared" si="9"/>
        <v/>
      </c>
      <c r="J70" s="15">
        <f t="shared" si="10"/>
        <v>-0.99991915054169134</v>
      </c>
      <c r="K70" s="15" t="str">
        <f t="shared" si="11"/>
        <v/>
      </c>
      <c r="L70" s="15">
        <f t="shared" si="18"/>
        <v>-5.4105087071879998E-2</v>
      </c>
      <c r="M70" s="15">
        <f t="shared" si="19"/>
        <v>0.49999999999999978</v>
      </c>
      <c r="N70" s="15">
        <f t="shared" si="20"/>
        <v>-5.4105072839871871E-2</v>
      </c>
      <c r="O70" s="18">
        <f>IF(SUMIFS('Monthly NSE Equity Futures'!$I:$I,'Monthly NSE Equity Futures'!$A:$A,$A70)=0,"",SUMIFS('Monthly NSE Equity Futures'!$I:$I,'Monthly NSE Equity Futures'!$A:$A,$A70))</f>
        <v>26189863</v>
      </c>
      <c r="P70" s="7">
        <f>IF(SUMIFS('Monthly BSE Equity Futures'!$I:$I,'Monthly BSE Equity Futures'!$A:$A,$A70)=0,"",SUMIFS('Monthly BSE Equity Futures'!$I:$I,'Monthly BSE Equity Futures'!$A:$A,$A70))</f>
        <v>1</v>
      </c>
      <c r="Q70" s="7">
        <f t="shared" si="15"/>
        <v>26189864</v>
      </c>
      <c r="R70" s="19">
        <f t="shared" si="16"/>
        <v>0.99999996181728934</v>
      </c>
      <c r="S70" s="19">
        <f t="shared" si="17"/>
        <v>3.8182710685324675E-8</v>
      </c>
    </row>
    <row r="71" spans="1:19" x14ac:dyDescent="0.2">
      <c r="A71" s="8">
        <v>40087</v>
      </c>
      <c r="B71" s="4" t="s">
        <v>80</v>
      </c>
      <c r="C71" s="4" t="s">
        <v>131</v>
      </c>
      <c r="D71" s="14">
        <f>IF(SUMIFS('Monthly NSE Equity Futures'!$H:$H,'Monthly NSE Equity Futures'!$A:$A,$A71)=0,"",SUMIFS('Monthly NSE Equity Futures'!$H:$H,'Monthly NSE Equity Futures'!$A:$A,$A71))</f>
        <v>7954.3901999999998</v>
      </c>
      <c r="E71" s="6" t="str">
        <f>IF(SUMIFS('Monthly BSE Equity Futures'!$H:$H,'Monthly BSE Equity Futures'!$A:$A,$A71)=0,"",SUMIFS('Monthly BSE Equity Futures'!$H:$H,'Monthly BSE Equity Futures'!$A:$A,$A71))</f>
        <v/>
      </c>
      <c r="F71" s="6" t="str">
        <f t="shared" si="12"/>
        <v/>
      </c>
      <c r="G71" s="15" t="str">
        <f t="shared" si="13"/>
        <v/>
      </c>
      <c r="H71" s="15" t="str">
        <f t="shared" si="14"/>
        <v/>
      </c>
      <c r="I71" s="20" t="str">
        <f t="shared" si="9"/>
        <v/>
      </c>
      <c r="J71" s="15" t="str">
        <f t="shared" si="10"/>
        <v/>
      </c>
      <c r="K71" s="15" t="str">
        <f t="shared" si="11"/>
        <v/>
      </c>
      <c r="L71" s="15">
        <f t="shared" si="18"/>
        <v>7.9960983197994384E-2</v>
      </c>
      <c r="M71" s="15" t="str">
        <f t="shared" si="19"/>
        <v/>
      </c>
      <c r="N71" s="15" t="str">
        <f t="shared" si="20"/>
        <v/>
      </c>
      <c r="O71" s="18">
        <f>IF(SUMIFS('Monthly NSE Equity Futures'!$I:$I,'Monthly NSE Equity Futures'!$A:$A,$A71)=0,"",SUMIFS('Monthly NSE Equity Futures'!$I:$I,'Monthly NSE Equity Futures'!$A:$A,$A71))</f>
        <v>27659973</v>
      </c>
      <c r="P71" s="7" t="str">
        <f>IF(SUMIFS('Monthly BSE Equity Futures'!$I:$I,'Monthly BSE Equity Futures'!$A:$A,$A71)=0,"",SUMIFS('Monthly BSE Equity Futures'!$I:$I,'Monthly BSE Equity Futures'!$A:$A,$A71))</f>
        <v/>
      </c>
      <c r="Q71" s="7" t="str">
        <f t="shared" si="15"/>
        <v/>
      </c>
      <c r="R71" s="19" t="str">
        <f t="shared" si="16"/>
        <v/>
      </c>
      <c r="S71" s="19" t="str">
        <f t="shared" si="17"/>
        <v/>
      </c>
    </row>
    <row r="72" spans="1:19" x14ac:dyDescent="0.2">
      <c r="A72" s="8">
        <v>40118</v>
      </c>
      <c r="B72" s="4" t="s">
        <v>80</v>
      </c>
      <c r="C72" s="4" t="s">
        <v>131</v>
      </c>
      <c r="D72" s="14">
        <f>IF(SUMIFS('Monthly NSE Equity Futures'!$H:$H,'Monthly NSE Equity Futures'!$A:$A,$A72)=0,"",SUMIFS('Monthly NSE Equity Futures'!$H:$H,'Monthly NSE Equity Futures'!$A:$A,$A72))</f>
        <v>8017.4260000000004</v>
      </c>
      <c r="E72" s="6">
        <f>IF(SUMIFS('Monthly BSE Equity Futures'!$H:$H,'Monthly BSE Equity Futures'!$A:$A,$A72)=0,"",SUMIFS('Monthly BSE Equity Futures'!$H:$H,'Monthly BSE Equity Futures'!$A:$A,$A72))</f>
        <v>2.9999999999999997E-4</v>
      </c>
      <c r="F72" s="6">
        <f t="shared" si="12"/>
        <v>8017.4263000000001</v>
      </c>
      <c r="G72" s="15">
        <f t="shared" si="13"/>
        <v>0.99999996258150825</v>
      </c>
      <c r="H72" s="15">
        <f t="shared" si="14"/>
        <v>3.7418491767114838E-8</v>
      </c>
      <c r="I72" s="20" t="str">
        <f t="shared" si="9"/>
        <v/>
      </c>
      <c r="J72" s="15">
        <f t="shared" si="10"/>
        <v>-0.99938850387280875</v>
      </c>
      <c r="K72" s="15" t="str">
        <f t="shared" si="11"/>
        <v/>
      </c>
      <c r="L72" s="15">
        <f t="shared" si="18"/>
        <v>7.9246552425855654E-3</v>
      </c>
      <c r="M72" s="15" t="str">
        <f t="shared" si="19"/>
        <v/>
      </c>
      <c r="N72" s="15" t="str">
        <f t="shared" si="20"/>
        <v/>
      </c>
      <c r="O72" s="18">
        <f>IF(SUMIFS('Monthly NSE Equity Futures'!$I:$I,'Monthly NSE Equity Futures'!$A:$A,$A72)=0,"",SUMIFS('Monthly NSE Equity Futures'!$I:$I,'Monthly NSE Equity Futures'!$A:$A,$A72))</f>
        <v>28439098</v>
      </c>
      <c r="P72" s="7">
        <f>IF(SUMIFS('Monthly BSE Equity Futures'!$I:$I,'Monthly BSE Equity Futures'!$A:$A,$A72)=0,"",SUMIFS('Monthly BSE Equity Futures'!$I:$I,'Monthly BSE Equity Futures'!$A:$A,$A72))</f>
        <v>1</v>
      </c>
      <c r="Q72" s="7">
        <f t="shared" si="15"/>
        <v>28439099</v>
      </c>
      <c r="R72" s="19">
        <f t="shared" si="16"/>
        <v>0.99999996483714204</v>
      </c>
      <c r="S72" s="19">
        <f t="shared" si="17"/>
        <v>3.5162858007562055E-8</v>
      </c>
    </row>
    <row r="73" spans="1:19" x14ac:dyDescent="0.2">
      <c r="A73" s="8">
        <v>40148</v>
      </c>
      <c r="B73" s="4" t="s">
        <v>80</v>
      </c>
      <c r="C73" s="4" t="s">
        <v>131</v>
      </c>
      <c r="D73" s="14">
        <f>IF(SUMIFS('Monthly NSE Equity Futures'!$H:$H,'Monthly NSE Equity Futures'!$A:$A,$A73)=0,"",SUMIFS('Monthly NSE Equity Futures'!$H:$H,'Monthly NSE Equity Futures'!$A:$A,$A73))</f>
        <v>7254.4992000000002</v>
      </c>
      <c r="E73" s="6">
        <f>IF(SUMIFS('Monthly BSE Equity Futures'!$H:$H,'Monthly BSE Equity Futures'!$A:$A,$A73)=0,"",SUMIFS('Monthly BSE Equity Futures'!$H:$H,'Monthly BSE Equity Futures'!$A:$A,$A73))</f>
        <v>6.8999999999999999E-3</v>
      </c>
      <c r="F73" s="6">
        <f t="shared" si="12"/>
        <v>7254.5061000000005</v>
      </c>
      <c r="G73" s="15">
        <f t="shared" si="13"/>
        <v>0.99999904886702073</v>
      </c>
      <c r="H73" s="15">
        <f t="shared" si="14"/>
        <v>9.5113297926650026E-7</v>
      </c>
      <c r="I73" s="20" t="str">
        <f t="shared" si="9"/>
        <v/>
      </c>
      <c r="J73" s="15">
        <f t="shared" si="10"/>
        <v>-0.97706117021276595</v>
      </c>
      <c r="K73" s="15" t="str">
        <f t="shared" si="11"/>
        <v/>
      </c>
      <c r="L73" s="15">
        <f t="shared" si="18"/>
        <v>-9.5158570843061119E-2</v>
      </c>
      <c r="M73" s="15">
        <f t="shared" si="19"/>
        <v>22</v>
      </c>
      <c r="N73" s="15">
        <f t="shared" si="20"/>
        <v>-9.5157744075551998E-2</v>
      </c>
      <c r="O73" s="18">
        <f>IF(SUMIFS('Monthly NSE Equity Futures'!$I:$I,'Monthly NSE Equity Futures'!$A:$A,$A73)=0,"",SUMIFS('Monthly NSE Equity Futures'!$I:$I,'Monthly NSE Equity Futures'!$A:$A,$A73))</f>
        <v>24645165</v>
      </c>
      <c r="P73" s="7">
        <f>IF(SUMIFS('Monthly BSE Equity Futures'!$I:$I,'Monthly BSE Equity Futures'!$A:$A,$A73)=0,"",SUMIFS('Monthly BSE Equity Futures'!$I:$I,'Monthly BSE Equity Futures'!$A:$A,$A73))</f>
        <v>27</v>
      </c>
      <c r="Q73" s="7">
        <f t="shared" si="15"/>
        <v>24645192</v>
      </c>
      <c r="R73" s="19">
        <f t="shared" si="16"/>
        <v>0.99999890445162687</v>
      </c>
      <c r="S73" s="19">
        <f t="shared" si="17"/>
        <v>1.0955483730863205E-6</v>
      </c>
    </row>
    <row r="74" spans="1:19" x14ac:dyDescent="0.2">
      <c r="A74" s="8">
        <v>40179</v>
      </c>
      <c r="B74" s="4" t="s">
        <v>80</v>
      </c>
      <c r="C74" s="4" t="s">
        <v>132</v>
      </c>
      <c r="D74" s="14">
        <f>IF(SUMIFS('Monthly NSE Equity Futures'!$H:$H,'Monthly NSE Equity Futures'!$A:$A,$A74)=0,"",SUMIFS('Monthly NSE Equity Futures'!$H:$H,'Monthly NSE Equity Futures'!$A:$A,$A74))</f>
        <v>7429.8298999999997</v>
      </c>
      <c r="E74" s="6">
        <f>IF(SUMIFS('Monthly BSE Equity Futures'!$H:$H,'Monthly BSE Equity Futures'!$A:$A,$A74)=0,"",SUMIFS('Monthly BSE Equity Futures'!$H:$H,'Monthly BSE Equity Futures'!$A:$A,$A74))</f>
        <v>0.8216</v>
      </c>
      <c r="F74" s="6">
        <f t="shared" si="12"/>
        <v>7430.6514999999999</v>
      </c>
      <c r="G74" s="15">
        <f t="shared" si="13"/>
        <v>0.99988943096039418</v>
      </c>
      <c r="H74" s="15">
        <f t="shared" si="14"/>
        <v>1.1056903960574654E-4</v>
      </c>
      <c r="I74" s="20" t="str">
        <f t="shared" si="9"/>
        <v/>
      </c>
      <c r="J74" s="15">
        <f t="shared" si="10"/>
        <v>5.8638262322472849</v>
      </c>
      <c r="K74" s="15" t="str">
        <f t="shared" si="11"/>
        <v/>
      </c>
      <c r="L74" s="15">
        <f t="shared" si="18"/>
        <v>2.4168546327774099E-2</v>
      </c>
      <c r="M74" s="15">
        <f t="shared" si="19"/>
        <v>118.07246376811594</v>
      </c>
      <c r="N74" s="15">
        <f t="shared" si="20"/>
        <v>2.4280825954505536E-2</v>
      </c>
      <c r="O74" s="18">
        <f>IF(SUMIFS('Monthly NSE Equity Futures'!$I:$I,'Monthly NSE Equity Futures'!$A:$A,$A74)=0,"",SUMIFS('Monthly NSE Equity Futures'!$I:$I,'Monthly NSE Equity Futures'!$A:$A,$A74))</f>
        <v>24603038</v>
      </c>
      <c r="P74" s="7">
        <f>IF(SUMIFS('Monthly BSE Equity Futures'!$I:$I,'Monthly BSE Equity Futures'!$A:$A,$A74)=0,"",SUMIFS('Monthly BSE Equity Futures'!$I:$I,'Monthly BSE Equity Futures'!$A:$A,$A74))</f>
        <v>3131</v>
      </c>
      <c r="Q74" s="7">
        <f t="shared" si="15"/>
        <v>24606169</v>
      </c>
      <c r="R74" s="19">
        <f t="shared" si="16"/>
        <v>0.99987275548664234</v>
      </c>
      <c r="S74" s="19">
        <f t="shared" si="17"/>
        <v>1.2724451335760557E-4</v>
      </c>
    </row>
    <row r="75" spans="1:19" x14ac:dyDescent="0.2">
      <c r="A75" s="8">
        <v>40210</v>
      </c>
      <c r="B75" s="4" t="s">
        <v>80</v>
      </c>
      <c r="C75" s="4" t="s">
        <v>132</v>
      </c>
      <c r="D75" s="14">
        <f>IF(SUMIFS('Monthly NSE Equity Futures'!$H:$H,'Monthly NSE Equity Futures'!$A:$A,$A75)=0,"",SUMIFS('Monthly NSE Equity Futures'!$H:$H,'Monthly NSE Equity Futures'!$A:$A,$A75))</f>
        <v>6813.5538999999999</v>
      </c>
      <c r="E75" s="6">
        <f>IF(SUMIFS('Monthly BSE Equity Futures'!$H:$H,'Monthly BSE Equity Futures'!$A:$A,$A75)=0,"",SUMIFS('Monthly BSE Equity Futures'!$H:$H,'Monthly BSE Equity Futures'!$A:$A,$A75))</f>
        <v>9.6699999999999994E-2</v>
      </c>
      <c r="F75" s="6">
        <f t="shared" si="12"/>
        <v>6813.6505999999999</v>
      </c>
      <c r="G75" s="15">
        <f t="shared" si="13"/>
        <v>0.99998580790156744</v>
      </c>
      <c r="H75" s="15">
        <f t="shared" si="14"/>
        <v>1.4192098432520153E-5</v>
      </c>
      <c r="I75" s="20" t="str">
        <f t="shared" si="9"/>
        <v/>
      </c>
      <c r="J75" s="15">
        <f t="shared" si="10"/>
        <v>0.54967948717948723</v>
      </c>
      <c r="K75" s="15" t="str">
        <f t="shared" si="11"/>
        <v/>
      </c>
      <c r="L75" s="15">
        <f t="shared" si="18"/>
        <v>-8.2946178888967492E-2</v>
      </c>
      <c r="M75" s="15">
        <f t="shared" si="19"/>
        <v>-0.88230282375851998</v>
      </c>
      <c r="N75" s="15">
        <f t="shared" si="20"/>
        <v>-8.3034562985493277E-2</v>
      </c>
      <c r="O75" s="18">
        <f>IF(SUMIFS('Monthly NSE Equity Futures'!$I:$I,'Monthly NSE Equity Futures'!$A:$A,$A75)=0,"",SUMIFS('Monthly NSE Equity Futures'!$I:$I,'Monthly NSE Equity Futures'!$A:$A,$A75))</f>
        <v>24617632</v>
      </c>
      <c r="P75" s="7">
        <f>IF(SUMIFS('Monthly BSE Equity Futures'!$I:$I,'Monthly BSE Equity Futures'!$A:$A,$A75)=0,"",SUMIFS('Monthly BSE Equity Futures'!$I:$I,'Monthly BSE Equity Futures'!$A:$A,$A75))</f>
        <v>399</v>
      </c>
      <c r="Q75" s="7">
        <f t="shared" si="15"/>
        <v>24618031</v>
      </c>
      <c r="R75" s="19">
        <f t="shared" si="16"/>
        <v>0.99998379236747248</v>
      </c>
      <c r="S75" s="19">
        <f t="shared" si="17"/>
        <v>1.6207632527556732E-5</v>
      </c>
    </row>
    <row r="76" spans="1:19" x14ac:dyDescent="0.2">
      <c r="A76" s="8">
        <v>40238</v>
      </c>
      <c r="B76" s="4" t="s">
        <v>80</v>
      </c>
      <c r="C76" s="4" t="s">
        <v>132</v>
      </c>
      <c r="D76" s="14">
        <f>IF(SUMIFS('Monthly NSE Equity Futures'!$H:$H,'Monthly NSE Equity Futures'!$A:$A,$A76)=0,"",SUMIFS('Monthly NSE Equity Futures'!$H:$H,'Monthly NSE Equity Futures'!$A:$A,$A76))</f>
        <v>6735.8254999999999</v>
      </c>
      <c r="E76" s="6">
        <f>IF(SUMIFS('Monthly BSE Equity Futures'!$H:$H,'Monthly BSE Equity Futures'!$A:$A,$A76)=0,"",SUMIFS('Monthly BSE Equity Futures'!$H:$H,'Monthly BSE Equity Futures'!$A:$A,$A76))</f>
        <v>7.4999999999999997E-3</v>
      </c>
      <c r="F76" s="6">
        <f t="shared" si="12"/>
        <v>6735.8329999999996</v>
      </c>
      <c r="G76" s="15">
        <f t="shared" si="13"/>
        <v>0.99999888655196767</v>
      </c>
      <c r="H76" s="15">
        <f t="shared" si="14"/>
        <v>1.1134480323369063E-6</v>
      </c>
      <c r="I76" s="20" t="str">
        <f t="shared" si="9"/>
        <v/>
      </c>
      <c r="J76" s="15">
        <f t="shared" si="10"/>
        <v>-0.81389578163771714</v>
      </c>
      <c r="K76" s="15" t="str">
        <f t="shared" si="11"/>
        <v/>
      </c>
      <c r="L76" s="15">
        <f t="shared" si="18"/>
        <v>-1.1407908580572057E-2</v>
      </c>
      <c r="M76" s="15">
        <f t="shared" si="19"/>
        <v>-0.92244053774560497</v>
      </c>
      <c r="N76" s="15">
        <f t="shared" si="20"/>
        <v>-1.1420838045320458E-2</v>
      </c>
      <c r="O76" s="18">
        <f>IF(SUMIFS('Monthly NSE Equity Futures'!$I:$I,'Monthly NSE Equity Futures'!$A:$A,$A76)=0,"",SUMIFS('Monthly NSE Equity Futures'!$I:$I,'Monthly NSE Equity Futures'!$A:$A,$A76))</f>
        <v>21963359</v>
      </c>
      <c r="P76" s="7">
        <f>IF(SUMIFS('Monthly BSE Equity Futures'!$I:$I,'Monthly BSE Equity Futures'!$A:$A,$A76)=0,"",SUMIFS('Monthly BSE Equity Futures'!$I:$I,'Monthly BSE Equity Futures'!$A:$A,$A76))</f>
        <v>29</v>
      </c>
      <c r="Q76" s="7">
        <f t="shared" si="15"/>
        <v>21963388</v>
      </c>
      <c r="R76" s="19">
        <f t="shared" si="16"/>
        <v>0.99999867962083078</v>
      </c>
      <c r="S76" s="19">
        <f t="shared" si="17"/>
        <v>1.3203791691882874E-6</v>
      </c>
    </row>
    <row r="77" spans="1:19" x14ac:dyDescent="0.2">
      <c r="A77" s="8">
        <v>40269</v>
      </c>
      <c r="B77" s="4" t="s">
        <v>81</v>
      </c>
      <c r="C77" s="4" t="s">
        <v>133</v>
      </c>
      <c r="D77" s="14">
        <f>IF(SUMIFS('Monthly NSE Equity Futures'!$H:$H,'Monthly NSE Equity Futures'!$A:$A,$A77)=0,"",SUMIFS('Monthly NSE Equity Futures'!$H:$H,'Monthly NSE Equity Futures'!$A:$A,$A77))</f>
        <v>6894.1662999999999</v>
      </c>
      <c r="E77" s="6">
        <f>IF(SUMIFS('Monthly BSE Equity Futures'!$H:$H,'Monthly BSE Equity Futures'!$A:$A,$A77)=0,"",SUMIFS('Monthly BSE Equity Futures'!$H:$H,'Monthly BSE Equity Futures'!$A:$A,$A77))</f>
        <v>1.4200000000000001E-2</v>
      </c>
      <c r="F77" s="6">
        <f t="shared" si="12"/>
        <v>6894.1804999999995</v>
      </c>
      <c r="G77" s="15">
        <f t="shared" si="13"/>
        <v>0.99999794029181577</v>
      </c>
      <c r="H77" s="15">
        <f t="shared" si="14"/>
        <v>2.059708184315743E-6</v>
      </c>
      <c r="I77" s="20">
        <f t="shared" si="9"/>
        <v>4.7511301423146746E-2</v>
      </c>
      <c r="J77" s="15">
        <f t="shared" si="10"/>
        <v>-0.23243243243243239</v>
      </c>
      <c r="K77" s="15">
        <f t="shared" si="11"/>
        <v>4.7510514525546998E-2</v>
      </c>
      <c r="L77" s="15">
        <f t="shared" si="18"/>
        <v>2.3507259800598979E-2</v>
      </c>
      <c r="M77" s="15">
        <f t="shared" si="19"/>
        <v>0.89333333333333353</v>
      </c>
      <c r="N77" s="15">
        <f t="shared" si="20"/>
        <v>2.3508228306729162E-2</v>
      </c>
      <c r="O77" s="18">
        <f>IF(SUMIFS('Monthly NSE Equity Futures'!$I:$I,'Monthly NSE Equity Futures'!$A:$A,$A77)=0,"",SUMIFS('Monthly NSE Equity Futures'!$I:$I,'Monthly NSE Equity Futures'!$A:$A,$A77))</f>
        <v>22204363</v>
      </c>
      <c r="P77" s="7">
        <f>IF(SUMIFS('Monthly BSE Equity Futures'!$I:$I,'Monthly BSE Equity Futures'!$A:$A,$A77)=0,"",SUMIFS('Monthly BSE Equity Futures'!$I:$I,'Monthly BSE Equity Futures'!$A:$A,$A77))</f>
        <v>54</v>
      </c>
      <c r="Q77" s="7">
        <f t="shared" si="15"/>
        <v>22204417</v>
      </c>
      <c r="R77" s="19">
        <f t="shared" si="16"/>
        <v>0.99999756805143769</v>
      </c>
      <c r="S77" s="19">
        <f t="shared" si="17"/>
        <v>2.4319485623063194E-6</v>
      </c>
    </row>
    <row r="78" spans="1:19" x14ac:dyDescent="0.2">
      <c r="A78" s="8">
        <v>40299</v>
      </c>
      <c r="B78" s="4" t="s">
        <v>81</v>
      </c>
      <c r="C78" s="4" t="s">
        <v>133</v>
      </c>
      <c r="D78" s="14">
        <f>IF(SUMIFS('Monthly NSE Equity Futures'!$H:$H,'Monthly NSE Equity Futures'!$A:$A,$A78)=0,"",SUMIFS('Monthly NSE Equity Futures'!$H:$H,'Monthly NSE Equity Futures'!$A:$A,$A78))</f>
        <v>8272.0563999999995</v>
      </c>
      <c r="E78" s="6">
        <f>IF(SUMIFS('Monthly BSE Equity Futures'!$H:$H,'Monthly BSE Equity Futures'!$A:$A,$A78)=0,"",SUMIFS('Monthly BSE Equity Futures'!$H:$H,'Monthly BSE Equity Futures'!$A:$A,$A78))</f>
        <v>3.7100000000000001E-2</v>
      </c>
      <c r="F78" s="6">
        <f t="shared" si="12"/>
        <v>8272.093499999999</v>
      </c>
      <c r="G78" s="15">
        <f t="shared" si="13"/>
        <v>0.99999551504102324</v>
      </c>
      <c r="H78" s="15">
        <f t="shared" si="14"/>
        <v>4.4849589768297472E-6</v>
      </c>
      <c r="I78" s="20">
        <f t="shared" ref="I78:I141" si="21">IF(OR(D78="",D66=""),"",D78/D66-1)</f>
        <v>8.0509617737061001E-2</v>
      </c>
      <c r="J78" s="15">
        <f t="shared" ref="J78:J141" si="22">IF(OR(E78="",E66=""),"",E78/E66-1)</f>
        <v>3.264367816091954</v>
      </c>
      <c r="K78" s="15">
        <f t="shared" ref="K78:K141" si="23">IF(OR(F78="",F66=""),"",F78/F66-1)</f>
        <v>8.0513235895879331E-2</v>
      </c>
      <c r="L78" s="15">
        <f t="shared" si="18"/>
        <v>0.1998631944808178</v>
      </c>
      <c r="M78" s="15">
        <f t="shared" si="19"/>
        <v>1.612676056338028</v>
      </c>
      <c r="N78" s="15">
        <f t="shared" si="20"/>
        <v>0.19986610446303232</v>
      </c>
      <c r="O78" s="18">
        <f>IF(SUMIFS('Monthly NSE Equity Futures'!$I:$I,'Monthly NSE Equity Futures'!$A:$A,$A78)=0,"",SUMIFS('Monthly NSE Equity Futures'!$I:$I,'Monthly NSE Equity Futures'!$A:$A,$A78))</f>
        <v>30730244</v>
      </c>
      <c r="P78" s="7">
        <f>IF(SUMIFS('Monthly BSE Equity Futures'!$I:$I,'Monthly BSE Equity Futures'!$A:$A,$A78)=0,"",SUMIFS('Monthly BSE Equity Futures'!$I:$I,'Monthly BSE Equity Futures'!$A:$A,$A78))</f>
        <v>148</v>
      </c>
      <c r="Q78" s="7">
        <f t="shared" si="15"/>
        <v>30730392</v>
      </c>
      <c r="R78" s="19">
        <f t="shared" si="16"/>
        <v>0.99999518392085596</v>
      </c>
      <c r="S78" s="19">
        <f t="shared" si="17"/>
        <v>4.8160791440603817E-6</v>
      </c>
    </row>
    <row r="79" spans="1:19" x14ac:dyDescent="0.2">
      <c r="A79" s="8">
        <v>40330</v>
      </c>
      <c r="B79" s="4" t="s">
        <v>81</v>
      </c>
      <c r="C79" s="4" t="s">
        <v>133</v>
      </c>
      <c r="D79" s="14">
        <f>IF(SUMIFS('Monthly NSE Equity Futures'!$H:$H,'Monthly NSE Equity Futures'!$A:$A,$A79)=0,"",SUMIFS('Monthly NSE Equity Futures'!$H:$H,'Monthly NSE Equity Futures'!$A:$A,$A79))</f>
        <v>7941.0888000000004</v>
      </c>
      <c r="E79" s="6">
        <f>IF(SUMIFS('Monthly BSE Equity Futures'!$H:$H,'Monthly BSE Equity Futures'!$A:$A,$A79)=0,"",SUMIFS('Monthly BSE Equity Futures'!$H:$H,'Monthly BSE Equity Futures'!$A:$A,$A79))</f>
        <v>2.4E-2</v>
      </c>
      <c r="F79" s="6">
        <f t="shared" si="12"/>
        <v>7941.1128000000008</v>
      </c>
      <c r="G79" s="15">
        <f t="shared" si="13"/>
        <v>0.99999697775354601</v>
      </c>
      <c r="H79" s="15">
        <f t="shared" si="14"/>
        <v>3.0222464539226792E-6</v>
      </c>
      <c r="I79" s="20">
        <f t="shared" si="21"/>
        <v>-0.15212899299696903</v>
      </c>
      <c r="J79" s="15">
        <f t="shared" si="22"/>
        <v>16.142857142857142</v>
      </c>
      <c r="K79" s="15">
        <f t="shared" si="23"/>
        <v>-0.15212655725264956</v>
      </c>
      <c r="L79" s="15">
        <f t="shared" si="18"/>
        <v>-4.0010317144355878E-2</v>
      </c>
      <c r="M79" s="15">
        <f t="shared" si="19"/>
        <v>-0.35309973045822107</v>
      </c>
      <c r="N79" s="15">
        <f t="shared" si="20"/>
        <v>-4.0011721337530615E-2</v>
      </c>
      <c r="O79" s="18">
        <f>IF(SUMIFS('Monthly NSE Equity Futures'!$I:$I,'Monthly NSE Equity Futures'!$A:$A,$A79)=0,"",SUMIFS('Monthly NSE Equity Futures'!$I:$I,'Monthly NSE Equity Futures'!$A:$A,$A79))</f>
        <v>29590517</v>
      </c>
      <c r="P79" s="7">
        <f>IF(SUMIFS('Monthly BSE Equity Futures'!$I:$I,'Monthly BSE Equity Futures'!$A:$A,$A79)=0,"",SUMIFS('Monthly BSE Equity Futures'!$I:$I,'Monthly BSE Equity Futures'!$A:$A,$A79))</f>
        <v>93</v>
      </c>
      <c r="Q79" s="7">
        <f t="shared" si="15"/>
        <v>29590610</v>
      </c>
      <c r="R79" s="19">
        <f t="shared" si="16"/>
        <v>0.99999685711109032</v>
      </c>
      <c r="S79" s="19">
        <f t="shared" si="17"/>
        <v>3.1428889096912838E-6</v>
      </c>
    </row>
    <row r="80" spans="1:19" x14ac:dyDescent="0.2">
      <c r="A80" s="8">
        <v>40360</v>
      </c>
      <c r="B80" s="4" t="s">
        <v>81</v>
      </c>
      <c r="C80" s="4" t="s">
        <v>134</v>
      </c>
      <c r="D80" s="14">
        <f>IF(SUMIFS('Monthly NSE Equity Futures'!$H:$H,'Monthly NSE Equity Futures'!$A:$A,$A80)=0,"",SUMIFS('Monthly NSE Equity Futures'!$H:$H,'Monthly NSE Equity Futures'!$A:$A,$A80))</f>
        <v>7128.4516999999996</v>
      </c>
      <c r="E80" s="6">
        <f>IF(SUMIFS('Monthly BSE Equity Futures'!$H:$H,'Monthly BSE Equity Futures'!$A:$A,$A80)=0,"",SUMIFS('Monthly BSE Equity Futures'!$H:$H,'Monthly BSE Equity Futures'!$A:$A,$A80))</f>
        <v>1.0800000000000001E-2</v>
      </c>
      <c r="F80" s="6">
        <f t="shared" si="12"/>
        <v>7128.4624999999996</v>
      </c>
      <c r="G80" s="15">
        <f t="shared" si="13"/>
        <v>0.999998484946789</v>
      </c>
      <c r="H80" s="15">
        <f t="shared" si="14"/>
        <v>1.5150532109834345E-6</v>
      </c>
      <c r="I80" s="20">
        <f t="shared" si="21"/>
        <v>-0.14481371682744604</v>
      </c>
      <c r="J80" s="15">
        <f t="shared" si="22"/>
        <v>11.000000000000002</v>
      </c>
      <c r="K80" s="15">
        <f t="shared" si="23"/>
        <v>-0.1448125135083983</v>
      </c>
      <c r="L80" s="15">
        <f t="shared" si="18"/>
        <v>-0.10233320901788689</v>
      </c>
      <c r="M80" s="15">
        <f t="shared" si="19"/>
        <v>-0.55000000000000004</v>
      </c>
      <c r="N80" s="15">
        <f t="shared" si="20"/>
        <v>-0.10233456197725854</v>
      </c>
      <c r="O80" s="18">
        <f>IF(SUMIFS('Monthly NSE Equity Futures'!$I:$I,'Monthly NSE Equity Futures'!$A:$A,$A80)=0,"",SUMIFS('Monthly NSE Equity Futures'!$I:$I,'Monthly NSE Equity Futures'!$A:$A,$A80))</f>
        <v>26408610</v>
      </c>
      <c r="P80" s="7">
        <f>IF(SUMIFS('Monthly BSE Equity Futures'!$I:$I,'Monthly BSE Equity Futures'!$A:$A,$A80)=0,"",SUMIFS('Monthly BSE Equity Futures'!$I:$I,'Monthly BSE Equity Futures'!$A:$A,$A80))</f>
        <v>40</v>
      </c>
      <c r="Q80" s="7">
        <f t="shared" si="15"/>
        <v>26408650</v>
      </c>
      <c r="R80" s="19">
        <f t="shared" si="16"/>
        <v>0.99999848534476388</v>
      </c>
      <c r="S80" s="19">
        <f t="shared" si="17"/>
        <v>1.5146552360684851E-6</v>
      </c>
    </row>
    <row r="81" spans="1:19" x14ac:dyDescent="0.2">
      <c r="A81" s="8">
        <v>40391</v>
      </c>
      <c r="B81" s="4" t="s">
        <v>81</v>
      </c>
      <c r="C81" s="4" t="s">
        <v>134</v>
      </c>
      <c r="D81" s="14">
        <f>IF(SUMIFS('Monthly NSE Equity Futures'!$H:$H,'Monthly NSE Equity Futures'!$A:$A,$A81)=0,"",SUMIFS('Monthly NSE Equity Futures'!$H:$H,'Monthly NSE Equity Futures'!$A:$A,$A81))</f>
        <v>7953.9718999999996</v>
      </c>
      <c r="E81" s="6">
        <f>IF(SUMIFS('Monthly BSE Equity Futures'!$H:$H,'Monthly BSE Equity Futures'!$A:$A,$A81)=0,"",SUMIFS('Monthly BSE Equity Futures'!$H:$H,'Monthly BSE Equity Futures'!$A:$A,$A81))</f>
        <v>3.1E-2</v>
      </c>
      <c r="F81" s="6">
        <f t="shared" si="12"/>
        <v>7954.0028999999995</v>
      </c>
      <c r="G81" s="15">
        <f t="shared" si="13"/>
        <v>0.99999610259131289</v>
      </c>
      <c r="H81" s="15">
        <f t="shared" si="14"/>
        <v>3.8974086871404084E-6</v>
      </c>
      <c r="I81" s="20">
        <f t="shared" si="21"/>
        <v>2.1475880671931957E-2</v>
      </c>
      <c r="J81" s="15">
        <f t="shared" si="22"/>
        <v>154</v>
      </c>
      <c r="K81" s="15">
        <f t="shared" si="23"/>
        <v>2.1479835560042515E-2</v>
      </c>
      <c r="L81" s="15">
        <f t="shared" si="18"/>
        <v>0.11580638191039427</v>
      </c>
      <c r="M81" s="15">
        <f t="shared" si="19"/>
        <v>1.8703703703703702</v>
      </c>
      <c r="N81" s="15">
        <f t="shared" si="20"/>
        <v>0.11580904016819904</v>
      </c>
      <c r="O81" s="18">
        <f>IF(SUMIFS('Monthly NSE Equity Futures'!$I:$I,'Monthly NSE Equity Futures'!$A:$A,$A81)=0,"",SUMIFS('Monthly NSE Equity Futures'!$I:$I,'Monthly NSE Equity Futures'!$A:$A,$A81))</f>
        <v>28186894</v>
      </c>
      <c r="P81" s="7">
        <f>IF(SUMIFS('Monthly BSE Equity Futures'!$I:$I,'Monthly BSE Equity Futures'!$A:$A,$A81)=0,"",SUMIFS('Monthly BSE Equity Futures'!$I:$I,'Monthly BSE Equity Futures'!$A:$A,$A81))</f>
        <v>114</v>
      </c>
      <c r="Q81" s="7">
        <f t="shared" si="15"/>
        <v>28187008</v>
      </c>
      <c r="R81" s="19">
        <f t="shared" si="16"/>
        <v>0.99999595558350851</v>
      </c>
      <c r="S81" s="19">
        <f t="shared" si="17"/>
        <v>4.0444164914559218E-6</v>
      </c>
    </row>
    <row r="82" spans="1:19" x14ac:dyDescent="0.2">
      <c r="A82" s="8">
        <v>40422</v>
      </c>
      <c r="B82" s="4" t="s">
        <v>81</v>
      </c>
      <c r="C82" s="4" t="s">
        <v>134</v>
      </c>
      <c r="D82" s="14">
        <f>IF(SUMIFS('Monthly NSE Equity Futures'!$H:$H,'Monthly NSE Equity Futures'!$A:$A,$A82)=0,"",SUMIFS('Monthly NSE Equity Futures'!$H:$H,'Monthly NSE Equity Futures'!$A:$A,$A82))</f>
        <v>9394.5254999999997</v>
      </c>
      <c r="E82" s="6">
        <f>IF(SUMIFS('Monthly BSE Equity Futures'!$H:$H,'Monthly BSE Equity Futures'!$A:$A,$A82)=0,"",SUMIFS('Monthly BSE Equity Futures'!$H:$H,'Monthly BSE Equity Futures'!$A:$A,$A82))</f>
        <v>3.5900000000000001E-2</v>
      </c>
      <c r="F82" s="6">
        <f t="shared" si="12"/>
        <v>9394.5614000000005</v>
      </c>
      <c r="G82" s="15">
        <f t="shared" si="13"/>
        <v>0.99999617864012247</v>
      </c>
      <c r="H82" s="15">
        <f t="shared" si="14"/>
        <v>3.8213598774286575E-6</v>
      </c>
      <c r="I82" s="20">
        <f t="shared" si="21"/>
        <v>0.27548696261576788</v>
      </c>
      <c r="J82" s="15">
        <f t="shared" si="22"/>
        <v>118.66666666666669</v>
      </c>
      <c r="K82" s="15">
        <f t="shared" si="23"/>
        <v>0.27549178477735725</v>
      </c>
      <c r="L82" s="15">
        <f t="shared" si="18"/>
        <v>0.18111122570096083</v>
      </c>
      <c r="M82" s="15">
        <f t="shared" si="19"/>
        <v>0.15806451612903238</v>
      </c>
      <c r="N82" s="15">
        <f t="shared" si="20"/>
        <v>0.18111113587851491</v>
      </c>
      <c r="O82" s="18">
        <f>IF(SUMIFS('Monthly NSE Equity Futures'!$I:$I,'Monthly NSE Equity Futures'!$A:$A,$A82)=0,"",SUMIFS('Monthly NSE Equity Futures'!$I:$I,'Monthly NSE Equity Futures'!$A:$A,$A82))</f>
        <v>31602287</v>
      </c>
      <c r="P82" s="7">
        <f>IF(SUMIFS('Monthly BSE Equity Futures'!$I:$I,'Monthly BSE Equity Futures'!$A:$A,$A82)=0,"",SUMIFS('Monthly BSE Equity Futures'!$I:$I,'Monthly BSE Equity Futures'!$A:$A,$A82))</f>
        <v>122</v>
      </c>
      <c r="Q82" s="7">
        <f t="shared" si="15"/>
        <v>31602409</v>
      </c>
      <c r="R82" s="19">
        <f t="shared" si="16"/>
        <v>0.99999613953480571</v>
      </c>
      <c r="S82" s="19">
        <f t="shared" si="17"/>
        <v>3.8604651942831321E-6</v>
      </c>
    </row>
    <row r="83" spans="1:19" x14ac:dyDescent="0.2">
      <c r="A83" s="8">
        <v>40452</v>
      </c>
      <c r="B83" s="4" t="s">
        <v>81</v>
      </c>
      <c r="C83" s="4" t="s">
        <v>135</v>
      </c>
      <c r="D83" s="14">
        <f>IF(SUMIFS('Monthly NSE Equity Futures'!$H:$H,'Monthly NSE Equity Futures'!$A:$A,$A83)=0,"",SUMIFS('Monthly NSE Equity Futures'!$H:$H,'Monthly NSE Equity Futures'!$A:$A,$A83))</f>
        <v>10112.868399999999</v>
      </c>
      <c r="E83" s="6">
        <f>IF(SUMIFS('Monthly BSE Equity Futures'!$H:$H,'Monthly BSE Equity Futures'!$A:$A,$A83)=0,"",SUMIFS('Monthly BSE Equity Futures'!$H:$H,'Monthly BSE Equity Futures'!$A:$A,$A83))</f>
        <v>5.5300000000000002E-2</v>
      </c>
      <c r="F83" s="6">
        <f t="shared" si="12"/>
        <v>10112.923699999999</v>
      </c>
      <c r="G83" s="15">
        <f t="shared" si="13"/>
        <v>0.99999453174950781</v>
      </c>
      <c r="H83" s="15">
        <f t="shared" si="14"/>
        <v>5.4682504921895145E-6</v>
      </c>
      <c r="I83" s="20">
        <f t="shared" si="21"/>
        <v>0.27135684140815708</v>
      </c>
      <c r="J83" s="15" t="str">
        <f t="shared" si="22"/>
        <v/>
      </c>
      <c r="K83" s="15" t="str">
        <f t="shared" si="23"/>
        <v/>
      </c>
      <c r="L83" s="15">
        <f t="shared" si="18"/>
        <v>7.6463989586275538E-2</v>
      </c>
      <c r="M83" s="15">
        <f t="shared" si="19"/>
        <v>0.54038997214484685</v>
      </c>
      <c r="N83" s="15">
        <f t="shared" si="20"/>
        <v>7.6465762414411165E-2</v>
      </c>
      <c r="O83" s="18">
        <f>IF(SUMIFS('Monthly NSE Equity Futures'!$I:$I,'Monthly NSE Equity Futures'!$A:$A,$A83)=0,"",SUMIFS('Monthly NSE Equity Futures'!$I:$I,'Monthly NSE Equity Futures'!$A:$A,$A83))</f>
        <v>32176686</v>
      </c>
      <c r="P83" s="7">
        <f>IF(SUMIFS('Monthly BSE Equity Futures'!$I:$I,'Monthly BSE Equity Futures'!$A:$A,$A83)=0,"",SUMIFS('Monthly BSE Equity Futures'!$I:$I,'Monthly BSE Equity Futures'!$A:$A,$A83))</f>
        <v>180</v>
      </c>
      <c r="Q83" s="7">
        <f t="shared" si="15"/>
        <v>32176866</v>
      </c>
      <c r="R83" s="19">
        <f t="shared" si="16"/>
        <v>0.99999440591883626</v>
      </c>
      <c r="S83" s="19">
        <f t="shared" si="17"/>
        <v>5.5940811637777278E-6</v>
      </c>
    </row>
    <row r="84" spans="1:19" x14ac:dyDescent="0.2">
      <c r="A84" s="8">
        <v>40483</v>
      </c>
      <c r="B84" s="4" t="s">
        <v>81</v>
      </c>
      <c r="C84" s="4" t="s">
        <v>135</v>
      </c>
      <c r="D84" s="14">
        <f>IF(SUMIFS('Monthly NSE Equity Futures'!$H:$H,'Monthly NSE Equity Futures'!$A:$A,$A84)=0,"",SUMIFS('Monthly NSE Equity Futures'!$H:$H,'Monthly NSE Equity Futures'!$A:$A,$A84))</f>
        <v>9646.6162000000004</v>
      </c>
      <c r="E84" s="6">
        <f>IF(SUMIFS('Monthly BSE Equity Futures'!$H:$H,'Monthly BSE Equity Futures'!$A:$A,$A84)=0,"",SUMIFS('Monthly BSE Equity Futures'!$H:$H,'Monthly BSE Equity Futures'!$A:$A,$A84))</f>
        <v>1.12E-2</v>
      </c>
      <c r="F84" s="6">
        <f t="shared" si="12"/>
        <v>9646.6274000000012</v>
      </c>
      <c r="G84" s="15">
        <f t="shared" si="13"/>
        <v>0.99999883897246811</v>
      </c>
      <c r="H84" s="15">
        <f t="shared" si="14"/>
        <v>1.16102753175685E-6</v>
      </c>
      <c r="I84" s="20">
        <f t="shared" si="21"/>
        <v>0.20320614122288116</v>
      </c>
      <c r="J84" s="15">
        <f t="shared" si="22"/>
        <v>36.333333333333336</v>
      </c>
      <c r="K84" s="15">
        <f t="shared" si="23"/>
        <v>0.20320749315774833</v>
      </c>
      <c r="L84" s="15">
        <f t="shared" si="18"/>
        <v>-4.610484202484022E-2</v>
      </c>
      <c r="M84" s="15">
        <f t="shared" si="19"/>
        <v>-0.79746835443037978</v>
      </c>
      <c r="N84" s="15">
        <f t="shared" si="20"/>
        <v>-4.6108950668736659E-2</v>
      </c>
      <c r="O84" s="18">
        <f>IF(SUMIFS('Monthly NSE Equity Futures'!$I:$I,'Monthly NSE Equity Futures'!$A:$A,$A84)=0,"",SUMIFS('Monthly NSE Equity Futures'!$I:$I,'Monthly NSE Equity Futures'!$A:$A,$A84))</f>
        <v>33125468</v>
      </c>
      <c r="P84" s="7">
        <f>IF(SUMIFS('Monthly BSE Equity Futures'!$I:$I,'Monthly BSE Equity Futures'!$A:$A,$A84)=0,"",SUMIFS('Monthly BSE Equity Futures'!$I:$I,'Monthly BSE Equity Futures'!$A:$A,$A84))</f>
        <v>37</v>
      </c>
      <c r="Q84" s="7">
        <f t="shared" si="15"/>
        <v>33125505</v>
      </c>
      <c r="R84" s="19">
        <f t="shared" si="16"/>
        <v>0.99999888303589635</v>
      </c>
      <c r="S84" s="19">
        <f t="shared" si="17"/>
        <v>1.1169641036415897E-6</v>
      </c>
    </row>
    <row r="85" spans="1:19" x14ac:dyDescent="0.2">
      <c r="A85" s="8">
        <v>40513</v>
      </c>
      <c r="B85" s="4" t="s">
        <v>81</v>
      </c>
      <c r="C85" s="4" t="s">
        <v>135</v>
      </c>
      <c r="D85" s="14">
        <f>IF(SUMIFS('Monthly NSE Equity Futures'!$H:$H,'Monthly NSE Equity Futures'!$A:$A,$A85)=0,"",SUMIFS('Monthly NSE Equity Futures'!$H:$H,'Monthly NSE Equity Futures'!$A:$A,$A85))</f>
        <v>7554.3752000000004</v>
      </c>
      <c r="E85" s="6">
        <f>IF(SUMIFS('Monthly BSE Equity Futures'!$H:$H,'Monthly BSE Equity Futures'!$A:$A,$A85)=0,"",SUMIFS('Monthly BSE Equity Futures'!$H:$H,'Monthly BSE Equity Futures'!$A:$A,$A85))</f>
        <v>0.12920000000000001</v>
      </c>
      <c r="F85" s="6">
        <f t="shared" si="12"/>
        <v>7554.5044000000007</v>
      </c>
      <c r="G85" s="15">
        <f t="shared" si="13"/>
        <v>0.99998289762065662</v>
      </c>
      <c r="H85" s="15">
        <f t="shared" si="14"/>
        <v>1.710237934337559E-5</v>
      </c>
      <c r="I85" s="20">
        <f t="shared" si="21"/>
        <v>4.1336554286200755E-2</v>
      </c>
      <c r="J85" s="15">
        <f t="shared" si="22"/>
        <v>17.724637681159422</v>
      </c>
      <c r="K85" s="15">
        <f t="shared" si="23"/>
        <v>4.1353373457084786E-2</v>
      </c>
      <c r="L85" s="15">
        <f t="shared" si="18"/>
        <v>-0.21688859146277628</v>
      </c>
      <c r="M85" s="15">
        <f t="shared" si="19"/>
        <v>10.535714285714286</v>
      </c>
      <c r="N85" s="15">
        <f t="shared" si="20"/>
        <v>-0.2168761073947979</v>
      </c>
      <c r="O85" s="18">
        <f>IF(SUMIFS('Monthly NSE Equity Futures'!$I:$I,'Monthly NSE Equity Futures'!$A:$A,$A85)=0,"",SUMIFS('Monthly NSE Equity Futures'!$I:$I,'Monthly NSE Equity Futures'!$A:$A,$A85))</f>
        <v>26816476</v>
      </c>
      <c r="P85" s="7">
        <f>IF(SUMIFS('Monthly BSE Equity Futures'!$I:$I,'Monthly BSE Equity Futures'!$A:$A,$A85)=0,"",SUMIFS('Monthly BSE Equity Futures'!$I:$I,'Monthly BSE Equity Futures'!$A:$A,$A85))</f>
        <v>435</v>
      </c>
      <c r="Q85" s="7">
        <f t="shared" si="15"/>
        <v>26816911</v>
      </c>
      <c r="R85" s="19">
        <f t="shared" si="16"/>
        <v>0.99998377889235635</v>
      </c>
      <c r="S85" s="19">
        <f t="shared" si="17"/>
        <v>1.6221107643605932E-5</v>
      </c>
    </row>
    <row r="86" spans="1:19" x14ac:dyDescent="0.2">
      <c r="A86" s="8">
        <v>40544</v>
      </c>
      <c r="B86" s="4" t="s">
        <v>81</v>
      </c>
      <c r="C86" s="4" t="s">
        <v>136</v>
      </c>
      <c r="D86" s="14">
        <f>IF(SUMIFS('Monthly NSE Equity Futures'!$H:$H,'Monthly NSE Equity Futures'!$A:$A,$A86)=0,"",SUMIFS('Monthly NSE Equity Futures'!$H:$H,'Monthly NSE Equity Futures'!$A:$A,$A86))</f>
        <v>7956.3348999999998</v>
      </c>
      <c r="E86" s="6">
        <f>IF(SUMIFS('Monthly BSE Equity Futures'!$H:$H,'Monthly BSE Equity Futures'!$A:$A,$A86)=0,"",SUMIFS('Monthly BSE Equity Futures'!$H:$H,'Monthly BSE Equity Futures'!$A:$A,$A86))</f>
        <v>1.1299999999999999E-2</v>
      </c>
      <c r="F86" s="6">
        <f t="shared" si="12"/>
        <v>7956.3462</v>
      </c>
      <c r="G86" s="15">
        <f t="shared" si="13"/>
        <v>0.99999857975008677</v>
      </c>
      <c r="H86" s="15">
        <f t="shared" si="14"/>
        <v>1.4202499132076479E-6</v>
      </c>
      <c r="I86" s="20">
        <f t="shared" si="21"/>
        <v>7.0863668090167087E-2</v>
      </c>
      <c r="J86" s="15">
        <f t="shared" si="22"/>
        <v>-0.98624634858812077</v>
      </c>
      <c r="K86" s="15">
        <f t="shared" si="23"/>
        <v>7.0746784450865352E-2</v>
      </c>
      <c r="L86" s="15">
        <f t="shared" si="18"/>
        <v>5.3208861005473951E-2</v>
      </c>
      <c r="M86" s="15">
        <f t="shared" si="19"/>
        <v>-0.91253869969040247</v>
      </c>
      <c r="N86" s="15">
        <f t="shared" si="20"/>
        <v>5.3192344424340954E-2</v>
      </c>
      <c r="O86" s="18">
        <f>IF(SUMIFS('Monthly NSE Equity Futures'!$I:$I,'Monthly NSE Equity Futures'!$A:$A,$A86)=0,"",SUMIFS('Monthly NSE Equity Futures'!$I:$I,'Monthly NSE Equity Futures'!$A:$A,$A86))</f>
        <v>28918489</v>
      </c>
      <c r="P86" s="7">
        <f>IF(SUMIFS('Monthly BSE Equity Futures'!$I:$I,'Monthly BSE Equity Futures'!$A:$A,$A86)=0,"",SUMIFS('Monthly BSE Equity Futures'!$I:$I,'Monthly BSE Equity Futures'!$A:$A,$A86))</f>
        <v>39</v>
      </c>
      <c r="Q86" s="7">
        <f t="shared" si="15"/>
        <v>28918528</v>
      </c>
      <c r="R86" s="19">
        <f t="shared" si="16"/>
        <v>0.99999865138363886</v>
      </c>
      <c r="S86" s="19">
        <f t="shared" si="17"/>
        <v>1.3486163611093897E-6</v>
      </c>
    </row>
    <row r="87" spans="1:19" x14ac:dyDescent="0.2">
      <c r="A87" s="8">
        <v>40575</v>
      </c>
      <c r="B87" s="4" t="s">
        <v>81</v>
      </c>
      <c r="C87" s="4" t="s">
        <v>136</v>
      </c>
      <c r="D87" s="14">
        <f>IF(SUMIFS('Monthly NSE Equity Futures'!$H:$H,'Monthly NSE Equity Futures'!$A:$A,$A87)=0,"",SUMIFS('Monthly NSE Equity Futures'!$H:$H,'Monthly NSE Equity Futures'!$A:$A,$A87))</f>
        <v>8040.6557000000003</v>
      </c>
      <c r="E87" s="6">
        <f>IF(SUMIFS('Monthly BSE Equity Futures'!$H:$H,'Monthly BSE Equity Futures'!$A:$A,$A87)=0,"",SUMIFS('Monthly BSE Equity Futures'!$H:$H,'Monthly BSE Equity Futures'!$A:$A,$A87))</f>
        <v>0.92730000000000001</v>
      </c>
      <c r="F87" s="6">
        <f t="shared" si="12"/>
        <v>8041.5830000000005</v>
      </c>
      <c r="G87" s="15">
        <f t="shared" si="13"/>
        <v>0.99988468688316712</v>
      </c>
      <c r="H87" s="15">
        <f t="shared" si="14"/>
        <v>1.1531311683284248E-4</v>
      </c>
      <c r="I87" s="20">
        <f t="shared" si="21"/>
        <v>0.18009717366439282</v>
      </c>
      <c r="J87" s="15">
        <f t="shared" si="22"/>
        <v>8.5894519131334022</v>
      </c>
      <c r="K87" s="15">
        <f t="shared" si="23"/>
        <v>0.18021652005460931</v>
      </c>
      <c r="L87" s="15">
        <f t="shared" si="18"/>
        <v>1.0597945041252554E-2</v>
      </c>
      <c r="M87" s="15">
        <f t="shared" si="19"/>
        <v>81.061946902654867</v>
      </c>
      <c r="N87" s="15">
        <f t="shared" si="20"/>
        <v>1.0713058212575177E-2</v>
      </c>
      <c r="O87" s="18">
        <f>IF(SUMIFS('Monthly NSE Equity Futures'!$I:$I,'Monthly NSE Equity Futures'!$A:$A,$A87)=0,"",SUMIFS('Monthly NSE Equity Futures'!$I:$I,'Monthly NSE Equity Futures'!$A:$A,$A87))</f>
        <v>31782400</v>
      </c>
      <c r="P87" s="7">
        <f>IF(SUMIFS('Monthly BSE Equity Futures'!$I:$I,'Monthly BSE Equity Futures'!$A:$A,$A87)=0,"",SUMIFS('Monthly BSE Equity Futures'!$I:$I,'Monthly BSE Equity Futures'!$A:$A,$A87))</f>
        <v>3434</v>
      </c>
      <c r="Q87" s="7">
        <f t="shared" si="15"/>
        <v>31785834</v>
      </c>
      <c r="R87" s="19">
        <f t="shared" si="16"/>
        <v>0.99989196445183726</v>
      </c>
      <c r="S87" s="19">
        <f t="shared" si="17"/>
        <v>1.0803554816274445E-4</v>
      </c>
    </row>
    <row r="88" spans="1:19" x14ac:dyDescent="0.2">
      <c r="A88" s="8">
        <v>40603</v>
      </c>
      <c r="B88" s="4" t="s">
        <v>81</v>
      </c>
      <c r="C88" s="4" t="s">
        <v>136</v>
      </c>
      <c r="D88" s="14">
        <f>IF(SUMIFS('Monthly NSE Equity Futures'!$H:$H,'Monthly NSE Equity Futures'!$A:$A,$A88)=0,"",SUMIFS('Monthly NSE Equity Futures'!$H:$H,'Monthly NSE Equity Futures'!$A:$A,$A88))</f>
        <v>7630.0012999999999</v>
      </c>
      <c r="E88" s="6">
        <f>IF(SUMIFS('Monthly BSE Equity Futures'!$H:$H,'Monthly BSE Equity Futures'!$A:$A,$A88)=0,"",SUMIFS('Monthly BSE Equity Futures'!$H:$H,'Monthly BSE Equity Futures'!$A:$A,$A88))</f>
        <v>0.2535</v>
      </c>
      <c r="F88" s="6">
        <f t="shared" si="12"/>
        <v>7630.2547999999997</v>
      </c>
      <c r="G88" s="15">
        <f t="shared" si="13"/>
        <v>0.99996677699413139</v>
      </c>
      <c r="H88" s="15">
        <f t="shared" si="14"/>
        <v>3.3223005868689998E-5</v>
      </c>
      <c r="I88" s="20">
        <f t="shared" si="21"/>
        <v>0.13274925248583114</v>
      </c>
      <c r="J88" s="15">
        <f t="shared" si="22"/>
        <v>32.800000000000004</v>
      </c>
      <c r="K88" s="15">
        <f t="shared" si="23"/>
        <v>0.13278562577189779</v>
      </c>
      <c r="L88" s="15">
        <f t="shared" si="18"/>
        <v>-5.1072252726851675E-2</v>
      </c>
      <c r="M88" s="15">
        <f t="shared" si="19"/>
        <v>-0.72662568747978007</v>
      </c>
      <c r="N88" s="15">
        <f t="shared" si="20"/>
        <v>-5.1150152899000156E-2</v>
      </c>
      <c r="O88" s="18">
        <f>IF(SUMIFS('Monthly NSE Equity Futures'!$I:$I,'Monthly NSE Equity Futures'!$A:$A,$A88)=0,"",SUMIFS('Monthly NSE Equity Futures'!$I:$I,'Monthly NSE Equity Futures'!$A:$A,$A88))</f>
        <v>29522678</v>
      </c>
      <c r="P88" s="7">
        <f>IF(SUMIFS('Monthly BSE Equity Futures'!$I:$I,'Monthly BSE Equity Futures'!$A:$A,$A88)=0,"",SUMIFS('Monthly BSE Equity Futures'!$I:$I,'Monthly BSE Equity Futures'!$A:$A,$A88))</f>
        <v>917</v>
      </c>
      <c r="Q88" s="7">
        <f t="shared" si="15"/>
        <v>29523595</v>
      </c>
      <c r="R88" s="19">
        <f t="shared" si="16"/>
        <v>0.99996894009689541</v>
      </c>
      <c r="S88" s="19">
        <f t="shared" si="17"/>
        <v>3.1059903104618529E-5</v>
      </c>
    </row>
    <row r="89" spans="1:19" x14ac:dyDescent="0.2">
      <c r="A89" s="8">
        <v>40634</v>
      </c>
      <c r="B89" s="4" t="s">
        <v>82</v>
      </c>
      <c r="C89" s="4" t="s">
        <v>137</v>
      </c>
      <c r="D89" s="14">
        <f>IF(SUMIFS('Monthly NSE Equity Futures'!$H:$H,'Monthly NSE Equity Futures'!$A:$A,$A89)=0,"",SUMIFS('Monthly NSE Equity Futures'!$H:$H,'Monthly NSE Equity Futures'!$A:$A,$A89))</f>
        <v>6354.62</v>
      </c>
      <c r="E89" s="6">
        <f>IF(SUMIFS('Monthly BSE Equity Futures'!$H:$H,'Monthly BSE Equity Futures'!$A:$A,$A89)=0,"",SUMIFS('Monthly BSE Equity Futures'!$H:$H,'Monthly BSE Equity Futures'!$A:$A,$A89))</f>
        <v>0.13250000000000001</v>
      </c>
      <c r="F89" s="6">
        <f t="shared" si="12"/>
        <v>6354.7524999999996</v>
      </c>
      <c r="G89" s="15">
        <f t="shared" si="13"/>
        <v>0.99997914946333477</v>
      </c>
      <c r="H89" s="15">
        <f t="shared" si="14"/>
        <v>2.0850536665275321E-5</v>
      </c>
      <c r="I89" s="20">
        <f t="shared" si="21"/>
        <v>-7.8261283021269779E-2</v>
      </c>
      <c r="J89" s="15">
        <f t="shared" si="22"/>
        <v>8.330985915492958</v>
      </c>
      <c r="K89" s="15">
        <f t="shared" si="23"/>
        <v>-7.8243962425990965E-2</v>
      </c>
      <c r="L89" s="15">
        <f t="shared" si="18"/>
        <v>-0.1671534839712282</v>
      </c>
      <c r="M89" s="15">
        <f t="shared" si="19"/>
        <v>-0.47731755424063116</v>
      </c>
      <c r="N89" s="15">
        <f t="shared" si="20"/>
        <v>-0.16716378855395497</v>
      </c>
      <c r="O89" s="18">
        <f>IF(SUMIFS('Monthly NSE Equity Futures'!$I:$I,'Monthly NSE Equity Futures'!$A:$A,$A89)=0,"",SUMIFS('Monthly NSE Equity Futures'!$I:$I,'Monthly NSE Equity Futures'!$A:$A,$A89))</f>
        <v>23152144</v>
      </c>
      <c r="P89" s="7">
        <f>IF(SUMIFS('Monthly BSE Equity Futures'!$I:$I,'Monthly BSE Equity Futures'!$A:$A,$A89)=0,"",SUMIFS('Monthly BSE Equity Futures'!$I:$I,'Monthly BSE Equity Futures'!$A:$A,$A89))</f>
        <v>435</v>
      </c>
      <c r="Q89" s="7">
        <f t="shared" si="15"/>
        <v>23152579</v>
      </c>
      <c r="R89" s="19">
        <f t="shared" si="16"/>
        <v>0.9999812115963409</v>
      </c>
      <c r="S89" s="19">
        <f t="shared" si="17"/>
        <v>1.8788403659048092E-5</v>
      </c>
    </row>
    <row r="90" spans="1:19" x14ac:dyDescent="0.2">
      <c r="A90" s="8">
        <v>40664</v>
      </c>
      <c r="B90" s="4" t="s">
        <v>82</v>
      </c>
      <c r="C90" s="4" t="s">
        <v>137</v>
      </c>
      <c r="D90" s="14">
        <f>IF(SUMIFS('Monthly NSE Equity Futures'!$H:$H,'Monthly NSE Equity Futures'!$A:$A,$A90)=0,"",SUMIFS('Monthly NSE Equity Futures'!$H:$H,'Monthly NSE Equity Futures'!$A:$A,$A90))</f>
        <v>6424.3316000000004</v>
      </c>
      <c r="E90" s="6">
        <f>IF(SUMIFS('Monthly BSE Equity Futures'!$H:$H,'Monthly BSE Equity Futures'!$A:$A,$A90)=0,"",SUMIFS('Monthly BSE Equity Futures'!$H:$H,'Monthly BSE Equity Futures'!$A:$A,$A90))</f>
        <v>1.0800000000000001E-2</v>
      </c>
      <c r="F90" s="6">
        <f t="shared" si="12"/>
        <v>6424.3424000000005</v>
      </c>
      <c r="G90" s="15">
        <f t="shared" si="13"/>
        <v>0.9999983188940863</v>
      </c>
      <c r="H90" s="15">
        <f t="shared" si="14"/>
        <v>1.6811059136574041E-6</v>
      </c>
      <c r="I90" s="20">
        <f t="shared" si="21"/>
        <v>-0.22336946348673337</v>
      </c>
      <c r="J90" s="15">
        <f t="shared" si="22"/>
        <v>-0.70889487870619949</v>
      </c>
      <c r="K90" s="15">
        <f t="shared" si="23"/>
        <v>-0.22337164104830276</v>
      </c>
      <c r="L90" s="15">
        <f t="shared" si="18"/>
        <v>1.0970223239155308E-2</v>
      </c>
      <c r="M90" s="15">
        <f t="shared" si="19"/>
        <v>-0.91849056603773582</v>
      </c>
      <c r="N90" s="15">
        <f t="shared" si="20"/>
        <v>1.095084348288955E-2</v>
      </c>
      <c r="O90" s="18">
        <f>IF(SUMIFS('Monthly NSE Equity Futures'!$I:$I,'Monthly NSE Equity Futures'!$A:$A,$A90)=0,"",SUMIFS('Monthly NSE Equity Futures'!$I:$I,'Monthly NSE Equity Futures'!$A:$A,$A90))</f>
        <v>25363293</v>
      </c>
      <c r="P90" s="7">
        <f>IF(SUMIFS('Monthly BSE Equity Futures'!$I:$I,'Monthly BSE Equity Futures'!$A:$A,$A90)=0,"",SUMIFS('Monthly BSE Equity Futures'!$I:$I,'Monthly BSE Equity Futures'!$A:$A,$A90))</f>
        <v>39</v>
      </c>
      <c r="Q90" s="7">
        <f t="shared" si="15"/>
        <v>25363332</v>
      </c>
      <c r="R90" s="19">
        <f t="shared" si="16"/>
        <v>0.99999846234713952</v>
      </c>
      <c r="S90" s="19">
        <f t="shared" si="17"/>
        <v>1.5376528604364759E-6</v>
      </c>
    </row>
    <row r="91" spans="1:19" x14ac:dyDescent="0.2">
      <c r="A91" s="8">
        <v>40695</v>
      </c>
      <c r="B91" s="4" t="s">
        <v>82</v>
      </c>
      <c r="C91" s="4" t="s">
        <v>137</v>
      </c>
      <c r="D91" s="14">
        <f>IF(SUMIFS('Monthly NSE Equity Futures'!$H:$H,'Monthly NSE Equity Futures'!$A:$A,$A91)=0,"",SUMIFS('Monthly NSE Equity Futures'!$H:$H,'Monthly NSE Equity Futures'!$A:$A,$A91))</f>
        <v>5878.7268000000004</v>
      </c>
      <c r="E91" s="6">
        <f>IF(SUMIFS('Monthly BSE Equity Futures'!$H:$H,'Monthly BSE Equity Futures'!$A:$A,$A91)=0,"",SUMIFS('Monthly BSE Equity Futures'!$H:$H,'Monthly BSE Equity Futures'!$A:$A,$A91))</f>
        <v>0.13270000000000001</v>
      </c>
      <c r="F91" s="6">
        <f t="shared" si="12"/>
        <v>5878.8595000000005</v>
      </c>
      <c r="G91" s="15">
        <f t="shared" si="13"/>
        <v>0.99997742759458697</v>
      </c>
      <c r="H91" s="15">
        <f t="shared" si="14"/>
        <v>2.2572405412988692E-5</v>
      </c>
      <c r="I91" s="20">
        <f t="shared" si="21"/>
        <v>-0.25970771161758066</v>
      </c>
      <c r="J91" s="15">
        <f t="shared" si="22"/>
        <v>4.5291666666666668</v>
      </c>
      <c r="K91" s="15">
        <f t="shared" si="23"/>
        <v>-0.25969323845897263</v>
      </c>
      <c r="L91" s="15">
        <f t="shared" si="18"/>
        <v>-8.4927870161621177E-2</v>
      </c>
      <c r="M91" s="15">
        <f t="shared" si="19"/>
        <v>11.287037037037038</v>
      </c>
      <c r="N91" s="15">
        <f t="shared" si="20"/>
        <v>-8.4908752684165756E-2</v>
      </c>
      <c r="O91" s="18">
        <f>IF(SUMIFS('Monthly NSE Equity Futures'!$I:$I,'Monthly NSE Equity Futures'!$A:$A,$A91)=0,"",SUMIFS('Monthly NSE Equity Futures'!$I:$I,'Monthly NSE Equity Futures'!$A:$A,$A91))</f>
        <v>23306686</v>
      </c>
      <c r="P91" s="7">
        <f>IF(SUMIFS('Monthly BSE Equity Futures'!$I:$I,'Monthly BSE Equity Futures'!$A:$A,$A91)=0,"",SUMIFS('Monthly BSE Equity Futures'!$I:$I,'Monthly BSE Equity Futures'!$A:$A,$A91))</f>
        <v>489</v>
      </c>
      <c r="Q91" s="7">
        <f t="shared" si="15"/>
        <v>23307175</v>
      </c>
      <c r="R91" s="19">
        <f t="shared" si="16"/>
        <v>0.99997901933632027</v>
      </c>
      <c r="S91" s="19">
        <f t="shared" si="17"/>
        <v>2.0980663679746687E-5</v>
      </c>
    </row>
    <row r="92" spans="1:19" x14ac:dyDescent="0.2">
      <c r="A92" s="8">
        <v>40725</v>
      </c>
      <c r="B92" s="4" t="s">
        <v>82</v>
      </c>
      <c r="C92" s="4" t="s">
        <v>138</v>
      </c>
      <c r="D92" s="14">
        <f>IF(SUMIFS('Monthly NSE Equity Futures'!$H:$H,'Monthly NSE Equity Futures'!$A:$A,$A92)=0,"",SUMIFS('Monthly NSE Equity Futures'!$H:$H,'Monthly NSE Equity Futures'!$A:$A,$A92))</f>
        <v>6155.3162000000002</v>
      </c>
      <c r="E92" s="6">
        <f>IF(SUMIFS('Monthly BSE Equity Futures'!$H:$H,'Monthly BSE Equity Futures'!$A:$A,$A92)=0,"",SUMIFS('Monthly BSE Equity Futures'!$H:$H,'Monthly BSE Equity Futures'!$A:$A,$A92))</f>
        <v>0.35339999999999999</v>
      </c>
      <c r="F92" s="6">
        <f t="shared" si="12"/>
        <v>6155.6696000000002</v>
      </c>
      <c r="G92" s="15">
        <f t="shared" si="13"/>
        <v>0.99994258951130188</v>
      </c>
      <c r="H92" s="15">
        <f t="shared" si="14"/>
        <v>5.7410488698093868E-5</v>
      </c>
      <c r="I92" s="20">
        <f t="shared" si="21"/>
        <v>-0.13651428682612798</v>
      </c>
      <c r="J92" s="15">
        <f t="shared" si="22"/>
        <v>31.722222222222221</v>
      </c>
      <c r="K92" s="15">
        <f t="shared" si="23"/>
        <v>-0.13646601914508205</v>
      </c>
      <c r="L92" s="15">
        <f t="shared" si="18"/>
        <v>4.7049201197783219E-2</v>
      </c>
      <c r="M92" s="15">
        <f t="shared" si="19"/>
        <v>1.6631499623210244</v>
      </c>
      <c r="N92" s="15">
        <f t="shared" si="20"/>
        <v>4.7085680479351355E-2</v>
      </c>
      <c r="O92" s="18">
        <f>IF(SUMIFS('Monthly NSE Equity Futures'!$I:$I,'Monthly NSE Equity Futures'!$A:$A,$A92)=0,"",SUMIFS('Monthly NSE Equity Futures'!$I:$I,'Monthly NSE Equity Futures'!$A:$A,$A92))</f>
        <v>22308879</v>
      </c>
      <c r="P92" s="7">
        <f>IF(SUMIFS('Monthly BSE Equity Futures'!$I:$I,'Monthly BSE Equity Futures'!$A:$A,$A92)=0,"",SUMIFS('Monthly BSE Equity Futures'!$I:$I,'Monthly BSE Equity Futures'!$A:$A,$A92))</f>
        <v>1238</v>
      </c>
      <c r="Q92" s="7">
        <f t="shared" si="15"/>
        <v>22310117</v>
      </c>
      <c r="R92" s="19">
        <f t="shared" si="16"/>
        <v>0.9999445094797127</v>
      </c>
      <c r="S92" s="19">
        <f t="shared" si="17"/>
        <v>5.5490520287275949E-5</v>
      </c>
    </row>
    <row r="93" spans="1:19" x14ac:dyDescent="0.2">
      <c r="A93" s="8">
        <v>40756</v>
      </c>
      <c r="B93" s="4" t="s">
        <v>82</v>
      </c>
      <c r="C93" s="4" t="s">
        <v>138</v>
      </c>
      <c r="D93" s="14">
        <f>IF(SUMIFS('Monthly NSE Equity Futures'!$H:$H,'Monthly NSE Equity Futures'!$A:$A,$A93)=0,"",SUMIFS('Monthly NSE Equity Futures'!$H:$H,'Monthly NSE Equity Futures'!$A:$A,$A93))</f>
        <v>6809.6751999999997</v>
      </c>
      <c r="E93" s="6">
        <f>IF(SUMIFS('Monthly BSE Equity Futures'!$H:$H,'Monthly BSE Equity Futures'!$A:$A,$A93)=0,"",SUMIFS('Monthly BSE Equity Futures'!$H:$H,'Monthly BSE Equity Futures'!$A:$A,$A93))</f>
        <v>0.57830000000000004</v>
      </c>
      <c r="F93" s="6">
        <f t="shared" si="12"/>
        <v>6810.2534999999998</v>
      </c>
      <c r="G93" s="15">
        <f t="shared" si="13"/>
        <v>0.99991508392455575</v>
      </c>
      <c r="H93" s="15">
        <f t="shared" si="14"/>
        <v>8.491607544418135E-5</v>
      </c>
      <c r="I93" s="20">
        <f t="shared" si="21"/>
        <v>-0.14386481551437214</v>
      </c>
      <c r="J93" s="15">
        <f t="shared" si="22"/>
        <v>17.654838709677421</v>
      </c>
      <c r="K93" s="15">
        <f t="shared" si="23"/>
        <v>-0.14379544669263322</v>
      </c>
      <c r="L93" s="15">
        <f t="shared" si="18"/>
        <v>0.10630794239295116</v>
      </c>
      <c r="M93" s="15">
        <f t="shared" si="19"/>
        <v>0.63638936049801931</v>
      </c>
      <c r="N93" s="15">
        <f t="shared" si="20"/>
        <v>0.10633837462621454</v>
      </c>
      <c r="O93" s="18">
        <f>IF(SUMIFS('Monthly NSE Equity Futures'!$I:$I,'Monthly NSE Equity Futures'!$A:$A,$A93)=0,"",SUMIFS('Monthly NSE Equity Futures'!$I:$I,'Monthly NSE Equity Futures'!$A:$A,$A93))</f>
        <v>27952231</v>
      </c>
      <c r="P93" s="7">
        <f>IF(SUMIFS('Monthly BSE Equity Futures'!$I:$I,'Monthly BSE Equity Futures'!$A:$A,$A93)=0,"",SUMIFS('Monthly BSE Equity Futures'!$I:$I,'Monthly BSE Equity Futures'!$A:$A,$A93))</f>
        <v>2164</v>
      </c>
      <c r="Q93" s="7">
        <f t="shared" si="15"/>
        <v>27954395</v>
      </c>
      <c r="R93" s="19">
        <f t="shared" si="16"/>
        <v>0.99992258820124702</v>
      </c>
      <c r="S93" s="19">
        <f t="shared" si="17"/>
        <v>7.7411798752933121E-5</v>
      </c>
    </row>
    <row r="94" spans="1:19" x14ac:dyDescent="0.2">
      <c r="A94" s="8">
        <v>40787</v>
      </c>
      <c r="B94" s="4" t="s">
        <v>82</v>
      </c>
      <c r="C94" s="4" t="s">
        <v>138</v>
      </c>
      <c r="D94" s="14">
        <f>IF(SUMIFS('Monthly NSE Equity Futures'!$H:$H,'Monthly NSE Equity Futures'!$A:$A,$A94)=0,"",SUMIFS('Monthly NSE Equity Futures'!$H:$H,'Monthly NSE Equity Futures'!$A:$A,$A94))</f>
        <v>6731.1579000000002</v>
      </c>
      <c r="E94" s="6">
        <f>IF(SUMIFS('Monthly BSE Equity Futures'!$H:$H,'Monthly BSE Equity Futures'!$A:$A,$A94)=0,"",SUMIFS('Monthly BSE Equity Futures'!$H:$H,'Monthly BSE Equity Futures'!$A:$A,$A94))</f>
        <v>7.1512000000000002</v>
      </c>
      <c r="F94" s="6">
        <f t="shared" si="12"/>
        <v>6738.3091000000004</v>
      </c>
      <c r="G94" s="15">
        <f t="shared" si="13"/>
        <v>0.99893872485012591</v>
      </c>
      <c r="H94" s="15">
        <f t="shared" si="14"/>
        <v>1.061275149874024E-3</v>
      </c>
      <c r="I94" s="20">
        <f t="shared" si="21"/>
        <v>-0.28350208853017644</v>
      </c>
      <c r="J94" s="15">
        <f t="shared" si="22"/>
        <v>198.19777158774374</v>
      </c>
      <c r="K94" s="15">
        <f t="shared" si="23"/>
        <v>-0.28274362015452903</v>
      </c>
      <c r="L94" s="15">
        <f t="shared" si="18"/>
        <v>-1.1530256244820514E-2</v>
      </c>
      <c r="M94" s="15">
        <f t="shared" si="19"/>
        <v>11.365900051876189</v>
      </c>
      <c r="N94" s="15">
        <f t="shared" si="20"/>
        <v>-1.056412951441521E-2</v>
      </c>
      <c r="O94" s="18">
        <f>IF(SUMIFS('Monthly NSE Equity Futures'!$I:$I,'Monthly NSE Equity Futures'!$A:$A,$A94)=0,"",SUMIFS('Monthly NSE Equity Futures'!$I:$I,'Monthly NSE Equity Futures'!$A:$A,$A94))</f>
        <v>28126361</v>
      </c>
      <c r="P94" s="7">
        <f>IF(SUMIFS('Monthly BSE Equity Futures'!$I:$I,'Monthly BSE Equity Futures'!$A:$A,$A94)=0,"",SUMIFS('Monthly BSE Equity Futures'!$I:$I,'Monthly BSE Equity Futures'!$A:$A,$A94))</f>
        <v>27062</v>
      </c>
      <c r="Q94" s="7">
        <f t="shared" si="15"/>
        <v>28153423</v>
      </c>
      <c r="R94" s="19">
        <f t="shared" si="16"/>
        <v>0.99903876697338012</v>
      </c>
      <c r="S94" s="19">
        <f t="shared" si="17"/>
        <v>9.6123302661988916E-4</v>
      </c>
    </row>
    <row r="95" spans="1:19" x14ac:dyDescent="0.2">
      <c r="A95" s="8">
        <v>40817</v>
      </c>
      <c r="B95" s="4" t="s">
        <v>82</v>
      </c>
      <c r="C95" s="4" t="s">
        <v>139</v>
      </c>
      <c r="D95" s="14">
        <f>IF(SUMIFS('Monthly NSE Equity Futures'!$H:$H,'Monthly NSE Equity Futures'!$A:$A,$A95)=0,"",SUMIFS('Monthly NSE Equity Futures'!$H:$H,'Monthly NSE Equity Futures'!$A:$A,$A95))</f>
        <v>5459.1584999999995</v>
      </c>
      <c r="E95" s="6">
        <f>IF(SUMIFS('Monthly BSE Equity Futures'!$H:$H,'Monthly BSE Equity Futures'!$A:$A,$A95)=0,"",SUMIFS('Monthly BSE Equity Futures'!$H:$H,'Monthly BSE Equity Futures'!$A:$A,$A95))</f>
        <v>41.074599999999997</v>
      </c>
      <c r="F95" s="6">
        <f t="shared" si="12"/>
        <v>5500.2330999999995</v>
      </c>
      <c r="G95" s="15">
        <f t="shared" si="13"/>
        <v>0.99253220740771875</v>
      </c>
      <c r="H95" s="15">
        <f t="shared" si="14"/>
        <v>7.4677925922812258E-3</v>
      </c>
      <c r="I95" s="20">
        <f t="shared" si="21"/>
        <v>-0.460177045317825</v>
      </c>
      <c r="J95" s="15">
        <f t="shared" si="22"/>
        <v>741.75949367088594</v>
      </c>
      <c r="K95" s="15">
        <f t="shared" si="23"/>
        <v>-0.45611840223811839</v>
      </c>
      <c r="L95" s="15">
        <f t="shared" si="18"/>
        <v>-0.18897185579319131</v>
      </c>
      <c r="M95" s="15">
        <f t="shared" si="19"/>
        <v>4.7437353171495689</v>
      </c>
      <c r="N95" s="15">
        <f t="shared" si="20"/>
        <v>-0.18373689624894185</v>
      </c>
      <c r="O95" s="18">
        <f>IF(SUMIFS('Monthly NSE Equity Futures'!$I:$I,'Monthly NSE Equity Futures'!$A:$A,$A95)=0,"",SUMIFS('Monthly NSE Equity Futures'!$I:$I,'Monthly NSE Equity Futures'!$A:$A,$A95))</f>
        <v>22648613</v>
      </c>
      <c r="P95" s="7">
        <f>IF(SUMIFS('Monthly BSE Equity Futures'!$I:$I,'Monthly BSE Equity Futures'!$A:$A,$A95)=0,"",SUMIFS('Monthly BSE Equity Futures'!$I:$I,'Monthly BSE Equity Futures'!$A:$A,$A95))</f>
        <v>154166</v>
      </c>
      <c r="Q95" s="7">
        <f t="shared" si="15"/>
        <v>22802779</v>
      </c>
      <c r="R95" s="19">
        <f t="shared" si="16"/>
        <v>0.99323915738515911</v>
      </c>
      <c r="S95" s="19">
        <f t="shared" si="17"/>
        <v>6.7608426148409364E-3</v>
      </c>
    </row>
    <row r="96" spans="1:19" x14ac:dyDescent="0.2">
      <c r="A96" s="8">
        <v>40848</v>
      </c>
      <c r="B96" s="4" t="s">
        <v>82</v>
      </c>
      <c r="C96" s="4" t="s">
        <v>139</v>
      </c>
      <c r="D96" s="14">
        <f>IF(SUMIFS('Monthly NSE Equity Futures'!$H:$H,'Monthly NSE Equity Futures'!$A:$A,$A96)=0,"",SUMIFS('Monthly NSE Equity Futures'!$H:$H,'Monthly NSE Equity Futures'!$A:$A,$A96))</f>
        <v>6175.6040000000003</v>
      </c>
      <c r="E96" s="6">
        <f>IF(SUMIFS('Monthly BSE Equity Futures'!$H:$H,'Monthly BSE Equity Futures'!$A:$A,$A96)=0,"",SUMIFS('Monthly BSE Equity Futures'!$H:$H,'Monthly BSE Equity Futures'!$A:$A,$A96))</f>
        <v>204.74039999999999</v>
      </c>
      <c r="F96" s="6">
        <f t="shared" si="12"/>
        <v>6380.3444</v>
      </c>
      <c r="G96" s="15">
        <f t="shared" si="13"/>
        <v>0.96791076042854374</v>
      </c>
      <c r="H96" s="15">
        <f t="shared" si="14"/>
        <v>3.208923957145636E-2</v>
      </c>
      <c r="I96" s="20">
        <f t="shared" si="21"/>
        <v>-0.3598165541197752</v>
      </c>
      <c r="J96" s="15">
        <f t="shared" si="22"/>
        <v>18279.392857142855</v>
      </c>
      <c r="K96" s="15">
        <f t="shared" si="23"/>
        <v>-0.3385932579919072</v>
      </c>
      <c r="L96" s="15">
        <f t="shared" si="18"/>
        <v>0.1312373509580278</v>
      </c>
      <c r="M96" s="15">
        <f t="shared" si="19"/>
        <v>3.9845987544613948</v>
      </c>
      <c r="N96" s="15">
        <f t="shared" si="20"/>
        <v>0.16001345470249273</v>
      </c>
      <c r="O96" s="18">
        <f>IF(SUMIFS('Monthly NSE Equity Futures'!$I:$I,'Monthly NSE Equity Futures'!$A:$A,$A96)=0,"",SUMIFS('Monthly NSE Equity Futures'!$I:$I,'Monthly NSE Equity Futures'!$A:$A,$A96))</f>
        <v>26867743</v>
      </c>
      <c r="P96" s="7">
        <f>IF(SUMIFS('Monthly BSE Equity Futures'!$I:$I,'Monthly BSE Equity Futures'!$A:$A,$A96)=0,"",SUMIFS('Monthly BSE Equity Futures'!$I:$I,'Monthly BSE Equity Futures'!$A:$A,$A96))</f>
        <v>805238</v>
      </c>
      <c r="Q96" s="7">
        <f t="shared" si="15"/>
        <v>27672981</v>
      </c>
      <c r="R96" s="19">
        <f t="shared" si="16"/>
        <v>0.970901653132346</v>
      </c>
      <c r="S96" s="19">
        <f t="shared" si="17"/>
        <v>2.909834686765405E-2</v>
      </c>
    </row>
    <row r="97" spans="1:19" x14ac:dyDescent="0.2">
      <c r="A97" s="8">
        <v>40878</v>
      </c>
      <c r="B97" s="4" t="s">
        <v>82</v>
      </c>
      <c r="C97" s="4" t="s">
        <v>139</v>
      </c>
      <c r="D97" s="14">
        <f>IF(SUMIFS('Monthly NSE Equity Futures'!$H:$H,'Monthly NSE Equity Futures'!$A:$A,$A97)=0,"",SUMIFS('Monthly NSE Equity Futures'!$H:$H,'Monthly NSE Equity Futures'!$A:$A,$A97))</f>
        <v>5871.1836000000003</v>
      </c>
      <c r="E97" s="6">
        <f>IF(SUMIFS('Monthly BSE Equity Futures'!$H:$H,'Monthly BSE Equity Futures'!$A:$A,$A97)=0,"",SUMIFS('Monthly BSE Equity Futures'!$H:$H,'Monthly BSE Equity Futures'!$A:$A,$A97))</f>
        <v>396.97210000000001</v>
      </c>
      <c r="F97" s="6">
        <f t="shared" si="12"/>
        <v>6268.1557000000003</v>
      </c>
      <c r="G97" s="15">
        <f t="shared" si="13"/>
        <v>0.9366684366184459</v>
      </c>
      <c r="H97" s="15">
        <f t="shared" si="14"/>
        <v>6.3331563381554157E-2</v>
      </c>
      <c r="I97" s="20">
        <f t="shared" si="21"/>
        <v>-0.22281016701420919</v>
      </c>
      <c r="J97" s="15">
        <f t="shared" si="22"/>
        <v>3071.5394736842104</v>
      </c>
      <c r="K97" s="15">
        <f t="shared" si="23"/>
        <v>-0.17027572318311179</v>
      </c>
      <c r="L97" s="15">
        <f t="shared" si="18"/>
        <v>-4.9294028567893888E-2</v>
      </c>
      <c r="M97" s="15">
        <f t="shared" si="19"/>
        <v>0.93890458356045037</v>
      </c>
      <c r="N97" s="15">
        <f t="shared" si="20"/>
        <v>-1.7583486559126782E-2</v>
      </c>
      <c r="O97" s="18">
        <f>IF(SUMIFS('Monthly NSE Equity Futures'!$I:$I,'Monthly NSE Equity Futures'!$A:$A,$A97)=0,"",SUMIFS('Monthly NSE Equity Futures'!$I:$I,'Monthly NSE Equity Futures'!$A:$A,$A97))</f>
        <v>26642594</v>
      </c>
      <c r="P97" s="7">
        <f>IF(SUMIFS('Monthly BSE Equity Futures'!$I:$I,'Monthly BSE Equity Futures'!$A:$A,$A97)=0,"",SUMIFS('Monthly BSE Equity Futures'!$I:$I,'Monthly BSE Equity Futures'!$A:$A,$A97))</f>
        <v>1642883</v>
      </c>
      <c r="Q97" s="7">
        <f t="shared" si="15"/>
        <v>28285477</v>
      </c>
      <c r="R97" s="19">
        <f t="shared" si="16"/>
        <v>0.94191779053257618</v>
      </c>
      <c r="S97" s="19">
        <f t="shared" si="17"/>
        <v>5.8082209467423866E-2</v>
      </c>
    </row>
    <row r="98" spans="1:19" x14ac:dyDescent="0.2">
      <c r="A98" s="8">
        <v>40909</v>
      </c>
      <c r="B98" s="4" t="s">
        <v>82</v>
      </c>
      <c r="C98" s="4" t="s">
        <v>140</v>
      </c>
      <c r="D98" s="14">
        <f>IF(SUMIFS('Monthly NSE Equity Futures'!$H:$H,'Monthly NSE Equity Futures'!$A:$A,$A98)=0,"",SUMIFS('Monthly NSE Equity Futures'!$H:$H,'Monthly NSE Equity Futures'!$A:$A,$A98))</f>
        <v>6015.8599000000004</v>
      </c>
      <c r="E98" s="6">
        <f>IF(SUMIFS('Monthly BSE Equity Futures'!$H:$H,'Monthly BSE Equity Futures'!$A:$A,$A98)=0,"",SUMIFS('Monthly BSE Equity Futures'!$H:$H,'Monthly BSE Equity Futures'!$A:$A,$A98))</f>
        <v>485.78390000000002</v>
      </c>
      <c r="F98" s="6">
        <f t="shared" si="12"/>
        <v>6501.6438000000007</v>
      </c>
      <c r="G98" s="15">
        <f t="shared" si="13"/>
        <v>0.92528291076173685</v>
      </c>
      <c r="H98" s="15">
        <f t="shared" si="14"/>
        <v>7.471708923826309E-2</v>
      </c>
      <c r="I98" s="20">
        <f t="shared" si="21"/>
        <v>-0.24389056322905656</v>
      </c>
      <c r="J98" s="15">
        <f t="shared" si="22"/>
        <v>42988.725663716818</v>
      </c>
      <c r="K98" s="15">
        <f t="shared" si="23"/>
        <v>-0.18283548295070406</v>
      </c>
      <c r="L98" s="15">
        <f t="shared" si="18"/>
        <v>2.4641760479096497E-2</v>
      </c>
      <c r="M98" s="15">
        <f t="shared" si="19"/>
        <v>0.22372302738655936</v>
      </c>
      <c r="N98" s="15">
        <f t="shared" si="20"/>
        <v>3.7249888352326677E-2</v>
      </c>
      <c r="O98" s="18">
        <f>IF(SUMIFS('Monthly NSE Equity Futures'!$I:$I,'Monthly NSE Equity Futures'!$A:$A,$A98)=0,"",SUMIFS('Monthly NSE Equity Futures'!$I:$I,'Monthly NSE Equity Futures'!$A:$A,$A98))</f>
        <v>24814505</v>
      </c>
      <c r="P98" s="7">
        <f>IF(SUMIFS('Monthly BSE Equity Futures'!$I:$I,'Monthly BSE Equity Futures'!$A:$A,$A98)=0,"",SUMIFS('Monthly BSE Equity Futures'!$I:$I,'Monthly BSE Equity Futures'!$A:$A,$A98))</f>
        <v>1963743</v>
      </c>
      <c r="Q98" s="7">
        <f t="shared" si="15"/>
        <v>26778248</v>
      </c>
      <c r="R98" s="19">
        <f t="shared" si="16"/>
        <v>0.92666648691878573</v>
      </c>
      <c r="S98" s="19">
        <f t="shared" si="17"/>
        <v>7.3333513081214274E-2</v>
      </c>
    </row>
    <row r="99" spans="1:19" x14ac:dyDescent="0.2">
      <c r="A99" s="8">
        <v>40940</v>
      </c>
      <c r="B99" s="4" t="s">
        <v>82</v>
      </c>
      <c r="C99" s="4" t="s">
        <v>140</v>
      </c>
      <c r="D99" s="14">
        <f>IF(SUMIFS('Monthly NSE Equity Futures'!$H:$H,'Monthly NSE Equity Futures'!$A:$A,$A99)=0,"",SUMIFS('Monthly NSE Equity Futures'!$H:$H,'Monthly NSE Equity Futures'!$A:$A,$A99))</f>
        <v>7430.0769</v>
      </c>
      <c r="E99" s="6">
        <f>IF(SUMIFS('Monthly BSE Equity Futures'!$H:$H,'Monthly BSE Equity Futures'!$A:$A,$A99)=0,"",SUMIFS('Monthly BSE Equity Futures'!$H:$H,'Monthly BSE Equity Futures'!$A:$A,$A99))</f>
        <v>358.05430000000001</v>
      </c>
      <c r="F99" s="6">
        <f t="shared" si="12"/>
        <v>7788.1311999999998</v>
      </c>
      <c r="G99" s="15">
        <f t="shared" si="13"/>
        <v>0.95402564610108265</v>
      </c>
      <c r="H99" s="15">
        <f t="shared" si="14"/>
        <v>4.5974353898917374E-2</v>
      </c>
      <c r="I99" s="20">
        <f t="shared" si="21"/>
        <v>-7.5936443840021628E-2</v>
      </c>
      <c r="J99" s="15">
        <f t="shared" si="22"/>
        <v>385.12563355979728</v>
      </c>
      <c r="K99" s="15">
        <f t="shared" si="23"/>
        <v>-3.1517650193997993E-2</v>
      </c>
      <c r="L99" s="15">
        <f t="shared" si="18"/>
        <v>0.23508143864852959</v>
      </c>
      <c r="M99" s="15">
        <f t="shared" si="19"/>
        <v>-0.26293502110712186</v>
      </c>
      <c r="N99" s="15">
        <f t="shared" si="20"/>
        <v>0.19787109838284267</v>
      </c>
      <c r="O99" s="18">
        <f>IF(SUMIFS('Monthly NSE Equity Futures'!$I:$I,'Monthly NSE Equity Futures'!$A:$A,$A99)=0,"",SUMIFS('Monthly NSE Equity Futures'!$I:$I,'Monthly NSE Equity Futures'!$A:$A,$A99))</f>
        <v>26595457</v>
      </c>
      <c r="P99" s="7">
        <f>IF(SUMIFS('Monthly BSE Equity Futures'!$I:$I,'Monthly BSE Equity Futures'!$A:$A,$A99)=0,"",SUMIFS('Monthly BSE Equity Futures'!$I:$I,'Monthly BSE Equity Futures'!$A:$A,$A99))</f>
        <v>1315589</v>
      </c>
      <c r="Q99" s="7">
        <f t="shared" si="15"/>
        <v>27911046</v>
      </c>
      <c r="R99" s="19">
        <f t="shared" si="16"/>
        <v>0.95286493383300652</v>
      </c>
      <c r="S99" s="19">
        <f t="shared" si="17"/>
        <v>4.7135066166993526E-2</v>
      </c>
    </row>
    <row r="100" spans="1:19" x14ac:dyDescent="0.2">
      <c r="A100" s="8">
        <v>40969</v>
      </c>
      <c r="B100" s="4" t="s">
        <v>82</v>
      </c>
      <c r="C100" s="4" t="s">
        <v>140</v>
      </c>
      <c r="D100" s="14">
        <f>IF(SUMIFS('Monthly NSE Equity Futures'!$H:$H,'Monthly NSE Equity Futures'!$A:$A,$A100)=0,"",SUMIFS('Monthly NSE Equity Futures'!$H:$H,'Monthly NSE Equity Futures'!$A:$A,$A100))</f>
        <v>7220.9808000000003</v>
      </c>
      <c r="E100" s="6">
        <f>IF(SUMIFS('Monthly BSE Equity Futures'!$H:$H,'Monthly BSE Equity Futures'!$A:$A,$A100)=0,"",SUMIFS('Monthly BSE Equity Futures'!$H:$H,'Monthly BSE Equity Futures'!$A:$A,$A100))</f>
        <v>391.66109999999998</v>
      </c>
      <c r="F100" s="6">
        <f t="shared" si="12"/>
        <v>7612.6419000000005</v>
      </c>
      <c r="G100" s="15">
        <f t="shared" si="13"/>
        <v>0.94855122503529288</v>
      </c>
      <c r="H100" s="15">
        <f t="shared" si="14"/>
        <v>5.1448774964707053E-2</v>
      </c>
      <c r="I100" s="20">
        <f t="shared" si="21"/>
        <v>-5.3606871600401895E-2</v>
      </c>
      <c r="J100" s="15">
        <f t="shared" si="22"/>
        <v>1544.0142011834319</v>
      </c>
      <c r="K100" s="15">
        <f t="shared" si="23"/>
        <v>-2.3082977517342451E-3</v>
      </c>
      <c r="L100" s="15">
        <f t="shared" si="18"/>
        <v>-2.8141848706841777E-2</v>
      </c>
      <c r="M100" s="15">
        <f t="shared" si="19"/>
        <v>9.385950678430599E-2</v>
      </c>
      <c r="N100" s="15">
        <f t="shared" si="20"/>
        <v>-2.2532915213343996E-2</v>
      </c>
      <c r="O100" s="18">
        <f>IF(SUMIFS('Monthly NSE Equity Futures'!$I:$I,'Monthly NSE Equity Futures'!$A:$A,$A100)=0,"",SUMIFS('Monthly NSE Equity Futures'!$I:$I,'Monthly NSE Equity Futures'!$A:$A,$A100))</f>
        <v>26754851</v>
      </c>
      <c r="P100" s="7">
        <f>IF(SUMIFS('Monthly BSE Equity Futures'!$I:$I,'Monthly BSE Equity Futures'!$A:$A,$A100)=0,"",SUMIFS('Monthly BSE Equity Futures'!$I:$I,'Monthly BSE Equity Futures'!$A:$A,$A100))</f>
        <v>1486630</v>
      </c>
      <c r="Q100" s="7">
        <f t="shared" si="15"/>
        <v>28241481</v>
      </c>
      <c r="R100" s="19">
        <f t="shared" si="16"/>
        <v>0.94736005523223088</v>
      </c>
      <c r="S100" s="19">
        <f t="shared" si="17"/>
        <v>5.2639944767769085E-2</v>
      </c>
    </row>
    <row r="101" spans="1:19" x14ac:dyDescent="0.2">
      <c r="A101" s="8">
        <v>41000</v>
      </c>
      <c r="B101" s="4" t="s">
        <v>83</v>
      </c>
      <c r="C101" s="4" t="s">
        <v>141</v>
      </c>
      <c r="D101" s="14">
        <f>IF(SUMIFS('Monthly NSE Equity Futures'!$H:$H,'Monthly NSE Equity Futures'!$A:$A,$A101)=0,"",SUMIFS('Monthly NSE Equity Futures'!$H:$H,'Monthly NSE Equity Futures'!$A:$A,$A101))</f>
        <v>5328.4195</v>
      </c>
      <c r="E101" s="6">
        <f>IF(SUMIFS('Monthly BSE Equity Futures'!$H:$H,'Monthly BSE Equity Futures'!$A:$A,$A101)=0,"",SUMIFS('Monthly BSE Equity Futures'!$H:$H,'Monthly BSE Equity Futures'!$A:$A,$A101))</f>
        <v>316.25029999999998</v>
      </c>
      <c r="F101" s="6">
        <f t="shared" si="12"/>
        <v>5644.6697999999997</v>
      </c>
      <c r="G101" s="15">
        <f t="shared" si="13"/>
        <v>0.9439736404067427</v>
      </c>
      <c r="H101" s="15">
        <f t="shared" si="14"/>
        <v>5.6026359593257344E-2</v>
      </c>
      <c r="I101" s="20">
        <f t="shared" si="21"/>
        <v>-0.1614888852519899</v>
      </c>
      <c r="J101" s="15">
        <f t="shared" si="22"/>
        <v>2385.7947169811318</v>
      </c>
      <c r="K101" s="15">
        <f t="shared" si="23"/>
        <v>-0.11174041789983169</v>
      </c>
      <c r="L101" s="15">
        <f t="shared" si="18"/>
        <v>-0.262092000023044</v>
      </c>
      <c r="M101" s="15">
        <f t="shared" si="19"/>
        <v>-0.19254094930540711</v>
      </c>
      <c r="N101" s="15">
        <f t="shared" si="20"/>
        <v>-0.25851368366611338</v>
      </c>
      <c r="O101" s="18">
        <f>IF(SUMIFS('Monthly NSE Equity Futures'!$I:$I,'Monthly NSE Equity Futures'!$A:$A,$A101)=0,"",SUMIFS('Monthly NSE Equity Futures'!$I:$I,'Monthly NSE Equity Futures'!$A:$A,$A101))</f>
        <v>19958723</v>
      </c>
      <c r="P101" s="7">
        <f>IF(SUMIFS('Monthly BSE Equity Futures'!$I:$I,'Monthly BSE Equity Futures'!$A:$A,$A101)=0,"",SUMIFS('Monthly BSE Equity Futures'!$I:$I,'Monthly BSE Equity Futures'!$A:$A,$A101))</f>
        <v>1213684</v>
      </c>
      <c r="Q101" s="7">
        <f t="shared" si="15"/>
        <v>21172407</v>
      </c>
      <c r="R101" s="19">
        <f t="shared" si="16"/>
        <v>0.94267614447426784</v>
      </c>
      <c r="S101" s="19">
        <f t="shared" si="17"/>
        <v>5.7323855525732145E-2</v>
      </c>
    </row>
    <row r="102" spans="1:19" x14ac:dyDescent="0.2">
      <c r="A102" s="8">
        <v>41030</v>
      </c>
      <c r="B102" s="4" t="s">
        <v>83</v>
      </c>
      <c r="C102" s="4" t="s">
        <v>141</v>
      </c>
      <c r="D102" s="14">
        <f>IF(SUMIFS('Monthly NSE Equity Futures'!$H:$H,'Monthly NSE Equity Futures'!$A:$A,$A102)=0,"",SUMIFS('Monthly NSE Equity Futures'!$H:$H,'Monthly NSE Equity Futures'!$A:$A,$A102))</f>
        <v>5689.5801000000001</v>
      </c>
      <c r="E102" s="6">
        <f>IF(SUMIFS('Monthly BSE Equity Futures'!$H:$H,'Monthly BSE Equity Futures'!$A:$A,$A102)=0,"",SUMIFS('Monthly BSE Equity Futures'!$H:$H,'Monthly BSE Equity Futures'!$A:$A,$A102))</f>
        <v>208.62029999999999</v>
      </c>
      <c r="F102" s="6">
        <f t="shared" si="12"/>
        <v>5898.2003999999997</v>
      </c>
      <c r="G102" s="15">
        <f t="shared" si="13"/>
        <v>0.9646298386199289</v>
      </c>
      <c r="H102" s="15">
        <f t="shared" si="14"/>
        <v>3.5370161380071111E-2</v>
      </c>
      <c r="I102" s="20">
        <f t="shared" si="21"/>
        <v>-0.11437010816814008</v>
      </c>
      <c r="J102" s="15">
        <f t="shared" si="22"/>
        <v>19315.694444444442</v>
      </c>
      <c r="K102" s="15">
        <f t="shared" si="23"/>
        <v>-8.1898187742919903E-2</v>
      </c>
      <c r="L102" s="15">
        <f t="shared" si="18"/>
        <v>6.7780061235794165E-2</v>
      </c>
      <c r="M102" s="15">
        <f t="shared" si="19"/>
        <v>-0.34033169296598298</v>
      </c>
      <c r="N102" s="15">
        <f t="shared" si="20"/>
        <v>4.4915045340650384E-2</v>
      </c>
      <c r="O102" s="18">
        <f>IF(SUMIFS('Monthly NSE Equity Futures'!$I:$I,'Monthly NSE Equity Futures'!$A:$A,$A102)=0,"",SUMIFS('Monthly NSE Equity Futures'!$I:$I,'Monthly NSE Equity Futures'!$A:$A,$A102))</f>
        <v>24190838</v>
      </c>
      <c r="P102" s="7">
        <f>IF(SUMIFS('Monthly BSE Equity Futures'!$I:$I,'Monthly BSE Equity Futures'!$A:$A,$A102)=0,"",SUMIFS('Monthly BSE Equity Futures'!$I:$I,'Monthly BSE Equity Futures'!$A:$A,$A102))</f>
        <v>870775</v>
      </c>
      <c r="Q102" s="7">
        <f t="shared" si="15"/>
        <v>25061613</v>
      </c>
      <c r="R102" s="19">
        <f t="shared" si="16"/>
        <v>0.9652546306576516</v>
      </c>
      <c r="S102" s="19">
        <f t="shared" si="17"/>
        <v>3.4745369342348398E-2</v>
      </c>
    </row>
    <row r="103" spans="1:19" x14ac:dyDescent="0.2">
      <c r="A103" s="8">
        <v>41061</v>
      </c>
      <c r="B103" s="4" t="s">
        <v>83</v>
      </c>
      <c r="C103" s="4" t="s">
        <v>141</v>
      </c>
      <c r="D103" s="14">
        <f>IF(SUMIFS('Monthly NSE Equity Futures'!$H:$H,'Monthly NSE Equity Futures'!$A:$A,$A103)=0,"",SUMIFS('Monthly NSE Equity Futures'!$H:$H,'Monthly NSE Equity Futures'!$A:$A,$A103))</f>
        <v>5691.0072</v>
      </c>
      <c r="E103" s="6">
        <f>IF(SUMIFS('Monthly BSE Equity Futures'!$H:$H,'Monthly BSE Equity Futures'!$A:$A,$A103)=0,"",SUMIFS('Monthly BSE Equity Futures'!$H:$H,'Monthly BSE Equity Futures'!$A:$A,$A103))</f>
        <v>207.76390000000001</v>
      </c>
      <c r="F103" s="6">
        <f t="shared" si="12"/>
        <v>5898.7710999999999</v>
      </c>
      <c r="G103" s="15">
        <f t="shared" si="13"/>
        <v>0.96477844342866603</v>
      </c>
      <c r="H103" s="15">
        <f t="shared" si="14"/>
        <v>3.5221556571333988E-2</v>
      </c>
      <c r="I103" s="20">
        <f t="shared" si="21"/>
        <v>-3.1932016299855981E-2</v>
      </c>
      <c r="J103" s="15">
        <f t="shared" si="22"/>
        <v>1564.6661642803315</v>
      </c>
      <c r="K103" s="15">
        <f t="shared" si="23"/>
        <v>3.3869834786830477E-3</v>
      </c>
      <c r="L103" s="15">
        <f t="shared" si="18"/>
        <v>2.508269459111645E-4</v>
      </c>
      <c r="M103" s="15">
        <f t="shared" si="19"/>
        <v>-4.1050655185520535E-3</v>
      </c>
      <c r="N103" s="15">
        <f t="shared" si="20"/>
        <v>9.6758326488810553E-5</v>
      </c>
      <c r="O103" s="18">
        <f>IF(SUMIFS('Monthly NSE Equity Futures'!$I:$I,'Monthly NSE Equity Futures'!$A:$A,$A103)=0,"",SUMIFS('Monthly NSE Equity Futures'!$I:$I,'Monthly NSE Equity Futures'!$A:$A,$A103))</f>
        <v>23549355</v>
      </c>
      <c r="P103" s="7">
        <f>IF(SUMIFS('Monthly BSE Equity Futures'!$I:$I,'Monthly BSE Equity Futures'!$A:$A,$A103)=0,"",SUMIFS('Monthly BSE Equity Futures'!$I:$I,'Monthly BSE Equity Futures'!$A:$A,$A103))</f>
        <v>832231</v>
      </c>
      <c r="Q103" s="7">
        <f t="shared" si="15"/>
        <v>24381586</v>
      </c>
      <c r="R103" s="19">
        <f t="shared" si="16"/>
        <v>0.96586641246389793</v>
      </c>
      <c r="S103" s="19">
        <f t="shared" si="17"/>
        <v>3.4133587536102038E-2</v>
      </c>
    </row>
    <row r="104" spans="1:19" x14ac:dyDescent="0.2">
      <c r="A104" s="8">
        <v>41091</v>
      </c>
      <c r="B104" s="4" t="s">
        <v>83</v>
      </c>
      <c r="C104" s="4" t="s">
        <v>142</v>
      </c>
      <c r="D104" s="14">
        <f>IF(SUMIFS('Monthly NSE Equity Futures'!$H:$H,'Monthly NSE Equity Futures'!$A:$A,$A104)=0,"",SUMIFS('Monthly NSE Equity Futures'!$H:$H,'Monthly NSE Equity Futures'!$A:$A,$A104))</f>
        <v>5602.8986999999997</v>
      </c>
      <c r="E104" s="6">
        <f>IF(SUMIFS('Monthly BSE Equity Futures'!$H:$H,'Monthly BSE Equity Futures'!$A:$A,$A104)=0,"",SUMIFS('Monthly BSE Equity Futures'!$H:$H,'Monthly BSE Equity Futures'!$A:$A,$A104))</f>
        <v>175.8518</v>
      </c>
      <c r="F104" s="6">
        <f t="shared" si="12"/>
        <v>5778.7505000000001</v>
      </c>
      <c r="G104" s="15">
        <f t="shared" si="13"/>
        <v>0.96956923473335621</v>
      </c>
      <c r="H104" s="15">
        <f t="shared" si="14"/>
        <v>3.0430765266643713E-2</v>
      </c>
      <c r="I104" s="20">
        <f t="shared" si="21"/>
        <v>-8.9746404904430532E-2</v>
      </c>
      <c r="J104" s="15">
        <f t="shared" si="22"/>
        <v>496.59988681380872</v>
      </c>
      <c r="K104" s="15">
        <f t="shared" si="23"/>
        <v>-6.1231210330067065E-2</v>
      </c>
      <c r="L104" s="15">
        <f t="shared" si="18"/>
        <v>-1.5482057376416614E-2</v>
      </c>
      <c r="M104" s="15">
        <f t="shared" si="19"/>
        <v>-0.15359790608474333</v>
      </c>
      <c r="N104" s="15">
        <f t="shared" si="20"/>
        <v>-2.0346712555094681E-2</v>
      </c>
      <c r="O104" s="18">
        <f>IF(SUMIFS('Monthly NSE Equity Futures'!$I:$I,'Monthly NSE Equity Futures'!$A:$A,$A104)=0,"",SUMIFS('Monthly NSE Equity Futures'!$I:$I,'Monthly NSE Equity Futures'!$A:$A,$A104))</f>
        <v>21485935</v>
      </c>
      <c r="P104" s="7">
        <f>IF(SUMIFS('Monthly BSE Equity Futures'!$I:$I,'Monthly BSE Equity Futures'!$A:$A,$A104)=0,"",SUMIFS('Monthly BSE Equity Futures'!$I:$I,'Monthly BSE Equity Futures'!$A:$A,$A104))</f>
        <v>670559</v>
      </c>
      <c r="Q104" s="7">
        <f t="shared" si="15"/>
        <v>22156494</v>
      </c>
      <c r="R104" s="19">
        <f t="shared" si="16"/>
        <v>0.96973532906424631</v>
      </c>
      <c r="S104" s="19">
        <f t="shared" si="17"/>
        <v>3.0264670935753645E-2</v>
      </c>
    </row>
    <row r="105" spans="1:19" x14ac:dyDescent="0.2">
      <c r="A105" s="8">
        <v>41122</v>
      </c>
      <c r="B105" s="4" t="s">
        <v>83</v>
      </c>
      <c r="C105" s="4" t="s">
        <v>142</v>
      </c>
      <c r="D105" s="14">
        <f>IF(SUMIFS('Monthly NSE Equity Futures'!$H:$H,'Monthly NSE Equity Futures'!$A:$A,$A105)=0,"",SUMIFS('Monthly NSE Equity Futures'!$H:$H,'Monthly NSE Equity Futures'!$A:$A,$A105))</f>
        <v>5153.2728999999999</v>
      </c>
      <c r="E105" s="6">
        <f>IF(SUMIFS('Monthly BSE Equity Futures'!$H:$H,'Monthly BSE Equity Futures'!$A:$A,$A105)=0,"",SUMIFS('Monthly BSE Equity Futures'!$H:$H,'Monthly BSE Equity Futures'!$A:$A,$A105))</f>
        <v>88.489199999999997</v>
      </c>
      <c r="F105" s="6">
        <f t="shared" si="12"/>
        <v>5241.7620999999999</v>
      </c>
      <c r="G105" s="15">
        <f t="shared" si="13"/>
        <v>0.98311842500444646</v>
      </c>
      <c r="H105" s="15">
        <f t="shared" si="14"/>
        <v>1.6881574995553497E-2</v>
      </c>
      <c r="I105" s="20">
        <f t="shared" si="21"/>
        <v>-0.24324248240209756</v>
      </c>
      <c r="J105" s="15">
        <f t="shared" si="22"/>
        <v>152.01608161853707</v>
      </c>
      <c r="K105" s="15">
        <f t="shared" si="23"/>
        <v>-0.2303132181496621</v>
      </c>
      <c r="L105" s="15">
        <f t="shared" si="18"/>
        <v>-8.0248782652450945E-2</v>
      </c>
      <c r="M105" s="15">
        <f t="shared" si="19"/>
        <v>-0.49679673452304729</v>
      </c>
      <c r="N105" s="15">
        <f t="shared" si="20"/>
        <v>-9.2924655598126349E-2</v>
      </c>
      <c r="O105" s="18">
        <f>IF(SUMIFS('Monthly NSE Equity Futures'!$I:$I,'Monthly NSE Equity Futures'!$A:$A,$A105)=0,"",SUMIFS('Monthly NSE Equity Futures'!$I:$I,'Monthly NSE Equity Futures'!$A:$A,$A105))</f>
        <v>19557447</v>
      </c>
      <c r="P105" s="7">
        <f>IF(SUMIFS('Monthly BSE Equity Futures'!$I:$I,'Monthly BSE Equity Futures'!$A:$A,$A105)=0,"",SUMIFS('Monthly BSE Equity Futures'!$I:$I,'Monthly BSE Equity Futures'!$A:$A,$A105))</f>
        <v>329547</v>
      </c>
      <c r="Q105" s="7">
        <f t="shared" si="15"/>
        <v>19886994</v>
      </c>
      <c r="R105" s="19">
        <f t="shared" si="16"/>
        <v>0.98342901898597646</v>
      </c>
      <c r="S105" s="19">
        <f t="shared" si="17"/>
        <v>1.6570981014023538E-2</v>
      </c>
    </row>
    <row r="106" spans="1:19" x14ac:dyDescent="0.2">
      <c r="A106" s="8">
        <v>41153</v>
      </c>
      <c r="B106" s="4" t="s">
        <v>83</v>
      </c>
      <c r="C106" s="4" t="s">
        <v>142</v>
      </c>
      <c r="D106" s="14">
        <f>IF(SUMIFS('Monthly NSE Equity Futures'!$H:$H,'Monthly NSE Equity Futures'!$A:$A,$A106)=0,"",SUMIFS('Monthly NSE Equity Futures'!$H:$H,'Monthly NSE Equity Futures'!$A:$A,$A106))</f>
        <v>5567.8752999999997</v>
      </c>
      <c r="E106" s="6">
        <f>IF(SUMIFS('Monthly BSE Equity Futures'!$H:$H,'Monthly BSE Equity Futures'!$A:$A,$A106)=0,"",SUMIFS('Monthly BSE Equity Futures'!$H:$H,'Monthly BSE Equity Futures'!$A:$A,$A106))</f>
        <v>46.170900000000003</v>
      </c>
      <c r="F106" s="6">
        <f t="shared" si="12"/>
        <v>5614.0461999999998</v>
      </c>
      <c r="G106" s="15">
        <f t="shared" si="13"/>
        <v>0.99177582471622694</v>
      </c>
      <c r="H106" s="15">
        <f t="shared" si="14"/>
        <v>8.2241752837730487E-3</v>
      </c>
      <c r="I106" s="20">
        <f t="shared" si="21"/>
        <v>-0.17282057816531093</v>
      </c>
      <c r="J106" s="15">
        <f t="shared" si="22"/>
        <v>5.4563849423872917</v>
      </c>
      <c r="K106" s="15">
        <f t="shared" si="23"/>
        <v>-0.16684644223281486</v>
      </c>
      <c r="L106" s="15">
        <f t="shared" si="18"/>
        <v>8.0454190578573836E-2</v>
      </c>
      <c r="M106" s="15">
        <f t="shared" si="19"/>
        <v>-0.47823124177865772</v>
      </c>
      <c r="N106" s="15">
        <f t="shared" si="20"/>
        <v>7.1022700553311946E-2</v>
      </c>
      <c r="O106" s="18">
        <f>IF(SUMIFS('Monthly NSE Equity Futures'!$I:$I,'Monthly NSE Equity Futures'!$A:$A,$A106)=0,"",SUMIFS('Monthly NSE Equity Futures'!$I:$I,'Monthly NSE Equity Futures'!$A:$A,$A106))</f>
        <v>20257133</v>
      </c>
      <c r="P106" s="7">
        <f>IF(SUMIFS('Monthly BSE Equity Futures'!$I:$I,'Monthly BSE Equity Futures'!$A:$A,$A106)=0,"",SUMIFS('Monthly BSE Equity Futures'!$I:$I,'Monthly BSE Equity Futures'!$A:$A,$A106))</f>
        <v>166522</v>
      </c>
      <c r="Q106" s="7">
        <f t="shared" si="15"/>
        <v>20423655</v>
      </c>
      <c r="R106" s="19">
        <f t="shared" si="16"/>
        <v>0.99184661119667361</v>
      </c>
      <c r="S106" s="19">
        <f t="shared" si="17"/>
        <v>8.1533888033263387E-3</v>
      </c>
    </row>
    <row r="107" spans="1:19" x14ac:dyDescent="0.2">
      <c r="A107" s="8">
        <v>41183</v>
      </c>
      <c r="B107" s="4" t="s">
        <v>83</v>
      </c>
      <c r="C107" s="4" t="s">
        <v>143</v>
      </c>
      <c r="D107" s="14">
        <f>IF(SUMIFS('Monthly NSE Equity Futures'!$H:$H,'Monthly NSE Equity Futures'!$A:$A,$A107)=0,"",SUMIFS('Monthly NSE Equity Futures'!$H:$H,'Monthly NSE Equity Futures'!$A:$A,$A107))</f>
        <v>6041.0735000000004</v>
      </c>
      <c r="E107" s="6">
        <f>IF(SUMIFS('Monthly BSE Equity Futures'!$H:$H,'Monthly BSE Equity Futures'!$A:$A,$A107)=0,"",SUMIFS('Monthly BSE Equity Futures'!$H:$H,'Monthly BSE Equity Futures'!$A:$A,$A107))</f>
        <v>36.76</v>
      </c>
      <c r="F107" s="6">
        <f t="shared" si="12"/>
        <v>6077.8335000000006</v>
      </c>
      <c r="G107" s="15">
        <f t="shared" si="13"/>
        <v>0.99395179219700569</v>
      </c>
      <c r="H107" s="15">
        <f t="shared" si="14"/>
        <v>6.0482078029942734E-3</v>
      </c>
      <c r="I107" s="20">
        <f t="shared" si="21"/>
        <v>0.10659426723001375</v>
      </c>
      <c r="J107" s="15">
        <f t="shared" si="22"/>
        <v>-0.10504301928685855</v>
      </c>
      <c r="K107" s="15">
        <f t="shared" si="23"/>
        <v>0.10501380386951253</v>
      </c>
      <c r="L107" s="15">
        <f t="shared" si="18"/>
        <v>8.4987212267487511E-2</v>
      </c>
      <c r="M107" s="15">
        <f t="shared" si="19"/>
        <v>-0.20382751906503893</v>
      </c>
      <c r="N107" s="15">
        <f t="shared" si="20"/>
        <v>8.2611949292473064E-2</v>
      </c>
      <c r="O107" s="18">
        <f>IF(SUMIFS('Monthly NSE Equity Futures'!$I:$I,'Monthly NSE Equity Futures'!$A:$A,$A107)=0,"",SUMIFS('Monthly NSE Equity Futures'!$I:$I,'Monthly NSE Equity Futures'!$A:$A,$A107))</f>
        <v>20917984</v>
      </c>
      <c r="P107" s="7">
        <f>IF(SUMIFS('Monthly BSE Equity Futures'!$I:$I,'Monthly BSE Equity Futures'!$A:$A,$A107)=0,"",SUMIFS('Monthly BSE Equity Futures'!$I:$I,'Monthly BSE Equity Futures'!$A:$A,$A107))</f>
        <v>129110</v>
      </c>
      <c r="Q107" s="7">
        <f t="shared" si="15"/>
        <v>21047094</v>
      </c>
      <c r="R107" s="19">
        <f t="shared" si="16"/>
        <v>0.99386566145426058</v>
      </c>
      <c r="S107" s="19">
        <f t="shared" si="17"/>
        <v>6.1343385457393786E-3</v>
      </c>
    </row>
    <row r="108" spans="1:19" x14ac:dyDescent="0.2">
      <c r="A108" s="8">
        <v>41214</v>
      </c>
      <c r="B108" s="4" t="s">
        <v>83</v>
      </c>
      <c r="C108" s="4" t="s">
        <v>143</v>
      </c>
      <c r="D108" s="14">
        <f>IF(SUMIFS('Monthly NSE Equity Futures'!$H:$H,'Monthly NSE Equity Futures'!$A:$A,$A108)=0,"",SUMIFS('Monthly NSE Equity Futures'!$H:$H,'Monthly NSE Equity Futures'!$A:$A,$A108))</f>
        <v>5191.8733000000002</v>
      </c>
      <c r="E108" s="6">
        <f>IF(SUMIFS('Monthly BSE Equity Futures'!$H:$H,'Monthly BSE Equity Futures'!$A:$A,$A108)=0,"",SUMIFS('Monthly BSE Equity Futures'!$H:$H,'Monthly BSE Equity Futures'!$A:$A,$A108))</f>
        <v>22.87</v>
      </c>
      <c r="F108" s="6">
        <f t="shared" si="12"/>
        <v>5214.7433000000001</v>
      </c>
      <c r="G108" s="15">
        <f t="shared" si="13"/>
        <v>0.99561435746990656</v>
      </c>
      <c r="H108" s="15">
        <f t="shared" si="14"/>
        <v>4.3856425300934756E-3</v>
      </c>
      <c r="I108" s="20">
        <f t="shared" si="21"/>
        <v>-0.15929303433316</v>
      </c>
      <c r="J108" s="15">
        <f t="shared" si="22"/>
        <v>-0.8882975709728026</v>
      </c>
      <c r="K108" s="15">
        <f t="shared" si="23"/>
        <v>-0.18268623555806796</v>
      </c>
      <c r="L108" s="15">
        <f t="shared" si="18"/>
        <v>-0.14057107565402083</v>
      </c>
      <c r="M108" s="15">
        <f t="shared" si="19"/>
        <v>-0.37785636561479863</v>
      </c>
      <c r="N108" s="15">
        <f t="shared" si="20"/>
        <v>-0.14200622639629734</v>
      </c>
      <c r="O108" s="18">
        <f>IF(SUMIFS('Monthly NSE Equity Futures'!$I:$I,'Monthly NSE Equity Futures'!$A:$A,$A108)=0,"",SUMIFS('Monthly NSE Equity Futures'!$I:$I,'Monthly NSE Equity Futures'!$A:$A,$A108))</f>
        <v>18373224</v>
      </c>
      <c r="P108" s="7">
        <f>IF(SUMIFS('Monthly BSE Equity Futures'!$I:$I,'Monthly BSE Equity Futures'!$A:$A,$A108)=0,"",SUMIFS('Monthly BSE Equity Futures'!$I:$I,'Monthly BSE Equity Futures'!$A:$A,$A108))</f>
        <v>80282</v>
      </c>
      <c r="Q108" s="7">
        <f t="shared" si="15"/>
        <v>18453506</v>
      </c>
      <c r="R108" s="19">
        <f t="shared" si="16"/>
        <v>0.99564949879984865</v>
      </c>
      <c r="S108" s="19">
        <f t="shared" si="17"/>
        <v>4.3505012001513422E-3</v>
      </c>
    </row>
    <row r="109" spans="1:19" x14ac:dyDescent="0.2">
      <c r="A109" s="8">
        <v>41244</v>
      </c>
      <c r="B109" s="4" t="s">
        <v>83</v>
      </c>
      <c r="C109" s="4" t="s">
        <v>143</v>
      </c>
      <c r="D109" s="14">
        <f>IF(SUMIFS('Monthly NSE Equity Futures'!$H:$H,'Monthly NSE Equity Futures'!$A:$A,$A109)=0,"",SUMIFS('Monthly NSE Equity Futures'!$H:$H,'Monthly NSE Equity Futures'!$A:$A,$A109))</f>
        <v>5688.1950999999999</v>
      </c>
      <c r="E109" s="6">
        <f>IF(SUMIFS('Monthly BSE Equity Futures'!$H:$H,'Monthly BSE Equity Futures'!$A:$A,$A109)=0,"",SUMIFS('Monthly BSE Equity Futures'!$H:$H,'Monthly BSE Equity Futures'!$A:$A,$A109))</f>
        <v>24.257899999999999</v>
      </c>
      <c r="F109" s="6">
        <f t="shared" si="12"/>
        <v>5712.4529999999995</v>
      </c>
      <c r="G109" s="15">
        <f t="shared" si="13"/>
        <v>0.99575350554306541</v>
      </c>
      <c r="H109" s="15">
        <f t="shared" si="14"/>
        <v>4.246494456934701E-3</v>
      </c>
      <c r="I109" s="20">
        <f t="shared" si="21"/>
        <v>-3.1167224952733608E-2</v>
      </c>
      <c r="J109" s="15">
        <f t="shared" si="22"/>
        <v>-0.93889268288627836</v>
      </c>
      <c r="K109" s="15">
        <f t="shared" si="23"/>
        <v>-8.8654897324902282E-2</v>
      </c>
      <c r="L109" s="15">
        <f t="shared" si="18"/>
        <v>9.5595899846015131E-2</v>
      </c>
      <c r="M109" s="15">
        <f t="shared" si="19"/>
        <v>6.0686488850021814E-2</v>
      </c>
      <c r="N109" s="15">
        <f t="shared" si="20"/>
        <v>9.5442799648450372E-2</v>
      </c>
      <c r="O109" s="18">
        <f>IF(SUMIFS('Monthly NSE Equity Futures'!$I:$I,'Monthly NSE Equity Futures'!$A:$A,$A109)=0,"",SUMIFS('Monthly NSE Equity Futures'!$I:$I,'Monthly NSE Equity Futures'!$A:$A,$A109))</f>
        <v>18956741</v>
      </c>
      <c r="P109" s="7">
        <f>IF(SUMIFS('Monthly BSE Equity Futures'!$I:$I,'Monthly BSE Equity Futures'!$A:$A,$A109)=0,"",SUMIFS('Monthly BSE Equity Futures'!$I:$I,'Monthly BSE Equity Futures'!$A:$A,$A109))</f>
        <v>81387</v>
      </c>
      <c r="Q109" s="7">
        <f t="shared" si="15"/>
        <v>19038128</v>
      </c>
      <c r="R109" s="19">
        <f t="shared" si="16"/>
        <v>0.99572505237909947</v>
      </c>
      <c r="S109" s="19">
        <f t="shared" si="17"/>
        <v>4.2749476209005422E-3</v>
      </c>
    </row>
    <row r="110" spans="1:19" x14ac:dyDescent="0.2">
      <c r="A110" s="8">
        <v>41275</v>
      </c>
      <c r="B110" s="4" t="s">
        <v>83</v>
      </c>
      <c r="C110" s="4" t="s">
        <v>144</v>
      </c>
      <c r="D110" s="14">
        <f>IF(SUMIFS('Monthly NSE Equity Futures'!$H:$H,'Monthly NSE Equity Futures'!$A:$A,$A110)=0,"",SUMIFS('Monthly NSE Equity Futures'!$H:$H,'Monthly NSE Equity Futures'!$A:$A,$A110))</f>
        <v>6854.6003000000001</v>
      </c>
      <c r="E110" s="6">
        <f>IF(SUMIFS('Monthly BSE Equity Futures'!$H:$H,'Monthly BSE Equity Futures'!$A:$A,$A110)=0,"",SUMIFS('Monthly BSE Equity Futures'!$H:$H,'Monthly BSE Equity Futures'!$A:$A,$A110))</f>
        <v>43.432699999999997</v>
      </c>
      <c r="F110" s="6">
        <f t="shared" si="12"/>
        <v>6898.0330000000004</v>
      </c>
      <c r="G110" s="15">
        <f t="shared" si="13"/>
        <v>0.9937036108699393</v>
      </c>
      <c r="H110" s="15">
        <f t="shared" si="14"/>
        <v>6.2963891300606995E-3</v>
      </c>
      <c r="I110" s="20">
        <f t="shared" si="21"/>
        <v>0.13942153140900104</v>
      </c>
      <c r="J110" s="15">
        <f t="shared" si="22"/>
        <v>-0.91059254948548107</v>
      </c>
      <c r="K110" s="15">
        <f t="shared" si="23"/>
        <v>6.0967535625375158E-2</v>
      </c>
      <c r="L110" s="15">
        <f t="shared" si="18"/>
        <v>0.20505717182591021</v>
      </c>
      <c r="M110" s="15">
        <f t="shared" si="19"/>
        <v>0.79045589271948513</v>
      </c>
      <c r="N110" s="15">
        <f t="shared" si="20"/>
        <v>0.20754306424928148</v>
      </c>
      <c r="O110" s="18">
        <f>IF(SUMIFS('Monthly NSE Equity Futures'!$I:$I,'Monthly NSE Equity Futures'!$A:$A,$A110)=0,"",SUMIFS('Monthly NSE Equity Futures'!$I:$I,'Monthly NSE Equity Futures'!$A:$A,$A110))</f>
        <v>20985691</v>
      </c>
      <c r="P110" s="7">
        <f>IF(SUMIFS('Monthly BSE Equity Futures'!$I:$I,'Monthly BSE Equity Futures'!$A:$A,$A110)=0,"",SUMIFS('Monthly BSE Equity Futures'!$I:$I,'Monthly BSE Equity Futures'!$A:$A,$A110))</f>
        <v>141706</v>
      </c>
      <c r="Q110" s="7">
        <f t="shared" si="15"/>
        <v>21127397</v>
      </c>
      <c r="R110" s="19">
        <f t="shared" si="16"/>
        <v>0.99329278471929128</v>
      </c>
      <c r="S110" s="19">
        <f t="shared" si="17"/>
        <v>6.70721528070874E-3</v>
      </c>
    </row>
    <row r="111" spans="1:19" x14ac:dyDescent="0.2">
      <c r="A111" s="8">
        <v>41306</v>
      </c>
      <c r="B111" s="4" t="s">
        <v>83</v>
      </c>
      <c r="C111" s="4" t="s">
        <v>144</v>
      </c>
      <c r="D111" s="14">
        <f>IF(SUMIFS('Monthly NSE Equity Futures'!$H:$H,'Monthly NSE Equity Futures'!$A:$A,$A111)=0,"",SUMIFS('Monthly NSE Equity Futures'!$H:$H,'Monthly NSE Equity Futures'!$A:$A,$A111))</f>
        <v>5409.7674999999999</v>
      </c>
      <c r="E111" s="6">
        <f>IF(SUMIFS('Monthly BSE Equity Futures'!$H:$H,'Monthly BSE Equity Futures'!$A:$A,$A111)=0,"",SUMIFS('Monthly BSE Equity Futures'!$H:$H,'Monthly BSE Equity Futures'!$A:$A,$A111))</f>
        <v>40.741300000000003</v>
      </c>
      <c r="F111" s="6">
        <f t="shared" si="12"/>
        <v>5450.5087999999996</v>
      </c>
      <c r="G111" s="15">
        <f t="shared" si="13"/>
        <v>0.99252522993816661</v>
      </c>
      <c r="H111" s="15">
        <f t="shared" si="14"/>
        <v>7.4747700618334944E-3</v>
      </c>
      <c r="I111" s="20">
        <f t="shared" si="21"/>
        <v>-0.27190962182369882</v>
      </c>
      <c r="J111" s="15">
        <f t="shared" si="22"/>
        <v>-0.88621474452338656</v>
      </c>
      <c r="K111" s="15">
        <f t="shared" si="23"/>
        <v>-0.30015190293661209</v>
      </c>
      <c r="L111" s="15">
        <f t="shared" si="18"/>
        <v>-0.21078293945162641</v>
      </c>
      <c r="M111" s="15">
        <f t="shared" si="19"/>
        <v>-6.1967135361144843E-2</v>
      </c>
      <c r="N111" s="15">
        <f t="shared" si="20"/>
        <v>-0.20984593724036993</v>
      </c>
      <c r="O111" s="18">
        <f>IF(SUMIFS('Monthly NSE Equity Futures'!$I:$I,'Monthly NSE Equity Futures'!$A:$A,$A111)=0,"",SUMIFS('Monthly NSE Equity Futures'!$I:$I,'Monthly NSE Equity Futures'!$A:$A,$A111))</f>
        <v>17552479</v>
      </c>
      <c r="P111" s="7">
        <f>IF(SUMIFS('Monthly BSE Equity Futures'!$I:$I,'Monthly BSE Equity Futures'!$A:$A,$A111)=0,"",SUMIFS('Monthly BSE Equity Futures'!$I:$I,'Monthly BSE Equity Futures'!$A:$A,$A111))</f>
        <v>139154</v>
      </c>
      <c r="Q111" s="7">
        <f t="shared" si="15"/>
        <v>17691633</v>
      </c>
      <c r="R111" s="19">
        <f t="shared" si="16"/>
        <v>0.99213447396291798</v>
      </c>
      <c r="S111" s="19">
        <f t="shared" si="17"/>
        <v>7.8655260370820487E-3</v>
      </c>
    </row>
    <row r="112" spans="1:19" x14ac:dyDescent="0.2">
      <c r="A112" s="8">
        <v>41334</v>
      </c>
      <c r="B112" s="4" t="s">
        <v>83</v>
      </c>
      <c r="C112" s="4" t="s">
        <v>144</v>
      </c>
      <c r="D112" s="14">
        <f>IF(SUMIFS('Monthly NSE Equity Futures'!$H:$H,'Monthly NSE Equity Futures'!$A:$A,$A112)=0,"",SUMIFS('Monthly NSE Equity Futures'!$H:$H,'Monthly NSE Equity Futures'!$A:$A,$A112))</f>
        <v>5290.9484000000002</v>
      </c>
      <c r="E112" s="6">
        <f>IF(SUMIFS('Monthly BSE Equity Futures'!$H:$H,'Monthly BSE Equity Futures'!$A:$A,$A112)=0,"",SUMIFS('Monthly BSE Equity Futures'!$H:$H,'Monthly BSE Equity Futures'!$A:$A,$A112))</f>
        <v>47.290399999999998</v>
      </c>
      <c r="F112" s="6">
        <f t="shared" si="12"/>
        <v>5338.2388000000001</v>
      </c>
      <c r="G112" s="15">
        <f t="shared" si="13"/>
        <v>0.9911411981045134</v>
      </c>
      <c r="H112" s="15">
        <f t="shared" si="14"/>
        <v>8.8588018954865785E-3</v>
      </c>
      <c r="I112" s="20">
        <f t="shared" si="21"/>
        <v>-0.26728119814416351</v>
      </c>
      <c r="J112" s="15">
        <f t="shared" si="22"/>
        <v>-0.87925683709717406</v>
      </c>
      <c r="K112" s="15">
        <f t="shared" si="23"/>
        <v>-0.2987665950765398</v>
      </c>
      <c r="L112" s="15">
        <f t="shared" si="18"/>
        <v>-2.1963808980700161E-2</v>
      </c>
      <c r="M112" s="15">
        <f t="shared" si="19"/>
        <v>0.16074842972610082</v>
      </c>
      <c r="N112" s="15">
        <f t="shared" si="20"/>
        <v>-2.0598077008883942E-2</v>
      </c>
      <c r="O112" s="18">
        <f>IF(SUMIFS('Monthly NSE Equity Futures'!$I:$I,'Monthly NSE Equity Futures'!$A:$A,$A112)=0,"",SUMIFS('Monthly NSE Equity Futures'!$I:$I,'Monthly NSE Equity Futures'!$A:$A,$A112))</f>
        <v>18024187</v>
      </c>
      <c r="P112" s="7">
        <f>IF(SUMIFS('Monthly BSE Equity Futures'!$I:$I,'Monthly BSE Equity Futures'!$A:$A,$A112)=0,"",SUMIFS('Monthly BSE Equity Futures'!$I:$I,'Monthly BSE Equity Futures'!$A:$A,$A112))</f>
        <v>163903</v>
      </c>
      <c r="Q112" s="7">
        <f t="shared" si="15"/>
        <v>18188090</v>
      </c>
      <c r="R112" s="19">
        <f t="shared" si="16"/>
        <v>0.99098844353640214</v>
      </c>
      <c r="S112" s="19">
        <f t="shared" si="17"/>
        <v>9.0115564635978827E-3</v>
      </c>
    </row>
    <row r="113" spans="1:19" x14ac:dyDescent="0.2">
      <c r="A113" s="8">
        <v>41365</v>
      </c>
      <c r="B113" s="4" t="s">
        <v>84</v>
      </c>
      <c r="C113" s="4" t="s">
        <v>145</v>
      </c>
      <c r="D113" s="14">
        <f>IF(SUMIFS('Monthly NSE Equity Futures'!$H:$H,'Monthly NSE Equity Futures'!$A:$A,$A113)=0,"",SUMIFS('Monthly NSE Equity Futures'!$H:$H,'Monthly NSE Equity Futures'!$A:$A,$A113))</f>
        <v>5736.5445</v>
      </c>
      <c r="E113" s="6">
        <f>IF(SUMIFS('Monthly BSE Equity Futures'!$H:$H,'Monthly BSE Equity Futures'!$A:$A,$A113)=0,"",SUMIFS('Monthly BSE Equity Futures'!$H:$H,'Monthly BSE Equity Futures'!$A:$A,$A113))</f>
        <v>136.75970000000001</v>
      </c>
      <c r="F113" s="6">
        <f t="shared" si="12"/>
        <v>5873.3041999999996</v>
      </c>
      <c r="G113" s="15">
        <f t="shared" si="13"/>
        <v>0.97671503205980725</v>
      </c>
      <c r="H113" s="15">
        <f t="shared" si="14"/>
        <v>2.3284967940192851E-2</v>
      </c>
      <c r="I113" s="20">
        <f t="shared" si="21"/>
        <v>7.6594006909553647E-2</v>
      </c>
      <c r="J113" s="15">
        <f t="shared" si="22"/>
        <v>-0.56755867109058866</v>
      </c>
      <c r="K113" s="15">
        <f t="shared" si="23"/>
        <v>4.0504477338957789E-2</v>
      </c>
      <c r="L113" s="15">
        <f t="shared" si="18"/>
        <v>8.4218568451735365E-2</v>
      </c>
      <c r="M113" s="15">
        <f t="shared" si="19"/>
        <v>1.8919125234719947</v>
      </c>
      <c r="N113" s="15">
        <f t="shared" si="20"/>
        <v>0.10023257108692851</v>
      </c>
      <c r="O113" s="18">
        <f>IF(SUMIFS('Monthly NSE Equity Futures'!$I:$I,'Monthly NSE Equity Futures'!$A:$A,$A113)=0,"",SUMIFS('Monthly NSE Equity Futures'!$I:$I,'Monthly NSE Equity Futures'!$A:$A,$A113))</f>
        <v>19473860</v>
      </c>
      <c r="P113" s="7">
        <f>IF(SUMIFS('Monthly BSE Equity Futures'!$I:$I,'Monthly BSE Equity Futures'!$A:$A,$A113)=0,"",SUMIFS('Monthly BSE Equity Futures'!$I:$I,'Monthly BSE Equity Futures'!$A:$A,$A113))</f>
        <v>491767</v>
      </c>
      <c r="Q113" s="7">
        <f t="shared" si="15"/>
        <v>19965627</v>
      </c>
      <c r="R113" s="19">
        <f t="shared" si="16"/>
        <v>0.97536931847920427</v>
      </c>
      <c r="S113" s="19">
        <f t="shared" si="17"/>
        <v>2.4630681520795717E-2</v>
      </c>
    </row>
    <row r="114" spans="1:19" x14ac:dyDescent="0.2">
      <c r="A114" s="8">
        <v>41395</v>
      </c>
      <c r="B114" s="4" t="s">
        <v>84</v>
      </c>
      <c r="C114" s="4" t="s">
        <v>145</v>
      </c>
      <c r="D114" s="14">
        <f>IF(SUMIFS('Monthly NSE Equity Futures'!$H:$H,'Monthly NSE Equity Futures'!$A:$A,$A114)=0,"",SUMIFS('Monthly NSE Equity Futures'!$H:$H,'Monthly NSE Equity Futures'!$A:$A,$A114))</f>
        <v>6556.3344999999999</v>
      </c>
      <c r="E114" s="6">
        <f>IF(SUMIFS('Monthly BSE Equity Futures'!$H:$H,'Monthly BSE Equity Futures'!$A:$A,$A114)=0,"",SUMIFS('Monthly BSE Equity Futures'!$H:$H,'Monthly BSE Equity Futures'!$A:$A,$A114))</f>
        <v>138.17519999999999</v>
      </c>
      <c r="F114" s="6">
        <f t="shared" si="12"/>
        <v>6694.5096999999996</v>
      </c>
      <c r="G114" s="15">
        <f t="shared" si="13"/>
        <v>0.97935992235547886</v>
      </c>
      <c r="H114" s="15">
        <f t="shared" si="14"/>
        <v>2.0640077644521151E-2</v>
      </c>
      <c r="I114" s="20">
        <f t="shared" si="21"/>
        <v>0.15234066218700382</v>
      </c>
      <c r="J114" s="15">
        <f t="shared" si="22"/>
        <v>-0.33767135796468517</v>
      </c>
      <c r="K114" s="15">
        <f t="shared" si="23"/>
        <v>0.13500885795606399</v>
      </c>
      <c r="L114" s="15">
        <f t="shared" si="18"/>
        <v>0.14290658775505016</v>
      </c>
      <c r="M114" s="15">
        <f t="shared" si="19"/>
        <v>1.0350271315306969E-2</v>
      </c>
      <c r="N114" s="15">
        <f t="shared" si="20"/>
        <v>0.1398200181764806</v>
      </c>
      <c r="O114" s="18">
        <f>IF(SUMIFS('Monthly NSE Equity Futures'!$I:$I,'Monthly NSE Equity Futures'!$A:$A,$A114)=0,"",SUMIFS('Monthly NSE Equity Futures'!$I:$I,'Monthly NSE Equity Futures'!$A:$A,$A114))</f>
        <v>22010722</v>
      </c>
      <c r="P114" s="7">
        <f>IF(SUMIFS('Monthly BSE Equity Futures'!$I:$I,'Monthly BSE Equity Futures'!$A:$A,$A114)=0,"",SUMIFS('Monthly BSE Equity Futures'!$I:$I,'Monthly BSE Equity Futures'!$A:$A,$A114))</f>
        <v>481409</v>
      </c>
      <c r="Q114" s="7">
        <f t="shared" si="15"/>
        <v>22492131</v>
      </c>
      <c r="R114" s="19">
        <f t="shared" si="16"/>
        <v>0.9785965589476604</v>
      </c>
      <c r="S114" s="19">
        <f t="shared" si="17"/>
        <v>2.1403441052339593E-2</v>
      </c>
    </row>
    <row r="115" spans="1:19" x14ac:dyDescent="0.2">
      <c r="A115" s="8">
        <v>41426</v>
      </c>
      <c r="B115" s="4" t="s">
        <v>84</v>
      </c>
      <c r="C115" s="4" t="s">
        <v>145</v>
      </c>
      <c r="D115" s="14">
        <f>IF(SUMIFS('Monthly NSE Equity Futures'!$H:$H,'Monthly NSE Equity Futures'!$A:$A,$A115)=0,"",SUMIFS('Monthly NSE Equity Futures'!$H:$H,'Monthly NSE Equity Futures'!$A:$A,$A115))</f>
        <v>5898.4431000000004</v>
      </c>
      <c r="E115" s="6">
        <f>IF(SUMIFS('Monthly BSE Equity Futures'!$H:$H,'Monthly BSE Equity Futures'!$A:$A,$A115)=0,"",SUMIFS('Monthly BSE Equity Futures'!$H:$H,'Monthly BSE Equity Futures'!$A:$A,$A115))</f>
        <v>103.75109999999999</v>
      </c>
      <c r="F115" s="6">
        <f t="shared" si="12"/>
        <v>6002.1942000000008</v>
      </c>
      <c r="G115" s="15">
        <f t="shared" si="13"/>
        <v>0.98271447131783896</v>
      </c>
      <c r="H115" s="15">
        <f t="shared" si="14"/>
        <v>1.728552868216093E-2</v>
      </c>
      <c r="I115" s="20">
        <f t="shared" si="21"/>
        <v>3.6449769383528619E-2</v>
      </c>
      <c r="J115" s="15">
        <f t="shared" si="22"/>
        <v>-0.50062980142363522</v>
      </c>
      <c r="K115" s="15">
        <f t="shared" si="23"/>
        <v>1.7532990897036305E-2</v>
      </c>
      <c r="L115" s="15">
        <f t="shared" si="18"/>
        <v>-0.1003443921294741</v>
      </c>
      <c r="M115" s="15">
        <f t="shared" si="19"/>
        <v>-0.24913370850919703</v>
      </c>
      <c r="N115" s="15">
        <f t="shared" si="20"/>
        <v>-0.10341541517222674</v>
      </c>
      <c r="O115" s="18">
        <f>IF(SUMIFS('Monthly NSE Equity Futures'!$I:$I,'Monthly NSE Equity Futures'!$A:$A,$A115)=0,"",SUMIFS('Monthly NSE Equity Futures'!$I:$I,'Monthly NSE Equity Futures'!$A:$A,$A115))</f>
        <v>21221286</v>
      </c>
      <c r="P115" s="7">
        <f>IF(SUMIFS('Monthly BSE Equity Futures'!$I:$I,'Monthly BSE Equity Futures'!$A:$A,$A115)=0,"",SUMIFS('Monthly BSE Equity Futures'!$I:$I,'Monthly BSE Equity Futures'!$A:$A,$A115))</f>
        <v>376500</v>
      </c>
      <c r="Q115" s="7">
        <f t="shared" si="15"/>
        <v>21597786</v>
      </c>
      <c r="R115" s="19">
        <f t="shared" si="16"/>
        <v>0.9825676576293515</v>
      </c>
      <c r="S115" s="19">
        <f t="shared" si="17"/>
        <v>1.7432342370648547E-2</v>
      </c>
    </row>
    <row r="116" spans="1:19" x14ac:dyDescent="0.2">
      <c r="A116" s="8">
        <v>41456</v>
      </c>
      <c r="B116" s="4" t="s">
        <v>84</v>
      </c>
      <c r="C116" s="4" t="s">
        <v>146</v>
      </c>
      <c r="D116" s="14">
        <f>IF(SUMIFS('Monthly NSE Equity Futures'!$H:$H,'Monthly NSE Equity Futures'!$A:$A,$A116)=0,"",SUMIFS('Monthly NSE Equity Futures'!$H:$H,'Monthly NSE Equity Futures'!$A:$A,$A116))</f>
        <v>6821.4876000000004</v>
      </c>
      <c r="E116" s="6">
        <f>IF(SUMIFS('Monthly BSE Equity Futures'!$H:$H,'Monthly BSE Equity Futures'!$A:$A,$A116)=0,"",SUMIFS('Monthly BSE Equity Futures'!$H:$H,'Monthly BSE Equity Futures'!$A:$A,$A116))</f>
        <v>169.8956</v>
      </c>
      <c r="F116" s="6">
        <f t="shared" si="12"/>
        <v>6991.3832000000002</v>
      </c>
      <c r="G116" s="15">
        <f t="shared" si="13"/>
        <v>0.97569928651600735</v>
      </c>
      <c r="H116" s="15">
        <f t="shared" si="14"/>
        <v>2.4300713483992695E-2</v>
      </c>
      <c r="I116" s="20">
        <f t="shared" si="21"/>
        <v>0.21749258111698522</v>
      </c>
      <c r="J116" s="15">
        <f t="shared" si="22"/>
        <v>-3.38705660106976E-2</v>
      </c>
      <c r="K116" s="15">
        <f t="shared" si="23"/>
        <v>0.20984340819005776</v>
      </c>
      <c r="L116" s="15">
        <f t="shared" si="18"/>
        <v>0.15648951500439168</v>
      </c>
      <c r="M116" s="15">
        <f t="shared" si="19"/>
        <v>0.63753059003711776</v>
      </c>
      <c r="N116" s="15">
        <f t="shared" si="20"/>
        <v>0.16480456430416712</v>
      </c>
      <c r="O116" s="18">
        <f>IF(SUMIFS('Monthly NSE Equity Futures'!$I:$I,'Monthly NSE Equity Futures'!$A:$A,$A116)=0,"",SUMIFS('Monthly NSE Equity Futures'!$I:$I,'Monthly NSE Equity Futures'!$A:$A,$A116))</f>
        <v>23927549</v>
      </c>
      <c r="P116" s="7">
        <f>IF(SUMIFS('Monthly BSE Equity Futures'!$I:$I,'Monthly BSE Equity Futures'!$A:$A,$A116)=0,"",SUMIFS('Monthly BSE Equity Futures'!$I:$I,'Monthly BSE Equity Futures'!$A:$A,$A116))</f>
        <v>618868</v>
      </c>
      <c r="Q116" s="7">
        <f t="shared" si="15"/>
        <v>24546417</v>
      </c>
      <c r="R116" s="19">
        <f t="shared" si="16"/>
        <v>0.97478784785575834</v>
      </c>
      <c r="S116" s="19">
        <f t="shared" si="17"/>
        <v>2.5212152144241662E-2</v>
      </c>
    </row>
    <row r="117" spans="1:19" x14ac:dyDescent="0.2">
      <c r="A117" s="8">
        <v>41487</v>
      </c>
      <c r="B117" s="4" t="s">
        <v>84</v>
      </c>
      <c r="C117" s="4" t="s">
        <v>146</v>
      </c>
      <c r="D117" s="14">
        <f>IF(SUMIFS('Monthly NSE Equity Futures'!$H:$H,'Monthly NSE Equity Futures'!$A:$A,$A117)=0,"",SUMIFS('Monthly NSE Equity Futures'!$H:$H,'Monthly NSE Equity Futures'!$A:$A,$A117))</f>
        <v>7378.2295999999997</v>
      </c>
      <c r="E117" s="6">
        <f>IF(SUMIFS('Monthly BSE Equity Futures'!$H:$H,'Monthly BSE Equity Futures'!$A:$A,$A117)=0,"",SUMIFS('Monthly BSE Equity Futures'!$H:$H,'Monthly BSE Equity Futures'!$A:$A,$A117))</f>
        <v>89.067700000000002</v>
      </c>
      <c r="F117" s="6">
        <f t="shared" si="12"/>
        <v>7467.2972999999993</v>
      </c>
      <c r="G117" s="15">
        <f t="shared" si="13"/>
        <v>0.98807229759018711</v>
      </c>
      <c r="H117" s="15">
        <f t="shared" si="14"/>
        <v>1.1927702409812987E-2</v>
      </c>
      <c r="I117" s="20">
        <f t="shared" si="21"/>
        <v>0.43175603993337908</v>
      </c>
      <c r="J117" s="15">
        <f t="shared" si="22"/>
        <v>6.5375209630103015E-3</v>
      </c>
      <c r="K117" s="15">
        <f t="shared" si="23"/>
        <v>0.42457768161588239</v>
      </c>
      <c r="L117" s="15">
        <f t="shared" si="18"/>
        <v>8.1615922016775144E-2</v>
      </c>
      <c r="M117" s="15">
        <f t="shared" si="19"/>
        <v>-0.47575040201158825</v>
      </c>
      <c r="N117" s="15">
        <f t="shared" si="20"/>
        <v>6.8071522670935636E-2</v>
      </c>
      <c r="O117" s="18">
        <f>IF(SUMIFS('Monthly NSE Equity Futures'!$I:$I,'Monthly NSE Equity Futures'!$A:$A,$A117)=0,"",SUMIFS('Monthly NSE Equity Futures'!$I:$I,'Monthly NSE Equity Futures'!$A:$A,$A117))</f>
        <v>29410346</v>
      </c>
      <c r="P117" s="7">
        <f>IF(SUMIFS('Monthly BSE Equity Futures'!$I:$I,'Monthly BSE Equity Futures'!$A:$A,$A117)=0,"",SUMIFS('Monthly BSE Equity Futures'!$I:$I,'Monthly BSE Equity Futures'!$A:$A,$A117))</f>
        <v>319094</v>
      </c>
      <c r="Q117" s="7">
        <f t="shared" si="15"/>
        <v>29729440</v>
      </c>
      <c r="R117" s="19">
        <f t="shared" si="16"/>
        <v>0.98926673358125816</v>
      </c>
      <c r="S117" s="19">
        <f t="shared" si="17"/>
        <v>1.0733266418741826E-2</v>
      </c>
    </row>
    <row r="118" spans="1:19" x14ac:dyDescent="0.2">
      <c r="A118" s="8">
        <v>41518</v>
      </c>
      <c r="B118" s="4" t="s">
        <v>84</v>
      </c>
      <c r="C118" s="4" t="s">
        <v>146</v>
      </c>
      <c r="D118" s="14">
        <f>IF(SUMIFS('Monthly NSE Equity Futures'!$H:$H,'Monthly NSE Equity Futures'!$A:$A,$A118)=0,"",SUMIFS('Monthly NSE Equity Futures'!$H:$H,'Monthly NSE Equity Futures'!$A:$A,$A118))</f>
        <v>7049.5294000000004</v>
      </c>
      <c r="E118" s="6">
        <f>IF(SUMIFS('Monthly BSE Equity Futures'!$H:$H,'Monthly BSE Equity Futures'!$A:$A,$A118)=0,"",SUMIFS('Monthly BSE Equity Futures'!$H:$H,'Monthly BSE Equity Futures'!$A:$A,$A118))</f>
        <v>99.111500000000007</v>
      </c>
      <c r="F118" s="6">
        <f t="shared" si="12"/>
        <v>7148.6409000000003</v>
      </c>
      <c r="G118" s="15">
        <f t="shared" si="13"/>
        <v>0.98613561635191382</v>
      </c>
      <c r="H118" s="15">
        <f t="shared" si="14"/>
        <v>1.3864383648086171E-2</v>
      </c>
      <c r="I118" s="20">
        <f t="shared" si="21"/>
        <v>0.2661076299607501</v>
      </c>
      <c r="J118" s="15">
        <f t="shared" si="22"/>
        <v>1.1466226562618447</v>
      </c>
      <c r="K118" s="15">
        <f t="shared" si="23"/>
        <v>0.27334913987704645</v>
      </c>
      <c r="L118" s="15">
        <f t="shared" si="18"/>
        <v>-4.4550009666275425E-2</v>
      </c>
      <c r="M118" s="15">
        <f t="shared" si="19"/>
        <v>0.11276590728176439</v>
      </c>
      <c r="N118" s="15">
        <f t="shared" si="20"/>
        <v>-4.2673592224592327E-2</v>
      </c>
      <c r="O118" s="18">
        <f>IF(SUMIFS('Monthly NSE Equity Futures'!$I:$I,'Monthly NSE Equity Futures'!$A:$A,$A118)=0,"",SUMIFS('Monthly NSE Equity Futures'!$I:$I,'Monthly NSE Equity Futures'!$A:$A,$A118))</f>
        <v>26148094</v>
      </c>
      <c r="P118" s="7">
        <f>IF(SUMIFS('Monthly BSE Equity Futures'!$I:$I,'Monthly BSE Equity Futures'!$A:$A,$A118)=0,"",SUMIFS('Monthly BSE Equity Futures'!$I:$I,'Monthly BSE Equity Futures'!$A:$A,$A118))</f>
        <v>329747</v>
      </c>
      <c r="Q118" s="7">
        <f t="shared" si="15"/>
        <v>26477841</v>
      </c>
      <c r="R118" s="19">
        <f t="shared" si="16"/>
        <v>0.98754630334097104</v>
      </c>
      <c r="S118" s="19">
        <f t="shared" si="17"/>
        <v>1.245369665902896E-2</v>
      </c>
    </row>
    <row r="119" spans="1:19" x14ac:dyDescent="0.2">
      <c r="A119" s="8">
        <v>41548</v>
      </c>
      <c r="B119" s="4" t="s">
        <v>84</v>
      </c>
      <c r="C119" s="4" t="s">
        <v>147</v>
      </c>
      <c r="D119" s="14">
        <f>IF(SUMIFS('Monthly NSE Equity Futures'!$H:$H,'Monthly NSE Equity Futures'!$A:$A,$A119)=0,"",SUMIFS('Monthly NSE Equity Futures'!$H:$H,'Monthly NSE Equity Futures'!$A:$A,$A119))</f>
        <v>7134.5776999999998</v>
      </c>
      <c r="E119" s="6">
        <f>IF(SUMIFS('Monthly BSE Equity Futures'!$H:$H,'Monthly BSE Equity Futures'!$A:$A,$A119)=0,"",SUMIFS('Monthly BSE Equity Futures'!$H:$H,'Monthly BSE Equity Futures'!$A:$A,$A119))</f>
        <v>112.9329</v>
      </c>
      <c r="F119" s="6">
        <f t="shared" si="12"/>
        <v>7247.5105999999996</v>
      </c>
      <c r="G119" s="15">
        <f t="shared" si="13"/>
        <v>0.98441769785062472</v>
      </c>
      <c r="H119" s="15">
        <f t="shared" si="14"/>
        <v>1.5582302149375265E-2</v>
      </c>
      <c r="I119" s="20">
        <f t="shared" si="21"/>
        <v>0.18101157021181735</v>
      </c>
      <c r="J119" s="15">
        <f t="shared" si="22"/>
        <v>2.0721681175190425</v>
      </c>
      <c r="K119" s="15">
        <f t="shared" si="23"/>
        <v>0.19244967799792456</v>
      </c>
      <c r="L119" s="15">
        <f t="shared" si="18"/>
        <v>1.2064393972170517E-2</v>
      </c>
      <c r="M119" s="15">
        <f t="shared" si="19"/>
        <v>0.13945304026273431</v>
      </c>
      <c r="N119" s="15">
        <f t="shared" si="20"/>
        <v>1.3830559036753343E-2</v>
      </c>
      <c r="O119" s="18">
        <f>IF(SUMIFS('Monthly NSE Equity Futures'!$I:$I,'Monthly NSE Equity Futures'!$A:$A,$A119)=0,"",SUMIFS('Monthly NSE Equity Futures'!$I:$I,'Monthly NSE Equity Futures'!$A:$A,$A119))</f>
        <v>24680357</v>
      </c>
      <c r="P119" s="7">
        <f>IF(SUMIFS('Monthly BSE Equity Futures'!$I:$I,'Monthly BSE Equity Futures'!$A:$A,$A119)=0,"",SUMIFS('Monthly BSE Equity Futures'!$I:$I,'Monthly BSE Equity Futures'!$A:$A,$A119))</f>
        <v>353676</v>
      </c>
      <c r="Q119" s="7">
        <f t="shared" si="15"/>
        <v>25034033</v>
      </c>
      <c r="R119" s="19">
        <f t="shared" si="16"/>
        <v>0.9858721924669509</v>
      </c>
      <c r="S119" s="19">
        <f t="shared" si="17"/>
        <v>1.4127807533049109E-2</v>
      </c>
    </row>
    <row r="120" spans="1:19" x14ac:dyDescent="0.2">
      <c r="A120" s="8">
        <v>41579</v>
      </c>
      <c r="B120" s="4" t="s">
        <v>84</v>
      </c>
      <c r="C120" s="4" t="s">
        <v>147</v>
      </c>
      <c r="D120" s="14">
        <f>IF(SUMIFS('Monthly NSE Equity Futures'!$H:$H,'Monthly NSE Equity Futures'!$A:$A,$A120)=0,"",SUMIFS('Monthly NSE Equity Futures'!$H:$H,'Monthly NSE Equity Futures'!$A:$A,$A120))</f>
        <v>6517.3197</v>
      </c>
      <c r="E120" s="6">
        <f>IF(SUMIFS('Monthly BSE Equity Futures'!$H:$H,'Monthly BSE Equity Futures'!$A:$A,$A120)=0,"",SUMIFS('Monthly BSE Equity Futures'!$H:$H,'Monthly BSE Equity Futures'!$A:$A,$A120))</f>
        <v>51.824300000000001</v>
      </c>
      <c r="F120" s="6">
        <f t="shared" si="12"/>
        <v>6569.1440000000002</v>
      </c>
      <c r="G120" s="15">
        <f t="shared" si="13"/>
        <v>0.99211095083316791</v>
      </c>
      <c r="H120" s="15">
        <f t="shared" si="14"/>
        <v>7.8890491668320867E-3</v>
      </c>
      <c r="I120" s="20">
        <f t="shared" si="21"/>
        <v>0.25529251647955276</v>
      </c>
      <c r="J120" s="15">
        <f t="shared" si="22"/>
        <v>1.2660384783559246</v>
      </c>
      <c r="K120" s="15">
        <f t="shared" si="23"/>
        <v>0.25972528695707808</v>
      </c>
      <c r="L120" s="15">
        <f t="shared" si="18"/>
        <v>-8.6516403066154823E-2</v>
      </c>
      <c r="M120" s="15">
        <f t="shared" si="19"/>
        <v>-0.54110538204544467</v>
      </c>
      <c r="N120" s="15">
        <f t="shared" si="20"/>
        <v>-9.3599945890386116E-2</v>
      </c>
      <c r="O120" s="18">
        <f>IF(SUMIFS('Monthly NSE Equity Futures'!$I:$I,'Monthly NSE Equity Futures'!$A:$A,$A120)=0,"",SUMIFS('Monthly NSE Equity Futures'!$I:$I,'Monthly NSE Equity Futures'!$A:$A,$A120))</f>
        <v>22920076</v>
      </c>
      <c r="P120" s="7">
        <f>IF(SUMIFS('Monthly BSE Equity Futures'!$I:$I,'Monthly BSE Equity Futures'!$A:$A,$A120)=0,"",SUMIFS('Monthly BSE Equity Futures'!$I:$I,'Monthly BSE Equity Futures'!$A:$A,$A120))</f>
        <v>172901</v>
      </c>
      <c r="Q120" s="7">
        <f t="shared" si="15"/>
        <v>23092977</v>
      </c>
      <c r="R120" s="19">
        <f t="shared" si="16"/>
        <v>0.99251283193154349</v>
      </c>
      <c r="S120" s="19">
        <f t="shared" si="17"/>
        <v>7.4871680684564833E-3</v>
      </c>
    </row>
    <row r="121" spans="1:19" x14ac:dyDescent="0.2">
      <c r="A121" s="8">
        <v>41609</v>
      </c>
      <c r="B121" s="4" t="s">
        <v>84</v>
      </c>
      <c r="C121" s="4" t="s">
        <v>147</v>
      </c>
      <c r="D121" s="14">
        <f>IF(SUMIFS('Monthly NSE Equity Futures'!$H:$H,'Monthly NSE Equity Futures'!$A:$A,$A121)=0,"",SUMIFS('Monthly NSE Equity Futures'!$H:$H,'Monthly NSE Equity Futures'!$A:$A,$A121))</f>
        <v>6581.0065000000004</v>
      </c>
      <c r="E121" s="6">
        <f>IF(SUMIFS('Monthly BSE Equity Futures'!$H:$H,'Monthly BSE Equity Futures'!$A:$A,$A121)=0,"",SUMIFS('Monthly BSE Equity Futures'!$H:$H,'Monthly BSE Equity Futures'!$A:$A,$A121))</f>
        <v>51.914400000000001</v>
      </c>
      <c r="F121" s="6">
        <f t="shared" si="12"/>
        <v>6632.9209000000001</v>
      </c>
      <c r="G121" s="15">
        <f t="shared" si="13"/>
        <v>0.99217322190590274</v>
      </c>
      <c r="H121" s="15">
        <f t="shared" si="14"/>
        <v>7.8267780940972781E-3</v>
      </c>
      <c r="I121" s="20">
        <f t="shared" si="21"/>
        <v>0.15695864581016217</v>
      </c>
      <c r="J121" s="15">
        <f t="shared" si="22"/>
        <v>1.1401028118674743</v>
      </c>
      <c r="K121" s="15">
        <f t="shared" si="23"/>
        <v>0.16113356206169227</v>
      </c>
      <c r="L121" s="15">
        <f t="shared" si="18"/>
        <v>9.7719312434527694E-3</v>
      </c>
      <c r="M121" s="15">
        <f t="shared" si="19"/>
        <v>1.7385666569542657E-3</v>
      </c>
      <c r="N121" s="15">
        <f t="shared" si="20"/>
        <v>9.7085556352547453E-3</v>
      </c>
      <c r="O121" s="18">
        <f>IF(SUMIFS('Monthly NSE Equity Futures'!$I:$I,'Monthly NSE Equity Futures'!$A:$A,$A121)=0,"",SUMIFS('Monthly NSE Equity Futures'!$I:$I,'Monthly NSE Equity Futures'!$A:$A,$A121))</f>
        <v>21766509</v>
      </c>
      <c r="P121" s="7">
        <f>IF(SUMIFS('Monthly BSE Equity Futures'!$I:$I,'Monthly BSE Equity Futures'!$A:$A,$A121)=0,"",SUMIFS('Monthly BSE Equity Futures'!$I:$I,'Monthly BSE Equity Futures'!$A:$A,$A121))</f>
        <v>169033</v>
      </c>
      <c r="Q121" s="7">
        <f t="shared" si="15"/>
        <v>21935542</v>
      </c>
      <c r="R121" s="19">
        <f t="shared" si="16"/>
        <v>0.99229410424415321</v>
      </c>
      <c r="S121" s="19">
        <f t="shared" si="17"/>
        <v>7.7058957558468356E-3</v>
      </c>
    </row>
    <row r="122" spans="1:19" x14ac:dyDescent="0.2">
      <c r="A122" s="8">
        <v>41640</v>
      </c>
      <c r="B122" s="4" t="s">
        <v>84</v>
      </c>
      <c r="C122" s="4" t="s">
        <v>148</v>
      </c>
      <c r="D122" s="14">
        <f>IF(SUMIFS('Monthly NSE Equity Futures'!$H:$H,'Monthly NSE Equity Futures'!$A:$A,$A122)=0,"",SUMIFS('Monthly NSE Equity Futures'!$H:$H,'Monthly NSE Equity Futures'!$A:$A,$A122))</f>
        <v>7489.2417999999998</v>
      </c>
      <c r="E122" s="6">
        <f>IF(SUMIFS('Monthly BSE Equity Futures'!$H:$H,'Monthly BSE Equity Futures'!$A:$A,$A122)=0,"",SUMIFS('Monthly BSE Equity Futures'!$H:$H,'Monthly BSE Equity Futures'!$A:$A,$A122))</f>
        <v>79.160799999999995</v>
      </c>
      <c r="F122" s="6">
        <f t="shared" si="12"/>
        <v>7568.4025999999994</v>
      </c>
      <c r="G122" s="15">
        <f t="shared" si="13"/>
        <v>0.98954061983964758</v>
      </c>
      <c r="H122" s="15">
        <f t="shared" si="14"/>
        <v>1.0459380160352463E-2</v>
      </c>
      <c r="I122" s="20">
        <f t="shared" si="21"/>
        <v>9.2586215420904949E-2</v>
      </c>
      <c r="J122" s="15">
        <f t="shared" si="22"/>
        <v>0.82260831124935829</v>
      </c>
      <c r="K122" s="15">
        <f t="shared" si="23"/>
        <v>9.7182718609783336E-2</v>
      </c>
      <c r="L122" s="15">
        <f t="shared" si="18"/>
        <v>0.13800857057351323</v>
      </c>
      <c r="M122" s="15">
        <f t="shared" si="19"/>
        <v>0.52483318693849856</v>
      </c>
      <c r="N122" s="15">
        <f t="shared" si="20"/>
        <v>0.14103616100713623</v>
      </c>
      <c r="O122" s="18">
        <f>IF(SUMIFS('Monthly NSE Equity Futures'!$I:$I,'Monthly NSE Equity Futures'!$A:$A,$A122)=0,"",SUMIFS('Monthly NSE Equity Futures'!$I:$I,'Monthly NSE Equity Futures'!$A:$A,$A122))</f>
        <v>23518149</v>
      </c>
      <c r="P122" s="7">
        <f>IF(SUMIFS('Monthly BSE Equity Futures'!$I:$I,'Monthly BSE Equity Futures'!$A:$A,$A122)=0,"",SUMIFS('Monthly BSE Equity Futures'!$I:$I,'Monthly BSE Equity Futures'!$A:$A,$A122))</f>
        <v>256757</v>
      </c>
      <c r="Q122" s="7">
        <f t="shared" si="15"/>
        <v>23774906</v>
      </c>
      <c r="R122" s="19">
        <f t="shared" si="16"/>
        <v>0.9892005040945272</v>
      </c>
      <c r="S122" s="19">
        <f t="shared" si="17"/>
        <v>1.0799495905472771E-2</v>
      </c>
    </row>
    <row r="123" spans="1:19" x14ac:dyDescent="0.2">
      <c r="A123" s="8">
        <v>41671</v>
      </c>
      <c r="B123" s="4" t="s">
        <v>84</v>
      </c>
      <c r="C123" s="4" t="s">
        <v>148</v>
      </c>
      <c r="D123" s="14">
        <f>IF(SUMIFS('Monthly NSE Equity Futures'!$H:$H,'Monthly NSE Equity Futures'!$A:$A,$A123)=0,"",SUMIFS('Monthly NSE Equity Futures'!$H:$H,'Monthly NSE Equity Futures'!$A:$A,$A123))</f>
        <v>5411.1781000000001</v>
      </c>
      <c r="E123" s="6">
        <f>IF(SUMIFS('Monthly BSE Equity Futures'!$H:$H,'Monthly BSE Equity Futures'!$A:$A,$A123)=0,"",SUMIFS('Monthly BSE Equity Futures'!$H:$H,'Monthly BSE Equity Futures'!$A:$A,$A123))</f>
        <v>61.013599999999997</v>
      </c>
      <c r="F123" s="6">
        <f t="shared" si="12"/>
        <v>5472.1917000000003</v>
      </c>
      <c r="G123" s="15">
        <f t="shared" si="13"/>
        <v>0.98885024440938352</v>
      </c>
      <c r="H123" s="15">
        <f t="shared" si="14"/>
        <v>1.1149755590616461E-2</v>
      </c>
      <c r="I123" s="20">
        <f t="shared" si="21"/>
        <v>2.6075057754337827E-4</v>
      </c>
      <c r="J123" s="15">
        <f t="shared" si="22"/>
        <v>0.49758598768325979</v>
      </c>
      <c r="K123" s="15">
        <f t="shared" si="23"/>
        <v>3.9781423708555863E-3</v>
      </c>
      <c r="L123" s="15">
        <f t="shared" si="18"/>
        <v>-0.2774731749213919</v>
      </c>
      <c r="M123" s="15">
        <f t="shared" si="19"/>
        <v>-0.22924477771826457</v>
      </c>
      <c r="N123" s="15">
        <f t="shared" si="20"/>
        <v>-0.27696873578051984</v>
      </c>
      <c r="O123" s="18">
        <f>IF(SUMIFS('Monthly NSE Equity Futures'!$I:$I,'Monthly NSE Equity Futures'!$A:$A,$A123)=0,"",SUMIFS('Monthly NSE Equity Futures'!$I:$I,'Monthly NSE Equity Futures'!$A:$A,$A123))</f>
        <v>17548133</v>
      </c>
      <c r="P123" s="7">
        <f>IF(SUMIFS('Monthly BSE Equity Futures'!$I:$I,'Monthly BSE Equity Futures'!$A:$A,$A123)=0,"",SUMIFS('Monthly BSE Equity Futures'!$I:$I,'Monthly BSE Equity Futures'!$A:$A,$A123))</f>
        <v>200351</v>
      </c>
      <c r="Q123" s="7">
        <f t="shared" si="15"/>
        <v>17748484</v>
      </c>
      <c r="R123" s="19">
        <f t="shared" si="16"/>
        <v>0.98871165559830354</v>
      </c>
      <c r="S123" s="19">
        <f t="shared" si="17"/>
        <v>1.1288344401696505E-2</v>
      </c>
    </row>
    <row r="124" spans="1:19" x14ac:dyDescent="0.2">
      <c r="A124" s="8">
        <v>41699</v>
      </c>
      <c r="B124" s="4" t="s">
        <v>84</v>
      </c>
      <c r="C124" s="4" t="s">
        <v>148</v>
      </c>
      <c r="D124" s="14">
        <f>IF(SUMIFS('Monthly NSE Equity Futures'!$H:$H,'Monthly NSE Equity Futures'!$A:$A,$A124)=0,"",SUMIFS('Monthly NSE Equity Futures'!$H:$H,'Monthly NSE Equity Futures'!$A:$A,$A124))</f>
        <v>7749.9570000000003</v>
      </c>
      <c r="E124" s="6">
        <f>IF(SUMIFS('Monthly BSE Equity Futures'!$H:$H,'Monthly BSE Equity Futures'!$A:$A,$A124)=0,"",SUMIFS('Monthly BSE Equity Futures'!$H:$H,'Monthly BSE Equity Futures'!$A:$A,$A124))</f>
        <v>87.325599999999994</v>
      </c>
      <c r="F124" s="6">
        <f t="shared" si="12"/>
        <v>7837.2826000000005</v>
      </c>
      <c r="G124" s="15">
        <f t="shared" si="13"/>
        <v>0.98885766860059376</v>
      </c>
      <c r="H124" s="15">
        <f t="shared" si="14"/>
        <v>1.1142331399406217E-2</v>
      </c>
      <c r="I124" s="20">
        <f t="shared" si="21"/>
        <v>0.46475762265986198</v>
      </c>
      <c r="J124" s="15">
        <f t="shared" si="22"/>
        <v>0.84658197012501479</v>
      </c>
      <c r="K124" s="15">
        <f t="shared" si="23"/>
        <v>0.46814012891292922</v>
      </c>
      <c r="L124" s="15">
        <f t="shared" si="18"/>
        <v>0.43221251579207864</v>
      </c>
      <c r="M124" s="15">
        <f t="shared" si="19"/>
        <v>0.43124811517432171</v>
      </c>
      <c r="N124" s="15">
        <f t="shared" si="20"/>
        <v>0.43220176296089918</v>
      </c>
      <c r="O124" s="18">
        <f>IF(SUMIFS('Monthly NSE Equity Futures'!$I:$I,'Monthly NSE Equity Futures'!$A:$A,$A124)=0,"",SUMIFS('Monthly NSE Equity Futures'!$I:$I,'Monthly NSE Equity Futures'!$A:$A,$A124))</f>
        <v>23042088</v>
      </c>
      <c r="P124" s="7">
        <f>IF(SUMIFS('Monthly BSE Equity Futures'!$I:$I,'Monthly BSE Equity Futures'!$A:$A,$A124)=0,"",SUMIFS('Monthly BSE Equity Futures'!$I:$I,'Monthly BSE Equity Futures'!$A:$A,$A124))</f>
        <v>268043</v>
      </c>
      <c r="Q124" s="7">
        <f t="shared" si="15"/>
        <v>23310131</v>
      </c>
      <c r="R124" s="19">
        <f t="shared" si="16"/>
        <v>0.9885010084241912</v>
      </c>
      <c r="S124" s="19">
        <f t="shared" si="17"/>
        <v>1.1498991575808819E-2</v>
      </c>
    </row>
    <row r="125" spans="1:19" x14ac:dyDescent="0.2">
      <c r="A125" s="8">
        <v>41730</v>
      </c>
      <c r="B125" s="4" t="s">
        <v>85</v>
      </c>
      <c r="C125" s="4" t="s">
        <v>149</v>
      </c>
      <c r="D125" s="14">
        <f>IF(SUMIFS('Monthly NSE Equity Futures'!$H:$H,'Monthly NSE Equity Futures'!$A:$A,$A125)=0,"",SUMIFS('Monthly NSE Equity Futures'!$H:$H,'Monthly NSE Equity Futures'!$A:$A,$A125))</f>
        <v>7603.2785000000003</v>
      </c>
      <c r="E125" s="6">
        <f>IF(SUMIFS('Monthly BSE Equity Futures'!$H:$H,'Monthly BSE Equity Futures'!$A:$A,$A125)=0,"",SUMIFS('Monthly BSE Equity Futures'!$H:$H,'Monthly BSE Equity Futures'!$A:$A,$A125))</f>
        <v>70.270600000000002</v>
      </c>
      <c r="F125" s="6">
        <f t="shared" si="12"/>
        <v>7673.5491000000002</v>
      </c>
      <c r="G125" s="15">
        <f t="shared" si="13"/>
        <v>0.99084249034126859</v>
      </c>
      <c r="H125" s="15">
        <f t="shared" si="14"/>
        <v>9.1575096587314473E-3</v>
      </c>
      <c r="I125" s="20">
        <f t="shared" si="21"/>
        <v>0.32541088106263283</v>
      </c>
      <c r="J125" s="15">
        <f t="shared" si="22"/>
        <v>-0.48617465525297299</v>
      </c>
      <c r="K125" s="15">
        <f t="shared" si="23"/>
        <v>0.30651313786879975</v>
      </c>
      <c r="L125" s="15">
        <f t="shared" si="18"/>
        <v>-1.892636307530482E-2</v>
      </c>
      <c r="M125" s="15">
        <f t="shared" si="19"/>
        <v>-0.19530355359711238</v>
      </c>
      <c r="N125" s="15">
        <f t="shared" si="20"/>
        <v>-2.0891616183395079E-2</v>
      </c>
      <c r="O125" s="18">
        <f>IF(SUMIFS('Monthly NSE Equity Futures'!$I:$I,'Monthly NSE Equity Futures'!$A:$A,$A125)=0,"",SUMIFS('Monthly NSE Equity Futures'!$I:$I,'Monthly NSE Equity Futures'!$A:$A,$A125))</f>
        <v>21240367</v>
      </c>
      <c r="P125" s="7">
        <f>IF(SUMIFS('Monthly BSE Equity Futures'!$I:$I,'Monthly BSE Equity Futures'!$A:$A,$A125)=0,"",SUMIFS('Monthly BSE Equity Futures'!$I:$I,'Monthly BSE Equity Futures'!$A:$A,$A125))</f>
        <v>208585</v>
      </c>
      <c r="Q125" s="7">
        <f t="shared" si="15"/>
        <v>21448952</v>
      </c>
      <c r="R125" s="19">
        <f t="shared" si="16"/>
        <v>0.99027528244736618</v>
      </c>
      <c r="S125" s="19">
        <f t="shared" si="17"/>
        <v>9.7247175526338075E-3</v>
      </c>
    </row>
    <row r="126" spans="1:19" x14ac:dyDescent="0.2">
      <c r="A126" s="8">
        <v>41760</v>
      </c>
      <c r="B126" s="4" t="s">
        <v>85</v>
      </c>
      <c r="C126" s="4" t="s">
        <v>149</v>
      </c>
      <c r="D126" s="14">
        <f>IF(SUMIFS('Monthly NSE Equity Futures'!$H:$H,'Monthly NSE Equity Futures'!$A:$A,$A126)=0,"",SUMIFS('Monthly NSE Equity Futures'!$H:$H,'Monthly NSE Equity Futures'!$A:$A,$A126))</f>
        <v>11917.224</v>
      </c>
      <c r="E126" s="6">
        <f>IF(SUMIFS('Monthly BSE Equity Futures'!$H:$H,'Monthly BSE Equity Futures'!$A:$A,$A126)=0,"",SUMIFS('Monthly BSE Equity Futures'!$H:$H,'Monthly BSE Equity Futures'!$A:$A,$A126))</f>
        <v>55.245100000000001</v>
      </c>
      <c r="F126" s="6">
        <f t="shared" si="12"/>
        <v>11972.4691</v>
      </c>
      <c r="G126" s="15">
        <f t="shared" si="13"/>
        <v>0.9953856552446646</v>
      </c>
      <c r="H126" s="15">
        <f t="shared" si="14"/>
        <v>4.6143447553353882E-3</v>
      </c>
      <c r="I126" s="20">
        <f t="shared" si="21"/>
        <v>0.8176656483893554</v>
      </c>
      <c r="J126" s="15">
        <f t="shared" si="22"/>
        <v>-0.60018078497443828</v>
      </c>
      <c r="K126" s="15">
        <f t="shared" si="23"/>
        <v>0.78840118791671943</v>
      </c>
      <c r="L126" s="15">
        <f t="shared" si="18"/>
        <v>0.5673796507651272</v>
      </c>
      <c r="M126" s="15">
        <f t="shared" si="19"/>
        <v>-0.21382341975164576</v>
      </c>
      <c r="N126" s="15">
        <f t="shared" si="20"/>
        <v>0.56022577610143909</v>
      </c>
      <c r="O126" s="18">
        <f>IF(SUMIFS('Monthly NSE Equity Futures'!$I:$I,'Monthly NSE Equity Futures'!$A:$A,$A126)=0,"",SUMIFS('Monthly NSE Equity Futures'!$I:$I,'Monthly NSE Equity Futures'!$A:$A,$A126))</f>
        <v>33174870</v>
      </c>
      <c r="P126" s="7">
        <f>IF(SUMIFS('Monthly BSE Equity Futures'!$I:$I,'Monthly BSE Equity Futures'!$A:$A,$A126)=0,"",SUMIFS('Monthly BSE Equity Futures'!$I:$I,'Monthly BSE Equity Futures'!$A:$A,$A126))</f>
        <v>162626</v>
      </c>
      <c r="Q126" s="7">
        <f t="shared" si="15"/>
        <v>33337496</v>
      </c>
      <c r="R126" s="19">
        <f t="shared" si="16"/>
        <v>0.99512182918597125</v>
      </c>
      <c r="S126" s="19">
        <f t="shared" si="17"/>
        <v>4.878170814028744E-3</v>
      </c>
    </row>
    <row r="127" spans="1:19" x14ac:dyDescent="0.2">
      <c r="A127" s="8">
        <v>41791</v>
      </c>
      <c r="B127" s="4" t="s">
        <v>85</v>
      </c>
      <c r="C127" s="4" t="s">
        <v>149</v>
      </c>
      <c r="D127" s="14">
        <f>IF(SUMIFS('Monthly NSE Equity Futures'!$H:$H,'Monthly NSE Equity Futures'!$A:$A,$A127)=0,"",SUMIFS('Monthly NSE Equity Futures'!$H:$H,'Monthly NSE Equity Futures'!$A:$A,$A127))</f>
        <v>11743.4051</v>
      </c>
      <c r="E127" s="6">
        <f>IF(SUMIFS('Monthly BSE Equity Futures'!$H:$H,'Monthly BSE Equity Futures'!$A:$A,$A127)=0,"",SUMIFS('Monthly BSE Equity Futures'!$H:$H,'Monthly BSE Equity Futures'!$A:$A,$A127))</f>
        <v>56.229300000000002</v>
      </c>
      <c r="F127" s="6">
        <f t="shared" si="12"/>
        <v>11799.634400000001</v>
      </c>
      <c r="G127" s="15">
        <f t="shared" si="13"/>
        <v>0.99523465743989481</v>
      </c>
      <c r="H127" s="15">
        <f t="shared" si="14"/>
        <v>4.7653425601050826E-3</v>
      </c>
      <c r="I127" s="20">
        <f t="shared" si="21"/>
        <v>0.9909330141711461</v>
      </c>
      <c r="J127" s="15">
        <f t="shared" si="22"/>
        <v>-0.45803658949158121</v>
      </c>
      <c r="K127" s="15">
        <f t="shared" si="23"/>
        <v>0.96588680852745479</v>
      </c>
      <c r="L127" s="15">
        <f t="shared" si="18"/>
        <v>-1.4585519245085998E-2</v>
      </c>
      <c r="M127" s="15">
        <f t="shared" si="19"/>
        <v>1.7815154647199405E-2</v>
      </c>
      <c r="N127" s="15">
        <f t="shared" si="20"/>
        <v>-1.4436011365441703E-2</v>
      </c>
      <c r="O127" s="18">
        <f>IF(SUMIFS('Monthly NSE Equity Futures'!$I:$I,'Monthly NSE Equity Futures'!$A:$A,$A127)=0,"",SUMIFS('Monthly NSE Equity Futures'!$I:$I,'Monthly NSE Equity Futures'!$A:$A,$A127))</f>
        <v>30440674</v>
      </c>
      <c r="P127" s="7">
        <f>IF(SUMIFS('Monthly BSE Equity Futures'!$I:$I,'Monthly BSE Equity Futures'!$A:$A,$A127)=0,"",SUMIFS('Monthly BSE Equity Futures'!$I:$I,'Monthly BSE Equity Futures'!$A:$A,$A127))</f>
        <v>149063</v>
      </c>
      <c r="Q127" s="7">
        <f t="shared" si="15"/>
        <v>30589737</v>
      </c>
      <c r="R127" s="19">
        <f t="shared" si="16"/>
        <v>0.99512702577338275</v>
      </c>
      <c r="S127" s="19">
        <f t="shared" si="17"/>
        <v>4.8729742266172471E-3</v>
      </c>
    </row>
    <row r="128" spans="1:19" x14ac:dyDescent="0.2">
      <c r="A128" s="8">
        <v>41821</v>
      </c>
      <c r="B128" s="4" t="s">
        <v>85</v>
      </c>
      <c r="C128" s="4" t="s">
        <v>150</v>
      </c>
      <c r="D128" s="14">
        <f>IF(SUMIFS('Monthly NSE Equity Futures'!$H:$H,'Monthly NSE Equity Futures'!$A:$A,$A128)=0,"",SUMIFS('Monthly NSE Equity Futures'!$H:$H,'Monthly NSE Equity Futures'!$A:$A,$A128))</f>
        <v>11708.1903</v>
      </c>
      <c r="E128" s="6">
        <f>IF(SUMIFS('Monthly BSE Equity Futures'!$H:$H,'Monthly BSE Equity Futures'!$A:$A,$A128)=0,"",SUMIFS('Monthly BSE Equity Futures'!$H:$H,'Monthly BSE Equity Futures'!$A:$A,$A128))</f>
        <v>55.570900000000002</v>
      </c>
      <c r="F128" s="6">
        <f t="shared" si="12"/>
        <v>11763.761200000001</v>
      </c>
      <c r="G128" s="15">
        <f t="shared" si="13"/>
        <v>0.99527609417981044</v>
      </c>
      <c r="H128" s="15">
        <f t="shared" si="14"/>
        <v>4.7239058201895496E-3</v>
      </c>
      <c r="I128" s="20">
        <f t="shared" si="21"/>
        <v>0.7163690658911408</v>
      </c>
      <c r="J128" s="15">
        <f t="shared" si="22"/>
        <v>-0.67291148211019003</v>
      </c>
      <c r="K128" s="15">
        <f t="shared" si="23"/>
        <v>0.68260855734527626</v>
      </c>
      <c r="L128" s="15">
        <f t="shared" si="18"/>
        <v>-2.9986873228106115E-3</v>
      </c>
      <c r="M128" s="15">
        <f t="shared" si="19"/>
        <v>-1.170919787370639E-2</v>
      </c>
      <c r="N128" s="15">
        <f t="shared" si="20"/>
        <v>-3.0401958894590297E-3</v>
      </c>
      <c r="O128" s="18">
        <f>IF(SUMIFS('Monthly NSE Equity Futures'!$I:$I,'Monthly NSE Equity Futures'!$A:$A,$A128)=0,"",SUMIFS('Monthly NSE Equity Futures'!$I:$I,'Monthly NSE Equity Futures'!$A:$A,$A128))</f>
        <v>30177173</v>
      </c>
      <c r="P128" s="7">
        <f>IF(SUMIFS('Monthly BSE Equity Futures'!$I:$I,'Monthly BSE Equity Futures'!$A:$A,$A128)=0,"",SUMIFS('Monthly BSE Equity Futures'!$I:$I,'Monthly BSE Equity Futures'!$A:$A,$A128))</f>
        <v>144631</v>
      </c>
      <c r="Q128" s="7">
        <f t="shared" si="15"/>
        <v>30321804</v>
      </c>
      <c r="R128" s="19">
        <f t="shared" si="16"/>
        <v>0.99523013208580857</v>
      </c>
      <c r="S128" s="19">
        <f t="shared" si="17"/>
        <v>4.7698679141913855E-3</v>
      </c>
    </row>
    <row r="129" spans="1:19" x14ac:dyDescent="0.2">
      <c r="A129" s="8">
        <v>41852</v>
      </c>
      <c r="B129" s="4" t="s">
        <v>85</v>
      </c>
      <c r="C129" s="4" t="s">
        <v>150</v>
      </c>
      <c r="D129" s="14">
        <f>IF(SUMIFS('Monthly NSE Equity Futures'!$H:$H,'Monthly NSE Equity Futures'!$A:$A,$A129)=0,"",SUMIFS('Monthly NSE Equity Futures'!$H:$H,'Monthly NSE Equity Futures'!$A:$A,$A129))</f>
        <v>8953.9819000000007</v>
      </c>
      <c r="E129" s="6">
        <f>IF(SUMIFS('Monthly BSE Equity Futures'!$H:$H,'Monthly BSE Equity Futures'!$A:$A,$A129)=0,"",SUMIFS('Monthly BSE Equity Futures'!$H:$H,'Monthly BSE Equity Futures'!$A:$A,$A129))</f>
        <v>35.983699999999999</v>
      </c>
      <c r="F129" s="6">
        <f t="shared" si="12"/>
        <v>8989.9656000000014</v>
      </c>
      <c r="G129" s="15">
        <f t="shared" si="13"/>
        <v>0.99599734842144438</v>
      </c>
      <c r="H129" s="15">
        <f t="shared" si="14"/>
        <v>4.0026515785555388E-3</v>
      </c>
      <c r="I129" s="20">
        <f t="shared" si="21"/>
        <v>0.21356780493792193</v>
      </c>
      <c r="J129" s="15">
        <f t="shared" si="22"/>
        <v>-0.59599607938680355</v>
      </c>
      <c r="K129" s="15">
        <f t="shared" si="23"/>
        <v>0.20391156784396447</v>
      </c>
      <c r="L129" s="15">
        <f t="shared" si="18"/>
        <v>-0.23523775489026677</v>
      </c>
      <c r="M129" s="15">
        <f t="shared" si="19"/>
        <v>-0.35247224716533299</v>
      </c>
      <c r="N129" s="15">
        <f t="shared" si="20"/>
        <v>-0.2357915595906519</v>
      </c>
      <c r="O129" s="18">
        <f>IF(SUMIFS('Monthly NSE Equity Futures'!$I:$I,'Monthly NSE Equity Futures'!$A:$A,$A129)=0,"",SUMIFS('Monthly NSE Equity Futures'!$I:$I,'Monthly NSE Equity Futures'!$A:$A,$A129))</f>
        <v>23120717</v>
      </c>
      <c r="P129" s="7">
        <f>IF(SUMIFS('Monthly BSE Equity Futures'!$I:$I,'Monthly BSE Equity Futures'!$A:$A,$A129)=0,"",SUMIFS('Monthly BSE Equity Futures'!$I:$I,'Monthly BSE Equity Futures'!$A:$A,$A129))</f>
        <v>92850</v>
      </c>
      <c r="Q129" s="7">
        <f t="shared" si="15"/>
        <v>23213567</v>
      </c>
      <c r="R129" s="19">
        <f t="shared" si="16"/>
        <v>0.99600018385799993</v>
      </c>
      <c r="S129" s="19">
        <f t="shared" si="17"/>
        <v>3.9998161420000643E-3</v>
      </c>
    </row>
    <row r="130" spans="1:19" x14ac:dyDescent="0.2">
      <c r="A130" s="8">
        <v>41883</v>
      </c>
      <c r="B130" s="4" t="s">
        <v>85</v>
      </c>
      <c r="C130" s="4" t="s">
        <v>150</v>
      </c>
      <c r="D130" s="14">
        <f>IF(SUMIFS('Monthly NSE Equity Futures'!$H:$H,'Monthly NSE Equity Futures'!$A:$A,$A130)=0,"",SUMIFS('Monthly NSE Equity Futures'!$H:$H,'Monthly NSE Equity Futures'!$A:$A,$A130))</f>
        <v>10668.542100000001</v>
      </c>
      <c r="E130" s="6">
        <f>IF(SUMIFS('Monthly BSE Equity Futures'!$H:$H,'Monthly BSE Equity Futures'!$A:$A,$A130)=0,"",SUMIFS('Monthly BSE Equity Futures'!$H:$H,'Monthly BSE Equity Futures'!$A:$A,$A130))</f>
        <v>41.866300000000003</v>
      </c>
      <c r="F130" s="6">
        <f t="shared" ref="F130:F193" si="24">IF(OR(D130="",E130=""),"",D130+E130)</f>
        <v>10710.4084</v>
      </c>
      <c r="G130" s="15">
        <f t="shared" ref="G130:G193" si="25">IF(F130="","",D130/F130)</f>
        <v>0.99609106409051595</v>
      </c>
      <c r="H130" s="15">
        <f t="shared" ref="H130:H193" si="26">IF(F130="","",E130/F130)</f>
        <v>3.9089359094840867E-3</v>
      </c>
      <c r="I130" s="20">
        <f t="shared" si="21"/>
        <v>0.51336940306965739</v>
      </c>
      <c r="J130" s="15">
        <f t="shared" si="22"/>
        <v>-0.57758383235043365</v>
      </c>
      <c r="K130" s="15">
        <f t="shared" si="23"/>
        <v>0.49824400887167242</v>
      </c>
      <c r="L130" s="15">
        <f t="shared" si="18"/>
        <v>0.19148577908114817</v>
      </c>
      <c r="M130" s="15">
        <f t="shared" si="19"/>
        <v>0.16347957547445113</v>
      </c>
      <c r="N130" s="15">
        <f t="shared" si="20"/>
        <v>0.19137368000607236</v>
      </c>
      <c r="O130" s="18">
        <f>IF(SUMIFS('Monthly NSE Equity Futures'!$I:$I,'Monthly NSE Equity Futures'!$A:$A,$A130)=0,"",SUMIFS('Monthly NSE Equity Futures'!$I:$I,'Monthly NSE Equity Futures'!$A:$A,$A130))</f>
        <v>26873997</v>
      </c>
      <c r="P130" s="7">
        <f>IF(SUMIFS('Monthly BSE Equity Futures'!$I:$I,'Monthly BSE Equity Futures'!$A:$A,$A130)=0,"",SUMIFS('Monthly BSE Equity Futures'!$I:$I,'Monthly BSE Equity Futures'!$A:$A,$A130))</f>
        <v>104636</v>
      </c>
      <c r="Q130" s="7">
        <f t="shared" ref="Q130:Q193" si="27">IF(OR(O130="",P130=""),"",O130+P130)</f>
        <v>26978633</v>
      </c>
      <c r="R130" s="19">
        <f t="shared" ref="R130:R193" si="28">IF(Q130="","",O130/Q130)</f>
        <v>0.99612152328103498</v>
      </c>
      <c r="S130" s="19">
        <f t="shared" ref="S130:S193" si="29">IF(Q130="","",P130/Q130)</f>
        <v>3.8784767189649675E-3</v>
      </c>
    </row>
    <row r="131" spans="1:19" x14ac:dyDescent="0.2">
      <c r="A131" s="8">
        <v>41913</v>
      </c>
      <c r="B131" s="4" t="s">
        <v>85</v>
      </c>
      <c r="C131" s="4" t="s">
        <v>151</v>
      </c>
      <c r="D131" s="14">
        <f>IF(SUMIFS('Monthly NSE Equity Futures'!$H:$H,'Monthly NSE Equity Futures'!$A:$A,$A131)=0,"",SUMIFS('Monthly NSE Equity Futures'!$H:$H,'Monthly NSE Equity Futures'!$A:$A,$A131))</f>
        <v>8333.2541999999994</v>
      </c>
      <c r="E131" s="6">
        <f>IF(SUMIFS('Monthly BSE Equity Futures'!$H:$H,'Monthly BSE Equity Futures'!$A:$A,$A131)=0,"",SUMIFS('Monthly BSE Equity Futures'!$H:$H,'Monthly BSE Equity Futures'!$A:$A,$A131))</f>
        <v>35.738199999999999</v>
      </c>
      <c r="F131" s="6">
        <f t="shared" si="24"/>
        <v>8368.9923999999992</v>
      </c>
      <c r="G131" s="15">
        <f t="shared" si="25"/>
        <v>0.99572968903640058</v>
      </c>
      <c r="H131" s="15">
        <f t="shared" si="26"/>
        <v>4.2703109635993941E-3</v>
      </c>
      <c r="I131" s="20">
        <f t="shared" si="21"/>
        <v>0.16800945345370621</v>
      </c>
      <c r="J131" s="15">
        <f t="shared" si="22"/>
        <v>-0.68354483060295101</v>
      </c>
      <c r="K131" s="15">
        <f t="shared" si="23"/>
        <v>0.15474027730294027</v>
      </c>
      <c r="L131" s="15">
        <f t="shared" ref="L131:L194" si="30">IF(OR(D131="",D130=""),"",D131/D130-1)</f>
        <v>-0.21889475413889969</v>
      </c>
      <c r="M131" s="15">
        <f t="shared" ref="M131:M194" si="31">IF(OR(E131="",E130=""),"",E131/E130-1)</f>
        <v>-0.14637309721661584</v>
      </c>
      <c r="N131" s="15">
        <f t="shared" ref="N131:N194" si="32">IF(OR(F131="",F130=""),"",F131/F130-1)</f>
        <v>-0.21861127162994098</v>
      </c>
      <c r="O131" s="18">
        <f>IF(SUMIFS('Monthly NSE Equity Futures'!$I:$I,'Monthly NSE Equity Futures'!$A:$A,$A131)=0,"",SUMIFS('Monthly NSE Equity Futures'!$I:$I,'Monthly NSE Equity Futures'!$A:$A,$A131))</f>
        <v>22149611</v>
      </c>
      <c r="P131" s="7">
        <f>IF(SUMIFS('Monthly BSE Equity Futures'!$I:$I,'Monthly BSE Equity Futures'!$A:$A,$A131)=0,"",SUMIFS('Monthly BSE Equity Futures'!$I:$I,'Monthly BSE Equity Futures'!$A:$A,$A131))</f>
        <v>90055</v>
      </c>
      <c r="Q131" s="7">
        <f t="shared" si="27"/>
        <v>22239666</v>
      </c>
      <c r="R131" s="19">
        <f t="shared" si="28"/>
        <v>0.99595070357621374</v>
      </c>
      <c r="S131" s="19">
        <f t="shared" si="29"/>
        <v>4.0492964237862205E-3</v>
      </c>
    </row>
    <row r="132" spans="1:19" x14ac:dyDescent="0.2">
      <c r="A132" s="8">
        <v>41944</v>
      </c>
      <c r="B132" s="4" t="s">
        <v>85</v>
      </c>
      <c r="C132" s="4" t="s">
        <v>151</v>
      </c>
      <c r="D132" s="14">
        <f>IF(SUMIFS('Monthly NSE Equity Futures'!$H:$H,'Monthly NSE Equity Futures'!$A:$A,$A132)=0,"",SUMIFS('Monthly NSE Equity Futures'!$H:$H,'Monthly NSE Equity Futures'!$A:$A,$A132))</f>
        <v>8902.7904999999992</v>
      </c>
      <c r="E132" s="6">
        <f>IF(SUMIFS('Monthly BSE Equity Futures'!$H:$H,'Monthly BSE Equity Futures'!$A:$A,$A132)=0,"",SUMIFS('Monthly BSE Equity Futures'!$H:$H,'Monthly BSE Equity Futures'!$A:$A,$A132))</f>
        <v>41.816800000000001</v>
      </c>
      <c r="F132" s="6">
        <f t="shared" si="24"/>
        <v>8944.6072999999997</v>
      </c>
      <c r="G132" s="15">
        <f t="shared" si="25"/>
        <v>0.99532491493505804</v>
      </c>
      <c r="H132" s="15">
        <f t="shared" si="26"/>
        <v>4.6750850649418677E-3</v>
      </c>
      <c r="I132" s="20">
        <f t="shared" si="21"/>
        <v>0.36602022147233315</v>
      </c>
      <c r="J132" s="15">
        <f t="shared" si="22"/>
        <v>-0.1931043931128833</v>
      </c>
      <c r="K132" s="15">
        <f t="shared" si="23"/>
        <v>0.36160925989748427</v>
      </c>
      <c r="L132" s="15">
        <f t="shared" si="30"/>
        <v>6.8345005004167403E-2</v>
      </c>
      <c r="M132" s="15">
        <f t="shared" si="31"/>
        <v>0.17008690980519447</v>
      </c>
      <c r="N132" s="15">
        <f t="shared" si="32"/>
        <v>6.8779474575696886E-2</v>
      </c>
      <c r="O132" s="18">
        <f>IF(SUMIFS('Monthly NSE Equity Futures'!$I:$I,'Monthly NSE Equity Futures'!$A:$A,$A132)=0,"",SUMIFS('Monthly NSE Equity Futures'!$I:$I,'Monthly NSE Equity Futures'!$A:$A,$A132))</f>
        <v>30506340</v>
      </c>
      <c r="P132" s="7">
        <f>IF(SUMIFS('Monthly BSE Equity Futures'!$I:$I,'Monthly BSE Equity Futures'!$A:$A,$A132)=0,"",SUMIFS('Monthly BSE Equity Futures'!$I:$I,'Monthly BSE Equity Futures'!$A:$A,$A132))</f>
        <v>101762</v>
      </c>
      <c r="Q132" s="7">
        <f t="shared" si="27"/>
        <v>30608102</v>
      </c>
      <c r="R132" s="19">
        <f t="shared" si="28"/>
        <v>0.99667532472284626</v>
      </c>
      <c r="S132" s="19">
        <f t="shared" si="29"/>
        <v>3.3246752771537418E-3</v>
      </c>
    </row>
    <row r="133" spans="1:19" x14ac:dyDescent="0.2">
      <c r="A133" s="8">
        <v>41974</v>
      </c>
      <c r="B133" s="4" t="s">
        <v>85</v>
      </c>
      <c r="C133" s="4" t="s">
        <v>151</v>
      </c>
      <c r="D133" s="14">
        <f>IF(SUMIFS('Monthly NSE Equity Futures'!$H:$H,'Monthly NSE Equity Futures'!$A:$A,$A133)=0,"",SUMIFS('Monthly NSE Equity Futures'!$H:$H,'Monthly NSE Equity Futures'!$A:$A,$A133))</f>
        <v>9896.1528999999991</v>
      </c>
      <c r="E133" s="6">
        <f>IF(SUMIFS('Monthly BSE Equity Futures'!$H:$H,'Monthly BSE Equity Futures'!$A:$A,$A133)=0,"",SUMIFS('Monthly BSE Equity Futures'!$H:$H,'Monthly BSE Equity Futures'!$A:$A,$A133))</f>
        <v>66.981499999999997</v>
      </c>
      <c r="F133" s="6">
        <f t="shared" si="24"/>
        <v>9963.134399999999</v>
      </c>
      <c r="G133" s="15">
        <f t="shared" si="25"/>
        <v>0.99327706549858452</v>
      </c>
      <c r="H133" s="15">
        <f t="shared" si="26"/>
        <v>6.7229345014155392E-3</v>
      </c>
      <c r="I133" s="20">
        <f t="shared" si="21"/>
        <v>0.50374458678926981</v>
      </c>
      <c r="J133" s="15">
        <f t="shared" si="22"/>
        <v>0.29022968579045494</v>
      </c>
      <c r="K133" s="15">
        <f t="shared" si="23"/>
        <v>0.5020734530393689</v>
      </c>
      <c r="L133" s="15">
        <f t="shared" si="30"/>
        <v>0.1115787684771421</v>
      </c>
      <c r="M133" s="15">
        <f t="shared" si="31"/>
        <v>0.60178445026879146</v>
      </c>
      <c r="N133" s="15">
        <f t="shared" si="32"/>
        <v>0.11387052173883583</v>
      </c>
      <c r="O133" s="18">
        <f>IF(SUMIFS('Monthly NSE Equity Futures'!$I:$I,'Monthly NSE Equity Futures'!$A:$A,$A133)=0,"",SUMIFS('Monthly NSE Equity Futures'!$I:$I,'Monthly NSE Equity Futures'!$A:$A,$A133))</f>
        <v>34237890</v>
      </c>
      <c r="P133" s="7">
        <f>IF(SUMIFS('Monthly BSE Equity Futures'!$I:$I,'Monthly BSE Equity Futures'!$A:$A,$A133)=0,"",SUMIFS('Monthly BSE Equity Futures'!$I:$I,'Monthly BSE Equity Futures'!$A:$A,$A133))</f>
        <v>163496</v>
      </c>
      <c r="Q133" s="7">
        <f t="shared" si="27"/>
        <v>34401386</v>
      </c>
      <c r="R133" s="19">
        <f t="shared" si="28"/>
        <v>0.99524740078786356</v>
      </c>
      <c r="S133" s="19">
        <f t="shared" si="29"/>
        <v>4.752599212136395E-3</v>
      </c>
    </row>
    <row r="134" spans="1:19" x14ac:dyDescent="0.2">
      <c r="A134" s="8">
        <v>42005</v>
      </c>
      <c r="B134" s="4" t="s">
        <v>85</v>
      </c>
      <c r="C134" s="4" t="s">
        <v>152</v>
      </c>
      <c r="D134" s="14">
        <f>IF(SUMIFS('Monthly NSE Equity Futures'!$H:$H,'Monthly NSE Equity Futures'!$A:$A,$A134)=0,"",SUMIFS('Monthly NSE Equity Futures'!$H:$H,'Monthly NSE Equity Futures'!$A:$A,$A134))</f>
        <v>11233.5471</v>
      </c>
      <c r="E134" s="6">
        <f>IF(SUMIFS('Monthly BSE Equity Futures'!$H:$H,'Monthly BSE Equity Futures'!$A:$A,$A134)=0,"",SUMIFS('Monthly BSE Equity Futures'!$H:$H,'Monthly BSE Equity Futures'!$A:$A,$A134))</f>
        <v>48.1706</v>
      </c>
      <c r="F134" s="6">
        <f t="shared" si="24"/>
        <v>11281.717699999999</v>
      </c>
      <c r="G134" s="15">
        <f t="shared" si="25"/>
        <v>0.99573020693471181</v>
      </c>
      <c r="H134" s="15">
        <f t="shared" si="26"/>
        <v>4.2697930652882765E-3</v>
      </c>
      <c r="I134" s="20">
        <f t="shared" si="21"/>
        <v>0.49995785955261862</v>
      </c>
      <c r="J134" s="15">
        <f t="shared" si="22"/>
        <v>-0.3914841689320977</v>
      </c>
      <c r="K134" s="15">
        <f t="shared" si="23"/>
        <v>0.49063392848578125</v>
      </c>
      <c r="L134" s="15">
        <f t="shared" si="30"/>
        <v>0.13514283919360226</v>
      </c>
      <c r="M134" s="15">
        <f t="shared" si="31"/>
        <v>-0.28083724610526783</v>
      </c>
      <c r="N134" s="15">
        <f t="shared" si="32"/>
        <v>0.13234623232624476</v>
      </c>
      <c r="O134" s="18">
        <f>IF(SUMIFS('Monthly NSE Equity Futures'!$I:$I,'Monthly NSE Equity Futures'!$A:$A,$A134)=0,"",SUMIFS('Monthly NSE Equity Futures'!$I:$I,'Monthly NSE Equity Futures'!$A:$A,$A134))</f>
        <v>37963516</v>
      </c>
      <c r="P134" s="7">
        <f>IF(SUMIFS('Monthly BSE Equity Futures'!$I:$I,'Monthly BSE Equity Futures'!$A:$A,$A134)=0,"",SUMIFS('Monthly BSE Equity Futures'!$I:$I,'Monthly BSE Equity Futures'!$A:$A,$A134))</f>
        <v>118721</v>
      </c>
      <c r="Q134" s="7">
        <f t="shared" si="27"/>
        <v>38082237</v>
      </c>
      <c r="R134" s="19">
        <f t="shared" si="28"/>
        <v>0.99688250981684712</v>
      </c>
      <c r="S134" s="19">
        <f t="shared" si="29"/>
        <v>3.1174901831528437E-3</v>
      </c>
    </row>
    <row r="135" spans="1:19" x14ac:dyDescent="0.2">
      <c r="A135" s="8">
        <v>42036</v>
      </c>
      <c r="B135" s="4" t="s">
        <v>85</v>
      </c>
      <c r="C135" s="4" t="s">
        <v>152</v>
      </c>
      <c r="D135" s="14">
        <f>IF(SUMIFS('Monthly NSE Equity Futures'!$H:$H,'Monthly NSE Equity Futures'!$A:$A,$A135)=0,"",SUMIFS('Monthly NSE Equity Futures'!$H:$H,'Monthly NSE Equity Futures'!$A:$A,$A135))</f>
        <v>11650.3158</v>
      </c>
      <c r="E135" s="6">
        <f>IF(SUMIFS('Monthly BSE Equity Futures'!$H:$H,'Monthly BSE Equity Futures'!$A:$A,$A135)=0,"",SUMIFS('Monthly BSE Equity Futures'!$H:$H,'Monthly BSE Equity Futures'!$A:$A,$A135))</f>
        <v>36.0593</v>
      </c>
      <c r="F135" s="6">
        <f t="shared" si="24"/>
        <v>11686.375100000001</v>
      </c>
      <c r="G135" s="15">
        <f t="shared" si="25"/>
        <v>0.99691441531771463</v>
      </c>
      <c r="H135" s="15">
        <f t="shared" si="26"/>
        <v>3.0855846822852705E-3</v>
      </c>
      <c r="I135" s="20">
        <f t="shared" si="21"/>
        <v>1.1530091201396604</v>
      </c>
      <c r="J135" s="15">
        <f t="shared" si="22"/>
        <v>-0.40899569931949598</v>
      </c>
      <c r="K135" s="15">
        <f t="shared" si="23"/>
        <v>1.135593148171326</v>
      </c>
      <c r="L135" s="15">
        <f t="shared" si="30"/>
        <v>3.7100365208777353E-2</v>
      </c>
      <c r="M135" s="15">
        <f t="shared" si="31"/>
        <v>-0.25142514313710018</v>
      </c>
      <c r="N135" s="15">
        <f t="shared" si="32"/>
        <v>3.5868420994083383E-2</v>
      </c>
      <c r="O135" s="18">
        <f>IF(SUMIFS('Monthly NSE Equity Futures'!$I:$I,'Monthly NSE Equity Futures'!$A:$A,$A135)=0,"",SUMIFS('Monthly NSE Equity Futures'!$I:$I,'Monthly NSE Equity Futures'!$A:$A,$A135))</f>
        <v>38903779</v>
      </c>
      <c r="P135" s="7">
        <f>IF(SUMIFS('Monthly BSE Equity Futures'!$I:$I,'Monthly BSE Equity Futures'!$A:$A,$A135)=0,"",SUMIFS('Monthly BSE Equity Futures'!$I:$I,'Monthly BSE Equity Futures'!$A:$A,$A135))</f>
        <v>92967</v>
      </c>
      <c r="Q135" s="7">
        <f t="shared" si="27"/>
        <v>38996746</v>
      </c>
      <c r="R135" s="19">
        <f t="shared" si="28"/>
        <v>0.99761603186070957</v>
      </c>
      <c r="S135" s="19">
        <f t="shared" si="29"/>
        <v>2.3839681392903911E-3</v>
      </c>
    </row>
    <row r="136" spans="1:19" x14ac:dyDescent="0.2">
      <c r="A136" s="8">
        <v>42064</v>
      </c>
      <c r="B136" s="4" t="s">
        <v>85</v>
      </c>
      <c r="C136" s="4" t="s">
        <v>152</v>
      </c>
      <c r="D136" s="14">
        <f>IF(SUMIFS('Monthly NSE Equity Futures'!$H:$H,'Monthly NSE Equity Futures'!$A:$A,$A136)=0,"",SUMIFS('Monthly NSE Equity Futures'!$H:$H,'Monthly NSE Equity Futures'!$A:$A,$A136))</f>
        <v>11379.132299999999</v>
      </c>
      <c r="E136" s="6">
        <f>IF(SUMIFS('Monthly BSE Equity Futures'!$H:$H,'Monthly BSE Equity Futures'!$A:$A,$A136)=0,"",SUMIFS('Monthly BSE Equity Futures'!$H:$H,'Monthly BSE Equity Futures'!$A:$A,$A136))</f>
        <v>40.333799999999997</v>
      </c>
      <c r="F136" s="6">
        <f t="shared" si="24"/>
        <v>11419.4661</v>
      </c>
      <c r="G136" s="15">
        <f t="shared" si="25"/>
        <v>0.9964679784810605</v>
      </c>
      <c r="H136" s="15">
        <f t="shared" si="26"/>
        <v>3.5320215189394884E-3</v>
      </c>
      <c r="I136" s="20">
        <f t="shared" si="21"/>
        <v>0.4682832820878875</v>
      </c>
      <c r="J136" s="15">
        <f t="shared" si="22"/>
        <v>-0.53812169627234163</v>
      </c>
      <c r="K136" s="15">
        <f t="shared" si="23"/>
        <v>0.45706958429698563</v>
      </c>
      <c r="L136" s="15">
        <f t="shared" si="30"/>
        <v>-2.3276922673632683E-2</v>
      </c>
      <c r="M136" s="15">
        <f t="shared" si="31"/>
        <v>0.11854084799205733</v>
      </c>
      <c r="N136" s="15">
        <f t="shared" si="32"/>
        <v>-2.2839331932790863E-2</v>
      </c>
      <c r="O136" s="18">
        <f>IF(SUMIFS('Monthly NSE Equity Futures'!$I:$I,'Monthly NSE Equity Futures'!$A:$A,$A136)=0,"",SUMIFS('Monthly NSE Equity Futures'!$I:$I,'Monthly NSE Equity Futures'!$A:$A,$A136))</f>
        <v>38118851</v>
      </c>
      <c r="P136" s="7">
        <f>IF(SUMIFS('Monthly BSE Equity Futures'!$I:$I,'Monthly BSE Equity Futures'!$A:$A,$A136)=0,"",SUMIFS('Monthly BSE Equity Futures'!$I:$I,'Monthly BSE Equity Futures'!$A:$A,$A136))</f>
        <v>104248</v>
      </c>
      <c r="Q136" s="7">
        <f t="shared" si="27"/>
        <v>38223099</v>
      </c>
      <c r="R136" s="19">
        <f t="shared" si="28"/>
        <v>0.99727264395804227</v>
      </c>
      <c r="S136" s="19">
        <f t="shared" si="29"/>
        <v>2.7273560419577699E-3</v>
      </c>
    </row>
    <row r="137" spans="1:19" x14ac:dyDescent="0.2">
      <c r="A137" s="8">
        <v>42095</v>
      </c>
      <c r="B137" s="4" t="s">
        <v>86</v>
      </c>
      <c r="C137" s="4" t="s">
        <v>153</v>
      </c>
      <c r="D137" s="14">
        <f>IF(SUMIFS('Monthly NSE Equity Futures'!$H:$H,'Monthly NSE Equity Futures'!$A:$A,$A137)=0,"",SUMIFS('Monthly NSE Equity Futures'!$H:$H,'Monthly NSE Equity Futures'!$A:$A,$A137))</f>
        <v>10618.708699999999</v>
      </c>
      <c r="E137" s="6">
        <f>IF(SUMIFS('Monthly BSE Equity Futures'!$H:$H,'Monthly BSE Equity Futures'!$A:$A,$A137)=0,"",SUMIFS('Monthly BSE Equity Futures'!$H:$H,'Monthly BSE Equity Futures'!$A:$A,$A137))</f>
        <v>29.2547</v>
      </c>
      <c r="F137" s="6">
        <f t="shared" si="24"/>
        <v>10647.963399999999</v>
      </c>
      <c r="G137" s="15">
        <f t="shared" si="25"/>
        <v>0.99725255441805905</v>
      </c>
      <c r="H137" s="15">
        <f t="shared" si="26"/>
        <v>2.7474455819410503E-3</v>
      </c>
      <c r="I137" s="20">
        <f t="shared" si="21"/>
        <v>0.39659604734983711</v>
      </c>
      <c r="J137" s="15">
        <f t="shared" si="22"/>
        <v>-0.58368506886236915</v>
      </c>
      <c r="K137" s="15">
        <f t="shared" si="23"/>
        <v>0.38761911355985168</v>
      </c>
      <c r="L137" s="15">
        <f t="shared" si="30"/>
        <v>-6.682614982866486E-2</v>
      </c>
      <c r="M137" s="15">
        <f t="shared" si="31"/>
        <v>-0.27468525157560153</v>
      </c>
      <c r="N137" s="15">
        <f t="shared" si="32"/>
        <v>-6.7560312648942578E-2</v>
      </c>
      <c r="O137" s="18">
        <f>IF(SUMIFS('Monthly NSE Equity Futures'!$I:$I,'Monthly NSE Equity Futures'!$A:$A,$A137)=0,"",SUMIFS('Monthly NSE Equity Futures'!$I:$I,'Monthly NSE Equity Futures'!$A:$A,$A137))</f>
        <v>36383918</v>
      </c>
      <c r="P137" s="7">
        <f>IF(SUMIFS('Monthly BSE Equity Futures'!$I:$I,'Monthly BSE Equity Futures'!$A:$A,$A137)=0,"",SUMIFS('Monthly BSE Equity Futures'!$I:$I,'Monthly BSE Equity Futures'!$A:$A,$A137))</f>
        <v>72498</v>
      </c>
      <c r="Q137" s="7">
        <f t="shared" si="27"/>
        <v>36456416</v>
      </c>
      <c r="R137" s="19">
        <f t="shared" si="28"/>
        <v>0.9980113788475532</v>
      </c>
      <c r="S137" s="19">
        <f t="shared" si="29"/>
        <v>1.9886211524468012E-3</v>
      </c>
    </row>
    <row r="138" spans="1:19" x14ac:dyDescent="0.2">
      <c r="A138" s="8">
        <v>42125</v>
      </c>
      <c r="B138" s="4" t="s">
        <v>86</v>
      </c>
      <c r="C138" s="4" t="s">
        <v>153</v>
      </c>
      <c r="D138" s="14">
        <f>IF(SUMIFS('Monthly NSE Equity Futures'!$H:$H,'Monthly NSE Equity Futures'!$A:$A,$A138)=0,"",SUMIFS('Monthly NSE Equity Futures'!$H:$H,'Monthly NSE Equity Futures'!$A:$A,$A138))</f>
        <v>10051.523999999999</v>
      </c>
      <c r="E138" s="6">
        <f>IF(SUMIFS('Monthly BSE Equity Futures'!$H:$H,'Monthly BSE Equity Futures'!$A:$A,$A138)=0,"",SUMIFS('Monthly BSE Equity Futures'!$H:$H,'Monthly BSE Equity Futures'!$A:$A,$A138))</f>
        <v>24.877199999999998</v>
      </c>
      <c r="F138" s="6">
        <f t="shared" si="24"/>
        <v>10076.4012</v>
      </c>
      <c r="G138" s="15">
        <f t="shared" si="25"/>
        <v>0.99753114236856699</v>
      </c>
      <c r="H138" s="15">
        <f t="shared" si="26"/>
        <v>2.4688576314329364E-3</v>
      </c>
      <c r="I138" s="20">
        <f t="shared" si="21"/>
        <v>-0.15655491580925229</v>
      </c>
      <c r="J138" s="15">
        <f t="shared" si="22"/>
        <v>-0.54969400001086077</v>
      </c>
      <c r="K138" s="15">
        <f t="shared" si="23"/>
        <v>-0.15836899508055524</v>
      </c>
      <c r="L138" s="15">
        <f t="shared" si="30"/>
        <v>-5.3413716867475647E-2</v>
      </c>
      <c r="M138" s="15">
        <f t="shared" si="31"/>
        <v>-0.14963407589207889</v>
      </c>
      <c r="N138" s="15">
        <f t="shared" si="32"/>
        <v>-5.3678077067770391E-2</v>
      </c>
      <c r="O138" s="18">
        <f>IF(SUMIFS('Monthly NSE Equity Futures'!$I:$I,'Monthly NSE Equity Futures'!$A:$A,$A138)=0,"",SUMIFS('Monthly NSE Equity Futures'!$I:$I,'Monthly NSE Equity Futures'!$A:$A,$A138))</f>
        <v>38567024</v>
      </c>
      <c r="P138" s="7">
        <f>IF(SUMIFS('Monthly BSE Equity Futures'!$I:$I,'Monthly BSE Equity Futures'!$A:$A,$A138)=0,"",SUMIFS('Monthly BSE Equity Futures'!$I:$I,'Monthly BSE Equity Futures'!$A:$A,$A138))</f>
        <v>64798</v>
      </c>
      <c r="Q138" s="7">
        <f t="shared" si="27"/>
        <v>38631822</v>
      </c>
      <c r="R138" s="19">
        <f t="shared" si="28"/>
        <v>0.99832267812789155</v>
      </c>
      <c r="S138" s="19">
        <f t="shared" si="29"/>
        <v>1.6773218721084396E-3</v>
      </c>
    </row>
    <row r="139" spans="1:19" x14ac:dyDescent="0.2">
      <c r="A139" s="8">
        <v>42156</v>
      </c>
      <c r="B139" s="4" t="s">
        <v>86</v>
      </c>
      <c r="C139" s="4" t="s">
        <v>153</v>
      </c>
      <c r="D139" s="14">
        <f>IF(SUMIFS('Monthly NSE Equity Futures'!$H:$H,'Monthly NSE Equity Futures'!$A:$A,$A139)=0,"",SUMIFS('Monthly NSE Equity Futures'!$H:$H,'Monthly NSE Equity Futures'!$A:$A,$A139))</f>
        <v>10161.584699999999</v>
      </c>
      <c r="E139" s="6">
        <f>IF(SUMIFS('Monthly BSE Equity Futures'!$H:$H,'Monthly BSE Equity Futures'!$A:$A,$A139)=0,"",SUMIFS('Monthly BSE Equity Futures'!$H:$H,'Monthly BSE Equity Futures'!$A:$A,$A139))</f>
        <v>22.991199999999999</v>
      </c>
      <c r="F139" s="6">
        <f t="shared" si="24"/>
        <v>10184.5759</v>
      </c>
      <c r="G139" s="15">
        <f t="shared" si="25"/>
        <v>0.99774254713934618</v>
      </c>
      <c r="H139" s="15">
        <f t="shared" si="26"/>
        <v>2.2574528606537263E-3</v>
      </c>
      <c r="I139" s="20">
        <f t="shared" si="21"/>
        <v>-0.13469861479955247</v>
      </c>
      <c r="J139" s="15">
        <f t="shared" si="22"/>
        <v>-0.59111708664344031</v>
      </c>
      <c r="K139" s="15">
        <f t="shared" si="23"/>
        <v>-0.13687360516864833</v>
      </c>
      <c r="L139" s="15">
        <f t="shared" si="30"/>
        <v>1.0949653007842342E-2</v>
      </c>
      <c r="M139" s="15">
        <f t="shared" si="31"/>
        <v>-7.5812390461949097E-2</v>
      </c>
      <c r="N139" s="15">
        <f t="shared" si="32"/>
        <v>1.0735449874703207E-2</v>
      </c>
      <c r="O139" s="18">
        <f>IF(SUMIFS('Monthly NSE Equity Futures'!$I:$I,'Monthly NSE Equity Futures'!$A:$A,$A139)=0,"",SUMIFS('Monthly NSE Equity Futures'!$I:$I,'Monthly NSE Equity Futures'!$A:$A,$A139))</f>
        <v>39543028</v>
      </c>
      <c r="P139" s="7">
        <f>IF(SUMIFS('Monthly BSE Equity Futures'!$I:$I,'Monthly BSE Equity Futures'!$A:$A,$A139)=0,"",SUMIFS('Monthly BSE Equity Futures'!$I:$I,'Monthly BSE Equity Futures'!$A:$A,$A139))</f>
        <v>60830</v>
      </c>
      <c r="Q139" s="7">
        <f t="shared" si="27"/>
        <v>39603858</v>
      </c>
      <c r="R139" s="19">
        <f t="shared" si="28"/>
        <v>0.99846403852877164</v>
      </c>
      <c r="S139" s="19">
        <f t="shared" si="29"/>
        <v>1.5359614712283838E-3</v>
      </c>
    </row>
    <row r="140" spans="1:19" x14ac:dyDescent="0.2">
      <c r="A140" s="8">
        <v>42186</v>
      </c>
      <c r="B140" s="4" t="s">
        <v>86</v>
      </c>
      <c r="C140" s="4" t="s">
        <v>154</v>
      </c>
      <c r="D140" s="14">
        <f>IF(SUMIFS('Monthly NSE Equity Futures'!$H:$H,'Monthly NSE Equity Futures'!$A:$A,$A140)=0,"",SUMIFS('Monthly NSE Equity Futures'!$H:$H,'Monthly NSE Equity Futures'!$A:$A,$A140))</f>
        <v>11116.164500000001</v>
      </c>
      <c r="E140" s="6">
        <f>IF(SUMIFS('Monthly BSE Equity Futures'!$H:$H,'Monthly BSE Equity Futures'!$A:$A,$A140)=0,"",SUMIFS('Monthly BSE Equity Futures'!$H:$H,'Monthly BSE Equity Futures'!$A:$A,$A140))</f>
        <v>12.9612</v>
      </c>
      <c r="F140" s="6">
        <f t="shared" si="24"/>
        <v>11129.125700000001</v>
      </c>
      <c r="G140" s="15">
        <f t="shared" si="25"/>
        <v>0.9988353802132004</v>
      </c>
      <c r="H140" s="15">
        <f t="shared" si="26"/>
        <v>1.1646197867996044E-3</v>
      </c>
      <c r="I140" s="20">
        <f t="shared" si="21"/>
        <v>-5.0565098860752111E-2</v>
      </c>
      <c r="J140" s="15">
        <f t="shared" si="22"/>
        <v>-0.76676282010908592</v>
      </c>
      <c r="K140" s="15">
        <f t="shared" si="23"/>
        <v>-5.3948349444563726E-2</v>
      </c>
      <c r="L140" s="15">
        <f t="shared" si="30"/>
        <v>9.394005248020032E-2</v>
      </c>
      <c r="M140" s="15">
        <f t="shared" si="31"/>
        <v>-0.43625387104631341</v>
      </c>
      <c r="N140" s="15">
        <f t="shared" si="32"/>
        <v>9.2743164690834101E-2</v>
      </c>
      <c r="O140" s="18">
        <f>IF(SUMIFS('Monthly NSE Equity Futures'!$I:$I,'Monthly NSE Equity Futures'!$A:$A,$A140)=0,"",SUMIFS('Monthly NSE Equity Futures'!$I:$I,'Monthly NSE Equity Futures'!$A:$A,$A140))</f>
        <v>40630501</v>
      </c>
      <c r="P140" s="7">
        <f>IF(SUMIFS('Monthly BSE Equity Futures'!$I:$I,'Monthly BSE Equity Futures'!$A:$A,$A140)=0,"",SUMIFS('Monthly BSE Equity Futures'!$I:$I,'Monthly BSE Equity Futures'!$A:$A,$A140))</f>
        <v>33188</v>
      </c>
      <c r="Q140" s="7">
        <f t="shared" si="27"/>
        <v>40663689</v>
      </c>
      <c r="R140" s="19">
        <f t="shared" si="28"/>
        <v>0.9991838418791763</v>
      </c>
      <c r="S140" s="19">
        <f t="shared" si="29"/>
        <v>8.1615812082371571E-4</v>
      </c>
    </row>
    <row r="141" spans="1:19" x14ac:dyDescent="0.2">
      <c r="A141" s="8">
        <v>42217</v>
      </c>
      <c r="B141" s="4" t="s">
        <v>86</v>
      </c>
      <c r="C141" s="4" t="s">
        <v>154</v>
      </c>
      <c r="D141" s="14">
        <f>IF(SUMIFS('Monthly NSE Equity Futures'!$H:$H,'Monthly NSE Equity Futures'!$A:$A,$A141)=0,"",SUMIFS('Monthly NSE Equity Futures'!$H:$H,'Monthly NSE Equity Futures'!$A:$A,$A141))</f>
        <v>11700.463599999999</v>
      </c>
      <c r="E141" s="6">
        <f>IF(SUMIFS('Monthly BSE Equity Futures'!$H:$H,'Monthly BSE Equity Futures'!$A:$A,$A141)=0,"",SUMIFS('Monthly BSE Equity Futures'!$H:$H,'Monthly BSE Equity Futures'!$A:$A,$A141))</f>
        <v>9.6189999999999998</v>
      </c>
      <c r="F141" s="6">
        <f t="shared" si="24"/>
        <v>11710.0826</v>
      </c>
      <c r="G141" s="15">
        <f t="shared" si="25"/>
        <v>0.99917857112297392</v>
      </c>
      <c r="H141" s="15">
        <f t="shared" si="26"/>
        <v>8.2142887702602539E-4</v>
      </c>
      <c r="I141" s="20">
        <f t="shared" si="21"/>
        <v>0.30673299663471498</v>
      </c>
      <c r="J141" s="15">
        <f t="shared" si="22"/>
        <v>-0.73268452104702964</v>
      </c>
      <c r="K141" s="15">
        <f t="shared" si="23"/>
        <v>0.30257257046678787</v>
      </c>
      <c r="L141" s="15">
        <f t="shared" si="30"/>
        <v>5.2563013078836596E-2</v>
      </c>
      <c r="M141" s="15">
        <f t="shared" si="31"/>
        <v>-0.25786192636484273</v>
      </c>
      <c r="N141" s="15">
        <f t="shared" si="32"/>
        <v>5.2201486052044332E-2</v>
      </c>
      <c r="O141" s="18">
        <f>IF(SUMIFS('Monthly NSE Equity Futures'!$I:$I,'Monthly NSE Equity Futures'!$A:$A,$A141)=0,"",SUMIFS('Monthly NSE Equity Futures'!$I:$I,'Monthly NSE Equity Futures'!$A:$A,$A141))</f>
        <v>44254154</v>
      </c>
      <c r="P141" s="7">
        <f>IF(SUMIFS('Monthly BSE Equity Futures'!$I:$I,'Monthly BSE Equity Futures'!$A:$A,$A141)=0,"",SUMIFS('Monthly BSE Equity Futures'!$I:$I,'Monthly BSE Equity Futures'!$A:$A,$A141))</f>
        <v>25132</v>
      </c>
      <c r="Q141" s="7">
        <f t="shared" si="27"/>
        <v>44279286</v>
      </c>
      <c r="R141" s="19">
        <f t="shared" si="28"/>
        <v>0.9994324208389449</v>
      </c>
      <c r="S141" s="19">
        <f t="shared" si="29"/>
        <v>5.6757916105512629E-4</v>
      </c>
    </row>
    <row r="142" spans="1:19" x14ac:dyDescent="0.2">
      <c r="A142" s="8">
        <v>42248</v>
      </c>
      <c r="B142" s="4" t="s">
        <v>86</v>
      </c>
      <c r="C142" s="4" t="s">
        <v>154</v>
      </c>
      <c r="D142" s="14">
        <f>IF(SUMIFS('Monthly NSE Equity Futures'!$H:$H,'Monthly NSE Equity Futures'!$A:$A,$A142)=0,"",SUMIFS('Monthly NSE Equity Futures'!$H:$H,'Monthly NSE Equity Futures'!$A:$A,$A142))</f>
        <v>10285.4112</v>
      </c>
      <c r="E142" s="6">
        <f>IF(SUMIFS('Monthly BSE Equity Futures'!$H:$H,'Monthly BSE Equity Futures'!$A:$A,$A142)=0,"",SUMIFS('Monthly BSE Equity Futures'!$H:$H,'Monthly BSE Equity Futures'!$A:$A,$A142))</f>
        <v>8.9138999999999999</v>
      </c>
      <c r="F142" s="6">
        <f t="shared" si="24"/>
        <v>10294.3251</v>
      </c>
      <c r="G142" s="15">
        <f t="shared" si="25"/>
        <v>0.99913409573591183</v>
      </c>
      <c r="H142" s="15">
        <f t="shared" si="26"/>
        <v>8.659042640881819E-4</v>
      </c>
      <c r="I142" s="20">
        <f t="shared" ref="I142:I205" si="33">IF(OR(D142="",D130=""),"",D142/D130-1)</f>
        <v>-3.5912207723302725E-2</v>
      </c>
      <c r="J142" s="15">
        <f t="shared" ref="J142:J205" si="34">IF(OR(E142="",E130=""),"",E142/E130-1)</f>
        <v>-0.78708651110797945</v>
      </c>
      <c r="K142" s="15">
        <f t="shared" ref="K142:K205" si="35">IF(OR(F142="",F130=""),"",F142/F130-1)</f>
        <v>-3.8848499932084724E-2</v>
      </c>
      <c r="L142" s="15">
        <f t="shared" si="30"/>
        <v>-0.12093985746000691</v>
      </c>
      <c r="M142" s="15">
        <f t="shared" si="31"/>
        <v>-7.330283813286198E-2</v>
      </c>
      <c r="N142" s="15">
        <f t="shared" si="32"/>
        <v>-0.12090072703671617</v>
      </c>
      <c r="O142" s="18">
        <f>IF(SUMIFS('Monthly NSE Equity Futures'!$I:$I,'Monthly NSE Equity Futures'!$A:$A,$A142)=0,"",SUMIFS('Monthly NSE Equity Futures'!$I:$I,'Monthly NSE Equity Futures'!$A:$A,$A142))</f>
        <v>40946831</v>
      </c>
      <c r="P142" s="7">
        <f>IF(SUMIFS('Monthly BSE Equity Futures'!$I:$I,'Monthly BSE Equity Futures'!$A:$A,$A142)=0,"",SUMIFS('Monthly BSE Equity Futures'!$I:$I,'Monthly BSE Equity Futures'!$A:$A,$A142))</f>
        <v>25489</v>
      </c>
      <c r="Q142" s="7">
        <f t="shared" si="27"/>
        <v>40972320</v>
      </c>
      <c r="R142" s="19">
        <f t="shared" si="28"/>
        <v>0.99937789707783209</v>
      </c>
      <c r="S142" s="19">
        <f t="shared" si="29"/>
        <v>6.2210292216794165E-4</v>
      </c>
    </row>
    <row r="143" spans="1:19" x14ac:dyDescent="0.2">
      <c r="A143" s="8">
        <v>42278</v>
      </c>
      <c r="B143" s="4" t="s">
        <v>86</v>
      </c>
      <c r="C143" s="4" t="s">
        <v>155</v>
      </c>
      <c r="D143" s="14">
        <f>IF(SUMIFS('Monthly NSE Equity Futures'!$H:$H,'Monthly NSE Equity Futures'!$A:$A,$A143)=0,"",SUMIFS('Monthly NSE Equity Futures'!$H:$H,'Monthly NSE Equity Futures'!$A:$A,$A143))</f>
        <v>9632.5328000000009</v>
      </c>
      <c r="E143" s="6">
        <f>IF(SUMIFS('Monthly BSE Equity Futures'!$H:$H,'Monthly BSE Equity Futures'!$A:$A,$A143)=0,"",SUMIFS('Monthly BSE Equity Futures'!$H:$H,'Monthly BSE Equity Futures'!$A:$A,$A143))</f>
        <v>10.095599999999999</v>
      </c>
      <c r="F143" s="6">
        <f t="shared" si="24"/>
        <v>9642.6284000000014</v>
      </c>
      <c r="G143" s="15">
        <f t="shared" si="25"/>
        <v>0.99895302405306829</v>
      </c>
      <c r="H143" s="15">
        <f t="shared" si="26"/>
        <v>1.0469759469316476E-3</v>
      </c>
      <c r="I143" s="20">
        <f t="shared" si="33"/>
        <v>0.15591491256800993</v>
      </c>
      <c r="J143" s="15">
        <f t="shared" si="34"/>
        <v>-0.71751235372794375</v>
      </c>
      <c r="K143" s="15">
        <f t="shared" si="35"/>
        <v>0.15218510653683981</v>
      </c>
      <c r="L143" s="15">
        <f t="shared" si="30"/>
        <v>-6.3476159319716841E-2</v>
      </c>
      <c r="M143" s="15">
        <f t="shared" si="31"/>
        <v>0.13256823612560154</v>
      </c>
      <c r="N143" s="15">
        <f t="shared" si="32"/>
        <v>-6.3306403641749998E-2</v>
      </c>
      <c r="O143" s="18">
        <f>IF(SUMIFS('Monthly NSE Equity Futures'!$I:$I,'Monthly NSE Equity Futures'!$A:$A,$A143)=0,"",SUMIFS('Monthly NSE Equity Futures'!$I:$I,'Monthly NSE Equity Futures'!$A:$A,$A143))</f>
        <v>32220385</v>
      </c>
      <c r="P143" s="7">
        <f>IF(SUMIFS('Monthly BSE Equity Futures'!$I:$I,'Monthly BSE Equity Futures'!$A:$A,$A143)=0,"",SUMIFS('Monthly BSE Equity Futures'!$I:$I,'Monthly BSE Equity Futures'!$A:$A,$A143))</f>
        <v>24678</v>
      </c>
      <c r="Q143" s="7">
        <f t="shared" si="27"/>
        <v>32245063</v>
      </c>
      <c r="R143" s="19">
        <f t="shared" si="28"/>
        <v>0.9992346735374652</v>
      </c>
      <c r="S143" s="19">
        <f t="shared" si="29"/>
        <v>7.6532646253474519E-4</v>
      </c>
    </row>
    <row r="144" spans="1:19" x14ac:dyDescent="0.2">
      <c r="A144" s="8">
        <v>42309</v>
      </c>
      <c r="B144" s="4" t="s">
        <v>86</v>
      </c>
      <c r="C144" s="4" t="s">
        <v>155</v>
      </c>
      <c r="D144" s="14">
        <f>IF(SUMIFS('Monthly NSE Equity Futures'!$H:$H,'Monthly NSE Equity Futures'!$A:$A,$A144)=0,"",SUMIFS('Monthly NSE Equity Futures'!$H:$H,'Monthly NSE Equity Futures'!$A:$A,$A144))</f>
        <v>8870.7039999999997</v>
      </c>
      <c r="E144" s="6">
        <f>IF(SUMIFS('Monthly BSE Equity Futures'!$H:$H,'Monthly BSE Equity Futures'!$A:$A,$A144)=0,"",SUMIFS('Monthly BSE Equity Futures'!$H:$H,'Monthly BSE Equity Futures'!$A:$A,$A144))</f>
        <v>4.2176</v>
      </c>
      <c r="F144" s="6">
        <f t="shared" si="24"/>
        <v>8874.9215999999997</v>
      </c>
      <c r="G144" s="15">
        <f t="shared" si="25"/>
        <v>0.9995247732667295</v>
      </c>
      <c r="H144" s="15">
        <f t="shared" si="26"/>
        <v>4.7522673327052268E-4</v>
      </c>
      <c r="I144" s="20">
        <f t="shared" si="33"/>
        <v>-3.6040946936805041E-3</v>
      </c>
      <c r="J144" s="15">
        <f t="shared" si="34"/>
        <v>-0.8991410150944118</v>
      </c>
      <c r="K144" s="15">
        <f t="shared" si="35"/>
        <v>-7.7908059753500902E-3</v>
      </c>
      <c r="L144" s="15">
        <f t="shared" si="30"/>
        <v>-7.908914672992351E-2</v>
      </c>
      <c r="M144" s="15">
        <f t="shared" si="31"/>
        <v>-0.58223384444708581</v>
      </c>
      <c r="N144" s="15">
        <f t="shared" si="32"/>
        <v>-7.9615927126259645E-2</v>
      </c>
      <c r="O144" s="18">
        <f>IF(SUMIFS('Monthly NSE Equity Futures'!$I:$I,'Monthly NSE Equity Futures'!$A:$A,$A144)=0,"",SUMIFS('Monthly NSE Equity Futures'!$I:$I,'Monthly NSE Equity Futures'!$A:$A,$A144))</f>
        <v>17016802</v>
      </c>
      <c r="P144" s="7">
        <f>IF(SUMIFS('Monthly BSE Equity Futures'!$I:$I,'Monthly BSE Equity Futures'!$A:$A,$A144)=0,"",SUMIFS('Monthly BSE Equity Futures'!$I:$I,'Monthly BSE Equity Futures'!$A:$A,$A144))</f>
        <v>8122</v>
      </c>
      <c r="Q144" s="7">
        <f t="shared" si="27"/>
        <v>17024924</v>
      </c>
      <c r="R144" s="19">
        <f t="shared" si="28"/>
        <v>0.99952293472793186</v>
      </c>
      <c r="S144" s="19">
        <f t="shared" si="29"/>
        <v>4.7706527206817489E-4</v>
      </c>
    </row>
    <row r="145" spans="1:19" x14ac:dyDescent="0.2">
      <c r="A145" s="8">
        <v>42339</v>
      </c>
      <c r="B145" s="4" t="s">
        <v>86</v>
      </c>
      <c r="C145" s="4" t="s">
        <v>155</v>
      </c>
      <c r="D145" s="14">
        <f>IF(SUMIFS('Monthly NSE Equity Futures'!$H:$H,'Monthly NSE Equity Futures'!$A:$A,$A145)=0,"",SUMIFS('Monthly NSE Equity Futures'!$H:$H,'Monthly NSE Equity Futures'!$A:$A,$A145))</f>
        <v>9308.7806</v>
      </c>
      <c r="E145" s="6">
        <f>IF(SUMIFS('Monthly BSE Equity Futures'!$H:$H,'Monthly BSE Equity Futures'!$A:$A,$A145)=0,"",SUMIFS('Monthly BSE Equity Futures'!$H:$H,'Monthly BSE Equity Futures'!$A:$A,$A145))</f>
        <v>4.0812999999999997</v>
      </c>
      <c r="F145" s="6">
        <f t="shared" si="24"/>
        <v>9312.8618999999999</v>
      </c>
      <c r="G145" s="15">
        <f t="shared" si="25"/>
        <v>0.99956175662821756</v>
      </c>
      <c r="H145" s="15">
        <f t="shared" si="26"/>
        <v>4.3824337178241627E-4</v>
      </c>
      <c r="I145" s="20">
        <f t="shared" si="33"/>
        <v>-5.9353599922652656E-2</v>
      </c>
      <c r="J145" s="15">
        <f t="shared" si="34"/>
        <v>-0.93906825018848483</v>
      </c>
      <c r="K145" s="15">
        <f t="shared" si="35"/>
        <v>-6.5267863896325551E-2</v>
      </c>
      <c r="L145" s="15">
        <f t="shared" si="30"/>
        <v>4.9384648614134941E-2</v>
      </c>
      <c r="M145" s="15">
        <f t="shared" si="31"/>
        <v>-3.2316957511380973E-2</v>
      </c>
      <c r="N145" s="15">
        <f t="shared" si="32"/>
        <v>4.9345821826752845E-2</v>
      </c>
      <c r="O145" s="18">
        <f>IF(SUMIFS('Monthly NSE Equity Futures'!$I:$I,'Monthly NSE Equity Futures'!$A:$A,$A145)=0,"",SUMIFS('Monthly NSE Equity Futures'!$I:$I,'Monthly NSE Equity Futures'!$A:$A,$A145))</f>
        <v>17826347</v>
      </c>
      <c r="P145" s="7">
        <f>IF(SUMIFS('Monthly BSE Equity Futures'!$I:$I,'Monthly BSE Equity Futures'!$A:$A,$A145)=0,"",SUMIFS('Monthly BSE Equity Futures'!$I:$I,'Monthly BSE Equity Futures'!$A:$A,$A145))</f>
        <v>7904</v>
      </c>
      <c r="Q145" s="7">
        <f t="shared" si="27"/>
        <v>17834251</v>
      </c>
      <c r="R145" s="19">
        <f t="shared" si="28"/>
        <v>0.99955680785248568</v>
      </c>
      <c r="S145" s="19">
        <f t="shared" si="29"/>
        <v>4.4319214751435313E-4</v>
      </c>
    </row>
    <row r="146" spans="1:19" x14ac:dyDescent="0.2">
      <c r="A146" s="8">
        <v>42370</v>
      </c>
      <c r="B146" s="4" t="s">
        <v>86</v>
      </c>
      <c r="C146" s="4" t="s">
        <v>156</v>
      </c>
      <c r="D146" s="14">
        <f>IF(SUMIFS('Monthly NSE Equity Futures'!$H:$H,'Monthly NSE Equity Futures'!$A:$A,$A146)=0,"",SUMIFS('Monthly NSE Equity Futures'!$H:$H,'Monthly NSE Equity Futures'!$A:$A,$A146))</f>
        <v>10780.450699999999</v>
      </c>
      <c r="E146" s="6">
        <f>IF(SUMIFS('Monthly BSE Equity Futures'!$H:$H,'Monthly BSE Equity Futures'!$A:$A,$A146)=0,"",SUMIFS('Monthly BSE Equity Futures'!$H:$H,'Monthly BSE Equity Futures'!$A:$A,$A146))</f>
        <v>3.8605999999999998</v>
      </c>
      <c r="F146" s="6">
        <f t="shared" si="24"/>
        <v>10784.311299999999</v>
      </c>
      <c r="G146" s="15">
        <f t="shared" si="25"/>
        <v>0.99964201701039546</v>
      </c>
      <c r="H146" s="15">
        <f t="shared" si="26"/>
        <v>3.5798298960453787E-4</v>
      </c>
      <c r="I146" s="20">
        <f t="shared" si="33"/>
        <v>-4.0334223550814174E-2</v>
      </c>
      <c r="J146" s="15">
        <f t="shared" si="34"/>
        <v>-0.91985567960540249</v>
      </c>
      <c r="K146" s="15">
        <f t="shared" si="35"/>
        <v>-4.4089598164648303E-2</v>
      </c>
      <c r="L146" s="15">
        <f t="shared" si="30"/>
        <v>0.15809483145407888</v>
      </c>
      <c r="M146" s="15">
        <f t="shared" si="31"/>
        <v>-5.4075907186435623E-2</v>
      </c>
      <c r="N146" s="15">
        <f t="shared" si="32"/>
        <v>0.15800184903418346</v>
      </c>
      <c r="O146" s="18">
        <f>IF(SUMIFS('Monthly NSE Equity Futures'!$I:$I,'Monthly NSE Equity Futures'!$A:$A,$A146)=0,"",SUMIFS('Monthly NSE Equity Futures'!$I:$I,'Monthly NSE Equity Futures'!$A:$A,$A146))</f>
        <v>21756458</v>
      </c>
      <c r="P146" s="7">
        <f>IF(SUMIFS('Monthly BSE Equity Futures'!$I:$I,'Monthly BSE Equity Futures'!$A:$A,$A146)=0,"",SUMIFS('Monthly BSE Equity Futures'!$I:$I,'Monthly BSE Equity Futures'!$A:$A,$A146))</f>
        <v>7865</v>
      </c>
      <c r="Q146" s="7">
        <f t="shared" si="27"/>
        <v>21764323</v>
      </c>
      <c r="R146" s="19">
        <f t="shared" si="28"/>
        <v>0.99963862877793164</v>
      </c>
      <c r="S146" s="19">
        <f t="shared" si="29"/>
        <v>3.6137122206833636E-4</v>
      </c>
    </row>
    <row r="147" spans="1:19" x14ac:dyDescent="0.2">
      <c r="A147" s="8">
        <v>42401</v>
      </c>
      <c r="B147" s="4" t="s">
        <v>86</v>
      </c>
      <c r="C147" s="4" t="s">
        <v>156</v>
      </c>
      <c r="D147" s="14">
        <f>IF(SUMIFS('Monthly NSE Equity Futures'!$H:$H,'Monthly NSE Equity Futures'!$A:$A,$A147)=0,"",SUMIFS('Monthly NSE Equity Futures'!$H:$H,'Monthly NSE Equity Futures'!$A:$A,$A147))</f>
        <v>11068.4391</v>
      </c>
      <c r="E147" s="6">
        <f>IF(SUMIFS('Monthly BSE Equity Futures'!$H:$H,'Monthly BSE Equity Futures'!$A:$A,$A147)=0,"",SUMIFS('Monthly BSE Equity Futures'!$H:$H,'Monthly BSE Equity Futures'!$A:$A,$A147))</f>
        <v>6.9353999999999996</v>
      </c>
      <c r="F147" s="6">
        <f t="shared" si="24"/>
        <v>11075.3745</v>
      </c>
      <c r="G147" s="15">
        <f t="shared" si="25"/>
        <v>0.99937379995592923</v>
      </c>
      <c r="H147" s="15">
        <f t="shared" si="26"/>
        <v>6.2620004407074449E-4</v>
      </c>
      <c r="I147" s="20">
        <f t="shared" si="33"/>
        <v>-4.9945143976268924E-2</v>
      </c>
      <c r="J147" s="15">
        <f t="shared" si="34"/>
        <v>-0.80766681549558639</v>
      </c>
      <c r="K147" s="15">
        <f t="shared" si="35"/>
        <v>-5.2283158359344606E-2</v>
      </c>
      <c r="L147" s="15">
        <f t="shared" si="30"/>
        <v>2.6713948054138514E-2</v>
      </c>
      <c r="M147" s="15">
        <f t="shared" si="31"/>
        <v>0.79645650935087797</v>
      </c>
      <c r="N147" s="15">
        <f t="shared" si="32"/>
        <v>2.6989502797457376E-2</v>
      </c>
      <c r="O147" s="18">
        <f>IF(SUMIFS('Monthly NSE Equity Futures'!$I:$I,'Monthly NSE Equity Futures'!$A:$A,$A147)=0,"",SUMIFS('Monthly NSE Equity Futures'!$I:$I,'Monthly NSE Equity Futures'!$A:$A,$A147))</f>
        <v>24498428</v>
      </c>
      <c r="P147" s="7">
        <f>IF(SUMIFS('Monthly BSE Equity Futures'!$I:$I,'Monthly BSE Equity Futures'!$A:$A,$A147)=0,"",SUMIFS('Monthly BSE Equity Futures'!$I:$I,'Monthly BSE Equity Futures'!$A:$A,$A147))</f>
        <v>14803</v>
      </c>
      <c r="Q147" s="7">
        <f t="shared" si="27"/>
        <v>24513231</v>
      </c>
      <c r="R147" s="19">
        <f t="shared" si="28"/>
        <v>0.99939612203711536</v>
      </c>
      <c r="S147" s="19">
        <f t="shared" si="29"/>
        <v>6.038779628846152E-4</v>
      </c>
    </row>
    <row r="148" spans="1:19" x14ac:dyDescent="0.2">
      <c r="A148" s="8">
        <v>42430</v>
      </c>
      <c r="B148" s="4" t="s">
        <v>86</v>
      </c>
      <c r="C148" s="4" t="s">
        <v>156</v>
      </c>
      <c r="D148" s="14">
        <f>IF(SUMIFS('Monthly NSE Equity Futures'!$H:$H,'Monthly NSE Equity Futures'!$A:$A,$A148)=0,"",SUMIFS('Monthly NSE Equity Futures'!$H:$H,'Monthly NSE Equity Futures'!$A:$A,$A148))</f>
        <v>10262.432500000001</v>
      </c>
      <c r="E148" s="6">
        <f>IF(SUMIFS('Monthly BSE Equity Futures'!$H:$H,'Monthly BSE Equity Futures'!$A:$A,$A148)=0,"",SUMIFS('Monthly BSE Equity Futures'!$H:$H,'Monthly BSE Equity Futures'!$A:$A,$A148))</f>
        <v>6.6597999999999997</v>
      </c>
      <c r="F148" s="6">
        <f t="shared" si="24"/>
        <v>10269.0923</v>
      </c>
      <c r="G148" s="15">
        <f t="shared" si="25"/>
        <v>0.99935147140512126</v>
      </c>
      <c r="H148" s="15">
        <f t="shared" si="26"/>
        <v>6.485285948788287E-4</v>
      </c>
      <c r="I148" s="20">
        <f t="shared" si="33"/>
        <v>-9.8135760316276355E-2</v>
      </c>
      <c r="J148" s="15">
        <f t="shared" si="34"/>
        <v>-0.83488290218129713</v>
      </c>
      <c r="K148" s="15">
        <f t="shared" si="35"/>
        <v>-0.10073796707536087</v>
      </c>
      <c r="L148" s="15">
        <f t="shared" si="30"/>
        <v>-7.2820258820414763E-2</v>
      </c>
      <c r="M148" s="15">
        <f t="shared" si="31"/>
        <v>-3.9738154973036899E-2</v>
      </c>
      <c r="N148" s="15">
        <f t="shared" si="32"/>
        <v>-7.2799542805527695E-2</v>
      </c>
      <c r="O148" s="18">
        <f>IF(SUMIFS('Monthly NSE Equity Futures'!$I:$I,'Monthly NSE Equity Futures'!$A:$A,$A148)=0,"",SUMIFS('Monthly NSE Equity Futures'!$I:$I,'Monthly NSE Equity Futures'!$A:$A,$A148))</f>
        <v>21138765</v>
      </c>
      <c r="P148" s="7">
        <f>IF(SUMIFS('Monthly BSE Equity Futures'!$I:$I,'Monthly BSE Equity Futures'!$A:$A,$A148)=0,"",SUMIFS('Monthly BSE Equity Futures'!$I:$I,'Monthly BSE Equity Futures'!$A:$A,$A148))</f>
        <v>13220</v>
      </c>
      <c r="Q148" s="7">
        <f t="shared" si="27"/>
        <v>21151985</v>
      </c>
      <c r="R148" s="19">
        <f t="shared" si="28"/>
        <v>0.99937499955677922</v>
      </c>
      <c r="S148" s="19">
        <f t="shared" si="29"/>
        <v>6.2500044322081358E-4</v>
      </c>
    </row>
    <row r="149" spans="1:19" x14ac:dyDescent="0.2">
      <c r="A149" s="8">
        <v>42461</v>
      </c>
      <c r="B149" s="4" t="s">
        <v>87</v>
      </c>
      <c r="C149" s="4" t="s">
        <v>157</v>
      </c>
      <c r="D149" s="14">
        <f>IF(SUMIFS('Monthly NSE Equity Futures'!$H:$H,'Monthly NSE Equity Futures'!$A:$A,$A149)=0,"",SUMIFS('Monthly NSE Equity Futures'!$H:$H,'Monthly NSE Equity Futures'!$A:$A,$A149))</f>
        <v>9810.4182000000001</v>
      </c>
      <c r="E149" s="6">
        <f>IF(SUMIFS('Monthly BSE Equity Futures'!$H:$H,'Monthly BSE Equity Futures'!$A:$A,$A149)=0,"",SUMIFS('Monthly BSE Equity Futures'!$H:$H,'Monthly BSE Equity Futures'!$A:$A,$A149))</f>
        <v>0.30509999999999998</v>
      </c>
      <c r="F149" s="6">
        <f t="shared" si="24"/>
        <v>9810.7232999999997</v>
      </c>
      <c r="G149" s="15">
        <f t="shared" si="25"/>
        <v>0.99996890137549799</v>
      </c>
      <c r="H149" s="15">
        <f t="shared" si="26"/>
        <v>3.1098624502028303E-5</v>
      </c>
      <c r="I149" s="20">
        <f t="shared" si="33"/>
        <v>-7.6119472040889424E-2</v>
      </c>
      <c r="J149" s="15">
        <f t="shared" si="34"/>
        <v>-0.98957090655518598</v>
      </c>
      <c r="K149" s="15">
        <f t="shared" si="35"/>
        <v>-7.8629130148963444E-2</v>
      </c>
      <c r="L149" s="15">
        <f t="shared" si="30"/>
        <v>-4.4045532089979744E-2</v>
      </c>
      <c r="M149" s="15">
        <f t="shared" si="31"/>
        <v>-0.95418781344785131</v>
      </c>
      <c r="N149" s="15">
        <f t="shared" si="32"/>
        <v>-4.4635785384848581E-2</v>
      </c>
      <c r="O149" s="18">
        <f>IF(SUMIFS('Monthly NSE Equity Futures'!$I:$I,'Monthly NSE Equity Futures'!$A:$A,$A149)=0,"",SUMIFS('Monthly NSE Equity Futures'!$I:$I,'Monthly NSE Equity Futures'!$A:$A,$A149))</f>
        <v>19188870</v>
      </c>
      <c r="P149" s="7">
        <f>IF(SUMIFS('Monthly BSE Equity Futures'!$I:$I,'Monthly BSE Equity Futures'!$A:$A,$A149)=0,"",SUMIFS('Monthly BSE Equity Futures'!$I:$I,'Monthly BSE Equity Futures'!$A:$A,$A149))</f>
        <v>580</v>
      </c>
      <c r="Q149" s="7">
        <f t="shared" si="27"/>
        <v>19189450</v>
      </c>
      <c r="R149" s="19">
        <f t="shared" si="28"/>
        <v>0.99996977505869111</v>
      </c>
      <c r="S149" s="19">
        <f t="shared" si="29"/>
        <v>3.0224941308896295E-5</v>
      </c>
    </row>
    <row r="150" spans="1:19" x14ac:dyDescent="0.2">
      <c r="A150" s="8">
        <v>42491</v>
      </c>
      <c r="B150" s="4" t="s">
        <v>87</v>
      </c>
      <c r="C150" s="4" t="s">
        <v>157</v>
      </c>
      <c r="D150" s="14">
        <f>IF(SUMIFS('Monthly NSE Equity Futures'!$H:$H,'Monthly NSE Equity Futures'!$A:$A,$A150)=0,"",SUMIFS('Monthly NSE Equity Futures'!$H:$H,'Monthly NSE Equity Futures'!$A:$A,$A150))</f>
        <v>11777.1484</v>
      </c>
      <c r="E150" s="6">
        <f>IF(SUMIFS('Monthly BSE Equity Futures'!$H:$H,'Monthly BSE Equity Futures'!$A:$A,$A150)=0,"",SUMIFS('Monthly BSE Equity Futures'!$H:$H,'Monthly BSE Equity Futures'!$A:$A,$A150))</f>
        <v>0.15629999999999999</v>
      </c>
      <c r="F150" s="6">
        <f t="shared" si="24"/>
        <v>11777.304700000001</v>
      </c>
      <c r="G150" s="15">
        <f t="shared" si="25"/>
        <v>0.99998672871221539</v>
      </c>
      <c r="H150" s="15">
        <f t="shared" si="26"/>
        <v>1.3271287784547171E-5</v>
      </c>
      <c r="I150" s="20">
        <f t="shared" si="33"/>
        <v>0.17167788685576446</v>
      </c>
      <c r="J150" s="15">
        <f t="shared" si="34"/>
        <v>-0.99371713858472821</v>
      </c>
      <c r="K150" s="15">
        <f t="shared" si="35"/>
        <v>0.16880069245357165</v>
      </c>
      <c r="L150" s="15">
        <f t="shared" si="30"/>
        <v>0.20047363526256201</v>
      </c>
      <c r="M150" s="15">
        <f t="shared" si="31"/>
        <v>-0.48770894788593899</v>
      </c>
      <c r="N150" s="15">
        <f t="shared" si="32"/>
        <v>0.20045223373081988</v>
      </c>
      <c r="O150" s="18">
        <f>IF(SUMIFS('Monthly NSE Equity Futures'!$I:$I,'Monthly NSE Equity Futures'!$A:$A,$A150)=0,"",SUMIFS('Monthly NSE Equity Futures'!$I:$I,'Monthly NSE Equity Futures'!$A:$A,$A150))</f>
        <v>22949932</v>
      </c>
      <c r="P150" s="7">
        <f>IF(SUMIFS('Monthly BSE Equity Futures'!$I:$I,'Monthly BSE Equity Futures'!$A:$A,$A150)=0,"",SUMIFS('Monthly BSE Equity Futures'!$I:$I,'Monthly BSE Equity Futures'!$A:$A,$A150))</f>
        <v>270</v>
      </c>
      <c r="Q150" s="7">
        <f t="shared" si="27"/>
        <v>22950202</v>
      </c>
      <c r="R150" s="19">
        <f t="shared" si="28"/>
        <v>0.99998823539766668</v>
      </c>
      <c r="S150" s="19">
        <f t="shared" si="29"/>
        <v>1.1764602333347654E-5</v>
      </c>
    </row>
    <row r="151" spans="1:19" x14ac:dyDescent="0.2">
      <c r="A151" s="8">
        <v>42522</v>
      </c>
      <c r="B151" s="4" t="s">
        <v>87</v>
      </c>
      <c r="C151" s="4" t="s">
        <v>157</v>
      </c>
      <c r="D151" s="14">
        <f>IF(SUMIFS('Monthly NSE Equity Futures'!$H:$H,'Monthly NSE Equity Futures'!$A:$A,$A151)=0,"",SUMIFS('Monthly NSE Equity Futures'!$H:$H,'Monthly NSE Equity Futures'!$A:$A,$A151))</f>
        <v>11818.034299999999</v>
      </c>
      <c r="E151" s="6">
        <f>IF(SUMIFS('Monthly BSE Equity Futures'!$H:$H,'Monthly BSE Equity Futures'!$A:$A,$A151)=0,"",SUMIFS('Monthly BSE Equity Futures'!$H:$H,'Monthly BSE Equity Futures'!$A:$A,$A151))</f>
        <v>0.2626</v>
      </c>
      <c r="F151" s="6">
        <f t="shared" si="24"/>
        <v>11818.296899999999</v>
      </c>
      <c r="G151" s="15">
        <f t="shared" si="25"/>
        <v>0.99997778021636941</v>
      </c>
      <c r="H151" s="15">
        <f t="shared" si="26"/>
        <v>2.2219783630583863E-5</v>
      </c>
      <c r="I151" s="20">
        <f t="shared" si="33"/>
        <v>0.16301095241571928</v>
      </c>
      <c r="J151" s="15">
        <f t="shared" si="34"/>
        <v>-0.98857823863043248</v>
      </c>
      <c r="K151" s="15">
        <f t="shared" si="35"/>
        <v>0.16041129410209409</v>
      </c>
      <c r="L151" s="15">
        <f t="shared" si="30"/>
        <v>3.4716298556618508E-3</v>
      </c>
      <c r="M151" s="15">
        <f t="shared" si="31"/>
        <v>0.68010236724248241</v>
      </c>
      <c r="N151" s="15">
        <f t="shared" si="32"/>
        <v>3.4806096169015532E-3</v>
      </c>
      <c r="O151" s="18">
        <f>IF(SUMIFS('Monthly NSE Equity Futures'!$I:$I,'Monthly NSE Equity Futures'!$A:$A,$A151)=0,"",SUMIFS('Monthly NSE Equity Futures'!$I:$I,'Monthly NSE Equity Futures'!$A:$A,$A151))</f>
        <v>21634814</v>
      </c>
      <c r="P151" s="7">
        <f>IF(SUMIFS('Monthly BSE Equity Futures'!$I:$I,'Monthly BSE Equity Futures'!$A:$A,$A151)=0,"",SUMIFS('Monthly BSE Equity Futures'!$I:$I,'Monthly BSE Equity Futures'!$A:$A,$A151))</f>
        <v>452</v>
      </c>
      <c r="Q151" s="7">
        <f t="shared" si="27"/>
        <v>21635266</v>
      </c>
      <c r="R151" s="19">
        <f t="shared" si="28"/>
        <v>0.99997910818383284</v>
      </c>
      <c r="S151" s="19">
        <f t="shared" si="29"/>
        <v>2.089181616717816E-5</v>
      </c>
    </row>
    <row r="152" spans="1:19" x14ac:dyDescent="0.2">
      <c r="A152" s="8">
        <v>42552</v>
      </c>
      <c r="B152" s="4" t="s">
        <v>87</v>
      </c>
      <c r="C152" s="4" t="s">
        <v>158</v>
      </c>
      <c r="D152" s="14">
        <f>IF(SUMIFS('Monthly NSE Equity Futures'!$H:$H,'Monthly NSE Equity Futures'!$A:$A,$A152)=0,"",SUMIFS('Monthly NSE Equity Futures'!$H:$H,'Monthly NSE Equity Futures'!$A:$A,$A152))</f>
        <v>12450.3215</v>
      </c>
      <c r="E152" s="6">
        <f>IF(SUMIFS('Monthly BSE Equity Futures'!$H:$H,'Monthly BSE Equity Futures'!$A:$A,$A152)=0,"",SUMIFS('Monthly BSE Equity Futures'!$H:$H,'Monthly BSE Equity Futures'!$A:$A,$A152))</f>
        <v>3.18</v>
      </c>
      <c r="F152" s="6">
        <f t="shared" si="24"/>
        <v>12453.5015</v>
      </c>
      <c r="G152" s="15">
        <f t="shared" si="25"/>
        <v>0.99974465012912228</v>
      </c>
      <c r="H152" s="15">
        <f t="shared" si="26"/>
        <v>2.5534987087768045E-4</v>
      </c>
      <c r="I152" s="20">
        <f t="shared" si="33"/>
        <v>0.12001954451105856</v>
      </c>
      <c r="J152" s="15">
        <f t="shared" si="34"/>
        <v>-0.75465234700490691</v>
      </c>
      <c r="K152" s="15">
        <f t="shared" si="35"/>
        <v>0.11900088431924161</v>
      </c>
      <c r="L152" s="15">
        <f t="shared" si="30"/>
        <v>5.3501892442468169E-2</v>
      </c>
      <c r="M152" s="15">
        <f t="shared" si="31"/>
        <v>11.10967250571211</v>
      </c>
      <c r="N152" s="15">
        <f t="shared" si="32"/>
        <v>5.3747558161277853E-2</v>
      </c>
      <c r="O152" s="18">
        <f>IF(SUMIFS('Monthly NSE Equity Futures'!$I:$I,'Monthly NSE Equity Futures'!$A:$A,$A152)=0,"",SUMIFS('Monthly NSE Equity Futures'!$I:$I,'Monthly NSE Equity Futures'!$A:$A,$A152))</f>
        <v>18607489</v>
      </c>
      <c r="P152" s="7">
        <f>IF(SUMIFS('Monthly BSE Equity Futures'!$I:$I,'Monthly BSE Equity Futures'!$A:$A,$A152)=0,"",SUMIFS('Monthly BSE Equity Futures'!$I:$I,'Monthly BSE Equity Futures'!$A:$A,$A152))</f>
        <v>4560</v>
      </c>
      <c r="Q152" s="7">
        <f t="shared" si="27"/>
        <v>18612049</v>
      </c>
      <c r="R152" s="19">
        <f t="shared" si="28"/>
        <v>0.99975499742129414</v>
      </c>
      <c r="S152" s="19">
        <f t="shared" si="29"/>
        <v>2.4500257870586949E-4</v>
      </c>
    </row>
    <row r="153" spans="1:19" x14ac:dyDescent="0.2">
      <c r="A153" s="8">
        <v>42583</v>
      </c>
      <c r="B153" s="4" t="s">
        <v>87</v>
      </c>
      <c r="C153" s="4" t="s">
        <v>158</v>
      </c>
      <c r="D153" s="14">
        <f>IF(SUMIFS('Monthly NSE Equity Futures'!$H:$H,'Monthly NSE Equity Futures'!$A:$A,$A153)=0,"",SUMIFS('Monthly NSE Equity Futures'!$H:$H,'Monthly NSE Equity Futures'!$A:$A,$A153))</f>
        <v>14517.7232</v>
      </c>
      <c r="E153" s="6">
        <f>IF(SUMIFS('Monthly BSE Equity Futures'!$H:$H,'Monthly BSE Equity Futures'!$A:$A,$A153)=0,"",SUMIFS('Monthly BSE Equity Futures'!$H:$H,'Monthly BSE Equity Futures'!$A:$A,$A153))</f>
        <v>12.246600000000001</v>
      </c>
      <c r="F153" s="6">
        <f t="shared" si="24"/>
        <v>14529.969800000001</v>
      </c>
      <c r="G153" s="15">
        <f t="shared" si="25"/>
        <v>0.99915714897081198</v>
      </c>
      <c r="H153" s="15">
        <f t="shared" si="26"/>
        <v>8.4285102918796155E-4</v>
      </c>
      <c r="I153" s="20">
        <f t="shared" si="33"/>
        <v>0.24078187807874563</v>
      </c>
      <c r="J153" s="15">
        <f t="shared" si="34"/>
        <v>0.27316768894895538</v>
      </c>
      <c r="K153" s="15">
        <f t="shared" si="35"/>
        <v>0.2408084807190003</v>
      </c>
      <c r="L153" s="15">
        <f t="shared" si="30"/>
        <v>0.16605207343440886</v>
      </c>
      <c r="M153" s="15">
        <f t="shared" si="31"/>
        <v>2.851132075471698</v>
      </c>
      <c r="N153" s="15">
        <f t="shared" si="32"/>
        <v>0.16673770826622536</v>
      </c>
      <c r="O153" s="18">
        <f>IF(SUMIFS('Monthly NSE Equity Futures'!$I:$I,'Monthly NSE Equity Futures'!$A:$A,$A153)=0,"",SUMIFS('Monthly NSE Equity Futures'!$I:$I,'Monthly NSE Equity Futures'!$A:$A,$A153))</f>
        <v>21185843</v>
      </c>
      <c r="P153" s="7">
        <f>IF(SUMIFS('Monthly BSE Equity Futures'!$I:$I,'Monthly BSE Equity Futures'!$A:$A,$A153)=0,"",SUMIFS('Monthly BSE Equity Futures'!$I:$I,'Monthly BSE Equity Futures'!$A:$A,$A153))</f>
        <v>17431</v>
      </c>
      <c r="Q153" s="7">
        <f t="shared" si="27"/>
        <v>21203274</v>
      </c>
      <c r="R153" s="19">
        <f t="shared" si="28"/>
        <v>0.99917790997748746</v>
      </c>
      <c r="S153" s="19">
        <f t="shared" si="29"/>
        <v>8.2209002251256108E-4</v>
      </c>
    </row>
    <row r="154" spans="1:19" x14ac:dyDescent="0.2">
      <c r="A154" s="8">
        <v>42614</v>
      </c>
      <c r="B154" s="4" t="s">
        <v>87</v>
      </c>
      <c r="C154" s="4" t="s">
        <v>158</v>
      </c>
      <c r="D154" s="14">
        <f>IF(SUMIFS('Monthly NSE Equity Futures'!$H:$H,'Monthly NSE Equity Futures'!$A:$A,$A154)=0,"",SUMIFS('Monthly NSE Equity Futures'!$H:$H,'Monthly NSE Equity Futures'!$A:$A,$A154))</f>
        <v>14353.660099999999</v>
      </c>
      <c r="E154" s="6">
        <f>IF(SUMIFS('Monthly BSE Equity Futures'!$H:$H,'Monthly BSE Equity Futures'!$A:$A,$A154)=0,"",SUMIFS('Monthly BSE Equity Futures'!$H:$H,'Monthly BSE Equity Futures'!$A:$A,$A154))</f>
        <v>4.74</v>
      </c>
      <c r="F154" s="6">
        <f t="shared" si="24"/>
        <v>14358.400099999999</v>
      </c>
      <c r="G154" s="15">
        <f t="shared" si="25"/>
        <v>0.99966987965462806</v>
      </c>
      <c r="H154" s="15">
        <f t="shared" si="26"/>
        <v>3.3012034537190538E-4</v>
      </c>
      <c r="I154" s="20">
        <f t="shared" si="33"/>
        <v>0.3955358537342677</v>
      </c>
      <c r="J154" s="15">
        <f t="shared" si="34"/>
        <v>-0.46824622219230638</v>
      </c>
      <c r="K154" s="15">
        <f t="shared" si="35"/>
        <v>0.39478790115147988</v>
      </c>
      <c r="L154" s="15">
        <f t="shared" si="30"/>
        <v>-1.130088359860737E-2</v>
      </c>
      <c r="M154" s="15">
        <f t="shared" si="31"/>
        <v>-0.61295379942188033</v>
      </c>
      <c r="N154" s="15">
        <f t="shared" si="32"/>
        <v>-1.180798737792299E-2</v>
      </c>
      <c r="O154" s="18">
        <f>IF(SUMIFS('Monthly NSE Equity Futures'!$I:$I,'Monthly NSE Equity Futures'!$A:$A,$A154)=0,"",SUMIFS('Monthly NSE Equity Futures'!$I:$I,'Monthly NSE Equity Futures'!$A:$A,$A154))</f>
        <v>20349730</v>
      </c>
      <c r="P154" s="7">
        <f>IF(SUMIFS('Monthly BSE Equity Futures'!$I:$I,'Monthly BSE Equity Futures'!$A:$A,$A154)=0,"",SUMIFS('Monthly BSE Equity Futures'!$I:$I,'Monthly BSE Equity Futures'!$A:$A,$A154))</f>
        <v>6596</v>
      </c>
      <c r="Q154" s="7">
        <f t="shared" si="27"/>
        <v>20356326</v>
      </c>
      <c r="R154" s="19">
        <f t="shared" si="28"/>
        <v>0.99967597296290112</v>
      </c>
      <c r="S154" s="19">
        <f t="shared" si="29"/>
        <v>3.2402703709893428E-4</v>
      </c>
    </row>
    <row r="155" spans="1:19" x14ac:dyDescent="0.2">
      <c r="A155" s="8">
        <v>42644</v>
      </c>
      <c r="B155" s="4" t="s">
        <v>87</v>
      </c>
      <c r="C155" s="4" t="s">
        <v>159</v>
      </c>
      <c r="D155" s="14">
        <f>IF(SUMIFS('Monthly NSE Equity Futures'!$H:$H,'Monthly NSE Equity Futures'!$A:$A,$A155)=0,"",SUMIFS('Monthly NSE Equity Futures'!$H:$H,'Monthly NSE Equity Futures'!$A:$A,$A155))</f>
        <v>12643.461300000001</v>
      </c>
      <c r="E155" s="6">
        <f>IF(SUMIFS('Monthly BSE Equity Futures'!$H:$H,'Monthly BSE Equity Futures'!$A:$A,$A155)=0,"",SUMIFS('Monthly BSE Equity Futures'!$H:$H,'Monthly BSE Equity Futures'!$A:$A,$A155))</f>
        <v>0.69579999999999997</v>
      </c>
      <c r="F155" s="6">
        <f t="shared" si="24"/>
        <v>12644.1571</v>
      </c>
      <c r="G155" s="15">
        <f t="shared" si="25"/>
        <v>0.99994497062995213</v>
      </c>
      <c r="H155" s="15">
        <f t="shared" si="26"/>
        <v>5.5029370047925134E-5</v>
      </c>
      <c r="I155" s="20">
        <f t="shared" si="33"/>
        <v>0.31257910691983315</v>
      </c>
      <c r="J155" s="15">
        <f t="shared" si="34"/>
        <v>-0.93107888585126197</v>
      </c>
      <c r="K155" s="15">
        <f t="shared" si="35"/>
        <v>0.31127702691519232</v>
      </c>
      <c r="L155" s="15">
        <f t="shared" si="30"/>
        <v>-0.11914722712432058</v>
      </c>
      <c r="M155" s="15">
        <f t="shared" si="31"/>
        <v>-0.85320675105485233</v>
      </c>
      <c r="N155" s="15">
        <f t="shared" si="32"/>
        <v>-0.11938955510788407</v>
      </c>
      <c r="O155" s="18">
        <f>IF(SUMIFS('Monthly NSE Equity Futures'!$I:$I,'Monthly NSE Equity Futures'!$A:$A,$A155)=0,"",SUMIFS('Monthly NSE Equity Futures'!$I:$I,'Monthly NSE Equity Futures'!$A:$A,$A155))</f>
        <v>17769483</v>
      </c>
      <c r="P155" s="7">
        <f>IF(SUMIFS('Monthly BSE Equity Futures'!$I:$I,'Monthly BSE Equity Futures'!$A:$A,$A155)=0,"",SUMIFS('Monthly BSE Equity Futures'!$I:$I,'Monthly BSE Equity Futures'!$A:$A,$A155))</f>
        <v>967</v>
      </c>
      <c r="Q155" s="7">
        <f t="shared" si="27"/>
        <v>17770450</v>
      </c>
      <c r="R155" s="19">
        <f t="shared" si="28"/>
        <v>0.99994558382033094</v>
      </c>
      <c r="S155" s="19">
        <f t="shared" si="29"/>
        <v>5.4416179669057337E-5</v>
      </c>
    </row>
    <row r="156" spans="1:19" x14ac:dyDescent="0.2">
      <c r="A156" s="8">
        <v>42675</v>
      </c>
      <c r="B156" s="4" t="s">
        <v>87</v>
      </c>
      <c r="C156" s="4" t="s">
        <v>159</v>
      </c>
      <c r="D156" s="14">
        <f>IF(SUMIFS('Monthly NSE Equity Futures'!$H:$H,'Monthly NSE Equity Futures'!$A:$A,$A156)=0,"",SUMIFS('Monthly NSE Equity Futures'!$H:$H,'Monthly NSE Equity Futures'!$A:$A,$A156))</f>
        <v>13844.593999999999</v>
      </c>
      <c r="E156" s="6">
        <f>IF(SUMIFS('Monthly BSE Equity Futures'!$H:$H,'Monthly BSE Equity Futures'!$A:$A,$A156)=0,"",SUMIFS('Monthly BSE Equity Futures'!$H:$H,'Monthly BSE Equity Futures'!$A:$A,$A156))</f>
        <v>0.52810000000000001</v>
      </c>
      <c r="F156" s="6">
        <f t="shared" si="24"/>
        <v>13845.122099999999</v>
      </c>
      <c r="G156" s="15">
        <f t="shared" si="25"/>
        <v>0.99996185660218917</v>
      </c>
      <c r="H156" s="15">
        <f t="shared" si="26"/>
        <v>3.8143397810843434E-5</v>
      </c>
      <c r="I156" s="20">
        <f t="shared" si="33"/>
        <v>0.56070972495531346</v>
      </c>
      <c r="J156" s="15">
        <f t="shared" si="34"/>
        <v>-0.87478660849772383</v>
      </c>
      <c r="K156" s="15">
        <f t="shared" si="35"/>
        <v>0.56002753872214472</v>
      </c>
      <c r="L156" s="15">
        <f t="shared" si="30"/>
        <v>9.5000306601167761E-2</v>
      </c>
      <c r="M156" s="15">
        <f t="shared" si="31"/>
        <v>-0.24101753377407298</v>
      </c>
      <c r="N156" s="15">
        <f t="shared" si="32"/>
        <v>9.4981815751086884E-2</v>
      </c>
      <c r="O156" s="18">
        <f>IF(SUMIFS('Monthly NSE Equity Futures'!$I:$I,'Monthly NSE Equity Futures'!$A:$A,$A156)=0,"",SUMIFS('Monthly NSE Equity Futures'!$I:$I,'Monthly NSE Equity Futures'!$A:$A,$A156))</f>
        <v>21038193</v>
      </c>
      <c r="P156" s="7">
        <f>IF(SUMIFS('Monthly BSE Equity Futures'!$I:$I,'Monthly BSE Equity Futures'!$A:$A,$A156)=0,"",SUMIFS('Monthly BSE Equity Futures'!$I:$I,'Monthly BSE Equity Futures'!$A:$A,$A156))</f>
        <v>748</v>
      </c>
      <c r="Q156" s="7">
        <f t="shared" si="27"/>
        <v>21038941</v>
      </c>
      <c r="R156" s="19">
        <f t="shared" si="28"/>
        <v>0.99996444687971697</v>
      </c>
      <c r="S156" s="19">
        <f t="shared" si="29"/>
        <v>3.555312028300284E-5</v>
      </c>
    </row>
    <row r="157" spans="1:19" x14ac:dyDescent="0.2">
      <c r="A157" s="8">
        <v>42705</v>
      </c>
      <c r="B157" s="4" t="s">
        <v>87</v>
      </c>
      <c r="C157" s="4" t="s">
        <v>159</v>
      </c>
      <c r="D157" s="14">
        <f>IF(SUMIFS('Monthly NSE Equity Futures'!$H:$H,'Monthly NSE Equity Futures'!$A:$A,$A157)=0,"",SUMIFS('Monthly NSE Equity Futures'!$H:$H,'Monthly NSE Equity Futures'!$A:$A,$A157))</f>
        <v>11195.9838</v>
      </c>
      <c r="E157" s="6">
        <f>IF(SUMIFS('Monthly BSE Equity Futures'!$H:$H,'Monthly BSE Equity Futures'!$A:$A,$A157)=0,"",SUMIFS('Monthly BSE Equity Futures'!$H:$H,'Monthly BSE Equity Futures'!$A:$A,$A157))</f>
        <v>8.9800000000000005E-2</v>
      </c>
      <c r="F157" s="6">
        <f t="shared" si="24"/>
        <v>11196.0736</v>
      </c>
      <c r="G157" s="15">
        <f t="shared" si="25"/>
        <v>0.99999197933103978</v>
      </c>
      <c r="H157" s="15">
        <f t="shared" si="26"/>
        <v>8.020668960232631E-6</v>
      </c>
      <c r="I157" s="20">
        <f t="shared" si="33"/>
        <v>0.20273366417079375</v>
      </c>
      <c r="J157" s="15">
        <f t="shared" si="34"/>
        <v>-0.97799720677235191</v>
      </c>
      <c r="K157" s="15">
        <f t="shared" si="35"/>
        <v>0.20221621669274392</v>
      </c>
      <c r="L157" s="15">
        <f t="shared" si="30"/>
        <v>-0.19131006658627903</v>
      </c>
      <c r="M157" s="15">
        <f t="shared" si="31"/>
        <v>-0.82995644764249188</v>
      </c>
      <c r="N157" s="15">
        <f t="shared" si="32"/>
        <v>-0.19133442672925216</v>
      </c>
      <c r="O157" s="18">
        <f>IF(SUMIFS('Monthly NSE Equity Futures'!$I:$I,'Monthly NSE Equity Futures'!$A:$A,$A157)=0,"",SUMIFS('Monthly NSE Equity Futures'!$I:$I,'Monthly NSE Equity Futures'!$A:$A,$A157))</f>
        <v>17468580</v>
      </c>
      <c r="P157" s="7">
        <f>IF(SUMIFS('Monthly BSE Equity Futures'!$I:$I,'Monthly BSE Equity Futures'!$A:$A,$A157)=0,"",SUMIFS('Monthly BSE Equity Futures'!$I:$I,'Monthly BSE Equity Futures'!$A:$A,$A157))</f>
        <v>117</v>
      </c>
      <c r="Q157" s="7">
        <f t="shared" si="27"/>
        <v>17468697</v>
      </c>
      <c r="R157" s="19">
        <f t="shared" si="28"/>
        <v>0.99999330230526062</v>
      </c>
      <c r="S157" s="19">
        <f t="shared" si="29"/>
        <v>6.6976947393386013E-6</v>
      </c>
    </row>
    <row r="158" spans="1:19" x14ac:dyDescent="0.2">
      <c r="A158" s="8">
        <v>42736</v>
      </c>
      <c r="B158" s="4" t="s">
        <v>87</v>
      </c>
      <c r="C158" s="4" t="s">
        <v>160</v>
      </c>
      <c r="D158" s="14">
        <f>IF(SUMIFS('Monthly NSE Equity Futures'!$H:$H,'Monthly NSE Equity Futures'!$A:$A,$A158)=0,"",SUMIFS('Monthly NSE Equity Futures'!$H:$H,'Monthly NSE Equity Futures'!$A:$A,$A158))</f>
        <v>12880.4334</v>
      </c>
      <c r="E158" s="6">
        <f>IF(SUMIFS('Monthly BSE Equity Futures'!$H:$H,'Monthly BSE Equity Futures'!$A:$A,$A158)=0,"",SUMIFS('Monthly BSE Equity Futures'!$H:$H,'Monthly BSE Equity Futures'!$A:$A,$A158))</f>
        <v>7.46E-2</v>
      </c>
      <c r="F158" s="6">
        <f t="shared" si="24"/>
        <v>12880.508</v>
      </c>
      <c r="G158" s="15">
        <f t="shared" si="25"/>
        <v>0.99999420830296448</v>
      </c>
      <c r="H158" s="15">
        <f t="shared" si="26"/>
        <v>5.7916970355517034E-6</v>
      </c>
      <c r="I158" s="20">
        <f t="shared" si="33"/>
        <v>0.1947954457970853</v>
      </c>
      <c r="J158" s="15">
        <f t="shared" si="34"/>
        <v>-0.98067657877013936</v>
      </c>
      <c r="K158" s="15">
        <f t="shared" si="35"/>
        <v>0.19437464680753425</v>
      </c>
      <c r="L158" s="15">
        <f t="shared" si="30"/>
        <v>0.15045123591550746</v>
      </c>
      <c r="M158" s="15">
        <f t="shared" si="31"/>
        <v>-0.16926503340757248</v>
      </c>
      <c r="N158" s="15">
        <f t="shared" si="32"/>
        <v>0.15044867157715003</v>
      </c>
      <c r="O158" s="18">
        <f>IF(SUMIFS('Monthly NSE Equity Futures'!$I:$I,'Monthly NSE Equity Futures'!$A:$A,$A158)=0,"",SUMIFS('Monthly NSE Equity Futures'!$I:$I,'Monthly NSE Equity Futures'!$A:$A,$A158))</f>
        <v>19304510</v>
      </c>
      <c r="P158" s="7">
        <f>IF(SUMIFS('Monthly BSE Equity Futures'!$I:$I,'Monthly BSE Equity Futures'!$A:$A,$A158)=0,"",SUMIFS('Monthly BSE Equity Futures'!$I:$I,'Monthly BSE Equity Futures'!$A:$A,$A158))</f>
        <v>97</v>
      </c>
      <c r="Q158" s="7">
        <f t="shared" si="27"/>
        <v>19304607</v>
      </c>
      <c r="R158" s="19">
        <f t="shared" si="28"/>
        <v>0.99999497529268533</v>
      </c>
      <c r="S158" s="19">
        <f t="shared" si="29"/>
        <v>5.0247073146840024E-6</v>
      </c>
    </row>
    <row r="159" spans="1:19" x14ac:dyDescent="0.2">
      <c r="A159" s="8">
        <v>42767</v>
      </c>
      <c r="B159" s="4" t="s">
        <v>87</v>
      </c>
      <c r="C159" s="4" t="s">
        <v>160</v>
      </c>
      <c r="D159" s="14">
        <f>IF(SUMIFS('Monthly NSE Equity Futures'!$H:$H,'Monthly NSE Equity Futures'!$A:$A,$A159)=0,"",SUMIFS('Monthly NSE Equity Futures'!$H:$H,'Monthly NSE Equity Futures'!$A:$A,$A159))</f>
        <v>14402.293799999999</v>
      </c>
      <c r="E159" s="6">
        <f>IF(SUMIFS('Monthly BSE Equity Futures'!$H:$H,'Monthly BSE Equity Futures'!$A:$A,$A159)=0,"",SUMIFS('Monthly BSE Equity Futures'!$H:$H,'Monthly BSE Equity Futures'!$A:$A,$A159))</f>
        <v>8.3799999999999999E-2</v>
      </c>
      <c r="F159" s="6">
        <f t="shared" si="24"/>
        <v>14402.3776</v>
      </c>
      <c r="G159" s="15">
        <f t="shared" si="25"/>
        <v>0.99999418151625186</v>
      </c>
      <c r="H159" s="15">
        <f t="shared" si="26"/>
        <v>5.818483748127809E-6</v>
      </c>
      <c r="I159" s="20">
        <f t="shared" si="33"/>
        <v>0.30120369004876224</v>
      </c>
      <c r="J159" s="15">
        <f t="shared" si="34"/>
        <v>-0.98791706318308969</v>
      </c>
      <c r="K159" s="15">
        <f t="shared" si="35"/>
        <v>0.30039644257627596</v>
      </c>
      <c r="L159" s="15">
        <f t="shared" si="30"/>
        <v>0.11815288761944909</v>
      </c>
      <c r="M159" s="15">
        <f t="shared" si="31"/>
        <v>0.12332439678284191</v>
      </c>
      <c r="N159" s="15">
        <f t="shared" si="32"/>
        <v>0.11815291757126345</v>
      </c>
      <c r="O159" s="18">
        <f>IF(SUMIFS('Monthly NSE Equity Futures'!$I:$I,'Monthly NSE Equity Futures'!$A:$A,$A159)=0,"",SUMIFS('Monthly NSE Equity Futures'!$I:$I,'Monthly NSE Equity Futures'!$A:$A,$A159))</f>
        <v>20318556</v>
      </c>
      <c r="P159" s="7">
        <f>IF(SUMIFS('Monthly BSE Equity Futures'!$I:$I,'Monthly BSE Equity Futures'!$A:$A,$A159)=0,"",SUMIFS('Monthly BSE Equity Futures'!$I:$I,'Monthly BSE Equity Futures'!$A:$A,$A159))</f>
        <v>99</v>
      </c>
      <c r="Q159" s="7">
        <f t="shared" si="27"/>
        <v>20318655</v>
      </c>
      <c r="R159" s="19">
        <f t="shared" si="28"/>
        <v>0.99999512763024911</v>
      </c>
      <c r="S159" s="19">
        <f t="shared" si="29"/>
        <v>4.8723697508521108E-6</v>
      </c>
    </row>
    <row r="160" spans="1:19" x14ac:dyDescent="0.2">
      <c r="A160" s="8">
        <v>42795</v>
      </c>
      <c r="B160" s="4" t="s">
        <v>87</v>
      </c>
      <c r="C160" s="4" t="s">
        <v>160</v>
      </c>
      <c r="D160" s="14">
        <f>IF(SUMIFS('Monthly NSE Equity Futures'!$H:$H,'Monthly NSE Equity Futures'!$A:$A,$A160)=0,"",SUMIFS('Monthly NSE Equity Futures'!$H:$H,'Monthly NSE Equity Futures'!$A:$A,$A160))</f>
        <v>14961.207200000001</v>
      </c>
      <c r="E160" s="6">
        <f>IF(SUMIFS('Monthly BSE Equity Futures'!$H:$H,'Monthly BSE Equity Futures'!$A:$A,$A160)=0,"",SUMIFS('Monthly BSE Equity Futures'!$H:$H,'Monthly BSE Equity Futures'!$A:$A,$A160))</f>
        <v>2.3367</v>
      </c>
      <c r="F160" s="6">
        <f t="shared" si="24"/>
        <v>14963.543900000001</v>
      </c>
      <c r="G160" s="15">
        <f t="shared" si="25"/>
        <v>0.99984384046883445</v>
      </c>
      <c r="H160" s="15">
        <f t="shared" si="26"/>
        <v>1.5615953116560844E-4</v>
      </c>
      <c r="I160" s="20">
        <f t="shared" si="33"/>
        <v>0.45786169117312103</v>
      </c>
      <c r="J160" s="15">
        <f t="shared" si="34"/>
        <v>-0.64913360761584427</v>
      </c>
      <c r="K160" s="15">
        <f t="shared" si="35"/>
        <v>0.4571437730674599</v>
      </c>
      <c r="L160" s="15">
        <f t="shared" si="30"/>
        <v>3.8807248884202172E-2</v>
      </c>
      <c r="M160" s="15">
        <f t="shared" si="31"/>
        <v>26.884248210023866</v>
      </c>
      <c r="N160" s="15">
        <f t="shared" si="32"/>
        <v>3.8963448646145871E-2</v>
      </c>
      <c r="O160" s="18">
        <f>IF(SUMIFS('Monthly NSE Equity Futures'!$I:$I,'Monthly NSE Equity Futures'!$A:$A,$A160)=0,"",SUMIFS('Monthly NSE Equity Futures'!$I:$I,'Monthly NSE Equity Futures'!$A:$A,$A160))</f>
        <v>20579200</v>
      </c>
      <c r="P160" s="7">
        <f>IF(SUMIFS('Monthly BSE Equity Futures'!$I:$I,'Monthly BSE Equity Futures'!$A:$A,$A160)=0,"",SUMIFS('Monthly BSE Equity Futures'!$I:$I,'Monthly BSE Equity Futures'!$A:$A,$A160))</f>
        <v>3272</v>
      </c>
      <c r="Q160" s="7">
        <f t="shared" si="27"/>
        <v>20582472</v>
      </c>
      <c r="R160" s="19">
        <f t="shared" si="28"/>
        <v>0.99984102978495493</v>
      </c>
      <c r="S160" s="19">
        <f t="shared" si="29"/>
        <v>1.5897021504511217E-4</v>
      </c>
    </row>
    <row r="161" spans="1:19" x14ac:dyDescent="0.2">
      <c r="A161" s="8">
        <v>42826</v>
      </c>
      <c r="B161" s="4" t="s">
        <v>88</v>
      </c>
      <c r="C161" s="4" t="s">
        <v>161</v>
      </c>
      <c r="D161" s="14">
        <f>IF(SUMIFS('Monthly NSE Equity Futures'!$H:$H,'Monthly NSE Equity Futures'!$A:$A,$A161)=0,"",SUMIFS('Monthly NSE Equity Futures'!$H:$H,'Monthly NSE Equity Futures'!$A:$A,$A161))</f>
        <v>14752.623600000001</v>
      </c>
      <c r="E161" s="6">
        <f>IF(SUMIFS('Monthly BSE Equity Futures'!$H:$H,'Monthly BSE Equity Futures'!$A:$A,$A161)=0,"",SUMIFS('Monthly BSE Equity Futures'!$H:$H,'Monthly BSE Equity Futures'!$A:$A,$A161))</f>
        <v>13.344799999999999</v>
      </c>
      <c r="F161" s="6">
        <f t="shared" si="24"/>
        <v>14765.968400000002</v>
      </c>
      <c r="G161" s="15">
        <f t="shared" si="25"/>
        <v>0.99909624620353377</v>
      </c>
      <c r="H161" s="15">
        <f t="shared" si="26"/>
        <v>9.0375379646620384E-4</v>
      </c>
      <c r="I161" s="20">
        <f t="shared" si="33"/>
        <v>0.50377112364078425</v>
      </c>
      <c r="J161" s="15">
        <f t="shared" si="34"/>
        <v>42.739101933792199</v>
      </c>
      <c r="K161" s="15">
        <f t="shared" si="35"/>
        <v>0.50508458433436831</v>
      </c>
      <c r="L161" s="15">
        <f t="shared" si="30"/>
        <v>-1.394162898833462E-2</v>
      </c>
      <c r="M161" s="15">
        <f t="shared" si="31"/>
        <v>4.7109599007146832</v>
      </c>
      <c r="N161" s="15">
        <f t="shared" si="32"/>
        <v>-1.3203790580652464E-2</v>
      </c>
      <c r="O161" s="18">
        <f>IF(SUMIFS('Monthly NSE Equity Futures'!$I:$I,'Monthly NSE Equity Futures'!$A:$A,$A161)=0,"",SUMIFS('Monthly NSE Equity Futures'!$I:$I,'Monthly NSE Equity Futures'!$A:$A,$A161))</f>
        <v>19497090</v>
      </c>
      <c r="P161" s="7">
        <f>IF(SUMIFS('Monthly BSE Equity Futures'!$I:$I,'Monthly BSE Equity Futures'!$A:$A,$A161)=0,"",SUMIFS('Monthly BSE Equity Futures'!$I:$I,'Monthly BSE Equity Futures'!$A:$A,$A161))</f>
        <v>18648</v>
      </c>
      <c r="Q161" s="7">
        <f t="shared" si="27"/>
        <v>19515738</v>
      </c>
      <c r="R161" s="19">
        <f t="shared" si="28"/>
        <v>0.99904446349915133</v>
      </c>
      <c r="S161" s="19">
        <f t="shared" si="29"/>
        <v>9.5553650084869964E-4</v>
      </c>
    </row>
    <row r="162" spans="1:19" x14ac:dyDescent="0.2">
      <c r="A162" s="8">
        <v>42856</v>
      </c>
      <c r="B162" s="4" t="s">
        <v>88</v>
      </c>
      <c r="C162" s="4" t="s">
        <v>161</v>
      </c>
      <c r="D162" s="14">
        <f>IF(SUMIFS('Monthly NSE Equity Futures'!$H:$H,'Monthly NSE Equity Futures'!$A:$A,$A162)=0,"",SUMIFS('Monthly NSE Equity Futures'!$H:$H,'Monthly NSE Equity Futures'!$A:$A,$A162))</f>
        <v>17780.966899999999</v>
      </c>
      <c r="E162" s="6">
        <f>IF(SUMIFS('Monthly BSE Equity Futures'!$H:$H,'Monthly BSE Equity Futures'!$A:$A,$A162)=0,"",SUMIFS('Monthly BSE Equity Futures'!$H:$H,'Monthly BSE Equity Futures'!$A:$A,$A162))</f>
        <v>10.859500000000001</v>
      </c>
      <c r="F162" s="6">
        <f t="shared" si="24"/>
        <v>17791.826399999998</v>
      </c>
      <c r="G162" s="15">
        <f t="shared" si="25"/>
        <v>0.99938963545642512</v>
      </c>
      <c r="H162" s="15">
        <f t="shared" si="26"/>
        <v>6.1036454357490813E-4</v>
      </c>
      <c r="I162" s="20">
        <f t="shared" si="33"/>
        <v>0.50978541630671814</v>
      </c>
      <c r="J162" s="15">
        <f t="shared" si="34"/>
        <v>68.478566858605248</v>
      </c>
      <c r="K162" s="15">
        <f t="shared" si="35"/>
        <v>0.51068744956560375</v>
      </c>
      <c r="L162" s="15">
        <f t="shared" si="30"/>
        <v>0.2052748976798946</v>
      </c>
      <c r="M162" s="15">
        <f t="shared" si="31"/>
        <v>-0.18623733589113356</v>
      </c>
      <c r="N162" s="15">
        <f t="shared" si="32"/>
        <v>0.20492106701244173</v>
      </c>
      <c r="O162" s="18">
        <f>IF(SUMIFS('Monthly NSE Equity Futures'!$I:$I,'Monthly NSE Equity Futures'!$A:$A,$A162)=0,"",SUMIFS('Monthly NSE Equity Futures'!$I:$I,'Monthly NSE Equity Futures'!$A:$A,$A162))</f>
        <v>24540761</v>
      </c>
      <c r="P162" s="7">
        <f>IF(SUMIFS('Monthly BSE Equity Futures'!$I:$I,'Monthly BSE Equity Futures'!$A:$A,$A162)=0,"",SUMIFS('Monthly BSE Equity Futures'!$I:$I,'Monthly BSE Equity Futures'!$A:$A,$A162))</f>
        <v>14881</v>
      </c>
      <c r="Q162" s="7">
        <f t="shared" si="27"/>
        <v>24555642</v>
      </c>
      <c r="R162" s="19">
        <f t="shared" si="28"/>
        <v>0.99939398855871897</v>
      </c>
      <c r="S162" s="19">
        <f t="shared" si="29"/>
        <v>6.0601144128098956E-4</v>
      </c>
    </row>
    <row r="163" spans="1:19" x14ac:dyDescent="0.2">
      <c r="A163" s="8">
        <v>42887</v>
      </c>
      <c r="B163" s="4" t="s">
        <v>88</v>
      </c>
      <c r="C163" s="4" t="s">
        <v>161</v>
      </c>
      <c r="D163" s="14">
        <f>IF(SUMIFS('Monthly NSE Equity Futures'!$H:$H,'Monthly NSE Equity Futures'!$A:$A,$A163)=0,"",SUMIFS('Monthly NSE Equity Futures'!$H:$H,'Monthly NSE Equity Futures'!$A:$A,$A163))</f>
        <v>14325.0535</v>
      </c>
      <c r="E163" s="6">
        <f>IF(SUMIFS('Monthly BSE Equity Futures'!$H:$H,'Monthly BSE Equity Futures'!$A:$A,$A163)=0,"",SUMIFS('Monthly BSE Equity Futures'!$H:$H,'Monthly BSE Equity Futures'!$A:$A,$A163))</f>
        <v>4.7145000000000001</v>
      </c>
      <c r="F163" s="6">
        <f t="shared" si="24"/>
        <v>14329.768</v>
      </c>
      <c r="G163" s="15">
        <f t="shared" si="25"/>
        <v>0.99967099955840177</v>
      </c>
      <c r="H163" s="15">
        <f t="shared" si="26"/>
        <v>3.2900044159821711E-4</v>
      </c>
      <c r="I163" s="20">
        <f t="shared" si="33"/>
        <v>0.21213504178101772</v>
      </c>
      <c r="J163" s="15">
        <f t="shared" si="34"/>
        <v>16.953160700685455</v>
      </c>
      <c r="K163" s="15">
        <f t="shared" si="35"/>
        <v>0.21250702374891262</v>
      </c>
      <c r="L163" s="15">
        <f t="shared" si="30"/>
        <v>-0.19436026282687691</v>
      </c>
      <c r="M163" s="15">
        <f t="shared" si="31"/>
        <v>-0.56586399005479082</v>
      </c>
      <c r="N163" s="15">
        <f t="shared" si="32"/>
        <v>-0.19458701552978275</v>
      </c>
      <c r="O163" s="18">
        <f>IF(SUMIFS('Monthly NSE Equity Futures'!$I:$I,'Monthly NSE Equity Futures'!$A:$A,$A163)=0,"",SUMIFS('Monthly NSE Equity Futures'!$I:$I,'Monthly NSE Equity Futures'!$A:$A,$A163))</f>
        <v>19770978</v>
      </c>
      <c r="P163" s="7">
        <f>IF(SUMIFS('Monthly BSE Equity Futures'!$I:$I,'Monthly BSE Equity Futures'!$A:$A,$A163)=0,"",SUMIFS('Monthly BSE Equity Futures'!$I:$I,'Monthly BSE Equity Futures'!$A:$A,$A163))</f>
        <v>6310</v>
      </c>
      <c r="Q163" s="7">
        <f t="shared" si="27"/>
        <v>19777288</v>
      </c>
      <c r="R163" s="19">
        <f t="shared" si="28"/>
        <v>0.99968094715514078</v>
      </c>
      <c r="S163" s="19">
        <f t="shared" si="29"/>
        <v>3.1905284485921428E-4</v>
      </c>
    </row>
    <row r="164" spans="1:19" x14ac:dyDescent="0.2">
      <c r="A164" s="8">
        <v>42917</v>
      </c>
      <c r="B164" s="4" t="s">
        <v>88</v>
      </c>
      <c r="C164" s="4" t="s">
        <v>162</v>
      </c>
      <c r="D164" s="14">
        <f>IF(SUMIFS('Monthly NSE Equity Futures'!$H:$H,'Monthly NSE Equity Futures'!$A:$A,$A164)=0,"",SUMIFS('Monthly NSE Equity Futures'!$H:$H,'Monthly NSE Equity Futures'!$A:$A,$A164))</f>
        <v>15810.946400000001</v>
      </c>
      <c r="E164" s="6">
        <f>IF(SUMIFS('Monthly BSE Equity Futures'!$H:$H,'Monthly BSE Equity Futures'!$A:$A,$A164)=0,"",SUMIFS('Monthly BSE Equity Futures'!$H:$H,'Monthly BSE Equity Futures'!$A:$A,$A164))</f>
        <v>3.2164999999999999</v>
      </c>
      <c r="F164" s="6">
        <f t="shared" si="24"/>
        <v>15814.162900000001</v>
      </c>
      <c r="G164" s="15">
        <f t="shared" si="25"/>
        <v>0.9997966063698509</v>
      </c>
      <c r="H164" s="15">
        <f t="shared" si="26"/>
        <v>2.0339363014908616E-4</v>
      </c>
      <c r="I164" s="20">
        <f t="shared" si="33"/>
        <v>0.26992274054931031</v>
      </c>
      <c r="J164" s="15">
        <f t="shared" si="34"/>
        <v>1.1477987421383506E-2</v>
      </c>
      <c r="K164" s="15">
        <f t="shared" si="35"/>
        <v>0.26985674671497017</v>
      </c>
      <c r="L164" s="15">
        <f t="shared" si="30"/>
        <v>0.1037268656623167</v>
      </c>
      <c r="M164" s="15">
        <f t="shared" si="31"/>
        <v>-0.31774313288789913</v>
      </c>
      <c r="N164" s="15">
        <f t="shared" si="32"/>
        <v>0.10358820184667339</v>
      </c>
      <c r="O164" s="18">
        <f>IF(SUMIFS('Monthly NSE Equity Futures'!$I:$I,'Monthly NSE Equity Futures'!$A:$A,$A164)=0,"",SUMIFS('Monthly NSE Equity Futures'!$I:$I,'Monthly NSE Equity Futures'!$A:$A,$A164))</f>
        <v>21199227</v>
      </c>
      <c r="P164" s="7">
        <f>IF(SUMIFS('Monthly BSE Equity Futures'!$I:$I,'Monthly BSE Equity Futures'!$A:$A,$A164)=0,"",SUMIFS('Monthly BSE Equity Futures'!$I:$I,'Monthly BSE Equity Futures'!$A:$A,$A164))</f>
        <v>4224</v>
      </c>
      <c r="Q164" s="7">
        <f t="shared" si="27"/>
        <v>21203451</v>
      </c>
      <c r="R164" s="19">
        <f t="shared" si="28"/>
        <v>0.99980078714545095</v>
      </c>
      <c r="S164" s="19">
        <f t="shared" si="29"/>
        <v>1.9921285454900715E-4</v>
      </c>
    </row>
    <row r="165" spans="1:19" x14ac:dyDescent="0.2">
      <c r="A165" s="8">
        <v>42948</v>
      </c>
      <c r="B165" s="4" t="s">
        <v>88</v>
      </c>
      <c r="C165" s="4" t="s">
        <v>162</v>
      </c>
      <c r="D165" s="14">
        <f>IF(SUMIFS('Monthly NSE Equity Futures'!$H:$H,'Monthly NSE Equity Futures'!$A:$A,$A165)=0,"",SUMIFS('Monthly NSE Equity Futures'!$H:$H,'Monthly NSE Equity Futures'!$A:$A,$A165))</f>
        <v>16572.858800000002</v>
      </c>
      <c r="E165" s="6">
        <f>IF(SUMIFS('Monthly BSE Equity Futures'!$H:$H,'Monthly BSE Equity Futures'!$A:$A,$A165)=0,"",SUMIFS('Monthly BSE Equity Futures'!$H:$H,'Monthly BSE Equity Futures'!$A:$A,$A165))</f>
        <v>0.21510000000000001</v>
      </c>
      <c r="F165" s="6">
        <f t="shared" si="24"/>
        <v>16573.073900000003</v>
      </c>
      <c r="G165" s="15">
        <f t="shared" si="25"/>
        <v>0.99998702111622151</v>
      </c>
      <c r="H165" s="15">
        <f t="shared" si="26"/>
        <v>1.2978883778464294E-5</v>
      </c>
      <c r="I165" s="20">
        <f t="shared" si="33"/>
        <v>0.14156046176717307</v>
      </c>
      <c r="J165" s="15">
        <f t="shared" si="34"/>
        <v>-0.98243594140414481</v>
      </c>
      <c r="K165" s="15">
        <f t="shared" si="35"/>
        <v>0.14061310024195661</v>
      </c>
      <c r="L165" s="15">
        <f t="shared" si="30"/>
        <v>4.818891802707026E-2</v>
      </c>
      <c r="M165" s="15">
        <f t="shared" si="31"/>
        <v>-0.93312606870822323</v>
      </c>
      <c r="N165" s="15">
        <f t="shared" si="32"/>
        <v>4.7989324809598388E-2</v>
      </c>
      <c r="O165" s="18">
        <f>IF(SUMIFS('Monthly NSE Equity Futures'!$I:$I,'Monthly NSE Equity Futures'!$A:$A,$A165)=0,"",SUMIFS('Monthly NSE Equity Futures'!$I:$I,'Monthly NSE Equity Futures'!$A:$A,$A165))</f>
        <v>22260355</v>
      </c>
      <c r="P165" s="7">
        <f>IF(SUMIFS('Monthly BSE Equity Futures'!$I:$I,'Monthly BSE Equity Futures'!$A:$A,$A165)=0,"",SUMIFS('Monthly BSE Equity Futures'!$I:$I,'Monthly BSE Equity Futures'!$A:$A,$A165))</f>
        <v>276</v>
      </c>
      <c r="Q165" s="7">
        <f t="shared" si="27"/>
        <v>22260631</v>
      </c>
      <c r="R165" s="19">
        <f t="shared" si="28"/>
        <v>0.99998760142962706</v>
      </c>
      <c r="S165" s="19">
        <f t="shared" si="29"/>
        <v>1.2398570372960228E-5</v>
      </c>
    </row>
    <row r="166" spans="1:19" x14ac:dyDescent="0.2">
      <c r="A166" s="8">
        <v>42979</v>
      </c>
      <c r="B166" s="4" t="s">
        <v>88</v>
      </c>
      <c r="C166" s="4" t="s">
        <v>162</v>
      </c>
      <c r="D166" s="14">
        <f>IF(SUMIFS('Monthly NSE Equity Futures'!$H:$H,'Monthly NSE Equity Futures'!$A:$A,$A166)=0,"",SUMIFS('Monthly NSE Equity Futures'!$H:$H,'Monthly NSE Equity Futures'!$A:$A,$A166))</f>
        <v>16502.870599999998</v>
      </c>
      <c r="E166" s="6">
        <f>IF(SUMIFS('Monthly BSE Equity Futures'!$H:$H,'Monthly BSE Equity Futures'!$A:$A,$A166)=0,"",SUMIFS('Monthly BSE Equity Futures'!$H:$H,'Monthly BSE Equity Futures'!$A:$A,$A166))</f>
        <v>3.1600000000000003E-2</v>
      </c>
      <c r="F166" s="6">
        <f t="shared" si="24"/>
        <v>16502.902199999997</v>
      </c>
      <c r="G166" s="15">
        <f t="shared" si="25"/>
        <v>0.99999808518528344</v>
      </c>
      <c r="H166" s="15">
        <f t="shared" si="26"/>
        <v>1.9148147166502633E-6</v>
      </c>
      <c r="I166" s="20">
        <f t="shared" si="33"/>
        <v>0.14973257587449762</v>
      </c>
      <c r="J166" s="15">
        <f t="shared" si="34"/>
        <v>-0.99333333333333329</v>
      </c>
      <c r="K166" s="15">
        <f t="shared" si="35"/>
        <v>0.14935522656176703</v>
      </c>
      <c r="L166" s="15">
        <f t="shared" si="30"/>
        <v>-4.2230613827473062E-3</v>
      </c>
      <c r="M166" s="15">
        <f t="shared" si="31"/>
        <v>-0.85309158530915852</v>
      </c>
      <c r="N166" s="15">
        <f t="shared" si="32"/>
        <v>-4.2340787486626619E-3</v>
      </c>
      <c r="O166" s="18">
        <f>IF(SUMIFS('Monthly NSE Equity Futures'!$I:$I,'Monthly NSE Equity Futures'!$A:$A,$A166)=0,"",SUMIFS('Monthly NSE Equity Futures'!$I:$I,'Monthly NSE Equity Futures'!$A:$A,$A166))</f>
        <v>21781230</v>
      </c>
      <c r="P166" s="7">
        <f>IF(SUMIFS('Monthly BSE Equity Futures'!$I:$I,'Monthly BSE Equity Futures'!$A:$A,$A166)=0,"",SUMIFS('Monthly BSE Equity Futures'!$I:$I,'Monthly BSE Equity Futures'!$A:$A,$A166))</f>
        <v>32</v>
      </c>
      <c r="Q166" s="7">
        <f t="shared" si="27"/>
        <v>21781262</v>
      </c>
      <c r="R166" s="19">
        <f t="shared" si="28"/>
        <v>0.99999853084729429</v>
      </c>
      <c r="S166" s="19">
        <f t="shared" si="29"/>
        <v>1.4691527056604893E-6</v>
      </c>
    </row>
    <row r="167" spans="1:19" x14ac:dyDescent="0.2">
      <c r="A167" s="8">
        <v>43009</v>
      </c>
      <c r="B167" s="4" t="s">
        <v>88</v>
      </c>
      <c r="C167" s="4" t="s">
        <v>163</v>
      </c>
      <c r="D167" s="14">
        <f>IF(SUMIFS('Monthly NSE Equity Futures'!$H:$H,'Monthly NSE Equity Futures'!$A:$A,$A167)=0,"",SUMIFS('Monthly NSE Equity Futures'!$H:$H,'Monthly NSE Equity Futures'!$A:$A,$A167))</f>
        <v>16195.958199999999</v>
      </c>
      <c r="E167" s="6">
        <f>IF(SUMIFS('Monthly BSE Equity Futures'!$H:$H,'Monthly BSE Equity Futures'!$A:$A,$A167)=0,"",SUMIFS('Monthly BSE Equity Futures'!$H:$H,'Monthly BSE Equity Futures'!$A:$A,$A167))</f>
        <v>2.7400000000000001E-2</v>
      </c>
      <c r="F167" s="6">
        <f t="shared" si="24"/>
        <v>16195.9856</v>
      </c>
      <c r="G167" s="15">
        <f t="shared" si="25"/>
        <v>0.99999830822274871</v>
      </c>
      <c r="H167" s="15">
        <f t="shared" si="26"/>
        <v>1.691777251271451E-6</v>
      </c>
      <c r="I167" s="20">
        <f t="shared" si="33"/>
        <v>0.28097502857069667</v>
      </c>
      <c r="J167" s="15">
        <f t="shared" si="34"/>
        <v>-0.96062086806553604</v>
      </c>
      <c r="K167" s="15">
        <f t="shared" si="35"/>
        <v>0.28090670433065079</v>
      </c>
      <c r="L167" s="15">
        <f t="shared" si="30"/>
        <v>-1.8597515998216685E-2</v>
      </c>
      <c r="M167" s="15">
        <f t="shared" si="31"/>
        <v>-0.13291139240506333</v>
      </c>
      <c r="N167" s="15">
        <f t="shared" si="32"/>
        <v>-1.8597734888109341E-2</v>
      </c>
      <c r="O167" s="18">
        <f>IF(SUMIFS('Monthly NSE Equity Futures'!$I:$I,'Monthly NSE Equity Futures'!$A:$A,$A167)=0,"",SUMIFS('Monthly NSE Equity Futures'!$I:$I,'Monthly NSE Equity Futures'!$A:$A,$A167))</f>
        <v>21074476</v>
      </c>
      <c r="P167" s="7">
        <f>IF(SUMIFS('Monthly BSE Equity Futures'!$I:$I,'Monthly BSE Equity Futures'!$A:$A,$A167)=0,"",SUMIFS('Monthly BSE Equity Futures'!$I:$I,'Monthly BSE Equity Futures'!$A:$A,$A167))</f>
        <v>22</v>
      </c>
      <c r="Q167" s="7">
        <f t="shared" si="27"/>
        <v>21074498</v>
      </c>
      <c r="R167" s="19">
        <f t="shared" si="28"/>
        <v>0.99999895608426825</v>
      </c>
      <c r="S167" s="19">
        <f t="shared" si="29"/>
        <v>1.0439157317056852E-6</v>
      </c>
    </row>
    <row r="168" spans="1:19" x14ac:dyDescent="0.2">
      <c r="A168" s="8">
        <v>43040</v>
      </c>
      <c r="B168" s="4" t="s">
        <v>88</v>
      </c>
      <c r="C168" s="4" t="s">
        <v>163</v>
      </c>
      <c r="D168" s="14">
        <f>IF(SUMIFS('Monthly NSE Equity Futures'!$H:$H,'Monthly NSE Equity Futures'!$A:$A,$A168)=0,"",SUMIFS('Monthly NSE Equity Futures'!$H:$H,'Monthly NSE Equity Futures'!$A:$A,$A168))</f>
        <v>17743.726999999999</v>
      </c>
      <c r="E168" s="6">
        <f>IF(SUMIFS('Monthly BSE Equity Futures'!$H:$H,'Monthly BSE Equity Futures'!$A:$A,$A168)=0,"",SUMIFS('Monthly BSE Equity Futures'!$H:$H,'Monthly BSE Equity Futures'!$A:$A,$A168))</f>
        <v>1.7500000000000002E-2</v>
      </c>
      <c r="F168" s="6">
        <f t="shared" si="24"/>
        <v>17743.744500000001</v>
      </c>
      <c r="G168" s="15">
        <f t="shared" si="25"/>
        <v>0.99999901373692557</v>
      </c>
      <c r="H168" s="15">
        <f t="shared" si="26"/>
        <v>9.8626307429077336E-7</v>
      </c>
      <c r="I168" s="20">
        <f t="shared" si="33"/>
        <v>0.28163577783501625</v>
      </c>
      <c r="J168" s="15">
        <f t="shared" si="34"/>
        <v>-0.96686233667865928</v>
      </c>
      <c r="K168" s="15">
        <f t="shared" si="35"/>
        <v>0.2815881558747686</v>
      </c>
      <c r="L168" s="15">
        <f t="shared" si="30"/>
        <v>9.5565126859860516E-2</v>
      </c>
      <c r="M168" s="15">
        <f t="shared" si="31"/>
        <v>-0.36131386861313863</v>
      </c>
      <c r="N168" s="15">
        <f t="shared" si="32"/>
        <v>9.5564353922369616E-2</v>
      </c>
      <c r="O168" s="18">
        <f>IF(SUMIFS('Monthly NSE Equity Futures'!$I:$I,'Monthly NSE Equity Futures'!$A:$A,$A168)=0,"",SUMIFS('Monthly NSE Equity Futures'!$I:$I,'Monthly NSE Equity Futures'!$A:$A,$A168))</f>
        <v>23979266</v>
      </c>
      <c r="P168" s="7">
        <f>IF(SUMIFS('Monthly BSE Equity Futures'!$I:$I,'Monthly BSE Equity Futures'!$A:$A,$A168)=0,"",SUMIFS('Monthly BSE Equity Futures'!$I:$I,'Monthly BSE Equity Futures'!$A:$A,$A168))</f>
        <v>24</v>
      </c>
      <c r="Q168" s="7">
        <f t="shared" si="27"/>
        <v>23979290</v>
      </c>
      <c r="R168" s="19">
        <f t="shared" si="28"/>
        <v>0.99999899913633805</v>
      </c>
      <c r="S168" s="19">
        <f t="shared" si="29"/>
        <v>1.0008636619349446E-6</v>
      </c>
    </row>
    <row r="169" spans="1:19" x14ac:dyDescent="0.2">
      <c r="A169" s="8">
        <v>43070</v>
      </c>
      <c r="B169" s="4" t="s">
        <v>88</v>
      </c>
      <c r="C169" s="4" t="s">
        <v>163</v>
      </c>
      <c r="D169" s="14">
        <f>IF(SUMIFS('Monthly NSE Equity Futures'!$H:$H,'Monthly NSE Equity Futures'!$A:$A,$A169)=0,"",SUMIFS('Monthly NSE Equity Futures'!$H:$H,'Monthly NSE Equity Futures'!$A:$A,$A169))</f>
        <v>16506.2477</v>
      </c>
      <c r="E169" s="6">
        <f>IF(SUMIFS('Monthly BSE Equity Futures'!$H:$H,'Monthly BSE Equity Futures'!$A:$A,$A169)=0,"",SUMIFS('Monthly BSE Equity Futures'!$H:$H,'Monthly BSE Equity Futures'!$A:$A,$A169))</f>
        <v>1.37E-2</v>
      </c>
      <c r="F169" s="6">
        <f t="shared" si="24"/>
        <v>16506.261399999999</v>
      </c>
      <c r="G169" s="15">
        <f t="shared" si="25"/>
        <v>0.99999917001193261</v>
      </c>
      <c r="H169" s="15">
        <f t="shared" si="26"/>
        <v>8.2998806743724541E-7</v>
      </c>
      <c r="I169" s="20">
        <f t="shared" si="33"/>
        <v>0.47430078453668356</v>
      </c>
      <c r="J169" s="15">
        <f t="shared" si="34"/>
        <v>-0.84743875278396441</v>
      </c>
      <c r="K169" s="15">
        <f t="shared" si="35"/>
        <v>0.47429018330140305</v>
      </c>
      <c r="L169" s="15">
        <f t="shared" si="30"/>
        <v>-6.9741791000278552E-2</v>
      </c>
      <c r="M169" s="15">
        <f t="shared" si="31"/>
        <v>-0.21714285714285719</v>
      </c>
      <c r="N169" s="15">
        <f t="shared" si="32"/>
        <v>-6.9741936376507274E-2</v>
      </c>
      <c r="O169" s="18">
        <f>IF(SUMIFS('Monthly NSE Equity Futures'!$I:$I,'Monthly NSE Equity Futures'!$A:$A,$A169)=0,"",SUMIFS('Monthly NSE Equity Futures'!$I:$I,'Monthly NSE Equity Futures'!$A:$A,$A169))</f>
        <v>21950410</v>
      </c>
      <c r="P169" s="7">
        <f>IF(SUMIFS('Monthly BSE Equity Futures'!$I:$I,'Monthly BSE Equity Futures'!$A:$A,$A169)=0,"",SUMIFS('Monthly BSE Equity Futures'!$I:$I,'Monthly BSE Equity Futures'!$A:$A,$A169))</f>
        <v>19</v>
      </c>
      <c r="Q169" s="7">
        <f t="shared" si="27"/>
        <v>21950429</v>
      </c>
      <c r="R169" s="19">
        <f t="shared" si="28"/>
        <v>0.99999913441327271</v>
      </c>
      <c r="S169" s="19">
        <f t="shared" si="29"/>
        <v>8.6558672725713014E-7</v>
      </c>
    </row>
    <row r="170" spans="1:19" x14ac:dyDescent="0.2">
      <c r="A170" s="8">
        <v>43101</v>
      </c>
      <c r="B170" s="4" t="s">
        <v>88</v>
      </c>
      <c r="C170" s="4" t="s">
        <v>164</v>
      </c>
      <c r="D170" s="14">
        <f>IF(SUMIFS('Monthly NSE Equity Futures'!$H:$H,'Monthly NSE Equity Futures'!$A:$A,$A170)=0,"",SUMIFS('Monthly NSE Equity Futures'!$H:$H,'Monthly NSE Equity Futures'!$A:$A,$A170))</f>
        <v>21493.220099999999</v>
      </c>
      <c r="E170" s="6">
        <f>IF(SUMIFS('Monthly BSE Equity Futures'!$H:$H,'Monthly BSE Equity Futures'!$A:$A,$A170)=0,"",SUMIFS('Monthly BSE Equity Futures'!$H:$H,'Monthly BSE Equity Futures'!$A:$A,$A170))</f>
        <v>4.3099999999999999E-2</v>
      </c>
      <c r="F170" s="6">
        <f t="shared" si="24"/>
        <v>21493.263199999998</v>
      </c>
      <c r="G170" s="15">
        <f t="shared" si="25"/>
        <v>0.99999799472050388</v>
      </c>
      <c r="H170" s="15">
        <f t="shared" si="26"/>
        <v>2.0052794961353286E-6</v>
      </c>
      <c r="I170" s="20">
        <f t="shared" si="33"/>
        <v>0.66867211937138693</v>
      </c>
      <c r="J170" s="15">
        <f t="shared" si="34"/>
        <v>-0.42225201072386065</v>
      </c>
      <c r="K170" s="15">
        <f t="shared" si="35"/>
        <v>0.66866580106933649</v>
      </c>
      <c r="L170" s="15">
        <f t="shared" si="30"/>
        <v>0.3021263518297983</v>
      </c>
      <c r="M170" s="15">
        <f t="shared" si="31"/>
        <v>2.1459854014598538</v>
      </c>
      <c r="N170" s="15">
        <f t="shared" si="32"/>
        <v>0.30212788221080755</v>
      </c>
      <c r="O170" s="18">
        <f>IF(SUMIFS('Monthly NSE Equity Futures'!$I:$I,'Monthly NSE Equity Futures'!$A:$A,$A170)=0,"",SUMIFS('Monthly NSE Equity Futures'!$I:$I,'Monthly NSE Equity Futures'!$A:$A,$A170))</f>
        <v>26999843</v>
      </c>
      <c r="P170" s="7">
        <f>IF(SUMIFS('Monthly BSE Equity Futures'!$I:$I,'Monthly BSE Equity Futures'!$A:$A,$A170)=0,"",SUMIFS('Monthly BSE Equity Futures'!$I:$I,'Monthly BSE Equity Futures'!$A:$A,$A170))</f>
        <v>62</v>
      </c>
      <c r="Q170" s="7">
        <f t="shared" si="27"/>
        <v>26999905</v>
      </c>
      <c r="R170" s="19">
        <f t="shared" si="28"/>
        <v>0.99999770369562413</v>
      </c>
      <c r="S170" s="19">
        <f t="shared" si="29"/>
        <v>2.2963043758857672E-6</v>
      </c>
    </row>
    <row r="171" spans="1:19" x14ac:dyDescent="0.2">
      <c r="A171" s="8">
        <v>43132</v>
      </c>
      <c r="B171" s="4" t="s">
        <v>88</v>
      </c>
      <c r="C171" s="4" t="s">
        <v>164</v>
      </c>
      <c r="D171" s="14">
        <f>IF(SUMIFS('Monthly NSE Equity Futures'!$H:$H,'Monthly NSE Equity Futures'!$A:$A,$A171)=0,"",SUMIFS('Monthly NSE Equity Futures'!$H:$H,'Monthly NSE Equity Futures'!$A:$A,$A171))</f>
        <v>19104.078600000001</v>
      </c>
      <c r="E171" s="6">
        <f>IF(SUMIFS('Monthly BSE Equity Futures'!$H:$H,'Monthly BSE Equity Futures'!$A:$A,$A171)=0,"",SUMIFS('Monthly BSE Equity Futures'!$H:$H,'Monthly BSE Equity Futures'!$A:$A,$A171))</f>
        <v>2.8199999999999999E-2</v>
      </c>
      <c r="F171" s="6">
        <f t="shared" si="24"/>
        <v>19104.106800000001</v>
      </c>
      <c r="G171" s="15">
        <f t="shared" si="25"/>
        <v>0.99999852387759891</v>
      </c>
      <c r="H171" s="15">
        <f t="shared" si="26"/>
        <v>1.4761224010745164E-6</v>
      </c>
      <c r="I171" s="20">
        <f t="shared" si="33"/>
        <v>0.32646083084348709</v>
      </c>
      <c r="J171" s="15">
        <f t="shared" si="34"/>
        <v>-0.66348448687350836</v>
      </c>
      <c r="K171" s="15">
        <f t="shared" si="35"/>
        <v>0.32645507086274428</v>
      </c>
      <c r="L171" s="15">
        <f t="shared" si="30"/>
        <v>-0.11115791346686099</v>
      </c>
      <c r="M171" s="15">
        <f t="shared" si="31"/>
        <v>-0.345707656612529</v>
      </c>
      <c r="N171" s="15">
        <f t="shared" si="32"/>
        <v>-0.11115838380465171</v>
      </c>
      <c r="O171" s="18">
        <f>IF(SUMIFS('Monthly NSE Equity Futures'!$I:$I,'Monthly NSE Equity Futures'!$A:$A,$A171)=0,"",SUMIFS('Monthly NSE Equity Futures'!$I:$I,'Monthly NSE Equity Futures'!$A:$A,$A171))</f>
        <v>25512996</v>
      </c>
      <c r="P171" s="7">
        <f>IF(SUMIFS('Monthly BSE Equity Futures'!$I:$I,'Monthly BSE Equity Futures'!$A:$A,$A171)=0,"",SUMIFS('Monthly BSE Equity Futures'!$I:$I,'Monthly BSE Equity Futures'!$A:$A,$A171))</f>
        <v>40</v>
      </c>
      <c r="Q171" s="7">
        <f t="shared" si="27"/>
        <v>25513036</v>
      </c>
      <c r="R171" s="19">
        <f t="shared" si="28"/>
        <v>0.99999843217404627</v>
      </c>
      <c r="S171" s="19">
        <f t="shared" si="29"/>
        <v>1.567825953759482E-6</v>
      </c>
    </row>
    <row r="172" spans="1:19" x14ac:dyDescent="0.2">
      <c r="A172" s="8">
        <v>43160</v>
      </c>
      <c r="B172" s="4" t="s">
        <v>88</v>
      </c>
      <c r="C172" s="4" t="s">
        <v>164</v>
      </c>
      <c r="D172" s="14">
        <f>IF(SUMIFS('Monthly NSE Equity Futures'!$H:$H,'Monthly NSE Equity Futures'!$A:$A,$A172)=0,"",SUMIFS('Monthly NSE Equity Futures'!$H:$H,'Monthly NSE Equity Futures'!$A:$A,$A172))</f>
        <v>17291.1891</v>
      </c>
      <c r="E172" s="6">
        <f>IF(SUMIFS('Monthly BSE Equity Futures'!$H:$H,'Monthly BSE Equity Futures'!$A:$A,$A172)=0,"",SUMIFS('Monthly BSE Equity Futures'!$H:$H,'Monthly BSE Equity Futures'!$A:$A,$A172))</f>
        <v>3.0800000000000001E-2</v>
      </c>
      <c r="F172" s="6">
        <f t="shared" si="24"/>
        <v>17291.2199</v>
      </c>
      <c r="G172" s="15">
        <f t="shared" si="25"/>
        <v>0.99999821874915829</v>
      </c>
      <c r="H172" s="15">
        <f t="shared" si="26"/>
        <v>1.7812508416482518E-6</v>
      </c>
      <c r="I172" s="20">
        <f t="shared" si="33"/>
        <v>0.15573488615276965</v>
      </c>
      <c r="J172" s="15">
        <f t="shared" si="34"/>
        <v>-0.98681901827363372</v>
      </c>
      <c r="K172" s="15">
        <f t="shared" si="35"/>
        <v>0.1555564654707231</v>
      </c>
      <c r="L172" s="15">
        <f t="shared" si="30"/>
        <v>-9.4895416730540472E-2</v>
      </c>
      <c r="M172" s="15">
        <f t="shared" si="31"/>
        <v>9.219858156028371E-2</v>
      </c>
      <c r="N172" s="15">
        <f t="shared" si="32"/>
        <v>-9.4895140556898516E-2</v>
      </c>
      <c r="O172" s="18">
        <f>IF(SUMIFS('Monthly NSE Equity Futures'!$I:$I,'Monthly NSE Equity Futures'!$A:$A,$A172)=0,"",SUMIFS('Monthly NSE Equity Futures'!$I:$I,'Monthly NSE Equity Futures'!$A:$A,$A172))</f>
        <v>23866318</v>
      </c>
      <c r="P172" s="7">
        <f>IF(SUMIFS('Monthly BSE Equity Futures'!$I:$I,'Monthly BSE Equity Futures'!$A:$A,$A172)=0,"",SUMIFS('Monthly BSE Equity Futures'!$I:$I,'Monthly BSE Equity Futures'!$A:$A,$A172))</f>
        <v>46</v>
      </c>
      <c r="Q172" s="7">
        <f t="shared" si="27"/>
        <v>23866364</v>
      </c>
      <c r="R172" s="19">
        <f t="shared" si="28"/>
        <v>0.99999807260125584</v>
      </c>
      <c r="S172" s="19">
        <f t="shared" si="29"/>
        <v>1.9273987441069782E-6</v>
      </c>
    </row>
    <row r="173" spans="1:19" x14ac:dyDescent="0.2">
      <c r="A173" s="8">
        <v>43191</v>
      </c>
      <c r="B173" s="4" t="s">
        <v>89</v>
      </c>
      <c r="C173" s="4" t="s">
        <v>165</v>
      </c>
      <c r="D173" s="14">
        <f>IF(SUMIFS('Monthly NSE Equity Futures'!$H:$H,'Monthly NSE Equity Futures'!$A:$A,$A173)=0,"",SUMIFS('Monthly NSE Equity Futures'!$H:$H,'Monthly NSE Equity Futures'!$A:$A,$A173))</f>
        <v>18656.4804</v>
      </c>
      <c r="E173" s="6">
        <f>IF(SUMIFS('Monthly BSE Equity Futures'!$H:$H,'Monthly BSE Equity Futures'!$A:$A,$A173)=0,"",SUMIFS('Monthly BSE Equity Futures'!$H:$H,'Monthly BSE Equity Futures'!$A:$A,$A173))</f>
        <v>4.2200000000000001E-2</v>
      </c>
      <c r="F173" s="6">
        <f t="shared" si="24"/>
        <v>18656.5226</v>
      </c>
      <c r="G173" s="15">
        <f t="shared" si="25"/>
        <v>0.9999977380565015</v>
      </c>
      <c r="H173" s="15">
        <f t="shared" si="26"/>
        <v>2.2619434985167065E-6</v>
      </c>
      <c r="I173" s="20">
        <f t="shared" si="33"/>
        <v>0.26462118914224853</v>
      </c>
      <c r="J173" s="15">
        <f t="shared" si="34"/>
        <v>-0.99683771956117739</v>
      </c>
      <c r="K173" s="15">
        <f t="shared" si="35"/>
        <v>0.26348114086442154</v>
      </c>
      <c r="L173" s="15">
        <f t="shared" si="30"/>
        <v>7.8958786009690973E-2</v>
      </c>
      <c r="M173" s="15">
        <f t="shared" si="31"/>
        <v>0.37012987012987009</v>
      </c>
      <c r="N173" s="15">
        <f t="shared" si="32"/>
        <v>7.8959304658429597E-2</v>
      </c>
      <c r="O173" s="18">
        <f>IF(SUMIFS('Monthly NSE Equity Futures'!$I:$I,'Monthly NSE Equity Futures'!$A:$A,$A173)=0,"",SUMIFS('Monthly NSE Equity Futures'!$I:$I,'Monthly NSE Equity Futures'!$A:$A,$A173))</f>
        <v>24965170</v>
      </c>
      <c r="P173" s="7">
        <f>IF(SUMIFS('Monthly BSE Equity Futures'!$I:$I,'Monthly BSE Equity Futures'!$A:$A,$A173)=0,"",SUMIFS('Monthly BSE Equity Futures'!$I:$I,'Monthly BSE Equity Futures'!$A:$A,$A173))</f>
        <v>59</v>
      </c>
      <c r="Q173" s="7">
        <f t="shared" si="27"/>
        <v>24965229</v>
      </c>
      <c r="R173" s="19">
        <f t="shared" si="28"/>
        <v>0.99999763671304598</v>
      </c>
      <c r="S173" s="19">
        <f t="shared" si="29"/>
        <v>2.3632869540271391E-6</v>
      </c>
    </row>
    <row r="174" spans="1:19" x14ac:dyDescent="0.2">
      <c r="A174" s="8">
        <v>43221</v>
      </c>
      <c r="B174" s="4" t="s">
        <v>89</v>
      </c>
      <c r="C174" s="4" t="s">
        <v>165</v>
      </c>
      <c r="D174" s="14">
        <f>IF(SUMIFS('Monthly NSE Equity Futures'!$H:$H,'Monthly NSE Equity Futures'!$A:$A,$A174)=0,"",SUMIFS('Monthly NSE Equity Futures'!$H:$H,'Monthly NSE Equity Futures'!$A:$A,$A174))</f>
        <v>18772.2742</v>
      </c>
      <c r="E174" s="6">
        <f>IF(SUMIFS('Monthly BSE Equity Futures'!$H:$H,'Monthly BSE Equity Futures'!$A:$A,$A174)=0,"",SUMIFS('Monthly BSE Equity Futures'!$H:$H,'Monthly BSE Equity Futures'!$A:$A,$A174))</f>
        <v>2.52E-2</v>
      </c>
      <c r="F174" s="6">
        <f t="shared" si="24"/>
        <v>18772.2994</v>
      </c>
      <c r="G174" s="15">
        <f t="shared" si="25"/>
        <v>0.99999865759652229</v>
      </c>
      <c r="H174" s="15">
        <f t="shared" si="26"/>
        <v>1.3424034777540358E-6</v>
      </c>
      <c r="I174" s="20">
        <f t="shared" si="33"/>
        <v>5.5751034551444922E-2</v>
      </c>
      <c r="J174" s="15">
        <f t="shared" si="34"/>
        <v>-0.99767945117178503</v>
      </c>
      <c r="K174" s="15">
        <f t="shared" si="35"/>
        <v>5.5108057933838772E-2</v>
      </c>
      <c r="L174" s="15">
        <f t="shared" si="30"/>
        <v>6.2066261972970604E-3</v>
      </c>
      <c r="M174" s="15">
        <f t="shared" si="31"/>
        <v>-0.40284360189573465</v>
      </c>
      <c r="N174" s="15">
        <f t="shared" si="32"/>
        <v>6.2057009487930248E-3</v>
      </c>
      <c r="O174" s="18">
        <f>IF(SUMIFS('Monthly NSE Equity Futures'!$I:$I,'Monthly NSE Equity Futures'!$A:$A,$A174)=0,"",SUMIFS('Monthly NSE Equity Futures'!$I:$I,'Monthly NSE Equity Futures'!$A:$A,$A174))</f>
        <v>26792941</v>
      </c>
      <c r="P174" s="7">
        <f>IF(SUMIFS('Monthly BSE Equity Futures'!$I:$I,'Monthly BSE Equity Futures'!$A:$A,$A174)=0,"",SUMIFS('Monthly BSE Equity Futures'!$I:$I,'Monthly BSE Equity Futures'!$A:$A,$A174))</f>
        <v>39</v>
      </c>
      <c r="Q174" s="7">
        <f t="shared" si="27"/>
        <v>26792980</v>
      </c>
      <c r="R174" s="19">
        <f t="shared" si="28"/>
        <v>0.99999854439483771</v>
      </c>
      <c r="S174" s="19">
        <f t="shared" si="29"/>
        <v>1.455605162247723E-6</v>
      </c>
    </row>
    <row r="175" spans="1:19" x14ac:dyDescent="0.2">
      <c r="A175" s="8">
        <v>43252</v>
      </c>
      <c r="B175" s="4" t="s">
        <v>89</v>
      </c>
      <c r="C175" s="4" t="s">
        <v>165</v>
      </c>
      <c r="D175" s="14">
        <f>IF(SUMIFS('Monthly NSE Equity Futures'!$H:$H,'Monthly NSE Equity Futures'!$A:$A,$A175)=0,"",SUMIFS('Monthly NSE Equity Futures'!$H:$H,'Monthly NSE Equity Futures'!$A:$A,$A175))</f>
        <v>17859.444599999999</v>
      </c>
      <c r="E175" s="6">
        <f>IF(SUMIFS('Monthly BSE Equity Futures'!$H:$H,'Monthly BSE Equity Futures'!$A:$A,$A175)=0,"",SUMIFS('Monthly BSE Equity Futures'!$H:$H,'Monthly BSE Equity Futures'!$A:$A,$A175))</f>
        <v>0.30559999999999998</v>
      </c>
      <c r="F175" s="6">
        <f t="shared" si="24"/>
        <v>17859.750199999999</v>
      </c>
      <c r="G175" s="15">
        <f t="shared" si="25"/>
        <v>0.99998288889841247</v>
      </c>
      <c r="H175" s="15">
        <f t="shared" si="26"/>
        <v>1.7111101587523884E-5</v>
      </c>
      <c r="I175" s="20">
        <f t="shared" si="33"/>
        <v>0.24672795113819279</v>
      </c>
      <c r="J175" s="15">
        <f t="shared" si="34"/>
        <v>-0.93517870399830305</v>
      </c>
      <c r="K175" s="15">
        <f t="shared" si="35"/>
        <v>0.24633910332672504</v>
      </c>
      <c r="L175" s="15">
        <f t="shared" si="30"/>
        <v>-4.8626479150831958E-2</v>
      </c>
      <c r="M175" s="15">
        <f t="shared" si="31"/>
        <v>11.126984126984127</v>
      </c>
      <c r="N175" s="15">
        <f t="shared" si="32"/>
        <v>-4.8611476972288292E-2</v>
      </c>
      <c r="O175" s="18">
        <f>IF(SUMIFS('Monthly NSE Equity Futures'!$I:$I,'Monthly NSE Equity Futures'!$A:$A,$A175)=0,"",SUMIFS('Monthly NSE Equity Futures'!$I:$I,'Monthly NSE Equity Futures'!$A:$A,$A175))</f>
        <v>25227428</v>
      </c>
      <c r="P175" s="7">
        <f>IF(SUMIFS('Monthly BSE Equity Futures'!$I:$I,'Monthly BSE Equity Futures'!$A:$A,$A175)=0,"",SUMIFS('Monthly BSE Equity Futures'!$I:$I,'Monthly BSE Equity Futures'!$A:$A,$A175))</f>
        <v>352</v>
      </c>
      <c r="Q175" s="7">
        <f t="shared" si="27"/>
        <v>25227780</v>
      </c>
      <c r="R175" s="19">
        <f t="shared" si="28"/>
        <v>0.99998604712741268</v>
      </c>
      <c r="S175" s="19">
        <f t="shared" si="29"/>
        <v>1.395287258728275E-5</v>
      </c>
    </row>
    <row r="176" spans="1:19" x14ac:dyDescent="0.2">
      <c r="A176" s="8">
        <v>43282</v>
      </c>
      <c r="B176" s="4" t="s">
        <v>89</v>
      </c>
      <c r="C176" s="4" t="s">
        <v>166</v>
      </c>
      <c r="D176" s="14">
        <f>IF(SUMIFS('Monthly NSE Equity Futures'!$H:$H,'Monthly NSE Equity Futures'!$A:$A,$A176)=0,"",SUMIFS('Monthly NSE Equity Futures'!$H:$H,'Monthly NSE Equity Futures'!$A:$A,$A176))</f>
        <v>19063.3914</v>
      </c>
      <c r="E176" s="6">
        <f>IF(SUMIFS('Monthly BSE Equity Futures'!$H:$H,'Monthly BSE Equity Futures'!$A:$A,$A176)=0,"",SUMIFS('Monthly BSE Equity Futures'!$H:$H,'Monthly BSE Equity Futures'!$A:$A,$A176))</f>
        <v>3.1800000000000002E-2</v>
      </c>
      <c r="F176" s="6">
        <f t="shared" si="24"/>
        <v>19063.423200000001</v>
      </c>
      <c r="G176" s="15">
        <f t="shared" si="25"/>
        <v>0.99999833188406573</v>
      </c>
      <c r="H176" s="15">
        <f t="shared" si="26"/>
        <v>1.6681159341833214E-6</v>
      </c>
      <c r="I176" s="20">
        <f t="shared" si="33"/>
        <v>0.20570843248194182</v>
      </c>
      <c r="J176" s="15">
        <f t="shared" si="34"/>
        <v>-0.99011347738224775</v>
      </c>
      <c r="K176" s="15">
        <f t="shared" si="35"/>
        <v>0.20546520992268258</v>
      </c>
      <c r="L176" s="15">
        <f t="shared" si="30"/>
        <v>6.7412331512257673E-2</v>
      </c>
      <c r="M176" s="15">
        <f t="shared" si="31"/>
        <v>-0.89594240837696337</v>
      </c>
      <c r="N176" s="15">
        <f t="shared" si="32"/>
        <v>6.7395847451438673E-2</v>
      </c>
      <c r="O176" s="18">
        <f>IF(SUMIFS('Monthly NSE Equity Futures'!$I:$I,'Monthly NSE Equity Futures'!$A:$A,$A176)=0,"",SUMIFS('Monthly NSE Equity Futures'!$I:$I,'Monthly NSE Equity Futures'!$A:$A,$A176))</f>
        <v>26488904</v>
      </c>
      <c r="P176" s="7">
        <f>IF(SUMIFS('Monthly BSE Equity Futures'!$I:$I,'Monthly BSE Equity Futures'!$A:$A,$A176)=0,"",SUMIFS('Monthly BSE Equity Futures'!$I:$I,'Monthly BSE Equity Futures'!$A:$A,$A176))</f>
        <v>42</v>
      </c>
      <c r="Q176" s="7">
        <f t="shared" si="27"/>
        <v>26488946</v>
      </c>
      <c r="R176" s="19">
        <f t="shared" si="28"/>
        <v>0.99999841443294879</v>
      </c>
      <c r="S176" s="19">
        <f t="shared" si="29"/>
        <v>1.585567051252247E-6</v>
      </c>
    </row>
    <row r="177" spans="1:19" x14ac:dyDescent="0.2">
      <c r="A177" s="8">
        <v>43313</v>
      </c>
      <c r="B177" s="4" t="s">
        <v>89</v>
      </c>
      <c r="C177" s="4" t="s">
        <v>166</v>
      </c>
      <c r="D177" s="14">
        <f>IF(SUMIFS('Monthly NSE Equity Futures'!$H:$H,'Monthly NSE Equity Futures'!$A:$A,$A177)=0,"",SUMIFS('Monthly NSE Equity Futures'!$H:$H,'Monthly NSE Equity Futures'!$A:$A,$A177))</f>
        <v>19392.163400000001</v>
      </c>
      <c r="E177" s="6">
        <f>IF(SUMIFS('Monthly BSE Equity Futures'!$H:$H,'Monthly BSE Equity Futures'!$A:$A,$A177)=0,"",SUMIFS('Monthly BSE Equity Futures'!$H:$H,'Monthly BSE Equity Futures'!$A:$A,$A177))</f>
        <v>0.01</v>
      </c>
      <c r="F177" s="6">
        <f t="shared" si="24"/>
        <v>19392.1734</v>
      </c>
      <c r="G177" s="15">
        <f t="shared" si="25"/>
        <v>0.99999948432804353</v>
      </c>
      <c r="H177" s="15">
        <f t="shared" si="26"/>
        <v>5.1567195660492596E-7</v>
      </c>
      <c r="I177" s="20">
        <f t="shared" si="33"/>
        <v>0.17011576783602345</v>
      </c>
      <c r="J177" s="15">
        <f t="shared" si="34"/>
        <v>-0.95350999535099956</v>
      </c>
      <c r="K177" s="15">
        <f t="shared" si="35"/>
        <v>0.1701011844278324</v>
      </c>
      <c r="L177" s="15">
        <f t="shared" si="30"/>
        <v>1.7246249269162073E-2</v>
      </c>
      <c r="M177" s="15">
        <f t="shared" si="31"/>
        <v>-0.68553459119496862</v>
      </c>
      <c r="N177" s="15">
        <f t="shared" si="32"/>
        <v>1.7245076949243821E-2</v>
      </c>
      <c r="O177" s="18">
        <f>IF(SUMIFS('Monthly NSE Equity Futures'!$I:$I,'Monthly NSE Equity Futures'!$A:$A,$A177)=0,"",SUMIFS('Monthly NSE Equity Futures'!$I:$I,'Monthly NSE Equity Futures'!$A:$A,$A177))</f>
        <v>25667957</v>
      </c>
      <c r="P177" s="7">
        <f>IF(SUMIFS('Monthly BSE Equity Futures'!$I:$I,'Monthly BSE Equity Futures'!$A:$A,$A177)=0,"",SUMIFS('Monthly BSE Equity Futures'!$I:$I,'Monthly BSE Equity Futures'!$A:$A,$A177))</f>
        <v>16</v>
      </c>
      <c r="Q177" s="7">
        <f t="shared" si="27"/>
        <v>25667973</v>
      </c>
      <c r="R177" s="19">
        <f t="shared" si="28"/>
        <v>0.99999937665510241</v>
      </c>
      <c r="S177" s="19">
        <f t="shared" si="29"/>
        <v>6.2334489754995461E-7</v>
      </c>
    </row>
    <row r="178" spans="1:19" x14ac:dyDescent="0.2">
      <c r="A178" s="8">
        <v>43344</v>
      </c>
      <c r="B178" s="4" t="s">
        <v>89</v>
      </c>
      <c r="C178" s="4" t="s">
        <v>166</v>
      </c>
      <c r="D178" s="14">
        <f>IF(SUMIFS('Monthly NSE Equity Futures'!$H:$H,'Monthly NSE Equity Futures'!$A:$A,$A178)=0,"",SUMIFS('Monthly NSE Equity Futures'!$H:$H,'Monthly NSE Equity Futures'!$A:$A,$A178))</f>
        <v>20044.336500000001</v>
      </c>
      <c r="E178" s="6">
        <f>IF(SUMIFS('Monthly BSE Equity Futures'!$H:$H,'Monthly BSE Equity Futures'!$A:$A,$A178)=0,"",SUMIFS('Monthly BSE Equity Futures'!$H:$H,'Monthly BSE Equity Futures'!$A:$A,$A178))</f>
        <v>9.2999999999999992E-3</v>
      </c>
      <c r="F178" s="6">
        <f t="shared" si="24"/>
        <v>20044.345800000003</v>
      </c>
      <c r="G178" s="15">
        <f t="shared" si="25"/>
        <v>0.99999953602875868</v>
      </c>
      <c r="H178" s="15">
        <f t="shared" si="26"/>
        <v>4.6397124120658492E-7</v>
      </c>
      <c r="I178" s="20">
        <f t="shared" si="33"/>
        <v>0.21459696230060743</v>
      </c>
      <c r="J178" s="15">
        <f t="shared" si="34"/>
        <v>-0.70569620253164556</v>
      </c>
      <c r="K178" s="15">
        <f t="shared" si="35"/>
        <v>0.214595200109712</v>
      </c>
      <c r="L178" s="15">
        <f t="shared" si="30"/>
        <v>3.363075519464731E-2</v>
      </c>
      <c r="M178" s="15">
        <f t="shared" si="31"/>
        <v>-7.0000000000000062E-2</v>
      </c>
      <c r="N178" s="15">
        <f t="shared" si="32"/>
        <v>3.3630701755173131E-2</v>
      </c>
      <c r="O178" s="18">
        <f>IF(SUMIFS('Monthly NSE Equity Futures'!$I:$I,'Monthly NSE Equity Futures'!$A:$A,$A178)=0,"",SUMIFS('Monthly NSE Equity Futures'!$I:$I,'Monthly NSE Equity Futures'!$A:$A,$A178))</f>
        <v>27473181</v>
      </c>
      <c r="P178" s="7">
        <f>IF(SUMIFS('Monthly BSE Equity Futures'!$I:$I,'Monthly BSE Equity Futures'!$A:$A,$A178)=0,"",SUMIFS('Monthly BSE Equity Futures'!$I:$I,'Monthly BSE Equity Futures'!$A:$A,$A178))</f>
        <v>14</v>
      </c>
      <c r="Q178" s="7">
        <f t="shared" si="27"/>
        <v>27473195</v>
      </c>
      <c r="R178" s="19">
        <f t="shared" si="28"/>
        <v>0.99999949041238201</v>
      </c>
      <c r="S178" s="19">
        <f t="shared" si="29"/>
        <v>5.0958761804005686E-7</v>
      </c>
    </row>
    <row r="179" spans="1:19" x14ac:dyDescent="0.2">
      <c r="A179" s="8">
        <v>43374</v>
      </c>
      <c r="B179" s="4" t="s">
        <v>89</v>
      </c>
      <c r="C179" s="4" t="s">
        <v>167</v>
      </c>
      <c r="D179" s="14">
        <f>IF(SUMIFS('Monthly NSE Equity Futures'!$H:$H,'Monthly NSE Equity Futures'!$A:$A,$A179)=0,"",SUMIFS('Monthly NSE Equity Futures'!$H:$H,'Monthly NSE Equity Futures'!$A:$A,$A179))</f>
        <v>21553.347900000001</v>
      </c>
      <c r="E179" s="6">
        <f>IF(SUMIFS('Monthly BSE Equity Futures'!$H:$H,'Monthly BSE Equity Futures'!$A:$A,$A179)=0,"",SUMIFS('Monthly BSE Equity Futures'!$H:$H,'Monthly BSE Equity Futures'!$A:$A,$A179))</f>
        <v>2.8999999999999998E-3</v>
      </c>
      <c r="F179" s="6">
        <f t="shared" si="24"/>
        <v>21553.3508</v>
      </c>
      <c r="G179" s="15">
        <f t="shared" si="25"/>
        <v>0.99999986545015551</v>
      </c>
      <c r="H179" s="15">
        <f t="shared" si="26"/>
        <v>1.3454984456523577E-7</v>
      </c>
      <c r="I179" s="20">
        <f t="shared" si="33"/>
        <v>0.33078559686576625</v>
      </c>
      <c r="J179" s="15">
        <f t="shared" si="34"/>
        <v>-0.8941605839416058</v>
      </c>
      <c r="K179" s="15">
        <f t="shared" si="35"/>
        <v>0.33078352452968351</v>
      </c>
      <c r="L179" s="15">
        <f t="shared" si="30"/>
        <v>7.5283679257729386E-2</v>
      </c>
      <c r="M179" s="15">
        <f t="shared" si="31"/>
        <v>-0.68817204301075274</v>
      </c>
      <c r="N179" s="15">
        <f t="shared" si="32"/>
        <v>7.5283325036230364E-2</v>
      </c>
      <c r="O179" s="18">
        <f>IF(SUMIFS('Monthly NSE Equity Futures'!$I:$I,'Monthly NSE Equity Futures'!$A:$A,$A179)=0,"",SUMIFS('Monthly NSE Equity Futures'!$I:$I,'Monthly NSE Equity Futures'!$A:$A,$A179))</f>
        <v>33159950</v>
      </c>
      <c r="P179" s="7">
        <f>IF(SUMIFS('Monthly BSE Equity Futures'!$I:$I,'Monthly BSE Equity Futures'!$A:$A,$A179)=0,"",SUMIFS('Monthly BSE Equity Futures'!$I:$I,'Monthly BSE Equity Futures'!$A:$A,$A179))</f>
        <v>5</v>
      </c>
      <c r="Q179" s="7">
        <f t="shared" si="27"/>
        <v>33159955</v>
      </c>
      <c r="R179" s="19">
        <f t="shared" si="28"/>
        <v>0.99999984921571816</v>
      </c>
      <c r="S179" s="19">
        <f t="shared" si="29"/>
        <v>1.5078428182426666E-7</v>
      </c>
    </row>
    <row r="180" spans="1:19" x14ac:dyDescent="0.2">
      <c r="A180" s="8">
        <v>43405</v>
      </c>
      <c r="B180" s="4" t="s">
        <v>89</v>
      </c>
      <c r="C180" s="4" t="s">
        <v>167</v>
      </c>
      <c r="D180" s="14">
        <f>IF(SUMIFS('Monthly NSE Equity Futures'!$H:$H,'Monthly NSE Equity Futures'!$A:$A,$A180)=0,"",SUMIFS('Monthly NSE Equity Futures'!$H:$H,'Monthly NSE Equity Futures'!$A:$A,$A180))</f>
        <v>16290.1186</v>
      </c>
      <c r="E180" s="6">
        <f>IF(SUMIFS('Monthly BSE Equity Futures'!$H:$H,'Monthly BSE Equity Futures'!$A:$A,$A180)=0,"",SUMIFS('Monthly BSE Equity Futures'!$H:$H,'Monthly BSE Equity Futures'!$A:$A,$A180))</f>
        <v>2.5000000000000001E-3</v>
      </c>
      <c r="F180" s="6">
        <f t="shared" si="24"/>
        <v>16290.1211</v>
      </c>
      <c r="G180" s="15">
        <f t="shared" si="25"/>
        <v>0.99999984653275531</v>
      </c>
      <c r="H180" s="15">
        <f t="shared" si="26"/>
        <v>1.5346724463576884E-7</v>
      </c>
      <c r="I180" s="20">
        <f t="shared" si="33"/>
        <v>-8.1922383048386616E-2</v>
      </c>
      <c r="J180" s="15">
        <f t="shared" si="34"/>
        <v>-0.85714285714285721</v>
      </c>
      <c r="K180" s="15">
        <f t="shared" si="35"/>
        <v>-8.1923147619714642E-2</v>
      </c>
      <c r="L180" s="15">
        <f t="shared" si="30"/>
        <v>-0.24419544121031889</v>
      </c>
      <c r="M180" s="15">
        <f t="shared" si="31"/>
        <v>-0.13793103448275856</v>
      </c>
      <c r="N180" s="15">
        <f t="shared" si="32"/>
        <v>-0.24419542691245943</v>
      </c>
      <c r="O180" s="18">
        <f>IF(SUMIFS('Monthly NSE Equity Futures'!$I:$I,'Monthly NSE Equity Futures'!$A:$A,$A180)=0,"",SUMIFS('Monthly NSE Equity Futures'!$I:$I,'Monthly NSE Equity Futures'!$A:$A,$A180))</f>
        <v>28032352</v>
      </c>
      <c r="P180" s="7">
        <f>IF(SUMIFS('Monthly BSE Equity Futures'!$I:$I,'Monthly BSE Equity Futures'!$A:$A,$A180)=0,"",SUMIFS('Monthly BSE Equity Futures'!$I:$I,'Monthly BSE Equity Futures'!$A:$A,$A180))</f>
        <v>4</v>
      </c>
      <c r="Q180" s="7">
        <f t="shared" si="27"/>
        <v>28032356</v>
      </c>
      <c r="R180" s="19">
        <f t="shared" si="28"/>
        <v>0.99999985730774821</v>
      </c>
      <c r="S180" s="19">
        <f t="shared" si="29"/>
        <v>1.4269225176792132E-7</v>
      </c>
    </row>
    <row r="181" spans="1:19" x14ac:dyDescent="0.2">
      <c r="A181" s="8">
        <v>43435</v>
      </c>
      <c r="B181" s="4" t="s">
        <v>89</v>
      </c>
      <c r="C181" s="4" t="s">
        <v>167</v>
      </c>
      <c r="D181" s="14">
        <f>IF(SUMIFS('Monthly NSE Equity Futures'!$H:$H,'Monthly NSE Equity Futures'!$A:$A,$A181)=0,"",SUMIFS('Monthly NSE Equity Futures'!$H:$H,'Monthly NSE Equity Futures'!$A:$A,$A181))</f>
        <v>16030.3297</v>
      </c>
      <c r="E181" s="6">
        <f>IF(SUMIFS('Monthly BSE Equity Futures'!$H:$H,'Monthly BSE Equity Futures'!$A:$A,$A181)=0,"",SUMIFS('Monthly BSE Equity Futures'!$H:$H,'Monthly BSE Equity Futures'!$A:$A,$A181))</f>
        <v>5.5999999999999999E-3</v>
      </c>
      <c r="F181" s="6">
        <f t="shared" si="24"/>
        <v>16030.335300000001</v>
      </c>
      <c r="G181" s="15">
        <f t="shared" si="25"/>
        <v>0.99999965066232888</v>
      </c>
      <c r="H181" s="15">
        <f t="shared" si="26"/>
        <v>3.4933767105919484E-7</v>
      </c>
      <c r="I181" s="20">
        <f t="shared" si="33"/>
        <v>-2.8832597732069587E-2</v>
      </c>
      <c r="J181" s="15">
        <f t="shared" si="34"/>
        <v>-0.59124087591240881</v>
      </c>
      <c r="K181" s="15">
        <f t="shared" si="35"/>
        <v>-2.8833064524229512E-2</v>
      </c>
      <c r="L181" s="15">
        <f t="shared" si="30"/>
        <v>-1.5947637115422797E-2</v>
      </c>
      <c r="M181" s="15">
        <f t="shared" si="31"/>
        <v>1.2399999999999998</v>
      </c>
      <c r="N181" s="15">
        <f t="shared" si="32"/>
        <v>-1.5947444368599517E-2</v>
      </c>
      <c r="O181" s="18">
        <f>IF(SUMIFS('Monthly NSE Equity Futures'!$I:$I,'Monthly NSE Equity Futures'!$A:$A,$A181)=0,"",SUMIFS('Monthly NSE Equity Futures'!$I:$I,'Monthly NSE Equity Futures'!$A:$A,$A181))</f>
        <v>26817476</v>
      </c>
      <c r="P181" s="7">
        <f>IF(SUMIFS('Monthly BSE Equity Futures'!$I:$I,'Monthly BSE Equity Futures'!$A:$A,$A181)=0,"",SUMIFS('Monthly BSE Equity Futures'!$I:$I,'Monthly BSE Equity Futures'!$A:$A,$A181))</f>
        <v>9</v>
      </c>
      <c r="Q181" s="7">
        <f t="shared" si="27"/>
        <v>26817485</v>
      </c>
      <c r="R181" s="19">
        <f t="shared" si="28"/>
        <v>0.99999966439805965</v>
      </c>
      <c r="S181" s="19">
        <f t="shared" si="29"/>
        <v>3.3560194030126242E-7</v>
      </c>
    </row>
    <row r="182" spans="1:19" x14ac:dyDescent="0.2">
      <c r="A182" s="8">
        <v>43466</v>
      </c>
      <c r="B182" s="4" t="s">
        <v>89</v>
      </c>
      <c r="C182" s="4" t="s">
        <v>168</v>
      </c>
      <c r="D182" s="14">
        <f>IF(SUMIFS('Monthly NSE Equity Futures'!$H:$H,'Monthly NSE Equity Futures'!$A:$A,$A182)=0,"",SUMIFS('Monthly NSE Equity Futures'!$H:$H,'Monthly NSE Equity Futures'!$A:$A,$A182))</f>
        <v>17496.8887</v>
      </c>
      <c r="E182" s="6">
        <f>IF(SUMIFS('Monthly BSE Equity Futures'!$H:$H,'Monthly BSE Equity Futures'!$A:$A,$A182)=0,"",SUMIFS('Monthly BSE Equity Futures'!$H:$H,'Monthly BSE Equity Futures'!$A:$A,$A182))</f>
        <v>4.7000000000000002E-3</v>
      </c>
      <c r="F182" s="6">
        <f t="shared" si="24"/>
        <v>17496.893400000001</v>
      </c>
      <c r="G182" s="15">
        <f t="shared" si="25"/>
        <v>0.99999973138088605</v>
      </c>
      <c r="H182" s="15">
        <f t="shared" si="26"/>
        <v>2.6861911383651681E-7</v>
      </c>
      <c r="I182" s="20">
        <f t="shared" si="33"/>
        <v>-0.1859345124372499</v>
      </c>
      <c r="J182" s="15">
        <f t="shared" si="34"/>
        <v>-0.89095127610208813</v>
      </c>
      <c r="K182" s="15">
        <f t="shared" si="35"/>
        <v>-0.18593592619291044</v>
      </c>
      <c r="L182" s="15">
        <f t="shared" si="30"/>
        <v>9.1486515090204223E-2</v>
      </c>
      <c r="M182" s="15">
        <f t="shared" si="31"/>
        <v>-0.1607142857142857</v>
      </c>
      <c r="N182" s="15">
        <f t="shared" si="32"/>
        <v>9.1486426986963965E-2</v>
      </c>
      <c r="O182" s="18">
        <f>IF(SUMIFS('Monthly NSE Equity Futures'!$I:$I,'Monthly NSE Equity Futures'!$A:$A,$A182)=0,"",SUMIFS('Monthly NSE Equity Futures'!$I:$I,'Monthly NSE Equity Futures'!$A:$A,$A182))</f>
        <v>28687906</v>
      </c>
      <c r="P182" s="7">
        <f>IF(SUMIFS('Monthly BSE Equity Futures'!$I:$I,'Monthly BSE Equity Futures'!$A:$A,$A182)=0,"",SUMIFS('Monthly BSE Equity Futures'!$I:$I,'Monthly BSE Equity Futures'!$A:$A,$A182))</f>
        <v>7</v>
      </c>
      <c r="Q182" s="7">
        <f t="shared" si="27"/>
        <v>28687913</v>
      </c>
      <c r="R182" s="19">
        <f t="shared" si="28"/>
        <v>0.99999975599479818</v>
      </c>
      <c r="S182" s="19">
        <f t="shared" si="29"/>
        <v>2.4400520177260716E-7</v>
      </c>
    </row>
    <row r="183" spans="1:19" x14ac:dyDescent="0.2">
      <c r="A183" s="8">
        <v>43497</v>
      </c>
      <c r="B183" s="4" t="s">
        <v>89</v>
      </c>
      <c r="C183" s="4" t="s">
        <v>168</v>
      </c>
      <c r="D183" s="14">
        <f>IF(SUMIFS('Monthly NSE Equity Futures'!$H:$H,'Monthly NSE Equity Futures'!$A:$A,$A183)=0,"",SUMIFS('Monthly NSE Equity Futures'!$H:$H,'Monthly NSE Equity Futures'!$A:$A,$A183))</f>
        <v>15701.006600000001</v>
      </c>
      <c r="E183" s="6">
        <f>IF(SUMIFS('Monthly BSE Equity Futures'!$H:$H,'Monthly BSE Equity Futures'!$A:$A,$A183)=0,"",SUMIFS('Monthly BSE Equity Futures'!$H:$H,'Monthly BSE Equity Futures'!$A:$A,$A183))</f>
        <v>7.9000000000000008E-3</v>
      </c>
      <c r="F183" s="6">
        <f t="shared" si="24"/>
        <v>15701.014500000001</v>
      </c>
      <c r="G183" s="15">
        <f t="shared" si="25"/>
        <v>0.99999949684779921</v>
      </c>
      <c r="H183" s="15">
        <f t="shared" si="26"/>
        <v>5.0315220077021144E-7</v>
      </c>
      <c r="I183" s="20">
        <f t="shared" si="33"/>
        <v>-0.17813327045252003</v>
      </c>
      <c r="J183" s="15">
        <f t="shared" si="34"/>
        <v>-0.71985815602836878</v>
      </c>
      <c r="K183" s="15">
        <f t="shared" si="35"/>
        <v>-0.17813407010475879</v>
      </c>
      <c r="L183" s="15">
        <f t="shared" si="30"/>
        <v>-0.10264008251935663</v>
      </c>
      <c r="M183" s="15">
        <f t="shared" si="31"/>
        <v>0.68085106382978733</v>
      </c>
      <c r="N183" s="15">
        <f t="shared" si="32"/>
        <v>-0.10263987205865921</v>
      </c>
      <c r="O183" s="18">
        <f>IF(SUMIFS('Monthly NSE Equity Futures'!$I:$I,'Monthly NSE Equity Futures'!$A:$A,$A183)=0,"",SUMIFS('Monthly NSE Equity Futures'!$I:$I,'Monthly NSE Equity Futures'!$A:$A,$A183))</f>
        <v>26520301</v>
      </c>
      <c r="P183" s="7">
        <f>IF(SUMIFS('Monthly BSE Equity Futures'!$I:$I,'Monthly BSE Equity Futures'!$A:$A,$A183)=0,"",SUMIFS('Monthly BSE Equity Futures'!$I:$I,'Monthly BSE Equity Futures'!$A:$A,$A183))</f>
        <v>11</v>
      </c>
      <c r="Q183" s="7">
        <f t="shared" si="27"/>
        <v>26520312</v>
      </c>
      <c r="R183" s="19">
        <f t="shared" si="28"/>
        <v>0.99999958522358257</v>
      </c>
      <c r="S183" s="19">
        <f t="shared" si="29"/>
        <v>4.1477641741168055E-7</v>
      </c>
    </row>
    <row r="184" spans="1:19" x14ac:dyDescent="0.2">
      <c r="A184" s="8">
        <v>43525</v>
      </c>
      <c r="B184" s="4" t="s">
        <v>89</v>
      </c>
      <c r="C184" s="4" t="s">
        <v>168</v>
      </c>
      <c r="D184" s="14">
        <f>IF(SUMIFS('Monthly NSE Equity Futures'!$H:$H,'Monthly NSE Equity Futures'!$A:$A,$A184)=0,"",SUMIFS('Monthly NSE Equity Futures'!$H:$H,'Monthly NSE Equity Futures'!$A:$A,$A184))</f>
        <v>16299.471299999999</v>
      </c>
      <c r="E184" s="6">
        <f>IF(SUMIFS('Monthly BSE Equity Futures'!$H:$H,'Monthly BSE Equity Futures'!$A:$A,$A184)=0,"",SUMIFS('Monthly BSE Equity Futures'!$H:$H,'Monthly BSE Equity Futures'!$A:$A,$A184))</f>
        <v>0.12130000000000001</v>
      </c>
      <c r="F184" s="6">
        <f t="shared" si="24"/>
        <v>16299.5926</v>
      </c>
      <c r="G184" s="15">
        <f t="shared" si="25"/>
        <v>0.99999255809620657</v>
      </c>
      <c r="H184" s="15">
        <f t="shared" si="26"/>
        <v>7.4419037933500257E-6</v>
      </c>
      <c r="I184" s="20">
        <f t="shared" si="33"/>
        <v>-5.7353938717841002E-2</v>
      </c>
      <c r="J184" s="15">
        <f t="shared" si="34"/>
        <v>2.9383116883116882</v>
      </c>
      <c r="K184" s="15">
        <f t="shared" si="35"/>
        <v>-5.7348602685921568E-2</v>
      </c>
      <c r="L184" s="15">
        <f t="shared" si="30"/>
        <v>3.8116326885691443E-2</v>
      </c>
      <c r="M184" s="15">
        <f t="shared" si="31"/>
        <v>14.354430379746834</v>
      </c>
      <c r="N184" s="15">
        <f t="shared" si="32"/>
        <v>3.8123530170613984E-2</v>
      </c>
      <c r="O184" s="18">
        <f>IF(SUMIFS('Monthly NSE Equity Futures'!$I:$I,'Monthly NSE Equity Futures'!$A:$A,$A184)=0,"",SUMIFS('Monthly NSE Equity Futures'!$I:$I,'Monthly NSE Equity Futures'!$A:$A,$A184))</f>
        <v>25524825</v>
      </c>
      <c r="P184" s="7">
        <f>IF(SUMIFS('Monthly BSE Equity Futures'!$I:$I,'Monthly BSE Equity Futures'!$A:$A,$A184)=0,"",SUMIFS('Monthly BSE Equity Futures'!$I:$I,'Monthly BSE Equity Futures'!$A:$A,$A184))</f>
        <v>151</v>
      </c>
      <c r="Q184" s="7">
        <f t="shared" si="27"/>
        <v>25524976</v>
      </c>
      <c r="R184" s="19">
        <f t="shared" si="28"/>
        <v>0.99999408422558356</v>
      </c>
      <c r="S184" s="19">
        <f t="shared" si="29"/>
        <v>5.9157744163990598E-6</v>
      </c>
    </row>
    <row r="185" spans="1:19" x14ac:dyDescent="0.2">
      <c r="A185" s="8">
        <v>43556</v>
      </c>
      <c r="B185" s="4" t="s">
        <v>90</v>
      </c>
      <c r="C185" s="4" t="s">
        <v>169</v>
      </c>
      <c r="D185" s="14">
        <f>IF(SUMIFS('Monthly NSE Equity Futures'!$H:$H,'Monthly NSE Equity Futures'!$A:$A,$A185)=0,"",SUMIFS('Monthly NSE Equity Futures'!$H:$H,'Monthly NSE Equity Futures'!$A:$A,$A185))</f>
        <v>15653.475399999999</v>
      </c>
      <c r="E185" s="6">
        <f>IF(SUMIFS('Monthly BSE Equity Futures'!$H:$H,'Monthly BSE Equity Futures'!$A:$A,$A185)=0,"",SUMIFS('Monthly BSE Equity Futures'!$H:$H,'Monthly BSE Equity Futures'!$A:$A,$A185))</f>
        <v>4.2299999999999997E-2</v>
      </c>
      <c r="F185" s="6">
        <f t="shared" si="24"/>
        <v>15653.517699999999</v>
      </c>
      <c r="G185" s="15">
        <f t="shared" si="25"/>
        <v>0.99999729773199797</v>
      </c>
      <c r="H185" s="15">
        <f t="shared" si="26"/>
        <v>2.7022680020350952E-6</v>
      </c>
      <c r="I185" s="20">
        <f t="shared" si="33"/>
        <v>-0.16096310427340843</v>
      </c>
      <c r="J185" s="15">
        <f t="shared" si="34"/>
        <v>2.3696682464453556E-3</v>
      </c>
      <c r="K185" s="15">
        <f t="shared" si="35"/>
        <v>-0.16096273482390555</v>
      </c>
      <c r="L185" s="15">
        <f t="shared" si="30"/>
        <v>-3.9632935824120863E-2</v>
      </c>
      <c r="M185" s="15">
        <f t="shared" si="31"/>
        <v>-0.65127782357790598</v>
      </c>
      <c r="N185" s="15">
        <f t="shared" si="32"/>
        <v>-3.9637487626531298E-2</v>
      </c>
      <c r="O185" s="18">
        <f>IF(SUMIFS('Monthly NSE Equity Futures'!$I:$I,'Monthly NSE Equity Futures'!$A:$A,$A185)=0,"",SUMIFS('Monthly NSE Equity Futures'!$I:$I,'Monthly NSE Equity Futures'!$A:$A,$A185))</f>
        <v>24340504</v>
      </c>
      <c r="P185" s="7">
        <f>IF(SUMIFS('Monthly BSE Equity Futures'!$I:$I,'Monthly BSE Equity Futures'!$A:$A,$A185)=0,"",SUMIFS('Monthly BSE Equity Futures'!$I:$I,'Monthly BSE Equity Futures'!$A:$A,$A185))</f>
        <v>58</v>
      </c>
      <c r="Q185" s="7">
        <f t="shared" si="27"/>
        <v>24340562</v>
      </c>
      <c r="R185" s="19">
        <f t="shared" si="28"/>
        <v>0.99999761714622692</v>
      </c>
      <c r="S185" s="19">
        <f t="shared" si="29"/>
        <v>2.3828537730558563E-6</v>
      </c>
    </row>
    <row r="186" spans="1:19" x14ac:dyDescent="0.2">
      <c r="A186" s="8">
        <v>43586</v>
      </c>
      <c r="B186" s="4" t="s">
        <v>90</v>
      </c>
      <c r="C186" s="4" t="s">
        <v>169</v>
      </c>
      <c r="D186" s="14">
        <f>IF(SUMIFS('Monthly NSE Equity Futures'!$H:$H,'Monthly NSE Equity Futures'!$A:$A,$A186)=0,"",SUMIFS('Monthly NSE Equity Futures'!$H:$H,'Monthly NSE Equity Futures'!$A:$A,$A186))</f>
        <v>19587.0481</v>
      </c>
      <c r="E186" s="6">
        <f>IF(SUMIFS('Monthly BSE Equity Futures'!$H:$H,'Monthly BSE Equity Futures'!$A:$A,$A186)=0,"",SUMIFS('Monthly BSE Equity Futures'!$H:$H,'Monthly BSE Equity Futures'!$A:$A,$A186))</f>
        <v>3.4599999999999999E-2</v>
      </c>
      <c r="F186" s="6">
        <f t="shared" si="24"/>
        <v>19587.082699999999</v>
      </c>
      <c r="G186" s="15">
        <f t="shared" si="25"/>
        <v>0.99999823352969253</v>
      </c>
      <c r="H186" s="15">
        <f t="shared" si="26"/>
        <v>1.7664703074950513E-6</v>
      </c>
      <c r="I186" s="20">
        <f t="shared" si="33"/>
        <v>4.3403047031989272E-2</v>
      </c>
      <c r="J186" s="15">
        <f t="shared" si="34"/>
        <v>0.37301587301587302</v>
      </c>
      <c r="K186" s="15">
        <f t="shared" si="35"/>
        <v>4.3403489505393189E-2</v>
      </c>
      <c r="L186" s="15">
        <f t="shared" si="30"/>
        <v>0.25129069420583749</v>
      </c>
      <c r="M186" s="15">
        <f t="shared" si="31"/>
        <v>-0.18203309692671388</v>
      </c>
      <c r="N186" s="15">
        <f t="shared" si="32"/>
        <v>0.25128952324882237</v>
      </c>
      <c r="O186" s="18">
        <f>IF(SUMIFS('Monthly NSE Equity Futures'!$I:$I,'Monthly NSE Equity Futures'!$A:$A,$A186)=0,"",SUMIFS('Monthly NSE Equity Futures'!$I:$I,'Monthly NSE Equity Futures'!$A:$A,$A186))</f>
        <v>31555740</v>
      </c>
      <c r="P186" s="7">
        <f>IF(SUMIFS('Monthly BSE Equity Futures'!$I:$I,'Monthly BSE Equity Futures'!$A:$A,$A186)=0,"",SUMIFS('Monthly BSE Equity Futures'!$I:$I,'Monthly BSE Equity Futures'!$A:$A,$A186))</f>
        <v>40</v>
      </c>
      <c r="Q186" s="7">
        <f t="shared" si="27"/>
        <v>31555780</v>
      </c>
      <c r="R186" s="19">
        <f t="shared" si="28"/>
        <v>0.99999873240338222</v>
      </c>
      <c r="S186" s="19">
        <f t="shared" si="29"/>
        <v>1.2675966177987045E-6</v>
      </c>
    </row>
    <row r="187" spans="1:19" x14ac:dyDescent="0.2">
      <c r="A187" s="8">
        <v>43617</v>
      </c>
      <c r="B187" s="4" t="s">
        <v>90</v>
      </c>
      <c r="C187" s="4" t="s">
        <v>169</v>
      </c>
      <c r="D187" s="14">
        <f>IF(SUMIFS('Monthly NSE Equity Futures'!$H:$H,'Monthly NSE Equity Futures'!$A:$A,$A187)=0,"",SUMIFS('Monthly NSE Equity Futures'!$H:$H,'Monthly NSE Equity Futures'!$A:$A,$A187))</f>
        <v>15282.892099999999</v>
      </c>
      <c r="E187" s="6">
        <f>IF(SUMIFS('Monthly BSE Equity Futures'!$H:$H,'Monthly BSE Equity Futures'!$A:$A,$A187)=0,"",SUMIFS('Monthly BSE Equity Futures'!$H:$H,'Monthly BSE Equity Futures'!$A:$A,$A187))</f>
        <v>1.7299999999999999E-2</v>
      </c>
      <c r="F187" s="6">
        <f t="shared" si="24"/>
        <v>15282.909399999999</v>
      </c>
      <c r="G187" s="15">
        <f t="shared" si="25"/>
        <v>0.99999886801658333</v>
      </c>
      <c r="H187" s="15">
        <f t="shared" si="26"/>
        <v>1.1319834167177619E-6</v>
      </c>
      <c r="I187" s="20">
        <f t="shared" si="33"/>
        <v>-0.14426834415668222</v>
      </c>
      <c r="J187" s="15">
        <f t="shared" si="34"/>
        <v>-0.94339005235602091</v>
      </c>
      <c r="K187" s="15">
        <f t="shared" si="35"/>
        <v>-0.14428201800941198</v>
      </c>
      <c r="L187" s="15">
        <f t="shared" si="30"/>
        <v>-0.21974500588478163</v>
      </c>
      <c r="M187" s="15">
        <f t="shared" si="31"/>
        <v>-0.5</v>
      </c>
      <c r="N187" s="15">
        <f t="shared" si="32"/>
        <v>-0.21974550094690726</v>
      </c>
      <c r="O187" s="18">
        <f>IF(SUMIFS('Monthly NSE Equity Futures'!$I:$I,'Monthly NSE Equity Futures'!$A:$A,$A187)=0,"",SUMIFS('Monthly NSE Equity Futures'!$I:$I,'Monthly NSE Equity Futures'!$A:$A,$A187))</f>
        <v>25007333</v>
      </c>
      <c r="P187" s="7">
        <f>IF(SUMIFS('Monthly BSE Equity Futures'!$I:$I,'Monthly BSE Equity Futures'!$A:$A,$A187)=0,"",SUMIFS('Monthly BSE Equity Futures'!$I:$I,'Monthly BSE Equity Futures'!$A:$A,$A187))</f>
        <v>20</v>
      </c>
      <c r="Q187" s="7">
        <f t="shared" si="27"/>
        <v>25007353</v>
      </c>
      <c r="R187" s="19">
        <f t="shared" si="28"/>
        <v>0.99999920023522682</v>
      </c>
      <c r="S187" s="19">
        <f t="shared" si="29"/>
        <v>7.9976477318491085E-7</v>
      </c>
    </row>
    <row r="188" spans="1:19" x14ac:dyDescent="0.2">
      <c r="A188" s="8">
        <v>43647</v>
      </c>
      <c r="B188" s="4" t="s">
        <v>90</v>
      </c>
      <c r="C188" s="4" t="s">
        <v>170</v>
      </c>
      <c r="D188" s="14">
        <f>IF(SUMIFS('Monthly NSE Equity Futures'!$H:$H,'Monthly NSE Equity Futures'!$A:$A,$A188)=0,"",SUMIFS('Monthly NSE Equity Futures'!$H:$H,'Monthly NSE Equity Futures'!$A:$A,$A188))</f>
        <v>18224.013800000001</v>
      </c>
      <c r="E188" s="6">
        <f>IF(SUMIFS('Monthly BSE Equity Futures'!$H:$H,'Monthly BSE Equity Futures'!$A:$A,$A188)=0,"",SUMIFS('Monthly BSE Equity Futures'!$H:$H,'Monthly BSE Equity Futures'!$A:$A,$A188))</f>
        <v>8.8999999999999999E-3</v>
      </c>
      <c r="F188" s="6">
        <f t="shared" si="24"/>
        <v>18224.022700000001</v>
      </c>
      <c r="G188" s="15">
        <f t="shared" si="25"/>
        <v>0.99999951163361966</v>
      </c>
      <c r="H188" s="15">
        <f t="shared" si="26"/>
        <v>4.8836638027234234E-7</v>
      </c>
      <c r="I188" s="20">
        <f t="shared" si="33"/>
        <v>-4.4030864308855389E-2</v>
      </c>
      <c r="J188" s="15">
        <f t="shared" si="34"/>
        <v>-0.72012578616352196</v>
      </c>
      <c r="K188" s="15">
        <f t="shared" si="35"/>
        <v>-4.4031992113567453E-2</v>
      </c>
      <c r="L188" s="15">
        <f t="shared" si="30"/>
        <v>0.19244536183043537</v>
      </c>
      <c r="M188" s="15">
        <f t="shared" si="31"/>
        <v>-0.48554913294797686</v>
      </c>
      <c r="N188" s="15">
        <f t="shared" si="32"/>
        <v>0.19244459435191064</v>
      </c>
      <c r="O188" s="18">
        <f>IF(SUMIFS('Monthly NSE Equity Futures'!$I:$I,'Monthly NSE Equity Futures'!$A:$A,$A188)=0,"",SUMIFS('Monthly NSE Equity Futures'!$I:$I,'Monthly NSE Equity Futures'!$A:$A,$A188))</f>
        <v>28933678</v>
      </c>
      <c r="P188" s="7">
        <f>IF(SUMIFS('Monthly BSE Equity Futures'!$I:$I,'Monthly BSE Equity Futures'!$A:$A,$A188)=0,"",SUMIFS('Monthly BSE Equity Futures'!$I:$I,'Monthly BSE Equity Futures'!$A:$A,$A188))</f>
        <v>11</v>
      </c>
      <c r="Q188" s="7">
        <f t="shared" si="27"/>
        <v>28933689</v>
      </c>
      <c r="R188" s="19">
        <f t="shared" si="28"/>
        <v>0.99999961982034158</v>
      </c>
      <c r="S188" s="19">
        <f t="shared" si="29"/>
        <v>3.8017965839060478E-7</v>
      </c>
    </row>
    <row r="189" spans="1:19" x14ac:dyDescent="0.2">
      <c r="A189" s="8">
        <v>43678</v>
      </c>
      <c r="B189" s="4" t="s">
        <v>90</v>
      </c>
      <c r="C189" s="4" t="s">
        <v>170</v>
      </c>
      <c r="D189" s="14">
        <f>IF(SUMIFS('Monthly NSE Equity Futures'!$H:$H,'Monthly NSE Equity Futures'!$A:$A,$A189)=0,"",SUMIFS('Monthly NSE Equity Futures'!$H:$H,'Monthly NSE Equity Futures'!$A:$A,$A189))</f>
        <v>18134.709699999999</v>
      </c>
      <c r="E189" s="6">
        <f>IF(SUMIFS('Monthly BSE Equity Futures'!$H:$H,'Monthly BSE Equity Futures'!$A:$A,$A189)=0,"",SUMIFS('Monthly BSE Equity Futures'!$H:$H,'Monthly BSE Equity Futures'!$A:$A,$A189))</f>
        <v>0.19639999999999999</v>
      </c>
      <c r="F189" s="6">
        <f t="shared" si="24"/>
        <v>18134.9061</v>
      </c>
      <c r="G189" s="15">
        <f t="shared" si="25"/>
        <v>0.99998917005696542</v>
      </c>
      <c r="H189" s="15">
        <f t="shared" si="26"/>
        <v>1.0829943034554781E-5</v>
      </c>
      <c r="I189" s="20">
        <f t="shared" si="33"/>
        <v>-6.4843394419830558E-2</v>
      </c>
      <c r="J189" s="15">
        <f t="shared" si="34"/>
        <v>18.639999999999997</v>
      </c>
      <c r="K189" s="15">
        <f t="shared" si="35"/>
        <v>-6.4833748856639173E-2</v>
      </c>
      <c r="L189" s="15">
        <f t="shared" si="30"/>
        <v>-4.9003529617608343E-3</v>
      </c>
      <c r="M189" s="15">
        <f t="shared" si="31"/>
        <v>21.067415730337078</v>
      </c>
      <c r="N189" s="15">
        <f t="shared" si="32"/>
        <v>-4.8900619510313659E-3</v>
      </c>
      <c r="O189" s="18">
        <f>IF(SUMIFS('Monthly NSE Equity Futures'!$I:$I,'Monthly NSE Equity Futures'!$A:$A,$A189)=0,"",SUMIFS('Monthly NSE Equity Futures'!$I:$I,'Monthly NSE Equity Futures'!$A:$A,$A189))</f>
        <v>31001139</v>
      </c>
      <c r="P189" s="7">
        <f>IF(SUMIFS('Monthly BSE Equity Futures'!$I:$I,'Monthly BSE Equity Futures'!$A:$A,$A189)=0,"",SUMIFS('Monthly BSE Equity Futures'!$I:$I,'Monthly BSE Equity Futures'!$A:$A,$A189))</f>
        <v>366</v>
      </c>
      <c r="Q189" s="7">
        <f t="shared" si="27"/>
        <v>31001505</v>
      </c>
      <c r="R189" s="19">
        <f t="shared" si="28"/>
        <v>0.99998819412154349</v>
      </c>
      <c r="S189" s="19">
        <f t="shared" si="29"/>
        <v>1.18058784565459E-5</v>
      </c>
    </row>
    <row r="190" spans="1:19" x14ac:dyDescent="0.2">
      <c r="A190" s="8">
        <v>43709</v>
      </c>
      <c r="B190" s="4" t="s">
        <v>90</v>
      </c>
      <c r="C190" s="4" t="s">
        <v>170</v>
      </c>
      <c r="D190" s="14">
        <f>IF(SUMIFS('Monthly NSE Equity Futures'!$H:$H,'Monthly NSE Equity Futures'!$A:$A,$A190)=0,"",SUMIFS('Monthly NSE Equity Futures'!$H:$H,'Monthly NSE Equity Futures'!$A:$A,$A190))</f>
        <v>18865.5952</v>
      </c>
      <c r="E190" s="6">
        <f>IF(SUMIFS('Monthly BSE Equity Futures'!$H:$H,'Monthly BSE Equity Futures'!$A:$A,$A190)=0,"",SUMIFS('Monthly BSE Equity Futures'!$H:$H,'Monthly BSE Equity Futures'!$A:$A,$A190))</f>
        <v>3.1456</v>
      </c>
      <c r="F190" s="6">
        <f t="shared" si="24"/>
        <v>18868.7408</v>
      </c>
      <c r="G190" s="15">
        <f t="shared" si="25"/>
        <v>0.99983329041225688</v>
      </c>
      <c r="H190" s="15">
        <f t="shared" si="26"/>
        <v>1.6670958774313123E-4</v>
      </c>
      <c r="I190" s="20">
        <f t="shared" si="33"/>
        <v>-5.8806700835420611E-2</v>
      </c>
      <c r="J190" s="15">
        <f t="shared" si="34"/>
        <v>337.23655913978496</v>
      </c>
      <c r="K190" s="15">
        <f t="shared" si="35"/>
        <v>-5.8650205485878404E-2</v>
      </c>
      <c r="L190" s="15">
        <f t="shared" si="30"/>
        <v>4.0303126550738311E-2</v>
      </c>
      <c r="M190" s="15">
        <f t="shared" si="31"/>
        <v>15.016293279022403</v>
      </c>
      <c r="N190" s="15">
        <f t="shared" si="32"/>
        <v>4.0465315670975555E-2</v>
      </c>
      <c r="O190" s="18">
        <f>IF(SUMIFS('Monthly NSE Equity Futures'!$I:$I,'Monthly NSE Equity Futures'!$A:$A,$A190)=0,"",SUMIFS('Monthly NSE Equity Futures'!$I:$I,'Monthly NSE Equity Futures'!$A:$A,$A190))</f>
        <v>31426709</v>
      </c>
      <c r="P190" s="7">
        <f>IF(SUMIFS('Monthly BSE Equity Futures'!$I:$I,'Monthly BSE Equity Futures'!$A:$A,$A190)=0,"",SUMIFS('Monthly BSE Equity Futures'!$I:$I,'Monthly BSE Equity Futures'!$A:$A,$A190))</f>
        <v>3804</v>
      </c>
      <c r="Q190" s="7">
        <f t="shared" si="27"/>
        <v>31430513</v>
      </c>
      <c r="R190" s="19">
        <f t="shared" si="28"/>
        <v>0.99987897111319823</v>
      </c>
      <c r="S190" s="19">
        <f t="shared" si="29"/>
        <v>1.210288868018158E-4</v>
      </c>
    </row>
    <row r="191" spans="1:19" x14ac:dyDescent="0.2">
      <c r="A191" s="8">
        <v>43739</v>
      </c>
      <c r="B191" s="4" t="s">
        <v>90</v>
      </c>
      <c r="C191" s="4" t="s">
        <v>171</v>
      </c>
      <c r="D191" s="14">
        <f>IF(SUMIFS('Monthly NSE Equity Futures'!$H:$H,'Monthly NSE Equity Futures'!$A:$A,$A191)=0,"",SUMIFS('Monthly NSE Equity Futures'!$H:$H,'Monthly NSE Equity Futures'!$A:$A,$A191))</f>
        <v>18143.089100000001</v>
      </c>
      <c r="E191" s="6">
        <f>IF(SUMIFS('Monthly BSE Equity Futures'!$H:$H,'Monthly BSE Equity Futures'!$A:$A,$A191)=0,"",SUMIFS('Monthly BSE Equity Futures'!$H:$H,'Monthly BSE Equity Futures'!$A:$A,$A191))</f>
        <v>14.341699999999999</v>
      </c>
      <c r="F191" s="6">
        <f t="shared" si="24"/>
        <v>18157.430800000002</v>
      </c>
      <c r="G191" s="15">
        <f t="shared" si="25"/>
        <v>0.9992101470655198</v>
      </c>
      <c r="H191" s="15">
        <f t="shared" si="26"/>
        <v>7.898529344801357E-4</v>
      </c>
      <c r="I191" s="20">
        <f t="shared" si="33"/>
        <v>-0.15822408731220816</v>
      </c>
      <c r="J191" s="15">
        <f t="shared" si="34"/>
        <v>4944.4137931034484</v>
      </c>
      <c r="K191" s="15">
        <f t="shared" si="35"/>
        <v>-0.15755879591585353</v>
      </c>
      <c r="L191" s="15">
        <f t="shared" si="30"/>
        <v>-3.8297551301217259E-2</v>
      </c>
      <c r="M191" s="15">
        <f t="shared" si="31"/>
        <v>3.5592891658189219</v>
      </c>
      <c r="N191" s="15">
        <f t="shared" si="32"/>
        <v>-3.7697799102735963E-2</v>
      </c>
      <c r="O191" s="18">
        <f>IF(SUMIFS('Monthly NSE Equity Futures'!$I:$I,'Monthly NSE Equity Futures'!$A:$A,$A191)=0,"",SUMIFS('Monthly NSE Equity Futures'!$I:$I,'Monthly NSE Equity Futures'!$A:$A,$A191))</f>
        <v>31022542</v>
      </c>
      <c r="P191" s="7">
        <f>IF(SUMIFS('Monthly BSE Equity Futures'!$I:$I,'Monthly BSE Equity Futures'!$A:$A,$A191)=0,"",SUMIFS('Monthly BSE Equity Futures'!$I:$I,'Monthly BSE Equity Futures'!$A:$A,$A191))</f>
        <v>14877</v>
      </c>
      <c r="Q191" s="7">
        <f t="shared" si="27"/>
        <v>31037419</v>
      </c>
      <c r="R191" s="19">
        <f t="shared" si="28"/>
        <v>0.99952067534997036</v>
      </c>
      <c r="S191" s="19">
        <f t="shared" si="29"/>
        <v>4.7932465002969478E-4</v>
      </c>
    </row>
    <row r="192" spans="1:19" x14ac:dyDescent="0.2">
      <c r="A192" s="8">
        <v>43770</v>
      </c>
      <c r="B192" s="4" t="s">
        <v>90</v>
      </c>
      <c r="C192" s="4" t="s">
        <v>171</v>
      </c>
      <c r="D192" s="14">
        <f>IF(SUMIFS('Monthly NSE Equity Futures'!$H:$H,'Monthly NSE Equity Futures'!$A:$A,$A192)=0,"",SUMIFS('Monthly NSE Equity Futures'!$H:$H,'Monthly NSE Equity Futures'!$A:$A,$A192))</f>
        <v>17346.000599999999</v>
      </c>
      <c r="E192" s="6">
        <f>IF(SUMIFS('Monthly BSE Equity Futures'!$H:$H,'Monthly BSE Equity Futures'!$A:$A,$A192)=0,"",SUMIFS('Monthly BSE Equity Futures'!$H:$H,'Monthly BSE Equity Futures'!$A:$A,$A192))</f>
        <v>28.855599999999999</v>
      </c>
      <c r="F192" s="6">
        <f t="shared" si="24"/>
        <v>17374.856199999998</v>
      </c>
      <c r="G192" s="15">
        <f t="shared" si="25"/>
        <v>0.99833923229822186</v>
      </c>
      <c r="H192" s="15">
        <f t="shared" si="26"/>
        <v>1.6607677017781593E-3</v>
      </c>
      <c r="I192" s="20">
        <f t="shared" si="33"/>
        <v>6.4817330427539011E-2</v>
      </c>
      <c r="J192" s="15">
        <f t="shared" si="34"/>
        <v>11541.24</v>
      </c>
      <c r="K192" s="15">
        <f t="shared" si="35"/>
        <v>6.6588522782681903E-2</v>
      </c>
      <c r="L192" s="15">
        <f t="shared" si="30"/>
        <v>-4.3933450120134276E-2</v>
      </c>
      <c r="M192" s="15">
        <f t="shared" si="31"/>
        <v>1.0120069447833937</v>
      </c>
      <c r="N192" s="15">
        <f t="shared" si="32"/>
        <v>-4.3099412500583689E-2</v>
      </c>
      <c r="O192" s="18">
        <f>IF(SUMIFS('Monthly NSE Equity Futures'!$I:$I,'Monthly NSE Equity Futures'!$A:$A,$A192)=0,"",SUMIFS('Monthly NSE Equity Futures'!$I:$I,'Monthly NSE Equity Futures'!$A:$A,$A192))</f>
        <v>29217931</v>
      </c>
      <c r="P192" s="7">
        <f>IF(SUMIFS('Monthly BSE Equity Futures'!$I:$I,'Monthly BSE Equity Futures'!$A:$A,$A192)=0,"",SUMIFS('Monthly BSE Equity Futures'!$I:$I,'Monthly BSE Equity Futures'!$A:$A,$A192))</f>
        <v>28719</v>
      </c>
      <c r="Q192" s="7">
        <f t="shared" si="27"/>
        <v>29246650</v>
      </c>
      <c r="R192" s="19">
        <f t="shared" si="28"/>
        <v>0.99901804138251726</v>
      </c>
      <c r="S192" s="19">
        <f t="shared" si="29"/>
        <v>9.8195861748268608E-4</v>
      </c>
    </row>
    <row r="193" spans="1:19" x14ac:dyDescent="0.2">
      <c r="A193" s="8">
        <v>43800</v>
      </c>
      <c r="B193" s="4" t="s">
        <v>90</v>
      </c>
      <c r="C193" s="4" t="s">
        <v>171</v>
      </c>
      <c r="D193" s="14">
        <f>IF(SUMIFS('Monthly NSE Equity Futures'!$H:$H,'Monthly NSE Equity Futures'!$A:$A,$A193)=0,"",SUMIFS('Monthly NSE Equity Futures'!$H:$H,'Monthly NSE Equity Futures'!$A:$A,$A193))</f>
        <v>15351.5841</v>
      </c>
      <c r="E193" s="6">
        <f>IF(SUMIFS('Monthly BSE Equity Futures'!$H:$H,'Monthly BSE Equity Futures'!$A:$A,$A193)=0,"",SUMIFS('Monthly BSE Equity Futures'!$H:$H,'Monthly BSE Equity Futures'!$A:$A,$A193))</f>
        <v>38.490600000000001</v>
      </c>
      <c r="F193" s="6">
        <f t="shared" si="24"/>
        <v>15390.074699999999</v>
      </c>
      <c r="G193" s="15">
        <f t="shared" si="25"/>
        <v>0.99749899849413992</v>
      </c>
      <c r="H193" s="15">
        <f t="shared" si="26"/>
        <v>2.5010015058601373E-3</v>
      </c>
      <c r="I193" s="20">
        <f t="shared" si="33"/>
        <v>-4.2341337496009213E-2</v>
      </c>
      <c r="J193" s="15">
        <f t="shared" si="34"/>
        <v>6872.3214285714284</v>
      </c>
      <c r="K193" s="15">
        <f t="shared" si="35"/>
        <v>-3.994056194195772E-2</v>
      </c>
      <c r="L193" s="15">
        <f t="shared" si="30"/>
        <v>-0.11497846368113229</v>
      </c>
      <c r="M193" s="15">
        <f t="shared" si="31"/>
        <v>0.33390399090644451</v>
      </c>
      <c r="N193" s="15">
        <f t="shared" si="32"/>
        <v>-0.11423297419865841</v>
      </c>
      <c r="O193" s="18">
        <f>IF(SUMIFS('Monthly NSE Equity Futures'!$I:$I,'Monthly NSE Equity Futures'!$A:$A,$A193)=0,"",SUMIFS('Monthly NSE Equity Futures'!$I:$I,'Monthly NSE Equity Futures'!$A:$A,$A193))</f>
        <v>24330058</v>
      </c>
      <c r="P193" s="7">
        <f>IF(SUMIFS('Monthly BSE Equity Futures'!$I:$I,'Monthly BSE Equity Futures'!$A:$A,$A193)=0,"",SUMIFS('Monthly BSE Equity Futures'!$I:$I,'Monthly BSE Equity Futures'!$A:$A,$A193))</f>
        <v>37542</v>
      </c>
      <c r="Q193" s="7">
        <f t="shared" si="27"/>
        <v>24367600</v>
      </c>
      <c r="R193" s="19">
        <f t="shared" si="28"/>
        <v>0.99845934765836608</v>
      </c>
      <c r="S193" s="19">
        <f t="shared" si="29"/>
        <v>1.5406523416339731E-3</v>
      </c>
    </row>
    <row r="194" spans="1:19" x14ac:dyDescent="0.2">
      <c r="A194" s="8">
        <v>43831</v>
      </c>
      <c r="B194" s="4" t="s">
        <v>90</v>
      </c>
      <c r="C194" s="4" t="s">
        <v>172</v>
      </c>
      <c r="D194" s="14">
        <f>IF(SUMIFS('Monthly NSE Equity Futures'!$H:$H,'Monthly NSE Equity Futures'!$A:$A,$A194)=0,"",SUMIFS('Monthly NSE Equity Futures'!$H:$H,'Monthly NSE Equity Futures'!$A:$A,$A194))</f>
        <v>19470.659599999999</v>
      </c>
      <c r="E194" s="6">
        <f>IF(SUMIFS('Monthly BSE Equity Futures'!$H:$H,'Monthly BSE Equity Futures'!$A:$A,$A194)=0,"",SUMIFS('Monthly BSE Equity Futures'!$H:$H,'Monthly BSE Equity Futures'!$A:$A,$A194))</f>
        <v>24.999600000000001</v>
      </c>
      <c r="F194" s="6">
        <f t="shared" ref="F194:F257" si="36">IF(OR(D194="",E194=""),"",D194+E194)</f>
        <v>19495.659199999998</v>
      </c>
      <c r="G194" s="15">
        <f t="shared" ref="G194:G257" si="37">IF(F194="","",D194/F194)</f>
        <v>0.99871768378060288</v>
      </c>
      <c r="H194" s="15">
        <f t="shared" ref="H194:H257" si="38">IF(F194="","",E194/F194)</f>
        <v>1.2823162193971878E-3</v>
      </c>
      <c r="I194" s="20">
        <f t="shared" si="33"/>
        <v>0.11280696436046944</v>
      </c>
      <c r="J194" s="15">
        <f t="shared" si="34"/>
        <v>5318.0638297872338</v>
      </c>
      <c r="K194" s="15">
        <f t="shared" si="35"/>
        <v>0.11423546765164594</v>
      </c>
      <c r="L194" s="15">
        <f t="shared" si="30"/>
        <v>0.26831599092109326</v>
      </c>
      <c r="M194" s="15">
        <f t="shared" si="31"/>
        <v>-0.35050116132250475</v>
      </c>
      <c r="N194" s="15">
        <f t="shared" si="32"/>
        <v>0.26676832829147989</v>
      </c>
      <c r="O194" s="18">
        <f>IF(SUMIFS('Monthly NSE Equity Futures'!$I:$I,'Monthly NSE Equity Futures'!$A:$A,$A194)=0,"",SUMIFS('Monthly NSE Equity Futures'!$I:$I,'Monthly NSE Equity Futures'!$A:$A,$A194))</f>
        <v>27736523</v>
      </c>
      <c r="P194" s="7">
        <f>IF(SUMIFS('Monthly BSE Equity Futures'!$I:$I,'Monthly BSE Equity Futures'!$A:$A,$A194)=0,"",SUMIFS('Monthly BSE Equity Futures'!$I:$I,'Monthly BSE Equity Futures'!$A:$A,$A194))</f>
        <v>24169</v>
      </c>
      <c r="Q194" s="7">
        <f t="shared" ref="Q194:Q257" si="39">IF(OR(O194="",P194=""),"",O194+P194)</f>
        <v>27760692</v>
      </c>
      <c r="R194" s="19">
        <f t="shared" ref="R194:R257" si="40">IF(Q194="","",O194/Q194)</f>
        <v>0.99912938049238831</v>
      </c>
      <c r="S194" s="19">
        <f t="shared" ref="S194:S257" si="41">IF(Q194="","",P194/Q194)</f>
        <v>8.7061950761169789E-4</v>
      </c>
    </row>
    <row r="195" spans="1:19" x14ac:dyDescent="0.2">
      <c r="A195" s="8">
        <v>43862</v>
      </c>
      <c r="B195" s="4" t="s">
        <v>90</v>
      </c>
      <c r="C195" s="4" t="s">
        <v>172</v>
      </c>
      <c r="D195" s="14">
        <f>IF(SUMIFS('Monthly NSE Equity Futures'!$H:$H,'Monthly NSE Equity Futures'!$A:$A,$A195)=0,"",SUMIFS('Monthly NSE Equity Futures'!$H:$H,'Monthly NSE Equity Futures'!$A:$A,$A195))</f>
        <v>18487.414700000001</v>
      </c>
      <c r="E195" s="6">
        <f>IF(SUMIFS('Monthly BSE Equity Futures'!$H:$H,'Monthly BSE Equity Futures'!$A:$A,$A195)=0,"",SUMIFS('Monthly BSE Equity Futures'!$H:$H,'Monthly BSE Equity Futures'!$A:$A,$A195))</f>
        <v>22.934999999999999</v>
      </c>
      <c r="F195" s="6">
        <f t="shared" si="36"/>
        <v>18510.349700000002</v>
      </c>
      <c r="G195" s="15">
        <f t="shared" si="37"/>
        <v>0.99876096344090137</v>
      </c>
      <c r="H195" s="15">
        <f t="shared" si="38"/>
        <v>1.2390365590986105E-3</v>
      </c>
      <c r="I195" s="20">
        <f t="shared" si="33"/>
        <v>0.17746684470535801</v>
      </c>
      <c r="J195" s="15">
        <f t="shared" si="34"/>
        <v>2902.164556962025</v>
      </c>
      <c r="K195" s="15">
        <f t="shared" si="35"/>
        <v>0.17892698589635736</v>
      </c>
      <c r="L195" s="15">
        <f t="shared" ref="L195:L258" si="42">IF(OR(D195="",D194=""),"",D195/D194-1)</f>
        <v>-5.0498797688394603E-2</v>
      </c>
      <c r="M195" s="15">
        <f t="shared" ref="M195:M258" si="43">IF(OR(E195="",E194=""),"",E195/E194-1)</f>
        <v>-8.2585321365141962E-2</v>
      </c>
      <c r="N195" s="15">
        <f t="shared" ref="N195:N258" si="44">IF(OR(F195="",F194=""),"",F195/F194-1)</f>
        <v>-5.053994275812923E-2</v>
      </c>
      <c r="O195" s="18">
        <f>IF(SUMIFS('Monthly NSE Equity Futures'!$I:$I,'Monthly NSE Equity Futures'!$A:$A,$A195)=0,"",SUMIFS('Monthly NSE Equity Futures'!$I:$I,'Monthly NSE Equity Futures'!$A:$A,$A195))</f>
        <v>26950929</v>
      </c>
      <c r="P195" s="7">
        <f>IF(SUMIFS('Monthly BSE Equity Futures'!$I:$I,'Monthly BSE Equity Futures'!$A:$A,$A195)=0,"",SUMIFS('Monthly BSE Equity Futures'!$I:$I,'Monthly BSE Equity Futures'!$A:$A,$A195))</f>
        <v>22606</v>
      </c>
      <c r="Q195" s="7">
        <f t="shared" si="39"/>
        <v>26973535</v>
      </c>
      <c r="R195" s="19">
        <f t="shared" si="40"/>
        <v>0.99916191926642173</v>
      </c>
      <c r="S195" s="19">
        <f t="shared" si="41"/>
        <v>8.3808073357830189E-4</v>
      </c>
    </row>
    <row r="196" spans="1:19" x14ac:dyDescent="0.2">
      <c r="A196" s="8">
        <v>43891</v>
      </c>
      <c r="B196" s="4" t="s">
        <v>90</v>
      </c>
      <c r="C196" s="4" t="s">
        <v>172</v>
      </c>
      <c r="D196" s="14">
        <f>IF(SUMIFS('Monthly NSE Equity Futures'!$H:$H,'Monthly NSE Equity Futures'!$A:$A,$A196)=0,"",SUMIFS('Monthly NSE Equity Futures'!$H:$H,'Monthly NSE Equity Futures'!$A:$A,$A196))</f>
        <v>20973.9306</v>
      </c>
      <c r="E196" s="6">
        <f>IF(SUMIFS('Monthly BSE Equity Futures'!$H:$H,'Monthly BSE Equity Futures'!$A:$A,$A196)=0,"",SUMIFS('Monthly BSE Equity Futures'!$H:$H,'Monthly BSE Equity Futures'!$A:$A,$A196))</f>
        <v>17.8993</v>
      </c>
      <c r="F196" s="6">
        <f t="shared" si="36"/>
        <v>20991.829900000001</v>
      </c>
      <c r="G196" s="15">
        <f t="shared" si="37"/>
        <v>0.99914732064401868</v>
      </c>
      <c r="H196" s="15">
        <f t="shared" si="38"/>
        <v>8.5267935598125246E-4</v>
      </c>
      <c r="I196" s="20">
        <f t="shared" si="33"/>
        <v>0.28678594624109066</v>
      </c>
      <c r="J196" s="15">
        <f t="shared" si="34"/>
        <v>146.56224237427864</v>
      </c>
      <c r="K196" s="15">
        <f t="shared" si="35"/>
        <v>0.28787451411515641</v>
      </c>
      <c r="L196" s="15">
        <f t="shared" si="42"/>
        <v>0.13449776187473073</v>
      </c>
      <c r="M196" s="15">
        <f t="shared" si="43"/>
        <v>-0.21956398517549591</v>
      </c>
      <c r="N196" s="15">
        <f t="shared" si="44"/>
        <v>0.13405906642595733</v>
      </c>
      <c r="O196" s="18">
        <f>IF(SUMIFS('Monthly NSE Equity Futures'!$I:$I,'Monthly NSE Equity Futures'!$A:$A,$A196)=0,"",SUMIFS('Monthly NSE Equity Futures'!$I:$I,'Monthly NSE Equity Futures'!$A:$A,$A196))</f>
        <v>39593362</v>
      </c>
      <c r="P196" s="7">
        <f>IF(SUMIFS('Monthly BSE Equity Futures'!$I:$I,'Monthly BSE Equity Futures'!$A:$A,$A196)=0,"",SUMIFS('Monthly BSE Equity Futures'!$I:$I,'Monthly BSE Equity Futures'!$A:$A,$A196))</f>
        <v>20983</v>
      </c>
      <c r="Q196" s="7">
        <f t="shared" si="39"/>
        <v>39614345</v>
      </c>
      <c r="R196" s="19">
        <f t="shared" si="40"/>
        <v>0.99947031813854303</v>
      </c>
      <c r="S196" s="19">
        <f t="shared" si="41"/>
        <v>5.2968186145700507E-4</v>
      </c>
    </row>
    <row r="197" spans="1:19" x14ac:dyDescent="0.2">
      <c r="A197" s="8">
        <v>43922</v>
      </c>
      <c r="B197" s="4" t="s">
        <v>91</v>
      </c>
      <c r="C197" s="4" t="s">
        <v>173</v>
      </c>
      <c r="D197" s="14">
        <f>IF(SUMIFS('Monthly NSE Equity Futures'!$H:$H,'Monthly NSE Equity Futures'!$A:$A,$A197)=0,"",SUMIFS('Monthly NSE Equity Futures'!$H:$H,'Monthly NSE Equity Futures'!$A:$A,$A197))</f>
        <v>15496.8451</v>
      </c>
      <c r="E197" s="6">
        <f>IF(SUMIFS('Monthly BSE Equity Futures'!$H:$H,'Monthly BSE Equity Futures'!$A:$A,$A197)=0,"",SUMIFS('Monthly BSE Equity Futures'!$H:$H,'Monthly BSE Equity Futures'!$A:$A,$A197))</f>
        <v>0.77749999999999997</v>
      </c>
      <c r="F197" s="6">
        <f t="shared" si="36"/>
        <v>15497.622600000001</v>
      </c>
      <c r="G197" s="15">
        <f t="shared" si="37"/>
        <v>0.99994983101472612</v>
      </c>
      <c r="H197" s="15">
        <f t="shared" si="38"/>
        <v>5.0168985273909041E-5</v>
      </c>
      <c r="I197" s="20">
        <f t="shared" si="33"/>
        <v>-1.0006103820241696E-2</v>
      </c>
      <c r="J197" s="15">
        <f t="shared" si="34"/>
        <v>17.380614657210401</v>
      </c>
      <c r="K197" s="15">
        <f t="shared" si="35"/>
        <v>-9.9591097022235786E-3</v>
      </c>
      <c r="L197" s="15">
        <f t="shared" si="42"/>
        <v>-0.26113777166784369</v>
      </c>
      <c r="M197" s="15">
        <f t="shared" si="43"/>
        <v>-0.95656254713871491</v>
      </c>
      <c r="N197" s="15">
        <f t="shared" si="44"/>
        <v>-0.26173074601752555</v>
      </c>
      <c r="O197" s="18">
        <f>IF(SUMIFS('Monthly NSE Equity Futures'!$I:$I,'Monthly NSE Equity Futures'!$A:$A,$A197)=0,"",SUMIFS('Monthly NSE Equity Futures'!$I:$I,'Monthly NSE Equity Futures'!$A:$A,$A197))</f>
        <v>30815912</v>
      </c>
      <c r="P197" s="7">
        <f>IF(SUMIFS('Monthly BSE Equity Futures'!$I:$I,'Monthly BSE Equity Futures'!$A:$A,$A197)=0,"",SUMIFS('Monthly BSE Equity Futures'!$I:$I,'Monthly BSE Equity Futures'!$A:$A,$A197))</f>
        <v>962</v>
      </c>
      <c r="Q197" s="7">
        <f t="shared" si="39"/>
        <v>30816874</v>
      </c>
      <c r="R197" s="19">
        <f t="shared" si="40"/>
        <v>0.99996878333603856</v>
      </c>
      <c r="S197" s="19">
        <f t="shared" si="41"/>
        <v>3.1216663961438788E-5</v>
      </c>
    </row>
    <row r="198" spans="1:19" x14ac:dyDescent="0.2">
      <c r="A198" s="8">
        <v>43952</v>
      </c>
      <c r="B198" s="4" t="s">
        <v>91</v>
      </c>
      <c r="C198" s="4" t="s">
        <v>173</v>
      </c>
      <c r="D198" s="14">
        <f>IF(SUMIFS('Monthly NSE Equity Futures'!$H:$H,'Monthly NSE Equity Futures'!$A:$A,$A198)=0,"",SUMIFS('Monthly NSE Equity Futures'!$H:$H,'Monthly NSE Equity Futures'!$A:$A,$A198))</f>
        <v>17586.486000000001</v>
      </c>
      <c r="E198" s="6">
        <f>IF(SUMIFS('Monthly BSE Equity Futures'!$H:$H,'Monthly BSE Equity Futures'!$A:$A,$A198)=0,"",SUMIFS('Monthly BSE Equity Futures'!$H:$H,'Monthly BSE Equity Futures'!$A:$A,$A198))</f>
        <v>3.2639</v>
      </c>
      <c r="F198" s="6">
        <f t="shared" si="36"/>
        <v>17589.749900000003</v>
      </c>
      <c r="G198" s="15">
        <f t="shared" si="37"/>
        <v>0.99981444306948319</v>
      </c>
      <c r="H198" s="15">
        <f t="shared" si="38"/>
        <v>1.8555693051667548E-4</v>
      </c>
      <c r="I198" s="20">
        <f t="shared" si="33"/>
        <v>-0.10213698816617489</v>
      </c>
      <c r="J198" s="15">
        <f t="shared" si="34"/>
        <v>93.332369942196536</v>
      </c>
      <c r="K198" s="15">
        <f t="shared" si="35"/>
        <v>-0.10197193888398692</v>
      </c>
      <c r="L198" s="15">
        <f t="shared" si="42"/>
        <v>0.134842988138276</v>
      </c>
      <c r="M198" s="15">
        <f t="shared" si="43"/>
        <v>3.197942122186495</v>
      </c>
      <c r="N198" s="15">
        <f t="shared" si="44"/>
        <v>0.13499666071362459</v>
      </c>
      <c r="O198" s="18">
        <f>IF(SUMIFS('Monthly NSE Equity Futures'!$I:$I,'Monthly NSE Equity Futures'!$A:$A,$A198)=0,"",SUMIFS('Monthly NSE Equity Futures'!$I:$I,'Monthly NSE Equity Futures'!$A:$A,$A198))</f>
        <v>35417262</v>
      </c>
      <c r="P198" s="7">
        <f>IF(SUMIFS('Monthly BSE Equity Futures'!$I:$I,'Monthly BSE Equity Futures'!$A:$A,$A198)=0,"",SUMIFS('Monthly BSE Equity Futures'!$I:$I,'Monthly BSE Equity Futures'!$A:$A,$A198))</f>
        <v>4144</v>
      </c>
      <c r="Q198" s="7">
        <f t="shared" si="39"/>
        <v>35421406</v>
      </c>
      <c r="R198" s="19">
        <f t="shared" si="40"/>
        <v>0.99988300859655321</v>
      </c>
      <c r="S198" s="19">
        <f t="shared" si="41"/>
        <v>1.1699140344683099E-4</v>
      </c>
    </row>
    <row r="199" spans="1:19" x14ac:dyDescent="0.2">
      <c r="A199" s="8">
        <v>43983</v>
      </c>
      <c r="B199" s="4" t="s">
        <v>91</v>
      </c>
      <c r="C199" s="4" t="s">
        <v>173</v>
      </c>
      <c r="D199" s="14">
        <f>IF(SUMIFS('Monthly NSE Equity Futures'!$H:$H,'Monthly NSE Equity Futures'!$A:$A,$A199)=0,"",SUMIFS('Monthly NSE Equity Futures'!$H:$H,'Monthly NSE Equity Futures'!$A:$A,$A199))</f>
        <v>23151.065399999999</v>
      </c>
      <c r="E199" s="6">
        <f>IF(SUMIFS('Monthly BSE Equity Futures'!$H:$H,'Monthly BSE Equity Futures'!$A:$A,$A199)=0,"",SUMIFS('Monthly BSE Equity Futures'!$H:$H,'Monthly BSE Equity Futures'!$A:$A,$A199))</f>
        <v>1.4585999999999999</v>
      </c>
      <c r="F199" s="6">
        <f t="shared" si="36"/>
        <v>23152.524000000001</v>
      </c>
      <c r="G199" s="15">
        <f t="shared" si="37"/>
        <v>0.99993700038924471</v>
      </c>
      <c r="H199" s="15">
        <f t="shared" si="38"/>
        <v>6.2999610755181589E-5</v>
      </c>
      <c r="I199" s="20">
        <f t="shared" si="33"/>
        <v>0.51483536286957099</v>
      </c>
      <c r="J199" s="15">
        <f t="shared" si="34"/>
        <v>83.312138728323703</v>
      </c>
      <c r="K199" s="15">
        <f t="shared" si="35"/>
        <v>0.51492908804392989</v>
      </c>
      <c r="L199" s="15">
        <f t="shared" si="42"/>
        <v>0.31641223835165233</v>
      </c>
      <c r="M199" s="15">
        <f t="shared" si="43"/>
        <v>-0.55311130855724744</v>
      </c>
      <c r="N199" s="15">
        <f t="shared" si="44"/>
        <v>0.31625089223127612</v>
      </c>
      <c r="O199" s="18">
        <f>IF(SUMIFS('Monthly NSE Equity Futures'!$I:$I,'Monthly NSE Equity Futures'!$A:$A,$A199)=0,"",SUMIFS('Monthly NSE Equity Futures'!$I:$I,'Monthly NSE Equity Futures'!$A:$A,$A199))</f>
        <v>41754944</v>
      </c>
      <c r="P199" s="7">
        <f>IF(SUMIFS('Monthly BSE Equity Futures'!$I:$I,'Monthly BSE Equity Futures'!$A:$A,$A199)=0,"",SUMIFS('Monthly BSE Equity Futures'!$I:$I,'Monthly BSE Equity Futures'!$A:$A,$A199))</f>
        <v>1747</v>
      </c>
      <c r="Q199" s="7">
        <f t="shared" si="39"/>
        <v>41756691</v>
      </c>
      <c r="R199" s="19">
        <f t="shared" si="40"/>
        <v>0.99995816239366286</v>
      </c>
      <c r="S199" s="19">
        <f t="shared" si="41"/>
        <v>4.1837606337149657E-5</v>
      </c>
    </row>
    <row r="200" spans="1:19" x14ac:dyDescent="0.2">
      <c r="A200" s="8">
        <v>44013</v>
      </c>
      <c r="B200" s="4" t="s">
        <v>91</v>
      </c>
      <c r="C200" s="4" t="s">
        <v>174</v>
      </c>
      <c r="D200" s="14">
        <f>IF(SUMIFS('Monthly NSE Equity Futures'!$H:$H,'Monthly NSE Equity Futures'!$A:$A,$A200)=0,"",SUMIFS('Monthly NSE Equity Futures'!$H:$H,'Monthly NSE Equity Futures'!$A:$A,$A200))</f>
        <v>23521.286599999999</v>
      </c>
      <c r="E200" s="6">
        <f>IF(SUMIFS('Monthly BSE Equity Futures'!$H:$H,'Monthly BSE Equity Futures'!$A:$A,$A200)=0,"",SUMIFS('Monthly BSE Equity Futures'!$H:$H,'Monthly BSE Equity Futures'!$A:$A,$A200))</f>
        <v>6.6390000000000002</v>
      </c>
      <c r="F200" s="6">
        <f t="shared" si="36"/>
        <v>23527.925599999999</v>
      </c>
      <c r="G200" s="15">
        <f t="shared" si="37"/>
        <v>0.99971782467724235</v>
      </c>
      <c r="H200" s="15">
        <f t="shared" si="38"/>
        <v>2.8217532275773603E-4</v>
      </c>
      <c r="I200" s="20">
        <f t="shared" si="33"/>
        <v>0.29067541641128458</v>
      </c>
      <c r="J200" s="15">
        <f t="shared" si="34"/>
        <v>744.95505617977528</v>
      </c>
      <c r="K200" s="15">
        <f t="shared" si="35"/>
        <v>0.2910390854594358</v>
      </c>
      <c r="L200" s="15">
        <f t="shared" si="42"/>
        <v>1.5991540501630652E-2</v>
      </c>
      <c r="M200" s="15">
        <f t="shared" si="43"/>
        <v>3.5516248457424933</v>
      </c>
      <c r="N200" s="15">
        <f t="shared" si="44"/>
        <v>1.6214284023633674E-2</v>
      </c>
      <c r="O200" s="18">
        <f>IF(SUMIFS('Monthly NSE Equity Futures'!$I:$I,'Monthly NSE Equity Futures'!$A:$A,$A200)=0,"",SUMIFS('Monthly NSE Equity Futures'!$I:$I,'Monthly NSE Equity Futures'!$A:$A,$A200))</f>
        <v>34482464</v>
      </c>
      <c r="P200" s="7">
        <f>IF(SUMIFS('Monthly BSE Equity Futures'!$I:$I,'Monthly BSE Equity Futures'!$A:$A,$A200)=0,"",SUMIFS('Monthly BSE Equity Futures'!$I:$I,'Monthly BSE Equity Futures'!$A:$A,$A200))</f>
        <v>7735</v>
      </c>
      <c r="Q200" s="7">
        <f t="shared" si="39"/>
        <v>34490199</v>
      </c>
      <c r="R200" s="19">
        <f t="shared" si="40"/>
        <v>0.99977573339023063</v>
      </c>
      <c r="S200" s="19">
        <f t="shared" si="41"/>
        <v>2.2426660976934345E-4</v>
      </c>
    </row>
    <row r="201" spans="1:19" x14ac:dyDescent="0.2">
      <c r="A201" s="8">
        <v>44044</v>
      </c>
      <c r="B201" s="4" t="s">
        <v>91</v>
      </c>
      <c r="C201" s="4" t="s">
        <v>174</v>
      </c>
      <c r="D201" s="14">
        <f>IF(SUMIFS('Monthly NSE Equity Futures'!$H:$H,'Monthly NSE Equity Futures'!$A:$A,$A201)=0,"",SUMIFS('Monthly NSE Equity Futures'!$H:$H,'Monthly NSE Equity Futures'!$A:$A,$A201))</f>
        <v>20993.585599999999</v>
      </c>
      <c r="E201" s="6">
        <f>IF(SUMIFS('Monthly BSE Equity Futures'!$H:$H,'Monthly BSE Equity Futures'!$A:$A,$A201)=0,"",SUMIFS('Monthly BSE Equity Futures'!$H:$H,'Monthly BSE Equity Futures'!$A:$A,$A201))</f>
        <v>5.3651999999999997</v>
      </c>
      <c r="F201" s="6">
        <f t="shared" si="36"/>
        <v>20998.950799999999</v>
      </c>
      <c r="G201" s="15">
        <f t="shared" si="37"/>
        <v>0.99974450152052363</v>
      </c>
      <c r="H201" s="15">
        <f t="shared" si="38"/>
        <v>2.5549847947641273E-4</v>
      </c>
      <c r="I201" s="20">
        <f t="shared" si="33"/>
        <v>0.15764663164142068</v>
      </c>
      <c r="J201" s="15">
        <f t="shared" si="34"/>
        <v>26.317718940936864</v>
      </c>
      <c r="K201" s="15">
        <f t="shared" si="35"/>
        <v>0.15792994373431024</v>
      </c>
      <c r="L201" s="15">
        <f t="shared" si="42"/>
        <v>-0.10746440205358498</v>
      </c>
      <c r="M201" s="15">
        <f t="shared" si="43"/>
        <v>-0.19186624491640314</v>
      </c>
      <c r="N201" s="15">
        <f t="shared" si="44"/>
        <v>-0.10748821817083609</v>
      </c>
      <c r="O201" s="18">
        <f>IF(SUMIFS('Monthly NSE Equity Futures'!$I:$I,'Monthly NSE Equity Futures'!$A:$A,$A201)=0,"",SUMIFS('Monthly NSE Equity Futures'!$I:$I,'Monthly NSE Equity Futures'!$A:$A,$A201))</f>
        <v>29793243</v>
      </c>
      <c r="P201" s="7">
        <f>IF(SUMIFS('Monthly BSE Equity Futures'!$I:$I,'Monthly BSE Equity Futures'!$A:$A,$A201)=0,"",SUMIFS('Monthly BSE Equity Futures'!$I:$I,'Monthly BSE Equity Futures'!$A:$A,$A201))</f>
        <v>6025</v>
      </c>
      <c r="Q201" s="7">
        <f t="shared" si="39"/>
        <v>29799268</v>
      </c>
      <c r="R201" s="19">
        <f t="shared" si="40"/>
        <v>0.99979781382549393</v>
      </c>
      <c r="S201" s="19">
        <f t="shared" si="41"/>
        <v>2.0218617450603148E-4</v>
      </c>
    </row>
    <row r="202" spans="1:19" x14ac:dyDescent="0.2">
      <c r="A202" s="8">
        <v>44075</v>
      </c>
      <c r="B202" s="4" t="s">
        <v>91</v>
      </c>
      <c r="C202" s="4" t="s">
        <v>174</v>
      </c>
      <c r="D202" s="14">
        <f>IF(SUMIFS('Monthly NSE Equity Futures'!$H:$H,'Monthly NSE Equity Futures'!$A:$A,$A202)=0,"",SUMIFS('Monthly NSE Equity Futures'!$H:$H,'Monthly NSE Equity Futures'!$A:$A,$A202))</f>
        <v>22761.169399999999</v>
      </c>
      <c r="E202" s="6">
        <f>IF(SUMIFS('Monthly BSE Equity Futures'!$H:$H,'Monthly BSE Equity Futures'!$A:$A,$A202)=0,"",SUMIFS('Monthly BSE Equity Futures'!$H:$H,'Monthly BSE Equity Futures'!$A:$A,$A202))</f>
        <v>7.8663999999999996</v>
      </c>
      <c r="F202" s="6">
        <f t="shared" si="36"/>
        <v>22769.035799999998</v>
      </c>
      <c r="G202" s="15">
        <f t="shared" si="37"/>
        <v>0.99965451325786936</v>
      </c>
      <c r="H202" s="15">
        <f t="shared" si="38"/>
        <v>3.4548674213073181E-4</v>
      </c>
      <c r="I202" s="20">
        <f t="shared" si="33"/>
        <v>0.20649092481322828</v>
      </c>
      <c r="J202" s="15">
        <f t="shared" si="34"/>
        <v>1.500762970498474</v>
      </c>
      <c r="K202" s="15">
        <f t="shared" si="35"/>
        <v>0.20670669237239192</v>
      </c>
      <c r="L202" s="15">
        <f t="shared" si="42"/>
        <v>8.4196374725049372E-2</v>
      </c>
      <c r="M202" s="15">
        <f t="shared" si="43"/>
        <v>0.466189517632148</v>
      </c>
      <c r="N202" s="15">
        <f t="shared" si="44"/>
        <v>8.4293973392232546E-2</v>
      </c>
      <c r="O202" s="18">
        <f>IF(SUMIFS('Monthly NSE Equity Futures'!$I:$I,'Monthly NSE Equity Futures'!$A:$A,$A202)=0,"",SUMIFS('Monthly NSE Equity Futures'!$I:$I,'Monthly NSE Equity Futures'!$A:$A,$A202))</f>
        <v>31784109</v>
      </c>
      <c r="P202" s="7">
        <f>IF(SUMIFS('Monthly BSE Equity Futures'!$I:$I,'Monthly BSE Equity Futures'!$A:$A,$A202)=0,"",SUMIFS('Monthly BSE Equity Futures'!$I:$I,'Monthly BSE Equity Futures'!$A:$A,$A202))</f>
        <v>8832</v>
      </c>
      <c r="Q202" s="7">
        <f t="shared" si="39"/>
        <v>31792941</v>
      </c>
      <c r="R202" s="19">
        <f t="shared" si="40"/>
        <v>0.99972220248513655</v>
      </c>
      <c r="S202" s="19">
        <f t="shared" si="41"/>
        <v>2.7779751486344093E-4</v>
      </c>
    </row>
    <row r="203" spans="1:19" x14ac:dyDescent="0.2">
      <c r="A203" s="8">
        <v>44105</v>
      </c>
      <c r="B203" s="4" t="s">
        <v>91</v>
      </c>
      <c r="C203" s="4" t="s">
        <v>175</v>
      </c>
      <c r="D203" s="14">
        <f>IF(SUMIFS('Monthly NSE Equity Futures'!$H:$H,'Monthly NSE Equity Futures'!$A:$A,$A203)=0,"",SUMIFS('Monthly NSE Equity Futures'!$H:$H,'Monthly NSE Equity Futures'!$A:$A,$A203))</f>
        <v>21851.631099999999</v>
      </c>
      <c r="E203" s="6">
        <f>IF(SUMIFS('Monthly BSE Equity Futures'!$H:$H,'Monthly BSE Equity Futures'!$A:$A,$A203)=0,"",SUMIFS('Monthly BSE Equity Futures'!$H:$H,'Monthly BSE Equity Futures'!$A:$A,$A203))</f>
        <v>6.9962</v>
      </c>
      <c r="F203" s="6">
        <f t="shared" si="36"/>
        <v>21858.6273</v>
      </c>
      <c r="G203" s="15">
        <f t="shared" si="37"/>
        <v>0.99967993415579204</v>
      </c>
      <c r="H203" s="15">
        <f t="shared" si="38"/>
        <v>3.2006584420788401E-4</v>
      </c>
      <c r="I203" s="20">
        <f t="shared" si="33"/>
        <v>0.20440521344295215</v>
      </c>
      <c r="J203" s="15">
        <f t="shared" si="34"/>
        <v>-0.51217777529860475</v>
      </c>
      <c r="K203" s="15">
        <f t="shared" si="35"/>
        <v>0.20383921826649609</v>
      </c>
      <c r="L203" s="15">
        <f t="shared" si="42"/>
        <v>-3.9960086585006493E-2</v>
      </c>
      <c r="M203" s="15">
        <f t="shared" si="43"/>
        <v>-0.11062239397945695</v>
      </c>
      <c r="N203" s="15">
        <f t="shared" si="44"/>
        <v>-3.998449947537952E-2</v>
      </c>
      <c r="O203" s="18">
        <f>IF(SUMIFS('Monthly NSE Equity Futures'!$I:$I,'Monthly NSE Equity Futures'!$A:$A,$A203)=0,"",SUMIFS('Monthly NSE Equity Futures'!$I:$I,'Monthly NSE Equity Futures'!$A:$A,$A203))</f>
        <v>30016328</v>
      </c>
      <c r="P203" s="7">
        <f>IF(SUMIFS('Monthly BSE Equity Futures'!$I:$I,'Monthly BSE Equity Futures'!$A:$A,$A203)=0,"",SUMIFS('Monthly BSE Equity Futures'!$I:$I,'Monthly BSE Equity Futures'!$A:$A,$A203))</f>
        <v>7543</v>
      </c>
      <c r="Q203" s="7">
        <f t="shared" si="39"/>
        <v>30023871</v>
      </c>
      <c r="R203" s="19">
        <f t="shared" si="40"/>
        <v>0.99974876657310441</v>
      </c>
      <c r="S203" s="19">
        <f t="shared" si="41"/>
        <v>2.5123342689555256E-4</v>
      </c>
    </row>
    <row r="204" spans="1:19" x14ac:dyDescent="0.2">
      <c r="A204" s="8">
        <v>44136</v>
      </c>
      <c r="B204" s="4" t="s">
        <v>91</v>
      </c>
      <c r="C204" s="4" t="s">
        <v>175</v>
      </c>
      <c r="D204" s="14">
        <f>IF(SUMIFS('Monthly NSE Equity Futures'!$H:$H,'Monthly NSE Equity Futures'!$A:$A,$A204)=0,"",SUMIFS('Monthly NSE Equity Futures'!$H:$H,'Monthly NSE Equity Futures'!$A:$A,$A204))</f>
        <v>23697.8773</v>
      </c>
      <c r="E204" s="6">
        <f>IF(SUMIFS('Monthly BSE Equity Futures'!$H:$H,'Monthly BSE Equity Futures'!$A:$A,$A204)=0,"",SUMIFS('Monthly BSE Equity Futures'!$H:$H,'Monthly BSE Equity Futures'!$A:$A,$A204))</f>
        <v>5.6524999999999999</v>
      </c>
      <c r="F204" s="6">
        <f t="shared" si="36"/>
        <v>23703.5298</v>
      </c>
      <c r="G204" s="15">
        <f t="shared" si="37"/>
        <v>0.99976153340672491</v>
      </c>
      <c r="H204" s="15">
        <f t="shared" si="38"/>
        <v>2.3846659327506572E-4</v>
      </c>
      <c r="I204" s="20">
        <f t="shared" si="33"/>
        <v>0.36618681426772248</v>
      </c>
      <c r="J204" s="15">
        <f t="shared" si="34"/>
        <v>-0.80411081384549277</v>
      </c>
      <c r="K204" s="15">
        <f t="shared" si="35"/>
        <v>0.36424322176548452</v>
      </c>
      <c r="L204" s="15">
        <f t="shared" si="42"/>
        <v>8.4490086417393417E-2</v>
      </c>
      <c r="M204" s="15">
        <f t="shared" si="43"/>
        <v>-0.19206140476258537</v>
      </c>
      <c r="N204" s="15">
        <f t="shared" si="44"/>
        <v>8.4401571730901903E-2</v>
      </c>
      <c r="O204" s="18">
        <f>IF(SUMIFS('Monthly NSE Equity Futures'!$I:$I,'Monthly NSE Equity Futures'!$A:$A,$A204)=0,"",SUMIFS('Monthly NSE Equity Futures'!$I:$I,'Monthly NSE Equity Futures'!$A:$A,$A204))</f>
        <v>31268423</v>
      </c>
      <c r="P204" s="7">
        <f>IF(SUMIFS('Monthly BSE Equity Futures'!$I:$I,'Monthly BSE Equity Futures'!$A:$A,$A204)=0,"",SUMIFS('Monthly BSE Equity Futures'!$I:$I,'Monthly BSE Equity Futures'!$A:$A,$A204))</f>
        <v>5748</v>
      </c>
      <c r="Q204" s="7">
        <f t="shared" si="39"/>
        <v>31274171</v>
      </c>
      <c r="R204" s="19">
        <f t="shared" si="40"/>
        <v>0.99981620615938949</v>
      </c>
      <c r="S204" s="19">
        <f t="shared" si="41"/>
        <v>1.837938406105153E-4</v>
      </c>
    </row>
    <row r="205" spans="1:19" x14ac:dyDescent="0.2">
      <c r="A205" s="8">
        <v>44166</v>
      </c>
      <c r="B205" s="4" t="s">
        <v>91</v>
      </c>
      <c r="C205" s="4" t="s">
        <v>175</v>
      </c>
      <c r="D205" s="14">
        <f>IF(SUMIFS('Monthly NSE Equity Futures'!$H:$H,'Monthly NSE Equity Futures'!$A:$A,$A205)=0,"",SUMIFS('Monthly NSE Equity Futures'!$H:$H,'Monthly NSE Equity Futures'!$A:$A,$A205))</f>
        <v>22794.508399999999</v>
      </c>
      <c r="E205" s="6">
        <f>IF(SUMIFS('Monthly BSE Equity Futures'!$H:$H,'Monthly BSE Equity Futures'!$A:$A,$A205)=0,"",SUMIFS('Monthly BSE Equity Futures'!$H:$H,'Monthly BSE Equity Futures'!$A:$A,$A205))</f>
        <v>4.8384</v>
      </c>
      <c r="F205" s="6">
        <f t="shared" si="36"/>
        <v>22799.346799999999</v>
      </c>
      <c r="G205" s="15">
        <f t="shared" si="37"/>
        <v>0.99978778339386454</v>
      </c>
      <c r="H205" s="15">
        <f t="shared" si="38"/>
        <v>2.1221660613540035E-4</v>
      </c>
      <c r="I205" s="20">
        <f t="shared" si="33"/>
        <v>0.48483102795886701</v>
      </c>
      <c r="J205" s="15">
        <f t="shared" si="34"/>
        <v>-0.87429658150301637</v>
      </c>
      <c r="K205" s="15">
        <f t="shared" si="35"/>
        <v>0.48143184776094694</v>
      </c>
      <c r="L205" s="15">
        <f t="shared" si="42"/>
        <v>-3.8120245478695303E-2</v>
      </c>
      <c r="M205" s="15">
        <f t="shared" si="43"/>
        <v>-0.14402476780185758</v>
      </c>
      <c r="N205" s="15">
        <f t="shared" si="44"/>
        <v>-3.8145500169346147E-2</v>
      </c>
      <c r="O205" s="18">
        <f>IF(SUMIFS('Monthly NSE Equity Futures'!$I:$I,'Monthly NSE Equity Futures'!$A:$A,$A205)=0,"",SUMIFS('Monthly NSE Equity Futures'!$I:$I,'Monthly NSE Equity Futures'!$A:$A,$A205))</f>
        <v>27830559</v>
      </c>
      <c r="P205" s="7">
        <f>IF(SUMIFS('Monthly BSE Equity Futures'!$I:$I,'Monthly BSE Equity Futures'!$A:$A,$A205)=0,"",SUMIFS('Monthly BSE Equity Futures'!$I:$I,'Monthly BSE Equity Futures'!$A:$A,$A205))</f>
        <v>4575</v>
      </c>
      <c r="Q205" s="7">
        <f t="shared" si="39"/>
        <v>27835134</v>
      </c>
      <c r="R205" s="19">
        <f t="shared" si="40"/>
        <v>0.99983563937576159</v>
      </c>
      <c r="S205" s="19">
        <f t="shared" si="41"/>
        <v>1.6436062423841753E-4</v>
      </c>
    </row>
    <row r="206" spans="1:19" x14ac:dyDescent="0.2">
      <c r="A206" s="8">
        <v>44197</v>
      </c>
      <c r="B206" s="4" t="s">
        <v>91</v>
      </c>
      <c r="C206" s="4" t="s">
        <v>176</v>
      </c>
      <c r="D206" s="14">
        <f>IF(SUMIFS('Monthly NSE Equity Futures'!$H:$H,'Monthly NSE Equity Futures'!$A:$A,$A206)=0,"",SUMIFS('Monthly NSE Equity Futures'!$H:$H,'Monthly NSE Equity Futures'!$A:$A,$A206))</f>
        <v>24986.742999999999</v>
      </c>
      <c r="E206" s="6">
        <f>IF(SUMIFS('Monthly BSE Equity Futures'!$H:$H,'Monthly BSE Equity Futures'!$A:$A,$A206)=0,"",SUMIFS('Monthly BSE Equity Futures'!$H:$H,'Monthly BSE Equity Futures'!$A:$A,$A206))</f>
        <v>3.4723000000000002</v>
      </c>
      <c r="F206" s="6">
        <f t="shared" si="36"/>
        <v>24990.2153</v>
      </c>
      <c r="G206" s="15">
        <f t="shared" si="37"/>
        <v>0.99986105361805344</v>
      </c>
      <c r="H206" s="15">
        <f t="shared" si="38"/>
        <v>1.3894638194653729E-4</v>
      </c>
      <c r="I206" s="20">
        <f t="shared" ref="I206:I269" si="45">IF(OR(D206="",D194=""),"",D206/D194-1)</f>
        <v>0.28330233866345234</v>
      </c>
      <c r="J206" s="15">
        <f t="shared" ref="J206:J269" si="46">IF(OR(E206="",E194=""),"",E206/E194-1)</f>
        <v>-0.86110577769244312</v>
      </c>
      <c r="K206" s="15">
        <f t="shared" ref="K206:K269" si="47">IF(OR(F206="",F194=""),"",F206/F194-1)</f>
        <v>0.28183484557423943</v>
      </c>
      <c r="L206" s="15">
        <f t="shared" si="42"/>
        <v>9.6173804739741575E-2</v>
      </c>
      <c r="M206" s="15">
        <f t="shared" si="43"/>
        <v>-0.28234540343915338</v>
      </c>
      <c r="N206" s="15">
        <f t="shared" si="44"/>
        <v>9.6093476678024814E-2</v>
      </c>
      <c r="O206" s="18">
        <f>IF(SUMIFS('Monthly NSE Equity Futures'!$I:$I,'Monthly NSE Equity Futures'!$A:$A,$A206)=0,"",SUMIFS('Monthly NSE Equity Futures'!$I:$I,'Monthly NSE Equity Futures'!$A:$A,$A206))</f>
        <v>28785842</v>
      </c>
      <c r="P206" s="7">
        <f>IF(SUMIFS('Monthly BSE Equity Futures'!$I:$I,'Monthly BSE Equity Futures'!$A:$A,$A206)=0,"",SUMIFS('Monthly BSE Equity Futures'!$I:$I,'Monthly BSE Equity Futures'!$A:$A,$A206))</f>
        <v>3087</v>
      </c>
      <c r="Q206" s="7">
        <f t="shared" si="39"/>
        <v>28788929</v>
      </c>
      <c r="R206" s="19">
        <f t="shared" si="40"/>
        <v>0.99989277128023757</v>
      </c>
      <c r="S206" s="19">
        <f t="shared" si="41"/>
        <v>1.072287197623781E-4</v>
      </c>
    </row>
    <row r="207" spans="1:19" x14ac:dyDescent="0.2">
      <c r="A207" s="8">
        <v>44228</v>
      </c>
      <c r="B207" s="4" t="s">
        <v>91</v>
      </c>
      <c r="C207" s="4" t="s">
        <v>176</v>
      </c>
      <c r="D207" s="14">
        <f>IF(SUMIFS('Monthly NSE Equity Futures'!$H:$H,'Monthly NSE Equity Futures'!$A:$A,$A207)=0,"",SUMIFS('Monthly NSE Equity Futures'!$H:$H,'Monthly NSE Equity Futures'!$A:$A,$A207))</f>
        <v>29034.144100000001</v>
      </c>
      <c r="E207" s="6">
        <f>IF(SUMIFS('Monthly BSE Equity Futures'!$H:$H,'Monthly BSE Equity Futures'!$A:$A,$A207)=0,"",SUMIFS('Monthly BSE Equity Futures'!$H:$H,'Monthly BSE Equity Futures'!$A:$A,$A207))</f>
        <v>1.8511</v>
      </c>
      <c r="F207" s="6">
        <f t="shared" si="36"/>
        <v>29035.995200000001</v>
      </c>
      <c r="G207" s="15">
        <f t="shared" si="37"/>
        <v>0.99993624809526072</v>
      </c>
      <c r="H207" s="15">
        <f t="shared" si="38"/>
        <v>6.3751904739259632E-5</v>
      </c>
      <c r="I207" s="20">
        <f t="shared" si="45"/>
        <v>0.57048157198529226</v>
      </c>
      <c r="J207" s="15">
        <f t="shared" si="46"/>
        <v>-0.91928929583605845</v>
      </c>
      <c r="K207" s="15">
        <f t="shared" si="47"/>
        <v>0.56863569141538139</v>
      </c>
      <c r="L207" s="15">
        <f t="shared" si="42"/>
        <v>0.16198193978302822</v>
      </c>
      <c r="M207" s="15">
        <f t="shared" si="43"/>
        <v>-0.46689514154882938</v>
      </c>
      <c r="N207" s="15">
        <f t="shared" si="44"/>
        <v>0.16189455958788801</v>
      </c>
      <c r="O207" s="18">
        <f>IF(SUMIFS('Monthly NSE Equity Futures'!$I:$I,'Monthly NSE Equity Futures'!$A:$A,$A207)=0,"",SUMIFS('Monthly NSE Equity Futures'!$I:$I,'Monthly NSE Equity Futures'!$A:$A,$A207))</f>
        <v>31131187</v>
      </c>
      <c r="P207" s="7">
        <f>IF(SUMIFS('Monthly BSE Equity Futures'!$I:$I,'Monthly BSE Equity Futures'!$A:$A,$A207)=0,"",SUMIFS('Monthly BSE Equity Futures'!$I:$I,'Monthly BSE Equity Futures'!$A:$A,$A207))</f>
        <v>1584</v>
      </c>
      <c r="Q207" s="7">
        <f t="shared" si="39"/>
        <v>31132771</v>
      </c>
      <c r="R207" s="19">
        <f t="shared" si="40"/>
        <v>0.99994912113669543</v>
      </c>
      <c r="S207" s="19">
        <f t="shared" si="41"/>
        <v>5.0878863304522429E-5</v>
      </c>
    </row>
    <row r="208" spans="1:19" x14ac:dyDescent="0.2">
      <c r="A208" s="8">
        <v>44256</v>
      </c>
      <c r="B208" s="4" t="s">
        <v>91</v>
      </c>
      <c r="C208" s="4" t="s">
        <v>176</v>
      </c>
      <c r="D208" s="14">
        <f>IF(SUMIFS('Monthly NSE Equity Futures'!$H:$H,'Monthly NSE Equity Futures'!$A:$A,$A208)=0,"",SUMIFS('Monthly NSE Equity Futures'!$H:$H,'Monthly NSE Equity Futures'!$A:$A,$A208))</f>
        <v>25584.768400000001</v>
      </c>
      <c r="E208" s="6">
        <f>IF(SUMIFS('Monthly BSE Equity Futures'!$H:$H,'Monthly BSE Equity Futures'!$A:$A,$A208)=0,"",SUMIFS('Monthly BSE Equity Futures'!$H:$H,'Monthly BSE Equity Futures'!$A:$A,$A208))</f>
        <v>1.9216</v>
      </c>
      <c r="F208" s="6">
        <f t="shared" si="36"/>
        <v>25586.690000000002</v>
      </c>
      <c r="G208" s="15">
        <f t="shared" si="37"/>
        <v>0.99992489845306287</v>
      </c>
      <c r="H208" s="15">
        <f t="shared" si="38"/>
        <v>7.5101546937098935E-5</v>
      </c>
      <c r="I208" s="20">
        <f t="shared" si="45"/>
        <v>0.21983660992947129</v>
      </c>
      <c r="J208" s="15">
        <f t="shared" si="46"/>
        <v>-0.89264384640740135</v>
      </c>
      <c r="K208" s="15">
        <f t="shared" si="47"/>
        <v>0.21888802081042025</v>
      </c>
      <c r="L208" s="15">
        <f t="shared" si="42"/>
        <v>-0.11880411174235372</v>
      </c>
      <c r="M208" s="15">
        <f t="shared" si="43"/>
        <v>3.8085462697855288E-2</v>
      </c>
      <c r="N208" s="15">
        <f t="shared" si="44"/>
        <v>-0.11879410973314941</v>
      </c>
      <c r="O208" s="18">
        <f>IF(SUMIFS('Monthly NSE Equity Futures'!$I:$I,'Monthly NSE Equity Futures'!$A:$A,$A208)=0,"",SUMIFS('Monthly NSE Equity Futures'!$I:$I,'Monthly NSE Equity Futures'!$A:$A,$A208))</f>
        <v>27350275</v>
      </c>
      <c r="P208" s="7">
        <f>IF(SUMIFS('Monthly BSE Equity Futures'!$I:$I,'Monthly BSE Equity Futures'!$A:$A,$A208)=0,"",SUMIFS('Monthly BSE Equity Futures'!$I:$I,'Monthly BSE Equity Futures'!$A:$A,$A208))</f>
        <v>1647</v>
      </c>
      <c r="Q208" s="7">
        <f t="shared" si="39"/>
        <v>27351922</v>
      </c>
      <c r="R208" s="19">
        <f t="shared" si="40"/>
        <v>0.99993978485314483</v>
      </c>
      <c r="S208" s="19">
        <f t="shared" si="41"/>
        <v>6.0215146855127768E-5</v>
      </c>
    </row>
    <row r="209" spans="1:19" x14ac:dyDescent="0.2">
      <c r="A209" s="8">
        <v>44287</v>
      </c>
      <c r="B209" s="4" t="s">
        <v>92</v>
      </c>
      <c r="C209" s="4" t="s">
        <v>177</v>
      </c>
      <c r="D209" s="14">
        <f>IF(SUMIFS('Monthly NSE Equity Futures'!$H:$H,'Monthly NSE Equity Futures'!$A:$A,$A209)=0,"",SUMIFS('Monthly NSE Equity Futures'!$H:$H,'Monthly NSE Equity Futures'!$A:$A,$A209))</f>
        <v>23049.065200000001</v>
      </c>
      <c r="E209" s="6">
        <f>IF(SUMIFS('Monthly BSE Equity Futures'!$H:$H,'Monthly BSE Equity Futures'!$A:$A,$A209)=0,"",SUMIFS('Monthly BSE Equity Futures'!$H:$H,'Monthly BSE Equity Futures'!$A:$A,$A209))</f>
        <v>1.7014</v>
      </c>
      <c r="F209" s="6">
        <f t="shared" si="36"/>
        <v>23050.766600000003</v>
      </c>
      <c r="G209" s="15">
        <f t="shared" si="37"/>
        <v>0.999926189005792</v>
      </c>
      <c r="H209" s="15">
        <f t="shared" si="38"/>
        <v>7.3810994207888935E-5</v>
      </c>
      <c r="I209" s="20">
        <f t="shared" si="45"/>
        <v>0.48733920041570267</v>
      </c>
      <c r="J209" s="15">
        <f t="shared" si="46"/>
        <v>1.1882958199356914</v>
      </c>
      <c r="K209" s="15">
        <f t="shared" si="47"/>
        <v>0.48737436669802503</v>
      </c>
      <c r="L209" s="15">
        <f t="shared" si="42"/>
        <v>-9.9109875077079024E-2</v>
      </c>
      <c r="M209" s="15">
        <f t="shared" si="43"/>
        <v>-0.11459200666111569</v>
      </c>
      <c r="N209" s="15">
        <f t="shared" si="44"/>
        <v>-9.9111037809110902E-2</v>
      </c>
      <c r="O209" s="18">
        <f>IF(SUMIFS('Monthly NSE Equity Futures'!$I:$I,'Monthly NSE Equity Futures'!$A:$A,$A209)=0,"",SUMIFS('Monthly NSE Equity Futures'!$I:$I,'Monthly NSE Equity Futures'!$A:$A,$A209))</f>
        <v>24695416</v>
      </c>
      <c r="P209" s="7">
        <f>IF(SUMIFS('Monthly BSE Equity Futures'!$I:$I,'Monthly BSE Equity Futures'!$A:$A,$A209)=0,"",SUMIFS('Monthly BSE Equity Futures'!$I:$I,'Monthly BSE Equity Futures'!$A:$A,$A209))</f>
        <v>1480</v>
      </c>
      <c r="Q209" s="7">
        <f t="shared" si="39"/>
        <v>24696896</v>
      </c>
      <c r="R209" s="19">
        <f t="shared" si="40"/>
        <v>0.99994007344080815</v>
      </c>
      <c r="S209" s="19">
        <f t="shared" si="41"/>
        <v>5.9926559191891971E-5</v>
      </c>
    </row>
    <row r="210" spans="1:19" x14ac:dyDescent="0.2">
      <c r="A210" s="8">
        <v>44317</v>
      </c>
      <c r="B210" s="4" t="s">
        <v>92</v>
      </c>
      <c r="C210" s="4" t="s">
        <v>177</v>
      </c>
      <c r="D210" s="14">
        <f>IF(SUMIFS('Monthly NSE Equity Futures'!$H:$H,'Monthly NSE Equity Futures'!$A:$A,$A210)=0,"",SUMIFS('Monthly NSE Equity Futures'!$H:$H,'Monthly NSE Equity Futures'!$A:$A,$A210))</f>
        <v>23464.255000000001</v>
      </c>
      <c r="E210" s="6">
        <f>IF(SUMIFS('Monthly BSE Equity Futures'!$H:$H,'Monthly BSE Equity Futures'!$A:$A,$A210)=0,"",SUMIFS('Monthly BSE Equity Futures'!$H:$H,'Monthly BSE Equity Futures'!$A:$A,$A210))</f>
        <v>1.9341999999999999</v>
      </c>
      <c r="F210" s="6">
        <f t="shared" si="36"/>
        <v>23466.189200000001</v>
      </c>
      <c r="G210" s="15">
        <f t="shared" si="37"/>
        <v>0.99991757502747824</v>
      </c>
      <c r="H210" s="15">
        <f t="shared" si="38"/>
        <v>8.2424972521742047E-5</v>
      </c>
      <c r="I210" s="20">
        <f t="shared" si="45"/>
        <v>0.33422077611183942</v>
      </c>
      <c r="J210" s="15">
        <f t="shared" si="46"/>
        <v>-0.40739605992830663</v>
      </c>
      <c r="K210" s="15">
        <f t="shared" si="47"/>
        <v>0.33408316396812432</v>
      </c>
      <c r="L210" s="15">
        <f t="shared" si="42"/>
        <v>1.8013303203290087E-2</v>
      </c>
      <c r="M210" s="15">
        <f t="shared" si="43"/>
        <v>0.13682849418126253</v>
      </c>
      <c r="N210" s="15">
        <f t="shared" si="44"/>
        <v>1.8022073070663058E-2</v>
      </c>
      <c r="O210" s="18">
        <f>IF(SUMIFS('Monthly NSE Equity Futures'!$I:$I,'Monthly NSE Equity Futures'!$A:$A,$A210)=0,"",SUMIFS('Monthly NSE Equity Futures'!$I:$I,'Monthly NSE Equity Futures'!$A:$A,$A210))</f>
        <v>28733563</v>
      </c>
      <c r="P210" s="7">
        <f>IF(SUMIFS('Monthly BSE Equity Futures'!$I:$I,'Monthly BSE Equity Futures'!$A:$A,$A210)=0,"",SUMIFS('Monthly BSE Equity Futures'!$I:$I,'Monthly BSE Equity Futures'!$A:$A,$A210))</f>
        <v>1646</v>
      </c>
      <c r="Q210" s="7">
        <f t="shared" si="39"/>
        <v>28735209</v>
      </c>
      <c r="R210" s="19">
        <f t="shared" si="40"/>
        <v>0.99994271835642468</v>
      </c>
      <c r="S210" s="19">
        <f t="shared" si="41"/>
        <v>5.7281643575308608E-5</v>
      </c>
    </row>
    <row r="211" spans="1:19" x14ac:dyDescent="0.2">
      <c r="A211" s="8">
        <v>44348</v>
      </c>
      <c r="B211" s="4" t="s">
        <v>92</v>
      </c>
      <c r="C211" s="4" t="s">
        <v>177</v>
      </c>
      <c r="D211" s="14">
        <f>IF(SUMIFS('Monthly NSE Equity Futures'!$H:$H,'Monthly NSE Equity Futures'!$A:$A,$A211)=0,"",SUMIFS('Monthly NSE Equity Futures'!$H:$H,'Monthly NSE Equity Futures'!$A:$A,$A211))</f>
        <v>23388.108899999999</v>
      </c>
      <c r="E211" s="6">
        <f>IF(SUMIFS('Monthly BSE Equity Futures'!$H:$H,'Monthly BSE Equity Futures'!$A:$A,$A211)=0,"",SUMIFS('Monthly BSE Equity Futures'!$H:$H,'Monthly BSE Equity Futures'!$A:$A,$A211))</f>
        <v>0.67449999999999999</v>
      </c>
      <c r="F211" s="6">
        <f t="shared" si="36"/>
        <v>23388.7834</v>
      </c>
      <c r="G211" s="15">
        <f t="shared" si="37"/>
        <v>0.99997116139012165</v>
      </c>
      <c r="H211" s="15">
        <f t="shared" si="38"/>
        <v>2.883860987827182E-5</v>
      </c>
      <c r="I211" s="20">
        <f t="shared" si="45"/>
        <v>1.0238988828565887E-2</v>
      </c>
      <c r="J211" s="15">
        <f t="shared" si="46"/>
        <v>-0.53757027286439052</v>
      </c>
      <c r="K211" s="15">
        <f t="shared" si="47"/>
        <v>1.0204477058311179E-2</v>
      </c>
      <c r="L211" s="15">
        <f t="shared" si="42"/>
        <v>-3.2451957243049279E-3</v>
      </c>
      <c r="M211" s="15">
        <f t="shared" si="43"/>
        <v>-0.65127701375245572</v>
      </c>
      <c r="N211" s="15">
        <f t="shared" si="44"/>
        <v>-3.2986097290991223E-3</v>
      </c>
      <c r="O211" s="18">
        <f>IF(SUMIFS('Monthly NSE Equity Futures'!$I:$I,'Monthly NSE Equity Futures'!$A:$A,$A211)=0,"",SUMIFS('Monthly NSE Equity Futures'!$I:$I,'Monthly NSE Equity Futures'!$A:$A,$A211))</f>
        <v>27790654</v>
      </c>
      <c r="P211" s="7">
        <f>IF(SUMIFS('Monthly BSE Equity Futures'!$I:$I,'Monthly BSE Equity Futures'!$A:$A,$A211)=0,"",SUMIFS('Monthly BSE Equity Futures'!$I:$I,'Monthly BSE Equity Futures'!$A:$A,$A211))</f>
        <v>607</v>
      </c>
      <c r="Q211" s="7">
        <f t="shared" si="39"/>
        <v>27791261</v>
      </c>
      <c r="R211" s="19">
        <f t="shared" si="40"/>
        <v>0.99997815860172734</v>
      </c>
      <c r="S211" s="19">
        <f t="shared" si="41"/>
        <v>2.1841398272644051E-5</v>
      </c>
    </row>
    <row r="212" spans="1:19" x14ac:dyDescent="0.2">
      <c r="A212" s="8">
        <v>44378</v>
      </c>
      <c r="B212" s="4" t="s">
        <v>92</v>
      </c>
      <c r="C212" s="4" t="s">
        <v>178</v>
      </c>
      <c r="D212" s="14">
        <f>IF(SUMIFS('Monthly NSE Equity Futures'!$H:$H,'Monthly NSE Equity Futures'!$A:$A,$A212)=0,"",SUMIFS('Monthly NSE Equity Futures'!$H:$H,'Monthly NSE Equity Futures'!$A:$A,$A212))</f>
        <v>20856.599099999999</v>
      </c>
      <c r="E212" s="6">
        <f>IF(SUMIFS('Monthly BSE Equity Futures'!$H:$H,'Monthly BSE Equity Futures'!$A:$A,$A212)=0,"",SUMIFS('Monthly BSE Equity Futures'!$H:$H,'Monthly BSE Equity Futures'!$A:$A,$A212))</f>
        <v>0.24560000000000001</v>
      </c>
      <c r="F212" s="6">
        <f t="shared" si="36"/>
        <v>20856.844699999998</v>
      </c>
      <c r="G212" s="15">
        <f t="shared" si="37"/>
        <v>0.99998822448920099</v>
      </c>
      <c r="H212" s="15">
        <f t="shared" si="38"/>
        <v>1.1775510799099925E-5</v>
      </c>
      <c r="I212" s="20">
        <f t="shared" si="45"/>
        <v>-0.11328833942272531</v>
      </c>
      <c r="J212" s="15">
        <f t="shared" si="46"/>
        <v>-0.96300647687904806</v>
      </c>
      <c r="K212" s="15">
        <f t="shared" si="47"/>
        <v>-0.11352810891241516</v>
      </c>
      <c r="L212" s="15">
        <f t="shared" si="42"/>
        <v>-0.10823918303202362</v>
      </c>
      <c r="M212" s="15">
        <f t="shared" si="43"/>
        <v>-0.63587842846553</v>
      </c>
      <c r="N212" s="15">
        <f t="shared" si="44"/>
        <v>-0.1082543994143792</v>
      </c>
      <c r="O212" s="18">
        <f>IF(SUMIFS('Monthly NSE Equity Futures'!$I:$I,'Monthly NSE Equity Futures'!$A:$A,$A212)=0,"",SUMIFS('Monthly NSE Equity Futures'!$I:$I,'Monthly NSE Equity Futures'!$A:$A,$A212))</f>
        <v>25495868</v>
      </c>
      <c r="P212" s="7">
        <f>IF(SUMIFS('Monthly BSE Equity Futures'!$I:$I,'Monthly BSE Equity Futures'!$A:$A,$A212)=0,"",SUMIFS('Monthly BSE Equity Futures'!$I:$I,'Monthly BSE Equity Futures'!$A:$A,$A212))</f>
        <v>297</v>
      </c>
      <c r="Q212" s="7">
        <f t="shared" si="39"/>
        <v>25496165</v>
      </c>
      <c r="R212" s="19">
        <f t="shared" si="40"/>
        <v>0.99998835118928675</v>
      </c>
      <c r="S212" s="19">
        <f t="shared" si="41"/>
        <v>1.164881071329747E-5</v>
      </c>
    </row>
    <row r="213" spans="1:19" x14ac:dyDescent="0.2">
      <c r="A213" s="8">
        <v>44409</v>
      </c>
      <c r="B213" s="4" t="s">
        <v>92</v>
      </c>
      <c r="C213" s="4" t="s">
        <v>178</v>
      </c>
      <c r="D213" s="14">
        <f>IF(SUMIFS('Monthly NSE Equity Futures'!$H:$H,'Monthly NSE Equity Futures'!$A:$A,$A213)=0,"",SUMIFS('Monthly NSE Equity Futures'!$H:$H,'Monthly NSE Equity Futures'!$A:$A,$A213))</f>
        <v>22296.163400000001</v>
      </c>
      <c r="E213" s="6">
        <f>IF(SUMIFS('Monthly BSE Equity Futures'!$H:$H,'Monthly BSE Equity Futures'!$A:$A,$A213)=0,"",SUMIFS('Monthly BSE Equity Futures'!$H:$H,'Monthly BSE Equity Futures'!$A:$A,$A213))</f>
        <v>0.1061</v>
      </c>
      <c r="F213" s="6">
        <f t="shared" si="36"/>
        <v>22296.269500000002</v>
      </c>
      <c r="G213" s="15">
        <f t="shared" si="37"/>
        <v>0.99999524135640716</v>
      </c>
      <c r="H213" s="15">
        <f t="shared" si="38"/>
        <v>4.7586435928216594E-6</v>
      </c>
      <c r="I213" s="20">
        <f t="shared" si="45"/>
        <v>6.204646623109511E-2</v>
      </c>
      <c r="J213" s="15">
        <f t="shared" si="46"/>
        <v>-0.98022440915529707</v>
      </c>
      <c r="K213" s="15">
        <f t="shared" si="47"/>
        <v>6.1780167607231373E-2</v>
      </c>
      <c r="L213" s="15">
        <f t="shared" si="42"/>
        <v>6.9022005605890113E-2</v>
      </c>
      <c r="M213" s="15">
        <f t="shared" si="43"/>
        <v>-0.56799674267100975</v>
      </c>
      <c r="N213" s="15">
        <f t="shared" si="44"/>
        <v>6.9014504384740549E-2</v>
      </c>
      <c r="O213" s="18">
        <f>IF(SUMIFS('Monthly NSE Equity Futures'!$I:$I,'Monthly NSE Equity Futures'!$A:$A,$A213)=0,"",SUMIFS('Monthly NSE Equity Futures'!$I:$I,'Monthly NSE Equity Futures'!$A:$A,$A213))</f>
        <v>26750048</v>
      </c>
      <c r="P213" s="7">
        <f>IF(SUMIFS('Monthly BSE Equity Futures'!$I:$I,'Monthly BSE Equity Futures'!$A:$A,$A213)=0,"",SUMIFS('Monthly BSE Equity Futures'!$I:$I,'Monthly BSE Equity Futures'!$A:$A,$A213))</f>
        <v>123</v>
      </c>
      <c r="Q213" s="7">
        <f t="shared" si="39"/>
        <v>26750171</v>
      </c>
      <c r="R213" s="19">
        <f t="shared" si="40"/>
        <v>0.99999540189855229</v>
      </c>
      <c r="S213" s="19">
        <f t="shared" si="41"/>
        <v>4.5981014476505593E-6</v>
      </c>
    </row>
    <row r="214" spans="1:19" x14ac:dyDescent="0.2">
      <c r="A214" s="8">
        <v>44440</v>
      </c>
      <c r="B214" s="4" t="s">
        <v>92</v>
      </c>
      <c r="C214" s="4" t="s">
        <v>178</v>
      </c>
      <c r="D214" s="14">
        <f>IF(SUMIFS('Monthly NSE Equity Futures'!$H:$H,'Monthly NSE Equity Futures'!$A:$A,$A214)=0,"",SUMIFS('Monthly NSE Equity Futures'!$H:$H,'Monthly NSE Equity Futures'!$A:$A,$A214))</f>
        <v>25213.029699999999</v>
      </c>
      <c r="E214" s="6">
        <f>IF(SUMIFS('Monthly BSE Equity Futures'!$H:$H,'Monthly BSE Equity Futures'!$A:$A,$A214)=0,"",SUMIFS('Monthly BSE Equity Futures'!$H:$H,'Monthly BSE Equity Futures'!$A:$A,$A214))</f>
        <v>4.4999999999999997E-3</v>
      </c>
      <c r="F214" s="6">
        <f t="shared" si="36"/>
        <v>25213.034199999998</v>
      </c>
      <c r="G214" s="15">
        <f t="shared" si="37"/>
        <v>0.99999982152088629</v>
      </c>
      <c r="H214" s="15">
        <f t="shared" si="38"/>
        <v>1.784791137910724E-7</v>
      </c>
      <c r="I214" s="20">
        <f t="shared" si="45"/>
        <v>0.10772119204033515</v>
      </c>
      <c r="J214" s="15">
        <f t="shared" si="46"/>
        <v>-0.99942794671005797</v>
      </c>
      <c r="K214" s="15">
        <f t="shared" si="47"/>
        <v>0.10733868669133551</v>
      </c>
      <c r="L214" s="15">
        <f t="shared" si="42"/>
        <v>0.13082368691287938</v>
      </c>
      <c r="M214" s="15">
        <f t="shared" si="43"/>
        <v>-0.95758718190386427</v>
      </c>
      <c r="N214" s="15">
        <f t="shared" si="44"/>
        <v>0.13081850755347202</v>
      </c>
      <c r="O214" s="18">
        <f>IF(SUMIFS('Monthly NSE Equity Futures'!$I:$I,'Monthly NSE Equity Futures'!$A:$A,$A214)=0,"",SUMIFS('Monthly NSE Equity Futures'!$I:$I,'Monthly NSE Equity Futures'!$A:$A,$A214))</f>
        <v>28747261</v>
      </c>
      <c r="P214" s="7">
        <f>IF(SUMIFS('Monthly BSE Equity Futures'!$I:$I,'Monthly BSE Equity Futures'!$A:$A,$A214)=0,"",SUMIFS('Monthly BSE Equity Futures'!$I:$I,'Monthly BSE Equity Futures'!$A:$A,$A214))</f>
        <v>5</v>
      </c>
      <c r="Q214" s="7">
        <f t="shared" si="39"/>
        <v>28747266</v>
      </c>
      <c r="R214" s="19">
        <f t="shared" si="40"/>
        <v>0.9999998260704166</v>
      </c>
      <c r="S214" s="19">
        <f t="shared" si="41"/>
        <v>1.7392958342542904E-7</v>
      </c>
    </row>
    <row r="215" spans="1:19" x14ac:dyDescent="0.2">
      <c r="A215" s="8">
        <v>44470</v>
      </c>
      <c r="B215" s="4" t="s">
        <v>92</v>
      </c>
      <c r="C215" s="4" t="s">
        <v>179</v>
      </c>
      <c r="D215" s="14">
        <f>IF(SUMIFS('Monthly NSE Equity Futures'!$H:$H,'Monthly NSE Equity Futures'!$A:$A,$A215)=0,"",SUMIFS('Monthly NSE Equity Futures'!$H:$H,'Monthly NSE Equity Futures'!$A:$A,$A215))</f>
        <v>29334.382900000001</v>
      </c>
      <c r="E215" s="6">
        <f>IF(SUMIFS('Monthly BSE Equity Futures'!$H:$H,'Monthly BSE Equity Futures'!$A:$A,$A215)=0,"",SUMIFS('Monthly BSE Equity Futures'!$H:$H,'Monthly BSE Equity Futures'!$A:$A,$A215))</f>
        <v>2.2800000000000001E-2</v>
      </c>
      <c r="F215" s="6">
        <f t="shared" si="36"/>
        <v>29334.405699999999</v>
      </c>
      <c r="G215" s="15">
        <f t="shared" si="37"/>
        <v>0.9999992227556872</v>
      </c>
      <c r="H215" s="15">
        <f t="shared" si="38"/>
        <v>7.7724431281046893E-7</v>
      </c>
      <c r="I215" s="20">
        <f t="shared" si="45"/>
        <v>0.34243447391897441</v>
      </c>
      <c r="J215" s="15">
        <f t="shared" si="46"/>
        <v>-0.99674108801921046</v>
      </c>
      <c r="K215" s="15">
        <f t="shared" si="47"/>
        <v>0.34200584956220004</v>
      </c>
      <c r="L215" s="15">
        <f t="shared" si="42"/>
        <v>0.16346124400908479</v>
      </c>
      <c r="M215" s="15">
        <f t="shared" si="43"/>
        <v>4.0666666666666673</v>
      </c>
      <c r="N215" s="15">
        <f t="shared" si="44"/>
        <v>0.16346194064972952</v>
      </c>
      <c r="O215" s="18">
        <f>IF(SUMIFS('Monthly NSE Equity Futures'!$I:$I,'Monthly NSE Equity Futures'!$A:$A,$A215)=0,"",SUMIFS('Monthly NSE Equity Futures'!$I:$I,'Monthly NSE Equity Futures'!$A:$A,$A215))</f>
        <v>31824212</v>
      </c>
      <c r="P215" s="7">
        <f>IF(SUMIFS('Monthly BSE Equity Futures'!$I:$I,'Monthly BSE Equity Futures'!$A:$A,$A215)=0,"",SUMIFS('Monthly BSE Equity Futures'!$I:$I,'Monthly BSE Equity Futures'!$A:$A,$A215))</f>
        <v>24</v>
      </c>
      <c r="Q215" s="7">
        <f t="shared" si="39"/>
        <v>31824236</v>
      </c>
      <c r="R215" s="19">
        <f t="shared" si="40"/>
        <v>0.99999924585777955</v>
      </c>
      <c r="S215" s="19">
        <f t="shared" si="41"/>
        <v>7.5414222041339809E-7</v>
      </c>
    </row>
    <row r="216" spans="1:19" x14ac:dyDescent="0.2">
      <c r="A216" s="8">
        <v>44501</v>
      </c>
      <c r="B216" s="4" t="s">
        <v>92</v>
      </c>
      <c r="C216" s="4" t="s">
        <v>179</v>
      </c>
      <c r="D216" s="14">
        <f>IF(SUMIFS('Monthly NSE Equity Futures'!$H:$H,'Monthly NSE Equity Futures'!$A:$A,$A216)=0,"",SUMIFS('Monthly NSE Equity Futures'!$H:$H,'Monthly NSE Equity Futures'!$A:$A,$A216))</f>
        <v>24315.194</v>
      </c>
      <c r="E216" s="6">
        <f>IF(SUMIFS('Monthly BSE Equity Futures'!$H:$H,'Monthly BSE Equity Futures'!$A:$A,$A216)=0,"",SUMIFS('Monthly BSE Equity Futures'!$H:$H,'Monthly BSE Equity Futures'!$A:$A,$A216))</f>
        <v>4.41E-2</v>
      </c>
      <c r="F216" s="6">
        <f t="shared" si="36"/>
        <v>24315.238099999999</v>
      </c>
      <c r="G216" s="15">
        <f t="shared" si="37"/>
        <v>0.99999818632251025</v>
      </c>
      <c r="H216" s="15">
        <f t="shared" si="38"/>
        <v>1.8136774897548712E-6</v>
      </c>
      <c r="I216" s="20">
        <f t="shared" si="45"/>
        <v>2.6049451273004953E-2</v>
      </c>
      <c r="J216" s="15">
        <f t="shared" si="46"/>
        <v>-0.99219814241486071</v>
      </c>
      <c r="K216" s="15">
        <f t="shared" si="47"/>
        <v>2.5806633238227628E-2</v>
      </c>
      <c r="L216" s="15">
        <f t="shared" si="42"/>
        <v>-0.17110259033265707</v>
      </c>
      <c r="M216" s="15">
        <f t="shared" si="43"/>
        <v>0.93421052631578938</v>
      </c>
      <c r="N216" s="15">
        <f t="shared" si="44"/>
        <v>-0.17110173123432326</v>
      </c>
      <c r="O216" s="18">
        <f>IF(SUMIFS('Monthly NSE Equity Futures'!$I:$I,'Monthly NSE Equity Futures'!$A:$A,$A216)=0,"",SUMIFS('Monthly NSE Equity Futures'!$I:$I,'Monthly NSE Equity Futures'!$A:$A,$A216))</f>
        <v>30396333</v>
      </c>
      <c r="P216" s="7">
        <f>IF(SUMIFS('Monthly BSE Equity Futures'!$I:$I,'Monthly BSE Equity Futures'!$A:$A,$A216)=0,"",SUMIFS('Monthly BSE Equity Futures'!$I:$I,'Monthly BSE Equity Futures'!$A:$A,$A216))</f>
        <v>48</v>
      </c>
      <c r="Q216" s="7">
        <f t="shared" si="39"/>
        <v>30396381</v>
      </c>
      <c r="R216" s="19">
        <f t="shared" si="40"/>
        <v>0.99999842086464175</v>
      </c>
      <c r="S216" s="19">
        <f t="shared" si="41"/>
        <v>1.5791353582520234E-6</v>
      </c>
    </row>
    <row r="217" spans="1:19" x14ac:dyDescent="0.2">
      <c r="A217" s="8">
        <v>44531</v>
      </c>
      <c r="B217" s="4" t="s">
        <v>92</v>
      </c>
      <c r="C217" s="4" t="s">
        <v>179</v>
      </c>
      <c r="D217" s="14">
        <f>IF(SUMIFS('Monthly NSE Equity Futures'!$H:$H,'Monthly NSE Equity Futures'!$A:$A,$A217)=0,"",SUMIFS('Monthly NSE Equity Futures'!$H:$H,'Monthly NSE Equity Futures'!$A:$A,$A217))</f>
        <v>23251.964800000002</v>
      </c>
      <c r="E217" s="6">
        <f>IF(SUMIFS('Monthly BSE Equity Futures'!$H:$H,'Monthly BSE Equity Futures'!$A:$A,$A217)=0,"",SUMIFS('Monthly BSE Equity Futures'!$H:$H,'Monthly BSE Equity Futures'!$A:$A,$A217))</f>
        <v>4.8500000000000001E-2</v>
      </c>
      <c r="F217" s="6">
        <f t="shared" si="36"/>
        <v>23252.013300000002</v>
      </c>
      <c r="G217" s="15">
        <f t="shared" si="37"/>
        <v>0.99999791415911499</v>
      </c>
      <c r="H217" s="15">
        <f t="shared" si="38"/>
        <v>2.0858408850127398E-6</v>
      </c>
      <c r="I217" s="20">
        <f t="shared" si="45"/>
        <v>2.0068710935656986E-2</v>
      </c>
      <c r="J217" s="15">
        <f t="shared" si="46"/>
        <v>-0.98997602513227512</v>
      </c>
      <c r="K217" s="15">
        <f t="shared" si="47"/>
        <v>1.9854362669723624E-2</v>
      </c>
      <c r="L217" s="15">
        <f t="shared" si="42"/>
        <v>-4.3726947027442953E-2</v>
      </c>
      <c r="M217" s="15">
        <f t="shared" si="43"/>
        <v>9.977324263038545E-2</v>
      </c>
      <c r="N217" s="15">
        <f t="shared" si="44"/>
        <v>-4.3726686764379075E-2</v>
      </c>
      <c r="O217" s="18">
        <f>IF(SUMIFS('Monthly NSE Equity Futures'!$I:$I,'Monthly NSE Equity Futures'!$A:$A,$A217)=0,"",SUMIFS('Monthly NSE Equity Futures'!$I:$I,'Monthly NSE Equity Futures'!$A:$A,$A217))</f>
        <v>30274825</v>
      </c>
      <c r="P217" s="7">
        <f>IF(SUMIFS('Monthly BSE Equity Futures'!$I:$I,'Monthly BSE Equity Futures'!$A:$A,$A217)=0,"",SUMIFS('Monthly BSE Equity Futures'!$I:$I,'Monthly BSE Equity Futures'!$A:$A,$A217))</f>
        <v>54</v>
      </c>
      <c r="Q217" s="7">
        <f t="shared" si="39"/>
        <v>30274879</v>
      </c>
      <c r="R217" s="19">
        <f t="shared" si="40"/>
        <v>0.99999821634299513</v>
      </c>
      <c r="S217" s="19">
        <f t="shared" si="41"/>
        <v>1.7836570048719269E-6</v>
      </c>
    </row>
    <row r="218" spans="1:19" x14ac:dyDescent="0.2">
      <c r="A218" s="8">
        <v>44562</v>
      </c>
      <c r="B218" s="4" t="s">
        <v>92</v>
      </c>
      <c r="C218" s="4" t="s">
        <v>180</v>
      </c>
      <c r="D218" s="14">
        <f>IF(SUMIFS('Monthly NSE Equity Futures'!$H:$H,'Monthly NSE Equity Futures'!$A:$A,$A218)=0,"",SUMIFS('Monthly NSE Equity Futures'!$H:$H,'Monthly NSE Equity Futures'!$A:$A,$A218))</f>
        <v>25470.643800000002</v>
      </c>
      <c r="E218" s="6">
        <f>IF(SUMIFS('Monthly BSE Equity Futures'!$H:$H,'Monthly BSE Equity Futures'!$A:$A,$A218)=0,"",SUMIFS('Monthly BSE Equity Futures'!$H:$H,'Monthly BSE Equity Futures'!$A:$A,$A218))</f>
        <v>5.9400000000000001E-2</v>
      </c>
      <c r="F218" s="6">
        <f t="shared" si="36"/>
        <v>25470.7032</v>
      </c>
      <c r="G218" s="15">
        <f t="shared" si="37"/>
        <v>0.99999766790890965</v>
      </c>
      <c r="H218" s="15">
        <f t="shared" si="38"/>
        <v>2.3320910904415076E-6</v>
      </c>
      <c r="I218" s="20">
        <f t="shared" si="45"/>
        <v>1.9366301562392607E-2</v>
      </c>
      <c r="J218" s="15">
        <f t="shared" si="46"/>
        <v>-0.98289318319269647</v>
      </c>
      <c r="K218" s="15">
        <f t="shared" si="47"/>
        <v>1.9227041233214281E-2</v>
      </c>
      <c r="L218" s="15">
        <f t="shared" si="42"/>
        <v>9.5418990140566429E-2</v>
      </c>
      <c r="M218" s="15">
        <f t="shared" si="43"/>
        <v>0.2247422680412372</v>
      </c>
      <c r="N218" s="15">
        <f t="shared" si="44"/>
        <v>9.5419259888346764E-2</v>
      </c>
      <c r="O218" s="18">
        <f>IF(SUMIFS('Monthly NSE Equity Futures'!$I:$I,'Monthly NSE Equity Futures'!$A:$A,$A218)=0,"",SUMIFS('Monthly NSE Equity Futures'!$I:$I,'Monthly NSE Equity Futures'!$A:$A,$A218))</f>
        <v>32909083</v>
      </c>
      <c r="P218" s="7">
        <f>IF(SUMIFS('Monthly BSE Equity Futures'!$I:$I,'Monthly BSE Equity Futures'!$A:$A,$A218)=0,"",SUMIFS('Monthly BSE Equity Futures'!$I:$I,'Monthly BSE Equity Futures'!$A:$A,$A218))</f>
        <v>64</v>
      </c>
      <c r="Q218" s="7">
        <f t="shared" si="39"/>
        <v>32909147</v>
      </c>
      <c r="R218" s="19">
        <f t="shared" si="40"/>
        <v>0.99999805525193342</v>
      </c>
      <c r="S218" s="19">
        <f t="shared" si="41"/>
        <v>1.9447480665481848E-6</v>
      </c>
    </row>
    <row r="219" spans="1:19" x14ac:dyDescent="0.2">
      <c r="A219" s="8">
        <v>44593</v>
      </c>
      <c r="B219" s="4" t="s">
        <v>92</v>
      </c>
      <c r="C219" s="4" t="s">
        <v>180</v>
      </c>
      <c r="D219" s="14">
        <f>IF(SUMIFS('Monthly NSE Equity Futures'!$H:$H,'Monthly NSE Equity Futures'!$A:$A,$A219)=0,"",SUMIFS('Monthly NSE Equity Futures'!$H:$H,'Monthly NSE Equity Futures'!$A:$A,$A219))</f>
        <v>26381.451400000002</v>
      </c>
      <c r="E219" s="6">
        <f>IF(SUMIFS('Monthly BSE Equity Futures'!$H:$H,'Monthly BSE Equity Futures'!$A:$A,$A219)=0,"",SUMIFS('Monthly BSE Equity Futures'!$H:$H,'Monthly BSE Equity Futures'!$A:$A,$A219))</f>
        <v>5.3100000000000001E-2</v>
      </c>
      <c r="F219" s="6">
        <f t="shared" si="36"/>
        <v>26381.504500000003</v>
      </c>
      <c r="G219" s="15">
        <f t="shared" si="37"/>
        <v>0.99999798722624023</v>
      </c>
      <c r="H219" s="15">
        <f t="shared" si="38"/>
        <v>2.0127737597376219E-6</v>
      </c>
      <c r="I219" s="20">
        <f t="shared" si="45"/>
        <v>-9.1364590974803317E-2</v>
      </c>
      <c r="J219" s="15">
        <f t="shared" si="46"/>
        <v>-0.97131435362757279</v>
      </c>
      <c r="K219" s="15">
        <f t="shared" si="47"/>
        <v>-9.1420689448247217E-2</v>
      </c>
      <c r="L219" s="15">
        <f t="shared" si="42"/>
        <v>3.5759111828967516E-2</v>
      </c>
      <c r="M219" s="15">
        <f t="shared" si="43"/>
        <v>-0.10606060606060608</v>
      </c>
      <c r="N219" s="15">
        <f t="shared" si="44"/>
        <v>3.5758781092467107E-2</v>
      </c>
      <c r="O219" s="18">
        <f>IF(SUMIFS('Monthly NSE Equity Futures'!$I:$I,'Monthly NSE Equity Futures'!$A:$A,$A219)=0,"",SUMIFS('Monthly NSE Equity Futures'!$I:$I,'Monthly NSE Equity Futures'!$A:$A,$A219))</f>
        <v>34660076</v>
      </c>
      <c r="P219" s="7">
        <f>IF(SUMIFS('Monthly BSE Equity Futures'!$I:$I,'Monthly BSE Equity Futures'!$A:$A,$A219)=0,"",SUMIFS('Monthly BSE Equity Futures'!$I:$I,'Monthly BSE Equity Futures'!$A:$A,$A219))</f>
        <v>59</v>
      </c>
      <c r="Q219" s="7">
        <f t="shared" si="39"/>
        <v>34660135</v>
      </c>
      <c r="R219" s="19">
        <f t="shared" si="40"/>
        <v>0.99999829775619742</v>
      </c>
      <c r="S219" s="19">
        <f t="shared" si="41"/>
        <v>1.7022438025703016E-6</v>
      </c>
    </row>
    <row r="220" spans="1:19" x14ac:dyDescent="0.2">
      <c r="A220" s="8">
        <v>44621</v>
      </c>
      <c r="B220" s="4" t="s">
        <v>92</v>
      </c>
      <c r="C220" s="4" t="s">
        <v>180</v>
      </c>
      <c r="D220" s="14">
        <f>IF(SUMIFS('Monthly NSE Equity Futures'!$H:$H,'Monthly NSE Equity Futures'!$A:$A,$A220)=0,"",SUMIFS('Monthly NSE Equity Futures'!$H:$H,'Monthly NSE Equity Futures'!$A:$A,$A220))</f>
        <v>27662.3001</v>
      </c>
      <c r="E220" s="6">
        <f>IF(SUMIFS('Monthly BSE Equity Futures'!$H:$H,'Monthly BSE Equity Futures'!$A:$A,$A220)=0,"",SUMIFS('Monthly BSE Equity Futures'!$H:$H,'Monthly BSE Equity Futures'!$A:$A,$A220))</f>
        <v>4.1000000000000002E-2</v>
      </c>
      <c r="F220" s="6">
        <f t="shared" si="36"/>
        <v>27662.341100000001</v>
      </c>
      <c r="G220" s="15">
        <f t="shared" si="37"/>
        <v>0.99999851784055971</v>
      </c>
      <c r="H220" s="15">
        <f t="shared" si="38"/>
        <v>1.4821594402217822E-6</v>
      </c>
      <c r="I220" s="20">
        <f t="shared" si="45"/>
        <v>8.1201895890525178E-2</v>
      </c>
      <c r="J220" s="15">
        <f t="shared" si="46"/>
        <v>-0.97866361365528731</v>
      </c>
      <c r="K220" s="15">
        <f t="shared" si="47"/>
        <v>8.1122298351212985E-2</v>
      </c>
      <c r="L220" s="15">
        <f t="shared" si="42"/>
        <v>4.8551108147143029E-2</v>
      </c>
      <c r="M220" s="15">
        <f t="shared" si="43"/>
        <v>-0.22787193973634645</v>
      </c>
      <c r="N220" s="15">
        <f t="shared" si="44"/>
        <v>4.8550551770085715E-2</v>
      </c>
      <c r="O220" s="18">
        <f>IF(SUMIFS('Monthly NSE Equity Futures'!$I:$I,'Monthly NSE Equity Futures'!$A:$A,$A220)=0,"",SUMIFS('Monthly NSE Equity Futures'!$I:$I,'Monthly NSE Equity Futures'!$A:$A,$A220))</f>
        <v>36995330</v>
      </c>
      <c r="P220" s="7">
        <f>IF(SUMIFS('Monthly BSE Equity Futures'!$I:$I,'Monthly BSE Equity Futures'!$A:$A,$A220)=0,"",SUMIFS('Monthly BSE Equity Futures'!$I:$I,'Monthly BSE Equity Futures'!$A:$A,$A220))</f>
        <v>47</v>
      </c>
      <c r="Q220" s="7">
        <f t="shared" si="39"/>
        <v>36995377</v>
      </c>
      <c r="R220" s="19">
        <f t="shared" si="40"/>
        <v>0.99999872957099478</v>
      </c>
      <c r="S220" s="19">
        <f t="shared" si="41"/>
        <v>1.2704290052240851E-6</v>
      </c>
    </row>
    <row r="221" spans="1:19" x14ac:dyDescent="0.2">
      <c r="A221" s="8">
        <v>44652</v>
      </c>
      <c r="B221" s="4" t="s">
        <v>93</v>
      </c>
      <c r="C221" s="4" t="s">
        <v>181</v>
      </c>
      <c r="D221" s="14">
        <f>IF(SUMIFS('Monthly NSE Equity Futures'!$H:$H,'Monthly NSE Equity Futures'!$A:$A,$A221)=0,"",SUMIFS('Monthly NSE Equity Futures'!$H:$H,'Monthly NSE Equity Futures'!$A:$A,$A221))</f>
        <v>25157.918699999998</v>
      </c>
      <c r="E221" s="6">
        <f>IF(SUMIFS('Monthly BSE Equity Futures'!$H:$H,'Monthly BSE Equity Futures'!$A:$A,$A221)=0,"",SUMIFS('Monthly BSE Equity Futures'!$H:$H,'Monthly BSE Equity Futures'!$A:$A,$A221))</f>
        <v>2.9100000000000001E-2</v>
      </c>
      <c r="F221" s="6">
        <f t="shared" si="36"/>
        <v>25157.947799999998</v>
      </c>
      <c r="G221" s="15">
        <f t="shared" si="37"/>
        <v>0.99999884330787903</v>
      </c>
      <c r="H221" s="15">
        <f t="shared" si="38"/>
        <v>1.1566921209686269E-6</v>
      </c>
      <c r="I221" s="20">
        <f t="shared" si="45"/>
        <v>9.1494101027576491E-2</v>
      </c>
      <c r="J221" s="15">
        <f t="shared" si="46"/>
        <v>-0.98289643822734218</v>
      </c>
      <c r="K221" s="15">
        <f t="shared" si="47"/>
        <v>9.1414799193706431E-2</v>
      </c>
      <c r="L221" s="15">
        <f t="shared" si="42"/>
        <v>-9.0534098428062482E-2</v>
      </c>
      <c r="M221" s="15">
        <f t="shared" si="43"/>
        <v>-0.29024390243902443</v>
      </c>
      <c r="N221" s="15">
        <f t="shared" si="44"/>
        <v>-9.0534394429833798E-2</v>
      </c>
      <c r="O221" s="18">
        <f>IF(SUMIFS('Monthly NSE Equity Futures'!$I:$I,'Monthly NSE Equity Futures'!$A:$A,$A221)=0,"",SUMIFS('Monthly NSE Equity Futures'!$I:$I,'Monthly NSE Equity Futures'!$A:$A,$A221))</f>
        <v>32497674</v>
      </c>
      <c r="P221" s="7">
        <f>IF(SUMIFS('Monthly BSE Equity Futures'!$I:$I,'Monthly BSE Equity Futures'!$A:$A,$A221)=0,"",SUMIFS('Monthly BSE Equity Futures'!$I:$I,'Monthly BSE Equity Futures'!$A:$A,$A221))</f>
        <v>32</v>
      </c>
      <c r="Q221" s="7">
        <f t="shared" si="39"/>
        <v>32497706</v>
      </c>
      <c r="R221" s="19">
        <f t="shared" si="40"/>
        <v>0.99999901531511182</v>
      </c>
      <c r="S221" s="19">
        <f t="shared" si="41"/>
        <v>9.8468488821949471E-7</v>
      </c>
    </row>
    <row r="222" spans="1:19" x14ac:dyDescent="0.2">
      <c r="A222" s="8">
        <v>44682</v>
      </c>
      <c r="B222" s="4" t="s">
        <v>93</v>
      </c>
      <c r="C222" s="4" t="s">
        <v>181</v>
      </c>
      <c r="D222" s="14">
        <f>IF(SUMIFS('Monthly NSE Equity Futures'!$H:$H,'Monthly NSE Equity Futures'!$A:$A,$A222)=0,"",SUMIFS('Monthly NSE Equity Futures'!$H:$H,'Monthly NSE Equity Futures'!$A:$A,$A222))</f>
        <v>25512.619500000001</v>
      </c>
      <c r="E222" s="6">
        <f>IF(SUMIFS('Monthly BSE Equity Futures'!$H:$H,'Monthly BSE Equity Futures'!$A:$A,$A222)=0,"",SUMIFS('Monthly BSE Equity Futures'!$H:$H,'Monthly BSE Equity Futures'!$A:$A,$A222))</f>
        <v>7.3700000000000002E-2</v>
      </c>
      <c r="F222" s="6">
        <f t="shared" si="36"/>
        <v>25512.693200000002</v>
      </c>
      <c r="G222" s="15">
        <f t="shared" si="37"/>
        <v>0.99999711124186608</v>
      </c>
      <c r="H222" s="15">
        <f t="shared" si="38"/>
        <v>2.8887581339315442E-6</v>
      </c>
      <c r="I222" s="20">
        <f t="shared" si="45"/>
        <v>8.7297231469739778E-2</v>
      </c>
      <c r="J222" s="15">
        <f t="shared" si="46"/>
        <v>-0.96189639127287763</v>
      </c>
      <c r="K222" s="15">
        <f t="shared" si="47"/>
        <v>8.7210751714215329E-2</v>
      </c>
      <c r="L222" s="15">
        <f t="shared" si="42"/>
        <v>1.4098972344640082E-2</v>
      </c>
      <c r="M222" s="15">
        <f t="shared" si="43"/>
        <v>1.5326460481099655</v>
      </c>
      <c r="N222" s="15">
        <f t="shared" si="44"/>
        <v>1.4100728836077936E-2</v>
      </c>
      <c r="O222" s="18">
        <f>IF(SUMIFS('Monthly NSE Equity Futures'!$I:$I,'Monthly NSE Equity Futures'!$A:$A,$A222)=0,"",SUMIFS('Monthly NSE Equity Futures'!$I:$I,'Monthly NSE Equity Futures'!$A:$A,$A222))</f>
        <v>37662933</v>
      </c>
      <c r="P222" s="7">
        <f>IF(SUMIFS('Monthly BSE Equity Futures'!$I:$I,'Monthly BSE Equity Futures'!$A:$A,$A222)=0,"",SUMIFS('Monthly BSE Equity Futures'!$I:$I,'Monthly BSE Equity Futures'!$A:$A,$A222))</f>
        <v>87</v>
      </c>
      <c r="Q222" s="7">
        <f t="shared" si="39"/>
        <v>37663020</v>
      </c>
      <c r="R222" s="19">
        <f t="shared" si="40"/>
        <v>0.99999769004185002</v>
      </c>
      <c r="S222" s="19">
        <f t="shared" si="41"/>
        <v>2.3099581499306216E-6</v>
      </c>
    </row>
    <row r="223" spans="1:19" x14ac:dyDescent="0.2">
      <c r="A223" s="8">
        <v>44713</v>
      </c>
      <c r="B223" s="4" t="s">
        <v>93</v>
      </c>
      <c r="C223" s="4" t="s">
        <v>181</v>
      </c>
      <c r="D223" s="14">
        <f>IF(SUMIFS('Monthly NSE Equity Futures'!$H:$H,'Monthly NSE Equity Futures'!$A:$A,$A223)=0,"",SUMIFS('Monthly NSE Equity Futures'!$H:$H,'Monthly NSE Equity Futures'!$A:$A,$A223))</f>
        <v>23236.1152</v>
      </c>
      <c r="E223" s="6">
        <f>IF(SUMIFS('Monthly BSE Equity Futures'!$H:$H,'Monthly BSE Equity Futures'!$A:$A,$A223)=0,"",SUMIFS('Monthly BSE Equity Futures'!$H:$H,'Monthly BSE Equity Futures'!$A:$A,$A223))</f>
        <v>7.5600000000000001E-2</v>
      </c>
      <c r="F223" s="6">
        <f t="shared" si="36"/>
        <v>23236.1908</v>
      </c>
      <c r="G223" s="15">
        <f t="shared" si="37"/>
        <v>0.99999674645467274</v>
      </c>
      <c r="H223" s="15">
        <f t="shared" si="38"/>
        <v>3.2535453272315183E-6</v>
      </c>
      <c r="I223" s="20">
        <f t="shared" si="45"/>
        <v>-6.498759718020608E-3</v>
      </c>
      <c r="J223" s="15">
        <f t="shared" si="46"/>
        <v>-0.88791697553743509</v>
      </c>
      <c r="K223" s="15">
        <f t="shared" si="47"/>
        <v>-6.5241785940862718E-3</v>
      </c>
      <c r="L223" s="15">
        <f t="shared" si="42"/>
        <v>-8.9230519821768994E-2</v>
      </c>
      <c r="M223" s="15">
        <f t="shared" si="43"/>
        <v>2.5780189959294431E-2</v>
      </c>
      <c r="N223" s="15">
        <f t="shared" si="44"/>
        <v>-8.9230187583645648E-2</v>
      </c>
      <c r="O223" s="18">
        <f>IF(SUMIFS('Monthly NSE Equity Futures'!$I:$I,'Monthly NSE Equity Futures'!$A:$A,$A223)=0,"",SUMIFS('Monthly NSE Equity Futures'!$I:$I,'Monthly NSE Equity Futures'!$A:$A,$A223))</f>
        <v>35118277</v>
      </c>
      <c r="P223" s="7">
        <f>IF(SUMIFS('Monthly BSE Equity Futures'!$I:$I,'Monthly BSE Equity Futures'!$A:$A,$A223)=0,"",SUMIFS('Monthly BSE Equity Futures'!$I:$I,'Monthly BSE Equity Futures'!$A:$A,$A223))</f>
        <v>90</v>
      </c>
      <c r="Q223" s="7">
        <f t="shared" si="39"/>
        <v>35118367</v>
      </c>
      <c r="R223" s="19">
        <f t="shared" si="40"/>
        <v>0.99999743723846846</v>
      </c>
      <c r="S223" s="19">
        <f t="shared" si="41"/>
        <v>2.5627615315939947E-6</v>
      </c>
    </row>
    <row r="224" spans="1:19" x14ac:dyDescent="0.2">
      <c r="A224" s="8">
        <v>44743</v>
      </c>
      <c r="B224" s="4" t="s">
        <v>93</v>
      </c>
      <c r="C224" s="4" t="s">
        <v>182</v>
      </c>
      <c r="D224" s="14">
        <f>IF(SUMIFS('Monthly NSE Equity Futures'!$H:$H,'Monthly NSE Equity Futures'!$A:$A,$A224)=0,"",SUMIFS('Monthly NSE Equity Futures'!$H:$H,'Monthly NSE Equity Futures'!$A:$A,$A224))</f>
        <v>22997.614699999998</v>
      </c>
      <c r="E224" s="6">
        <f>IF(SUMIFS('Monthly BSE Equity Futures'!$H:$H,'Monthly BSE Equity Futures'!$A:$A,$A224)=0,"",SUMIFS('Monthly BSE Equity Futures'!$H:$H,'Monthly BSE Equity Futures'!$A:$A,$A224))</f>
        <v>5.3999999999999999E-2</v>
      </c>
      <c r="F224" s="6">
        <f t="shared" si="36"/>
        <v>22997.668699999998</v>
      </c>
      <c r="G224" s="15">
        <f t="shared" si="37"/>
        <v>0.99999765193591117</v>
      </c>
      <c r="H224" s="15">
        <f t="shared" si="38"/>
        <v>2.3480640887743547E-6</v>
      </c>
      <c r="I224" s="20">
        <f t="shared" si="45"/>
        <v>0.10265410912558592</v>
      </c>
      <c r="J224" s="15">
        <f t="shared" si="46"/>
        <v>-0.78013029315960913</v>
      </c>
      <c r="K224" s="15">
        <f t="shared" si="47"/>
        <v>0.10264371388832361</v>
      </c>
      <c r="L224" s="15">
        <f t="shared" si="42"/>
        <v>-1.0264215767014306E-2</v>
      </c>
      <c r="M224" s="15">
        <f t="shared" si="43"/>
        <v>-0.2857142857142857</v>
      </c>
      <c r="N224" s="15">
        <f t="shared" si="44"/>
        <v>-1.0265111956302309E-2</v>
      </c>
      <c r="O224" s="18">
        <f>IF(SUMIFS('Monthly NSE Equity Futures'!$I:$I,'Monthly NSE Equity Futures'!$A:$A,$A224)=0,"",SUMIFS('Monthly NSE Equity Futures'!$I:$I,'Monthly NSE Equity Futures'!$A:$A,$A224))</f>
        <v>33224720</v>
      </c>
      <c r="P224" s="7">
        <f>IF(SUMIFS('Monthly BSE Equity Futures'!$I:$I,'Monthly BSE Equity Futures'!$A:$A,$A224)=0,"",SUMIFS('Monthly BSE Equity Futures'!$I:$I,'Monthly BSE Equity Futures'!$A:$A,$A224))</f>
        <v>63</v>
      </c>
      <c r="Q224" s="7">
        <f t="shared" si="39"/>
        <v>33224783</v>
      </c>
      <c r="R224" s="19">
        <f t="shared" si="40"/>
        <v>0.99999810382508747</v>
      </c>
      <c r="S224" s="19">
        <f t="shared" si="41"/>
        <v>1.8961749125645155E-6</v>
      </c>
    </row>
    <row r="225" spans="1:19" x14ac:dyDescent="0.2">
      <c r="A225" s="8">
        <v>44774</v>
      </c>
      <c r="B225" s="4" t="s">
        <v>93</v>
      </c>
      <c r="C225" s="4" t="s">
        <v>182</v>
      </c>
      <c r="D225" s="14">
        <f>IF(SUMIFS('Monthly NSE Equity Futures'!$H:$H,'Monthly NSE Equity Futures'!$A:$A,$A225)=0,"",SUMIFS('Monthly NSE Equity Futures'!$H:$H,'Monthly NSE Equity Futures'!$A:$A,$A225))</f>
        <v>23827.805899999999</v>
      </c>
      <c r="E225" s="6">
        <f>IF(SUMIFS('Monthly BSE Equity Futures'!$H:$H,'Monthly BSE Equity Futures'!$A:$A,$A225)=0,"",SUMIFS('Monthly BSE Equity Futures'!$H:$H,'Monthly BSE Equity Futures'!$A:$A,$A225))</f>
        <v>3.2199999999999999E-2</v>
      </c>
      <c r="F225" s="6">
        <f t="shared" si="36"/>
        <v>23827.838100000001</v>
      </c>
      <c r="G225" s="15">
        <f t="shared" si="37"/>
        <v>0.99999864863946675</v>
      </c>
      <c r="H225" s="15">
        <f t="shared" si="38"/>
        <v>1.3513605332075845E-6</v>
      </c>
      <c r="I225" s="20">
        <f t="shared" si="45"/>
        <v>6.8695338858164146E-2</v>
      </c>
      <c r="J225" s="15">
        <f t="shared" si="46"/>
        <v>-0.69651272384542884</v>
      </c>
      <c r="K225" s="15">
        <f t="shared" si="47"/>
        <v>6.8691697505719462E-2</v>
      </c>
      <c r="L225" s="15">
        <f t="shared" si="42"/>
        <v>3.6099013346805986E-2</v>
      </c>
      <c r="M225" s="15">
        <f t="shared" si="43"/>
        <v>-0.40370370370370368</v>
      </c>
      <c r="N225" s="15">
        <f t="shared" si="44"/>
        <v>3.6097980661840001E-2</v>
      </c>
      <c r="O225" s="18">
        <f>IF(SUMIFS('Monthly NSE Equity Futures'!$I:$I,'Monthly NSE Equity Futures'!$A:$A,$A225)=0,"",SUMIFS('Monthly NSE Equity Futures'!$I:$I,'Monthly NSE Equity Futures'!$A:$A,$A225))</f>
        <v>31397835</v>
      </c>
      <c r="P225" s="7">
        <f>IF(SUMIFS('Monthly BSE Equity Futures'!$I:$I,'Monthly BSE Equity Futures'!$A:$A,$A225)=0,"",SUMIFS('Monthly BSE Equity Futures'!$I:$I,'Monthly BSE Equity Futures'!$A:$A,$A225))</f>
        <v>35</v>
      </c>
      <c r="Q225" s="7">
        <f t="shared" si="39"/>
        <v>31397870</v>
      </c>
      <c r="R225" s="19">
        <f t="shared" si="40"/>
        <v>0.99999888527470171</v>
      </c>
      <c r="S225" s="19">
        <f t="shared" si="41"/>
        <v>1.1147252982447535E-6</v>
      </c>
    </row>
    <row r="226" spans="1:19" x14ac:dyDescent="0.2">
      <c r="A226" s="8">
        <v>44805</v>
      </c>
      <c r="B226" s="4" t="s">
        <v>93</v>
      </c>
      <c r="C226" s="4" t="s">
        <v>182</v>
      </c>
      <c r="D226" s="14">
        <f>IF(SUMIFS('Monthly NSE Equity Futures'!$H:$H,'Monthly NSE Equity Futures'!$A:$A,$A226)=0,"",SUMIFS('Monthly NSE Equity Futures'!$H:$H,'Monthly NSE Equity Futures'!$A:$A,$A226))</f>
        <v>27864.2327</v>
      </c>
      <c r="E226" s="6">
        <f>IF(SUMIFS('Monthly BSE Equity Futures'!$H:$H,'Monthly BSE Equity Futures'!$A:$A,$A226)=0,"",SUMIFS('Monthly BSE Equity Futures'!$H:$H,'Monthly BSE Equity Futures'!$A:$A,$A226))</f>
        <v>7.1900000000000006E-2</v>
      </c>
      <c r="F226" s="6">
        <f t="shared" si="36"/>
        <v>27864.304599999999</v>
      </c>
      <c r="G226" s="15">
        <f t="shared" si="37"/>
        <v>0.99999741963773969</v>
      </c>
      <c r="H226" s="15">
        <f t="shared" si="38"/>
        <v>2.5803622603235541E-6</v>
      </c>
      <c r="I226" s="20">
        <f t="shared" si="45"/>
        <v>0.1051520991941719</v>
      </c>
      <c r="J226" s="15">
        <f t="shared" si="46"/>
        <v>14.97777777777778</v>
      </c>
      <c r="K226" s="15">
        <f t="shared" si="47"/>
        <v>0.10515475364722282</v>
      </c>
      <c r="L226" s="15">
        <f t="shared" si="42"/>
        <v>0.16939985229609422</v>
      </c>
      <c r="M226" s="15">
        <f t="shared" si="43"/>
        <v>1.2329192546583854</v>
      </c>
      <c r="N226" s="15">
        <f t="shared" si="44"/>
        <v>0.16940128949424071</v>
      </c>
      <c r="O226" s="18">
        <f>IF(SUMIFS('Monthly NSE Equity Futures'!$I:$I,'Monthly NSE Equity Futures'!$A:$A,$A226)=0,"",SUMIFS('Monthly NSE Equity Futures'!$I:$I,'Monthly NSE Equity Futures'!$A:$A,$A226))</f>
        <v>35967138</v>
      </c>
      <c r="P226" s="7">
        <f>IF(SUMIFS('Monthly BSE Equity Futures'!$I:$I,'Monthly BSE Equity Futures'!$A:$A,$A226)=0,"",SUMIFS('Monthly BSE Equity Futures'!$I:$I,'Monthly BSE Equity Futures'!$A:$A,$A226))</f>
        <v>78</v>
      </c>
      <c r="Q226" s="7">
        <f t="shared" si="39"/>
        <v>35967216</v>
      </c>
      <c r="R226" s="19">
        <f t="shared" si="40"/>
        <v>0.99999783135842368</v>
      </c>
      <c r="S226" s="19">
        <f t="shared" si="41"/>
        <v>2.168641576262116E-6</v>
      </c>
    </row>
    <row r="227" spans="1:19" x14ac:dyDescent="0.2">
      <c r="A227" s="8">
        <v>44835</v>
      </c>
      <c r="B227" s="4" t="s">
        <v>93</v>
      </c>
      <c r="C227" s="4" t="s">
        <v>183</v>
      </c>
      <c r="D227" s="14">
        <f>IF(SUMIFS('Monthly NSE Equity Futures'!$H:$H,'Monthly NSE Equity Futures'!$A:$A,$A227)=0,"",SUMIFS('Monthly NSE Equity Futures'!$H:$H,'Monthly NSE Equity Futures'!$A:$A,$A227))</f>
        <v>22020.763500000001</v>
      </c>
      <c r="E227" s="6">
        <f>IF(SUMIFS('Monthly BSE Equity Futures'!$H:$H,'Monthly BSE Equity Futures'!$A:$A,$A227)=0,"",SUMIFS('Monthly BSE Equity Futures'!$H:$H,'Monthly BSE Equity Futures'!$A:$A,$A227))</f>
        <v>2.98E-2</v>
      </c>
      <c r="F227" s="6">
        <f t="shared" si="36"/>
        <v>22020.793300000001</v>
      </c>
      <c r="G227" s="15">
        <f t="shared" si="37"/>
        <v>0.99999864673358518</v>
      </c>
      <c r="H227" s="15">
        <f t="shared" si="38"/>
        <v>1.3532664147935125E-6</v>
      </c>
      <c r="I227" s="20">
        <f t="shared" si="45"/>
        <v>-0.24931901328662343</v>
      </c>
      <c r="J227" s="15">
        <f t="shared" si="46"/>
        <v>0.30701754385964919</v>
      </c>
      <c r="K227" s="15">
        <f t="shared" si="47"/>
        <v>-0.24931858087719838</v>
      </c>
      <c r="L227" s="15">
        <f t="shared" si="42"/>
        <v>-0.20971218776822798</v>
      </c>
      <c r="M227" s="15">
        <f t="shared" si="43"/>
        <v>-0.58553546592489569</v>
      </c>
      <c r="N227" s="15">
        <f t="shared" si="44"/>
        <v>-0.20971315752843145</v>
      </c>
      <c r="O227" s="18">
        <f>IF(SUMIFS('Monthly NSE Equity Futures'!$I:$I,'Monthly NSE Equity Futures'!$A:$A,$A227)=0,"",SUMIFS('Monthly NSE Equity Futures'!$I:$I,'Monthly NSE Equity Futures'!$A:$A,$A227))</f>
        <v>28772559</v>
      </c>
      <c r="P227" s="7">
        <f>IF(SUMIFS('Monthly BSE Equity Futures'!$I:$I,'Monthly BSE Equity Futures'!$A:$A,$A227)=0,"",SUMIFS('Monthly BSE Equity Futures'!$I:$I,'Monthly BSE Equity Futures'!$A:$A,$A227))</f>
        <v>33</v>
      </c>
      <c r="Q227" s="7">
        <f t="shared" si="39"/>
        <v>28772592</v>
      </c>
      <c r="R227" s="19">
        <f t="shared" si="40"/>
        <v>0.99999885307517655</v>
      </c>
      <c r="S227" s="19">
        <f t="shared" si="41"/>
        <v>1.1469248234569899E-6</v>
      </c>
    </row>
    <row r="228" spans="1:19" x14ac:dyDescent="0.2">
      <c r="A228" s="8">
        <v>44866</v>
      </c>
      <c r="B228" s="4" t="s">
        <v>93</v>
      </c>
      <c r="C228" s="4" t="s">
        <v>183</v>
      </c>
      <c r="D228" s="14">
        <f>IF(SUMIFS('Monthly NSE Equity Futures'!$H:$H,'Monthly NSE Equity Futures'!$A:$A,$A228)=0,"",SUMIFS('Monthly NSE Equity Futures'!$H:$H,'Monthly NSE Equity Futures'!$A:$A,$A228))</f>
        <v>22549.481899999999</v>
      </c>
      <c r="E228" s="6">
        <f>IF(SUMIFS('Monthly BSE Equity Futures'!$H:$H,'Monthly BSE Equity Futures'!$A:$A,$A228)=0,"",SUMIFS('Monthly BSE Equity Futures'!$H:$H,'Monthly BSE Equity Futures'!$A:$A,$A228))</f>
        <v>2.93E-2</v>
      </c>
      <c r="F228" s="6">
        <f t="shared" si="36"/>
        <v>22549.511199999997</v>
      </c>
      <c r="G228" s="15">
        <f t="shared" si="37"/>
        <v>0.99999870063702323</v>
      </c>
      <c r="H228" s="15">
        <f t="shared" si="38"/>
        <v>1.2993629768790732E-6</v>
      </c>
      <c r="I228" s="20">
        <f t="shared" si="45"/>
        <v>-7.2617643930786624E-2</v>
      </c>
      <c r="J228" s="15">
        <f t="shared" si="46"/>
        <v>-0.33560090702947842</v>
      </c>
      <c r="K228" s="15">
        <f t="shared" si="47"/>
        <v>-7.2618120897611216E-2</v>
      </c>
      <c r="L228" s="15">
        <f t="shared" si="42"/>
        <v>2.4009994022232695E-2</v>
      </c>
      <c r="M228" s="15">
        <f t="shared" si="43"/>
        <v>-1.6778523489932917E-2</v>
      </c>
      <c r="N228" s="15">
        <f t="shared" si="44"/>
        <v>2.4009938824501642E-2</v>
      </c>
      <c r="O228" s="18">
        <f>IF(SUMIFS('Monthly NSE Equity Futures'!$I:$I,'Monthly NSE Equity Futures'!$A:$A,$A228)=0,"",SUMIFS('Monthly NSE Equity Futures'!$I:$I,'Monthly NSE Equity Futures'!$A:$A,$A228))</f>
        <v>29945434</v>
      </c>
      <c r="P228" s="7">
        <f>IF(SUMIFS('Monthly BSE Equity Futures'!$I:$I,'Monthly BSE Equity Futures'!$A:$A,$A228)=0,"",SUMIFS('Monthly BSE Equity Futures'!$I:$I,'Monthly BSE Equity Futures'!$A:$A,$A228))</f>
        <v>30</v>
      </c>
      <c r="Q228" s="7">
        <f t="shared" si="39"/>
        <v>29945464</v>
      </c>
      <c r="R228" s="19">
        <f t="shared" si="40"/>
        <v>0.99999899817882265</v>
      </c>
      <c r="S228" s="19">
        <f t="shared" si="41"/>
        <v>1.0018211773242185E-6</v>
      </c>
    </row>
    <row r="229" spans="1:19" x14ac:dyDescent="0.2">
      <c r="A229" s="8">
        <v>44896</v>
      </c>
      <c r="B229" s="4" t="s">
        <v>93</v>
      </c>
      <c r="C229" s="4" t="s">
        <v>183</v>
      </c>
      <c r="D229" s="14">
        <f>IF(SUMIFS('Monthly NSE Equity Futures'!$H:$H,'Monthly NSE Equity Futures'!$A:$A,$A229)=0,"",SUMIFS('Monthly NSE Equity Futures'!$H:$H,'Monthly NSE Equity Futures'!$A:$A,$A229))</f>
        <v>22942.890500000001</v>
      </c>
      <c r="E229" s="6">
        <f>IF(SUMIFS('Monthly BSE Equity Futures'!$H:$H,'Monthly BSE Equity Futures'!$A:$A,$A229)=0,"",SUMIFS('Monthly BSE Equity Futures'!$H:$H,'Monthly BSE Equity Futures'!$A:$A,$A229))</f>
        <v>6.4500000000000002E-2</v>
      </c>
      <c r="F229" s="6">
        <f t="shared" si="36"/>
        <v>22942.955000000002</v>
      </c>
      <c r="G229" s="15">
        <f t="shared" si="37"/>
        <v>0.99999718867948784</v>
      </c>
      <c r="H229" s="15">
        <f t="shared" si="38"/>
        <v>2.8113205121136311E-6</v>
      </c>
      <c r="I229" s="20">
        <f t="shared" si="45"/>
        <v>-1.3292394972144517E-2</v>
      </c>
      <c r="J229" s="15">
        <f t="shared" si="46"/>
        <v>0.32989690721649478</v>
      </c>
      <c r="K229" s="15">
        <f t="shared" si="47"/>
        <v>-1.3291679133866641E-2</v>
      </c>
      <c r="L229" s="15">
        <f t="shared" si="42"/>
        <v>1.7446458492689443E-2</v>
      </c>
      <c r="M229" s="15">
        <f t="shared" si="43"/>
        <v>1.2013651877133107</v>
      </c>
      <c r="N229" s="15">
        <f t="shared" si="44"/>
        <v>1.7447996832854029E-2</v>
      </c>
      <c r="O229" s="18">
        <f>IF(SUMIFS('Monthly NSE Equity Futures'!$I:$I,'Monthly NSE Equity Futures'!$A:$A,$A229)=0,"",SUMIFS('Monthly NSE Equity Futures'!$I:$I,'Monthly NSE Equity Futures'!$A:$A,$A229))</f>
        <v>29731783</v>
      </c>
      <c r="P229" s="7">
        <f>IF(SUMIFS('Monthly BSE Equity Futures'!$I:$I,'Monthly BSE Equity Futures'!$A:$A,$A229)=0,"",SUMIFS('Monthly BSE Equity Futures'!$I:$I,'Monthly BSE Equity Futures'!$A:$A,$A229))</f>
        <v>67</v>
      </c>
      <c r="Q229" s="7">
        <f t="shared" si="39"/>
        <v>29731850</v>
      </c>
      <c r="R229" s="19">
        <f t="shared" si="40"/>
        <v>0.99999774652435014</v>
      </c>
      <c r="S229" s="19">
        <f t="shared" si="41"/>
        <v>2.2534756498502447E-6</v>
      </c>
    </row>
    <row r="230" spans="1:19" x14ac:dyDescent="0.2">
      <c r="A230" s="8">
        <v>44927</v>
      </c>
      <c r="B230" s="4" t="s">
        <v>93</v>
      </c>
      <c r="C230" s="4" t="s">
        <v>184</v>
      </c>
      <c r="D230" s="14">
        <f>IF(SUMIFS('Monthly NSE Equity Futures'!$H:$H,'Monthly NSE Equity Futures'!$A:$A,$A230)=0,"",SUMIFS('Monthly NSE Equity Futures'!$H:$H,'Monthly NSE Equity Futures'!$A:$A,$A230))</f>
        <v>23848.5147</v>
      </c>
      <c r="E230" s="6">
        <f>IF(SUMIFS('Monthly BSE Equity Futures'!$H:$H,'Monthly BSE Equity Futures'!$A:$A,$A230)=0,"",SUMIFS('Monthly BSE Equity Futures'!$H:$H,'Monthly BSE Equity Futures'!$A:$A,$A230))</f>
        <v>4.8300000000000003E-2</v>
      </c>
      <c r="F230" s="6">
        <f t="shared" si="36"/>
        <v>23848.562999999998</v>
      </c>
      <c r="G230" s="15">
        <f t="shared" si="37"/>
        <v>0.99999797472074115</v>
      </c>
      <c r="H230" s="15">
        <f t="shared" si="38"/>
        <v>2.0252792589641567E-6</v>
      </c>
      <c r="I230" s="20">
        <f t="shared" si="45"/>
        <v>-6.3686222960724792E-2</v>
      </c>
      <c r="J230" s="15">
        <f t="shared" si="46"/>
        <v>-0.18686868686868685</v>
      </c>
      <c r="K230" s="15">
        <f t="shared" si="47"/>
        <v>-6.3686510233451288E-2</v>
      </c>
      <c r="L230" s="15">
        <f t="shared" si="42"/>
        <v>3.9472977478578697E-2</v>
      </c>
      <c r="M230" s="15">
        <f t="shared" si="43"/>
        <v>-0.25116279069767444</v>
      </c>
      <c r="N230" s="15">
        <f t="shared" si="44"/>
        <v>3.9472160408281942E-2</v>
      </c>
      <c r="O230" s="18">
        <f>IF(SUMIFS('Monthly NSE Equity Futures'!$I:$I,'Monthly NSE Equity Futures'!$A:$A,$A230)=0,"",SUMIFS('Monthly NSE Equity Futures'!$I:$I,'Monthly NSE Equity Futures'!$A:$A,$A230))</f>
        <v>31159428</v>
      </c>
      <c r="P230" s="7">
        <f>IF(SUMIFS('Monthly BSE Equity Futures'!$I:$I,'Monthly BSE Equity Futures'!$A:$A,$A230)=0,"",SUMIFS('Monthly BSE Equity Futures'!$I:$I,'Monthly BSE Equity Futures'!$A:$A,$A230))</f>
        <v>51</v>
      </c>
      <c r="Q230" s="7">
        <f t="shared" si="39"/>
        <v>31159479</v>
      </c>
      <c r="R230" s="19">
        <f t="shared" si="40"/>
        <v>0.9999983632588979</v>
      </c>
      <c r="S230" s="19">
        <f t="shared" si="41"/>
        <v>1.6367411021217652E-6</v>
      </c>
    </row>
    <row r="231" spans="1:19" x14ac:dyDescent="0.2">
      <c r="A231" s="8">
        <v>44958</v>
      </c>
      <c r="B231" s="4" t="s">
        <v>93</v>
      </c>
      <c r="C231" s="4" t="s">
        <v>184</v>
      </c>
      <c r="D231" s="14">
        <f>IF(SUMIFS('Monthly NSE Equity Futures'!$H:$H,'Monthly NSE Equity Futures'!$A:$A,$A231)=0,"",SUMIFS('Monthly NSE Equity Futures'!$H:$H,'Monthly NSE Equity Futures'!$A:$A,$A231))</f>
        <v>22943.708999999999</v>
      </c>
      <c r="E231" s="6">
        <f>IF(SUMIFS('Monthly BSE Equity Futures'!$H:$H,'Monthly BSE Equity Futures'!$A:$A,$A231)=0,"",SUMIFS('Monthly BSE Equity Futures'!$H:$H,'Monthly BSE Equity Futures'!$A:$A,$A231))</f>
        <v>3.7400000000000003E-2</v>
      </c>
      <c r="F231" s="6">
        <f t="shared" si="36"/>
        <v>22943.7464</v>
      </c>
      <c r="G231" s="15">
        <f t="shared" si="37"/>
        <v>0.99999836992619473</v>
      </c>
      <c r="H231" s="15">
        <f t="shared" si="38"/>
        <v>1.6300738052090744E-6</v>
      </c>
      <c r="I231" s="20">
        <f t="shared" si="45"/>
        <v>-0.1303090701067342</v>
      </c>
      <c r="J231" s="15">
        <f t="shared" si="46"/>
        <v>-0.29566854990583802</v>
      </c>
      <c r="K231" s="15">
        <f t="shared" si="47"/>
        <v>-0.13030940293795612</v>
      </c>
      <c r="L231" s="15">
        <f t="shared" si="42"/>
        <v>-3.7939708672926287E-2</v>
      </c>
      <c r="M231" s="15">
        <f t="shared" si="43"/>
        <v>-0.22567287784679091</v>
      </c>
      <c r="N231" s="15">
        <f t="shared" si="44"/>
        <v>-3.7940088885019985E-2</v>
      </c>
      <c r="O231" s="18">
        <f>IF(SUMIFS('Monthly NSE Equity Futures'!$I:$I,'Monthly NSE Equity Futures'!$A:$A,$A231)=0,"",SUMIFS('Monthly NSE Equity Futures'!$I:$I,'Monthly NSE Equity Futures'!$A:$A,$A231))</f>
        <v>31667347</v>
      </c>
      <c r="P231" s="7">
        <f>IF(SUMIFS('Monthly BSE Equity Futures'!$I:$I,'Monthly BSE Equity Futures'!$A:$A,$A231)=0,"",SUMIFS('Monthly BSE Equity Futures'!$I:$I,'Monthly BSE Equity Futures'!$A:$A,$A231))</f>
        <v>40</v>
      </c>
      <c r="Q231" s="7">
        <f t="shared" si="39"/>
        <v>31667387</v>
      </c>
      <c r="R231" s="19">
        <f t="shared" si="40"/>
        <v>0.99999873687083818</v>
      </c>
      <c r="S231" s="19">
        <f t="shared" si="41"/>
        <v>1.2631291618724336E-6</v>
      </c>
    </row>
    <row r="232" spans="1:19" x14ac:dyDescent="0.2">
      <c r="A232" s="8">
        <v>44986</v>
      </c>
      <c r="B232" s="4" t="s">
        <v>93</v>
      </c>
      <c r="C232" s="4" t="s">
        <v>184</v>
      </c>
      <c r="D232" s="14">
        <f>IF(SUMIFS('Monthly NSE Equity Futures'!$H:$H,'Monthly NSE Equity Futures'!$A:$A,$A232)=0,"",SUMIFS('Monthly NSE Equity Futures'!$H:$H,'Monthly NSE Equity Futures'!$A:$A,$A232))</f>
        <v>23028.2245</v>
      </c>
      <c r="E232" s="6">
        <f>IF(SUMIFS('Monthly BSE Equity Futures'!$H:$H,'Monthly BSE Equity Futures'!$A:$A,$A232)=0,"",SUMIFS('Monthly BSE Equity Futures'!$H:$H,'Monthly BSE Equity Futures'!$A:$A,$A232))</f>
        <v>4.07E-2</v>
      </c>
      <c r="F232" s="6">
        <f t="shared" si="36"/>
        <v>23028.265200000002</v>
      </c>
      <c r="G232" s="15">
        <f t="shared" si="37"/>
        <v>0.99999823260677057</v>
      </c>
      <c r="H232" s="15">
        <f t="shared" si="38"/>
        <v>1.7673932294300656E-6</v>
      </c>
      <c r="I232" s="20">
        <f t="shared" si="45"/>
        <v>-0.16752314822873315</v>
      </c>
      <c r="J232" s="15">
        <f t="shared" si="46"/>
        <v>-7.3170731707317138E-3</v>
      </c>
      <c r="K232" s="15">
        <f t="shared" si="47"/>
        <v>-0.16752291077778658</v>
      </c>
      <c r="L232" s="15">
        <f t="shared" si="42"/>
        <v>3.6836023329969159E-3</v>
      </c>
      <c r="M232" s="15">
        <f t="shared" si="43"/>
        <v>8.8235294117646967E-2</v>
      </c>
      <c r="N232" s="15">
        <f t="shared" si="44"/>
        <v>3.6837401584948193E-3</v>
      </c>
      <c r="O232" s="18">
        <f>IF(SUMIFS('Monthly NSE Equity Futures'!$I:$I,'Monthly NSE Equity Futures'!$A:$A,$A232)=0,"",SUMIFS('Monthly NSE Equity Futures'!$I:$I,'Monthly NSE Equity Futures'!$A:$A,$A232))</f>
        <v>31718595</v>
      </c>
      <c r="P232" s="7">
        <f>IF(SUMIFS('Monthly BSE Equity Futures'!$I:$I,'Monthly BSE Equity Futures'!$A:$A,$A232)=0,"",SUMIFS('Monthly BSE Equity Futures'!$I:$I,'Monthly BSE Equity Futures'!$A:$A,$A232))</f>
        <v>45</v>
      </c>
      <c r="Q232" s="7">
        <f t="shared" si="39"/>
        <v>31718640</v>
      </c>
      <c r="R232" s="19">
        <f t="shared" si="40"/>
        <v>0.99999858127586805</v>
      </c>
      <c r="S232" s="19">
        <f t="shared" si="41"/>
        <v>1.4187241319299946E-6</v>
      </c>
    </row>
    <row r="233" spans="1:19" x14ac:dyDescent="0.2">
      <c r="A233" s="8">
        <v>45017</v>
      </c>
      <c r="B233" s="4" t="s">
        <v>94</v>
      </c>
      <c r="C233" s="4" t="s">
        <v>185</v>
      </c>
      <c r="D233" s="14">
        <f>IF(SUMIFS('Monthly NSE Equity Futures'!$H:$H,'Monthly NSE Equity Futures'!$A:$A,$A233)=0,"",SUMIFS('Monthly NSE Equity Futures'!$H:$H,'Monthly NSE Equity Futures'!$A:$A,$A233))</f>
        <v>17573.672999999999</v>
      </c>
      <c r="E233" s="6">
        <f>IF(SUMIFS('Monthly BSE Equity Futures'!$H:$H,'Monthly BSE Equity Futures'!$A:$A,$A233)=0,"",SUMIFS('Monthly BSE Equity Futures'!$H:$H,'Monthly BSE Equity Futures'!$A:$A,$A233))</f>
        <v>3.8E-3</v>
      </c>
      <c r="F233" s="6">
        <f t="shared" si="36"/>
        <v>17573.676799999997</v>
      </c>
      <c r="G233" s="15">
        <f t="shared" si="37"/>
        <v>0.99999978376750398</v>
      </c>
      <c r="H233" s="15">
        <f t="shared" si="38"/>
        <v>2.1623249609324787E-7</v>
      </c>
      <c r="I233" s="20">
        <f t="shared" si="45"/>
        <v>-0.30146554611451226</v>
      </c>
      <c r="J233" s="15">
        <f t="shared" si="46"/>
        <v>-0.86941580756013748</v>
      </c>
      <c r="K233" s="15">
        <f t="shared" si="47"/>
        <v>-0.30146620305810479</v>
      </c>
      <c r="L233" s="15">
        <f t="shared" si="42"/>
        <v>-0.23686374518365505</v>
      </c>
      <c r="M233" s="15">
        <f t="shared" si="43"/>
        <v>-0.90663390663390664</v>
      </c>
      <c r="N233" s="15">
        <f t="shared" si="44"/>
        <v>-0.23686492893090372</v>
      </c>
      <c r="O233" s="18">
        <f>IF(SUMIFS('Monthly NSE Equity Futures'!$I:$I,'Monthly NSE Equity Futures'!$A:$A,$A233)=0,"",SUMIFS('Monthly NSE Equity Futures'!$I:$I,'Monthly NSE Equity Futures'!$A:$A,$A233))</f>
        <v>24140341</v>
      </c>
      <c r="P233" s="7">
        <f>IF(SUMIFS('Monthly BSE Equity Futures'!$I:$I,'Monthly BSE Equity Futures'!$A:$A,$A233)=0,"",SUMIFS('Monthly BSE Equity Futures'!$I:$I,'Monthly BSE Equity Futures'!$A:$A,$A233))</f>
        <v>4</v>
      </c>
      <c r="Q233" s="7">
        <f t="shared" si="39"/>
        <v>24140345</v>
      </c>
      <c r="R233" s="19">
        <f t="shared" si="40"/>
        <v>0.99999983430228523</v>
      </c>
      <c r="S233" s="19">
        <f t="shared" si="41"/>
        <v>1.6569771475925469E-7</v>
      </c>
    </row>
    <row r="234" spans="1:19" x14ac:dyDescent="0.2">
      <c r="A234" s="8">
        <v>45047</v>
      </c>
      <c r="B234" s="4" t="s">
        <v>94</v>
      </c>
      <c r="C234" s="4" t="s">
        <v>185</v>
      </c>
      <c r="D234" s="14">
        <f>IF(SUMIFS('Monthly NSE Equity Futures'!$H:$H,'Monthly NSE Equity Futures'!$A:$A,$A234)=0,"",SUMIFS('Monthly NSE Equity Futures'!$H:$H,'Monthly NSE Equity Futures'!$A:$A,$A234))</f>
        <v>22982.076799999999</v>
      </c>
      <c r="E234" s="6">
        <f>IF(SUMIFS('Monthly BSE Equity Futures'!$H:$H,'Monthly BSE Equity Futures'!$A:$A,$A234)=0,"",SUMIFS('Monthly BSE Equity Futures'!$H:$H,'Monthly BSE Equity Futures'!$A:$A,$A234))</f>
        <v>2.5821000000000001</v>
      </c>
      <c r="F234" s="6">
        <f t="shared" si="36"/>
        <v>22984.658899999999</v>
      </c>
      <c r="G234" s="15">
        <f t="shared" si="37"/>
        <v>0.99988765985124106</v>
      </c>
      <c r="H234" s="15">
        <f t="shared" si="38"/>
        <v>1.1234014875896202E-4</v>
      </c>
      <c r="I234" s="20">
        <f t="shared" si="45"/>
        <v>-9.9187882294877738E-2</v>
      </c>
      <c r="J234" s="15">
        <f t="shared" si="46"/>
        <v>34.035278154681137</v>
      </c>
      <c r="K234" s="15">
        <f t="shared" si="47"/>
        <v>-9.9089276078466071E-2</v>
      </c>
      <c r="L234" s="15">
        <f t="shared" si="42"/>
        <v>0.30775602800848745</v>
      </c>
      <c r="M234" s="15">
        <f t="shared" si="43"/>
        <v>678.5</v>
      </c>
      <c r="N234" s="15">
        <f t="shared" si="44"/>
        <v>0.30790267521023273</v>
      </c>
      <c r="O234" s="18">
        <f>IF(SUMIFS('Monthly NSE Equity Futures'!$I:$I,'Monthly NSE Equity Futures'!$A:$A,$A234)=0,"",SUMIFS('Monthly NSE Equity Futures'!$I:$I,'Monthly NSE Equity Futures'!$A:$A,$A234))</f>
        <v>30260945</v>
      </c>
      <c r="P234" s="7">
        <f>IF(SUMIFS('Monthly BSE Equity Futures'!$I:$I,'Monthly BSE Equity Futures'!$A:$A,$A234)=0,"",SUMIFS('Monthly BSE Equity Futures'!$I:$I,'Monthly BSE Equity Futures'!$A:$A,$A234))</f>
        <v>4125</v>
      </c>
      <c r="Q234" s="7">
        <f t="shared" si="39"/>
        <v>30265070</v>
      </c>
      <c r="R234" s="19">
        <f t="shared" si="40"/>
        <v>0.99986370426369409</v>
      </c>
      <c r="S234" s="19">
        <f t="shared" si="41"/>
        <v>1.3629573630591306E-4</v>
      </c>
    </row>
    <row r="235" spans="1:19" x14ac:dyDescent="0.2">
      <c r="A235" s="8">
        <v>45078</v>
      </c>
      <c r="B235" s="4" t="s">
        <v>94</v>
      </c>
      <c r="C235" s="4" t="s">
        <v>185</v>
      </c>
      <c r="D235" s="14">
        <f>IF(SUMIFS('Monthly NSE Equity Futures'!$H:$H,'Monthly NSE Equity Futures'!$A:$A,$A235)=0,"",SUMIFS('Monthly NSE Equity Futures'!$H:$H,'Monthly NSE Equity Futures'!$A:$A,$A235))</f>
        <v>21880.167399999998</v>
      </c>
      <c r="E235" s="6">
        <f>IF(SUMIFS('Monthly BSE Equity Futures'!$H:$H,'Monthly BSE Equity Futures'!$A:$A,$A235)=0,"",SUMIFS('Monthly BSE Equity Futures'!$H:$H,'Monthly BSE Equity Futures'!$A:$A,$A235))</f>
        <v>7.7083000000000004</v>
      </c>
      <c r="F235" s="6">
        <f t="shared" si="36"/>
        <v>21887.875699999997</v>
      </c>
      <c r="G235" s="15">
        <f t="shared" si="37"/>
        <v>0.99964782786115702</v>
      </c>
      <c r="H235" s="15">
        <f t="shared" si="38"/>
        <v>3.521721388430583E-4</v>
      </c>
      <c r="I235" s="20">
        <f t="shared" si="45"/>
        <v>-5.8355184949332783E-2</v>
      </c>
      <c r="J235" s="15">
        <f t="shared" si="46"/>
        <v>100.96164021164022</v>
      </c>
      <c r="K235" s="15">
        <f t="shared" si="47"/>
        <v>-5.8026511815353343E-2</v>
      </c>
      <c r="L235" s="15">
        <f t="shared" si="42"/>
        <v>-4.7946467570763707E-2</v>
      </c>
      <c r="M235" s="15">
        <f t="shared" si="43"/>
        <v>1.9852832965415748</v>
      </c>
      <c r="N235" s="15">
        <f t="shared" si="44"/>
        <v>-4.7718054236602248E-2</v>
      </c>
      <c r="O235" s="18">
        <f>IF(SUMIFS('Monthly NSE Equity Futures'!$I:$I,'Monthly NSE Equity Futures'!$A:$A,$A235)=0,"",SUMIFS('Monthly NSE Equity Futures'!$I:$I,'Monthly NSE Equity Futures'!$A:$A,$A235))</f>
        <v>28130446</v>
      </c>
      <c r="P235" s="7">
        <f>IF(SUMIFS('Monthly BSE Equity Futures'!$I:$I,'Monthly BSE Equity Futures'!$A:$A,$A235)=0,"",SUMIFS('Monthly BSE Equity Futures'!$I:$I,'Monthly BSE Equity Futures'!$A:$A,$A235))</f>
        <v>12197</v>
      </c>
      <c r="Q235" s="7">
        <f t="shared" si="39"/>
        <v>28142643</v>
      </c>
      <c r="R235" s="19">
        <f t="shared" si="40"/>
        <v>0.99956660076311954</v>
      </c>
      <c r="S235" s="19">
        <f t="shared" si="41"/>
        <v>4.3339923688048772E-4</v>
      </c>
    </row>
    <row r="236" spans="1:19" x14ac:dyDescent="0.2">
      <c r="A236" s="8">
        <v>45108</v>
      </c>
      <c r="B236" s="4" t="s">
        <v>94</v>
      </c>
      <c r="C236" s="4" t="s">
        <v>186</v>
      </c>
      <c r="D236" s="14">
        <f>IF(SUMIFS('Monthly NSE Equity Futures'!$H:$H,'Monthly NSE Equity Futures'!$A:$A,$A236)=0,"",SUMIFS('Monthly NSE Equity Futures'!$H:$H,'Monthly NSE Equity Futures'!$A:$A,$A236))</f>
        <v>25850.855899999999</v>
      </c>
      <c r="E236" s="6">
        <f>IF(SUMIFS('Monthly BSE Equity Futures'!$H:$H,'Monthly BSE Equity Futures'!$A:$A,$A236)=0,"",SUMIFS('Monthly BSE Equity Futures'!$H:$H,'Monthly BSE Equity Futures'!$A:$A,$A236))</f>
        <v>10.2951</v>
      </c>
      <c r="F236" s="6">
        <f t="shared" si="36"/>
        <v>25861.150999999998</v>
      </c>
      <c r="G236" s="15">
        <f t="shared" si="37"/>
        <v>0.99960190866988097</v>
      </c>
      <c r="H236" s="15">
        <f t="shared" si="38"/>
        <v>3.9809133011906549E-4</v>
      </c>
      <c r="I236" s="20">
        <f t="shared" si="45"/>
        <v>0.12406683202671442</v>
      </c>
      <c r="J236" s="15">
        <f t="shared" si="46"/>
        <v>189.65</v>
      </c>
      <c r="K236" s="15">
        <f t="shared" si="47"/>
        <v>0.12451185106427776</v>
      </c>
      <c r="L236" s="15">
        <f t="shared" si="42"/>
        <v>0.1814743199816653</v>
      </c>
      <c r="M236" s="15">
        <f t="shared" si="43"/>
        <v>0.33558631604893407</v>
      </c>
      <c r="N236" s="15">
        <f t="shared" si="44"/>
        <v>0.18152859393294163</v>
      </c>
      <c r="O236" s="18">
        <f>IF(SUMIFS('Monthly NSE Equity Futures'!$I:$I,'Monthly NSE Equity Futures'!$A:$A,$A236)=0,"",SUMIFS('Monthly NSE Equity Futures'!$I:$I,'Monthly NSE Equity Futures'!$A:$A,$A236))</f>
        <v>33035646</v>
      </c>
      <c r="P236" s="7">
        <f>IF(SUMIFS('Monthly BSE Equity Futures'!$I:$I,'Monthly BSE Equity Futures'!$A:$A,$A236)=0,"",SUMIFS('Monthly BSE Equity Futures'!$I:$I,'Monthly BSE Equity Futures'!$A:$A,$A236))</f>
        <v>15512</v>
      </c>
      <c r="Q236" s="7">
        <f t="shared" si="39"/>
        <v>33051158</v>
      </c>
      <c r="R236" s="19">
        <f t="shared" si="40"/>
        <v>0.99953066697390758</v>
      </c>
      <c r="S236" s="19">
        <f t="shared" si="41"/>
        <v>4.6933302609245947E-4</v>
      </c>
    </row>
    <row r="237" spans="1:19" x14ac:dyDescent="0.2">
      <c r="A237" s="8">
        <v>45139</v>
      </c>
      <c r="B237" s="4" t="s">
        <v>94</v>
      </c>
      <c r="C237" s="4" t="s">
        <v>186</v>
      </c>
      <c r="D237" s="14">
        <f>IF(SUMIFS('Monthly NSE Equity Futures'!$H:$H,'Monthly NSE Equity Futures'!$A:$A,$A237)=0,"",SUMIFS('Monthly NSE Equity Futures'!$H:$H,'Monthly NSE Equity Futures'!$A:$A,$A237))</f>
        <v>25836.237099999998</v>
      </c>
      <c r="E237" s="6">
        <f>IF(SUMIFS('Monthly BSE Equity Futures'!$H:$H,'Monthly BSE Equity Futures'!$A:$A,$A237)=0,"",SUMIFS('Monthly BSE Equity Futures'!$H:$H,'Monthly BSE Equity Futures'!$A:$A,$A237))</f>
        <v>11.6661</v>
      </c>
      <c r="F237" s="6">
        <f t="shared" si="36"/>
        <v>25847.903199999997</v>
      </c>
      <c r="G237" s="15">
        <f t="shared" si="37"/>
        <v>0.99954866358366745</v>
      </c>
      <c r="H237" s="15">
        <f t="shared" si="38"/>
        <v>4.5133641633260223E-4</v>
      </c>
      <c r="I237" s="20">
        <f t="shared" si="45"/>
        <v>8.428938897810978E-2</v>
      </c>
      <c r="J237" s="15">
        <f t="shared" si="46"/>
        <v>361.30124223602485</v>
      </c>
      <c r="K237" s="15">
        <f t="shared" si="47"/>
        <v>8.4777523312112635E-2</v>
      </c>
      <c r="L237" s="15">
        <f t="shared" si="42"/>
        <v>-5.6550545392197726E-4</v>
      </c>
      <c r="M237" s="15">
        <f t="shared" si="43"/>
        <v>0.13317014890579015</v>
      </c>
      <c r="N237" s="15">
        <f t="shared" si="44"/>
        <v>-5.1226644939361687E-4</v>
      </c>
      <c r="O237" s="18">
        <f>IF(SUMIFS('Monthly NSE Equity Futures'!$I:$I,'Monthly NSE Equity Futures'!$A:$A,$A237)=0,"",SUMIFS('Monthly NSE Equity Futures'!$I:$I,'Monthly NSE Equity Futures'!$A:$A,$A237))</f>
        <v>32840196</v>
      </c>
      <c r="P237" s="7">
        <f>IF(SUMIFS('Monthly BSE Equity Futures'!$I:$I,'Monthly BSE Equity Futures'!$A:$A,$A237)=0,"",SUMIFS('Monthly BSE Equity Futures'!$I:$I,'Monthly BSE Equity Futures'!$A:$A,$A237))</f>
        <v>17848</v>
      </c>
      <c r="Q237" s="7">
        <f t="shared" si="39"/>
        <v>32858044</v>
      </c>
      <c r="R237" s="19">
        <f t="shared" si="40"/>
        <v>0.99945681489744187</v>
      </c>
      <c r="S237" s="19">
        <f t="shared" si="41"/>
        <v>5.4318510255814379E-4</v>
      </c>
    </row>
    <row r="238" spans="1:19" x14ac:dyDescent="0.2">
      <c r="A238" s="8">
        <v>45170</v>
      </c>
      <c r="B238" s="4" t="s">
        <v>94</v>
      </c>
      <c r="C238" s="4" t="s">
        <v>186</v>
      </c>
      <c r="D238" s="14">
        <f>IF(SUMIFS('Monthly NSE Equity Futures'!$H:$H,'Monthly NSE Equity Futures'!$A:$A,$A238)=0,"",SUMIFS('Monthly NSE Equity Futures'!$H:$H,'Monthly NSE Equity Futures'!$A:$A,$A238))</f>
        <v>25899.4434</v>
      </c>
      <c r="E238" s="6">
        <f>IF(SUMIFS('Monthly BSE Equity Futures'!$H:$H,'Monthly BSE Equity Futures'!$A:$A,$A238)=0,"",SUMIFS('Monthly BSE Equity Futures'!$H:$H,'Monthly BSE Equity Futures'!$A:$A,$A238))</f>
        <v>12.1896</v>
      </c>
      <c r="F238" s="6">
        <f t="shared" si="36"/>
        <v>25911.633000000002</v>
      </c>
      <c r="G238" s="15">
        <f t="shared" si="37"/>
        <v>0.99952957036710111</v>
      </c>
      <c r="H238" s="15">
        <f t="shared" si="38"/>
        <v>4.7042963289886051E-4</v>
      </c>
      <c r="I238" s="20">
        <f t="shared" si="45"/>
        <v>-7.0512951896213538E-2</v>
      </c>
      <c r="J238" s="15">
        <f t="shared" si="46"/>
        <v>168.53546592489568</v>
      </c>
      <c r="K238" s="15">
        <f t="shared" si="47"/>
        <v>-7.0077887391454818E-2</v>
      </c>
      <c r="L238" s="15">
        <f t="shared" si="42"/>
        <v>2.4464204967371561E-3</v>
      </c>
      <c r="M238" s="15">
        <f t="shared" si="43"/>
        <v>4.4873608146681399E-2</v>
      </c>
      <c r="N238" s="15">
        <f t="shared" si="44"/>
        <v>2.4655694315662835E-3</v>
      </c>
      <c r="O238" s="18">
        <f>IF(SUMIFS('Monthly NSE Equity Futures'!$I:$I,'Monthly NSE Equity Futures'!$A:$A,$A238)=0,"",SUMIFS('Monthly NSE Equity Futures'!$I:$I,'Monthly NSE Equity Futures'!$A:$A,$A238))</f>
        <v>31692683</v>
      </c>
      <c r="P238" s="7">
        <f>IF(SUMIFS('Monthly BSE Equity Futures'!$I:$I,'Monthly BSE Equity Futures'!$A:$A,$A238)=0,"",SUMIFS('Monthly BSE Equity Futures'!$I:$I,'Monthly BSE Equity Futures'!$A:$A,$A238))</f>
        <v>18396</v>
      </c>
      <c r="Q238" s="7">
        <f t="shared" si="39"/>
        <v>31711079</v>
      </c>
      <c r="R238" s="19">
        <f t="shared" si="40"/>
        <v>0.99941988728923414</v>
      </c>
      <c r="S238" s="19">
        <f t="shared" si="41"/>
        <v>5.8011271076584942E-4</v>
      </c>
    </row>
    <row r="239" spans="1:19" x14ac:dyDescent="0.2">
      <c r="A239" s="8">
        <v>45200</v>
      </c>
      <c r="B239" s="4" t="s">
        <v>94</v>
      </c>
      <c r="C239" s="4" t="s">
        <v>187</v>
      </c>
      <c r="D239" s="14">
        <f>IF(SUMIFS('Monthly NSE Equity Futures'!$H:$H,'Monthly NSE Equity Futures'!$A:$A,$A239)=0,"",SUMIFS('Monthly NSE Equity Futures'!$H:$H,'Monthly NSE Equity Futures'!$A:$A,$A239))</f>
        <v>23982.827099999999</v>
      </c>
      <c r="E239" s="6">
        <f>IF(SUMIFS('Monthly BSE Equity Futures'!$H:$H,'Monthly BSE Equity Futures'!$A:$A,$A239)=0,"",SUMIFS('Monthly BSE Equity Futures'!$H:$H,'Monthly BSE Equity Futures'!$A:$A,$A239))</f>
        <v>11.3649</v>
      </c>
      <c r="F239" s="6">
        <f t="shared" si="36"/>
        <v>23994.191999999999</v>
      </c>
      <c r="G239" s="15">
        <f t="shared" si="37"/>
        <v>0.99952634787618599</v>
      </c>
      <c r="H239" s="15">
        <f t="shared" si="38"/>
        <v>4.7365212381396301E-4</v>
      </c>
      <c r="I239" s="20">
        <f t="shared" si="45"/>
        <v>8.9100616334215621E-2</v>
      </c>
      <c r="J239" s="15">
        <f t="shared" si="46"/>
        <v>380.3724832214765</v>
      </c>
      <c r="K239" s="15">
        <f t="shared" si="47"/>
        <v>8.9615241063999207E-2</v>
      </c>
      <c r="L239" s="15">
        <f t="shared" si="42"/>
        <v>-7.4002219677045344E-2</v>
      </c>
      <c r="M239" s="15">
        <f t="shared" si="43"/>
        <v>-6.7656034652490593E-2</v>
      </c>
      <c r="N239" s="15">
        <f t="shared" si="44"/>
        <v>-7.3999234243553924E-2</v>
      </c>
      <c r="O239" s="18">
        <f>IF(SUMIFS('Monthly NSE Equity Futures'!$I:$I,'Monthly NSE Equity Futures'!$A:$A,$A239)=0,"",SUMIFS('Monthly NSE Equity Futures'!$I:$I,'Monthly NSE Equity Futures'!$A:$A,$A239))</f>
        <v>30436743</v>
      </c>
      <c r="P239" s="7">
        <f>IF(SUMIFS('Monthly BSE Equity Futures'!$I:$I,'Monthly BSE Equity Futures'!$A:$A,$A239)=0,"",SUMIFS('Monthly BSE Equity Futures'!$I:$I,'Monthly BSE Equity Futures'!$A:$A,$A239))</f>
        <v>17396</v>
      </c>
      <c r="Q239" s="7">
        <f t="shared" si="39"/>
        <v>30454139</v>
      </c>
      <c r="R239" s="19">
        <f t="shared" si="40"/>
        <v>0.99942878043605177</v>
      </c>
      <c r="S239" s="19">
        <f t="shared" si="41"/>
        <v>5.712195639482699E-4</v>
      </c>
    </row>
    <row r="240" spans="1:19" x14ac:dyDescent="0.2">
      <c r="A240" s="8">
        <v>45231</v>
      </c>
      <c r="B240" s="4" t="s">
        <v>94</v>
      </c>
      <c r="C240" s="4" t="s">
        <v>187</v>
      </c>
      <c r="D240" s="14">
        <f>IF(SUMIFS('Monthly NSE Equity Futures'!$H:$H,'Monthly NSE Equity Futures'!$A:$A,$A240)=0,"",SUMIFS('Monthly NSE Equity Futures'!$H:$H,'Monthly NSE Equity Futures'!$A:$A,$A240))</f>
        <v>24047.140200000002</v>
      </c>
      <c r="E240" s="6">
        <f>IF(SUMIFS('Monthly BSE Equity Futures'!$H:$H,'Monthly BSE Equity Futures'!$A:$A,$A240)=0,"",SUMIFS('Monthly BSE Equity Futures'!$H:$H,'Monthly BSE Equity Futures'!$A:$A,$A240))</f>
        <v>10.447100000000001</v>
      </c>
      <c r="F240" s="6">
        <f t="shared" si="36"/>
        <v>24057.587300000003</v>
      </c>
      <c r="G240" s="15">
        <f t="shared" si="37"/>
        <v>0.99956574614612326</v>
      </c>
      <c r="H240" s="15">
        <f t="shared" si="38"/>
        <v>4.3425385387669359E-4</v>
      </c>
      <c r="I240" s="20">
        <f t="shared" si="45"/>
        <v>6.6416528177527745E-2</v>
      </c>
      <c r="J240" s="15">
        <f t="shared" si="46"/>
        <v>355.55631399317411</v>
      </c>
      <c r="K240" s="15">
        <f t="shared" si="47"/>
        <v>6.6878438588948486E-2</v>
      </c>
      <c r="L240" s="15">
        <f t="shared" si="42"/>
        <v>2.6816313077620002E-3</v>
      </c>
      <c r="M240" s="15">
        <f t="shared" si="43"/>
        <v>-8.0757419774921013E-2</v>
      </c>
      <c r="N240" s="15">
        <f t="shared" si="44"/>
        <v>2.6421102240077321E-3</v>
      </c>
      <c r="O240" s="18">
        <f>IF(SUMIFS('Monthly NSE Equity Futures'!$I:$I,'Monthly NSE Equity Futures'!$A:$A,$A240)=0,"",SUMIFS('Monthly NSE Equity Futures'!$I:$I,'Monthly NSE Equity Futures'!$A:$A,$A240))</f>
        <v>32325270</v>
      </c>
      <c r="P240" s="7">
        <f>IF(SUMIFS('Monthly BSE Equity Futures'!$I:$I,'Monthly BSE Equity Futures'!$A:$A,$A240)=0,"",SUMIFS('Monthly BSE Equity Futures'!$I:$I,'Monthly BSE Equity Futures'!$A:$A,$A240))</f>
        <v>15488</v>
      </c>
      <c r="Q240" s="7">
        <f t="shared" si="39"/>
        <v>32340758</v>
      </c>
      <c r="R240" s="19">
        <f t="shared" si="40"/>
        <v>0.99952109966006364</v>
      </c>
      <c r="S240" s="19">
        <f t="shared" si="41"/>
        <v>4.7890033993637379E-4</v>
      </c>
    </row>
    <row r="241" spans="1:19" x14ac:dyDescent="0.2">
      <c r="A241" s="8">
        <v>45261</v>
      </c>
      <c r="B241" s="4" t="s">
        <v>94</v>
      </c>
      <c r="C241" s="4" t="s">
        <v>187</v>
      </c>
      <c r="D241" s="14">
        <f>IF(SUMIFS('Monthly NSE Equity Futures'!$H:$H,'Monthly NSE Equity Futures'!$A:$A,$A241)=0,"",SUMIFS('Monthly NSE Equity Futures'!$H:$H,'Monthly NSE Equity Futures'!$A:$A,$A241))</f>
        <v>31886.308199999999</v>
      </c>
      <c r="E241" s="6">
        <f>IF(SUMIFS('Monthly BSE Equity Futures'!$H:$H,'Monthly BSE Equity Futures'!$A:$A,$A241)=0,"",SUMIFS('Monthly BSE Equity Futures'!$H:$H,'Monthly BSE Equity Futures'!$A:$A,$A241))</f>
        <v>30.9818</v>
      </c>
      <c r="F241" s="6">
        <f t="shared" si="36"/>
        <v>31917.29</v>
      </c>
      <c r="G241" s="15">
        <f t="shared" si="37"/>
        <v>0.99902930981922333</v>
      </c>
      <c r="H241" s="15">
        <f t="shared" si="38"/>
        <v>9.7069018077662605E-4</v>
      </c>
      <c r="I241" s="20">
        <f t="shared" si="45"/>
        <v>0.38981215989327933</v>
      </c>
      <c r="J241" s="15">
        <f t="shared" si="46"/>
        <v>479.33798449612402</v>
      </c>
      <c r="K241" s="15">
        <f t="shared" si="47"/>
        <v>0.39115863671440754</v>
      </c>
      <c r="L241" s="15">
        <f t="shared" si="42"/>
        <v>0.32599169526195881</v>
      </c>
      <c r="M241" s="15">
        <f t="shared" si="43"/>
        <v>1.9655885365316688</v>
      </c>
      <c r="N241" s="15">
        <f t="shared" si="44"/>
        <v>0.32670369650908415</v>
      </c>
      <c r="O241" s="18">
        <f>IF(SUMIFS('Monthly NSE Equity Futures'!$I:$I,'Monthly NSE Equity Futures'!$A:$A,$A241)=0,"",SUMIFS('Monthly NSE Equity Futures'!$I:$I,'Monthly NSE Equity Futures'!$A:$A,$A241))</f>
        <v>39326256</v>
      </c>
      <c r="P241" s="7">
        <f>IF(SUMIFS('Monthly BSE Equity Futures'!$I:$I,'Monthly BSE Equity Futures'!$A:$A,$A241)=0,"",SUMIFS('Monthly BSE Equity Futures'!$I:$I,'Monthly BSE Equity Futures'!$A:$A,$A241))</f>
        <v>41486</v>
      </c>
      <c r="Q241" s="7">
        <f t="shared" si="39"/>
        <v>39367742</v>
      </c>
      <c r="R241" s="19">
        <f t="shared" si="40"/>
        <v>0.99894619305318555</v>
      </c>
      <c r="S241" s="19">
        <f t="shared" si="41"/>
        <v>1.0538069468144756E-3</v>
      </c>
    </row>
    <row r="242" spans="1:19" x14ac:dyDescent="0.2">
      <c r="A242" s="8">
        <v>45292</v>
      </c>
      <c r="B242" s="4" t="s">
        <v>94</v>
      </c>
      <c r="C242" s="4" t="s">
        <v>188</v>
      </c>
      <c r="D242" s="14">
        <f>IF(SUMIFS('Monthly NSE Equity Futures'!$H:$H,'Monthly NSE Equity Futures'!$A:$A,$A242)=0,"",SUMIFS('Monthly NSE Equity Futures'!$H:$H,'Monthly NSE Equity Futures'!$A:$A,$A242))</f>
        <v>37898.593999999997</v>
      </c>
      <c r="E242" s="6">
        <f>IF(SUMIFS('Monthly BSE Equity Futures'!$H:$H,'Monthly BSE Equity Futures'!$A:$A,$A242)=0,"",SUMIFS('Monthly BSE Equity Futures'!$H:$H,'Monthly BSE Equity Futures'!$A:$A,$A242))</f>
        <v>32.3551</v>
      </c>
      <c r="F242" s="6">
        <f t="shared" si="36"/>
        <v>37930.949099999998</v>
      </c>
      <c r="G242" s="15">
        <f t="shared" si="37"/>
        <v>0.99914699998898782</v>
      </c>
      <c r="H242" s="15">
        <f t="shared" si="38"/>
        <v>8.5300001101211572E-4</v>
      </c>
      <c r="I242" s="20">
        <f t="shared" si="45"/>
        <v>0.58913854706431668</v>
      </c>
      <c r="J242" s="15">
        <f t="shared" si="46"/>
        <v>668.8778467908902</v>
      </c>
      <c r="K242" s="15">
        <f t="shared" si="47"/>
        <v>0.5904920183241229</v>
      </c>
      <c r="L242" s="15">
        <f t="shared" si="42"/>
        <v>0.18855383828975225</v>
      </c>
      <c r="M242" s="15">
        <f t="shared" si="43"/>
        <v>4.4326023665506753E-2</v>
      </c>
      <c r="N242" s="15">
        <f t="shared" si="44"/>
        <v>0.18841383776630138</v>
      </c>
      <c r="O242" s="18">
        <f>IF(SUMIFS('Monthly NSE Equity Futures'!$I:$I,'Monthly NSE Equity Futures'!$A:$A,$A242)=0,"",SUMIFS('Monthly NSE Equity Futures'!$I:$I,'Monthly NSE Equity Futures'!$A:$A,$A242))</f>
        <v>45730295</v>
      </c>
      <c r="P242" s="7">
        <f>IF(SUMIFS('Monthly BSE Equity Futures'!$I:$I,'Monthly BSE Equity Futures'!$A:$A,$A242)=0,"",SUMIFS('Monthly BSE Equity Futures'!$I:$I,'Monthly BSE Equity Futures'!$A:$A,$A242))</f>
        <v>42799</v>
      </c>
      <c r="Q242" s="7">
        <f t="shared" si="39"/>
        <v>45773094</v>
      </c>
      <c r="R242" s="19">
        <f t="shared" si="40"/>
        <v>0.99906497472073874</v>
      </c>
      <c r="S242" s="19">
        <f t="shared" si="41"/>
        <v>9.3502527926121834E-4</v>
      </c>
    </row>
    <row r="243" spans="1:19" x14ac:dyDescent="0.2">
      <c r="A243" s="8">
        <v>45323</v>
      </c>
      <c r="B243" s="4" t="s">
        <v>94</v>
      </c>
      <c r="C243" s="4" t="s">
        <v>188</v>
      </c>
      <c r="D243" s="14">
        <f>IF(SUMIFS('Monthly NSE Equity Futures'!$H:$H,'Monthly NSE Equity Futures'!$A:$A,$A243)=0,"",SUMIFS('Monthly NSE Equity Futures'!$H:$H,'Monthly NSE Equity Futures'!$A:$A,$A243))</f>
        <v>38092.7045</v>
      </c>
      <c r="E243" s="6">
        <f>IF(SUMIFS('Monthly BSE Equity Futures'!$H:$H,'Monthly BSE Equity Futures'!$A:$A,$A243)=0,"",SUMIFS('Monthly BSE Equity Futures'!$H:$H,'Monthly BSE Equity Futures'!$A:$A,$A243))</f>
        <v>43.453000000000003</v>
      </c>
      <c r="F243" s="6">
        <f t="shared" si="36"/>
        <v>38136.157500000001</v>
      </c>
      <c r="G243" s="15">
        <f t="shared" si="37"/>
        <v>0.99886058263735666</v>
      </c>
      <c r="H243" s="15">
        <f t="shared" si="38"/>
        <v>1.1394173626433129E-3</v>
      </c>
      <c r="I243" s="20">
        <f t="shared" si="45"/>
        <v>0.66026794098547903</v>
      </c>
      <c r="J243" s="15">
        <f t="shared" si="46"/>
        <v>1160.8449197860962</v>
      </c>
      <c r="K243" s="15">
        <f t="shared" si="47"/>
        <v>0.66215912759565732</v>
      </c>
      <c r="L243" s="15">
        <f t="shared" si="42"/>
        <v>5.121839084584634E-3</v>
      </c>
      <c r="M243" s="15">
        <f t="shared" si="43"/>
        <v>0.34300311233777681</v>
      </c>
      <c r="N243" s="15">
        <f t="shared" si="44"/>
        <v>5.4100518143902487E-3</v>
      </c>
      <c r="O243" s="18">
        <f>IF(SUMIFS('Monthly NSE Equity Futures'!$I:$I,'Monthly NSE Equity Futures'!$A:$A,$A243)=0,"",SUMIFS('Monthly NSE Equity Futures'!$I:$I,'Monthly NSE Equity Futures'!$A:$A,$A243))</f>
        <v>44228723</v>
      </c>
      <c r="P243" s="7">
        <f>IF(SUMIFS('Monthly BSE Equity Futures'!$I:$I,'Monthly BSE Equity Futures'!$A:$A,$A243)=0,"",SUMIFS('Monthly BSE Equity Futures'!$I:$I,'Monthly BSE Equity Futures'!$A:$A,$A243))</f>
        <v>57770</v>
      </c>
      <c r="Q243" s="7">
        <f t="shared" si="39"/>
        <v>44286493</v>
      </c>
      <c r="R243" s="19">
        <f t="shared" si="40"/>
        <v>0.99869553906650499</v>
      </c>
      <c r="S243" s="19">
        <f t="shared" si="41"/>
        <v>1.3044609334950049E-3</v>
      </c>
    </row>
    <row r="244" spans="1:19" x14ac:dyDescent="0.2">
      <c r="A244" s="8">
        <v>45352</v>
      </c>
      <c r="B244" s="4" t="s">
        <v>94</v>
      </c>
      <c r="C244" s="4" t="s">
        <v>188</v>
      </c>
      <c r="D244" s="14">
        <f>IF(SUMIFS('Monthly NSE Equity Futures'!$H:$H,'Monthly NSE Equity Futures'!$A:$A,$A244)=0,"",SUMIFS('Monthly NSE Equity Futures'!$H:$H,'Monthly NSE Equity Futures'!$A:$A,$A244))</f>
        <v>33710.8099</v>
      </c>
      <c r="E244" s="6">
        <f>IF(SUMIFS('Monthly BSE Equity Futures'!$H:$H,'Monthly BSE Equity Futures'!$A:$A,$A244)=0,"",SUMIFS('Monthly BSE Equity Futures'!$H:$H,'Monthly BSE Equity Futures'!$A:$A,$A244))</f>
        <v>29.4253</v>
      </c>
      <c r="F244" s="6">
        <f t="shared" si="36"/>
        <v>33740.235200000003</v>
      </c>
      <c r="G244" s="15">
        <f t="shared" si="37"/>
        <v>0.99912788693304655</v>
      </c>
      <c r="H244" s="15">
        <f t="shared" si="38"/>
        <v>8.721130669533684E-4</v>
      </c>
      <c r="I244" s="20">
        <f t="shared" si="45"/>
        <v>0.46389096997035084</v>
      </c>
      <c r="J244" s="15">
        <f t="shared" si="46"/>
        <v>721.98034398034395</v>
      </c>
      <c r="K244" s="15">
        <f t="shared" si="47"/>
        <v>0.46516617326432397</v>
      </c>
      <c r="L244" s="15">
        <f t="shared" si="42"/>
        <v>-0.1150323836943633</v>
      </c>
      <c r="M244" s="15">
        <f t="shared" si="43"/>
        <v>-0.32282466112811548</v>
      </c>
      <c r="N244" s="15">
        <f t="shared" si="44"/>
        <v>-0.11526914582309444</v>
      </c>
      <c r="O244" s="18">
        <f>IF(SUMIFS('Monthly NSE Equity Futures'!$I:$I,'Monthly NSE Equity Futures'!$A:$A,$A244)=0,"",SUMIFS('Monthly NSE Equity Futures'!$I:$I,'Monthly NSE Equity Futures'!$A:$A,$A244))</f>
        <v>39078773</v>
      </c>
      <c r="P244" s="7">
        <f>IF(SUMIFS('Monthly BSE Equity Futures'!$I:$I,'Monthly BSE Equity Futures'!$A:$A,$A244)=0,"",SUMIFS('Monthly BSE Equity Futures'!$I:$I,'Monthly BSE Equity Futures'!$A:$A,$A244))</f>
        <v>38512</v>
      </c>
      <c r="Q244" s="7">
        <f t="shared" si="39"/>
        <v>39117285</v>
      </c>
      <c r="R244" s="19">
        <f t="shared" si="40"/>
        <v>0.99901547359434584</v>
      </c>
      <c r="S244" s="19">
        <f t="shared" si="41"/>
        <v>9.8452640565417572E-4</v>
      </c>
    </row>
    <row r="245" spans="1:19" x14ac:dyDescent="0.2">
      <c r="A245" s="8">
        <v>45383</v>
      </c>
      <c r="B245" s="4" t="s">
        <v>95</v>
      </c>
      <c r="C245" s="4" t="s">
        <v>189</v>
      </c>
      <c r="D245" s="14">
        <f>IF(SUMIFS('Monthly NSE Equity Futures'!$H:$H,'Monthly NSE Equity Futures'!$A:$A,$A245)=0,"",SUMIFS('Monthly NSE Equity Futures'!$H:$H,'Monthly NSE Equity Futures'!$A:$A,$A245))</f>
        <v>38519.7889</v>
      </c>
      <c r="E245" s="6">
        <f>IF(SUMIFS('Monthly BSE Equity Futures'!$H:$H,'Monthly BSE Equity Futures'!$A:$A,$A245)=0,"",SUMIFS('Monthly BSE Equity Futures'!$H:$H,'Monthly BSE Equity Futures'!$A:$A,$A245))</f>
        <v>33.366700000000002</v>
      </c>
      <c r="F245" s="6">
        <f t="shared" si="36"/>
        <v>38553.155599999998</v>
      </c>
      <c r="G245" s="15">
        <f t="shared" si="37"/>
        <v>0.99913452739521025</v>
      </c>
      <c r="H245" s="15">
        <f t="shared" si="38"/>
        <v>8.654726047898399E-4</v>
      </c>
      <c r="I245" s="20">
        <f t="shared" si="45"/>
        <v>1.1919031326006806</v>
      </c>
      <c r="J245" s="15">
        <f t="shared" si="46"/>
        <v>8779.71052631579</v>
      </c>
      <c r="K245" s="15">
        <f t="shared" si="47"/>
        <v>1.193801333594573</v>
      </c>
      <c r="L245" s="15">
        <f t="shared" si="42"/>
        <v>0.14265391470170519</v>
      </c>
      <c r="M245" s="15">
        <f t="shared" si="43"/>
        <v>0.13394595807009613</v>
      </c>
      <c r="N245" s="15">
        <f t="shared" si="44"/>
        <v>0.14264632037894009</v>
      </c>
      <c r="O245" s="18">
        <f>IF(SUMIFS('Monthly NSE Equity Futures'!$I:$I,'Monthly NSE Equity Futures'!$A:$A,$A245)=0,"",SUMIFS('Monthly NSE Equity Futures'!$I:$I,'Monthly NSE Equity Futures'!$A:$A,$A245))</f>
        <v>44756680</v>
      </c>
      <c r="P245" s="7">
        <f>IF(SUMIFS('Monthly BSE Equity Futures'!$I:$I,'Monthly BSE Equity Futures'!$A:$A,$A245)=0,"",SUMIFS('Monthly BSE Equity Futures'!$I:$I,'Monthly BSE Equity Futures'!$A:$A,$A245))</f>
        <v>43584</v>
      </c>
      <c r="Q245" s="7">
        <f t="shared" si="39"/>
        <v>44800264</v>
      </c>
      <c r="R245" s="19">
        <f t="shared" si="40"/>
        <v>0.99902714859001729</v>
      </c>
      <c r="S245" s="19">
        <f t="shared" si="41"/>
        <v>9.7285140998276264E-4</v>
      </c>
    </row>
    <row r="246" spans="1:19" x14ac:dyDescent="0.2">
      <c r="A246" s="8">
        <v>45413</v>
      </c>
      <c r="B246" s="4" t="s">
        <v>95</v>
      </c>
      <c r="C246" s="4" t="s">
        <v>189</v>
      </c>
      <c r="D246" s="14">
        <f>IF(SUMIFS('Monthly NSE Equity Futures'!$H:$H,'Monthly NSE Equity Futures'!$A:$A,$A246)=0,"",SUMIFS('Monthly NSE Equity Futures'!$H:$H,'Monthly NSE Equity Futures'!$A:$A,$A246))</f>
        <v>42710.822</v>
      </c>
      <c r="E246" s="6">
        <f>IF(SUMIFS('Monthly BSE Equity Futures'!$H:$H,'Monthly BSE Equity Futures'!$A:$A,$A246)=0,"",SUMIFS('Monthly BSE Equity Futures'!$H:$H,'Monthly BSE Equity Futures'!$A:$A,$A246))</f>
        <v>25.5214</v>
      </c>
      <c r="F246" s="6">
        <f t="shared" si="36"/>
        <v>42736.343399999998</v>
      </c>
      <c r="G246" s="15">
        <f t="shared" si="37"/>
        <v>0.99940281741558645</v>
      </c>
      <c r="H246" s="15">
        <f t="shared" si="38"/>
        <v>5.9718258441362115E-4</v>
      </c>
      <c r="I246" s="20">
        <f t="shared" si="45"/>
        <v>0.85844048697983655</v>
      </c>
      <c r="J246" s="15">
        <f t="shared" si="46"/>
        <v>8.8839704116804157</v>
      </c>
      <c r="K246" s="15">
        <f t="shared" si="47"/>
        <v>0.85934207620544689</v>
      </c>
      <c r="L246" s="15">
        <f t="shared" si="42"/>
        <v>0.10880207861159907</v>
      </c>
      <c r="M246" s="15">
        <f t="shared" si="43"/>
        <v>-0.23512364123512364</v>
      </c>
      <c r="N246" s="15">
        <f t="shared" si="44"/>
        <v>0.10850442032298901</v>
      </c>
      <c r="O246" s="18">
        <f>IF(SUMIFS('Monthly NSE Equity Futures'!$I:$I,'Monthly NSE Equity Futures'!$A:$A,$A246)=0,"",SUMIFS('Monthly NSE Equity Futures'!$I:$I,'Monthly NSE Equity Futures'!$A:$A,$A246))</f>
        <v>57597781</v>
      </c>
      <c r="P246" s="7">
        <f>IF(SUMIFS('Monthly BSE Equity Futures'!$I:$I,'Monthly BSE Equity Futures'!$A:$A,$A246)=0,"",SUMIFS('Monthly BSE Equity Futures'!$I:$I,'Monthly BSE Equity Futures'!$A:$A,$A246))</f>
        <v>33975</v>
      </c>
      <c r="Q246" s="7">
        <f t="shared" si="39"/>
        <v>57631756</v>
      </c>
      <c r="R246" s="19">
        <f t="shared" si="40"/>
        <v>0.99941048126314247</v>
      </c>
      <c r="S246" s="19">
        <f t="shared" si="41"/>
        <v>5.8951873685750614E-4</v>
      </c>
    </row>
    <row r="247" spans="1:19" x14ac:dyDescent="0.2">
      <c r="A247" s="8">
        <v>45444</v>
      </c>
      <c r="B247" s="4" t="s">
        <v>95</v>
      </c>
      <c r="C247" s="4" t="s">
        <v>189</v>
      </c>
      <c r="D247" s="14">
        <f>IF(SUMIFS('Monthly NSE Equity Futures'!$H:$H,'Monthly NSE Equity Futures'!$A:$A,$A247)=0,"",SUMIFS('Monthly NSE Equity Futures'!$H:$H,'Monthly NSE Equity Futures'!$A:$A,$A247))</f>
        <v>46458.728600000002</v>
      </c>
      <c r="E247" s="6">
        <f>IF(SUMIFS('Monthly BSE Equity Futures'!$H:$H,'Monthly BSE Equity Futures'!$A:$A,$A247)=0,"",SUMIFS('Monthly BSE Equity Futures'!$H:$H,'Monthly BSE Equity Futures'!$A:$A,$A247))</f>
        <v>27.238099999999999</v>
      </c>
      <c r="F247" s="6">
        <f t="shared" si="36"/>
        <v>46485.966700000004</v>
      </c>
      <c r="G247" s="15">
        <f t="shared" si="37"/>
        <v>0.99941405757621893</v>
      </c>
      <c r="H247" s="15">
        <f t="shared" si="38"/>
        <v>5.8594242378098155E-4</v>
      </c>
      <c r="I247" s="20">
        <f t="shared" si="45"/>
        <v>1.123326012578862</v>
      </c>
      <c r="J247" s="15">
        <f t="shared" si="46"/>
        <v>2.5336066318124617</v>
      </c>
      <c r="K247" s="15">
        <f t="shared" si="47"/>
        <v>1.1238226741209068</v>
      </c>
      <c r="L247" s="15">
        <f t="shared" si="42"/>
        <v>8.7750748510529775E-2</v>
      </c>
      <c r="M247" s="15">
        <f t="shared" si="43"/>
        <v>6.7265118684711522E-2</v>
      </c>
      <c r="N247" s="15">
        <f t="shared" si="44"/>
        <v>8.7738514849167171E-2</v>
      </c>
      <c r="O247" s="18">
        <f>IF(SUMIFS('Monthly NSE Equity Futures'!$I:$I,'Monthly NSE Equity Futures'!$A:$A,$A247)=0,"",SUMIFS('Monthly NSE Equity Futures'!$I:$I,'Monthly NSE Equity Futures'!$A:$A,$A247))</f>
        <v>61667415</v>
      </c>
      <c r="P247" s="7">
        <f>IF(SUMIFS('Monthly BSE Equity Futures'!$I:$I,'Monthly BSE Equity Futures'!$A:$A,$A247)=0,"",SUMIFS('Monthly BSE Equity Futures'!$I:$I,'Monthly BSE Equity Futures'!$A:$A,$A247))</f>
        <v>34978</v>
      </c>
      <c r="Q247" s="7">
        <f t="shared" si="39"/>
        <v>61702393</v>
      </c>
      <c r="R247" s="19">
        <f t="shared" si="40"/>
        <v>0.99943311761020359</v>
      </c>
      <c r="S247" s="19">
        <f t="shared" si="41"/>
        <v>5.6688238979645412E-4</v>
      </c>
    </row>
    <row r="248" spans="1:19" x14ac:dyDescent="0.2">
      <c r="A248" s="8">
        <v>45474</v>
      </c>
      <c r="B248" s="4" t="s">
        <v>95</v>
      </c>
      <c r="C248" s="4" t="s">
        <v>190</v>
      </c>
      <c r="D248" s="14">
        <f>IF(SUMIFS('Monthly NSE Equity Futures'!$H:$H,'Monthly NSE Equity Futures'!$A:$A,$A248)=0,"",SUMIFS('Monthly NSE Equity Futures'!$H:$H,'Monthly NSE Equity Futures'!$A:$A,$A248))</f>
        <v>46568.345099999999</v>
      </c>
      <c r="E248" s="6">
        <f>IF(SUMIFS('Monthly BSE Equity Futures'!$H:$H,'Monthly BSE Equity Futures'!$A:$A,$A248)=0,"",SUMIFS('Monthly BSE Equity Futures'!$H:$H,'Monthly BSE Equity Futures'!$A:$A,$A248))</f>
        <v>52.396299999999997</v>
      </c>
      <c r="F248" s="6">
        <f t="shared" si="36"/>
        <v>46620.741399999999</v>
      </c>
      <c r="G248" s="15">
        <f t="shared" si="37"/>
        <v>0.99887611611427529</v>
      </c>
      <c r="H248" s="15">
        <f t="shared" si="38"/>
        <v>1.1238838857247344E-3</v>
      </c>
      <c r="I248" s="20">
        <f t="shared" si="45"/>
        <v>0.80142372384660576</v>
      </c>
      <c r="J248" s="15">
        <f t="shared" si="46"/>
        <v>4.0894406076677257</v>
      </c>
      <c r="K248" s="15">
        <f t="shared" si="47"/>
        <v>0.80273265486134027</v>
      </c>
      <c r="L248" s="15">
        <f t="shared" si="42"/>
        <v>2.359438221905874E-3</v>
      </c>
      <c r="M248" s="15">
        <f t="shared" si="43"/>
        <v>0.92364004831467672</v>
      </c>
      <c r="N248" s="15">
        <f t="shared" si="44"/>
        <v>2.8992556155660321E-3</v>
      </c>
      <c r="O248" s="18">
        <f>IF(SUMIFS('Monthly NSE Equity Futures'!$I:$I,'Monthly NSE Equity Futures'!$A:$A,$A248)=0,"",SUMIFS('Monthly NSE Equity Futures'!$I:$I,'Monthly NSE Equity Futures'!$A:$A,$A248))</f>
        <v>60690542</v>
      </c>
      <c r="P248" s="7">
        <f>IF(SUMIFS('Monthly BSE Equity Futures'!$I:$I,'Monthly BSE Equity Futures'!$A:$A,$A248)=0,"",SUMIFS('Monthly BSE Equity Futures'!$I:$I,'Monthly BSE Equity Futures'!$A:$A,$A248))</f>
        <v>63302</v>
      </c>
      <c r="Q248" s="7">
        <f t="shared" si="39"/>
        <v>60753844</v>
      </c>
      <c r="R248" s="19">
        <f t="shared" si="40"/>
        <v>0.99895805769919677</v>
      </c>
      <c r="S248" s="19">
        <f t="shared" si="41"/>
        <v>1.0419423008032217E-3</v>
      </c>
    </row>
    <row r="249" spans="1:19" x14ac:dyDescent="0.2">
      <c r="A249" s="8">
        <v>45505</v>
      </c>
      <c r="B249" s="4" t="s">
        <v>95</v>
      </c>
      <c r="C249" s="4" t="s">
        <v>190</v>
      </c>
      <c r="D249" s="14">
        <f>IF(SUMIFS('Monthly NSE Equity Futures'!$H:$H,'Monthly NSE Equity Futures'!$A:$A,$A249)=0,"",SUMIFS('Monthly NSE Equity Futures'!$H:$H,'Monthly NSE Equity Futures'!$A:$A,$A249))</f>
        <v>41191.122300000003</v>
      </c>
      <c r="E249" s="6">
        <f>IF(SUMIFS('Monthly BSE Equity Futures'!$H:$H,'Monthly BSE Equity Futures'!$A:$A,$A249)=0,"",SUMIFS('Monthly BSE Equity Futures'!$H:$H,'Monthly BSE Equity Futures'!$A:$A,$A249))</f>
        <v>45.924700000000001</v>
      </c>
      <c r="F249" s="6">
        <f t="shared" si="36"/>
        <v>41237.047000000006</v>
      </c>
      <c r="G249" s="15">
        <f t="shared" si="37"/>
        <v>0.99888632423170354</v>
      </c>
      <c r="H249" s="15">
        <f t="shared" si="38"/>
        <v>1.1136757682964058E-3</v>
      </c>
      <c r="I249" s="20">
        <f t="shared" si="45"/>
        <v>0.59431584950116467</v>
      </c>
      <c r="J249" s="15">
        <f t="shared" si="46"/>
        <v>2.9365940631402099</v>
      </c>
      <c r="K249" s="15">
        <f t="shared" si="47"/>
        <v>0.59537300495616252</v>
      </c>
      <c r="L249" s="15">
        <f t="shared" si="42"/>
        <v>-0.11546948444169636</v>
      </c>
      <c r="M249" s="15">
        <f t="shared" si="43"/>
        <v>-0.12351253809906415</v>
      </c>
      <c r="N249" s="15">
        <f t="shared" si="44"/>
        <v>-0.11547852390009383</v>
      </c>
      <c r="O249" s="18">
        <f>IF(SUMIFS('Monthly NSE Equity Futures'!$I:$I,'Monthly NSE Equity Futures'!$A:$A,$A249)=0,"",SUMIFS('Monthly NSE Equity Futures'!$I:$I,'Monthly NSE Equity Futures'!$A:$A,$A249))</f>
        <v>53401065</v>
      </c>
      <c r="P249" s="7">
        <f>IF(SUMIFS('Monthly BSE Equity Futures'!$I:$I,'Monthly BSE Equity Futures'!$A:$A,$A249)=0,"",SUMIFS('Monthly BSE Equity Futures'!$I:$I,'Monthly BSE Equity Futures'!$A:$A,$A249))</f>
        <v>56291</v>
      </c>
      <c r="Q249" s="7">
        <f t="shared" si="39"/>
        <v>53457356</v>
      </c>
      <c r="R249" s="19">
        <f t="shared" si="40"/>
        <v>0.99894699244010499</v>
      </c>
      <c r="S249" s="19">
        <f t="shared" si="41"/>
        <v>1.0530075598950311E-3</v>
      </c>
    </row>
    <row r="250" spans="1:19" x14ac:dyDescent="0.2">
      <c r="A250" s="8">
        <v>45536</v>
      </c>
      <c r="B250" s="4" t="s">
        <v>95</v>
      </c>
      <c r="C250" s="4" t="s">
        <v>190</v>
      </c>
      <c r="D250" s="14">
        <f>IF(SUMIFS('Monthly NSE Equity Futures'!$H:$H,'Monthly NSE Equity Futures'!$A:$A,$A250)=0,"",SUMIFS('Monthly NSE Equity Futures'!$H:$H,'Monthly NSE Equity Futures'!$A:$A,$A250))</f>
        <v>41274.384100000003</v>
      </c>
      <c r="E250" s="6">
        <f>IF(SUMIFS('Monthly BSE Equity Futures'!$H:$H,'Monthly BSE Equity Futures'!$A:$A,$A250)=0,"",SUMIFS('Monthly BSE Equity Futures'!$H:$H,'Monthly BSE Equity Futures'!$A:$A,$A250))</f>
        <v>58.376100000000001</v>
      </c>
      <c r="F250" s="6">
        <f t="shared" si="36"/>
        <v>41332.760200000004</v>
      </c>
      <c r="G250" s="15">
        <f t="shared" si="37"/>
        <v>0.99858765541624772</v>
      </c>
      <c r="H250" s="15">
        <f t="shared" si="38"/>
        <v>1.4123445837522363E-3</v>
      </c>
      <c r="I250" s="20">
        <f t="shared" si="45"/>
        <v>0.5936398115798891</v>
      </c>
      <c r="J250" s="15">
        <f t="shared" si="46"/>
        <v>3.7890086631226616</v>
      </c>
      <c r="K250" s="15">
        <f t="shared" si="47"/>
        <v>0.59514300777569673</v>
      </c>
      <c r="L250" s="15">
        <f t="shared" si="42"/>
        <v>2.0213530331509855E-3</v>
      </c>
      <c r="M250" s="15">
        <f t="shared" si="43"/>
        <v>0.27112643087488864</v>
      </c>
      <c r="N250" s="15">
        <f t="shared" si="44"/>
        <v>2.3210488374687532E-3</v>
      </c>
      <c r="O250" s="18">
        <f>IF(SUMIFS('Monthly NSE Equity Futures'!$I:$I,'Monthly NSE Equity Futures'!$A:$A,$A250)=0,"",SUMIFS('Monthly NSE Equity Futures'!$I:$I,'Monthly NSE Equity Futures'!$A:$A,$A250))</f>
        <v>52241300</v>
      </c>
      <c r="P250" s="7">
        <f>IF(SUMIFS('Monthly BSE Equity Futures'!$I:$I,'Monthly BSE Equity Futures'!$A:$A,$A250)=0,"",SUMIFS('Monthly BSE Equity Futures'!$I:$I,'Monthly BSE Equity Futures'!$A:$A,$A250))</f>
        <v>69386</v>
      </c>
      <c r="Q250" s="7">
        <f t="shared" si="39"/>
        <v>52310686</v>
      </c>
      <c r="R250" s="19">
        <f t="shared" si="40"/>
        <v>0.99867357885537955</v>
      </c>
      <c r="S250" s="19">
        <f t="shared" si="41"/>
        <v>1.3264211446204319E-3</v>
      </c>
    </row>
    <row r="251" spans="1:19" x14ac:dyDescent="0.2">
      <c r="A251" s="8">
        <v>45566</v>
      </c>
      <c r="B251" s="4" t="s">
        <v>95</v>
      </c>
      <c r="C251" s="4" t="s">
        <v>191</v>
      </c>
      <c r="D251" s="14">
        <f>IF(SUMIFS('Monthly NSE Equity Futures'!$H:$H,'Monthly NSE Equity Futures'!$A:$A,$A251)=0,"",SUMIFS('Monthly NSE Equity Futures'!$H:$H,'Monthly NSE Equity Futures'!$A:$A,$A251))</f>
        <v>41043.708200000001</v>
      </c>
      <c r="E251" s="6">
        <f>IF(SUMIFS('Monthly BSE Equity Futures'!$H:$H,'Monthly BSE Equity Futures'!$A:$A,$A251)=0,"",SUMIFS('Monthly BSE Equity Futures'!$H:$H,'Monthly BSE Equity Futures'!$A:$A,$A251))</f>
        <v>39.453699999999998</v>
      </c>
      <c r="F251" s="6">
        <f t="shared" si="36"/>
        <v>41083.161899999999</v>
      </c>
      <c r="G251" s="15">
        <f t="shared" si="37"/>
        <v>0.99903966252412524</v>
      </c>
      <c r="H251" s="15">
        <f t="shared" si="38"/>
        <v>9.6033747587475726E-4</v>
      </c>
      <c r="I251" s="20">
        <f t="shared" si="45"/>
        <v>0.71137906423050534</v>
      </c>
      <c r="J251" s="15">
        <f t="shared" si="46"/>
        <v>2.4715395648003939</v>
      </c>
      <c r="K251" s="15">
        <f t="shared" si="47"/>
        <v>0.71221276798985356</v>
      </c>
      <c r="L251" s="15">
        <f t="shared" si="42"/>
        <v>-5.5888393014204008E-3</v>
      </c>
      <c r="M251" s="15">
        <f t="shared" si="43"/>
        <v>-0.32414635441559136</v>
      </c>
      <c r="N251" s="15">
        <f t="shared" si="44"/>
        <v>-6.0387522825056106E-3</v>
      </c>
      <c r="O251" s="18">
        <f>IF(SUMIFS('Monthly NSE Equity Futures'!$I:$I,'Monthly NSE Equity Futures'!$A:$A,$A251)=0,"",SUMIFS('Monthly NSE Equity Futures'!$I:$I,'Monthly NSE Equity Futures'!$A:$A,$A251))</f>
        <v>53931015</v>
      </c>
      <c r="P251" s="7">
        <f>IF(SUMIFS('Monthly BSE Equity Futures'!$I:$I,'Monthly BSE Equity Futures'!$A:$A,$A251)=0,"",SUMIFS('Monthly BSE Equity Futures'!$I:$I,'Monthly BSE Equity Futures'!$A:$A,$A251))</f>
        <v>47873</v>
      </c>
      <c r="Q251" s="7">
        <f t="shared" si="39"/>
        <v>53978888</v>
      </c>
      <c r="R251" s="19">
        <f t="shared" si="40"/>
        <v>0.99911311622425414</v>
      </c>
      <c r="S251" s="19">
        <f t="shared" si="41"/>
        <v>8.8688377574580644E-4</v>
      </c>
    </row>
    <row r="252" spans="1:19" x14ac:dyDescent="0.2">
      <c r="A252" s="8">
        <v>45597</v>
      </c>
      <c r="B252" s="4" t="s">
        <v>95</v>
      </c>
      <c r="C252" s="4" t="s">
        <v>191</v>
      </c>
      <c r="D252" s="14">
        <f>IF(SUMIFS('Monthly NSE Equity Futures'!$H:$H,'Monthly NSE Equity Futures'!$A:$A,$A252)=0,"",SUMIFS('Monthly NSE Equity Futures'!$H:$H,'Monthly NSE Equity Futures'!$A:$A,$A252))</f>
        <v>32507.7503</v>
      </c>
      <c r="E252" s="6">
        <f>IF(SUMIFS('Monthly BSE Equity Futures'!$H:$H,'Monthly BSE Equity Futures'!$A:$A,$A252)=0,"",SUMIFS('Monthly BSE Equity Futures'!$H:$H,'Monthly BSE Equity Futures'!$A:$A,$A252))</f>
        <v>34.7348</v>
      </c>
      <c r="F252" s="6">
        <f t="shared" si="36"/>
        <v>32542.485099999998</v>
      </c>
      <c r="G252" s="15">
        <f t="shared" si="37"/>
        <v>0.99893263222236217</v>
      </c>
      <c r="H252" s="15">
        <f t="shared" si="38"/>
        <v>1.0673677776378548E-3</v>
      </c>
      <c r="I252" s="20">
        <f t="shared" si="45"/>
        <v>0.35183435658598605</v>
      </c>
      <c r="J252" s="15">
        <f t="shared" si="46"/>
        <v>2.3248269854792238</v>
      </c>
      <c r="K252" s="15">
        <f t="shared" si="47"/>
        <v>0.35269113623875303</v>
      </c>
      <c r="L252" s="15">
        <f t="shared" si="42"/>
        <v>-0.20797238539962137</v>
      </c>
      <c r="M252" s="15">
        <f t="shared" si="43"/>
        <v>-0.11960601920732394</v>
      </c>
      <c r="N252" s="15">
        <f t="shared" si="44"/>
        <v>-0.20788752386656006</v>
      </c>
      <c r="O252" s="18">
        <f>IF(SUMIFS('Monthly NSE Equity Futures'!$I:$I,'Monthly NSE Equity Futures'!$A:$A,$A252)=0,"",SUMIFS('Monthly NSE Equity Futures'!$I:$I,'Monthly NSE Equity Futures'!$A:$A,$A252))</f>
        <v>49508910</v>
      </c>
      <c r="P252" s="7">
        <f>IF(SUMIFS('Monthly BSE Equity Futures'!$I:$I,'Monthly BSE Equity Futures'!$A:$A,$A252)=0,"",SUMIFS('Monthly BSE Equity Futures'!$I:$I,'Monthly BSE Equity Futures'!$A:$A,$A252))</f>
        <v>43134</v>
      </c>
      <c r="Q252" s="7">
        <f t="shared" si="39"/>
        <v>49552044</v>
      </c>
      <c r="R252" s="19">
        <f t="shared" si="40"/>
        <v>0.9991295212766601</v>
      </c>
      <c r="S252" s="19">
        <f t="shared" si="41"/>
        <v>8.7047872333984846E-4</v>
      </c>
    </row>
    <row r="253" spans="1:19" x14ac:dyDescent="0.2">
      <c r="A253" s="8">
        <v>45627</v>
      </c>
      <c r="B253" s="4" t="s">
        <v>95</v>
      </c>
      <c r="C253" s="4" t="s">
        <v>191</v>
      </c>
      <c r="D253" s="14">
        <f>IF(SUMIFS('Monthly NSE Equity Futures'!$H:$H,'Monthly NSE Equity Futures'!$A:$A,$A253)=0,"",SUMIFS('Monthly NSE Equity Futures'!$H:$H,'Monthly NSE Equity Futures'!$A:$A,$A253))</f>
        <v>32980.125500000002</v>
      </c>
      <c r="E253" s="6">
        <f>IF(SUMIFS('Monthly BSE Equity Futures'!$H:$H,'Monthly BSE Equity Futures'!$A:$A,$A253)=0,"",SUMIFS('Monthly BSE Equity Futures'!$H:$H,'Monthly BSE Equity Futures'!$A:$A,$A253))</f>
        <v>46.840600000000002</v>
      </c>
      <c r="F253" s="6">
        <f t="shared" si="36"/>
        <v>33026.966100000005</v>
      </c>
      <c r="G253" s="15">
        <f t="shared" si="37"/>
        <v>0.9985817468108279</v>
      </c>
      <c r="H253" s="15">
        <f t="shared" si="38"/>
        <v>1.4182531891719838E-3</v>
      </c>
      <c r="I253" s="20">
        <f t="shared" si="45"/>
        <v>3.430366705167831E-2</v>
      </c>
      <c r="J253" s="15">
        <f t="shared" si="46"/>
        <v>0.51187471354149872</v>
      </c>
      <c r="K253" s="15">
        <f t="shared" si="47"/>
        <v>3.4767240577129321E-2</v>
      </c>
      <c r="L253" s="15">
        <f t="shared" si="42"/>
        <v>1.4531156282445057E-2</v>
      </c>
      <c r="M253" s="15">
        <f t="shared" si="43"/>
        <v>0.34852079182836815</v>
      </c>
      <c r="N253" s="15">
        <f t="shared" si="44"/>
        <v>1.4887646057492043E-2</v>
      </c>
      <c r="O253" s="18">
        <f>IF(SUMIFS('Monthly NSE Equity Futures'!$I:$I,'Monthly NSE Equity Futures'!$A:$A,$A253)=0,"",SUMIFS('Monthly NSE Equity Futures'!$I:$I,'Monthly NSE Equity Futures'!$A:$A,$A253))</f>
        <v>50196831</v>
      </c>
      <c r="P253" s="7">
        <f>IF(SUMIFS('Monthly BSE Equity Futures'!$I:$I,'Monthly BSE Equity Futures'!$A:$A,$A253)=0,"",SUMIFS('Monthly BSE Equity Futures'!$I:$I,'Monthly BSE Equity Futures'!$A:$A,$A253))</f>
        <v>58126</v>
      </c>
      <c r="Q253" s="7">
        <f t="shared" si="39"/>
        <v>50254957</v>
      </c>
      <c r="R253" s="19">
        <f t="shared" si="40"/>
        <v>0.99884337777863386</v>
      </c>
      <c r="S253" s="19">
        <f t="shared" si="41"/>
        <v>1.156622221366143E-3</v>
      </c>
    </row>
    <row r="254" spans="1:19" x14ac:dyDescent="0.2">
      <c r="A254" s="8">
        <v>45658</v>
      </c>
      <c r="B254" s="4" t="s">
        <v>95</v>
      </c>
      <c r="C254" s="4" t="s">
        <v>192</v>
      </c>
      <c r="D254" s="14">
        <f>IF(SUMIFS('Monthly NSE Equity Futures'!$H:$H,'Monthly NSE Equity Futures'!$A:$A,$A254)=0,"",SUMIFS('Monthly NSE Equity Futures'!$H:$H,'Monthly NSE Equity Futures'!$A:$A,$A254))</f>
        <v>37944.732199999999</v>
      </c>
      <c r="E254" s="6">
        <f>IF(SUMIFS('Monthly BSE Equity Futures'!$H:$H,'Monthly BSE Equity Futures'!$A:$A,$A254)=0,"",SUMIFS('Monthly BSE Equity Futures'!$H:$H,'Monthly BSE Equity Futures'!$A:$A,$A254))</f>
        <v>58.252299999999998</v>
      </c>
      <c r="F254" s="6">
        <f t="shared" si="36"/>
        <v>38002.984499999999</v>
      </c>
      <c r="G254" s="15">
        <f t="shared" si="37"/>
        <v>0.99846716512488642</v>
      </c>
      <c r="H254" s="15">
        <f t="shared" si="38"/>
        <v>1.5328348751135585E-3</v>
      </c>
      <c r="I254" s="20">
        <f t="shared" si="45"/>
        <v>1.2174119177086329E-3</v>
      </c>
      <c r="J254" s="15">
        <f t="shared" si="46"/>
        <v>0.80040550021480383</v>
      </c>
      <c r="K254" s="15">
        <f t="shared" si="47"/>
        <v>1.8991193658268735E-3</v>
      </c>
      <c r="L254" s="15">
        <f t="shared" si="42"/>
        <v>0.15053328708527802</v>
      </c>
      <c r="M254" s="15">
        <f t="shared" si="43"/>
        <v>0.24362839075502873</v>
      </c>
      <c r="N254" s="15">
        <f t="shared" si="44"/>
        <v>0.1506653195129537</v>
      </c>
      <c r="O254" s="18">
        <f>IF(SUMIFS('Monthly NSE Equity Futures'!$I:$I,'Monthly NSE Equity Futures'!$A:$A,$A254)=0,"",SUMIFS('Monthly NSE Equity Futures'!$I:$I,'Monthly NSE Equity Futures'!$A:$A,$A254))</f>
        <v>59900036</v>
      </c>
      <c r="P254" s="7">
        <f>IF(SUMIFS('Monthly BSE Equity Futures'!$I:$I,'Monthly BSE Equity Futures'!$A:$A,$A254)=0,"",SUMIFS('Monthly BSE Equity Futures'!$I:$I,'Monthly BSE Equity Futures'!$A:$A,$A254))</f>
        <v>50913</v>
      </c>
      <c r="Q254" s="7">
        <f t="shared" si="39"/>
        <v>59950949</v>
      </c>
      <c r="R254" s="19">
        <f t="shared" si="40"/>
        <v>0.99915075572865408</v>
      </c>
      <c r="S254" s="19">
        <f t="shared" si="41"/>
        <v>8.4924427134589647E-4</v>
      </c>
    </row>
    <row r="255" spans="1:19" x14ac:dyDescent="0.2">
      <c r="A255" s="8">
        <v>45689</v>
      </c>
      <c r="B255" s="4" t="s">
        <v>95</v>
      </c>
      <c r="C255" s="4" t="s">
        <v>192</v>
      </c>
      <c r="D255" s="14">
        <f>IF(SUMIFS('Monthly NSE Equity Futures'!$H:$H,'Monthly NSE Equity Futures'!$A:$A,$A255)=0,"",SUMIFS('Monthly NSE Equity Futures'!$H:$H,'Monthly NSE Equity Futures'!$A:$A,$A255))</f>
        <v>31927.027999999998</v>
      </c>
      <c r="E255" s="6">
        <f>IF(SUMIFS('Monthly BSE Equity Futures'!$H:$H,'Monthly BSE Equity Futures'!$A:$A,$A255)=0,"",SUMIFS('Monthly BSE Equity Futures'!$H:$H,'Monthly BSE Equity Futures'!$A:$A,$A255))</f>
        <v>50.320500000000003</v>
      </c>
      <c r="F255" s="6">
        <f t="shared" si="36"/>
        <v>31977.3485</v>
      </c>
      <c r="G255" s="15">
        <f t="shared" si="37"/>
        <v>0.99842637046658189</v>
      </c>
      <c r="H255" s="15">
        <f t="shared" si="38"/>
        <v>1.5736295334180068E-3</v>
      </c>
      <c r="I255" s="20">
        <f t="shared" si="45"/>
        <v>-0.16185977291268472</v>
      </c>
      <c r="J255" s="15">
        <f t="shared" si="46"/>
        <v>0.15804432375209987</v>
      </c>
      <c r="K255" s="15">
        <f t="shared" si="47"/>
        <v>-0.16149526863056407</v>
      </c>
      <c r="L255" s="15">
        <f t="shared" si="42"/>
        <v>-0.15859129452493537</v>
      </c>
      <c r="M255" s="15">
        <f t="shared" si="43"/>
        <v>-0.13616286395558619</v>
      </c>
      <c r="N255" s="15">
        <f t="shared" si="44"/>
        <v>-0.15855691544436457</v>
      </c>
      <c r="O255" s="18">
        <f>IF(SUMIFS('Monthly NSE Equity Futures'!$I:$I,'Monthly NSE Equity Futures'!$A:$A,$A255)=0,"",SUMIFS('Monthly NSE Equity Futures'!$I:$I,'Monthly NSE Equity Futures'!$A:$A,$A255))</f>
        <v>47463134</v>
      </c>
      <c r="P255" s="7">
        <f>IF(SUMIFS('Monthly BSE Equity Futures'!$I:$I,'Monthly BSE Equity Futures'!$A:$A,$A255)=0,"",SUMIFS('Monthly BSE Equity Futures'!$I:$I,'Monthly BSE Equity Futures'!$A:$A,$A255))</f>
        <v>33447</v>
      </c>
      <c r="Q255" s="7">
        <f t="shared" si="39"/>
        <v>47496581</v>
      </c>
      <c r="R255" s="19">
        <f t="shared" si="40"/>
        <v>0.99929580194414414</v>
      </c>
      <c r="S255" s="19">
        <f t="shared" si="41"/>
        <v>7.0419805585585202E-4</v>
      </c>
    </row>
    <row r="256" spans="1:19" x14ac:dyDescent="0.2">
      <c r="A256" s="8">
        <v>45717</v>
      </c>
      <c r="B256" s="4" t="s">
        <v>95</v>
      </c>
      <c r="C256" s="4" t="s">
        <v>192</v>
      </c>
      <c r="D256" s="14">
        <f>IF(SUMIFS('Monthly NSE Equity Futures'!$H:$H,'Monthly NSE Equity Futures'!$A:$A,$A256)=0,"",SUMIFS('Monthly NSE Equity Futures'!$H:$H,'Monthly NSE Equity Futures'!$A:$A,$A256))</f>
        <v>29768.053199999998</v>
      </c>
      <c r="E256" s="6">
        <f>IF(SUMIFS('Monthly BSE Equity Futures'!$H:$H,'Monthly BSE Equity Futures'!$A:$A,$A256)=0,"",SUMIFS('Monthly BSE Equity Futures'!$H:$H,'Monthly BSE Equity Futures'!$A:$A,$A256))</f>
        <v>43.357100000000003</v>
      </c>
      <c r="F256" s="6">
        <f t="shared" si="36"/>
        <v>29811.4103</v>
      </c>
      <c r="G256" s="15">
        <f t="shared" si="37"/>
        <v>0.99854562063439178</v>
      </c>
      <c r="H256" s="15">
        <f t="shared" si="38"/>
        <v>1.4543793656082082E-3</v>
      </c>
      <c r="I256" s="20">
        <f t="shared" si="45"/>
        <v>-0.11695823125269977</v>
      </c>
      <c r="J256" s="15">
        <f t="shared" si="46"/>
        <v>0.47346331218373305</v>
      </c>
      <c r="K256" s="15">
        <f t="shared" si="47"/>
        <v>-0.11644331690965815</v>
      </c>
      <c r="L256" s="15">
        <f t="shared" si="42"/>
        <v>-6.7622166397699135E-2</v>
      </c>
      <c r="M256" s="15">
        <f t="shared" si="43"/>
        <v>-0.13838097793145931</v>
      </c>
      <c r="N256" s="15">
        <f t="shared" si="44"/>
        <v>-6.7733514553278251E-2</v>
      </c>
      <c r="O256" s="18">
        <f>IF(SUMIFS('Monthly NSE Equity Futures'!$I:$I,'Monthly NSE Equity Futures'!$A:$A,$A256)=0,"",SUMIFS('Monthly NSE Equity Futures'!$I:$I,'Monthly NSE Equity Futures'!$A:$A,$A256))</f>
        <v>44714057</v>
      </c>
      <c r="P256" s="7">
        <f>IF(SUMIFS('Monthly BSE Equity Futures'!$I:$I,'Monthly BSE Equity Futures'!$A:$A,$A256)=0,"",SUMIFS('Monthly BSE Equity Futures'!$I:$I,'Monthly BSE Equity Futures'!$A:$A,$A256))</f>
        <v>29315</v>
      </c>
      <c r="Q256" s="7">
        <f t="shared" si="39"/>
        <v>44743372</v>
      </c>
      <c r="R256" s="19">
        <f t="shared" si="40"/>
        <v>0.99934481916114859</v>
      </c>
      <c r="S256" s="19">
        <f t="shared" si="41"/>
        <v>6.551808388513946E-4</v>
      </c>
    </row>
    <row r="257" spans="1:19" x14ac:dyDescent="0.2">
      <c r="A257" s="8">
        <v>45748</v>
      </c>
      <c r="B257" s="4" t="s">
        <v>96</v>
      </c>
      <c r="C257" s="4" t="s">
        <v>193</v>
      </c>
      <c r="D257" s="14">
        <f>IF(SUMIFS('Monthly NSE Equity Futures'!$H:$H,'Monthly NSE Equity Futures'!$A:$A,$A257)=0,"",SUMIFS('Monthly NSE Equity Futures'!$H:$H,'Monthly NSE Equity Futures'!$A:$A,$A257))</f>
        <v>33768.748899999999</v>
      </c>
      <c r="E257" s="6">
        <f>IF(SUMIFS('Monthly BSE Equity Futures'!$H:$H,'Monthly BSE Equity Futures'!$A:$A,$A257)=0,"",SUMIFS('Monthly BSE Equity Futures'!$H:$H,'Monthly BSE Equity Futures'!$A:$A,$A257))</f>
        <v>62.681600000000003</v>
      </c>
      <c r="F257" s="6">
        <f t="shared" si="36"/>
        <v>33831.430500000002</v>
      </c>
      <c r="G257" s="15">
        <f t="shared" si="37"/>
        <v>0.99814723767001212</v>
      </c>
      <c r="H257" s="15">
        <f t="shared" si="38"/>
        <v>1.8527623299877906E-3</v>
      </c>
      <c r="I257" s="20">
        <f t="shared" si="45"/>
        <v>-0.12334023980074305</v>
      </c>
      <c r="J257" s="15">
        <f t="shared" si="46"/>
        <v>0.87856755387856755</v>
      </c>
      <c r="K257" s="15">
        <f t="shared" si="47"/>
        <v>-0.1224731160527881</v>
      </c>
      <c r="L257" s="15">
        <f t="shared" si="42"/>
        <v>0.13439561106401143</v>
      </c>
      <c r="M257" s="15">
        <f t="shared" si="43"/>
        <v>0.44570554764963521</v>
      </c>
      <c r="N257" s="15">
        <f t="shared" si="44"/>
        <v>0.13484837381209047</v>
      </c>
      <c r="O257" s="18">
        <f>IF(SUMIFS('Monthly NSE Equity Futures'!$I:$I,'Monthly NSE Equity Futures'!$A:$A,$A257)=0,"",SUMIFS('Monthly NSE Equity Futures'!$I:$I,'Monthly NSE Equity Futures'!$A:$A,$A257))</f>
        <v>48422115</v>
      </c>
      <c r="P257" s="7">
        <f>IF(SUMIFS('Monthly BSE Equity Futures'!$I:$I,'Monthly BSE Equity Futures'!$A:$A,$A257)=0,"",SUMIFS('Monthly BSE Equity Futures'!$I:$I,'Monthly BSE Equity Futures'!$A:$A,$A257))</f>
        <v>41356</v>
      </c>
      <c r="Q257" s="7">
        <f t="shared" si="39"/>
        <v>48463471</v>
      </c>
      <c r="R257" s="19">
        <f t="shared" si="40"/>
        <v>0.99914665625167454</v>
      </c>
      <c r="S257" s="19">
        <f t="shared" si="41"/>
        <v>8.5334374832541401E-4</v>
      </c>
    </row>
    <row r="258" spans="1:19" x14ac:dyDescent="0.2">
      <c r="A258" s="8">
        <v>45778</v>
      </c>
      <c r="B258" s="4" t="s">
        <v>96</v>
      </c>
      <c r="C258" s="4" t="s">
        <v>193</v>
      </c>
      <c r="D258" s="14">
        <f>IF(SUMIFS('Monthly NSE Equity Futures'!$H:$H,'Monthly NSE Equity Futures'!$A:$A,$A258)=0,"",SUMIFS('Monthly NSE Equity Futures'!$H:$H,'Monthly NSE Equity Futures'!$A:$A,$A258))</f>
        <v>35337.626100000001</v>
      </c>
      <c r="E258" s="6">
        <f>IF(SUMIFS('Monthly BSE Equity Futures'!$H:$H,'Monthly BSE Equity Futures'!$A:$A,$A258)=0,"",SUMIFS('Monthly BSE Equity Futures'!$H:$H,'Monthly BSE Equity Futures'!$A:$A,$A258))</f>
        <v>80.115700000000004</v>
      </c>
      <c r="F258" s="6">
        <f t="shared" ref="F258:F321" si="48">IF(OR(D258="",E258=""),"",D258+E258)</f>
        <v>35417.741800000003</v>
      </c>
      <c r="G258" s="15">
        <f t="shared" ref="G258:G321" si="49">IF(F258="","",D258/F258)</f>
        <v>0.99773797831458577</v>
      </c>
      <c r="H258" s="15">
        <f t="shared" ref="H258:H273" si="50">IF(F258="","",E258/F258)</f>
        <v>2.2620216854141728E-3</v>
      </c>
      <c r="I258" s="20">
        <f t="shared" si="45"/>
        <v>-0.17263062509075566</v>
      </c>
      <c r="J258" s="15">
        <f t="shared" si="46"/>
        <v>2.1391577264570127</v>
      </c>
      <c r="K258" s="15">
        <f t="shared" si="47"/>
        <v>-0.17125006534836096</v>
      </c>
      <c r="L258" s="15">
        <f t="shared" si="42"/>
        <v>4.6459441084001796E-2</v>
      </c>
      <c r="M258" s="15">
        <f t="shared" si="43"/>
        <v>0.27813744384316919</v>
      </c>
      <c r="N258" s="15">
        <f t="shared" si="44"/>
        <v>4.6888685360200855E-2</v>
      </c>
      <c r="O258" s="18">
        <f>IF(SUMIFS('Monthly NSE Equity Futures'!$I:$I,'Monthly NSE Equity Futures'!$A:$A,$A258)=0,"",SUMIFS('Monthly NSE Equity Futures'!$I:$I,'Monthly NSE Equity Futures'!$A:$A,$A258))</f>
        <v>48010139</v>
      </c>
      <c r="P258" s="7">
        <f>IF(SUMIFS('Monthly BSE Equity Futures'!$I:$I,'Monthly BSE Equity Futures'!$A:$A,$A258)=0,"",SUMIFS('Monthly BSE Equity Futures'!$I:$I,'Monthly BSE Equity Futures'!$A:$A,$A258))</f>
        <v>51931</v>
      </c>
      <c r="Q258" s="7">
        <f t="shared" ref="Q258:Q321" si="51">IF(OR(O258="",P258=""),"",O258+P258)</f>
        <v>48062070</v>
      </c>
      <c r="R258" s="19">
        <f t="shared" ref="R258:R321" si="52">IF(Q258="","",O258/Q258)</f>
        <v>0.99891950138643637</v>
      </c>
      <c r="S258" s="19">
        <f t="shared" ref="S258:S273" si="53">IF(Q258="","",P258/Q258)</f>
        <v>1.0804986135636689E-3</v>
      </c>
    </row>
    <row r="259" spans="1:19" x14ac:dyDescent="0.2">
      <c r="A259" s="8">
        <v>45809</v>
      </c>
      <c r="B259" s="4" t="s">
        <v>96</v>
      </c>
      <c r="C259" s="4" t="s">
        <v>193</v>
      </c>
      <c r="D259" s="14">
        <f>IF(SUMIFS('Monthly NSE Equity Futures'!$H:$H,'Monthly NSE Equity Futures'!$A:$A,$A259)=0,"",SUMIFS('Monthly NSE Equity Futures'!$H:$H,'Monthly NSE Equity Futures'!$A:$A,$A259))</f>
        <v>33635.703699999998</v>
      </c>
      <c r="E259" s="6">
        <f>IF(SUMIFS('Monthly BSE Equity Futures'!$H:$H,'Monthly BSE Equity Futures'!$A:$A,$A259)=0,"",SUMIFS('Monthly BSE Equity Futures'!$H:$H,'Monthly BSE Equity Futures'!$A:$A,$A259))</f>
        <v>95.1066</v>
      </c>
      <c r="F259" s="6">
        <f t="shared" si="48"/>
        <v>33730.810299999997</v>
      </c>
      <c r="G259" s="15">
        <f t="shared" si="49"/>
        <v>0.99718042350141822</v>
      </c>
      <c r="H259" s="15">
        <f t="shared" si="50"/>
        <v>2.8195764985817729E-3</v>
      </c>
      <c r="I259" s="20">
        <f t="shared" si="45"/>
        <v>-0.27600895001676828</v>
      </c>
      <c r="J259" s="15">
        <f t="shared" si="46"/>
        <v>2.4916752636931356</v>
      </c>
      <c r="K259" s="15">
        <f t="shared" si="47"/>
        <v>-0.27438724642032675</v>
      </c>
      <c r="L259" s="15">
        <f t="shared" ref="L259:L273" si="54">IF(OR(D259="",D258=""),"",D259/D258-1)</f>
        <v>-4.8161763758092446E-2</v>
      </c>
      <c r="M259" s="15">
        <f t="shared" ref="M259:M273" si="55">IF(OR(E259="",E258=""),"",E259/E258-1)</f>
        <v>0.18711563401430675</v>
      </c>
      <c r="N259" s="15">
        <f t="shared" ref="N259:N273" si="56">IF(OR(F259="",F258=""),"",F259/F258-1)</f>
        <v>-4.7629561182243596E-2</v>
      </c>
      <c r="O259" s="18">
        <f>IF(SUMIFS('Monthly NSE Equity Futures'!$I:$I,'Monthly NSE Equity Futures'!$A:$A,$A259)=0,"",SUMIFS('Monthly NSE Equity Futures'!$I:$I,'Monthly NSE Equity Futures'!$A:$A,$A259))</f>
        <v>44422806</v>
      </c>
      <c r="P259" s="7">
        <f>IF(SUMIFS('Monthly BSE Equity Futures'!$I:$I,'Monthly BSE Equity Futures'!$A:$A,$A259)=0,"",SUMIFS('Monthly BSE Equity Futures'!$I:$I,'Monthly BSE Equity Futures'!$A:$A,$A259))</f>
        <v>58999</v>
      </c>
      <c r="Q259" s="7">
        <f t="shared" si="51"/>
        <v>44481805</v>
      </c>
      <c r="R259" s="19">
        <f t="shared" si="52"/>
        <v>0.99867363745693327</v>
      </c>
      <c r="S259" s="19">
        <f t="shared" si="53"/>
        <v>1.3263625430667662E-3</v>
      </c>
    </row>
    <row r="260" spans="1:19" x14ac:dyDescent="0.2">
      <c r="A260" s="8">
        <v>45839</v>
      </c>
      <c r="B260" s="4" t="s">
        <v>96</v>
      </c>
      <c r="C260" s="4" t="s">
        <v>194</v>
      </c>
      <c r="D260" s="14">
        <f>IF(SUMIFS('Monthly NSE Equity Futures'!$H:$H,'Monthly NSE Equity Futures'!$A:$A,$A260)=0,"",SUMIFS('Monthly NSE Equity Futures'!$H:$H,'Monthly NSE Equity Futures'!$A:$A,$A260))</f>
        <v>32031.554400000001</v>
      </c>
      <c r="E260" s="6">
        <f>IF(SUMIFS('Monthly BSE Equity Futures'!$H:$H,'Monthly BSE Equity Futures'!$A:$A,$A260)=0,"",SUMIFS('Monthly BSE Equity Futures'!$H:$H,'Monthly BSE Equity Futures'!$A:$A,$A260))</f>
        <v>57.4788</v>
      </c>
      <c r="F260" s="6">
        <f t="shared" si="48"/>
        <v>32089.033200000002</v>
      </c>
      <c r="G260" s="15">
        <f t="shared" si="49"/>
        <v>0.99820877121346241</v>
      </c>
      <c r="H260" s="15">
        <f t="shared" si="50"/>
        <v>1.7912287865375761E-3</v>
      </c>
      <c r="I260" s="20">
        <f t="shared" si="45"/>
        <v>-0.31216034559063599</v>
      </c>
      <c r="J260" s="15">
        <f t="shared" si="46"/>
        <v>9.7001124125176919E-2</v>
      </c>
      <c r="K260" s="15">
        <f t="shared" si="47"/>
        <v>-0.31170049560816293</v>
      </c>
      <c r="L260" s="15">
        <f t="shared" si="54"/>
        <v>-4.7691860836554967E-2</v>
      </c>
      <c r="M260" s="15">
        <f t="shared" si="55"/>
        <v>-0.39563815760420418</v>
      </c>
      <c r="N260" s="15">
        <f t="shared" si="56"/>
        <v>-4.8672922037689581E-2</v>
      </c>
      <c r="O260" s="18">
        <f>IF(SUMIFS('Monthly NSE Equity Futures'!$I:$I,'Monthly NSE Equity Futures'!$A:$A,$A260)=0,"",SUMIFS('Monthly NSE Equity Futures'!$I:$I,'Monthly NSE Equity Futures'!$A:$A,$A260))</f>
        <v>41313443</v>
      </c>
      <c r="P260" s="7">
        <f>IF(SUMIFS('Monthly BSE Equity Futures'!$I:$I,'Monthly BSE Equity Futures'!$A:$A,$A260)=0,"",SUMIFS('Monthly BSE Equity Futures'!$I:$I,'Monthly BSE Equity Futures'!$A:$A,$A260))</f>
        <v>35394</v>
      </c>
      <c r="Q260" s="7">
        <f t="shared" si="51"/>
        <v>41348837</v>
      </c>
      <c r="R260" s="19">
        <f t="shared" si="52"/>
        <v>0.99914401461883917</v>
      </c>
      <c r="S260" s="19">
        <f t="shared" si="53"/>
        <v>8.5598538116078086E-4</v>
      </c>
    </row>
    <row r="261" spans="1:19" x14ac:dyDescent="0.2">
      <c r="A261" s="8">
        <v>45870</v>
      </c>
      <c r="B261" s="4" t="s">
        <v>96</v>
      </c>
      <c r="C261" s="4" t="s">
        <v>194</v>
      </c>
      <c r="D261" s="14">
        <f>IF(SUMIFS('Monthly NSE Equity Futures'!$H:$H,'Monthly NSE Equity Futures'!$A:$A,$A261)=0,"",SUMIFS('Monthly NSE Equity Futures'!$H:$H,'Monthly NSE Equity Futures'!$A:$A,$A261))</f>
        <v>27998.483800000002</v>
      </c>
      <c r="E261" s="6">
        <f>IF(SUMIFS('Monthly BSE Equity Futures'!$H:$H,'Monthly BSE Equity Futures'!$A:$A,$A261)=0,"",SUMIFS('Monthly BSE Equity Futures'!$H:$H,'Monthly BSE Equity Futures'!$A:$A,$A261))</f>
        <v>48.3902</v>
      </c>
      <c r="F261" s="6">
        <f t="shared" si="48"/>
        <v>28046.874000000003</v>
      </c>
      <c r="G261" s="15">
        <f t="shared" si="49"/>
        <v>0.99827466690227218</v>
      </c>
      <c r="H261" s="15">
        <f t="shared" si="50"/>
        <v>1.7253330977277537E-3</v>
      </c>
      <c r="I261" s="20">
        <f t="shared" si="45"/>
        <v>-0.3202786853904197</v>
      </c>
      <c r="J261" s="15">
        <f t="shared" si="46"/>
        <v>5.3685707255572757E-2</v>
      </c>
      <c r="K261" s="15">
        <f t="shared" si="47"/>
        <v>-0.31986221030812412</v>
      </c>
      <c r="L261" s="15">
        <f t="shared" si="54"/>
        <v>-0.12590930023676905</v>
      </c>
      <c r="M261" s="15">
        <f t="shared" si="55"/>
        <v>-0.15812090718664973</v>
      </c>
      <c r="N261" s="15">
        <f t="shared" si="56"/>
        <v>-0.12596699859439819</v>
      </c>
      <c r="O261" s="18">
        <f>IF(SUMIFS('Monthly NSE Equity Futures'!$I:$I,'Monthly NSE Equity Futures'!$A:$A,$A261)=0,"",SUMIFS('Monthly NSE Equity Futures'!$I:$I,'Monthly NSE Equity Futures'!$A:$A,$A261))</f>
        <v>36464685</v>
      </c>
      <c r="P261" s="7">
        <f>IF(SUMIFS('Monthly BSE Equity Futures'!$I:$I,'Monthly BSE Equity Futures'!$A:$A,$A261)=0,"",SUMIFS('Monthly BSE Equity Futures'!$I:$I,'Monthly BSE Equity Futures'!$A:$A,$A261))</f>
        <v>30522</v>
      </c>
      <c r="Q261" s="7">
        <f t="shared" si="51"/>
        <v>36495207</v>
      </c>
      <c r="R261" s="19">
        <f t="shared" si="52"/>
        <v>0.9991636709993178</v>
      </c>
      <c r="S261" s="19">
        <f t="shared" si="53"/>
        <v>8.3632900068219922E-4</v>
      </c>
    </row>
    <row r="262" spans="1:19" x14ac:dyDescent="0.2">
      <c r="A262" s="8">
        <v>45901</v>
      </c>
      <c r="B262" s="4" t="s">
        <v>96</v>
      </c>
      <c r="C262" s="4" t="s">
        <v>194</v>
      </c>
      <c r="D262" s="14">
        <f>IF(SUMIFS('Monthly NSE Equity Futures'!$H:$H,'Monthly NSE Equity Futures'!$A:$A,$A262)=0,"",SUMIFS('Monthly NSE Equity Futures'!$H:$H,'Monthly NSE Equity Futures'!$A:$A,$A262))</f>
        <v>30237.012500000001</v>
      </c>
      <c r="E262" s="6">
        <f>IF(SUMIFS('Monthly BSE Equity Futures'!$H:$H,'Monthly BSE Equity Futures'!$A:$A,$A262)=0,"",SUMIFS('Monthly BSE Equity Futures'!$H:$H,'Monthly BSE Equity Futures'!$A:$A,$A262))</f>
        <v>52.105600000000003</v>
      </c>
      <c r="F262" s="6">
        <f t="shared" si="48"/>
        <v>30289.1181</v>
      </c>
      <c r="G262" s="15">
        <f t="shared" si="49"/>
        <v>0.99827972541729437</v>
      </c>
      <c r="H262" s="15">
        <f t="shared" si="50"/>
        <v>1.7202745827056617E-3</v>
      </c>
      <c r="I262" s="20">
        <f t="shared" si="45"/>
        <v>-0.26741456815584563</v>
      </c>
      <c r="J262" s="15">
        <f t="shared" si="46"/>
        <v>-0.10741553478221388</v>
      </c>
      <c r="K262" s="15">
        <f t="shared" si="47"/>
        <v>-0.26718859438765485</v>
      </c>
      <c r="L262" s="15">
        <f t="shared" si="54"/>
        <v>7.9951782960475892E-2</v>
      </c>
      <c r="M262" s="15">
        <f t="shared" si="55"/>
        <v>7.6780009175411612E-2</v>
      </c>
      <c r="N262" s="15">
        <f t="shared" si="56"/>
        <v>7.9946310594185777E-2</v>
      </c>
      <c r="O262" s="18">
        <f>IF(SUMIFS('Monthly NSE Equity Futures'!$I:$I,'Monthly NSE Equity Futures'!$A:$A,$A262)=0,"",SUMIFS('Monthly NSE Equity Futures'!$I:$I,'Monthly NSE Equity Futures'!$A:$A,$A262))</f>
        <v>39233940</v>
      </c>
      <c r="P262" s="7">
        <f>IF(SUMIFS('Monthly BSE Equity Futures'!$I:$I,'Monthly BSE Equity Futures'!$A:$A,$A262)=0,"",SUMIFS('Monthly BSE Equity Futures'!$I:$I,'Monthly BSE Equity Futures'!$A:$A,$A262))</f>
        <v>32308</v>
      </c>
      <c r="Q262" s="7">
        <f t="shared" si="51"/>
        <v>39266248</v>
      </c>
      <c r="R262" s="19">
        <f t="shared" si="52"/>
        <v>0.99917720684695921</v>
      </c>
      <c r="S262" s="19">
        <f t="shared" si="53"/>
        <v>8.2279315304074885E-4</v>
      </c>
    </row>
    <row r="263" spans="1:19" x14ac:dyDescent="0.2">
      <c r="A263" s="8">
        <v>45931</v>
      </c>
      <c r="B263" s="4" t="s">
        <v>96</v>
      </c>
      <c r="C263" s="4" t="s">
        <v>195</v>
      </c>
      <c r="D263" s="14">
        <f>IF(SUMIFS('Monthly NSE Equity Futures'!$H:$H,'Monthly NSE Equity Futures'!$A:$A,$A263)=0,"",SUMIFS('Monthly NSE Equity Futures'!$H:$H,'Monthly NSE Equity Futures'!$A:$A,$A263))</f>
        <v>32988.417300000001</v>
      </c>
      <c r="E263" s="6">
        <f>IF(SUMIFS('Monthly BSE Equity Futures'!$H:$H,'Monthly BSE Equity Futures'!$A:$A,$A263)=0,"",SUMIFS('Monthly BSE Equity Futures'!$H:$H,'Monthly BSE Equity Futures'!$A:$A,$A263))</f>
        <v>56.002200000000002</v>
      </c>
      <c r="F263" s="6">
        <f t="shared" si="48"/>
        <v>33044.419500000004</v>
      </c>
      <c r="G263" s="15">
        <f t="shared" si="49"/>
        <v>0.99830524485382466</v>
      </c>
      <c r="H263" s="15">
        <f t="shared" si="50"/>
        <v>1.6947551461752868E-3</v>
      </c>
      <c r="I263" s="20">
        <f t="shared" si="45"/>
        <v>-0.19626128469551885</v>
      </c>
      <c r="J263" s="15">
        <f t="shared" si="46"/>
        <v>0.41944101567153402</v>
      </c>
      <c r="K263" s="15">
        <f t="shared" si="47"/>
        <v>-0.19567000270249391</v>
      </c>
      <c r="L263" s="15">
        <f t="shared" si="54"/>
        <v>9.0994598093975032E-2</v>
      </c>
      <c r="M263" s="15">
        <f t="shared" si="55"/>
        <v>7.4782748879199223E-2</v>
      </c>
      <c r="N263" s="15">
        <f t="shared" si="56"/>
        <v>9.0966709261832257E-2</v>
      </c>
      <c r="O263" s="18">
        <f>IF(SUMIFS('Monthly NSE Equity Futures'!$I:$I,'Monthly NSE Equity Futures'!$A:$A,$A263)=0,"",SUMIFS('Monthly NSE Equity Futures'!$I:$I,'Monthly NSE Equity Futures'!$A:$A,$A263))</f>
        <v>41421186</v>
      </c>
      <c r="P263" s="7">
        <f>IF(SUMIFS('Monthly BSE Equity Futures'!$I:$I,'Monthly BSE Equity Futures'!$A:$A,$A263)=0,"",SUMIFS('Monthly BSE Equity Futures'!$I:$I,'Monthly BSE Equity Futures'!$A:$A,$A263))</f>
        <v>33737</v>
      </c>
      <c r="Q263" s="7">
        <f t="shared" si="51"/>
        <v>41454923</v>
      </c>
      <c r="R263" s="19">
        <f t="shared" si="52"/>
        <v>0.99918617627151307</v>
      </c>
      <c r="S263" s="19">
        <f t="shared" si="53"/>
        <v>8.1382372848696398E-4</v>
      </c>
    </row>
    <row r="264" spans="1:19" x14ac:dyDescent="0.2">
      <c r="A264" s="8">
        <v>45962</v>
      </c>
      <c r="B264" s="4" t="s">
        <v>96</v>
      </c>
      <c r="C264" s="4" t="s">
        <v>195</v>
      </c>
      <c r="D264" s="14">
        <f>IF(SUMIFS('Monthly NSE Equity Futures'!$H:$H,'Monthly NSE Equity Futures'!$A:$A,$A264)=0,"",SUMIFS('Monthly NSE Equity Futures'!$H:$H,'Monthly NSE Equity Futures'!$A:$A,$A264))</f>
        <v>30187.2592</v>
      </c>
      <c r="E264" s="6">
        <f>IF(SUMIFS('Monthly BSE Equity Futures'!$H:$H,'Monthly BSE Equity Futures'!$A:$A,$A264)=0,"",SUMIFS('Monthly BSE Equity Futures'!$H:$H,'Monthly BSE Equity Futures'!$A:$A,$A264))</f>
        <v>58.133699999999997</v>
      </c>
      <c r="F264" s="6">
        <f t="shared" si="48"/>
        <v>30245.392899999999</v>
      </c>
      <c r="G264" s="15">
        <f t="shared" si="49"/>
        <v>0.99807793206085282</v>
      </c>
      <c r="H264" s="15">
        <f t="shared" si="50"/>
        <v>1.9220679391471881E-3</v>
      </c>
      <c r="I264" s="20">
        <f t="shared" si="45"/>
        <v>-7.1382703465640907E-2</v>
      </c>
      <c r="J264" s="15">
        <f t="shared" si="46"/>
        <v>0.67364429908909784</v>
      </c>
      <c r="K264" s="15">
        <f t="shared" si="47"/>
        <v>-7.05874856496439E-2</v>
      </c>
      <c r="L264" s="15">
        <f t="shared" si="54"/>
        <v>-8.4913382613236221E-2</v>
      </c>
      <c r="M264" s="15">
        <f t="shared" si="55"/>
        <v>3.8061004746241967E-2</v>
      </c>
      <c r="N264" s="15">
        <f t="shared" si="56"/>
        <v>-8.4704971137411045E-2</v>
      </c>
      <c r="O264" s="18">
        <f>IF(SUMIFS('Monthly NSE Equity Futures'!$I:$I,'Monthly NSE Equity Futures'!$A:$A,$A264)=0,"",SUMIFS('Monthly NSE Equity Futures'!$I:$I,'Monthly NSE Equity Futures'!$A:$A,$A264))</f>
        <v>39029613</v>
      </c>
      <c r="P264" s="7">
        <f>IF(SUMIFS('Monthly BSE Equity Futures'!$I:$I,'Monthly BSE Equity Futures'!$A:$A,$A264)=0,"",SUMIFS('Monthly BSE Equity Futures'!$I:$I,'Monthly BSE Equity Futures'!$A:$A,$A264))</f>
        <v>34835</v>
      </c>
      <c r="Q264" s="7">
        <f t="shared" si="51"/>
        <v>39064448</v>
      </c>
      <c r="R264" s="19">
        <f t="shared" si="52"/>
        <v>0.99910826846958134</v>
      </c>
      <c r="S264" s="19">
        <f t="shared" si="53"/>
        <v>8.9173153041865582E-4</v>
      </c>
    </row>
    <row r="265" spans="1:19" x14ac:dyDescent="0.2">
      <c r="A265" s="8">
        <v>45992</v>
      </c>
      <c r="B265" s="4" t="s">
        <v>96</v>
      </c>
      <c r="C265" s="4" t="s">
        <v>195</v>
      </c>
      <c r="D265" s="14">
        <f>IF(SUMIFS('Monthly NSE Equity Futures'!$H:$H,'Monthly NSE Equity Futures'!$A:$A,$A265)=0,"",SUMIFS('Monthly NSE Equity Futures'!$H:$H,'Monthly NSE Equity Futures'!$A:$A,$A265))</f>
        <v>30905.480200000002</v>
      </c>
      <c r="E265" s="6">
        <f>IF(SUMIFS('Monthly BSE Equity Futures'!$H:$H,'Monthly BSE Equity Futures'!$A:$A,$A265)=0,"",SUMIFS('Monthly BSE Equity Futures'!$H:$H,'Monthly BSE Equity Futures'!$A:$A,$A265))</f>
        <v>50.223799999999997</v>
      </c>
      <c r="F265" s="6">
        <f t="shared" si="48"/>
        <v>30955.704000000002</v>
      </c>
      <c r="G265" s="15">
        <f t="shared" si="49"/>
        <v>0.99837755910833104</v>
      </c>
      <c r="H265" s="15">
        <f t="shared" si="50"/>
        <v>1.6224408916689472E-3</v>
      </c>
      <c r="I265" s="20">
        <f t="shared" si="45"/>
        <v>-6.2905924963808868E-2</v>
      </c>
      <c r="J265" s="15">
        <f t="shared" si="46"/>
        <v>7.2227939010174769E-2</v>
      </c>
      <c r="K265" s="15">
        <f t="shared" si="47"/>
        <v>-6.2714270930262717E-2</v>
      </c>
      <c r="L265" s="15">
        <f t="shared" si="54"/>
        <v>2.3792189785815321E-2</v>
      </c>
      <c r="M265" s="15">
        <f t="shared" si="55"/>
        <v>-0.13606393537655437</v>
      </c>
      <c r="N265" s="15">
        <f t="shared" si="56"/>
        <v>2.3484935452764422E-2</v>
      </c>
      <c r="O265" s="18">
        <f>IF(SUMIFS('Monthly NSE Equity Futures'!$I:$I,'Monthly NSE Equity Futures'!$A:$A,$A265)=0,"",SUMIFS('Monthly NSE Equity Futures'!$I:$I,'Monthly NSE Equity Futures'!$A:$A,$A265))</f>
        <v>40265451</v>
      </c>
      <c r="P265" s="7">
        <f>IF(SUMIFS('Monthly BSE Equity Futures'!$I:$I,'Monthly BSE Equity Futures'!$A:$A,$A265)=0,"",SUMIFS('Monthly BSE Equity Futures'!$I:$I,'Monthly BSE Equity Futures'!$A:$A,$A265))</f>
        <v>29738</v>
      </c>
      <c r="Q265" s="7">
        <f t="shared" si="51"/>
        <v>40295189</v>
      </c>
      <c r="R265" s="19">
        <f t="shared" si="52"/>
        <v>0.99926199626461609</v>
      </c>
      <c r="S265" s="19">
        <f t="shared" si="53"/>
        <v>7.3800373538389407E-4</v>
      </c>
    </row>
    <row r="266" spans="1:19" x14ac:dyDescent="0.2">
      <c r="A266" s="8">
        <v>46023</v>
      </c>
      <c r="B266" s="4" t="s">
        <v>96</v>
      </c>
      <c r="C266" s="4" t="s">
        <v>196</v>
      </c>
      <c r="D266" s="14">
        <f>IF(SUMIFS('Monthly NSE Equity Futures'!$H:$H,'Monthly NSE Equity Futures'!$A:$A,$A266)=0,"",SUMIFS('Monthly NSE Equity Futures'!$H:$H,'Monthly NSE Equity Futures'!$A:$A,$A266))</f>
        <v>36130.489300000001</v>
      </c>
      <c r="E266" s="6">
        <f>IF(SUMIFS('Monthly BSE Equity Futures'!$H:$H,'Monthly BSE Equity Futures'!$A:$A,$A266)=0,"",SUMIFS('Monthly BSE Equity Futures'!$H:$H,'Monthly BSE Equity Futures'!$A:$A,$A266))</f>
        <v>64.911600000000007</v>
      </c>
      <c r="F266" s="6">
        <f t="shared" si="48"/>
        <v>36195.400900000001</v>
      </c>
      <c r="G266" s="15">
        <f t="shared" si="49"/>
        <v>0.99820663403675691</v>
      </c>
      <c r="H266" s="15">
        <f t="shared" si="50"/>
        <v>1.7933659632431371E-3</v>
      </c>
      <c r="I266" s="20">
        <f t="shared" si="45"/>
        <v>-4.7812773863772251E-2</v>
      </c>
      <c r="J266" s="15">
        <f t="shared" si="46"/>
        <v>0.11431823292814203</v>
      </c>
      <c r="K266" s="15">
        <f t="shared" si="47"/>
        <v>-4.7564253802224399E-2</v>
      </c>
      <c r="L266" s="15">
        <f t="shared" si="54"/>
        <v>0.16906416163693838</v>
      </c>
      <c r="M266" s="15">
        <f t="shared" si="55"/>
        <v>0.29244700719579186</v>
      </c>
      <c r="N266" s="15">
        <f t="shared" si="56"/>
        <v>0.16926434301090354</v>
      </c>
      <c r="O266" s="18">
        <f>IF(SUMIFS('Monthly NSE Equity Futures'!$I:$I,'Monthly NSE Equity Futures'!$A:$A,$A266)=0,"",SUMIFS('Monthly NSE Equity Futures'!$I:$I,'Monthly NSE Equity Futures'!$A:$A,$A266))</f>
        <v>48468698</v>
      </c>
      <c r="P266" s="7">
        <f>IF(SUMIFS('Monthly BSE Equity Futures'!$I:$I,'Monthly BSE Equity Futures'!$A:$A,$A266)=0,"",SUMIFS('Monthly BSE Equity Futures'!$I:$I,'Monthly BSE Equity Futures'!$A:$A,$A266))</f>
        <v>38899</v>
      </c>
      <c r="Q266" s="7">
        <f t="shared" si="51"/>
        <v>48507597</v>
      </c>
      <c r="R266" s="19">
        <f t="shared" si="52"/>
        <v>0.99919808437428881</v>
      </c>
      <c r="S266" s="19">
        <f t="shared" si="53"/>
        <v>8.0191562571116435E-4</v>
      </c>
    </row>
    <row r="267" spans="1:19" x14ac:dyDescent="0.2">
      <c r="A267" s="8">
        <v>46054</v>
      </c>
      <c r="B267" s="4" t="s">
        <v>96</v>
      </c>
      <c r="C267" s="4" t="s">
        <v>196</v>
      </c>
      <c r="D267" s="14">
        <f>IF(SUMIFS('Monthly NSE Equity Futures'!$H:$H,'Monthly NSE Equity Futures'!$A:$A,$A267)=0,"",SUMIFS('Monthly NSE Equity Futures'!$H:$H,'Monthly NSE Equity Futures'!$A:$A,$A267))</f>
        <v>35642.1106</v>
      </c>
      <c r="E267" s="6">
        <f>IF(SUMIFS('Monthly BSE Equity Futures'!$H:$H,'Monthly BSE Equity Futures'!$A:$A,$A267)=0,"",SUMIFS('Monthly BSE Equity Futures'!$H:$H,'Monthly BSE Equity Futures'!$A:$A,$A267))</f>
        <v>72.385199999999998</v>
      </c>
      <c r="F267" s="6">
        <f t="shared" si="48"/>
        <v>35714.495799999997</v>
      </c>
      <c r="G267" s="15">
        <f t="shared" si="49"/>
        <v>0.99797322632229357</v>
      </c>
      <c r="H267" s="15">
        <f t="shared" si="50"/>
        <v>2.0267736777065185E-3</v>
      </c>
      <c r="I267" s="20">
        <f t="shared" si="45"/>
        <v>0.11636167951492382</v>
      </c>
      <c r="J267" s="15">
        <f t="shared" si="46"/>
        <v>0.43848332190657868</v>
      </c>
      <c r="K267" s="15">
        <f t="shared" si="47"/>
        <v>0.1168685796447444</v>
      </c>
      <c r="L267" s="15">
        <f t="shared" si="54"/>
        <v>-1.3517079604011939E-2</v>
      </c>
      <c r="M267" s="15">
        <f t="shared" si="55"/>
        <v>0.11513504519993334</v>
      </c>
      <c r="N267" s="15">
        <f t="shared" si="56"/>
        <v>-1.3286359262289715E-2</v>
      </c>
      <c r="O267" s="18">
        <f>IF(SUMIFS('Monthly NSE Equity Futures'!$I:$I,'Monthly NSE Equity Futures'!$A:$A,$A267)=0,"",SUMIFS('Monthly NSE Equity Futures'!$I:$I,'Monthly NSE Equity Futures'!$A:$A,$A267))</f>
        <v>47664176</v>
      </c>
      <c r="P267" s="7">
        <f>IF(SUMIFS('Monthly BSE Equity Futures'!$I:$I,'Monthly BSE Equity Futures'!$A:$A,$A267)=0,"",SUMIFS('Monthly BSE Equity Futures'!$I:$I,'Monthly BSE Equity Futures'!$A:$A,$A267))</f>
        <v>43547</v>
      </c>
      <c r="Q267" s="7">
        <f t="shared" si="51"/>
        <v>47707723</v>
      </c>
      <c r="R267" s="19">
        <f t="shared" si="52"/>
        <v>0.99908721277684953</v>
      </c>
      <c r="S267" s="19">
        <f t="shared" si="53"/>
        <v>9.1278722315043203E-4</v>
      </c>
    </row>
    <row r="268" spans="1:19" x14ac:dyDescent="0.2">
      <c r="A268" s="8">
        <v>46082</v>
      </c>
      <c r="B268" s="4" t="s">
        <v>96</v>
      </c>
      <c r="C268" s="4" t="s">
        <v>196</v>
      </c>
      <c r="D268" s="14">
        <f>IF(SUMIFS('Monthly NSE Equity Futures'!$H:$H,'Monthly NSE Equity Futures'!$A:$A,$A268)=0,"",SUMIFS('Monthly NSE Equity Futures'!$H:$H,'Monthly NSE Equity Futures'!$A:$A,$A268))</f>
        <v>34961.850400000003</v>
      </c>
      <c r="E268" s="6">
        <f>IF(SUMIFS('Monthly BSE Equity Futures'!$H:$H,'Monthly BSE Equity Futures'!$A:$A,$A268)=0,"",SUMIFS('Monthly BSE Equity Futures'!$H:$H,'Monthly BSE Equity Futures'!$A:$A,$A268))</f>
        <v>147.71420000000001</v>
      </c>
      <c r="F268" s="6">
        <f t="shared" si="48"/>
        <v>35109.564600000005</v>
      </c>
      <c r="G268" s="15">
        <f t="shared" si="49"/>
        <v>0.9957927646872613</v>
      </c>
      <c r="H268" s="15">
        <f t="shared" si="50"/>
        <v>4.2072353127386823E-3</v>
      </c>
      <c r="I268" s="20">
        <f t="shared" si="45"/>
        <v>0.17447554145059119</v>
      </c>
      <c r="J268" s="15">
        <f t="shared" si="46"/>
        <v>2.4069206658194391</v>
      </c>
      <c r="K268" s="15">
        <f t="shared" si="47"/>
        <v>0.17772236357432591</v>
      </c>
      <c r="L268" s="15">
        <f t="shared" si="54"/>
        <v>-1.9085856268006629E-2</v>
      </c>
      <c r="M268" s="15">
        <f t="shared" si="55"/>
        <v>1.0406685344517941</v>
      </c>
      <c r="N268" s="15">
        <f t="shared" si="56"/>
        <v>-1.6937973964061714E-2</v>
      </c>
      <c r="O268" s="18">
        <f>IF(SUMIFS('Monthly NSE Equity Futures'!$I:$I,'Monthly NSE Equity Futures'!$A:$A,$A268)=0,"",SUMIFS('Monthly NSE Equity Futures'!$I:$I,'Monthly NSE Equity Futures'!$A:$A,$A268))</f>
        <v>48821872</v>
      </c>
      <c r="P268" s="7">
        <f>IF(SUMIFS('Monthly BSE Equity Futures'!$I:$I,'Monthly BSE Equity Futures'!$A:$A,$A268)=0,"",SUMIFS('Monthly BSE Equity Futures'!$I:$I,'Monthly BSE Equity Futures'!$A:$A,$A268))</f>
        <v>97793</v>
      </c>
      <c r="Q268" s="7">
        <f t="shared" si="51"/>
        <v>48919665</v>
      </c>
      <c r="R268" s="19">
        <f t="shared" si="52"/>
        <v>0.9980009470629041</v>
      </c>
      <c r="S268" s="19">
        <f t="shared" si="53"/>
        <v>1.999052937095951E-3</v>
      </c>
    </row>
    <row r="269" spans="1:19" x14ac:dyDescent="0.2">
      <c r="A269" s="8">
        <v>46113</v>
      </c>
      <c r="B269" s="4" t="s">
        <v>97</v>
      </c>
      <c r="C269" s="4" t="s">
        <v>197</v>
      </c>
      <c r="D269" s="14">
        <f>IF(SUMIFS('Monthly NSE Equity Futures'!$H:$H,'Monthly NSE Equity Futures'!$A:$A,$A269)=0,"",SUMIFS('Monthly NSE Equity Futures'!$H:$H,'Monthly NSE Equity Futures'!$A:$A,$A269))</f>
        <v>31454.2896</v>
      </c>
      <c r="E269" s="6">
        <f>IF(SUMIFS('Monthly BSE Equity Futures'!$H:$H,'Monthly BSE Equity Futures'!$A:$A,$A269)=0,"",SUMIFS('Monthly BSE Equity Futures'!$H:$H,'Monthly BSE Equity Futures'!$A:$A,$A269))</f>
        <v>103.82089999999999</v>
      </c>
      <c r="F269" s="6">
        <f t="shared" si="48"/>
        <v>31558.110499999999</v>
      </c>
      <c r="G269" s="15">
        <f t="shared" si="49"/>
        <v>0.99671016742272955</v>
      </c>
      <c r="H269" s="15">
        <f t="shared" si="50"/>
        <v>3.2898325772704293E-3</v>
      </c>
      <c r="I269" s="20">
        <f t="shared" si="45"/>
        <v>-6.8538497142841992E-2</v>
      </c>
      <c r="J269" s="15">
        <f t="shared" si="46"/>
        <v>0.65632179140289959</v>
      </c>
      <c r="K269" s="15">
        <f t="shared" si="47"/>
        <v>-6.719550330572055E-2</v>
      </c>
      <c r="L269" s="15">
        <f t="shared" si="54"/>
        <v>-0.1003253763708114</v>
      </c>
      <c r="M269" s="15">
        <f t="shared" si="55"/>
        <v>-0.29715017242756625</v>
      </c>
      <c r="N269" s="15">
        <f t="shared" si="56"/>
        <v>-0.10115346460320407</v>
      </c>
      <c r="O269" s="18">
        <f>IF(SUMIFS('Monthly NSE Equity Futures'!$I:$I,'Monthly NSE Equity Futures'!$A:$A,$A269)=0,"",SUMIFS('Monthly NSE Equity Futures'!$I:$I,'Monthly NSE Equity Futures'!$A:$A,$A269))</f>
        <v>44137173</v>
      </c>
      <c r="P269" s="7">
        <f>IF(SUMIFS('Monthly BSE Equity Futures'!$I:$I,'Monthly BSE Equity Futures'!$A:$A,$A269)=0,"",SUMIFS('Monthly BSE Equity Futures'!$I:$I,'Monthly BSE Equity Futures'!$A:$A,$A269))</f>
        <v>67887</v>
      </c>
      <c r="Q269" s="7">
        <f t="shared" si="51"/>
        <v>44205060</v>
      </c>
      <c r="R269" s="19">
        <f t="shared" si="52"/>
        <v>0.99846427083234368</v>
      </c>
      <c r="S269" s="19">
        <f t="shared" si="53"/>
        <v>1.5357291676563723E-3</v>
      </c>
    </row>
    <row r="270" spans="1:19" x14ac:dyDescent="0.2">
      <c r="A270" s="8">
        <v>46143</v>
      </c>
      <c r="B270" s="4" t="s">
        <v>97</v>
      </c>
      <c r="C270" s="4" t="s">
        <v>197</v>
      </c>
      <c r="D270" s="14">
        <f>IF(SUMIFS('Monthly NSE Equity Futures'!$H:$H,'Monthly NSE Equity Futures'!$A:$A,$A270)=0,"",SUMIFS('Monthly NSE Equity Futures'!$H:$H,'Monthly NSE Equity Futures'!$A:$A,$A270))</f>
        <v>29970.6446</v>
      </c>
      <c r="E270" s="6">
        <f>IF(SUMIFS('Monthly BSE Equity Futures'!$H:$H,'Monthly BSE Equity Futures'!$A:$A,$A270)=0,"",SUMIFS('Monthly BSE Equity Futures'!$H:$H,'Monthly BSE Equity Futures'!$A:$A,$A270))</f>
        <v>74.373599999999996</v>
      </c>
      <c r="F270" s="6">
        <f t="shared" si="48"/>
        <v>30045.018199999999</v>
      </c>
      <c r="G270" s="15">
        <f t="shared" si="49"/>
        <v>0.99752459460983123</v>
      </c>
      <c r="H270" s="15">
        <f t="shared" si="50"/>
        <v>2.47540539016881E-3</v>
      </c>
      <c r="I270" s="20">
        <f t="shared" ref="I270:I333" si="57">IF(OR(D270="",D258=""),"",D270/D258-1)</f>
        <v>-0.15187725074718594</v>
      </c>
      <c r="J270" s="15">
        <f t="shared" ref="J270:J333" si="58">IF(OR(E270="",E258=""),"",E270/E258-1)</f>
        <v>-7.1672593511633909E-2</v>
      </c>
      <c r="K270" s="15">
        <f t="shared" ref="K270:K333" si="59">IF(OR(F270="",F258=""),"",F270/F258-1)</f>
        <v>-0.15169582607324794</v>
      </c>
      <c r="L270" s="15">
        <f t="shared" si="54"/>
        <v>-4.7168288296042138E-2</v>
      </c>
      <c r="M270" s="15">
        <f t="shared" si="55"/>
        <v>-0.28363556856085814</v>
      </c>
      <c r="N270" s="15">
        <f t="shared" si="56"/>
        <v>-4.7946226058115826E-2</v>
      </c>
      <c r="O270" s="18">
        <f>IF(SUMIFS('Monthly NSE Equity Futures'!$I:$I,'Monthly NSE Equity Futures'!$A:$A,$A270)=0,"",SUMIFS('Monthly NSE Equity Futures'!$I:$I,'Monthly NSE Equity Futures'!$A:$A,$A270))</f>
        <v>42166590</v>
      </c>
      <c r="P270" s="7">
        <f>IF(SUMIFS('Monthly BSE Equity Futures'!$I:$I,'Monthly BSE Equity Futures'!$A:$A,$A270)=0,"",SUMIFS('Monthly BSE Equity Futures'!$I:$I,'Monthly BSE Equity Futures'!$A:$A,$A270))</f>
        <v>48712</v>
      </c>
      <c r="Q270" s="7">
        <f t="shared" si="51"/>
        <v>42215302</v>
      </c>
      <c r="R270" s="19">
        <f t="shared" si="52"/>
        <v>0.99884610561355214</v>
      </c>
      <c r="S270" s="19">
        <f t="shared" si="53"/>
        <v>1.1538943864478335E-3</v>
      </c>
    </row>
    <row r="271" spans="1:19" x14ac:dyDescent="0.2">
      <c r="A271" s="8">
        <v>46174</v>
      </c>
      <c r="B271" s="4" t="s">
        <v>97</v>
      </c>
      <c r="C271" s="4" t="s">
        <v>197</v>
      </c>
      <c r="D271" s="14">
        <f>IF(SUMIFS('Monthly NSE Equity Futures'!$H:$H,'Monthly NSE Equity Futures'!$A:$A,$A271)=0,"",SUMIFS('Monthly NSE Equity Futures'!$H:$H,'Monthly NSE Equity Futures'!$A:$A,$A271))</f>
        <v>30422.4038</v>
      </c>
      <c r="E271" s="6">
        <f>IF(SUMIFS('Monthly BSE Equity Futures'!$H:$H,'Monthly BSE Equity Futures'!$A:$A,$A271)=0,"",SUMIFS('Monthly BSE Equity Futures'!$H:$H,'Monthly BSE Equity Futures'!$A:$A,$A271))</f>
        <v>75.819999999999993</v>
      </c>
      <c r="F271" s="6">
        <f t="shared" si="48"/>
        <v>30498.2238</v>
      </c>
      <c r="G271" s="15">
        <f t="shared" si="49"/>
        <v>0.99751395358309358</v>
      </c>
      <c r="H271" s="15">
        <f t="shared" si="50"/>
        <v>2.4860464169064165E-3</v>
      </c>
      <c r="I271" s="20">
        <f t="shared" si="57"/>
        <v>-9.5532411887669144E-2</v>
      </c>
      <c r="J271" s="15">
        <f t="shared" si="58"/>
        <v>-0.20278929117432443</v>
      </c>
      <c r="K271" s="15">
        <f t="shared" si="59"/>
        <v>-9.5834830863817055E-2</v>
      </c>
      <c r="L271" s="15">
        <f t="shared" si="54"/>
        <v>1.5073389512616719E-2</v>
      </c>
      <c r="M271" s="15">
        <f t="shared" si="55"/>
        <v>1.9447761033484889E-2</v>
      </c>
      <c r="N271" s="15">
        <f t="shared" si="56"/>
        <v>1.5084217855457993E-2</v>
      </c>
      <c r="O271" s="18">
        <f>IF(SUMIFS('Monthly NSE Equity Futures'!$I:$I,'Monthly NSE Equity Futures'!$A:$A,$A271)=0,"",SUMIFS('Monthly NSE Equity Futures'!$I:$I,'Monthly NSE Equity Futures'!$A:$A,$A271))</f>
        <v>42486940</v>
      </c>
      <c r="P271" s="7">
        <f>IF(SUMIFS('Monthly BSE Equity Futures'!$I:$I,'Monthly BSE Equity Futures'!$A:$A,$A271)=0,"",SUMIFS('Monthly BSE Equity Futures'!$I:$I,'Monthly BSE Equity Futures'!$A:$A,$A271))</f>
        <v>50000</v>
      </c>
      <c r="Q271" s="7">
        <f t="shared" si="51"/>
        <v>42536940</v>
      </c>
      <c r="R271" s="19">
        <f t="shared" si="52"/>
        <v>0.99882455108430457</v>
      </c>
      <c r="S271" s="19">
        <f t="shared" si="53"/>
        <v>1.1754489156953932E-3</v>
      </c>
    </row>
    <row r="272" spans="1:19" x14ac:dyDescent="0.2">
      <c r="A272" s="8">
        <v>46204</v>
      </c>
      <c r="B272" s="4" t="s">
        <v>97</v>
      </c>
      <c r="C272" s="4" t="s">
        <v>198</v>
      </c>
      <c r="D272" s="14">
        <f>IF(SUMIFS('Monthly NSE Equity Futures'!$H:$H,'Monthly NSE Equity Futures'!$A:$A,$A272)=0,"",SUMIFS('Monthly NSE Equity Futures'!$H:$H,'Monthly NSE Equity Futures'!$A:$A,$A272))</f>
        <v>31116.280699999999</v>
      </c>
      <c r="E272" s="6">
        <f>IF(SUMIFS('Monthly BSE Equity Futures'!$H:$H,'Monthly BSE Equity Futures'!$A:$A,$A272)=0,"",SUMIFS('Monthly BSE Equity Futures'!$H:$H,'Monthly BSE Equity Futures'!$A:$A,$A272))</f>
        <v>58.195</v>
      </c>
      <c r="F272" s="6">
        <f t="shared" si="48"/>
        <v>31174.475699999999</v>
      </c>
      <c r="G272" s="15">
        <f t="shared" si="49"/>
        <v>0.99813324847673379</v>
      </c>
      <c r="H272" s="15">
        <f t="shared" si="50"/>
        <v>1.8667515232661956E-3</v>
      </c>
      <c r="I272" s="20">
        <f t="shared" si="57"/>
        <v>-2.8574126892824236E-2</v>
      </c>
      <c r="J272" s="15">
        <f t="shared" si="58"/>
        <v>1.2460246212516735E-2</v>
      </c>
      <c r="K272" s="15">
        <f t="shared" si="59"/>
        <v>-2.8500624942480401E-2</v>
      </c>
      <c r="L272" s="15">
        <f t="shared" si="54"/>
        <v>2.2808089214830574E-2</v>
      </c>
      <c r="M272" s="15">
        <f t="shared" si="55"/>
        <v>-0.23245845423371136</v>
      </c>
      <c r="N272" s="15">
        <f t="shared" si="56"/>
        <v>2.2173484739134164E-2</v>
      </c>
      <c r="O272" s="18">
        <f>IF(SUMIFS('Monthly NSE Equity Futures'!$I:$I,'Monthly NSE Equity Futures'!$A:$A,$A272)=0,"",SUMIFS('Monthly NSE Equity Futures'!$I:$I,'Monthly NSE Equity Futures'!$A:$A,$A272))</f>
        <v>42789470</v>
      </c>
      <c r="P272" s="7">
        <f>IF(SUMIFS('Monthly BSE Equity Futures'!$I:$I,'Monthly BSE Equity Futures'!$A:$A,$A272)=0,"",SUMIFS('Monthly BSE Equity Futures'!$I:$I,'Monthly BSE Equity Futures'!$A:$A,$A272))</f>
        <v>37530</v>
      </c>
      <c r="Q272" s="7">
        <f t="shared" si="51"/>
        <v>42827000</v>
      </c>
      <c r="R272" s="19">
        <f t="shared" si="52"/>
        <v>0.99912368365750581</v>
      </c>
      <c r="S272" s="19">
        <f t="shared" si="53"/>
        <v>8.7631634249422095E-4</v>
      </c>
    </row>
    <row r="273" spans="1:19" x14ac:dyDescent="0.2">
      <c r="A273" s="8">
        <v>46235</v>
      </c>
      <c r="B273" s="4" t="s">
        <v>97</v>
      </c>
      <c r="C273" s="4" t="s">
        <v>198</v>
      </c>
      <c r="D273" s="14">
        <f>IF(SUMIFS('Monthly NSE Equity Futures'!$H:$H,'Monthly NSE Equity Futures'!$A:$A,$A273)=0,"",SUMIFS('Monthly NSE Equity Futures'!$H:$H,'Monthly NSE Equity Futures'!$A:$A,$A273))</f>
        <v>13601.713599999999</v>
      </c>
      <c r="E273" s="6">
        <f>IF(SUMIFS('Monthly BSE Equity Futures'!$H:$H,'Monthly BSE Equity Futures'!$A:$A,$A273)=0,"",SUMIFS('Monthly BSE Equity Futures'!$H:$H,'Monthly BSE Equity Futures'!$A:$A,$A273))</f>
        <v>27.3218</v>
      </c>
      <c r="F273" s="6">
        <f t="shared" si="48"/>
        <v>13629.035399999999</v>
      </c>
      <c r="G273" s="15">
        <f t="shared" si="49"/>
        <v>0.99799532401243896</v>
      </c>
      <c r="H273" s="15">
        <f t="shared" si="50"/>
        <v>2.0046759875610859E-3</v>
      </c>
      <c r="I273" s="20">
        <f t="shared" si="57"/>
        <v>-0.514198208118684</v>
      </c>
      <c r="J273" s="15">
        <f t="shared" si="58"/>
        <v>-0.43538567726523136</v>
      </c>
      <c r="K273" s="15">
        <f t="shared" si="59"/>
        <v>-0.51406223025068687</v>
      </c>
      <c r="L273" s="15">
        <f t="shared" si="54"/>
        <v>-0.56287469793907596</v>
      </c>
      <c r="M273" s="15">
        <f t="shared" si="55"/>
        <v>-0.5305129306641464</v>
      </c>
      <c r="N273" s="15">
        <f t="shared" si="56"/>
        <v>-0.56281428656071997</v>
      </c>
      <c r="O273" s="18">
        <f>IF(SUMIFS('Monthly NSE Equity Futures'!$I:$I,'Monthly NSE Equity Futures'!$A:$A,$A273)=0,"",SUMIFS('Monthly NSE Equity Futures'!$I:$I,'Monthly NSE Equity Futures'!$A:$A,$A273))</f>
        <v>18287653</v>
      </c>
      <c r="P273" s="7">
        <f>IF(SUMIFS('Monthly BSE Equity Futures'!$I:$I,'Monthly BSE Equity Futures'!$A:$A,$A273)=0,"",SUMIFS('Monthly BSE Equity Futures'!$I:$I,'Monthly BSE Equity Futures'!$A:$A,$A273))</f>
        <v>17438</v>
      </c>
      <c r="Q273" s="7">
        <f t="shared" si="51"/>
        <v>18305091</v>
      </c>
      <c r="R273" s="19">
        <f t="shared" si="52"/>
        <v>0.9990473688440008</v>
      </c>
      <c r="S273" s="19">
        <f t="shared" si="53"/>
        <v>9.5263115599916986E-4</v>
      </c>
    </row>
    <row r="275" spans="1:19" x14ac:dyDescent="0.2">
      <c r="A275" s="1" t="s">
        <v>209</v>
      </c>
    </row>
    <row r="276" spans="1:19" x14ac:dyDescent="0.2">
      <c r="A276" s="4" t="s">
        <v>210</v>
      </c>
      <c r="B276" s="5">
        <f>COUNTIF('Daily NSE Equity Futures'!$A:$A,"&gt;="&amp;DATE(2026,8,1))</f>
        <v>14</v>
      </c>
    </row>
    <row r="277" spans="1:19" x14ac:dyDescent="0.2">
      <c r="A277" s="4" t="s">
        <v>211</v>
      </c>
      <c r="B277" s="9">
        <f>DATE(2025,8,1)</f>
        <v>45870</v>
      </c>
      <c r="C277" s="9">
        <f>INDEX('Daily NSE Equity Futures'!$A:$A,COUNTIF('Daily NSE Equity Futures'!$A:$A,"&lt;"&amp;DATE(2025,8,1))+1+$B276)</f>
        <v>45890</v>
      </c>
    </row>
    <row r="278" spans="1:19" x14ac:dyDescent="0.2">
      <c r="D278" s="2" t="s">
        <v>61</v>
      </c>
      <c r="E278" s="2" t="s">
        <v>62</v>
      </c>
      <c r="F278" s="2" t="s">
        <v>63</v>
      </c>
      <c r="G278" s="2" t="s">
        <v>64</v>
      </c>
      <c r="H278" s="2" t="s">
        <v>65</v>
      </c>
      <c r="O278" s="3" t="s">
        <v>69</v>
      </c>
      <c r="P278" s="3" t="s">
        <v>70</v>
      </c>
      <c r="Q278" s="3" t="s">
        <v>71</v>
      </c>
      <c r="R278" s="3" t="s">
        <v>72</v>
      </c>
      <c r="S278" s="3" t="s">
        <v>73</v>
      </c>
    </row>
    <row r="279" spans="1:19" x14ac:dyDescent="0.2">
      <c r="A279" s="4" t="s">
        <v>212</v>
      </c>
      <c r="D279" s="6">
        <f>SUMIFS('Daily NSE Equity Futures'!$I:$I,'Daily NSE Equity Futures'!$A:$A,"&gt;="&amp;$B$277,'Daily NSE Equity Futures'!$A:$A,"&lt;="&amp;$C$277)</f>
        <v>13681.523500000001</v>
      </c>
      <c r="E279" s="6">
        <f>SUMIFS('Daily BSE Equity Futures'!$I:$I,'Daily BSE Equity Futures'!$A:$A,"&gt;="&amp;$B$277,'Daily BSE Equity Futures'!$A:$A,"&lt;="&amp;$C$277)</f>
        <v>34.6601</v>
      </c>
      <c r="F279" s="6">
        <f>D279+E279</f>
        <v>13716.1836</v>
      </c>
      <c r="G279" s="15">
        <f>IF(F279=0,"",D279/F279)</f>
        <v>0.99747305073985748</v>
      </c>
      <c r="H279" s="15">
        <f>IF(F279=0,"",E279/F279)</f>
        <v>2.5269492601425951E-3</v>
      </c>
      <c r="O279" s="7">
        <f>SUMIFS('Daily NSE Equity Futures'!$J:$J,'Daily NSE Equity Futures'!$A:$A,"&gt;="&amp;$B$277,'Daily NSE Equity Futures'!$A:$A,"&lt;="&amp;$C$277)</f>
        <v>17428332</v>
      </c>
      <c r="P279" s="7">
        <f>SUMIFS('Daily BSE Equity Futures'!$J:$J,'Daily BSE Equity Futures'!$A:$A,"&gt;="&amp;$B$277,'Daily BSE Equity Futures'!$A:$A,"&lt;="&amp;$C$277)</f>
        <v>21873</v>
      </c>
      <c r="Q279" s="7">
        <f>O279+P279</f>
        <v>17450205</v>
      </c>
      <c r="R279" s="19">
        <f>IF(Q279=0,"",O279/Q279)</f>
        <v>0.99874654767666049</v>
      </c>
      <c r="S279" s="19">
        <f>IF(Q279=0,"",P279/Q279)</f>
        <v>1.253452323339468E-3</v>
      </c>
    </row>
    <row r="280" spans="1:19" x14ac:dyDescent="0.2">
      <c r="A280" s="4" t="s">
        <v>213</v>
      </c>
      <c r="D280" s="6">
        <f>SUMIFS('Daily NSE Equity Futures'!$I:$I,'Daily NSE Equity Futures'!$A:$A,"&gt;="&amp;DATE(2026,8,1))</f>
        <v>13601.713599999999</v>
      </c>
      <c r="E280" s="6">
        <f>SUMIFS('Daily BSE Equity Futures'!$I:$I,'Daily BSE Equity Futures'!$A:$A,"&gt;="&amp;DATE(2026,8,1))</f>
        <v>27.3218</v>
      </c>
      <c r="F280" s="6">
        <f>D280+E280</f>
        <v>13629.035399999999</v>
      </c>
      <c r="G280" s="15">
        <f>IF(F280=0,"",D280/F280)</f>
        <v>0.99799532401243896</v>
      </c>
      <c r="H280" s="15">
        <f>IF(F280=0,"",E280/F280)</f>
        <v>2.0046759875610859E-3</v>
      </c>
      <c r="O280" s="7">
        <f>SUMIFS('Daily NSE Equity Futures'!$J:$J,'Daily NSE Equity Futures'!$A:$A,"&gt;="&amp;DATE(2026,8,1))</f>
        <v>18287653</v>
      </c>
      <c r="P280" s="7">
        <f>SUMIFS('Daily BSE Equity Futures'!$J:$J,'Daily BSE Equity Futures'!$A:$A,"&gt;="&amp;DATE(2026,8,1))</f>
        <v>17438</v>
      </c>
      <c r="Q280" s="7">
        <f>O280+P280</f>
        <v>18305091</v>
      </c>
      <c r="R280" s="19">
        <f>IF(Q280=0,"",O280/Q280)</f>
        <v>0.9990473688440008</v>
      </c>
      <c r="S280" s="19">
        <f>IF(Q280=0,"",P280/Q280)</f>
        <v>9.5263115599916986E-4</v>
      </c>
    </row>
    <row r="281" spans="1:19" x14ac:dyDescent="0.2">
      <c r="A281" s="1" t="s">
        <v>214</v>
      </c>
      <c r="D281" s="15">
        <f>IF(OR(D279=0,D279=""),"",D280/D279-1)</f>
        <v>-5.833407368704413E-3</v>
      </c>
      <c r="E281" s="15">
        <f>IF(OR(E279=0,E279=""),"",E280/E279-1)</f>
        <v>-0.21172183577081427</v>
      </c>
      <c r="F281" s="15">
        <f>IF(OR(F279=0,F279=""),"",F280/F279-1)</f>
        <v>-6.3536769805269122E-3</v>
      </c>
      <c r="O281" s="19">
        <f>IF(OR(O279=0,O279=""),"",O280/O279-1)</f>
        <v>4.9305980629701152E-2</v>
      </c>
      <c r="P281" s="19">
        <f>IF(OR(P279=0,P279=""),"",P280/P279-1)</f>
        <v>-0.20276139532757276</v>
      </c>
      <c r="Q281" s="19">
        <f>IF(OR(Q279=0,Q279=""),"",Q280/Q279-1)</f>
        <v>4.8990026191669367E-2</v>
      </c>
    </row>
  </sheetData>
  <conditionalFormatting sqref="G2:G273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H2:H273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R2:R273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S2:S273">
    <cfRule type="colorScale" priority="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59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4" width="14" customWidth="1"/>
    <col min="5" max="7" width="22" customWidth="1"/>
    <col min="8" max="9" width="16" customWidth="1"/>
    <col min="10" max="15" width="14" customWidth="1"/>
    <col min="16" max="18" width="22" customWidth="1"/>
    <col min="19" max="20" width="16" customWidth="1"/>
  </cols>
  <sheetData>
    <row r="1" spans="1:20" x14ac:dyDescent="0.2">
      <c r="A1" s="1" t="s">
        <v>215</v>
      </c>
      <c r="B1" s="1" t="s">
        <v>216</v>
      </c>
      <c r="C1" s="1" t="s">
        <v>217</v>
      </c>
      <c r="D1" s="1" t="s">
        <v>104</v>
      </c>
      <c r="E1" s="12" t="s">
        <v>61</v>
      </c>
      <c r="F1" s="2" t="s">
        <v>62</v>
      </c>
      <c r="G1" s="2" t="s">
        <v>63</v>
      </c>
      <c r="H1" s="2" t="s">
        <v>64</v>
      </c>
      <c r="I1" s="2" t="s">
        <v>65</v>
      </c>
      <c r="J1" s="12" t="s">
        <v>66</v>
      </c>
      <c r="K1" s="2" t="s">
        <v>67</v>
      </c>
      <c r="L1" s="2" t="s">
        <v>68</v>
      </c>
      <c r="M1" s="2" t="s">
        <v>218</v>
      </c>
      <c r="N1" s="2" t="s">
        <v>219</v>
      </c>
      <c r="O1" s="2" t="s">
        <v>220</v>
      </c>
      <c r="P1" s="13" t="s">
        <v>69</v>
      </c>
      <c r="Q1" s="3" t="s">
        <v>70</v>
      </c>
      <c r="R1" s="3" t="s">
        <v>71</v>
      </c>
      <c r="S1" s="3" t="s">
        <v>72</v>
      </c>
      <c r="T1" s="3" t="s">
        <v>73</v>
      </c>
    </row>
    <row r="2" spans="1:20" x14ac:dyDescent="0.2">
      <c r="A2" s="9">
        <v>43922</v>
      </c>
      <c r="B2" s="4" t="s">
        <v>221</v>
      </c>
      <c r="C2" s="8">
        <v>43922</v>
      </c>
      <c r="D2" s="4" t="s">
        <v>173</v>
      </c>
      <c r="E2" s="14">
        <f>IF(SUMIFS('Daily NSE Equity Futures'!$I:$I,'Daily NSE Equity Futures'!$A:$A,$A2)=0,"",SUMIFS('Daily NSE Equity Futures'!$I:$I,'Daily NSE Equity Futures'!$A:$A,$A2))</f>
        <v>547.81910000000005</v>
      </c>
      <c r="F2" s="6">
        <f>IF(SUMIFS('Daily BSE Equity Futures'!$I:$I,'Daily BSE Equity Futures'!$A:$A,$A2)=0,"",SUMIFS('Daily BSE Equity Futures'!$I:$I,'Daily BSE Equity Futures'!$A:$A,$A2))</f>
        <v>1.6E-2</v>
      </c>
      <c r="G2" s="6">
        <f t="shared" ref="G2:G65" si="0">IF(OR(E2="",F2=""),"",E2+F2)</f>
        <v>547.83510000000001</v>
      </c>
      <c r="H2" s="15">
        <f t="shared" ref="H2:H65" si="1">IF(G2="","",E2/G2)</f>
        <v>0.99997079413129975</v>
      </c>
      <c r="I2" s="15">
        <f t="shared" ref="I2:I65" si="2">IF(G2="","",F2/G2)</f>
        <v>2.9205868700271303E-5</v>
      </c>
      <c r="J2" s="20" t="str">
        <f t="shared" ref="J2:J65" si="3">IFERROR(IF(OR(E2="",INDEX(E:E,MATCH(DATE(YEAR($A2)-1,MONTH($A2),DAY($A2)),$A:$A,0))=""),"",E2/INDEX(E:E,MATCH(DATE(YEAR($A2)-1,MONTH($A2),DAY($A2)),$A:$A,0))-1),"")</f>
        <v/>
      </c>
      <c r="K2" s="15" t="str">
        <f t="shared" ref="K2:K65" si="4">IFERROR(IF(OR(F2="",INDEX(F:F,MATCH(DATE(YEAR($A2)-1,MONTH($A2),DAY($A2)),$A:$A,0))=""),"",F2/INDEX(F:F,MATCH(DATE(YEAR($A2)-1,MONTH($A2),DAY($A2)),$A:$A,0))-1),"")</f>
        <v/>
      </c>
      <c r="L2" s="15" t="str">
        <f t="shared" ref="L2:L65" si="5">IFERROR(IF(OR(G2="",INDEX(G:G,MATCH(DATE(YEAR($A2)-1,MONTH($A2),DAY($A2)),$A:$A,0))=""),"",G2/INDEX(G:G,MATCH(DATE(YEAR($A2)-1,MONTH($A2),DAY($A2)),$A:$A,0))-1),"")</f>
        <v/>
      </c>
      <c r="M2" s="17"/>
      <c r="N2" s="17"/>
      <c r="O2" s="17"/>
      <c r="P2" s="18">
        <f>IF(SUMIFS('Daily NSE Equity Futures'!$J:$J,'Daily NSE Equity Futures'!$A:$A,$A2)=0,"",SUMIFS('Daily NSE Equity Futures'!$J:$J,'Daily NSE Equity Futures'!$A:$A,$A2))</f>
        <v>1183281</v>
      </c>
      <c r="Q2" s="7">
        <f>IF(SUMIFS('Daily BSE Equity Futures'!$J:$J,'Daily BSE Equity Futures'!$A:$A,$A2)=0,"",SUMIFS('Daily BSE Equity Futures'!$J:$J,'Daily BSE Equity Futures'!$A:$A,$A2))</f>
        <v>22</v>
      </c>
      <c r="R2" s="7">
        <f t="shared" ref="R2:R65" si="6">IF(OR(P2="",Q2=""),"",P2+Q2)</f>
        <v>1183303</v>
      </c>
      <c r="S2" s="19">
        <f t="shared" ref="S2:S65" si="7">IF(R2="","",P2/R2)</f>
        <v>0.99998140797411994</v>
      </c>
      <c r="T2" s="19">
        <f t="shared" ref="T2:T65" si="8">IF(R2="","",Q2/R2)</f>
        <v>1.8592025880100025E-5</v>
      </c>
    </row>
    <row r="3" spans="1:20" x14ac:dyDescent="0.2">
      <c r="A3" s="9">
        <v>43924</v>
      </c>
      <c r="B3" s="4" t="s">
        <v>222</v>
      </c>
      <c r="C3" s="8">
        <v>43922</v>
      </c>
      <c r="D3" s="4" t="s">
        <v>173</v>
      </c>
      <c r="E3" s="14">
        <f>IF(SUMIFS('Daily NSE Equity Futures'!$I:$I,'Daily NSE Equity Futures'!$A:$A,$A3)=0,"",SUMIFS('Daily NSE Equity Futures'!$I:$I,'Daily NSE Equity Futures'!$A:$A,$A3))</f>
        <v>582.67970000000003</v>
      </c>
      <c r="F3" s="6">
        <f>IF(SUMIFS('Daily BSE Equity Futures'!$I:$I,'Daily BSE Equity Futures'!$A:$A,$A3)=0,"",SUMIFS('Daily BSE Equity Futures'!$I:$I,'Daily BSE Equity Futures'!$A:$A,$A3))</f>
        <v>1.67E-2</v>
      </c>
      <c r="G3" s="6">
        <f t="shared" si="0"/>
        <v>582.69640000000004</v>
      </c>
      <c r="H3" s="15">
        <f t="shared" si="1"/>
        <v>0.99997134013527456</v>
      </c>
      <c r="I3" s="15">
        <f t="shared" si="2"/>
        <v>2.8659864725438493E-5</v>
      </c>
      <c r="J3" s="20" t="str">
        <f t="shared" si="3"/>
        <v/>
      </c>
      <c r="K3" s="15" t="str">
        <f t="shared" si="4"/>
        <v/>
      </c>
      <c r="L3" s="15" t="str">
        <f t="shared" si="5"/>
        <v/>
      </c>
      <c r="M3" s="15">
        <f t="shared" ref="M3:M66" si="9">IF(OR(E3="",E2=""),"",E3/E2-1)</f>
        <v>6.3635240173261609E-2</v>
      </c>
      <c r="N3" s="15">
        <f t="shared" ref="N3:N66" si="10">IF(OR(F3="",F2=""),"",F3/F2-1)</f>
        <v>4.3749999999999956E-2</v>
      </c>
      <c r="O3" s="15">
        <f t="shared" ref="O3:O66" si="11">IF(OR(G3="",G2=""),"",G3/G2-1)</f>
        <v>6.3634659407548089E-2</v>
      </c>
      <c r="P3" s="18">
        <f>IF(SUMIFS('Daily NSE Equity Futures'!$J:$J,'Daily NSE Equity Futures'!$A:$A,$A3)=0,"",SUMIFS('Daily NSE Equity Futures'!$J:$J,'Daily NSE Equity Futures'!$A:$A,$A3))</f>
        <v>1278466</v>
      </c>
      <c r="Q3" s="7">
        <f>IF(SUMIFS('Daily BSE Equity Futures'!$J:$J,'Daily BSE Equity Futures'!$A:$A,$A3)=0,"",SUMIFS('Daily BSE Equity Futures'!$J:$J,'Daily BSE Equity Futures'!$A:$A,$A3))</f>
        <v>24</v>
      </c>
      <c r="R3" s="7">
        <f t="shared" si="6"/>
        <v>1278490</v>
      </c>
      <c r="S3" s="19">
        <f t="shared" si="7"/>
        <v>0.99998122785473487</v>
      </c>
      <c r="T3" s="19">
        <f t="shared" si="8"/>
        <v>1.8772145265117442E-5</v>
      </c>
    </row>
    <row r="4" spans="1:20" x14ac:dyDescent="0.2">
      <c r="A4" s="9">
        <v>43928</v>
      </c>
      <c r="B4" s="4" t="s">
        <v>223</v>
      </c>
      <c r="C4" s="8">
        <v>43922</v>
      </c>
      <c r="D4" s="4" t="s">
        <v>173</v>
      </c>
      <c r="E4" s="14">
        <f>IF(SUMIFS('Daily NSE Equity Futures'!$I:$I,'Daily NSE Equity Futures'!$A:$A,$A4)=0,"",SUMIFS('Daily NSE Equity Futures'!$I:$I,'Daily NSE Equity Futures'!$A:$A,$A4))</f>
        <v>771.62660000000005</v>
      </c>
      <c r="F4" s="6">
        <f>IF(SUMIFS('Daily BSE Equity Futures'!$I:$I,'Daily BSE Equity Futures'!$A:$A,$A4)=0,"",SUMIFS('Daily BSE Equity Futures'!$I:$I,'Daily BSE Equity Futures'!$A:$A,$A4))</f>
        <v>1.66E-2</v>
      </c>
      <c r="G4" s="6">
        <f t="shared" si="0"/>
        <v>771.64320000000009</v>
      </c>
      <c r="H4" s="15">
        <f t="shared" si="1"/>
        <v>0.99997848746674622</v>
      </c>
      <c r="I4" s="15">
        <f t="shared" si="2"/>
        <v>2.1512533253711038E-5</v>
      </c>
      <c r="J4" s="20" t="str">
        <f t="shared" si="3"/>
        <v/>
      </c>
      <c r="K4" s="15" t="str">
        <f t="shared" si="4"/>
        <v/>
      </c>
      <c r="L4" s="15" t="str">
        <f t="shared" si="5"/>
        <v/>
      </c>
      <c r="M4" s="15">
        <f t="shared" si="9"/>
        <v>0.32427232319917798</v>
      </c>
      <c r="N4" s="15">
        <f t="shared" si="10"/>
        <v>-5.9880239520957446E-3</v>
      </c>
      <c r="O4" s="15">
        <f t="shared" si="11"/>
        <v>0.32426285798230436</v>
      </c>
      <c r="P4" s="18">
        <f>IF(SUMIFS('Daily NSE Equity Futures'!$J:$J,'Daily NSE Equity Futures'!$A:$A,$A4)=0,"",SUMIFS('Daily NSE Equity Futures'!$J:$J,'Daily NSE Equity Futures'!$A:$A,$A4))</f>
        <v>1612780</v>
      </c>
      <c r="Q4" s="7">
        <f>IF(SUMIFS('Daily BSE Equity Futures'!$J:$J,'Daily BSE Equity Futures'!$A:$A,$A4)=0,"",SUMIFS('Daily BSE Equity Futures'!$J:$J,'Daily BSE Equity Futures'!$A:$A,$A4))</f>
        <v>23</v>
      </c>
      <c r="R4" s="7">
        <f t="shared" si="6"/>
        <v>1612803</v>
      </c>
      <c r="S4" s="19">
        <f t="shared" si="7"/>
        <v>0.99998573911382849</v>
      </c>
      <c r="T4" s="19">
        <f t="shared" si="8"/>
        <v>1.4260886171466695E-5</v>
      </c>
    </row>
    <row r="5" spans="1:20" x14ac:dyDescent="0.2">
      <c r="A5" s="9">
        <v>43929</v>
      </c>
      <c r="B5" s="4" t="s">
        <v>221</v>
      </c>
      <c r="C5" s="8">
        <v>43922</v>
      </c>
      <c r="D5" s="4" t="s">
        <v>173</v>
      </c>
      <c r="E5" s="14">
        <f>IF(SUMIFS('Daily NSE Equity Futures'!$I:$I,'Daily NSE Equity Futures'!$A:$A,$A5)=0,"",SUMIFS('Daily NSE Equity Futures'!$I:$I,'Daily NSE Equity Futures'!$A:$A,$A5))</f>
        <v>936.67550000000006</v>
      </c>
      <c r="F5" s="6">
        <f>IF(SUMIFS('Daily BSE Equity Futures'!$I:$I,'Daily BSE Equity Futures'!$A:$A,$A5)=0,"",SUMIFS('Daily BSE Equity Futures'!$I:$I,'Daily BSE Equity Futures'!$A:$A,$A5))</f>
        <v>1.7999999999999999E-2</v>
      </c>
      <c r="G5" s="6">
        <f t="shared" si="0"/>
        <v>936.69350000000009</v>
      </c>
      <c r="H5" s="15">
        <f t="shared" si="1"/>
        <v>0.9999807834686586</v>
      </c>
      <c r="I5" s="15">
        <f t="shared" si="2"/>
        <v>1.9216531341361924E-5</v>
      </c>
      <c r="J5" s="20" t="str">
        <f t="shared" si="3"/>
        <v/>
      </c>
      <c r="K5" s="15" t="str">
        <f t="shared" si="4"/>
        <v/>
      </c>
      <c r="L5" s="15" t="str">
        <f t="shared" si="5"/>
        <v/>
      </c>
      <c r="M5" s="15">
        <f t="shared" si="9"/>
        <v>0.21389736953080662</v>
      </c>
      <c r="N5" s="15">
        <f t="shared" si="10"/>
        <v>8.43373493975903E-2</v>
      </c>
      <c r="O5" s="15">
        <f t="shared" si="11"/>
        <v>0.21389458236656522</v>
      </c>
      <c r="P5" s="18">
        <f>IF(SUMIFS('Daily NSE Equity Futures'!$J:$J,'Daily NSE Equity Futures'!$A:$A,$A5)=0,"",SUMIFS('Daily NSE Equity Futures'!$J:$J,'Daily NSE Equity Futures'!$A:$A,$A5))</f>
        <v>1907269</v>
      </c>
      <c r="Q5" s="7">
        <f>IF(SUMIFS('Daily BSE Equity Futures'!$J:$J,'Daily BSE Equity Futures'!$A:$A,$A5)=0,"",SUMIFS('Daily BSE Equity Futures'!$J:$J,'Daily BSE Equity Futures'!$A:$A,$A5))</f>
        <v>24</v>
      </c>
      <c r="R5" s="7">
        <f t="shared" si="6"/>
        <v>1907293</v>
      </c>
      <c r="S5" s="19">
        <f t="shared" si="7"/>
        <v>0.9999874167209758</v>
      </c>
      <c r="T5" s="19">
        <f t="shared" si="8"/>
        <v>1.25832790242506E-5</v>
      </c>
    </row>
    <row r="6" spans="1:20" x14ac:dyDescent="0.2">
      <c r="A6" s="9">
        <v>43930</v>
      </c>
      <c r="B6" s="4" t="s">
        <v>224</v>
      </c>
      <c r="C6" s="8">
        <v>43922</v>
      </c>
      <c r="D6" s="4" t="s">
        <v>173</v>
      </c>
      <c r="E6" s="14">
        <f>IF(SUMIFS('Daily NSE Equity Futures'!$I:$I,'Daily NSE Equity Futures'!$A:$A,$A6)=0,"",SUMIFS('Daily NSE Equity Futures'!$I:$I,'Daily NSE Equity Futures'!$A:$A,$A6))</f>
        <v>775.59199999999998</v>
      </c>
      <c r="F6" s="6">
        <f>IF(SUMIFS('Daily BSE Equity Futures'!$I:$I,'Daily BSE Equity Futures'!$A:$A,$A6)=0,"",SUMIFS('Daily BSE Equity Futures'!$I:$I,'Daily BSE Equity Futures'!$A:$A,$A6))</f>
        <v>2.07E-2</v>
      </c>
      <c r="G6" s="6">
        <f t="shared" si="0"/>
        <v>775.61270000000002</v>
      </c>
      <c r="H6" s="15">
        <f t="shared" si="1"/>
        <v>0.99997331142205381</v>
      </c>
      <c r="I6" s="15">
        <f t="shared" si="2"/>
        <v>2.6688577946183708E-5</v>
      </c>
      <c r="J6" s="20" t="str">
        <f t="shared" si="3"/>
        <v/>
      </c>
      <c r="K6" s="15" t="str">
        <f t="shared" si="4"/>
        <v/>
      </c>
      <c r="L6" s="15" t="str">
        <f t="shared" si="5"/>
        <v/>
      </c>
      <c r="M6" s="15">
        <f t="shared" si="9"/>
        <v>-0.17197364508840052</v>
      </c>
      <c r="N6" s="15">
        <f t="shared" si="10"/>
        <v>0.15000000000000013</v>
      </c>
      <c r="O6" s="15">
        <f t="shared" si="11"/>
        <v>-0.17196745787175849</v>
      </c>
      <c r="P6" s="18">
        <f>IF(SUMIFS('Daily NSE Equity Futures'!$J:$J,'Daily NSE Equity Futures'!$A:$A,$A6)=0,"",SUMIFS('Daily NSE Equity Futures'!$J:$J,'Daily NSE Equity Futures'!$A:$A,$A6))</f>
        <v>1533920</v>
      </c>
      <c r="Q6" s="7">
        <f>IF(SUMIFS('Daily BSE Equity Futures'!$J:$J,'Daily BSE Equity Futures'!$A:$A,$A6)=0,"",SUMIFS('Daily BSE Equity Futures'!$J:$J,'Daily BSE Equity Futures'!$A:$A,$A6))</f>
        <v>27</v>
      </c>
      <c r="R6" s="7">
        <f t="shared" si="6"/>
        <v>1533947</v>
      </c>
      <c r="S6" s="19">
        <f t="shared" si="7"/>
        <v>0.99998239834883473</v>
      </c>
      <c r="T6" s="19">
        <f t="shared" si="8"/>
        <v>1.7601651165261902E-5</v>
      </c>
    </row>
    <row r="7" spans="1:20" x14ac:dyDescent="0.2">
      <c r="A7" s="9">
        <v>43934</v>
      </c>
      <c r="B7" s="4" t="s">
        <v>225</v>
      </c>
      <c r="C7" s="8">
        <v>43922</v>
      </c>
      <c r="D7" s="4" t="s">
        <v>173</v>
      </c>
      <c r="E7" s="14">
        <f>IF(SUMIFS('Daily NSE Equity Futures'!$I:$I,'Daily NSE Equity Futures'!$A:$A,$A7)=0,"",SUMIFS('Daily NSE Equity Futures'!$I:$I,'Daily NSE Equity Futures'!$A:$A,$A7))</f>
        <v>662.42449999999997</v>
      </c>
      <c r="F7" s="6">
        <f>IF(SUMIFS('Daily BSE Equity Futures'!$I:$I,'Daily BSE Equity Futures'!$A:$A,$A7)=0,"",SUMIFS('Daily BSE Equity Futures'!$I:$I,'Daily BSE Equity Futures'!$A:$A,$A7))</f>
        <v>1.84E-2</v>
      </c>
      <c r="G7" s="6">
        <f t="shared" si="0"/>
        <v>662.44290000000001</v>
      </c>
      <c r="H7" s="15">
        <f t="shared" si="1"/>
        <v>0.99997222402111929</v>
      </c>
      <c r="I7" s="15">
        <f t="shared" si="2"/>
        <v>2.7775978880594838E-5</v>
      </c>
      <c r="J7" s="20" t="str">
        <f t="shared" si="3"/>
        <v/>
      </c>
      <c r="K7" s="15" t="str">
        <f t="shared" si="4"/>
        <v/>
      </c>
      <c r="L7" s="15" t="str">
        <f t="shared" si="5"/>
        <v/>
      </c>
      <c r="M7" s="15">
        <f t="shared" si="9"/>
        <v>-0.14591112337414525</v>
      </c>
      <c r="N7" s="15">
        <f t="shared" si="10"/>
        <v>-0.11111111111111116</v>
      </c>
      <c r="O7" s="15">
        <f t="shared" si="11"/>
        <v>-0.14591019461130539</v>
      </c>
      <c r="P7" s="18">
        <f>IF(SUMIFS('Daily NSE Equity Futures'!$J:$J,'Daily NSE Equity Futures'!$A:$A,$A7)=0,"",SUMIFS('Daily NSE Equity Futures'!$J:$J,'Daily NSE Equity Futures'!$A:$A,$A7))</f>
        <v>1319101</v>
      </c>
      <c r="Q7" s="7">
        <f>IF(SUMIFS('Daily BSE Equity Futures'!$J:$J,'Daily BSE Equity Futures'!$A:$A,$A7)=0,"",SUMIFS('Daily BSE Equity Futures'!$J:$J,'Daily BSE Equity Futures'!$A:$A,$A7))</f>
        <v>24</v>
      </c>
      <c r="R7" s="7">
        <f t="shared" si="6"/>
        <v>1319125</v>
      </c>
      <c r="S7" s="19">
        <f t="shared" si="7"/>
        <v>0.99998180612148202</v>
      </c>
      <c r="T7" s="19">
        <f t="shared" si="8"/>
        <v>1.819387851795698E-5</v>
      </c>
    </row>
    <row r="8" spans="1:20" x14ac:dyDescent="0.2">
      <c r="A8" s="9">
        <v>43936</v>
      </c>
      <c r="B8" s="4" t="s">
        <v>221</v>
      </c>
      <c r="C8" s="8">
        <v>43922</v>
      </c>
      <c r="D8" s="4" t="s">
        <v>173</v>
      </c>
      <c r="E8" s="14">
        <f>IF(SUMIFS('Daily NSE Equity Futures'!$I:$I,'Daily NSE Equity Futures'!$A:$A,$A8)=0,"",SUMIFS('Daily NSE Equity Futures'!$I:$I,'Daily NSE Equity Futures'!$A:$A,$A8))</f>
        <v>896.57320000000004</v>
      </c>
      <c r="F8" s="6">
        <f>IF(SUMIFS('Daily BSE Equity Futures'!$I:$I,'Daily BSE Equity Futures'!$A:$A,$A8)=0,"",SUMIFS('Daily BSE Equity Futures'!$I:$I,'Daily BSE Equity Futures'!$A:$A,$A8))</f>
        <v>2.18E-2</v>
      </c>
      <c r="G8" s="6">
        <f t="shared" si="0"/>
        <v>896.59500000000003</v>
      </c>
      <c r="H8" s="15">
        <f t="shared" si="1"/>
        <v>0.99997568578901286</v>
      </c>
      <c r="I8" s="15">
        <f t="shared" si="2"/>
        <v>2.4314210987123505E-5</v>
      </c>
      <c r="J8" s="20" t="str">
        <f t="shared" si="3"/>
        <v/>
      </c>
      <c r="K8" s="15" t="str">
        <f t="shared" si="4"/>
        <v/>
      </c>
      <c r="L8" s="15" t="str">
        <f t="shared" si="5"/>
        <v/>
      </c>
      <c r="M8" s="15">
        <f t="shared" si="9"/>
        <v>0.35347228250162854</v>
      </c>
      <c r="N8" s="15">
        <f t="shared" si="10"/>
        <v>0.18478260869565211</v>
      </c>
      <c r="O8" s="15">
        <f t="shared" si="11"/>
        <v>0.35346759698081143</v>
      </c>
      <c r="P8" s="18">
        <f>IF(SUMIFS('Daily NSE Equity Futures'!$J:$J,'Daily NSE Equity Futures'!$A:$A,$A8)=0,"",SUMIFS('Daily NSE Equity Futures'!$J:$J,'Daily NSE Equity Futures'!$A:$A,$A8))</f>
        <v>1751347</v>
      </c>
      <c r="Q8" s="7">
        <f>IF(SUMIFS('Daily BSE Equity Futures'!$J:$J,'Daily BSE Equity Futures'!$A:$A,$A8)=0,"",SUMIFS('Daily BSE Equity Futures'!$J:$J,'Daily BSE Equity Futures'!$A:$A,$A8))</f>
        <v>28</v>
      </c>
      <c r="R8" s="7">
        <f t="shared" si="6"/>
        <v>1751375</v>
      </c>
      <c r="S8" s="19">
        <f t="shared" si="7"/>
        <v>0.99998401256155878</v>
      </c>
      <c r="T8" s="19">
        <f t="shared" si="8"/>
        <v>1.598743844122475E-5</v>
      </c>
    </row>
    <row r="9" spans="1:20" x14ac:dyDescent="0.2">
      <c r="A9" s="9">
        <v>43937</v>
      </c>
      <c r="B9" s="4" t="s">
        <v>224</v>
      </c>
      <c r="C9" s="8">
        <v>43922</v>
      </c>
      <c r="D9" s="4" t="s">
        <v>173</v>
      </c>
      <c r="E9" s="14">
        <f>IF(SUMIFS('Daily NSE Equity Futures'!$I:$I,'Daily NSE Equity Futures'!$A:$A,$A9)=0,"",SUMIFS('Daily NSE Equity Futures'!$I:$I,'Daily NSE Equity Futures'!$A:$A,$A9))</f>
        <v>764.55129999999997</v>
      </c>
      <c r="F9" s="6">
        <f>IF(SUMIFS('Daily BSE Equity Futures'!$I:$I,'Daily BSE Equity Futures'!$A:$A,$A9)=0,"",SUMIFS('Daily BSE Equity Futures'!$I:$I,'Daily BSE Equity Futures'!$A:$A,$A9))</f>
        <v>1.8100000000000002E-2</v>
      </c>
      <c r="G9" s="6">
        <f t="shared" si="0"/>
        <v>764.56939999999997</v>
      </c>
      <c r="H9" s="15">
        <f t="shared" si="1"/>
        <v>0.99997632654406521</v>
      </c>
      <c r="I9" s="15">
        <f t="shared" si="2"/>
        <v>2.3673455934804612E-5</v>
      </c>
      <c r="J9" s="20" t="str">
        <f t="shared" si="3"/>
        <v/>
      </c>
      <c r="K9" s="15" t="str">
        <f t="shared" si="4"/>
        <v/>
      </c>
      <c r="L9" s="15" t="str">
        <f t="shared" si="5"/>
        <v/>
      </c>
      <c r="M9" s="15">
        <f t="shared" si="9"/>
        <v>-0.14725166891002328</v>
      </c>
      <c r="N9" s="15">
        <f t="shared" si="10"/>
        <v>-0.16972477064220182</v>
      </c>
      <c r="O9" s="15">
        <f t="shared" si="11"/>
        <v>-0.14725221532576027</v>
      </c>
      <c r="P9" s="18">
        <f>IF(SUMIFS('Daily NSE Equity Futures'!$J:$J,'Daily NSE Equity Futures'!$A:$A,$A9)=0,"",SUMIFS('Daily NSE Equity Futures'!$J:$J,'Daily NSE Equity Futures'!$A:$A,$A9))</f>
        <v>1530498</v>
      </c>
      <c r="Q9" s="7">
        <f>IF(SUMIFS('Daily BSE Equity Futures'!$J:$J,'Daily BSE Equity Futures'!$A:$A,$A9)=0,"",SUMIFS('Daily BSE Equity Futures'!$J:$J,'Daily BSE Equity Futures'!$A:$A,$A9))</f>
        <v>24</v>
      </c>
      <c r="R9" s="7">
        <f t="shared" si="6"/>
        <v>1530522</v>
      </c>
      <c r="S9" s="19">
        <f t="shared" si="7"/>
        <v>0.99998431907545271</v>
      </c>
      <c r="T9" s="19">
        <f t="shared" si="8"/>
        <v>1.5680924547311311E-5</v>
      </c>
    </row>
    <row r="10" spans="1:20" x14ac:dyDescent="0.2">
      <c r="A10" s="9">
        <v>43938</v>
      </c>
      <c r="B10" s="4" t="s">
        <v>222</v>
      </c>
      <c r="C10" s="8">
        <v>43922</v>
      </c>
      <c r="D10" s="4" t="s">
        <v>173</v>
      </c>
      <c r="E10" s="14">
        <f>IF(SUMIFS('Daily NSE Equity Futures'!$I:$I,'Daily NSE Equity Futures'!$A:$A,$A10)=0,"",SUMIFS('Daily NSE Equity Futures'!$I:$I,'Daily NSE Equity Futures'!$A:$A,$A10))</f>
        <v>898.98519999999996</v>
      </c>
      <c r="F10" s="6">
        <f>IF(SUMIFS('Daily BSE Equity Futures'!$I:$I,'Daily BSE Equity Futures'!$A:$A,$A10)=0,"",SUMIFS('Daily BSE Equity Futures'!$I:$I,'Daily BSE Equity Futures'!$A:$A,$A10))</f>
        <v>1.9E-2</v>
      </c>
      <c r="G10" s="6">
        <f t="shared" si="0"/>
        <v>899.00419999999997</v>
      </c>
      <c r="H10" s="15">
        <f t="shared" si="1"/>
        <v>0.99997886550474402</v>
      </c>
      <c r="I10" s="15">
        <f t="shared" si="2"/>
        <v>2.113449525597322E-5</v>
      </c>
      <c r="J10" s="20" t="str">
        <f t="shared" si="3"/>
        <v/>
      </c>
      <c r="K10" s="15" t="str">
        <f t="shared" si="4"/>
        <v/>
      </c>
      <c r="L10" s="15" t="str">
        <f t="shared" si="5"/>
        <v/>
      </c>
      <c r="M10" s="15">
        <f t="shared" si="9"/>
        <v>0.17583372103350037</v>
      </c>
      <c r="N10" s="15">
        <f t="shared" si="10"/>
        <v>4.9723756906077332E-2</v>
      </c>
      <c r="O10" s="15">
        <f t="shared" si="11"/>
        <v>0.17583073557482165</v>
      </c>
      <c r="P10" s="18">
        <f>IF(SUMIFS('Daily NSE Equity Futures'!$J:$J,'Daily NSE Equity Futures'!$A:$A,$A10)=0,"",SUMIFS('Daily NSE Equity Futures'!$J:$J,'Daily NSE Equity Futures'!$A:$A,$A10))</f>
        <v>1789747</v>
      </c>
      <c r="Q10" s="7">
        <f>IF(SUMIFS('Daily BSE Equity Futures'!$J:$J,'Daily BSE Equity Futures'!$A:$A,$A10)=0,"",SUMIFS('Daily BSE Equity Futures'!$J:$J,'Daily BSE Equity Futures'!$A:$A,$A10))</f>
        <v>24</v>
      </c>
      <c r="R10" s="7">
        <f t="shared" si="6"/>
        <v>1789771</v>
      </c>
      <c r="S10" s="19">
        <f t="shared" si="7"/>
        <v>0.99998659046324923</v>
      </c>
      <c r="T10" s="19">
        <f t="shared" si="8"/>
        <v>1.3409536750791024E-5</v>
      </c>
    </row>
    <row r="11" spans="1:20" x14ac:dyDescent="0.2">
      <c r="A11" s="9">
        <v>43941</v>
      </c>
      <c r="B11" s="4" t="s">
        <v>225</v>
      </c>
      <c r="C11" s="8">
        <v>43922</v>
      </c>
      <c r="D11" s="4" t="s">
        <v>173</v>
      </c>
      <c r="E11" s="14">
        <f>IF(SUMIFS('Daily NSE Equity Futures'!$I:$I,'Daily NSE Equity Futures'!$A:$A,$A11)=0,"",SUMIFS('Daily NSE Equity Futures'!$I:$I,'Daily NSE Equity Futures'!$A:$A,$A11))</f>
        <v>796.41869999999994</v>
      </c>
      <c r="F11" s="6">
        <f>IF(SUMIFS('Daily BSE Equity Futures'!$I:$I,'Daily BSE Equity Futures'!$A:$A,$A11)=0,"",SUMIFS('Daily BSE Equity Futures'!$I:$I,'Daily BSE Equity Futures'!$A:$A,$A11))</f>
        <v>3.6600000000000001E-2</v>
      </c>
      <c r="G11" s="6">
        <f t="shared" si="0"/>
        <v>796.45529999999997</v>
      </c>
      <c r="H11" s="15">
        <f t="shared" si="1"/>
        <v>0.9999540463852773</v>
      </c>
      <c r="I11" s="15">
        <f t="shared" si="2"/>
        <v>4.5953614722634156E-5</v>
      </c>
      <c r="J11" s="20" t="str">
        <f t="shared" si="3"/>
        <v/>
      </c>
      <c r="K11" s="15" t="str">
        <f t="shared" si="4"/>
        <v/>
      </c>
      <c r="L11" s="15" t="str">
        <f t="shared" si="5"/>
        <v/>
      </c>
      <c r="M11" s="15">
        <f t="shared" si="9"/>
        <v>-0.11409142219471469</v>
      </c>
      <c r="N11" s="15">
        <f t="shared" si="10"/>
        <v>0.9263157894736842</v>
      </c>
      <c r="O11" s="15">
        <f t="shared" si="11"/>
        <v>-0.11406943371343536</v>
      </c>
      <c r="P11" s="18">
        <f>IF(SUMIFS('Daily NSE Equity Futures'!$J:$J,'Daily NSE Equity Futures'!$A:$A,$A11)=0,"",SUMIFS('Daily NSE Equity Futures'!$J:$J,'Daily NSE Equity Futures'!$A:$A,$A11))</f>
        <v>1548922</v>
      </c>
      <c r="Q11" s="7">
        <f>IF(SUMIFS('Daily BSE Equity Futures'!$J:$J,'Daily BSE Equity Futures'!$A:$A,$A11)=0,"",SUMIFS('Daily BSE Equity Futures'!$J:$J,'Daily BSE Equity Futures'!$A:$A,$A11))</f>
        <v>46</v>
      </c>
      <c r="R11" s="7">
        <f t="shared" si="6"/>
        <v>1548968</v>
      </c>
      <c r="S11" s="19">
        <f t="shared" si="7"/>
        <v>0.99997030280806321</v>
      </c>
      <c r="T11" s="19">
        <f t="shared" si="8"/>
        <v>2.9697191936825036E-5</v>
      </c>
    </row>
    <row r="12" spans="1:20" x14ac:dyDescent="0.2">
      <c r="A12" s="9">
        <v>43942</v>
      </c>
      <c r="B12" s="4" t="s">
        <v>223</v>
      </c>
      <c r="C12" s="8">
        <v>43922</v>
      </c>
      <c r="D12" s="4" t="s">
        <v>173</v>
      </c>
      <c r="E12" s="14">
        <f>IF(SUMIFS('Daily NSE Equity Futures'!$I:$I,'Daily NSE Equity Futures'!$A:$A,$A12)=0,"",SUMIFS('Daily NSE Equity Futures'!$I:$I,'Daily NSE Equity Futures'!$A:$A,$A12))</f>
        <v>756.44780000000003</v>
      </c>
      <c r="F12" s="6">
        <f>IF(SUMIFS('Daily BSE Equity Futures'!$I:$I,'Daily BSE Equity Futures'!$A:$A,$A12)=0,"",SUMIFS('Daily BSE Equity Futures'!$I:$I,'Daily BSE Equity Futures'!$A:$A,$A12))</f>
        <v>2.3800000000000002E-2</v>
      </c>
      <c r="G12" s="6">
        <f t="shared" si="0"/>
        <v>756.47160000000008</v>
      </c>
      <c r="H12" s="15">
        <f t="shared" si="1"/>
        <v>0.99996853814472342</v>
      </c>
      <c r="I12" s="15">
        <f t="shared" si="2"/>
        <v>3.1461855276523265E-5</v>
      </c>
      <c r="J12" s="20" t="str">
        <f t="shared" si="3"/>
        <v/>
      </c>
      <c r="K12" s="15" t="str">
        <f t="shared" si="4"/>
        <v/>
      </c>
      <c r="L12" s="15" t="str">
        <f t="shared" si="5"/>
        <v/>
      </c>
      <c r="M12" s="15">
        <f t="shared" si="9"/>
        <v>-5.0188299194883212E-2</v>
      </c>
      <c r="N12" s="15">
        <f t="shared" si="10"/>
        <v>-0.3497267759562841</v>
      </c>
      <c r="O12" s="15">
        <f t="shared" si="11"/>
        <v>-5.0202064070638874E-2</v>
      </c>
      <c r="P12" s="18">
        <f>IF(SUMIFS('Daily NSE Equity Futures'!$J:$J,'Daily NSE Equity Futures'!$A:$A,$A12)=0,"",SUMIFS('Daily NSE Equity Futures'!$J:$J,'Daily NSE Equity Futures'!$A:$A,$A12))</f>
        <v>1504684</v>
      </c>
      <c r="Q12" s="7">
        <f>IF(SUMIFS('Daily BSE Equity Futures'!$J:$J,'Daily BSE Equity Futures'!$A:$A,$A12)=0,"",SUMIFS('Daily BSE Equity Futures'!$J:$J,'Daily BSE Equity Futures'!$A:$A,$A12))</f>
        <v>31</v>
      </c>
      <c r="R12" s="7">
        <f t="shared" si="6"/>
        <v>1504715</v>
      </c>
      <c r="S12" s="19">
        <f t="shared" si="7"/>
        <v>0.99997939809199754</v>
      </c>
      <c r="T12" s="19">
        <f t="shared" si="8"/>
        <v>2.0601908002512105E-5</v>
      </c>
    </row>
    <row r="13" spans="1:20" x14ac:dyDescent="0.2">
      <c r="A13" s="9">
        <v>43943</v>
      </c>
      <c r="B13" s="4" t="s">
        <v>221</v>
      </c>
      <c r="C13" s="8">
        <v>43922</v>
      </c>
      <c r="D13" s="4" t="s">
        <v>173</v>
      </c>
      <c r="E13" s="14">
        <f>IF(SUMIFS('Daily NSE Equity Futures'!$I:$I,'Daily NSE Equity Futures'!$A:$A,$A13)=0,"",SUMIFS('Daily NSE Equity Futures'!$I:$I,'Daily NSE Equity Futures'!$A:$A,$A13))</f>
        <v>870.40499999999997</v>
      </c>
      <c r="F13" s="6">
        <f>IF(SUMIFS('Daily BSE Equity Futures'!$I:$I,'Daily BSE Equity Futures'!$A:$A,$A13)=0,"",SUMIFS('Daily BSE Equity Futures'!$I:$I,'Daily BSE Equity Futures'!$A:$A,$A13))</f>
        <v>2.24E-2</v>
      </c>
      <c r="G13" s="6">
        <f t="shared" si="0"/>
        <v>870.42739999999992</v>
      </c>
      <c r="H13" s="15">
        <f t="shared" si="1"/>
        <v>0.99997426551599833</v>
      </c>
      <c r="I13" s="15">
        <f t="shared" si="2"/>
        <v>2.5734484001767411E-5</v>
      </c>
      <c r="J13" s="20" t="str">
        <f t="shared" si="3"/>
        <v/>
      </c>
      <c r="K13" s="15" t="str">
        <f t="shared" si="4"/>
        <v/>
      </c>
      <c r="L13" s="15" t="str">
        <f t="shared" si="5"/>
        <v/>
      </c>
      <c r="M13" s="15">
        <f t="shared" si="9"/>
        <v>0.15064780411814271</v>
      </c>
      <c r="N13" s="15">
        <f t="shared" si="10"/>
        <v>-5.882352941176483E-2</v>
      </c>
      <c r="O13" s="15">
        <f t="shared" si="11"/>
        <v>0.15064121376136241</v>
      </c>
      <c r="P13" s="18">
        <f>IF(SUMIFS('Daily NSE Equity Futures'!$J:$J,'Daily NSE Equity Futures'!$A:$A,$A13)=0,"",SUMIFS('Daily NSE Equity Futures'!$J:$J,'Daily NSE Equity Futures'!$A:$A,$A13))</f>
        <v>1715778</v>
      </c>
      <c r="Q13" s="7">
        <f>IF(SUMIFS('Daily BSE Equity Futures'!$J:$J,'Daily BSE Equity Futures'!$A:$A,$A13)=0,"",SUMIFS('Daily BSE Equity Futures'!$J:$J,'Daily BSE Equity Futures'!$A:$A,$A13))</f>
        <v>29</v>
      </c>
      <c r="R13" s="7">
        <f t="shared" si="6"/>
        <v>1715807</v>
      </c>
      <c r="S13" s="19">
        <f t="shared" si="7"/>
        <v>0.99998309833215504</v>
      </c>
      <c r="T13" s="19">
        <f t="shared" si="8"/>
        <v>1.6901667844926614E-5</v>
      </c>
    </row>
    <row r="14" spans="1:20" x14ac:dyDescent="0.2">
      <c r="A14" s="9">
        <v>43944</v>
      </c>
      <c r="B14" s="4" t="s">
        <v>224</v>
      </c>
      <c r="C14" s="8">
        <v>43922</v>
      </c>
      <c r="D14" s="4" t="s">
        <v>173</v>
      </c>
      <c r="E14" s="14">
        <f>IF(SUMIFS('Daily NSE Equity Futures'!$I:$I,'Daily NSE Equity Futures'!$A:$A,$A14)=0,"",SUMIFS('Daily NSE Equity Futures'!$I:$I,'Daily NSE Equity Futures'!$A:$A,$A14))</f>
        <v>763.87400000000002</v>
      </c>
      <c r="F14" s="6">
        <f>IF(SUMIFS('Daily BSE Equity Futures'!$I:$I,'Daily BSE Equity Futures'!$A:$A,$A14)=0,"",SUMIFS('Daily BSE Equity Futures'!$I:$I,'Daily BSE Equity Futures'!$A:$A,$A14))</f>
        <v>1.7299999999999999E-2</v>
      </c>
      <c r="G14" s="6">
        <f t="shared" si="0"/>
        <v>763.8913</v>
      </c>
      <c r="H14" s="15">
        <f t="shared" si="1"/>
        <v>0.99997735279875555</v>
      </c>
      <c r="I14" s="15">
        <f t="shared" si="2"/>
        <v>2.2647201244470255E-5</v>
      </c>
      <c r="J14" s="20" t="str">
        <f t="shared" si="3"/>
        <v/>
      </c>
      <c r="K14" s="15" t="str">
        <f t="shared" si="4"/>
        <v/>
      </c>
      <c r="L14" s="15" t="str">
        <f t="shared" si="5"/>
        <v/>
      </c>
      <c r="M14" s="15">
        <f t="shared" si="9"/>
        <v>-0.12239244949190309</v>
      </c>
      <c r="N14" s="15">
        <f t="shared" si="10"/>
        <v>-0.2276785714285714</v>
      </c>
      <c r="O14" s="15">
        <f t="shared" si="11"/>
        <v>-0.12239515897592368</v>
      </c>
      <c r="P14" s="18">
        <f>IF(SUMIFS('Daily NSE Equity Futures'!$J:$J,'Daily NSE Equity Futures'!$A:$A,$A14)=0,"",SUMIFS('Daily NSE Equity Futures'!$J:$J,'Daily NSE Equity Futures'!$A:$A,$A14))</f>
        <v>1486990</v>
      </c>
      <c r="Q14" s="7">
        <f>IF(SUMIFS('Daily BSE Equity Futures'!$J:$J,'Daily BSE Equity Futures'!$A:$A,$A14)=0,"",SUMIFS('Daily BSE Equity Futures'!$J:$J,'Daily BSE Equity Futures'!$A:$A,$A14))</f>
        <v>22</v>
      </c>
      <c r="R14" s="7">
        <f t="shared" si="6"/>
        <v>1487012</v>
      </c>
      <c r="S14" s="19">
        <f t="shared" si="7"/>
        <v>0.99998520523035461</v>
      </c>
      <c r="T14" s="19">
        <f t="shared" si="8"/>
        <v>1.479476964543662E-5</v>
      </c>
    </row>
    <row r="15" spans="1:20" x14ac:dyDescent="0.2">
      <c r="A15" s="9">
        <v>43945</v>
      </c>
      <c r="B15" s="4" t="s">
        <v>222</v>
      </c>
      <c r="C15" s="8">
        <v>43922</v>
      </c>
      <c r="D15" s="4" t="s">
        <v>173</v>
      </c>
      <c r="E15" s="14">
        <f>IF(SUMIFS('Daily NSE Equity Futures'!$I:$I,'Daily NSE Equity Futures'!$A:$A,$A15)=0,"",SUMIFS('Daily NSE Equity Futures'!$I:$I,'Daily NSE Equity Futures'!$A:$A,$A15))</f>
        <v>897.13879999999995</v>
      </c>
      <c r="F15" s="6">
        <f>IF(SUMIFS('Daily BSE Equity Futures'!$I:$I,'Daily BSE Equity Futures'!$A:$A,$A15)=0,"",SUMIFS('Daily BSE Equity Futures'!$I:$I,'Daily BSE Equity Futures'!$A:$A,$A15))</f>
        <v>1.7299999999999999E-2</v>
      </c>
      <c r="G15" s="6">
        <f t="shared" si="0"/>
        <v>897.15609999999992</v>
      </c>
      <c r="H15" s="15">
        <f t="shared" si="1"/>
        <v>0.99998071684515111</v>
      </c>
      <c r="I15" s="15">
        <f t="shared" si="2"/>
        <v>1.9283154848972215E-5</v>
      </c>
      <c r="J15" s="20" t="str">
        <f t="shared" si="3"/>
        <v/>
      </c>
      <c r="K15" s="15" t="str">
        <f t="shared" si="4"/>
        <v/>
      </c>
      <c r="L15" s="15" t="str">
        <f t="shared" si="5"/>
        <v/>
      </c>
      <c r="M15" s="15">
        <f t="shared" si="9"/>
        <v>0.1744591385490275</v>
      </c>
      <c r="N15" s="15">
        <f t="shared" si="10"/>
        <v>0</v>
      </c>
      <c r="O15" s="15">
        <f t="shared" si="11"/>
        <v>0.17445518753780798</v>
      </c>
      <c r="P15" s="18">
        <f>IF(SUMIFS('Daily NSE Equity Futures'!$J:$J,'Daily NSE Equity Futures'!$A:$A,$A15)=0,"",SUMIFS('Daily NSE Equity Futures'!$J:$J,'Daily NSE Equity Futures'!$A:$A,$A15))</f>
        <v>1747930</v>
      </c>
      <c r="Q15" s="7">
        <f>IF(SUMIFS('Daily BSE Equity Futures'!$J:$J,'Daily BSE Equity Futures'!$A:$A,$A15)=0,"",SUMIFS('Daily BSE Equity Futures'!$J:$J,'Daily BSE Equity Futures'!$A:$A,$A15))</f>
        <v>22</v>
      </c>
      <c r="R15" s="7">
        <f t="shared" si="6"/>
        <v>1747952</v>
      </c>
      <c r="S15" s="19">
        <f t="shared" si="7"/>
        <v>0.99998741384202772</v>
      </c>
      <c r="T15" s="19">
        <f t="shared" si="8"/>
        <v>1.2586157972301299E-5</v>
      </c>
    </row>
    <row r="16" spans="1:20" x14ac:dyDescent="0.2">
      <c r="A16" s="9">
        <v>43948</v>
      </c>
      <c r="B16" s="4" t="s">
        <v>225</v>
      </c>
      <c r="C16" s="8">
        <v>43922</v>
      </c>
      <c r="D16" s="4" t="s">
        <v>173</v>
      </c>
      <c r="E16" s="14">
        <f>IF(SUMIFS('Daily NSE Equity Futures'!$I:$I,'Daily NSE Equity Futures'!$A:$A,$A16)=0,"",SUMIFS('Daily NSE Equity Futures'!$I:$I,'Daily NSE Equity Futures'!$A:$A,$A16))</f>
        <v>1015.3484999999999</v>
      </c>
      <c r="F16" s="6">
        <f>IF(SUMIFS('Daily BSE Equity Futures'!$I:$I,'Daily BSE Equity Futures'!$A:$A,$A16)=0,"",SUMIFS('Daily BSE Equity Futures'!$I:$I,'Daily BSE Equity Futures'!$A:$A,$A16))</f>
        <v>2.3099999999999999E-2</v>
      </c>
      <c r="G16" s="6">
        <f t="shared" si="0"/>
        <v>1015.3715999999999</v>
      </c>
      <c r="H16" s="15">
        <f t="shared" si="1"/>
        <v>0.99997724970838264</v>
      </c>
      <c r="I16" s="15">
        <f t="shared" si="2"/>
        <v>2.275029161737437E-5</v>
      </c>
      <c r="J16" s="20" t="str">
        <f t="shared" si="3"/>
        <v/>
      </c>
      <c r="K16" s="15" t="str">
        <f t="shared" si="4"/>
        <v/>
      </c>
      <c r="L16" s="15" t="str">
        <f t="shared" si="5"/>
        <v/>
      </c>
      <c r="M16" s="15">
        <f t="shared" si="9"/>
        <v>0.13176300032949184</v>
      </c>
      <c r="N16" s="15">
        <f t="shared" si="10"/>
        <v>0.33526011560693636</v>
      </c>
      <c r="O16" s="15">
        <f t="shared" si="11"/>
        <v>0.13176692439587723</v>
      </c>
      <c r="P16" s="18">
        <f>IF(SUMIFS('Daily NSE Equity Futures'!$J:$J,'Daily NSE Equity Futures'!$A:$A,$A16)=0,"",SUMIFS('Daily NSE Equity Futures'!$J:$J,'Daily NSE Equity Futures'!$A:$A,$A16))</f>
        <v>1990002</v>
      </c>
      <c r="Q16" s="7">
        <f>IF(SUMIFS('Daily BSE Equity Futures'!$J:$J,'Daily BSE Equity Futures'!$A:$A,$A16)=0,"",SUMIFS('Daily BSE Equity Futures'!$J:$J,'Daily BSE Equity Futures'!$A:$A,$A16))</f>
        <v>29</v>
      </c>
      <c r="R16" s="7">
        <f t="shared" si="6"/>
        <v>1990031</v>
      </c>
      <c r="S16" s="19">
        <f t="shared" si="7"/>
        <v>0.99998542736268936</v>
      </c>
      <c r="T16" s="19">
        <f t="shared" si="8"/>
        <v>1.4572637310675059E-5</v>
      </c>
    </row>
    <row r="17" spans="1:20" x14ac:dyDescent="0.2">
      <c r="A17" s="9">
        <v>43949</v>
      </c>
      <c r="B17" s="4" t="s">
        <v>223</v>
      </c>
      <c r="C17" s="8">
        <v>43922</v>
      </c>
      <c r="D17" s="4" t="s">
        <v>173</v>
      </c>
      <c r="E17" s="14">
        <f>IF(SUMIFS('Daily NSE Equity Futures'!$I:$I,'Daily NSE Equity Futures'!$A:$A,$A17)=0,"",SUMIFS('Daily NSE Equity Futures'!$I:$I,'Daily NSE Equity Futures'!$A:$A,$A17))</f>
        <v>1175.1190999999999</v>
      </c>
      <c r="F17" s="6">
        <f>IF(SUMIFS('Daily BSE Equity Futures'!$I:$I,'Daily BSE Equity Futures'!$A:$A,$A17)=0,"",SUMIFS('Daily BSE Equity Futures'!$I:$I,'Daily BSE Equity Futures'!$A:$A,$A17))</f>
        <v>1.9199999999999998E-2</v>
      </c>
      <c r="G17" s="6">
        <f t="shared" si="0"/>
        <v>1175.1382999999998</v>
      </c>
      <c r="H17" s="15">
        <f t="shared" si="1"/>
        <v>0.99998366149754458</v>
      </c>
      <c r="I17" s="15">
        <f t="shared" si="2"/>
        <v>1.633850245541312E-5</v>
      </c>
      <c r="J17" s="20" t="str">
        <f t="shared" si="3"/>
        <v/>
      </c>
      <c r="K17" s="15" t="str">
        <f t="shared" si="4"/>
        <v/>
      </c>
      <c r="L17" s="15" t="str">
        <f t="shared" si="5"/>
        <v/>
      </c>
      <c r="M17" s="15">
        <f t="shared" si="9"/>
        <v>0.15735543017988407</v>
      </c>
      <c r="N17" s="15">
        <f t="shared" si="10"/>
        <v>-0.16883116883116889</v>
      </c>
      <c r="O17" s="15">
        <f t="shared" si="11"/>
        <v>0.15734800933963489</v>
      </c>
      <c r="P17" s="18">
        <f>IF(SUMIFS('Daily NSE Equity Futures'!$J:$J,'Daily NSE Equity Futures'!$A:$A,$A17)=0,"",SUMIFS('Daily NSE Equity Futures'!$J:$J,'Daily NSE Equity Futures'!$A:$A,$A17))</f>
        <v>2328601</v>
      </c>
      <c r="Q17" s="7">
        <f>IF(SUMIFS('Daily BSE Equity Futures'!$J:$J,'Daily BSE Equity Futures'!$A:$A,$A17)=0,"",SUMIFS('Daily BSE Equity Futures'!$J:$J,'Daily BSE Equity Futures'!$A:$A,$A17))</f>
        <v>24</v>
      </c>
      <c r="R17" s="7">
        <f t="shared" si="6"/>
        <v>2328625</v>
      </c>
      <c r="S17" s="19">
        <f t="shared" si="7"/>
        <v>0.99998969348864675</v>
      </c>
      <c r="T17" s="19">
        <f t="shared" si="8"/>
        <v>1.0306511353266413E-5</v>
      </c>
    </row>
    <row r="18" spans="1:20" x14ac:dyDescent="0.2">
      <c r="A18" s="9">
        <v>43950</v>
      </c>
      <c r="B18" s="4" t="s">
        <v>221</v>
      </c>
      <c r="C18" s="8">
        <v>43922</v>
      </c>
      <c r="D18" s="4" t="s">
        <v>173</v>
      </c>
      <c r="E18" s="14">
        <f>IF(SUMIFS('Daily NSE Equity Futures'!$I:$I,'Daily NSE Equity Futures'!$A:$A,$A18)=0,"",SUMIFS('Daily NSE Equity Futures'!$I:$I,'Daily NSE Equity Futures'!$A:$A,$A18))</f>
        <v>1080.3907999999999</v>
      </c>
      <c r="F18" s="6">
        <f>IF(SUMIFS('Daily BSE Equity Futures'!$I:$I,'Daily BSE Equity Futures'!$A:$A,$A18)=0,"",SUMIFS('Daily BSE Equity Futures'!$I:$I,'Daily BSE Equity Futures'!$A:$A,$A18))</f>
        <v>2.0199999999999999E-2</v>
      </c>
      <c r="G18" s="6">
        <f t="shared" si="0"/>
        <v>1080.4109999999998</v>
      </c>
      <c r="H18" s="15">
        <f t="shared" si="1"/>
        <v>0.99998130341138702</v>
      </c>
      <c r="I18" s="15">
        <f t="shared" si="2"/>
        <v>1.8696588613037077E-5</v>
      </c>
      <c r="J18" s="20" t="str">
        <f t="shared" si="3"/>
        <v/>
      </c>
      <c r="K18" s="15" t="str">
        <f t="shared" si="4"/>
        <v/>
      </c>
      <c r="L18" s="15" t="str">
        <f t="shared" si="5"/>
        <v/>
      </c>
      <c r="M18" s="15">
        <f t="shared" si="9"/>
        <v>-8.0611658852281387E-2</v>
      </c>
      <c r="N18" s="15">
        <f t="shared" si="10"/>
        <v>5.2083333333333481E-2</v>
      </c>
      <c r="O18" s="15">
        <f t="shared" si="11"/>
        <v>-8.0609490814825824E-2</v>
      </c>
      <c r="P18" s="18">
        <f>IF(SUMIFS('Daily NSE Equity Futures'!$J:$J,'Daily NSE Equity Futures'!$A:$A,$A18)=0,"",SUMIFS('Daily NSE Equity Futures'!$J:$J,'Daily NSE Equity Futures'!$A:$A,$A18))</f>
        <v>2156475</v>
      </c>
      <c r="Q18" s="7">
        <f>IF(SUMIFS('Daily BSE Equity Futures'!$J:$J,'Daily BSE Equity Futures'!$A:$A,$A18)=0,"",SUMIFS('Daily BSE Equity Futures'!$J:$J,'Daily BSE Equity Futures'!$A:$A,$A18))</f>
        <v>25</v>
      </c>
      <c r="R18" s="7">
        <f t="shared" si="6"/>
        <v>2156500</v>
      </c>
      <c r="S18" s="19">
        <f t="shared" si="7"/>
        <v>0.99998840714120107</v>
      </c>
      <c r="T18" s="19">
        <f t="shared" si="8"/>
        <v>1.1592858798979828E-5</v>
      </c>
    </row>
    <row r="19" spans="1:20" x14ac:dyDescent="0.2">
      <c r="A19" s="9">
        <v>43951</v>
      </c>
      <c r="B19" s="4" t="s">
        <v>224</v>
      </c>
      <c r="C19" s="8">
        <v>43922</v>
      </c>
      <c r="D19" s="4" t="s">
        <v>173</v>
      </c>
      <c r="E19" s="14">
        <f>IF(SUMIFS('Daily NSE Equity Futures'!$I:$I,'Daily NSE Equity Futures'!$A:$A,$A19)=0,"",SUMIFS('Daily NSE Equity Futures'!$I:$I,'Daily NSE Equity Futures'!$A:$A,$A19))</f>
        <v>1304.7753</v>
      </c>
      <c r="F19" s="6">
        <f>IF(SUMIFS('Daily BSE Equity Futures'!$I:$I,'Daily BSE Equity Futures'!$A:$A,$A19)=0,"",SUMIFS('Daily BSE Equity Futures'!$I:$I,'Daily BSE Equity Futures'!$A:$A,$A19))</f>
        <v>0.43230000000000002</v>
      </c>
      <c r="G19" s="6">
        <f t="shared" si="0"/>
        <v>1305.2076</v>
      </c>
      <c r="H19" s="15">
        <f t="shared" si="1"/>
        <v>0.99966878832149009</v>
      </c>
      <c r="I19" s="15">
        <f t="shared" si="2"/>
        <v>3.312116785099934E-4</v>
      </c>
      <c r="J19" s="20" t="str">
        <f t="shared" si="3"/>
        <v/>
      </c>
      <c r="K19" s="15" t="str">
        <f t="shared" si="4"/>
        <v/>
      </c>
      <c r="L19" s="15" t="str">
        <f t="shared" si="5"/>
        <v/>
      </c>
      <c r="M19" s="15">
        <f t="shared" si="9"/>
        <v>0.20768827353953778</v>
      </c>
      <c r="N19" s="15">
        <f t="shared" si="10"/>
        <v>20.400990099009903</v>
      </c>
      <c r="O19" s="15">
        <f t="shared" si="11"/>
        <v>0.20806581939650748</v>
      </c>
      <c r="P19" s="18">
        <f>IF(SUMIFS('Daily NSE Equity Futures'!$J:$J,'Daily NSE Equity Futures'!$A:$A,$A19)=0,"",SUMIFS('Daily NSE Equity Futures'!$J:$J,'Daily NSE Equity Futures'!$A:$A,$A19))</f>
        <v>2430121</v>
      </c>
      <c r="Q19" s="7">
        <f>IF(SUMIFS('Daily BSE Equity Futures'!$J:$J,'Daily BSE Equity Futures'!$A:$A,$A19)=0,"",SUMIFS('Daily BSE Equity Futures'!$J:$J,'Daily BSE Equity Futures'!$A:$A,$A19))</f>
        <v>514</v>
      </c>
      <c r="R19" s="7">
        <f t="shared" si="6"/>
        <v>2430635</v>
      </c>
      <c r="S19" s="19">
        <f t="shared" si="7"/>
        <v>0.99978853262624789</v>
      </c>
      <c r="T19" s="19">
        <f t="shared" si="8"/>
        <v>2.1146737375212651E-4</v>
      </c>
    </row>
    <row r="20" spans="1:20" x14ac:dyDescent="0.2">
      <c r="A20" s="9">
        <v>43955</v>
      </c>
      <c r="B20" s="4" t="s">
        <v>225</v>
      </c>
      <c r="C20" s="8">
        <v>43952</v>
      </c>
      <c r="D20" s="4" t="s">
        <v>173</v>
      </c>
      <c r="E20" s="14">
        <f>IF(SUMIFS('Daily NSE Equity Futures'!$I:$I,'Daily NSE Equity Futures'!$A:$A,$A20)=0,"",SUMIFS('Daily NSE Equity Futures'!$I:$I,'Daily NSE Equity Futures'!$A:$A,$A20))</f>
        <v>750.46140000000003</v>
      </c>
      <c r="F20" s="6">
        <f>IF(SUMIFS('Daily BSE Equity Futures'!$I:$I,'Daily BSE Equity Futures'!$A:$A,$A20)=0,"",SUMIFS('Daily BSE Equity Futures'!$I:$I,'Daily BSE Equity Futures'!$A:$A,$A20))</f>
        <v>2.2599999999999999E-2</v>
      </c>
      <c r="G20" s="6">
        <f t="shared" si="0"/>
        <v>750.48400000000004</v>
      </c>
      <c r="H20" s="15">
        <f t="shared" si="1"/>
        <v>0.99996988610017001</v>
      </c>
      <c r="I20" s="15">
        <f t="shared" si="2"/>
        <v>3.0113899829976384E-5</v>
      </c>
      <c r="J20" s="20" t="str">
        <f t="shared" si="3"/>
        <v/>
      </c>
      <c r="K20" s="15" t="str">
        <f t="shared" si="4"/>
        <v/>
      </c>
      <c r="L20" s="15" t="str">
        <f t="shared" si="5"/>
        <v/>
      </c>
      <c r="M20" s="15">
        <f t="shared" si="9"/>
        <v>-0.4248347589044642</v>
      </c>
      <c r="N20" s="15">
        <f t="shared" si="10"/>
        <v>-0.9477214897062225</v>
      </c>
      <c r="O20" s="15">
        <f t="shared" si="11"/>
        <v>-0.42500794509624362</v>
      </c>
      <c r="P20" s="18">
        <f>IF(SUMIFS('Daily NSE Equity Futures'!$J:$J,'Daily NSE Equity Futures'!$A:$A,$A20)=0,"",SUMIFS('Daily NSE Equity Futures'!$J:$J,'Daily NSE Equity Futures'!$A:$A,$A20))</f>
        <v>1423474</v>
      </c>
      <c r="Q20" s="7">
        <f>IF(SUMIFS('Daily BSE Equity Futures'!$J:$J,'Daily BSE Equity Futures'!$A:$A,$A20)=0,"",SUMIFS('Daily BSE Equity Futures'!$J:$J,'Daily BSE Equity Futures'!$A:$A,$A20))</f>
        <v>28</v>
      </c>
      <c r="R20" s="7">
        <f t="shared" si="6"/>
        <v>1423502</v>
      </c>
      <c r="S20" s="19">
        <f t="shared" si="7"/>
        <v>0.99998033019974686</v>
      </c>
      <c r="T20" s="19">
        <f t="shared" si="8"/>
        <v>1.9669800253178428E-5</v>
      </c>
    </row>
    <row r="21" spans="1:20" x14ac:dyDescent="0.2">
      <c r="A21" s="9">
        <v>43956</v>
      </c>
      <c r="B21" s="4" t="s">
        <v>223</v>
      </c>
      <c r="C21" s="8">
        <v>43952</v>
      </c>
      <c r="D21" s="4" t="s">
        <v>173</v>
      </c>
      <c r="E21" s="14">
        <f>IF(SUMIFS('Daily NSE Equity Futures'!$I:$I,'Daily NSE Equity Futures'!$A:$A,$A21)=0,"",SUMIFS('Daily NSE Equity Futures'!$I:$I,'Daily NSE Equity Futures'!$A:$A,$A21))</f>
        <v>764.45050000000003</v>
      </c>
      <c r="F21" s="6">
        <f>IF(SUMIFS('Daily BSE Equity Futures'!$I:$I,'Daily BSE Equity Futures'!$A:$A,$A21)=0,"",SUMIFS('Daily BSE Equity Futures'!$I:$I,'Daily BSE Equity Futures'!$A:$A,$A21))</f>
        <v>2.3300000000000001E-2</v>
      </c>
      <c r="G21" s="6">
        <f t="shared" si="0"/>
        <v>764.47379999999998</v>
      </c>
      <c r="H21" s="15">
        <f t="shared" si="1"/>
        <v>0.99996952151924634</v>
      </c>
      <c r="I21" s="15">
        <f t="shared" si="2"/>
        <v>3.0478480753689664E-5</v>
      </c>
      <c r="J21" s="20" t="str">
        <f t="shared" si="3"/>
        <v/>
      </c>
      <c r="K21" s="15" t="str">
        <f t="shared" si="4"/>
        <v/>
      </c>
      <c r="L21" s="15" t="str">
        <f t="shared" si="5"/>
        <v/>
      </c>
      <c r="M21" s="15">
        <f t="shared" si="9"/>
        <v>1.8640665595858863E-2</v>
      </c>
      <c r="N21" s="15">
        <f t="shared" si="10"/>
        <v>3.0973451327433787E-2</v>
      </c>
      <c r="O21" s="15">
        <f t="shared" si="11"/>
        <v>1.8641036984132775E-2</v>
      </c>
      <c r="P21" s="18">
        <f>IF(SUMIFS('Daily NSE Equity Futures'!$J:$J,'Daily NSE Equity Futures'!$A:$A,$A21)=0,"",SUMIFS('Daily NSE Equity Futures'!$J:$J,'Daily NSE Equity Futures'!$A:$A,$A21))</f>
        <v>1514723</v>
      </c>
      <c r="Q21" s="7">
        <f>IF(SUMIFS('Daily BSE Equity Futures'!$J:$J,'Daily BSE Equity Futures'!$A:$A,$A21)=0,"",SUMIFS('Daily BSE Equity Futures'!$J:$J,'Daily BSE Equity Futures'!$A:$A,$A21))</f>
        <v>29</v>
      </c>
      <c r="R21" s="7">
        <f t="shared" si="6"/>
        <v>1514752</v>
      </c>
      <c r="S21" s="19">
        <f t="shared" si="7"/>
        <v>0.99998085495183375</v>
      </c>
      <c r="T21" s="19">
        <f t="shared" si="8"/>
        <v>1.9145048166300491E-5</v>
      </c>
    </row>
    <row r="22" spans="1:20" x14ac:dyDescent="0.2">
      <c r="A22" s="9">
        <v>43957</v>
      </c>
      <c r="B22" s="4" t="s">
        <v>221</v>
      </c>
      <c r="C22" s="8">
        <v>43952</v>
      </c>
      <c r="D22" s="4" t="s">
        <v>173</v>
      </c>
      <c r="E22" s="14">
        <f>IF(SUMIFS('Daily NSE Equity Futures'!$I:$I,'Daily NSE Equity Futures'!$A:$A,$A22)=0,"",SUMIFS('Daily NSE Equity Futures'!$I:$I,'Daily NSE Equity Futures'!$A:$A,$A22))</f>
        <v>867.6241</v>
      </c>
      <c r="F22" s="6">
        <f>IF(SUMIFS('Daily BSE Equity Futures'!$I:$I,'Daily BSE Equity Futures'!$A:$A,$A22)=0,"",SUMIFS('Daily BSE Equity Futures'!$I:$I,'Daily BSE Equity Futures'!$A:$A,$A22))</f>
        <v>1.0999999999999999E-2</v>
      </c>
      <c r="G22" s="6">
        <f t="shared" si="0"/>
        <v>867.63509999999997</v>
      </c>
      <c r="H22" s="15">
        <f t="shared" si="1"/>
        <v>0.99998732185915484</v>
      </c>
      <c r="I22" s="15">
        <f t="shared" si="2"/>
        <v>1.2678140845154836E-5</v>
      </c>
      <c r="J22" s="20" t="str">
        <f t="shared" si="3"/>
        <v/>
      </c>
      <c r="K22" s="15" t="str">
        <f t="shared" si="4"/>
        <v/>
      </c>
      <c r="L22" s="15" t="str">
        <f t="shared" si="5"/>
        <v/>
      </c>
      <c r="M22" s="15">
        <f t="shared" si="9"/>
        <v>0.13496439599424681</v>
      </c>
      <c r="N22" s="15">
        <f t="shared" si="10"/>
        <v>-0.52789699570815452</v>
      </c>
      <c r="O22" s="15">
        <f t="shared" si="11"/>
        <v>0.13494419298607752</v>
      </c>
      <c r="P22" s="18">
        <f>IF(SUMIFS('Daily NSE Equity Futures'!$J:$J,'Daily NSE Equity Futures'!$A:$A,$A22)=0,"",SUMIFS('Daily NSE Equity Futures'!$J:$J,'Daily NSE Equity Futures'!$A:$A,$A22))</f>
        <v>1723473</v>
      </c>
      <c r="Q22" s="7">
        <f>IF(SUMIFS('Daily BSE Equity Futures'!$J:$J,'Daily BSE Equity Futures'!$A:$A,$A22)=0,"",SUMIFS('Daily BSE Equity Futures'!$J:$J,'Daily BSE Equity Futures'!$A:$A,$A22))</f>
        <v>14</v>
      </c>
      <c r="R22" s="7">
        <f t="shared" si="6"/>
        <v>1723487</v>
      </c>
      <c r="S22" s="19">
        <f t="shared" si="7"/>
        <v>0.99999187693321734</v>
      </c>
      <c r="T22" s="19">
        <f t="shared" si="8"/>
        <v>8.1230667826331158E-6</v>
      </c>
    </row>
    <row r="23" spans="1:20" x14ac:dyDescent="0.2">
      <c r="A23" s="9">
        <v>43958</v>
      </c>
      <c r="B23" s="4" t="s">
        <v>224</v>
      </c>
      <c r="C23" s="8">
        <v>43952</v>
      </c>
      <c r="D23" s="4" t="s">
        <v>173</v>
      </c>
      <c r="E23" s="14">
        <f>IF(SUMIFS('Daily NSE Equity Futures'!$I:$I,'Daily NSE Equity Futures'!$A:$A,$A23)=0,"",SUMIFS('Daily NSE Equity Futures'!$I:$I,'Daily NSE Equity Futures'!$A:$A,$A23))</f>
        <v>733.69349999999997</v>
      </c>
      <c r="F23" s="6">
        <f>IF(SUMIFS('Daily BSE Equity Futures'!$I:$I,'Daily BSE Equity Futures'!$A:$A,$A23)=0,"",SUMIFS('Daily BSE Equity Futures'!$I:$I,'Daily BSE Equity Futures'!$A:$A,$A23))</f>
        <v>9.4999999999999998E-3</v>
      </c>
      <c r="G23" s="6">
        <f t="shared" si="0"/>
        <v>733.70299999999997</v>
      </c>
      <c r="H23" s="15">
        <f t="shared" si="1"/>
        <v>0.99998705198152382</v>
      </c>
      <c r="I23" s="15">
        <f t="shared" si="2"/>
        <v>1.294801847614089E-5</v>
      </c>
      <c r="J23" s="20" t="str">
        <f t="shared" si="3"/>
        <v/>
      </c>
      <c r="K23" s="15" t="str">
        <f t="shared" si="4"/>
        <v/>
      </c>
      <c r="L23" s="15" t="str">
        <f t="shared" si="5"/>
        <v/>
      </c>
      <c r="M23" s="15">
        <f t="shared" si="9"/>
        <v>-0.15436477617438249</v>
      </c>
      <c r="N23" s="15">
        <f t="shared" si="10"/>
        <v>-0.13636363636363635</v>
      </c>
      <c r="O23" s="15">
        <f t="shared" si="11"/>
        <v>-0.15436454795339649</v>
      </c>
      <c r="P23" s="18">
        <f>IF(SUMIFS('Daily NSE Equity Futures'!$J:$J,'Daily NSE Equity Futures'!$A:$A,$A23)=0,"",SUMIFS('Daily NSE Equity Futures'!$J:$J,'Daily NSE Equity Futures'!$A:$A,$A23))</f>
        <v>1419230</v>
      </c>
      <c r="Q23" s="7">
        <f>IF(SUMIFS('Daily BSE Equity Futures'!$J:$J,'Daily BSE Equity Futures'!$A:$A,$A23)=0,"",SUMIFS('Daily BSE Equity Futures'!$J:$J,'Daily BSE Equity Futures'!$A:$A,$A23))</f>
        <v>12</v>
      </c>
      <c r="R23" s="7">
        <f t="shared" si="6"/>
        <v>1419242</v>
      </c>
      <c r="S23" s="19">
        <f t="shared" si="7"/>
        <v>0.99999154478235563</v>
      </c>
      <c r="T23" s="19">
        <f t="shared" si="8"/>
        <v>8.4552176443481797E-6</v>
      </c>
    </row>
    <row r="24" spans="1:20" x14ac:dyDescent="0.2">
      <c r="A24" s="9">
        <v>43959</v>
      </c>
      <c r="B24" s="4" t="s">
        <v>222</v>
      </c>
      <c r="C24" s="8">
        <v>43952</v>
      </c>
      <c r="D24" s="4" t="s">
        <v>173</v>
      </c>
      <c r="E24" s="14">
        <f>IF(SUMIFS('Daily NSE Equity Futures'!$I:$I,'Daily NSE Equity Futures'!$A:$A,$A24)=0,"",SUMIFS('Daily NSE Equity Futures'!$I:$I,'Daily NSE Equity Futures'!$A:$A,$A24))</f>
        <v>702.327</v>
      </c>
      <c r="F24" s="6">
        <f>IF(SUMIFS('Daily BSE Equity Futures'!$I:$I,'Daily BSE Equity Futures'!$A:$A,$A24)=0,"",SUMIFS('Daily BSE Equity Futures'!$I:$I,'Daily BSE Equity Futures'!$A:$A,$A24))</f>
        <v>0.43990000000000001</v>
      </c>
      <c r="G24" s="6">
        <f t="shared" si="0"/>
        <v>702.76689999999996</v>
      </c>
      <c r="H24" s="15">
        <f t="shared" si="1"/>
        <v>0.99937404564728372</v>
      </c>
      <c r="I24" s="15">
        <f t="shared" si="2"/>
        <v>6.2595435271638438E-4</v>
      </c>
      <c r="J24" s="20" t="str">
        <f t="shared" si="3"/>
        <v/>
      </c>
      <c r="K24" s="15" t="str">
        <f t="shared" si="4"/>
        <v/>
      </c>
      <c r="L24" s="15" t="str">
        <f t="shared" si="5"/>
        <v/>
      </c>
      <c r="M24" s="15">
        <f t="shared" si="9"/>
        <v>-4.2751503182187123E-2</v>
      </c>
      <c r="N24" s="15">
        <f t="shared" si="10"/>
        <v>45.305263157894743</v>
      </c>
      <c r="O24" s="15">
        <f t="shared" si="11"/>
        <v>-4.2164336250499201E-2</v>
      </c>
      <c r="P24" s="18">
        <f>IF(SUMIFS('Daily NSE Equity Futures'!$J:$J,'Daily NSE Equity Futures'!$A:$A,$A24)=0,"",SUMIFS('Daily NSE Equity Futures'!$J:$J,'Daily NSE Equity Futures'!$A:$A,$A24))</f>
        <v>1368724</v>
      </c>
      <c r="Q24" s="7">
        <f>IF(SUMIFS('Daily BSE Equity Futures'!$J:$J,'Daily BSE Equity Futures'!$A:$A,$A24)=0,"",SUMIFS('Daily BSE Equity Futures'!$J:$J,'Daily BSE Equity Futures'!$A:$A,$A24))</f>
        <v>552</v>
      </c>
      <c r="R24" s="7">
        <f t="shared" si="6"/>
        <v>1369276</v>
      </c>
      <c r="S24" s="19">
        <f t="shared" si="7"/>
        <v>0.99959686724955377</v>
      </c>
      <c r="T24" s="19">
        <f t="shared" si="8"/>
        <v>4.0313275044622123E-4</v>
      </c>
    </row>
    <row r="25" spans="1:20" x14ac:dyDescent="0.2">
      <c r="A25" s="9">
        <v>43962</v>
      </c>
      <c r="B25" s="4" t="s">
        <v>225</v>
      </c>
      <c r="C25" s="8">
        <v>43952</v>
      </c>
      <c r="D25" s="4" t="s">
        <v>173</v>
      </c>
      <c r="E25" s="14">
        <f>IF(SUMIFS('Daily NSE Equity Futures'!$I:$I,'Daily NSE Equity Futures'!$A:$A,$A25)=0,"",SUMIFS('Daily NSE Equity Futures'!$I:$I,'Daily NSE Equity Futures'!$A:$A,$A25))</f>
        <v>751.72329999999999</v>
      </c>
      <c r="F25" s="6">
        <f>IF(SUMIFS('Daily BSE Equity Futures'!$I:$I,'Daily BSE Equity Futures'!$A:$A,$A25)=0,"",SUMIFS('Daily BSE Equity Futures'!$I:$I,'Daily BSE Equity Futures'!$A:$A,$A25))</f>
        <v>2.64E-2</v>
      </c>
      <c r="G25" s="6">
        <f t="shared" si="0"/>
        <v>751.74969999999996</v>
      </c>
      <c r="H25" s="15">
        <f t="shared" si="1"/>
        <v>0.9999648819281205</v>
      </c>
      <c r="I25" s="15">
        <f t="shared" si="2"/>
        <v>3.5118071879509897E-5</v>
      </c>
      <c r="J25" s="20" t="str">
        <f t="shared" si="3"/>
        <v/>
      </c>
      <c r="K25" s="15" t="str">
        <f t="shared" si="4"/>
        <v/>
      </c>
      <c r="L25" s="15" t="str">
        <f t="shared" si="5"/>
        <v/>
      </c>
      <c r="M25" s="15">
        <f t="shared" si="9"/>
        <v>7.0332338070443035E-2</v>
      </c>
      <c r="N25" s="15">
        <f t="shared" si="10"/>
        <v>-0.93998636053648554</v>
      </c>
      <c r="O25" s="15">
        <f t="shared" si="11"/>
        <v>6.9699924683419123E-2</v>
      </c>
      <c r="P25" s="18">
        <f>IF(SUMIFS('Daily NSE Equity Futures'!$J:$J,'Daily NSE Equity Futures'!$A:$A,$A25)=0,"",SUMIFS('Daily NSE Equity Futures'!$J:$J,'Daily NSE Equity Futures'!$A:$A,$A25))</f>
        <v>1464993</v>
      </c>
      <c r="Q25" s="7">
        <f>IF(SUMIFS('Daily BSE Equity Futures'!$J:$J,'Daily BSE Equity Futures'!$A:$A,$A25)=0,"",SUMIFS('Daily BSE Equity Futures'!$J:$J,'Daily BSE Equity Futures'!$A:$A,$A25))</f>
        <v>33</v>
      </c>
      <c r="R25" s="7">
        <f t="shared" si="6"/>
        <v>1465026</v>
      </c>
      <c r="S25" s="19">
        <f t="shared" si="7"/>
        <v>0.99997747480249499</v>
      </c>
      <c r="T25" s="19">
        <f t="shared" si="8"/>
        <v>2.2525197505027214E-5</v>
      </c>
    </row>
    <row r="26" spans="1:20" x14ac:dyDescent="0.2">
      <c r="A26" s="9">
        <v>43963</v>
      </c>
      <c r="B26" s="4" t="s">
        <v>223</v>
      </c>
      <c r="C26" s="8">
        <v>43952</v>
      </c>
      <c r="D26" s="4" t="s">
        <v>173</v>
      </c>
      <c r="E26" s="14">
        <f>IF(SUMIFS('Daily NSE Equity Futures'!$I:$I,'Daily NSE Equity Futures'!$A:$A,$A26)=0,"",SUMIFS('Daily NSE Equity Futures'!$I:$I,'Daily NSE Equity Futures'!$A:$A,$A26))</f>
        <v>879.81079999999997</v>
      </c>
      <c r="F26" s="6">
        <f>IF(SUMIFS('Daily BSE Equity Futures'!$I:$I,'Daily BSE Equity Futures'!$A:$A,$A26)=0,"",SUMIFS('Daily BSE Equity Futures'!$I:$I,'Daily BSE Equity Futures'!$A:$A,$A26))</f>
        <v>0.1046</v>
      </c>
      <c r="G26" s="6">
        <f t="shared" si="0"/>
        <v>879.91539999999998</v>
      </c>
      <c r="H26" s="15">
        <f t="shared" si="1"/>
        <v>0.99988112493541992</v>
      </c>
      <c r="I26" s="15">
        <f t="shared" si="2"/>
        <v>1.1887506458007213E-4</v>
      </c>
      <c r="J26" s="20" t="str">
        <f t="shared" si="3"/>
        <v/>
      </c>
      <c r="K26" s="15" t="str">
        <f t="shared" si="4"/>
        <v/>
      </c>
      <c r="L26" s="15" t="str">
        <f t="shared" si="5"/>
        <v/>
      </c>
      <c r="M26" s="15">
        <f t="shared" si="9"/>
        <v>0.17039181837253148</v>
      </c>
      <c r="N26" s="15">
        <f t="shared" si="10"/>
        <v>2.9621212121212119</v>
      </c>
      <c r="O26" s="15">
        <f t="shared" si="11"/>
        <v>0.17048985852604925</v>
      </c>
      <c r="P26" s="18">
        <f>IF(SUMIFS('Daily NSE Equity Futures'!$J:$J,'Daily NSE Equity Futures'!$A:$A,$A26)=0,"",SUMIFS('Daily NSE Equity Futures'!$J:$J,'Daily NSE Equity Futures'!$A:$A,$A26))</f>
        <v>1777996</v>
      </c>
      <c r="Q26" s="7">
        <f>IF(SUMIFS('Daily BSE Equity Futures'!$J:$J,'Daily BSE Equity Futures'!$A:$A,$A26)=0,"",SUMIFS('Daily BSE Equity Futures'!$J:$J,'Daily BSE Equity Futures'!$A:$A,$A26))</f>
        <v>134</v>
      </c>
      <c r="R26" s="7">
        <f t="shared" si="6"/>
        <v>1778130</v>
      </c>
      <c r="S26" s="19">
        <f t="shared" si="7"/>
        <v>0.99992463993071368</v>
      </c>
      <c r="T26" s="19">
        <f t="shared" si="8"/>
        <v>7.5360069286272652E-5</v>
      </c>
    </row>
    <row r="27" spans="1:20" x14ac:dyDescent="0.2">
      <c r="A27" s="9">
        <v>43964</v>
      </c>
      <c r="B27" s="4" t="s">
        <v>221</v>
      </c>
      <c r="C27" s="8">
        <v>43952</v>
      </c>
      <c r="D27" s="4" t="s">
        <v>173</v>
      </c>
      <c r="E27" s="14">
        <f>IF(SUMIFS('Daily NSE Equity Futures'!$I:$I,'Daily NSE Equity Futures'!$A:$A,$A27)=0,"",SUMIFS('Daily NSE Equity Futures'!$I:$I,'Daily NSE Equity Futures'!$A:$A,$A27))</f>
        <v>890.78629999999998</v>
      </c>
      <c r="F27" s="6">
        <f>IF(SUMIFS('Daily BSE Equity Futures'!$I:$I,'Daily BSE Equity Futures'!$A:$A,$A27)=0,"",SUMIFS('Daily BSE Equity Futures'!$I:$I,'Daily BSE Equity Futures'!$A:$A,$A27))</f>
        <v>0.10440000000000001</v>
      </c>
      <c r="G27" s="6">
        <f t="shared" si="0"/>
        <v>890.89070000000004</v>
      </c>
      <c r="H27" s="15">
        <f t="shared" si="1"/>
        <v>0.9998828139074748</v>
      </c>
      <c r="I27" s="15">
        <f t="shared" si="2"/>
        <v>1.1718609252515488E-4</v>
      </c>
      <c r="J27" s="20" t="str">
        <f t="shared" si="3"/>
        <v/>
      </c>
      <c r="K27" s="15" t="str">
        <f t="shared" si="4"/>
        <v/>
      </c>
      <c r="L27" s="15" t="str">
        <f t="shared" si="5"/>
        <v/>
      </c>
      <c r="M27" s="15">
        <f t="shared" si="9"/>
        <v>1.247484118176323E-2</v>
      </c>
      <c r="N27" s="15">
        <f t="shared" si="10"/>
        <v>-1.9120458891012104E-3</v>
      </c>
      <c r="O27" s="15">
        <f t="shared" si="11"/>
        <v>1.2473130939633537E-2</v>
      </c>
      <c r="P27" s="18">
        <f>IF(SUMIFS('Daily NSE Equity Futures'!$J:$J,'Daily NSE Equity Futures'!$A:$A,$A27)=0,"",SUMIFS('Daily NSE Equity Futures'!$J:$J,'Daily NSE Equity Futures'!$A:$A,$A27))</f>
        <v>1775451</v>
      </c>
      <c r="Q27" s="7">
        <f>IF(SUMIFS('Daily BSE Equity Futures'!$J:$J,'Daily BSE Equity Futures'!$A:$A,$A27)=0,"",SUMIFS('Daily BSE Equity Futures'!$J:$J,'Daily BSE Equity Futures'!$A:$A,$A27))</f>
        <v>130</v>
      </c>
      <c r="R27" s="7">
        <f t="shared" si="6"/>
        <v>1775581</v>
      </c>
      <c r="S27" s="19">
        <f t="shared" si="7"/>
        <v>0.9999267845285571</v>
      </c>
      <c r="T27" s="19">
        <f t="shared" si="8"/>
        <v>7.3215471442868559E-5</v>
      </c>
    </row>
    <row r="28" spans="1:20" x14ac:dyDescent="0.2">
      <c r="A28" s="9">
        <v>43965</v>
      </c>
      <c r="B28" s="4" t="s">
        <v>224</v>
      </c>
      <c r="C28" s="8">
        <v>43952</v>
      </c>
      <c r="D28" s="4" t="s">
        <v>173</v>
      </c>
      <c r="E28" s="14">
        <f>IF(SUMIFS('Daily NSE Equity Futures'!$I:$I,'Daily NSE Equity Futures'!$A:$A,$A28)=0,"",SUMIFS('Daily NSE Equity Futures'!$I:$I,'Daily NSE Equity Futures'!$A:$A,$A28))</f>
        <v>757.50900000000001</v>
      </c>
      <c r="F28" s="6">
        <f>IF(SUMIFS('Daily BSE Equity Futures'!$I:$I,'Daily BSE Equity Futures'!$A:$A,$A28)=0,"",SUMIFS('Daily BSE Equity Futures'!$I:$I,'Daily BSE Equity Futures'!$A:$A,$A28))</f>
        <v>6.0900000000000003E-2</v>
      </c>
      <c r="G28" s="6">
        <f t="shared" si="0"/>
        <v>757.56989999999996</v>
      </c>
      <c r="H28" s="15">
        <f t="shared" si="1"/>
        <v>0.99991961137843521</v>
      </c>
      <c r="I28" s="15">
        <f t="shared" si="2"/>
        <v>8.0388621564821941E-5</v>
      </c>
      <c r="J28" s="20" t="str">
        <f t="shared" si="3"/>
        <v/>
      </c>
      <c r="K28" s="15" t="str">
        <f t="shared" si="4"/>
        <v/>
      </c>
      <c r="L28" s="15" t="str">
        <f t="shared" si="5"/>
        <v/>
      </c>
      <c r="M28" s="15">
        <f t="shared" si="9"/>
        <v>-0.14961759066119451</v>
      </c>
      <c r="N28" s="15">
        <f t="shared" si="10"/>
        <v>-0.41666666666666663</v>
      </c>
      <c r="O28" s="15">
        <f t="shared" si="11"/>
        <v>-0.14964888509892416</v>
      </c>
      <c r="P28" s="18">
        <f>IF(SUMIFS('Daily NSE Equity Futures'!$J:$J,'Daily NSE Equity Futures'!$A:$A,$A28)=0,"",SUMIFS('Daily NSE Equity Futures'!$J:$J,'Daily NSE Equity Futures'!$A:$A,$A28))</f>
        <v>1488572</v>
      </c>
      <c r="Q28" s="7">
        <f>IF(SUMIFS('Daily BSE Equity Futures'!$J:$J,'Daily BSE Equity Futures'!$A:$A,$A28)=0,"",SUMIFS('Daily BSE Equity Futures'!$J:$J,'Daily BSE Equity Futures'!$A:$A,$A28))</f>
        <v>78</v>
      </c>
      <c r="R28" s="7">
        <f t="shared" si="6"/>
        <v>1488650</v>
      </c>
      <c r="S28" s="19">
        <f t="shared" si="7"/>
        <v>0.99994760353340273</v>
      </c>
      <c r="T28" s="19">
        <f t="shared" si="8"/>
        <v>5.2396466597252546E-5</v>
      </c>
    </row>
    <row r="29" spans="1:20" x14ac:dyDescent="0.2">
      <c r="A29" s="9">
        <v>43966</v>
      </c>
      <c r="B29" s="4" t="s">
        <v>222</v>
      </c>
      <c r="C29" s="8">
        <v>43952</v>
      </c>
      <c r="D29" s="4" t="s">
        <v>173</v>
      </c>
      <c r="E29" s="14">
        <f>IF(SUMIFS('Daily NSE Equity Futures'!$I:$I,'Daily NSE Equity Futures'!$A:$A,$A29)=0,"",SUMIFS('Daily NSE Equity Futures'!$I:$I,'Daily NSE Equity Futures'!$A:$A,$A29))</f>
        <v>686.20420000000001</v>
      </c>
      <c r="F29" s="6">
        <f>IF(SUMIFS('Daily BSE Equity Futures'!$I:$I,'Daily BSE Equity Futures'!$A:$A,$A29)=0,"",SUMIFS('Daily BSE Equity Futures'!$I:$I,'Daily BSE Equity Futures'!$A:$A,$A29))</f>
        <v>4.5600000000000002E-2</v>
      </c>
      <c r="G29" s="6">
        <f t="shared" si="0"/>
        <v>686.24980000000005</v>
      </c>
      <c r="H29" s="15">
        <f t="shared" si="1"/>
        <v>0.99993355189320265</v>
      </c>
      <c r="I29" s="15">
        <f t="shared" si="2"/>
        <v>6.6448106797262451E-5</v>
      </c>
      <c r="J29" s="20" t="str">
        <f t="shared" si="3"/>
        <v/>
      </c>
      <c r="K29" s="15" t="str">
        <f t="shared" si="4"/>
        <v/>
      </c>
      <c r="L29" s="15" t="str">
        <f t="shared" si="5"/>
        <v/>
      </c>
      <c r="M29" s="15">
        <f t="shared" si="9"/>
        <v>-9.4130630791185332E-2</v>
      </c>
      <c r="N29" s="15">
        <f t="shared" si="10"/>
        <v>-0.25123152709359609</v>
      </c>
      <c r="O29" s="15">
        <f t="shared" si="11"/>
        <v>-9.4143259915685507E-2</v>
      </c>
      <c r="P29" s="18">
        <f>IF(SUMIFS('Daily NSE Equity Futures'!$J:$J,'Daily NSE Equity Futures'!$A:$A,$A29)=0,"",SUMIFS('Daily NSE Equity Futures'!$J:$J,'Daily NSE Equity Futures'!$A:$A,$A29))</f>
        <v>1353397</v>
      </c>
      <c r="Q29" s="7">
        <f>IF(SUMIFS('Daily BSE Equity Futures'!$J:$J,'Daily BSE Equity Futures'!$A:$A,$A29)=0,"",SUMIFS('Daily BSE Equity Futures'!$J:$J,'Daily BSE Equity Futures'!$A:$A,$A29))</f>
        <v>59</v>
      </c>
      <c r="R29" s="7">
        <f t="shared" si="6"/>
        <v>1353456</v>
      </c>
      <c r="S29" s="19">
        <f t="shared" si="7"/>
        <v>0.9999564078920925</v>
      </c>
      <c r="T29" s="19">
        <f t="shared" si="8"/>
        <v>4.3592107907460608E-5</v>
      </c>
    </row>
    <row r="30" spans="1:20" x14ac:dyDescent="0.2">
      <c r="A30" s="9">
        <v>43969</v>
      </c>
      <c r="B30" s="4" t="s">
        <v>225</v>
      </c>
      <c r="C30" s="8">
        <v>43952</v>
      </c>
      <c r="D30" s="4" t="s">
        <v>173</v>
      </c>
      <c r="E30" s="14">
        <f>IF(SUMIFS('Daily NSE Equity Futures'!$I:$I,'Daily NSE Equity Futures'!$A:$A,$A30)=0,"",SUMIFS('Daily NSE Equity Futures'!$I:$I,'Daily NSE Equity Futures'!$A:$A,$A30))</f>
        <v>887.11170000000004</v>
      </c>
      <c r="F30" s="6">
        <f>IF(SUMIFS('Daily BSE Equity Futures'!$I:$I,'Daily BSE Equity Futures'!$A:$A,$A30)=0,"",SUMIFS('Daily BSE Equity Futures'!$I:$I,'Daily BSE Equity Futures'!$A:$A,$A30))</f>
        <v>0.13300000000000001</v>
      </c>
      <c r="G30" s="6">
        <f t="shared" si="0"/>
        <v>887.24470000000008</v>
      </c>
      <c r="H30" s="15">
        <f t="shared" si="1"/>
        <v>0.999850097723886</v>
      </c>
      <c r="I30" s="15">
        <f t="shared" si="2"/>
        <v>1.4990227611390633E-4</v>
      </c>
      <c r="J30" s="20" t="str">
        <f t="shared" si="3"/>
        <v/>
      </c>
      <c r="K30" s="15" t="str">
        <f t="shared" si="4"/>
        <v/>
      </c>
      <c r="L30" s="15" t="str">
        <f t="shared" si="5"/>
        <v/>
      </c>
      <c r="M30" s="15">
        <f t="shared" si="9"/>
        <v>0.29278092439539138</v>
      </c>
      <c r="N30" s="15">
        <f t="shared" si="10"/>
        <v>1.9166666666666665</v>
      </c>
      <c r="O30" s="15">
        <f t="shared" si="11"/>
        <v>0.29288882852862042</v>
      </c>
      <c r="P30" s="18">
        <f>IF(SUMIFS('Daily NSE Equity Futures'!$J:$J,'Daily NSE Equity Futures'!$A:$A,$A30)=0,"",SUMIFS('Daily NSE Equity Futures'!$J:$J,'Daily NSE Equity Futures'!$A:$A,$A30))</f>
        <v>1842964</v>
      </c>
      <c r="Q30" s="7">
        <f>IF(SUMIFS('Daily BSE Equity Futures'!$J:$J,'Daily BSE Equity Futures'!$A:$A,$A30)=0,"",SUMIFS('Daily BSE Equity Futures'!$J:$J,'Daily BSE Equity Futures'!$A:$A,$A30))</f>
        <v>176</v>
      </c>
      <c r="R30" s="7">
        <f t="shared" si="6"/>
        <v>1843140</v>
      </c>
      <c r="S30" s="19">
        <f t="shared" si="7"/>
        <v>0.9999045107805159</v>
      </c>
      <c r="T30" s="19">
        <f t="shared" si="8"/>
        <v>9.5489219484141196E-5</v>
      </c>
    </row>
    <row r="31" spans="1:20" x14ac:dyDescent="0.2">
      <c r="A31" s="9">
        <v>43970</v>
      </c>
      <c r="B31" s="4" t="s">
        <v>223</v>
      </c>
      <c r="C31" s="8">
        <v>43952</v>
      </c>
      <c r="D31" s="4" t="s">
        <v>173</v>
      </c>
      <c r="E31" s="14">
        <f>IF(SUMIFS('Daily NSE Equity Futures'!$I:$I,'Daily NSE Equity Futures'!$A:$A,$A31)=0,"",SUMIFS('Daily NSE Equity Futures'!$I:$I,'Daily NSE Equity Futures'!$A:$A,$A31))</f>
        <v>886.65170000000001</v>
      </c>
      <c r="F31" s="6">
        <f>IF(SUMIFS('Daily BSE Equity Futures'!$I:$I,'Daily BSE Equity Futures'!$A:$A,$A31)=0,"",SUMIFS('Daily BSE Equity Futures'!$I:$I,'Daily BSE Equity Futures'!$A:$A,$A31))</f>
        <v>0.18509999999999999</v>
      </c>
      <c r="G31" s="6">
        <f t="shared" si="0"/>
        <v>886.83680000000004</v>
      </c>
      <c r="H31" s="15">
        <f t="shared" si="1"/>
        <v>0.99979128065050971</v>
      </c>
      <c r="I31" s="15">
        <f t="shared" si="2"/>
        <v>2.0871934949023312E-4</v>
      </c>
      <c r="J31" s="20" t="str">
        <f t="shared" si="3"/>
        <v/>
      </c>
      <c r="K31" s="15" t="str">
        <f t="shared" si="4"/>
        <v/>
      </c>
      <c r="L31" s="15" t="str">
        <f t="shared" si="5"/>
        <v/>
      </c>
      <c r="M31" s="15">
        <f t="shared" si="9"/>
        <v>-5.1853672992929756E-4</v>
      </c>
      <c r="N31" s="15">
        <f t="shared" si="10"/>
        <v>0.39172932330827059</v>
      </c>
      <c r="O31" s="15">
        <f t="shared" si="11"/>
        <v>-4.5973788290876172E-4</v>
      </c>
      <c r="P31" s="18">
        <f>IF(SUMIFS('Daily NSE Equity Futures'!$J:$J,'Daily NSE Equity Futures'!$A:$A,$A31)=0,"",SUMIFS('Daily NSE Equity Futures'!$J:$J,'Daily NSE Equity Futures'!$A:$A,$A31))</f>
        <v>1816667</v>
      </c>
      <c r="Q31" s="7">
        <f>IF(SUMIFS('Daily BSE Equity Futures'!$J:$J,'Daily BSE Equity Futures'!$A:$A,$A31)=0,"",SUMIFS('Daily BSE Equity Futures'!$J:$J,'Daily BSE Equity Futures'!$A:$A,$A31))</f>
        <v>245</v>
      </c>
      <c r="R31" s="7">
        <f t="shared" si="6"/>
        <v>1816912</v>
      </c>
      <c r="S31" s="19">
        <f t="shared" si="7"/>
        <v>0.99986515582482804</v>
      </c>
      <c r="T31" s="19">
        <f t="shared" si="8"/>
        <v>1.3484417517194009E-4</v>
      </c>
    </row>
    <row r="32" spans="1:20" x14ac:dyDescent="0.2">
      <c r="A32" s="9">
        <v>43971</v>
      </c>
      <c r="B32" s="4" t="s">
        <v>221</v>
      </c>
      <c r="C32" s="8">
        <v>43952</v>
      </c>
      <c r="D32" s="4" t="s">
        <v>173</v>
      </c>
      <c r="E32" s="14">
        <f>IF(SUMIFS('Daily NSE Equity Futures'!$I:$I,'Daily NSE Equity Futures'!$A:$A,$A32)=0,"",SUMIFS('Daily NSE Equity Futures'!$I:$I,'Daily NSE Equity Futures'!$A:$A,$A32))</f>
        <v>845.83410000000003</v>
      </c>
      <c r="F32" s="6">
        <f>IF(SUMIFS('Daily BSE Equity Futures'!$I:$I,'Daily BSE Equity Futures'!$A:$A,$A32)=0,"",SUMIFS('Daily BSE Equity Futures'!$I:$I,'Daily BSE Equity Futures'!$A:$A,$A32))</f>
        <v>0.25850000000000001</v>
      </c>
      <c r="G32" s="6">
        <f t="shared" si="0"/>
        <v>846.09260000000006</v>
      </c>
      <c r="H32" s="15">
        <f t="shared" si="1"/>
        <v>0.99969447788575383</v>
      </c>
      <c r="I32" s="15">
        <f t="shared" si="2"/>
        <v>3.0552211424612387E-4</v>
      </c>
      <c r="J32" s="20" t="str">
        <f t="shared" si="3"/>
        <v/>
      </c>
      <c r="K32" s="15" t="str">
        <f t="shared" si="4"/>
        <v/>
      </c>
      <c r="L32" s="15" t="str">
        <f t="shared" si="5"/>
        <v/>
      </c>
      <c r="M32" s="15">
        <f t="shared" si="9"/>
        <v>-4.6035664286212863E-2</v>
      </c>
      <c r="N32" s="15">
        <f t="shared" si="10"/>
        <v>0.39654240950837405</v>
      </c>
      <c r="O32" s="15">
        <f t="shared" si="11"/>
        <v>-4.594328967855188E-2</v>
      </c>
      <c r="P32" s="18">
        <f>IF(SUMIFS('Daily NSE Equity Futures'!$J:$J,'Daily NSE Equity Futures'!$A:$A,$A32)=0,"",SUMIFS('Daily NSE Equity Futures'!$J:$J,'Daily NSE Equity Futures'!$A:$A,$A32))</f>
        <v>1717422</v>
      </c>
      <c r="Q32" s="7">
        <f>IF(SUMIFS('Daily BSE Equity Futures'!$J:$J,'Daily BSE Equity Futures'!$A:$A,$A32)=0,"",SUMIFS('Daily BSE Equity Futures'!$J:$J,'Daily BSE Equity Futures'!$A:$A,$A32))</f>
        <v>338</v>
      </c>
      <c r="R32" s="7">
        <f t="shared" si="6"/>
        <v>1717760</v>
      </c>
      <c r="S32" s="19">
        <f t="shared" si="7"/>
        <v>0.99980323211624444</v>
      </c>
      <c r="T32" s="19">
        <f t="shared" si="8"/>
        <v>1.9676788375558868E-4</v>
      </c>
    </row>
    <row r="33" spans="1:20" x14ac:dyDescent="0.2">
      <c r="A33" s="9">
        <v>43972</v>
      </c>
      <c r="B33" s="4" t="s">
        <v>224</v>
      </c>
      <c r="C33" s="8">
        <v>43952</v>
      </c>
      <c r="D33" s="4" t="s">
        <v>173</v>
      </c>
      <c r="E33" s="14">
        <f>IF(SUMIFS('Daily NSE Equity Futures'!$I:$I,'Daily NSE Equity Futures'!$A:$A,$A33)=0,"",SUMIFS('Daily NSE Equity Futures'!$I:$I,'Daily NSE Equity Futures'!$A:$A,$A33))</f>
        <v>800.89559999999994</v>
      </c>
      <c r="F33" s="6">
        <f>IF(SUMIFS('Daily BSE Equity Futures'!$I:$I,'Daily BSE Equity Futures'!$A:$A,$A33)=0,"",SUMIFS('Daily BSE Equity Futures'!$I:$I,'Daily BSE Equity Futures'!$A:$A,$A33))</f>
        <v>9.2600000000000002E-2</v>
      </c>
      <c r="G33" s="6">
        <f t="shared" si="0"/>
        <v>800.98819999999989</v>
      </c>
      <c r="H33" s="15">
        <f t="shared" si="1"/>
        <v>0.99988439280378916</v>
      </c>
      <c r="I33" s="15">
        <f t="shared" si="2"/>
        <v>1.1560719621088053E-4</v>
      </c>
      <c r="J33" s="20" t="str">
        <f t="shared" si="3"/>
        <v/>
      </c>
      <c r="K33" s="15" t="str">
        <f t="shared" si="4"/>
        <v/>
      </c>
      <c r="L33" s="15" t="str">
        <f t="shared" si="5"/>
        <v/>
      </c>
      <c r="M33" s="15">
        <f t="shared" si="9"/>
        <v>-5.3129212927215952E-2</v>
      </c>
      <c r="N33" s="15">
        <f t="shared" si="10"/>
        <v>-0.64177949709864601</v>
      </c>
      <c r="O33" s="15">
        <f t="shared" si="11"/>
        <v>-5.3309058606587745E-2</v>
      </c>
      <c r="P33" s="18">
        <f>IF(SUMIFS('Daily NSE Equity Futures'!$J:$J,'Daily NSE Equity Futures'!$A:$A,$A33)=0,"",SUMIFS('Daily NSE Equity Futures'!$J:$J,'Daily NSE Equity Futures'!$A:$A,$A33))</f>
        <v>1644977</v>
      </c>
      <c r="Q33" s="7">
        <f>IF(SUMIFS('Daily BSE Equity Futures'!$J:$J,'Daily BSE Equity Futures'!$A:$A,$A33)=0,"",SUMIFS('Daily BSE Equity Futures'!$J:$J,'Daily BSE Equity Futures'!$A:$A,$A33))</f>
        <v>120</v>
      </c>
      <c r="R33" s="7">
        <f t="shared" si="6"/>
        <v>1645097</v>
      </c>
      <c r="S33" s="19">
        <f t="shared" si="7"/>
        <v>0.99992705597299125</v>
      </c>
      <c r="T33" s="19">
        <f t="shared" si="8"/>
        <v>7.2944027008741731E-5</v>
      </c>
    </row>
    <row r="34" spans="1:20" x14ac:dyDescent="0.2">
      <c r="A34" s="9">
        <v>43973</v>
      </c>
      <c r="B34" s="4" t="s">
        <v>222</v>
      </c>
      <c r="C34" s="8">
        <v>43952</v>
      </c>
      <c r="D34" s="4" t="s">
        <v>173</v>
      </c>
      <c r="E34" s="14">
        <f>IF(SUMIFS('Daily NSE Equity Futures'!$I:$I,'Daily NSE Equity Futures'!$A:$A,$A34)=0,"",SUMIFS('Daily NSE Equity Futures'!$I:$I,'Daily NSE Equity Futures'!$A:$A,$A34))</f>
        <v>1076.4297999999999</v>
      </c>
      <c r="F34" s="6">
        <f>IF(SUMIFS('Daily BSE Equity Futures'!$I:$I,'Daily BSE Equity Futures'!$A:$A,$A34)=0,"",SUMIFS('Daily BSE Equity Futures'!$I:$I,'Daily BSE Equity Futures'!$A:$A,$A34))</f>
        <v>0.1273</v>
      </c>
      <c r="G34" s="6">
        <f t="shared" si="0"/>
        <v>1076.5571</v>
      </c>
      <c r="H34" s="15">
        <f t="shared" si="1"/>
        <v>0.9998817526724777</v>
      </c>
      <c r="I34" s="15">
        <f t="shared" si="2"/>
        <v>1.1824732752215372E-4</v>
      </c>
      <c r="J34" s="20" t="str">
        <f t="shared" si="3"/>
        <v/>
      </c>
      <c r="K34" s="15" t="str">
        <f t="shared" si="4"/>
        <v/>
      </c>
      <c r="L34" s="15" t="str">
        <f t="shared" si="5"/>
        <v/>
      </c>
      <c r="M34" s="15">
        <f t="shared" si="9"/>
        <v>0.34403260549814485</v>
      </c>
      <c r="N34" s="15">
        <f t="shared" si="10"/>
        <v>0.37473002159827207</v>
      </c>
      <c r="O34" s="15">
        <f t="shared" si="11"/>
        <v>0.34403615434035117</v>
      </c>
      <c r="P34" s="18">
        <f>IF(SUMIFS('Daily NSE Equity Futures'!$J:$J,'Daily NSE Equity Futures'!$A:$A,$A34)=0,"",SUMIFS('Daily NSE Equity Futures'!$J:$J,'Daily NSE Equity Futures'!$A:$A,$A34))</f>
        <v>2305776</v>
      </c>
      <c r="Q34" s="7">
        <f>IF(SUMIFS('Daily BSE Equity Futures'!$J:$J,'Daily BSE Equity Futures'!$A:$A,$A34)=0,"",SUMIFS('Daily BSE Equity Futures'!$J:$J,'Daily BSE Equity Futures'!$A:$A,$A34))</f>
        <v>166</v>
      </c>
      <c r="R34" s="7">
        <f t="shared" si="6"/>
        <v>2305942</v>
      </c>
      <c r="S34" s="19">
        <f t="shared" si="7"/>
        <v>0.99992801206621851</v>
      </c>
      <c r="T34" s="19">
        <f t="shared" si="8"/>
        <v>7.1987933781508809E-5</v>
      </c>
    </row>
    <row r="35" spans="1:20" x14ac:dyDescent="0.2">
      <c r="A35" s="9">
        <v>43977</v>
      </c>
      <c r="B35" s="4" t="s">
        <v>223</v>
      </c>
      <c r="C35" s="8">
        <v>43952</v>
      </c>
      <c r="D35" s="4" t="s">
        <v>173</v>
      </c>
      <c r="E35" s="14">
        <f>IF(SUMIFS('Daily NSE Equity Futures'!$I:$I,'Daily NSE Equity Futures'!$A:$A,$A35)=0,"",SUMIFS('Daily NSE Equity Futures'!$I:$I,'Daily NSE Equity Futures'!$A:$A,$A35))</f>
        <v>1361.1984</v>
      </c>
      <c r="F35" s="6">
        <f>IF(SUMIFS('Daily BSE Equity Futures'!$I:$I,'Daily BSE Equity Futures'!$A:$A,$A35)=0,"",SUMIFS('Daily BSE Equity Futures'!$I:$I,'Daily BSE Equity Futures'!$A:$A,$A35))</f>
        <v>4.8399999999999999E-2</v>
      </c>
      <c r="G35" s="6">
        <f t="shared" si="0"/>
        <v>1361.2467999999999</v>
      </c>
      <c r="H35" s="15">
        <f t="shared" si="1"/>
        <v>0.99996444436086096</v>
      </c>
      <c r="I35" s="15">
        <f t="shared" si="2"/>
        <v>3.5555639139059868E-5</v>
      </c>
      <c r="J35" s="20" t="str">
        <f t="shared" si="3"/>
        <v/>
      </c>
      <c r="K35" s="15" t="str">
        <f t="shared" si="4"/>
        <v/>
      </c>
      <c r="L35" s="15" t="str">
        <f t="shared" si="5"/>
        <v/>
      </c>
      <c r="M35" s="15">
        <f t="shared" si="9"/>
        <v>0.26454916056764688</v>
      </c>
      <c r="N35" s="15">
        <f t="shared" si="10"/>
        <v>-0.61979575805184606</v>
      </c>
      <c r="O35" s="15">
        <f t="shared" si="11"/>
        <v>0.26444458914441227</v>
      </c>
      <c r="P35" s="18">
        <f>IF(SUMIFS('Daily NSE Equity Futures'!$J:$J,'Daily NSE Equity Futures'!$A:$A,$A35)=0,"",SUMIFS('Daily NSE Equity Futures'!$J:$J,'Daily NSE Equity Futures'!$A:$A,$A35))</f>
        <v>2763830</v>
      </c>
      <c r="Q35" s="7">
        <f>IF(SUMIFS('Daily BSE Equity Futures'!$J:$J,'Daily BSE Equity Futures'!$A:$A,$A35)=0,"",SUMIFS('Daily BSE Equity Futures'!$J:$J,'Daily BSE Equity Futures'!$A:$A,$A35))</f>
        <v>63</v>
      </c>
      <c r="R35" s="7">
        <f t="shared" si="6"/>
        <v>2763893</v>
      </c>
      <c r="S35" s="19">
        <f t="shared" si="7"/>
        <v>0.99997720606405527</v>
      </c>
      <c r="T35" s="19">
        <f t="shared" si="8"/>
        <v>2.2793935944698293E-5</v>
      </c>
    </row>
    <row r="36" spans="1:20" x14ac:dyDescent="0.2">
      <c r="A36" s="9">
        <v>43978</v>
      </c>
      <c r="B36" s="4" t="s">
        <v>221</v>
      </c>
      <c r="C36" s="8">
        <v>43952</v>
      </c>
      <c r="D36" s="4" t="s">
        <v>173</v>
      </c>
      <c r="E36" s="14">
        <f>IF(SUMIFS('Daily NSE Equity Futures'!$I:$I,'Daily NSE Equity Futures'!$A:$A,$A36)=0,"",SUMIFS('Daily NSE Equity Futures'!$I:$I,'Daily NSE Equity Futures'!$A:$A,$A36))</f>
        <v>1574.3786</v>
      </c>
      <c r="F36" s="6">
        <f>IF(SUMIFS('Daily BSE Equity Futures'!$I:$I,'Daily BSE Equity Futures'!$A:$A,$A36)=0,"",SUMIFS('Daily BSE Equity Futures'!$I:$I,'Daily BSE Equity Futures'!$A:$A,$A36))</f>
        <v>5.6899999999999999E-2</v>
      </c>
      <c r="G36" s="6">
        <f t="shared" si="0"/>
        <v>1574.4355</v>
      </c>
      <c r="H36" s="15">
        <f t="shared" si="1"/>
        <v>0.99996386006286064</v>
      </c>
      <c r="I36" s="15">
        <f t="shared" si="2"/>
        <v>3.6139937139374715E-5</v>
      </c>
      <c r="J36" s="20" t="str">
        <f t="shared" si="3"/>
        <v/>
      </c>
      <c r="K36" s="15" t="str">
        <f t="shared" si="4"/>
        <v/>
      </c>
      <c r="L36" s="15" t="str">
        <f t="shared" si="5"/>
        <v/>
      </c>
      <c r="M36" s="15">
        <f t="shared" si="9"/>
        <v>0.15661214412241442</v>
      </c>
      <c r="N36" s="15">
        <f t="shared" si="10"/>
        <v>0.17561983471074383</v>
      </c>
      <c r="O36" s="15">
        <f t="shared" si="11"/>
        <v>0.15661281995300214</v>
      </c>
      <c r="P36" s="18">
        <f>IF(SUMIFS('Daily NSE Equity Futures'!$J:$J,'Daily NSE Equity Futures'!$A:$A,$A36)=0,"",SUMIFS('Daily NSE Equity Futures'!$J:$J,'Daily NSE Equity Futures'!$A:$A,$A36))</f>
        <v>3306627</v>
      </c>
      <c r="Q36" s="7">
        <f>IF(SUMIFS('Daily BSE Equity Futures'!$J:$J,'Daily BSE Equity Futures'!$A:$A,$A36)=0,"",SUMIFS('Daily BSE Equity Futures'!$J:$J,'Daily BSE Equity Futures'!$A:$A,$A36))</f>
        <v>74</v>
      </c>
      <c r="R36" s="7">
        <f t="shared" si="6"/>
        <v>3306701</v>
      </c>
      <c r="S36" s="19">
        <f t="shared" si="7"/>
        <v>0.99997762120010247</v>
      </c>
      <c r="T36" s="19">
        <f t="shared" si="8"/>
        <v>2.2378799897541387E-5</v>
      </c>
    </row>
    <row r="37" spans="1:20" x14ac:dyDescent="0.2">
      <c r="A37" s="9">
        <v>43979</v>
      </c>
      <c r="B37" s="4" t="s">
        <v>224</v>
      </c>
      <c r="C37" s="8">
        <v>43952</v>
      </c>
      <c r="D37" s="4" t="s">
        <v>173</v>
      </c>
      <c r="E37" s="14">
        <f>IF(SUMIFS('Daily NSE Equity Futures'!$I:$I,'Daily NSE Equity Futures'!$A:$A,$A37)=0,"",SUMIFS('Daily NSE Equity Futures'!$I:$I,'Daily NSE Equity Futures'!$A:$A,$A37))</f>
        <v>1430.9937</v>
      </c>
      <c r="F37" s="6">
        <f>IF(SUMIFS('Daily BSE Equity Futures'!$I:$I,'Daily BSE Equity Futures'!$A:$A,$A37)=0,"",SUMIFS('Daily BSE Equity Futures'!$I:$I,'Daily BSE Equity Futures'!$A:$A,$A37))</f>
        <v>1.4125000000000001</v>
      </c>
      <c r="G37" s="6">
        <f t="shared" si="0"/>
        <v>1432.4061999999999</v>
      </c>
      <c r="H37" s="15">
        <f t="shared" si="1"/>
        <v>0.99901389703563148</v>
      </c>
      <c r="I37" s="15">
        <f t="shared" si="2"/>
        <v>9.8610296436862682E-4</v>
      </c>
      <c r="J37" s="20" t="str">
        <f t="shared" si="3"/>
        <v/>
      </c>
      <c r="K37" s="15" t="str">
        <f t="shared" si="4"/>
        <v/>
      </c>
      <c r="L37" s="15" t="str">
        <f t="shared" si="5"/>
        <v/>
      </c>
      <c r="M37" s="15">
        <f t="shared" si="9"/>
        <v>-9.1073964038891342E-2</v>
      </c>
      <c r="N37" s="15">
        <f t="shared" si="10"/>
        <v>23.824253075571178</v>
      </c>
      <c r="O37" s="15">
        <f t="shared" si="11"/>
        <v>-9.0209665623012247E-2</v>
      </c>
      <c r="P37" s="18">
        <f>IF(SUMIFS('Daily NSE Equity Futures'!$J:$J,'Daily NSE Equity Futures'!$A:$A,$A37)=0,"",SUMIFS('Daily NSE Equity Futures'!$J:$J,'Daily NSE Equity Futures'!$A:$A,$A37))</f>
        <v>2879337</v>
      </c>
      <c r="Q37" s="7">
        <f>IF(SUMIFS('Daily BSE Equity Futures'!$J:$J,'Daily BSE Equity Futures'!$A:$A,$A37)=0,"",SUMIFS('Daily BSE Equity Futures'!$J:$J,'Daily BSE Equity Futures'!$A:$A,$A37))</f>
        <v>1766</v>
      </c>
      <c r="R37" s="7">
        <f t="shared" si="6"/>
        <v>2881103</v>
      </c>
      <c r="S37" s="19">
        <f t="shared" si="7"/>
        <v>0.99938704031060321</v>
      </c>
      <c r="T37" s="19">
        <f t="shared" si="8"/>
        <v>6.1295968939673452E-4</v>
      </c>
    </row>
    <row r="38" spans="1:20" x14ac:dyDescent="0.2">
      <c r="A38" s="9">
        <v>43980</v>
      </c>
      <c r="B38" s="4" t="s">
        <v>222</v>
      </c>
      <c r="C38" s="8">
        <v>43952</v>
      </c>
      <c r="D38" s="4" t="s">
        <v>173</v>
      </c>
      <c r="E38" s="14">
        <f>IF(SUMIFS('Daily NSE Equity Futures'!$I:$I,'Daily NSE Equity Futures'!$A:$A,$A38)=0,"",SUMIFS('Daily NSE Equity Futures'!$I:$I,'Daily NSE Equity Futures'!$A:$A,$A38))</f>
        <v>938.40229999999997</v>
      </c>
      <c r="F38" s="6">
        <f>IF(SUMIFS('Daily BSE Equity Futures'!$I:$I,'Daily BSE Equity Futures'!$A:$A,$A38)=0,"",SUMIFS('Daily BSE Equity Futures'!$I:$I,'Daily BSE Equity Futures'!$A:$A,$A38))</f>
        <v>0.1014</v>
      </c>
      <c r="G38" s="6">
        <f t="shared" si="0"/>
        <v>938.50369999999998</v>
      </c>
      <c r="H38" s="15">
        <f t="shared" si="1"/>
        <v>0.99989195567369626</v>
      </c>
      <c r="I38" s="15">
        <f t="shared" si="2"/>
        <v>1.0804432630366829E-4</v>
      </c>
      <c r="J38" s="20" t="str">
        <f t="shared" si="3"/>
        <v/>
      </c>
      <c r="K38" s="15" t="str">
        <f t="shared" si="4"/>
        <v/>
      </c>
      <c r="L38" s="15" t="str">
        <f t="shared" si="5"/>
        <v/>
      </c>
      <c r="M38" s="15">
        <f t="shared" si="9"/>
        <v>-0.34423030653454312</v>
      </c>
      <c r="N38" s="15">
        <f t="shared" si="10"/>
        <v>-0.92821238938053097</v>
      </c>
      <c r="O38" s="15">
        <f t="shared" si="11"/>
        <v>-0.34480617299757566</v>
      </c>
      <c r="P38" s="18">
        <f>IF(SUMIFS('Daily NSE Equity Futures'!$J:$J,'Daily NSE Equity Futures'!$A:$A,$A38)=0,"",SUMIFS('Daily NSE Equity Futures'!$J:$J,'Daily NSE Equity Futures'!$A:$A,$A38))</f>
        <v>1829629</v>
      </c>
      <c r="Q38" s="7">
        <f>IF(SUMIFS('Daily BSE Equity Futures'!$J:$J,'Daily BSE Equity Futures'!$A:$A,$A38)=0,"",SUMIFS('Daily BSE Equity Futures'!$J:$J,'Daily BSE Equity Futures'!$A:$A,$A38))</f>
        <v>127</v>
      </c>
      <c r="R38" s="7">
        <f t="shared" si="6"/>
        <v>1829756</v>
      </c>
      <c r="S38" s="19">
        <f t="shared" si="7"/>
        <v>0.99993059183847466</v>
      </c>
      <c r="T38" s="19">
        <f t="shared" si="8"/>
        <v>6.9408161525361849E-5</v>
      </c>
    </row>
    <row r="39" spans="1:20" x14ac:dyDescent="0.2">
      <c r="A39" s="9">
        <v>43983</v>
      </c>
      <c r="B39" s="4" t="s">
        <v>225</v>
      </c>
      <c r="C39" s="8">
        <v>43983</v>
      </c>
      <c r="D39" s="4" t="s">
        <v>173</v>
      </c>
      <c r="E39" s="14">
        <f>IF(SUMIFS('Daily NSE Equity Futures'!$I:$I,'Daily NSE Equity Futures'!$A:$A,$A39)=0,"",SUMIFS('Daily NSE Equity Futures'!$I:$I,'Daily NSE Equity Futures'!$A:$A,$A39))</f>
        <v>930.71630000000005</v>
      </c>
      <c r="F39" s="6">
        <f>IF(SUMIFS('Daily BSE Equity Futures'!$I:$I,'Daily BSE Equity Futures'!$A:$A,$A39)=0,"",SUMIFS('Daily BSE Equity Futures'!$I:$I,'Daily BSE Equity Futures'!$A:$A,$A39))</f>
        <v>5.6399999999999999E-2</v>
      </c>
      <c r="G39" s="6">
        <f t="shared" si="0"/>
        <v>930.7727000000001</v>
      </c>
      <c r="H39" s="15">
        <f t="shared" si="1"/>
        <v>0.99993940518453106</v>
      </c>
      <c r="I39" s="15">
        <f t="shared" si="2"/>
        <v>6.0594815468910933E-5</v>
      </c>
      <c r="J39" s="20" t="str">
        <f t="shared" si="3"/>
        <v/>
      </c>
      <c r="K39" s="15" t="str">
        <f t="shared" si="4"/>
        <v/>
      </c>
      <c r="L39" s="15" t="str">
        <f t="shared" si="5"/>
        <v/>
      </c>
      <c r="M39" s="15">
        <f t="shared" si="9"/>
        <v>-8.1905170096022717E-3</v>
      </c>
      <c r="N39" s="15">
        <f t="shared" si="10"/>
        <v>-0.44378698224852076</v>
      </c>
      <c r="O39" s="15">
        <f t="shared" si="11"/>
        <v>-8.2375807362292663E-3</v>
      </c>
      <c r="P39" s="18">
        <f>IF(SUMIFS('Daily NSE Equity Futures'!$J:$J,'Daily NSE Equity Futures'!$A:$A,$A39)=0,"",SUMIFS('Daily NSE Equity Futures'!$J:$J,'Daily NSE Equity Futures'!$A:$A,$A39))</f>
        <v>1761642</v>
      </c>
      <c r="Q39" s="7">
        <f>IF(SUMIFS('Daily BSE Equity Futures'!$J:$J,'Daily BSE Equity Futures'!$A:$A,$A39)=0,"",SUMIFS('Daily BSE Equity Futures'!$J:$J,'Daily BSE Equity Futures'!$A:$A,$A39))</f>
        <v>68</v>
      </c>
      <c r="R39" s="7">
        <f t="shared" si="6"/>
        <v>1761710</v>
      </c>
      <c r="S39" s="19">
        <f t="shared" si="7"/>
        <v>0.99996140113866638</v>
      </c>
      <c r="T39" s="19">
        <f t="shared" si="8"/>
        <v>3.8598861333590659E-5</v>
      </c>
    </row>
    <row r="40" spans="1:20" x14ac:dyDescent="0.2">
      <c r="A40" s="9">
        <v>43984</v>
      </c>
      <c r="B40" s="4" t="s">
        <v>223</v>
      </c>
      <c r="C40" s="8">
        <v>43983</v>
      </c>
      <c r="D40" s="4" t="s">
        <v>173</v>
      </c>
      <c r="E40" s="14">
        <f>IF(SUMIFS('Daily NSE Equity Futures'!$I:$I,'Daily NSE Equity Futures'!$A:$A,$A40)=0,"",SUMIFS('Daily NSE Equity Futures'!$I:$I,'Daily NSE Equity Futures'!$A:$A,$A40))</f>
        <v>850.01379999999995</v>
      </c>
      <c r="F40" s="6">
        <f>IF(SUMIFS('Daily BSE Equity Futures'!$I:$I,'Daily BSE Equity Futures'!$A:$A,$A40)=0,"",SUMIFS('Daily BSE Equity Futures'!$I:$I,'Daily BSE Equity Futures'!$A:$A,$A40))</f>
        <v>0.1106</v>
      </c>
      <c r="G40" s="6">
        <f t="shared" si="0"/>
        <v>850.12439999999992</v>
      </c>
      <c r="H40" s="15">
        <f t="shared" si="1"/>
        <v>0.99986990139325493</v>
      </c>
      <c r="I40" s="15">
        <f t="shared" si="2"/>
        <v>1.3009860674508344E-4</v>
      </c>
      <c r="J40" s="20" t="str">
        <f t="shared" si="3"/>
        <v/>
      </c>
      <c r="K40" s="15" t="str">
        <f t="shared" si="4"/>
        <v/>
      </c>
      <c r="L40" s="15" t="str">
        <f t="shared" si="5"/>
        <v/>
      </c>
      <c r="M40" s="15">
        <f t="shared" si="9"/>
        <v>-8.6710096298947437E-2</v>
      </c>
      <c r="N40" s="15">
        <f t="shared" si="10"/>
        <v>0.96099290780141855</v>
      </c>
      <c r="O40" s="15">
        <f t="shared" si="11"/>
        <v>-8.6646610928747925E-2</v>
      </c>
      <c r="P40" s="18">
        <f>IF(SUMIFS('Daily NSE Equity Futures'!$J:$J,'Daily NSE Equity Futures'!$A:$A,$A40)=0,"",SUMIFS('Daily NSE Equity Futures'!$J:$J,'Daily NSE Equity Futures'!$A:$A,$A40))</f>
        <v>1627743</v>
      </c>
      <c r="Q40" s="7">
        <f>IF(SUMIFS('Daily BSE Equity Futures'!$J:$J,'Daily BSE Equity Futures'!$A:$A,$A40)=0,"",SUMIFS('Daily BSE Equity Futures'!$J:$J,'Daily BSE Equity Futures'!$A:$A,$A40))</f>
        <v>132</v>
      </c>
      <c r="R40" s="7">
        <f t="shared" si="6"/>
        <v>1627875</v>
      </c>
      <c r="S40" s="19">
        <f t="shared" si="7"/>
        <v>0.99991891269292787</v>
      </c>
      <c r="T40" s="19">
        <f t="shared" si="8"/>
        <v>8.1087307072103196E-5</v>
      </c>
    </row>
    <row r="41" spans="1:20" x14ac:dyDescent="0.2">
      <c r="A41" s="9">
        <v>43985</v>
      </c>
      <c r="B41" s="4" t="s">
        <v>221</v>
      </c>
      <c r="C41" s="8">
        <v>43983</v>
      </c>
      <c r="D41" s="4" t="s">
        <v>173</v>
      </c>
      <c r="E41" s="14">
        <f>IF(SUMIFS('Daily NSE Equity Futures'!$I:$I,'Daily NSE Equity Futures'!$A:$A,$A41)=0,"",SUMIFS('Daily NSE Equity Futures'!$I:$I,'Daily NSE Equity Futures'!$A:$A,$A41))</f>
        <v>952.17449999999997</v>
      </c>
      <c r="F41" s="6">
        <f>IF(SUMIFS('Daily BSE Equity Futures'!$I:$I,'Daily BSE Equity Futures'!$A:$A,$A41)=0,"",SUMIFS('Daily BSE Equity Futures'!$I:$I,'Daily BSE Equity Futures'!$A:$A,$A41))</f>
        <v>6.2399999999999997E-2</v>
      </c>
      <c r="G41" s="6">
        <f t="shared" si="0"/>
        <v>952.23689999999999</v>
      </c>
      <c r="H41" s="15">
        <f t="shared" si="1"/>
        <v>0.99993447008827319</v>
      </c>
      <c r="I41" s="15">
        <f t="shared" si="2"/>
        <v>6.5529911726798241E-5</v>
      </c>
      <c r="J41" s="20" t="str">
        <f t="shared" si="3"/>
        <v/>
      </c>
      <c r="K41" s="15" t="str">
        <f t="shared" si="4"/>
        <v/>
      </c>
      <c r="L41" s="15" t="str">
        <f t="shared" si="5"/>
        <v/>
      </c>
      <c r="M41" s="15">
        <f t="shared" si="9"/>
        <v>0.12018710755048923</v>
      </c>
      <c r="N41" s="15">
        <f t="shared" si="10"/>
        <v>-0.43580470162748652</v>
      </c>
      <c r="O41" s="15">
        <f t="shared" si="11"/>
        <v>0.12011477379075353</v>
      </c>
      <c r="P41" s="18">
        <f>IF(SUMIFS('Daily NSE Equity Futures'!$J:$J,'Daily NSE Equity Futures'!$A:$A,$A41)=0,"",SUMIFS('Daily NSE Equity Futures'!$J:$J,'Daily NSE Equity Futures'!$A:$A,$A41))</f>
        <v>1819736</v>
      </c>
      <c r="Q41" s="7">
        <f>IF(SUMIFS('Daily BSE Equity Futures'!$J:$J,'Daily BSE Equity Futures'!$A:$A,$A41)=0,"",SUMIFS('Daily BSE Equity Futures'!$J:$J,'Daily BSE Equity Futures'!$A:$A,$A41))</f>
        <v>73</v>
      </c>
      <c r="R41" s="7">
        <f t="shared" si="6"/>
        <v>1819809</v>
      </c>
      <c r="S41" s="19">
        <f t="shared" si="7"/>
        <v>0.99995988590011364</v>
      </c>
      <c r="T41" s="19">
        <f t="shared" si="8"/>
        <v>4.0114099886306748E-5</v>
      </c>
    </row>
    <row r="42" spans="1:20" x14ac:dyDescent="0.2">
      <c r="A42" s="9">
        <v>43986</v>
      </c>
      <c r="B42" s="4" t="s">
        <v>224</v>
      </c>
      <c r="C42" s="8">
        <v>43983</v>
      </c>
      <c r="D42" s="4" t="s">
        <v>173</v>
      </c>
      <c r="E42" s="14">
        <f>IF(SUMIFS('Daily NSE Equity Futures'!$I:$I,'Daily NSE Equity Futures'!$A:$A,$A42)=0,"",SUMIFS('Daily NSE Equity Futures'!$I:$I,'Daily NSE Equity Futures'!$A:$A,$A42))</f>
        <v>957.24810000000002</v>
      </c>
      <c r="F42" s="6">
        <f>IF(SUMIFS('Daily BSE Equity Futures'!$I:$I,'Daily BSE Equity Futures'!$A:$A,$A42)=0,"",SUMIFS('Daily BSE Equity Futures'!$I:$I,'Daily BSE Equity Futures'!$A:$A,$A42))</f>
        <v>6.6199999999999995E-2</v>
      </c>
      <c r="G42" s="6">
        <f t="shared" si="0"/>
        <v>957.3143</v>
      </c>
      <c r="H42" s="15">
        <f t="shared" si="1"/>
        <v>0.99993084820732336</v>
      </c>
      <c r="I42" s="15">
        <f t="shared" si="2"/>
        <v>6.9151792676658012E-5</v>
      </c>
      <c r="J42" s="20" t="str">
        <f t="shared" si="3"/>
        <v/>
      </c>
      <c r="K42" s="15" t="str">
        <f t="shared" si="4"/>
        <v/>
      </c>
      <c r="L42" s="15" t="str">
        <f t="shared" si="5"/>
        <v/>
      </c>
      <c r="M42" s="15">
        <f t="shared" si="9"/>
        <v>5.3284350715125939E-3</v>
      </c>
      <c r="N42" s="15">
        <f t="shared" si="10"/>
        <v>6.0897435897435903E-2</v>
      </c>
      <c r="O42" s="15">
        <f t="shared" si="11"/>
        <v>5.3320765032314199E-3</v>
      </c>
      <c r="P42" s="18">
        <f>IF(SUMIFS('Daily NSE Equity Futures'!$J:$J,'Daily NSE Equity Futures'!$A:$A,$A42)=0,"",SUMIFS('Daily NSE Equity Futures'!$J:$J,'Daily NSE Equity Futures'!$A:$A,$A42))</f>
        <v>1795709</v>
      </c>
      <c r="Q42" s="7">
        <f>IF(SUMIFS('Daily BSE Equity Futures'!$J:$J,'Daily BSE Equity Futures'!$A:$A,$A42)=0,"",SUMIFS('Daily BSE Equity Futures'!$J:$J,'Daily BSE Equity Futures'!$A:$A,$A42))</f>
        <v>78</v>
      </c>
      <c r="R42" s="7">
        <f t="shared" si="6"/>
        <v>1795787</v>
      </c>
      <c r="S42" s="19">
        <f t="shared" si="7"/>
        <v>0.99995656500464702</v>
      </c>
      <c r="T42" s="19">
        <f t="shared" si="8"/>
        <v>4.3434995353012358E-5</v>
      </c>
    </row>
    <row r="43" spans="1:20" x14ac:dyDescent="0.2">
      <c r="A43" s="9">
        <v>43987</v>
      </c>
      <c r="B43" s="4" t="s">
        <v>222</v>
      </c>
      <c r="C43" s="8">
        <v>43983</v>
      </c>
      <c r="D43" s="4" t="s">
        <v>173</v>
      </c>
      <c r="E43" s="14">
        <f>IF(SUMIFS('Daily NSE Equity Futures'!$I:$I,'Daily NSE Equity Futures'!$A:$A,$A43)=0,"",SUMIFS('Daily NSE Equity Futures'!$I:$I,'Daily NSE Equity Futures'!$A:$A,$A43))</f>
        <v>964.52419999999995</v>
      </c>
      <c r="F43" s="6">
        <f>IF(SUMIFS('Daily BSE Equity Futures'!$I:$I,'Daily BSE Equity Futures'!$A:$A,$A43)=0,"",SUMIFS('Daily BSE Equity Futures'!$I:$I,'Daily BSE Equity Futures'!$A:$A,$A43))</f>
        <v>6.8400000000000002E-2</v>
      </c>
      <c r="G43" s="6">
        <f t="shared" si="0"/>
        <v>964.59259999999995</v>
      </c>
      <c r="H43" s="15">
        <f t="shared" si="1"/>
        <v>0.99992908923414925</v>
      </c>
      <c r="I43" s="15">
        <f t="shared" si="2"/>
        <v>7.0910765850785089E-5</v>
      </c>
      <c r="J43" s="20" t="str">
        <f t="shared" si="3"/>
        <v/>
      </c>
      <c r="K43" s="15" t="str">
        <f t="shared" si="4"/>
        <v/>
      </c>
      <c r="L43" s="15" t="str">
        <f t="shared" si="5"/>
        <v/>
      </c>
      <c r="M43" s="15">
        <f t="shared" si="9"/>
        <v>7.6010597461617646E-3</v>
      </c>
      <c r="N43" s="15">
        <f t="shared" si="10"/>
        <v>3.3232628398791597E-2</v>
      </c>
      <c r="O43" s="15">
        <f t="shared" si="11"/>
        <v>7.6028322150833993E-3</v>
      </c>
      <c r="P43" s="18">
        <f>IF(SUMIFS('Daily NSE Equity Futures'!$J:$J,'Daily NSE Equity Futures'!$A:$A,$A43)=0,"",SUMIFS('Daily NSE Equity Futures'!$J:$J,'Daily NSE Equity Futures'!$A:$A,$A43))</f>
        <v>1800263</v>
      </c>
      <c r="Q43" s="7">
        <f>IF(SUMIFS('Daily BSE Equity Futures'!$J:$J,'Daily BSE Equity Futures'!$A:$A,$A43)=0,"",SUMIFS('Daily BSE Equity Futures'!$J:$J,'Daily BSE Equity Futures'!$A:$A,$A43))</f>
        <v>80</v>
      </c>
      <c r="R43" s="7">
        <f t="shared" si="6"/>
        <v>1800343</v>
      </c>
      <c r="S43" s="19">
        <f t="shared" si="7"/>
        <v>0.99995556402307784</v>
      </c>
      <c r="T43" s="19">
        <f t="shared" si="8"/>
        <v>4.4435976922175389E-5</v>
      </c>
    </row>
    <row r="44" spans="1:20" x14ac:dyDescent="0.2">
      <c r="A44" s="9">
        <v>43990</v>
      </c>
      <c r="B44" s="4" t="s">
        <v>225</v>
      </c>
      <c r="C44" s="8">
        <v>43983</v>
      </c>
      <c r="D44" s="4" t="s">
        <v>173</v>
      </c>
      <c r="E44" s="14">
        <f>IF(SUMIFS('Daily NSE Equity Futures'!$I:$I,'Daily NSE Equity Futures'!$A:$A,$A44)=0,"",SUMIFS('Daily NSE Equity Futures'!$I:$I,'Daily NSE Equity Futures'!$A:$A,$A44))</f>
        <v>938.95349999999996</v>
      </c>
      <c r="F44" s="6">
        <f>IF(SUMIFS('Daily BSE Equity Futures'!$I:$I,'Daily BSE Equity Futures'!$A:$A,$A44)=0,"",SUMIFS('Daily BSE Equity Futures'!$I:$I,'Daily BSE Equity Futures'!$A:$A,$A44))</f>
        <v>1.03E-2</v>
      </c>
      <c r="G44" s="6">
        <f t="shared" si="0"/>
        <v>938.96379999999999</v>
      </c>
      <c r="H44" s="15">
        <f t="shared" si="1"/>
        <v>0.99998903046102516</v>
      </c>
      <c r="I44" s="15">
        <f t="shared" si="2"/>
        <v>1.0969538974771978E-5</v>
      </c>
      <c r="J44" s="20" t="str">
        <f t="shared" si="3"/>
        <v/>
      </c>
      <c r="K44" s="15" t="str">
        <f t="shared" si="4"/>
        <v/>
      </c>
      <c r="L44" s="15" t="str">
        <f t="shared" si="5"/>
        <v/>
      </c>
      <c r="M44" s="15">
        <f t="shared" si="9"/>
        <v>-2.6511206250708907E-2</v>
      </c>
      <c r="N44" s="15">
        <f t="shared" si="10"/>
        <v>-0.84941520467836251</v>
      </c>
      <c r="O44" s="15">
        <f t="shared" si="11"/>
        <v>-2.6569559003459031E-2</v>
      </c>
      <c r="P44" s="18">
        <f>IF(SUMIFS('Daily NSE Equity Futures'!$J:$J,'Daily NSE Equity Futures'!$A:$A,$A44)=0,"",SUMIFS('Daily NSE Equity Futures'!$J:$J,'Daily NSE Equity Futures'!$A:$A,$A44))</f>
        <v>1775993</v>
      </c>
      <c r="Q44" s="7">
        <f>IF(SUMIFS('Daily BSE Equity Futures'!$J:$J,'Daily BSE Equity Futures'!$A:$A,$A44)=0,"",SUMIFS('Daily BSE Equity Futures'!$J:$J,'Daily BSE Equity Futures'!$A:$A,$A44))</f>
        <v>12</v>
      </c>
      <c r="R44" s="7">
        <f t="shared" si="6"/>
        <v>1776005</v>
      </c>
      <c r="S44" s="19">
        <f t="shared" si="7"/>
        <v>0.99999324326226557</v>
      </c>
      <c r="T44" s="19">
        <f t="shared" si="8"/>
        <v>6.7567377344095319E-6</v>
      </c>
    </row>
    <row r="45" spans="1:20" x14ac:dyDescent="0.2">
      <c r="A45" s="9">
        <v>43991</v>
      </c>
      <c r="B45" s="4" t="s">
        <v>223</v>
      </c>
      <c r="C45" s="8">
        <v>43983</v>
      </c>
      <c r="D45" s="4" t="s">
        <v>173</v>
      </c>
      <c r="E45" s="14">
        <f>IF(SUMIFS('Daily NSE Equity Futures'!$I:$I,'Daily NSE Equity Futures'!$A:$A,$A45)=0,"",SUMIFS('Daily NSE Equity Futures'!$I:$I,'Daily NSE Equity Futures'!$A:$A,$A45))</f>
        <v>970.42650000000003</v>
      </c>
      <c r="F45" s="6">
        <f>IF(SUMIFS('Daily BSE Equity Futures'!$I:$I,'Daily BSE Equity Futures'!$A:$A,$A45)=0,"",SUMIFS('Daily BSE Equity Futures'!$I:$I,'Daily BSE Equity Futures'!$A:$A,$A45))</f>
        <v>9.3299999999999994E-2</v>
      </c>
      <c r="G45" s="6">
        <f t="shared" si="0"/>
        <v>970.51980000000003</v>
      </c>
      <c r="H45" s="15">
        <f t="shared" si="1"/>
        <v>0.9999038659489482</v>
      </c>
      <c r="I45" s="15">
        <f t="shared" si="2"/>
        <v>9.6134051051817787E-5</v>
      </c>
      <c r="J45" s="20" t="str">
        <f t="shared" si="3"/>
        <v/>
      </c>
      <c r="K45" s="15" t="str">
        <f t="shared" si="4"/>
        <v/>
      </c>
      <c r="L45" s="15" t="str">
        <f t="shared" si="5"/>
        <v/>
      </c>
      <c r="M45" s="15">
        <f t="shared" si="9"/>
        <v>3.3519231783043724E-2</v>
      </c>
      <c r="N45" s="15">
        <f t="shared" si="10"/>
        <v>8.0582524271844651</v>
      </c>
      <c r="O45" s="15">
        <f t="shared" si="11"/>
        <v>3.3607259406592815E-2</v>
      </c>
      <c r="P45" s="18">
        <f>IF(SUMIFS('Daily NSE Equity Futures'!$J:$J,'Daily NSE Equity Futures'!$A:$A,$A45)=0,"",SUMIFS('Daily NSE Equity Futures'!$J:$J,'Daily NSE Equity Futures'!$A:$A,$A45))</f>
        <v>1813313</v>
      </c>
      <c r="Q45" s="7">
        <f>IF(SUMIFS('Daily BSE Equity Futures'!$J:$J,'Daily BSE Equity Futures'!$A:$A,$A45)=0,"",SUMIFS('Daily BSE Equity Futures'!$J:$J,'Daily BSE Equity Futures'!$A:$A,$A45))</f>
        <v>108</v>
      </c>
      <c r="R45" s="7">
        <f t="shared" si="6"/>
        <v>1813421</v>
      </c>
      <c r="S45" s="19">
        <f t="shared" si="7"/>
        <v>0.99994044405573779</v>
      </c>
      <c r="T45" s="19">
        <f t="shared" si="8"/>
        <v>5.95559442622535E-5</v>
      </c>
    </row>
    <row r="46" spans="1:20" x14ac:dyDescent="0.2">
      <c r="A46" s="9">
        <v>43992</v>
      </c>
      <c r="B46" s="4" t="s">
        <v>221</v>
      </c>
      <c r="C46" s="8">
        <v>43983</v>
      </c>
      <c r="D46" s="4" t="s">
        <v>173</v>
      </c>
      <c r="E46" s="14">
        <f>IF(SUMIFS('Daily NSE Equity Futures'!$I:$I,'Daily NSE Equity Futures'!$A:$A,$A46)=0,"",SUMIFS('Daily NSE Equity Futures'!$I:$I,'Daily NSE Equity Futures'!$A:$A,$A46))</f>
        <v>846.09059999999999</v>
      </c>
      <c r="F46" s="6">
        <f>IF(SUMIFS('Daily BSE Equity Futures'!$I:$I,'Daily BSE Equity Futures'!$A:$A,$A46)=0,"",SUMIFS('Daily BSE Equity Futures'!$I:$I,'Daily BSE Equity Futures'!$A:$A,$A46))</f>
        <v>1.6999999999999999E-3</v>
      </c>
      <c r="G46" s="6">
        <f t="shared" si="0"/>
        <v>846.09230000000002</v>
      </c>
      <c r="H46" s="15">
        <f t="shared" si="1"/>
        <v>0.99999799076294626</v>
      </c>
      <c r="I46" s="15">
        <f t="shared" si="2"/>
        <v>2.0092370536878778E-6</v>
      </c>
      <c r="J46" s="20" t="str">
        <f t="shared" si="3"/>
        <v/>
      </c>
      <c r="K46" s="15" t="str">
        <f t="shared" si="4"/>
        <v/>
      </c>
      <c r="L46" s="15" t="str">
        <f t="shared" si="5"/>
        <v/>
      </c>
      <c r="M46" s="15">
        <f t="shared" si="9"/>
        <v>-0.12812500483035039</v>
      </c>
      <c r="N46" s="15">
        <f t="shared" si="10"/>
        <v>-0.98177920685959275</v>
      </c>
      <c r="O46" s="15">
        <f t="shared" si="11"/>
        <v>-0.12820707006698884</v>
      </c>
      <c r="P46" s="18">
        <f>IF(SUMIFS('Daily NSE Equity Futures'!$J:$J,'Daily NSE Equity Futures'!$A:$A,$A46)=0,"",SUMIFS('Daily NSE Equity Futures'!$J:$J,'Daily NSE Equity Futures'!$A:$A,$A46))</f>
        <v>1651081</v>
      </c>
      <c r="Q46" s="7">
        <f>IF(SUMIFS('Daily BSE Equity Futures'!$J:$J,'Daily BSE Equity Futures'!$A:$A,$A46)=0,"",SUMIFS('Daily BSE Equity Futures'!$J:$J,'Daily BSE Equity Futures'!$A:$A,$A46))</f>
        <v>2</v>
      </c>
      <c r="R46" s="7">
        <f t="shared" si="6"/>
        <v>1651083</v>
      </c>
      <c r="S46" s="19">
        <f t="shared" si="7"/>
        <v>0.99999878867385827</v>
      </c>
      <c r="T46" s="19">
        <f t="shared" si="8"/>
        <v>1.2113261416900301E-6</v>
      </c>
    </row>
    <row r="47" spans="1:20" x14ac:dyDescent="0.2">
      <c r="A47" s="9">
        <v>43993</v>
      </c>
      <c r="B47" s="4" t="s">
        <v>224</v>
      </c>
      <c r="C47" s="8">
        <v>43983</v>
      </c>
      <c r="D47" s="4" t="s">
        <v>173</v>
      </c>
      <c r="E47" s="14">
        <f>IF(SUMIFS('Daily NSE Equity Futures'!$I:$I,'Daily NSE Equity Futures'!$A:$A,$A47)=0,"",SUMIFS('Daily NSE Equity Futures'!$I:$I,'Daily NSE Equity Futures'!$A:$A,$A47))</f>
        <v>901.09929999999997</v>
      </c>
      <c r="F47" s="6">
        <f>IF(SUMIFS('Daily BSE Equity Futures'!$I:$I,'Daily BSE Equity Futures'!$A:$A,$A47)=0,"",SUMIFS('Daily BSE Equity Futures'!$I:$I,'Daily BSE Equity Futures'!$A:$A,$A47))</f>
        <v>5.1000000000000004E-3</v>
      </c>
      <c r="G47" s="6">
        <f t="shared" si="0"/>
        <v>901.10439999999994</v>
      </c>
      <c r="H47" s="15">
        <f t="shared" si="1"/>
        <v>0.99999434027844059</v>
      </c>
      <c r="I47" s="15">
        <f t="shared" si="2"/>
        <v>5.6597215594552651E-6</v>
      </c>
      <c r="J47" s="20" t="str">
        <f t="shared" si="3"/>
        <v/>
      </c>
      <c r="K47" s="15" t="str">
        <f t="shared" si="4"/>
        <v/>
      </c>
      <c r="L47" s="15" t="str">
        <f t="shared" si="5"/>
        <v/>
      </c>
      <c r="M47" s="15">
        <f t="shared" si="9"/>
        <v>6.5015141404478394E-2</v>
      </c>
      <c r="N47" s="15">
        <f t="shared" si="10"/>
        <v>2.0000000000000004</v>
      </c>
      <c r="O47" s="15">
        <f t="shared" si="11"/>
        <v>6.5019029247754601E-2</v>
      </c>
      <c r="P47" s="18">
        <f>IF(SUMIFS('Daily NSE Equity Futures'!$J:$J,'Daily NSE Equity Futures'!$A:$A,$A47)=0,"",SUMIFS('Daily NSE Equity Futures'!$J:$J,'Daily NSE Equity Futures'!$A:$A,$A47))</f>
        <v>1748128</v>
      </c>
      <c r="Q47" s="7">
        <f>IF(SUMIFS('Daily BSE Equity Futures'!$J:$J,'Daily BSE Equity Futures'!$A:$A,$A47)=0,"",SUMIFS('Daily BSE Equity Futures'!$J:$J,'Daily BSE Equity Futures'!$A:$A,$A47))</f>
        <v>6</v>
      </c>
      <c r="R47" s="7">
        <f t="shared" si="6"/>
        <v>1748134</v>
      </c>
      <c r="S47" s="19">
        <f t="shared" si="7"/>
        <v>0.99999656776883239</v>
      </c>
      <c r="T47" s="19">
        <f t="shared" si="8"/>
        <v>3.4322311676336023E-6</v>
      </c>
    </row>
    <row r="48" spans="1:20" x14ac:dyDescent="0.2">
      <c r="A48" s="9">
        <v>43994</v>
      </c>
      <c r="B48" s="4" t="s">
        <v>222</v>
      </c>
      <c r="C48" s="8">
        <v>43983</v>
      </c>
      <c r="D48" s="4" t="s">
        <v>173</v>
      </c>
      <c r="E48" s="14">
        <f>IF(SUMIFS('Daily NSE Equity Futures'!$I:$I,'Daily NSE Equity Futures'!$A:$A,$A48)=0,"",SUMIFS('Daily NSE Equity Futures'!$I:$I,'Daily NSE Equity Futures'!$A:$A,$A48))</f>
        <v>1053.0913</v>
      </c>
      <c r="F48" s="6" t="str">
        <f>IF(SUMIFS('Daily BSE Equity Futures'!$I:$I,'Daily BSE Equity Futures'!$A:$A,$A48)=0,"",SUMIFS('Daily BSE Equity Futures'!$I:$I,'Daily BSE Equity Futures'!$A:$A,$A48))</f>
        <v/>
      </c>
      <c r="G48" s="6" t="str">
        <f t="shared" si="0"/>
        <v/>
      </c>
      <c r="H48" s="15" t="str">
        <f t="shared" si="1"/>
        <v/>
      </c>
      <c r="I48" s="15" t="str">
        <f t="shared" si="2"/>
        <v/>
      </c>
      <c r="J48" s="20" t="str">
        <f t="shared" si="3"/>
        <v/>
      </c>
      <c r="K48" s="15" t="str">
        <f t="shared" si="4"/>
        <v/>
      </c>
      <c r="L48" s="15" t="str">
        <f t="shared" si="5"/>
        <v/>
      </c>
      <c r="M48" s="15">
        <f t="shared" si="9"/>
        <v>0.16867397411139939</v>
      </c>
      <c r="N48" s="15" t="str">
        <f t="shared" si="10"/>
        <v/>
      </c>
      <c r="O48" s="15" t="str">
        <f t="shared" si="11"/>
        <v/>
      </c>
      <c r="P48" s="18">
        <f>IF(SUMIFS('Daily NSE Equity Futures'!$J:$J,'Daily NSE Equity Futures'!$A:$A,$A48)=0,"",SUMIFS('Daily NSE Equity Futures'!$J:$J,'Daily NSE Equity Futures'!$A:$A,$A48))</f>
        <v>2037317</v>
      </c>
      <c r="Q48" s="7" t="str">
        <f>IF(SUMIFS('Daily BSE Equity Futures'!$J:$J,'Daily BSE Equity Futures'!$A:$A,$A48)=0,"",SUMIFS('Daily BSE Equity Futures'!$J:$J,'Daily BSE Equity Futures'!$A:$A,$A48))</f>
        <v/>
      </c>
      <c r="R48" s="7" t="str">
        <f t="shared" si="6"/>
        <v/>
      </c>
      <c r="S48" s="19" t="str">
        <f t="shared" si="7"/>
        <v/>
      </c>
      <c r="T48" s="19" t="str">
        <f t="shared" si="8"/>
        <v/>
      </c>
    </row>
    <row r="49" spans="1:20" x14ac:dyDescent="0.2">
      <c r="A49" s="9">
        <v>43997</v>
      </c>
      <c r="B49" s="4" t="s">
        <v>225</v>
      </c>
      <c r="C49" s="8">
        <v>43983</v>
      </c>
      <c r="D49" s="4" t="s">
        <v>173</v>
      </c>
      <c r="E49" s="14">
        <f>IF(SUMIFS('Daily NSE Equity Futures'!$I:$I,'Daily NSE Equity Futures'!$A:$A,$A49)=0,"",SUMIFS('Daily NSE Equity Futures'!$I:$I,'Daily NSE Equity Futures'!$A:$A,$A49))</f>
        <v>926.41600000000005</v>
      </c>
      <c r="F49" s="6">
        <f>IF(SUMIFS('Daily BSE Equity Futures'!$I:$I,'Daily BSE Equity Futures'!$A:$A,$A49)=0,"",SUMIFS('Daily BSE Equity Futures'!$I:$I,'Daily BSE Equity Futures'!$A:$A,$A49))</f>
        <v>1.6999999999999999E-3</v>
      </c>
      <c r="G49" s="6">
        <f t="shared" si="0"/>
        <v>926.41770000000008</v>
      </c>
      <c r="H49" s="15">
        <f t="shared" si="1"/>
        <v>0.99999816497461136</v>
      </c>
      <c r="I49" s="15">
        <f t="shared" si="2"/>
        <v>1.8350253886556785E-6</v>
      </c>
      <c r="J49" s="20" t="str">
        <f t="shared" si="3"/>
        <v/>
      </c>
      <c r="K49" s="15" t="str">
        <f t="shared" si="4"/>
        <v/>
      </c>
      <c r="L49" s="15" t="str">
        <f t="shared" si="5"/>
        <v/>
      </c>
      <c r="M49" s="15">
        <f t="shared" si="9"/>
        <v>-0.12028900058333025</v>
      </c>
      <c r="N49" s="15" t="str">
        <f t="shared" si="10"/>
        <v/>
      </c>
      <c r="O49" s="15" t="str">
        <f t="shared" si="11"/>
        <v/>
      </c>
      <c r="P49" s="18">
        <f>IF(SUMIFS('Daily NSE Equity Futures'!$J:$J,'Daily NSE Equity Futures'!$A:$A,$A49)=0,"",SUMIFS('Daily NSE Equity Futures'!$J:$J,'Daily NSE Equity Futures'!$A:$A,$A49))</f>
        <v>1750565</v>
      </c>
      <c r="Q49" s="7">
        <f>IF(SUMIFS('Daily BSE Equity Futures'!$J:$J,'Daily BSE Equity Futures'!$A:$A,$A49)=0,"",SUMIFS('Daily BSE Equity Futures'!$J:$J,'Daily BSE Equity Futures'!$A:$A,$A49))</f>
        <v>2</v>
      </c>
      <c r="R49" s="7">
        <f t="shared" si="6"/>
        <v>1750567</v>
      </c>
      <c r="S49" s="19">
        <f t="shared" si="7"/>
        <v>0.99999885751302298</v>
      </c>
      <c r="T49" s="19">
        <f t="shared" si="8"/>
        <v>1.14248697707657E-6</v>
      </c>
    </row>
    <row r="50" spans="1:20" x14ac:dyDescent="0.2">
      <c r="A50" s="9">
        <v>43998</v>
      </c>
      <c r="B50" s="4" t="s">
        <v>223</v>
      </c>
      <c r="C50" s="8">
        <v>43983</v>
      </c>
      <c r="D50" s="4" t="s">
        <v>173</v>
      </c>
      <c r="E50" s="14">
        <f>IF(SUMIFS('Daily NSE Equity Futures'!$I:$I,'Daily NSE Equity Futures'!$A:$A,$A50)=0,"",SUMIFS('Daily NSE Equity Futures'!$I:$I,'Daily NSE Equity Futures'!$A:$A,$A50))</f>
        <v>1044.2509</v>
      </c>
      <c r="F50" s="6">
        <f>IF(SUMIFS('Daily BSE Equity Futures'!$I:$I,'Daily BSE Equity Futures'!$A:$A,$A50)=0,"",SUMIFS('Daily BSE Equity Futures'!$I:$I,'Daily BSE Equity Futures'!$A:$A,$A50))</f>
        <v>8.0000000000000004E-4</v>
      </c>
      <c r="G50" s="6">
        <f t="shared" si="0"/>
        <v>1044.2517</v>
      </c>
      <c r="H50" s="15">
        <f t="shared" si="1"/>
        <v>0.99999923390117529</v>
      </c>
      <c r="I50" s="15">
        <f t="shared" si="2"/>
        <v>7.6609882464160706E-7</v>
      </c>
      <c r="J50" s="20" t="str">
        <f t="shared" si="3"/>
        <v/>
      </c>
      <c r="K50" s="15" t="str">
        <f t="shared" si="4"/>
        <v/>
      </c>
      <c r="L50" s="15" t="str">
        <f t="shared" si="5"/>
        <v/>
      </c>
      <c r="M50" s="15">
        <f t="shared" si="9"/>
        <v>0.1271943705635481</v>
      </c>
      <c r="N50" s="15">
        <f t="shared" si="10"/>
        <v>-0.52941176470588225</v>
      </c>
      <c r="O50" s="15">
        <f t="shared" si="11"/>
        <v>0.12719316567461947</v>
      </c>
      <c r="P50" s="18">
        <f>IF(SUMIFS('Daily NSE Equity Futures'!$J:$J,'Daily NSE Equity Futures'!$A:$A,$A50)=0,"",SUMIFS('Daily NSE Equity Futures'!$J:$J,'Daily NSE Equity Futures'!$A:$A,$A50))</f>
        <v>1983146</v>
      </c>
      <c r="Q50" s="7">
        <f>IF(SUMIFS('Daily BSE Equity Futures'!$J:$J,'Daily BSE Equity Futures'!$A:$A,$A50)=0,"",SUMIFS('Daily BSE Equity Futures'!$J:$J,'Daily BSE Equity Futures'!$A:$A,$A50))</f>
        <v>1</v>
      </c>
      <c r="R50" s="7">
        <f t="shared" si="6"/>
        <v>1983147</v>
      </c>
      <c r="S50" s="19">
        <f t="shared" si="7"/>
        <v>0.99999949575094538</v>
      </c>
      <c r="T50" s="19">
        <f t="shared" si="8"/>
        <v>5.0424905465908474E-7</v>
      </c>
    </row>
    <row r="51" spans="1:20" x14ac:dyDescent="0.2">
      <c r="A51" s="9">
        <v>43999</v>
      </c>
      <c r="B51" s="4" t="s">
        <v>221</v>
      </c>
      <c r="C51" s="8">
        <v>43983</v>
      </c>
      <c r="D51" s="4" t="s">
        <v>173</v>
      </c>
      <c r="E51" s="14">
        <f>IF(SUMIFS('Daily NSE Equity Futures'!$I:$I,'Daily NSE Equity Futures'!$A:$A,$A51)=0,"",SUMIFS('Daily NSE Equity Futures'!$I:$I,'Daily NSE Equity Futures'!$A:$A,$A51))</f>
        <v>871.51660000000004</v>
      </c>
      <c r="F51" s="6">
        <f>IF(SUMIFS('Daily BSE Equity Futures'!$I:$I,'Daily BSE Equity Futures'!$A:$A,$A51)=0,"",SUMIFS('Daily BSE Equity Futures'!$I:$I,'Daily BSE Equity Futures'!$A:$A,$A51))</f>
        <v>0.80130000000000001</v>
      </c>
      <c r="G51" s="6">
        <f t="shared" si="0"/>
        <v>872.31790000000001</v>
      </c>
      <c r="H51" s="15">
        <f t="shared" si="1"/>
        <v>0.99908141286565366</v>
      </c>
      <c r="I51" s="15">
        <f t="shared" si="2"/>
        <v>9.1858713434632032E-4</v>
      </c>
      <c r="J51" s="20" t="str">
        <f t="shared" si="3"/>
        <v/>
      </c>
      <c r="K51" s="15" t="str">
        <f t="shared" si="4"/>
        <v/>
      </c>
      <c r="L51" s="15" t="str">
        <f t="shared" si="5"/>
        <v/>
      </c>
      <c r="M51" s="15">
        <f t="shared" si="9"/>
        <v>-0.16541455698051111</v>
      </c>
      <c r="N51" s="15">
        <f t="shared" si="10"/>
        <v>1000.625</v>
      </c>
      <c r="O51" s="15">
        <f t="shared" si="11"/>
        <v>-0.16464785262020643</v>
      </c>
      <c r="P51" s="18">
        <f>IF(SUMIFS('Daily NSE Equity Futures'!$J:$J,'Daily NSE Equity Futures'!$A:$A,$A51)=0,"",SUMIFS('Daily NSE Equity Futures'!$J:$J,'Daily NSE Equity Futures'!$A:$A,$A51))</f>
        <v>1650941</v>
      </c>
      <c r="Q51" s="7">
        <f>IF(SUMIFS('Daily BSE Equity Futures'!$J:$J,'Daily BSE Equity Futures'!$A:$A,$A51)=0,"",SUMIFS('Daily BSE Equity Futures'!$J:$J,'Daily BSE Equity Futures'!$A:$A,$A51))</f>
        <v>960</v>
      </c>
      <c r="R51" s="7">
        <f t="shared" si="6"/>
        <v>1651901</v>
      </c>
      <c r="S51" s="19">
        <f t="shared" si="7"/>
        <v>0.99941885137184372</v>
      </c>
      <c r="T51" s="19">
        <f t="shared" si="8"/>
        <v>5.8114862815628781E-4</v>
      </c>
    </row>
    <row r="52" spans="1:20" x14ac:dyDescent="0.2">
      <c r="A52" s="9">
        <v>44000</v>
      </c>
      <c r="B52" s="4" t="s">
        <v>224</v>
      </c>
      <c r="C52" s="8">
        <v>43983</v>
      </c>
      <c r="D52" s="4" t="s">
        <v>173</v>
      </c>
      <c r="E52" s="14">
        <f>IF(SUMIFS('Daily NSE Equity Futures'!$I:$I,'Daily NSE Equity Futures'!$A:$A,$A52)=0,"",SUMIFS('Daily NSE Equity Futures'!$I:$I,'Daily NSE Equity Futures'!$A:$A,$A52))</f>
        <v>895.70569999999998</v>
      </c>
      <c r="F52" s="6" t="str">
        <f>IF(SUMIFS('Daily BSE Equity Futures'!$I:$I,'Daily BSE Equity Futures'!$A:$A,$A52)=0,"",SUMIFS('Daily BSE Equity Futures'!$I:$I,'Daily BSE Equity Futures'!$A:$A,$A52))</f>
        <v/>
      </c>
      <c r="G52" s="6" t="str">
        <f t="shared" si="0"/>
        <v/>
      </c>
      <c r="H52" s="15" t="str">
        <f t="shared" si="1"/>
        <v/>
      </c>
      <c r="I52" s="15" t="str">
        <f t="shared" si="2"/>
        <v/>
      </c>
      <c r="J52" s="20" t="str">
        <f t="shared" si="3"/>
        <v/>
      </c>
      <c r="K52" s="15" t="str">
        <f t="shared" si="4"/>
        <v/>
      </c>
      <c r="L52" s="15" t="str">
        <f t="shared" si="5"/>
        <v/>
      </c>
      <c r="M52" s="15">
        <f t="shared" si="9"/>
        <v>2.7755179878386604E-2</v>
      </c>
      <c r="N52" s="15" t="str">
        <f t="shared" si="10"/>
        <v/>
      </c>
      <c r="O52" s="15" t="str">
        <f t="shared" si="11"/>
        <v/>
      </c>
      <c r="P52" s="18">
        <f>IF(SUMIFS('Daily NSE Equity Futures'!$J:$J,'Daily NSE Equity Futures'!$A:$A,$A52)=0,"",SUMIFS('Daily NSE Equity Futures'!$J:$J,'Daily NSE Equity Futures'!$A:$A,$A52))</f>
        <v>1657152</v>
      </c>
      <c r="Q52" s="7" t="str">
        <f>IF(SUMIFS('Daily BSE Equity Futures'!$J:$J,'Daily BSE Equity Futures'!$A:$A,$A52)=0,"",SUMIFS('Daily BSE Equity Futures'!$J:$J,'Daily BSE Equity Futures'!$A:$A,$A52))</f>
        <v/>
      </c>
      <c r="R52" s="7" t="str">
        <f t="shared" si="6"/>
        <v/>
      </c>
      <c r="S52" s="19" t="str">
        <f t="shared" si="7"/>
        <v/>
      </c>
      <c r="T52" s="19" t="str">
        <f t="shared" si="8"/>
        <v/>
      </c>
    </row>
    <row r="53" spans="1:20" x14ac:dyDescent="0.2">
      <c r="A53" s="9">
        <v>44001</v>
      </c>
      <c r="B53" s="4" t="s">
        <v>222</v>
      </c>
      <c r="C53" s="8">
        <v>43983</v>
      </c>
      <c r="D53" s="4" t="s">
        <v>173</v>
      </c>
      <c r="E53" s="14">
        <f>IF(SUMIFS('Daily NSE Equity Futures'!$I:$I,'Daily NSE Equity Futures'!$A:$A,$A53)=0,"",SUMIFS('Daily NSE Equity Futures'!$I:$I,'Daily NSE Equity Futures'!$A:$A,$A53))</f>
        <v>1202.9449999999999</v>
      </c>
      <c r="F53" s="6">
        <f>IF(SUMIFS('Daily BSE Equity Futures'!$I:$I,'Daily BSE Equity Futures'!$A:$A,$A53)=0,"",SUMIFS('Daily BSE Equity Futures'!$I:$I,'Daily BSE Equity Futures'!$A:$A,$A53))</f>
        <v>0.1323</v>
      </c>
      <c r="G53" s="6">
        <f t="shared" si="0"/>
        <v>1203.0772999999999</v>
      </c>
      <c r="H53" s="15">
        <f t="shared" si="1"/>
        <v>0.99989003200376236</v>
      </c>
      <c r="I53" s="15">
        <f t="shared" si="2"/>
        <v>1.0996799623764824E-4</v>
      </c>
      <c r="J53" s="20" t="str">
        <f t="shared" si="3"/>
        <v/>
      </c>
      <c r="K53" s="15" t="str">
        <f t="shared" si="4"/>
        <v/>
      </c>
      <c r="L53" s="15" t="str">
        <f t="shared" si="5"/>
        <v/>
      </c>
      <c r="M53" s="15">
        <f t="shared" si="9"/>
        <v>0.34301367067330268</v>
      </c>
      <c r="N53" s="15" t="str">
        <f t="shared" si="10"/>
        <v/>
      </c>
      <c r="O53" s="15" t="str">
        <f t="shared" si="11"/>
        <v/>
      </c>
      <c r="P53" s="18">
        <f>IF(SUMIFS('Daily NSE Equity Futures'!$J:$J,'Daily NSE Equity Futures'!$A:$A,$A53)=0,"",SUMIFS('Daily NSE Equity Futures'!$J:$J,'Daily NSE Equity Futures'!$A:$A,$A53))</f>
        <v>2165699</v>
      </c>
      <c r="Q53" s="7">
        <f>IF(SUMIFS('Daily BSE Equity Futures'!$J:$J,'Daily BSE Equity Futures'!$A:$A,$A53)=0,"",SUMIFS('Daily BSE Equity Futures'!$J:$J,'Daily BSE Equity Futures'!$A:$A,$A53))</f>
        <v>166</v>
      </c>
      <c r="R53" s="7">
        <f t="shared" si="6"/>
        <v>2165865</v>
      </c>
      <c r="S53" s="19">
        <f t="shared" si="7"/>
        <v>0.99992335625719975</v>
      </c>
      <c r="T53" s="19">
        <f t="shared" si="8"/>
        <v>7.6643742800220697E-5</v>
      </c>
    </row>
    <row r="54" spans="1:20" x14ac:dyDescent="0.2">
      <c r="A54" s="9">
        <v>44004</v>
      </c>
      <c r="B54" s="4" t="s">
        <v>225</v>
      </c>
      <c r="C54" s="8">
        <v>43983</v>
      </c>
      <c r="D54" s="4" t="s">
        <v>173</v>
      </c>
      <c r="E54" s="14">
        <f>IF(SUMIFS('Daily NSE Equity Futures'!$I:$I,'Daily NSE Equity Futures'!$A:$A,$A54)=0,"",SUMIFS('Daily NSE Equity Futures'!$I:$I,'Daily NSE Equity Futures'!$A:$A,$A54))</f>
        <v>1428.1561999999999</v>
      </c>
      <c r="F54" s="6" t="str">
        <f>IF(SUMIFS('Daily BSE Equity Futures'!$I:$I,'Daily BSE Equity Futures'!$A:$A,$A54)=0,"",SUMIFS('Daily BSE Equity Futures'!$I:$I,'Daily BSE Equity Futures'!$A:$A,$A54))</f>
        <v/>
      </c>
      <c r="G54" s="6" t="str">
        <f t="shared" si="0"/>
        <v/>
      </c>
      <c r="H54" s="15" t="str">
        <f t="shared" si="1"/>
        <v/>
      </c>
      <c r="I54" s="15" t="str">
        <f t="shared" si="2"/>
        <v/>
      </c>
      <c r="J54" s="20" t="str">
        <f t="shared" si="3"/>
        <v/>
      </c>
      <c r="K54" s="15" t="str">
        <f t="shared" si="4"/>
        <v/>
      </c>
      <c r="L54" s="15" t="str">
        <f t="shared" si="5"/>
        <v/>
      </c>
      <c r="M54" s="15">
        <f t="shared" si="9"/>
        <v>0.18721653940953242</v>
      </c>
      <c r="N54" s="15" t="str">
        <f t="shared" si="10"/>
        <v/>
      </c>
      <c r="O54" s="15" t="str">
        <f t="shared" si="11"/>
        <v/>
      </c>
      <c r="P54" s="18">
        <f>IF(SUMIFS('Daily NSE Equity Futures'!$J:$J,'Daily NSE Equity Futures'!$A:$A,$A54)=0,"",SUMIFS('Daily NSE Equity Futures'!$J:$J,'Daily NSE Equity Futures'!$A:$A,$A54))</f>
        <v>2501516</v>
      </c>
      <c r="Q54" s="7" t="str">
        <f>IF(SUMIFS('Daily BSE Equity Futures'!$J:$J,'Daily BSE Equity Futures'!$A:$A,$A54)=0,"",SUMIFS('Daily BSE Equity Futures'!$J:$J,'Daily BSE Equity Futures'!$A:$A,$A54))</f>
        <v/>
      </c>
      <c r="R54" s="7" t="str">
        <f t="shared" si="6"/>
        <v/>
      </c>
      <c r="S54" s="19" t="str">
        <f t="shared" si="7"/>
        <v/>
      </c>
      <c r="T54" s="19" t="str">
        <f t="shared" si="8"/>
        <v/>
      </c>
    </row>
    <row r="55" spans="1:20" x14ac:dyDescent="0.2">
      <c r="A55" s="9">
        <v>44005</v>
      </c>
      <c r="B55" s="4" t="s">
        <v>223</v>
      </c>
      <c r="C55" s="8">
        <v>43983</v>
      </c>
      <c r="D55" s="4" t="s">
        <v>173</v>
      </c>
      <c r="E55" s="14">
        <f>IF(SUMIFS('Daily NSE Equity Futures'!$I:$I,'Daily NSE Equity Futures'!$A:$A,$A55)=0,"",SUMIFS('Daily NSE Equity Futures'!$I:$I,'Daily NSE Equity Futures'!$A:$A,$A55))</f>
        <v>1598.4599000000001</v>
      </c>
      <c r="F55" s="6">
        <f>IF(SUMIFS('Daily BSE Equity Futures'!$I:$I,'Daily BSE Equity Futures'!$A:$A,$A55)=0,"",SUMIFS('Daily BSE Equity Futures'!$I:$I,'Daily BSE Equity Futures'!$A:$A,$A55))</f>
        <v>8.9999999999999998E-4</v>
      </c>
      <c r="G55" s="6">
        <f t="shared" si="0"/>
        <v>1598.4608000000001</v>
      </c>
      <c r="H55" s="15">
        <f t="shared" si="1"/>
        <v>0.99999943695835392</v>
      </c>
      <c r="I55" s="15">
        <f t="shared" si="2"/>
        <v>5.630416460635131E-7</v>
      </c>
      <c r="J55" s="20" t="str">
        <f t="shared" si="3"/>
        <v/>
      </c>
      <c r="K55" s="15" t="str">
        <f t="shared" si="4"/>
        <v/>
      </c>
      <c r="L55" s="15" t="str">
        <f t="shared" si="5"/>
        <v/>
      </c>
      <c r="M55" s="15">
        <f t="shared" si="9"/>
        <v>0.11924725040580308</v>
      </c>
      <c r="N55" s="15" t="str">
        <f t="shared" si="10"/>
        <v/>
      </c>
      <c r="O55" s="15" t="str">
        <f t="shared" si="11"/>
        <v/>
      </c>
      <c r="P55" s="18">
        <f>IF(SUMIFS('Daily NSE Equity Futures'!$J:$J,'Daily NSE Equity Futures'!$A:$A,$A55)=0,"",SUMIFS('Daily NSE Equity Futures'!$J:$J,'Daily NSE Equity Futures'!$A:$A,$A55))</f>
        <v>2727474</v>
      </c>
      <c r="Q55" s="7">
        <f>IF(SUMIFS('Daily BSE Equity Futures'!$J:$J,'Daily BSE Equity Futures'!$A:$A,$A55)=0,"",SUMIFS('Daily BSE Equity Futures'!$J:$J,'Daily BSE Equity Futures'!$A:$A,$A55))</f>
        <v>1</v>
      </c>
      <c r="R55" s="7">
        <f t="shared" si="6"/>
        <v>2727475</v>
      </c>
      <c r="S55" s="19">
        <f t="shared" si="7"/>
        <v>0.99999963336052577</v>
      </c>
      <c r="T55" s="19">
        <f t="shared" si="8"/>
        <v>3.6663947423899395E-7</v>
      </c>
    </row>
    <row r="56" spans="1:20" x14ac:dyDescent="0.2">
      <c r="A56" s="9">
        <v>44006</v>
      </c>
      <c r="B56" s="4" t="s">
        <v>221</v>
      </c>
      <c r="C56" s="8">
        <v>43983</v>
      </c>
      <c r="D56" s="4" t="s">
        <v>173</v>
      </c>
      <c r="E56" s="14">
        <f>IF(SUMIFS('Daily NSE Equity Futures'!$I:$I,'Daily NSE Equity Futures'!$A:$A,$A56)=0,"",SUMIFS('Daily NSE Equity Futures'!$I:$I,'Daily NSE Equity Futures'!$A:$A,$A56))</f>
        <v>1787.1268</v>
      </c>
      <c r="F56" s="6">
        <f>IF(SUMIFS('Daily BSE Equity Futures'!$I:$I,'Daily BSE Equity Futures'!$A:$A,$A56)=0,"",SUMIFS('Daily BSE Equity Futures'!$I:$I,'Daily BSE Equity Futures'!$A:$A,$A56))</f>
        <v>2.53E-2</v>
      </c>
      <c r="G56" s="6">
        <f t="shared" si="0"/>
        <v>1787.1521</v>
      </c>
      <c r="H56" s="15">
        <f t="shared" si="1"/>
        <v>0.99998584339855567</v>
      </c>
      <c r="I56" s="15">
        <f t="shared" si="2"/>
        <v>1.4156601444275503E-5</v>
      </c>
      <c r="J56" s="20" t="str">
        <f t="shared" si="3"/>
        <v/>
      </c>
      <c r="K56" s="15" t="str">
        <f t="shared" si="4"/>
        <v/>
      </c>
      <c r="L56" s="15" t="str">
        <f t="shared" si="5"/>
        <v/>
      </c>
      <c r="M56" s="15">
        <f t="shared" si="9"/>
        <v>0.11803042416015552</v>
      </c>
      <c r="N56" s="15">
        <f t="shared" si="10"/>
        <v>27.111111111111111</v>
      </c>
      <c r="O56" s="15">
        <f t="shared" si="11"/>
        <v>0.11804562238873784</v>
      </c>
      <c r="P56" s="18">
        <f>IF(SUMIFS('Daily NSE Equity Futures'!$J:$J,'Daily NSE Equity Futures'!$A:$A,$A56)=0,"",SUMIFS('Daily NSE Equity Futures'!$J:$J,'Daily NSE Equity Futures'!$A:$A,$A56))</f>
        <v>3018109</v>
      </c>
      <c r="Q56" s="7">
        <f>IF(SUMIFS('Daily BSE Equity Futures'!$J:$J,'Daily BSE Equity Futures'!$A:$A,$A56)=0,"",SUMIFS('Daily BSE Equity Futures'!$J:$J,'Daily BSE Equity Futures'!$A:$A,$A56))</f>
        <v>31</v>
      </c>
      <c r="R56" s="7">
        <f t="shared" si="6"/>
        <v>3018140</v>
      </c>
      <c r="S56" s="19">
        <f t="shared" si="7"/>
        <v>0.99998972877335046</v>
      </c>
      <c r="T56" s="19">
        <f t="shared" si="8"/>
        <v>1.0271226649525867E-5</v>
      </c>
    </row>
    <row r="57" spans="1:20" x14ac:dyDescent="0.2">
      <c r="A57" s="9">
        <v>44007</v>
      </c>
      <c r="B57" s="4" t="s">
        <v>224</v>
      </c>
      <c r="C57" s="8">
        <v>43983</v>
      </c>
      <c r="D57" s="4" t="s">
        <v>173</v>
      </c>
      <c r="E57" s="14">
        <f>IF(SUMIFS('Daily NSE Equity Futures'!$I:$I,'Daily NSE Equity Futures'!$A:$A,$A57)=0,"",SUMIFS('Daily NSE Equity Futures'!$I:$I,'Daily NSE Equity Futures'!$A:$A,$A57))</f>
        <v>1583.5847000000001</v>
      </c>
      <c r="F57" s="6">
        <f>IF(SUMIFS('Daily BSE Equity Futures'!$I:$I,'Daily BSE Equity Futures'!$A:$A,$A57)=0,"",SUMIFS('Daily BSE Equity Futures'!$I:$I,'Daily BSE Equity Futures'!$A:$A,$A57))</f>
        <v>1.6199999999999999E-2</v>
      </c>
      <c r="G57" s="6">
        <f t="shared" si="0"/>
        <v>1583.6009000000001</v>
      </c>
      <c r="H57" s="15">
        <f t="shared" si="1"/>
        <v>0.99998977014978963</v>
      </c>
      <c r="I57" s="15">
        <f t="shared" si="2"/>
        <v>1.0229850210365501E-5</v>
      </c>
      <c r="J57" s="20" t="str">
        <f t="shared" si="3"/>
        <v/>
      </c>
      <c r="K57" s="15" t="str">
        <f t="shared" si="4"/>
        <v/>
      </c>
      <c r="L57" s="15" t="str">
        <f t="shared" si="5"/>
        <v/>
      </c>
      <c r="M57" s="15">
        <f t="shared" si="9"/>
        <v>-0.11389348534194654</v>
      </c>
      <c r="N57" s="15">
        <f t="shared" si="10"/>
        <v>-0.35968379446640319</v>
      </c>
      <c r="O57" s="15">
        <f t="shared" si="11"/>
        <v>-0.11389696489739176</v>
      </c>
      <c r="P57" s="18">
        <f>IF(SUMIFS('Daily NSE Equity Futures'!$J:$J,'Daily NSE Equity Futures'!$A:$A,$A57)=0,"",SUMIFS('Daily NSE Equity Futures'!$J:$J,'Daily NSE Equity Futures'!$A:$A,$A57))</f>
        <v>2634416</v>
      </c>
      <c r="Q57" s="7">
        <f>IF(SUMIFS('Daily BSE Equity Futures'!$J:$J,'Daily BSE Equity Futures'!$A:$A,$A57)=0,"",SUMIFS('Daily BSE Equity Futures'!$J:$J,'Daily BSE Equity Futures'!$A:$A,$A57))</f>
        <v>20</v>
      </c>
      <c r="R57" s="7">
        <f t="shared" si="6"/>
        <v>2634436</v>
      </c>
      <c r="S57" s="19">
        <f t="shared" si="7"/>
        <v>0.99999240824221958</v>
      </c>
      <c r="T57" s="19">
        <f t="shared" si="8"/>
        <v>7.5917577804129612E-6</v>
      </c>
    </row>
    <row r="58" spans="1:20" x14ac:dyDescent="0.2">
      <c r="A58" s="9">
        <v>44008</v>
      </c>
      <c r="B58" s="4" t="s">
        <v>222</v>
      </c>
      <c r="C58" s="8">
        <v>43983</v>
      </c>
      <c r="D58" s="4" t="s">
        <v>173</v>
      </c>
      <c r="E58" s="14">
        <f>IF(SUMIFS('Daily NSE Equity Futures'!$I:$I,'Daily NSE Equity Futures'!$A:$A,$A58)=0,"",SUMIFS('Daily NSE Equity Futures'!$I:$I,'Daily NSE Equity Futures'!$A:$A,$A58))</f>
        <v>901.55520000000001</v>
      </c>
      <c r="F58" s="6" t="str">
        <f>IF(SUMIFS('Daily BSE Equity Futures'!$I:$I,'Daily BSE Equity Futures'!$A:$A,$A58)=0,"",SUMIFS('Daily BSE Equity Futures'!$I:$I,'Daily BSE Equity Futures'!$A:$A,$A58))</f>
        <v/>
      </c>
      <c r="G58" s="6" t="str">
        <f t="shared" si="0"/>
        <v/>
      </c>
      <c r="H58" s="15" t="str">
        <f t="shared" si="1"/>
        <v/>
      </c>
      <c r="I58" s="15" t="str">
        <f t="shared" si="2"/>
        <v/>
      </c>
      <c r="J58" s="20" t="str">
        <f t="shared" si="3"/>
        <v/>
      </c>
      <c r="K58" s="15" t="str">
        <f t="shared" si="4"/>
        <v/>
      </c>
      <c r="L58" s="15" t="str">
        <f t="shared" si="5"/>
        <v/>
      </c>
      <c r="M58" s="15">
        <f t="shared" si="9"/>
        <v>-0.43068709870712951</v>
      </c>
      <c r="N58" s="15" t="str">
        <f t="shared" si="10"/>
        <v/>
      </c>
      <c r="O58" s="15" t="str">
        <f t="shared" si="11"/>
        <v/>
      </c>
      <c r="P58" s="18">
        <f>IF(SUMIFS('Daily NSE Equity Futures'!$J:$J,'Daily NSE Equity Futures'!$A:$A,$A58)=0,"",SUMIFS('Daily NSE Equity Futures'!$J:$J,'Daily NSE Equity Futures'!$A:$A,$A58))</f>
        <v>1410456</v>
      </c>
      <c r="Q58" s="7" t="str">
        <f>IF(SUMIFS('Daily BSE Equity Futures'!$J:$J,'Daily BSE Equity Futures'!$A:$A,$A58)=0,"",SUMIFS('Daily BSE Equity Futures'!$J:$J,'Daily BSE Equity Futures'!$A:$A,$A58))</f>
        <v/>
      </c>
      <c r="R58" s="7" t="str">
        <f t="shared" si="6"/>
        <v/>
      </c>
      <c r="S58" s="19" t="str">
        <f t="shared" si="7"/>
        <v/>
      </c>
      <c r="T58" s="19" t="str">
        <f t="shared" si="8"/>
        <v/>
      </c>
    </row>
    <row r="59" spans="1:20" x14ac:dyDescent="0.2">
      <c r="A59" s="9">
        <v>44011</v>
      </c>
      <c r="B59" s="4" t="s">
        <v>225</v>
      </c>
      <c r="C59" s="8">
        <v>43983</v>
      </c>
      <c r="D59" s="4" t="s">
        <v>173</v>
      </c>
      <c r="E59" s="14">
        <f>IF(SUMIFS('Daily NSE Equity Futures'!$I:$I,'Daily NSE Equity Futures'!$A:$A,$A59)=0,"",SUMIFS('Daily NSE Equity Futures'!$I:$I,'Daily NSE Equity Futures'!$A:$A,$A59))</f>
        <v>789.20450000000005</v>
      </c>
      <c r="F59" s="6" t="str">
        <f>IF(SUMIFS('Daily BSE Equity Futures'!$I:$I,'Daily BSE Equity Futures'!$A:$A,$A59)=0,"",SUMIFS('Daily BSE Equity Futures'!$I:$I,'Daily BSE Equity Futures'!$A:$A,$A59))</f>
        <v/>
      </c>
      <c r="G59" s="6" t="str">
        <f t="shared" si="0"/>
        <v/>
      </c>
      <c r="H59" s="15" t="str">
        <f t="shared" si="1"/>
        <v/>
      </c>
      <c r="I59" s="15" t="str">
        <f t="shared" si="2"/>
        <v/>
      </c>
      <c r="J59" s="20" t="str">
        <f t="shared" si="3"/>
        <v/>
      </c>
      <c r="K59" s="15" t="str">
        <f t="shared" si="4"/>
        <v/>
      </c>
      <c r="L59" s="15" t="str">
        <f t="shared" si="5"/>
        <v/>
      </c>
      <c r="M59" s="15">
        <f t="shared" si="9"/>
        <v>-0.12461876987676401</v>
      </c>
      <c r="N59" s="15" t="str">
        <f t="shared" si="10"/>
        <v/>
      </c>
      <c r="O59" s="15" t="str">
        <f t="shared" si="11"/>
        <v/>
      </c>
      <c r="P59" s="18">
        <f>IF(SUMIFS('Daily NSE Equity Futures'!$J:$J,'Daily NSE Equity Futures'!$A:$A,$A59)=0,"",SUMIFS('Daily NSE Equity Futures'!$J:$J,'Daily NSE Equity Futures'!$A:$A,$A59))</f>
        <v>1245562</v>
      </c>
      <c r="Q59" s="7" t="str">
        <f>IF(SUMIFS('Daily BSE Equity Futures'!$J:$J,'Daily BSE Equity Futures'!$A:$A,$A59)=0,"",SUMIFS('Daily BSE Equity Futures'!$J:$J,'Daily BSE Equity Futures'!$A:$A,$A59))</f>
        <v/>
      </c>
      <c r="R59" s="7" t="str">
        <f t="shared" si="6"/>
        <v/>
      </c>
      <c r="S59" s="19" t="str">
        <f t="shared" si="7"/>
        <v/>
      </c>
      <c r="T59" s="19" t="str">
        <f t="shared" si="8"/>
        <v/>
      </c>
    </row>
    <row r="60" spans="1:20" x14ac:dyDescent="0.2">
      <c r="A60" s="9">
        <v>44012</v>
      </c>
      <c r="B60" s="4" t="s">
        <v>223</v>
      </c>
      <c r="C60" s="8">
        <v>43983</v>
      </c>
      <c r="D60" s="4" t="s">
        <v>173</v>
      </c>
      <c r="E60" s="14">
        <f>IF(SUMIFS('Daily NSE Equity Futures'!$I:$I,'Daily NSE Equity Futures'!$A:$A,$A60)=0,"",SUMIFS('Daily NSE Equity Futures'!$I:$I,'Daily NSE Equity Futures'!$A:$A,$A60))</f>
        <v>757.80579999999998</v>
      </c>
      <c r="F60" s="6">
        <f>IF(SUMIFS('Daily BSE Equity Futures'!$I:$I,'Daily BSE Equity Futures'!$A:$A,$A60)=0,"",SUMIFS('Daily BSE Equity Futures'!$I:$I,'Daily BSE Equity Futures'!$A:$A,$A60))</f>
        <v>5.7000000000000002E-3</v>
      </c>
      <c r="G60" s="6">
        <f t="shared" si="0"/>
        <v>757.81150000000002</v>
      </c>
      <c r="H60" s="15">
        <f t="shared" si="1"/>
        <v>0.99999247834058991</v>
      </c>
      <c r="I60" s="15">
        <f t="shared" si="2"/>
        <v>7.5216594100247887E-6</v>
      </c>
      <c r="J60" s="20" t="str">
        <f t="shared" si="3"/>
        <v/>
      </c>
      <c r="K60" s="15" t="str">
        <f t="shared" si="4"/>
        <v/>
      </c>
      <c r="L60" s="15" t="str">
        <f t="shared" si="5"/>
        <v/>
      </c>
      <c r="M60" s="15">
        <f t="shared" si="9"/>
        <v>-3.9785252111461666E-2</v>
      </c>
      <c r="N60" s="15" t="str">
        <f t="shared" si="10"/>
        <v/>
      </c>
      <c r="O60" s="15" t="str">
        <f t="shared" si="11"/>
        <v/>
      </c>
      <c r="P60" s="18">
        <f>IF(SUMIFS('Daily NSE Equity Futures'!$J:$J,'Daily NSE Equity Futures'!$A:$A,$A60)=0,"",SUMIFS('Daily NSE Equity Futures'!$J:$J,'Daily NSE Equity Futures'!$A:$A,$A60))</f>
        <v>1178983</v>
      </c>
      <c r="Q60" s="7">
        <f>IF(SUMIFS('Daily BSE Equity Futures'!$J:$J,'Daily BSE Equity Futures'!$A:$A,$A60)=0,"",SUMIFS('Daily BSE Equity Futures'!$J:$J,'Daily BSE Equity Futures'!$A:$A,$A60))</f>
        <v>7</v>
      </c>
      <c r="R60" s="7">
        <f t="shared" si="6"/>
        <v>1178990</v>
      </c>
      <c r="S60" s="19">
        <f t="shared" si="7"/>
        <v>0.99999406271469649</v>
      </c>
      <c r="T60" s="19">
        <f t="shared" si="8"/>
        <v>5.9372853035225063E-6</v>
      </c>
    </row>
    <row r="61" spans="1:20" x14ac:dyDescent="0.2">
      <c r="A61" s="9">
        <v>44013</v>
      </c>
      <c r="B61" s="4" t="s">
        <v>221</v>
      </c>
      <c r="C61" s="8">
        <v>44013</v>
      </c>
      <c r="D61" s="4" t="s">
        <v>174</v>
      </c>
      <c r="E61" s="14">
        <f>IF(SUMIFS('Daily NSE Equity Futures'!$I:$I,'Daily NSE Equity Futures'!$A:$A,$A61)=0,"",SUMIFS('Daily NSE Equity Futures'!$I:$I,'Daily NSE Equity Futures'!$A:$A,$A61))</f>
        <v>837.03300000000002</v>
      </c>
      <c r="F61" s="6">
        <f>IF(SUMIFS('Daily BSE Equity Futures'!$I:$I,'Daily BSE Equity Futures'!$A:$A,$A61)=0,"",SUMIFS('Daily BSE Equity Futures'!$I:$I,'Daily BSE Equity Futures'!$A:$A,$A61))</f>
        <v>0.16139999999999999</v>
      </c>
      <c r="G61" s="6">
        <f t="shared" si="0"/>
        <v>837.19439999999997</v>
      </c>
      <c r="H61" s="15">
        <f t="shared" si="1"/>
        <v>0.99980721323506228</v>
      </c>
      <c r="I61" s="15">
        <f t="shared" si="2"/>
        <v>1.927867649377492E-4</v>
      </c>
      <c r="J61" s="20" t="str">
        <f t="shared" si="3"/>
        <v/>
      </c>
      <c r="K61" s="15" t="str">
        <f t="shared" si="4"/>
        <v/>
      </c>
      <c r="L61" s="15" t="str">
        <f t="shared" si="5"/>
        <v/>
      </c>
      <c r="M61" s="15">
        <f t="shared" si="9"/>
        <v>0.10454815732473954</v>
      </c>
      <c r="N61" s="15">
        <f t="shared" si="10"/>
        <v>27.315789473684209</v>
      </c>
      <c r="O61" s="15">
        <f t="shared" si="11"/>
        <v>0.10475283101404509</v>
      </c>
      <c r="P61" s="18">
        <f>IF(SUMIFS('Daily NSE Equity Futures'!$J:$J,'Daily NSE Equity Futures'!$A:$A,$A61)=0,"",SUMIFS('Daily NSE Equity Futures'!$J:$J,'Daily NSE Equity Futures'!$A:$A,$A61))</f>
        <v>1314476</v>
      </c>
      <c r="Q61" s="7">
        <f>IF(SUMIFS('Daily BSE Equity Futures'!$J:$J,'Daily BSE Equity Futures'!$A:$A,$A61)=0,"",SUMIFS('Daily BSE Equity Futures'!$J:$J,'Daily BSE Equity Futures'!$A:$A,$A61))</f>
        <v>198</v>
      </c>
      <c r="R61" s="7">
        <f t="shared" si="6"/>
        <v>1314674</v>
      </c>
      <c r="S61" s="19">
        <f t="shared" si="7"/>
        <v>0.99984939232083392</v>
      </c>
      <c r="T61" s="19">
        <f t="shared" si="8"/>
        <v>1.5060767916608985E-4</v>
      </c>
    </row>
    <row r="62" spans="1:20" x14ac:dyDescent="0.2">
      <c r="A62" s="9">
        <v>44014</v>
      </c>
      <c r="B62" s="4" t="s">
        <v>224</v>
      </c>
      <c r="C62" s="8">
        <v>44013</v>
      </c>
      <c r="D62" s="4" t="s">
        <v>174</v>
      </c>
      <c r="E62" s="14">
        <f>IF(SUMIFS('Daily NSE Equity Futures'!$I:$I,'Daily NSE Equity Futures'!$A:$A,$A62)=0,"",SUMIFS('Daily NSE Equity Futures'!$I:$I,'Daily NSE Equity Futures'!$A:$A,$A62))</f>
        <v>826.95420000000001</v>
      </c>
      <c r="F62" s="6">
        <f>IF(SUMIFS('Daily BSE Equity Futures'!$I:$I,'Daily BSE Equity Futures'!$A:$A,$A62)=0,"",SUMIFS('Daily BSE Equity Futures'!$I:$I,'Daily BSE Equity Futures'!$A:$A,$A62))</f>
        <v>0.1033</v>
      </c>
      <c r="G62" s="6">
        <f t="shared" si="0"/>
        <v>827.0575</v>
      </c>
      <c r="H62" s="15">
        <f t="shared" si="1"/>
        <v>0.99987509937338093</v>
      </c>
      <c r="I62" s="15">
        <f t="shared" si="2"/>
        <v>1.2490062661906821E-4</v>
      </c>
      <c r="J62" s="20" t="str">
        <f t="shared" si="3"/>
        <v/>
      </c>
      <c r="K62" s="15" t="str">
        <f t="shared" si="4"/>
        <v/>
      </c>
      <c r="L62" s="15" t="str">
        <f t="shared" si="5"/>
        <v/>
      </c>
      <c r="M62" s="15">
        <f t="shared" si="9"/>
        <v>-1.2041102322130626E-2</v>
      </c>
      <c r="N62" s="15">
        <f t="shared" si="10"/>
        <v>-0.35997521685254019</v>
      </c>
      <c r="O62" s="15">
        <f t="shared" si="11"/>
        <v>-1.210817941448239E-2</v>
      </c>
      <c r="P62" s="18">
        <f>IF(SUMIFS('Daily NSE Equity Futures'!$J:$J,'Daily NSE Equity Futures'!$A:$A,$A62)=0,"",SUMIFS('Daily NSE Equity Futures'!$J:$J,'Daily NSE Equity Futures'!$A:$A,$A62))</f>
        <v>1281852</v>
      </c>
      <c r="Q62" s="7">
        <f>IF(SUMIFS('Daily BSE Equity Futures'!$J:$J,'Daily BSE Equity Futures'!$A:$A,$A62)=0,"",SUMIFS('Daily BSE Equity Futures'!$J:$J,'Daily BSE Equity Futures'!$A:$A,$A62))</f>
        <v>125</v>
      </c>
      <c r="R62" s="7">
        <f t="shared" si="6"/>
        <v>1281977</v>
      </c>
      <c r="S62" s="19">
        <f t="shared" si="7"/>
        <v>0.9999024943505227</v>
      </c>
      <c r="T62" s="19">
        <f t="shared" si="8"/>
        <v>9.7505649477330717E-5</v>
      </c>
    </row>
    <row r="63" spans="1:20" x14ac:dyDescent="0.2">
      <c r="A63" s="9">
        <v>44015</v>
      </c>
      <c r="B63" s="4" t="s">
        <v>222</v>
      </c>
      <c r="C63" s="8">
        <v>44013</v>
      </c>
      <c r="D63" s="4" t="s">
        <v>174</v>
      </c>
      <c r="E63" s="14">
        <f>IF(SUMIFS('Daily NSE Equity Futures'!$I:$I,'Daily NSE Equity Futures'!$A:$A,$A63)=0,"",SUMIFS('Daily NSE Equity Futures'!$I:$I,'Daily NSE Equity Futures'!$A:$A,$A63))</f>
        <v>733.59270000000004</v>
      </c>
      <c r="F63" s="6">
        <f>IF(SUMIFS('Daily BSE Equity Futures'!$I:$I,'Daily BSE Equity Futures'!$A:$A,$A63)=0,"",SUMIFS('Daily BSE Equity Futures'!$I:$I,'Daily BSE Equity Futures'!$A:$A,$A63))</f>
        <v>0.29389999999999999</v>
      </c>
      <c r="G63" s="6">
        <f t="shared" si="0"/>
        <v>733.88660000000004</v>
      </c>
      <c r="H63" s="15">
        <f t="shared" si="1"/>
        <v>0.99959952940958452</v>
      </c>
      <c r="I63" s="15">
        <f t="shared" si="2"/>
        <v>4.0047059041546743E-4</v>
      </c>
      <c r="J63" s="20" t="str">
        <f t="shared" si="3"/>
        <v/>
      </c>
      <c r="K63" s="15" t="str">
        <f t="shared" si="4"/>
        <v/>
      </c>
      <c r="L63" s="15" t="str">
        <f t="shared" si="5"/>
        <v/>
      </c>
      <c r="M63" s="15">
        <f t="shared" si="9"/>
        <v>-0.11289802990298614</v>
      </c>
      <c r="N63" s="15">
        <f t="shared" si="10"/>
        <v>1.8451113262342691</v>
      </c>
      <c r="O63" s="15">
        <f t="shared" si="11"/>
        <v>-0.11265347330747855</v>
      </c>
      <c r="P63" s="18">
        <f>IF(SUMIFS('Daily NSE Equity Futures'!$J:$J,'Daily NSE Equity Futures'!$A:$A,$A63)=0,"",SUMIFS('Daily NSE Equity Futures'!$J:$J,'Daily NSE Equity Futures'!$A:$A,$A63))</f>
        <v>1113109</v>
      </c>
      <c r="Q63" s="7">
        <f>IF(SUMIFS('Daily BSE Equity Futures'!$J:$J,'Daily BSE Equity Futures'!$A:$A,$A63)=0,"",SUMIFS('Daily BSE Equity Futures'!$J:$J,'Daily BSE Equity Futures'!$A:$A,$A63))</f>
        <v>354</v>
      </c>
      <c r="R63" s="7">
        <f t="shared" si="6"/>
        <v>1113463</v>
      </c>
      <c r="S63" s="19">
        <f t="shared" si="7"/>
        <v>0.99968207295617362</v>
      </c>
      <c r="T63" s="19">
        <f t="shared" si="8"/>
        <v>3.1792704382633277E-4</v>
      </c>
    </row>
    <row r="64" spans="1:20" x14ac:dyDescent="0.2">
      <c r="A64" s="9">
        <v>44018</v>
      </c>
      <c r="B64" s="4" t="s">
        <v>225</v>
      </c>
      <c r="C64" s="8">
        <v>44013</v>
      </c>
      <c r="D64" s="4" t="s">
        <v>174</v>
      </c>
      <c r="E64" s="14">
        <f>IF(SUMIFS('Daily NSE Equity Futures'!$I:$I,'Daily NSE Equity Futures'!$A:$A,$A64)=0,"",SUMIFS('Daily NSE Equity Futures'!$I:$I,'Daily NSE Equity Futures'!$A:$A,$A64))</f>
        <v>774.28459999999995</v>
      </c>
      <c r="F64" s="6">
        <f>IF(SUMIFS('Daily BSE Equity Futures'!$I:$I,'Daily BSE Equity Futures'!$A:$A,$A64)=0,"",SUMIFS('Daily BSE Equity Futures'!$I:$I,'Daily BSE Equity Futures'!$A:$A,$A64))</f>
        <v>0.19769999999999999</v>
      </c>
      <c r="G64" s="6">
        <f t="shared" si="0"/>
        <v>774.48230000000001</v>
      </c>
      <c r="H64" s="15">
        <f t="shared" si="1"/>
        <v>0.99974473270725484</v>
      </c>
      <c r="I64" s="15">
        <f t="shared" si="2"/>
        <v>2.5526729274510208E-4</v>
      </c>
      <c r="J64" s="20" t="str">
        <f t="shared" si="3"/>
        <v/>
      </c>
      <c r="K64" s="15" t="str">
        <f t="shared" si="4"/>
        <v/>
      </c>
      <c r="L64" s="15" t="str">
        <f t="shared" si="5"/>
        <v/>
      </c>
      <c r="M64" s="15">
        <f t="shared" si="9"/>
        <v>5.5469336049827067E-2</v>
      </c>
      <c r="N64" s="15">
        <f t="shared" si="10"/>
        <v>-0.32732221844164688</v>
      </c>
      <c r="O64" s="15">
        <f t="shared" si="11"/>
        <v>5.5316039289993846E-2</v>
      </c>
      <c r="P64" s="18">
        <f>IF(SUMIFS('Daily NSE Equity Futures'!$J:$J,'Daily NSE Equity Futures'!$A:$A,$A64)=0,"",SUMIFS('Daily NSE Equity Futures'!$J:$J,'Daily NSE Equity Futures'!$A:$A,$A64))</f>
        <v>1153590</v>
      </c>
      <c r="Q64" s="7">
        <f>IF(SUMIFS('Daily BSE Equity Futures'!$J:$J,'Daily BSE Equity Futures'!$A:$A,$A64)=0,"",SUMIFS('Daily BSE Equity Futures'!$J:$J,'Daily BSE Equity Futures'!$A:$A,$A64))</f>
        <v>235</v>
      </c>
      <c r="R64" s="7">
        <f t="shared" si="6"/>
        <v>1153825</v>
      </c>
      <c r="S64" s="19">
        <f t="shared" si="7"/>
        <v>0.99979632959937603</v>
      </c>
      <c r="T64" s="19">
        <f t="shared" si="8"/>
        <v>2.0367040062401143E-4</v>
      </c>
    </row>
    <row r="65" spans="1:20" x14ac:dyDescent="0.2">
      <c r="A65" s="9">
        <v>44019</v>
      </c>
      <c r="B65" s="4" t="s">
        <v>223</v>
      </c>
      <c r="C65" s="8">
        <v>44013</v>
      </c>
      <c r="D65" s="4" t="s">
        <v>174</v>
      </c>
      <c r="E65" s="14">
        <f>IF(SUMIFS('Daily NSE Equity Futures'!$I:$I,'Daily NSE Equity Futures'!$A:$A,$A65)=0,"",SUMIFS('Daily NSE Equity Futures'!$I:$I,'Daily NSE Equity Futures'!$A:$A,$A65))</f>
        <v>952.32489999999996</v>
      </c>
      <c r="F65" s="6">
        <f>IF(SUMIFS('Daily BSE Equity Futures'!$I:$I,'Daily BSE Equity Futures'!$A:$A,$A65)=0,"",SUMIFS('Daily BSE Equity Futures'!$I:$I,'Daily BSE Equity Futures'!$A:$A,$A65))</f>
        <v>0.15629999999999999</v>
      </c>
      <c r="G65" s="6">
        <f t="shared" si="0"/>
        <v>952.48119999999994</v>
      </c>
      <c r="H65" s="15">
        <f t="shared" si="1"/>
        <v>0.99983590227292674</v>
      </c>
      <c r="I65" s="15">
        <f t="shared" si="2"/>
        <v>1.6409772707324827E-4</v>
      </c>
      <c r="J65" s="20" t="str">
        <f t="shared" si="3"/>
        <v/>
      </c>
      <c r="K65" s="15" t="str">
        <f t="shared" si="4"/>
        <v/>
      </c>
      <c r="L65" s="15" t="str">
        <f t="shared" si="5"/>
        <v/>
      </c>
      <c r="M65" s="15">
        <f t="shared" si="9"/>
        <v>0.22994167777584629</v>
      </c>
      <c r="N65" s="15">
        <f t="shared" si="10"/>
        <v>-0.20940819423368739</v>
      </c>
      <c r="O65" s="15">
        <f t="shared" si="11"/>
        <v>0.22982952612345042</v>
      </c>
      <c r="P65" s="18">
        <f>IF(SUMIFS('Daily NSE Equity Futures'!$J:$J,'Daily NSE Equity Futures'!$A:$A,$A65)=0,"",SUMIFS('Daily NSE Equity Futures'!$J:$J,'Daily NSE Equity Futures'!$A:$A,$A65))</f>
        <v>1455681</v>
      </c>
      <c r="Q65" s="7">
        <f>IF(SUMIFS('Daily BSE Equity Futures'!$J:$J,'Daily BSE Equity Futures'!$A:$A,$A65)=0,"",SUMIFS('Daily BSE Equity Futures'!$J:$J,'Daily BSE Equity Futures'!$A:$A,$A65))</f>
        <v>186</v>
      </c>
      <c r="R65" s="7">
        <f t="shared" si="6"/>
        <v>1455867</v>
      </c>
      <c r="S65" s="19">
        <f t="shared" si="7"/>
        <v>0.99987224107696648</v>
      </c>
      <c r="T65" s="19">
        <f t="shared" si="8"/>
        <v>1.2775892303349139E-4</v>
      </c>
    </row>
    <row r="66" spans="1:20" x14ac:dyDescent="0.2">
      <c r="A66" s="9">
        <v>44020</v>
      </c>
      <c r="B66" s="4" t="s">
        <v>221</v>
      </c>
      <c r="C66" s="8">
        <v>44013</v>
      </c>
      <c r="D66" s="4" t="s">
        <v>174</v>
      </c>
      <c r="E66" s="14">
        <f>IF(SUMIFS('Daily NSE Equity Futures'!$I:$I,'Daily NSE Equity Futures'!$A:$A,$A66)=0,"",SUMIFS('Daily NSE Equity Futures'!$I:$I,'Daily NSE Equity Futures'!$A:$A,$A66))</f>
        <v>973.37070000000006</v>
      </c>
      <c r="F66" s="6">
        <f>IF(SUMIFS('Daily BSE Equity Futures'!$I:$I,'Daily BSE Equity Futures'!$A:$A,$A66)=0,"",SUMIFS('Daily BSE Equity Futures'!$I:$I,'Daily BSE Equity Futures'!$A:$A,$A66))</f>
        <v>9.7100000000000006E-2</v>
      </c>
      <c r="G66" s="6">
        <f t="shared" ref="G66:G129" si="12">IF(OR(E66="",F66=""),"",E66+F66)</f>
        <v>973.46780000000001</v>
      </c>
      <c r="H66" s="15">
        <f t="shared" ref="H66:H129" si="13">IF(G66="","",E66/G66)</f>
        <v>0.99990025350607392</v>
      </c>
      <c r="I66" s="15">
        <f t="shared" ref="I66:I129" si="14">IF(G66="","",F66/G66)</f>
        <v>9.9746493926147328E-5</v>
      </c>
      <c r="J66" s="20" t="str">
        <f t="shared" ref="J66:J129" si="15">IFERROR(IF(OR(E66="",INDEX(E:E,MATCH(DATE(YEAR($A66)-1,MONTH($A66),DAY($A66)),$A:$A,0))=""),"",E66/INDEX(E:E,MATCH(DATE(YEAR($A66)-1,MONTH($A66),DAY($A66)),$A:$A,0))-1),"")</f>
        <v/>
      </c>
      <c r="K66" s="15" t="str">
        <f t="shared" ref="K66:K129" si="16">IFERROR(IF(OR(F66="",INDEX(F:F,MATCH(DATE(YEAR($A66)-1,MONTH($A66),DAY($A66)),$A:$A,0))=""),"",F66/INDEX(F:F,MATCH(DATE(YEAR($A66)-1,MONTH($A66),DAY($A66)),$A:$A,0))-1),"")</f>
        <v/>
      </c>
      <c r="L66" s="15" t="str">
        <f t="shared" ref="L66:L129" si="17">IFERROR(IF(OR(G66="",INDEX(G:G,MATCH(DATE(YEAR($A66)-1,MONTH($A66),DAY($A66)),$A:$A,0))=""),"",G66/INDEX(G:G,MATCH(DATE(YEAR($A66)-1,MONTH($A66),DAY($A66)),$A:$A,0))-1),"")</f>
        <v/>
      </c>
      <c r="M66" s="15">
        <f t="shared" si="9"/>
        <v>2.2099390659637397E-2</v>
      </c>
      <c r="N66" s="15">
        <f t="shared" si="10"/>
        <v>-0.3787587971849008</v>
      </c>
      <c r="O66" s="15">
        <f t="shared" si="11"/>
        <v>2.2033610742133281E-2</v>
      </c>
      <c r="P66" s="18">
        <f>IF(SUMIFS('Daily NSE Equity Futures'!$J:$J,'Daily NSE Equity Futures'!$A:$A,$A66)=0,"",SUMIFS('Daily NSE Equity Futures'!$J:$J,'Daily NSE Equity Futures'!$A:$A,$A66))</f>
        <v>1493303</v>
      </c>
      <c r="Q66" s="7">
        <f>IF(SUMIFS('Daily BSE Equity Futures'!$J:$J,'Daily BSE Equity Futures'!$A:$A,$A66)=0,"",SUMIFS('Daily BSE Equity Futures'!$J:$J,'Daily BSE Equity Futures'!$A:$A,$A66))</f>
        <v>115</v>
      </c>
      <c r="R66" s="7">
        <f t="shared" ref="R66:R129" si="18">IF(OR(P66="",Q66=""),"",P66+Q66)</f>
        <v>1493418</v>
      </c>
      <c r="S66" s="19">
        <f t="shared" ref="S66:S129" si="19">IF(R66="","",P66/R66)</f>
        <v>0.99992299543731222</v>
      </c>
      <c r="T66" s="19">
        <f t="shared" ref="T66:T129" si="20">IF(R66="","",Q66/R66)</f>
        <v>7.7004562687740474E-5</v>
      </c>
    </row>
    <row r="67" spans="1:20" x14ac:dyDescent="0.2">
      <c r="A67" s="9">
        <v>44021</v>
      </c>
      <c r="B67" s="4" t="s">
        <v>224</v>
      </c>
      <c r="C67" s="8">
        <v>44013</v>
      </c>
      <c r="D67" s="4" t="s">
        <v>174</v>
      </c>
      <c r="E67" s="14">
        <f>IF(SUMIFS('Daily NSE Equity Futures'!$I:$I,'Daily NSE Equity Futures'!$A:$A,$A67)=0,"",SUMIFS('Daily NSE Equity Futures'!$I:$I,'Daily NSE Equity Futures'!$A:$A,$A67))</f>
        <v>772.11170000000004</v>
      </c>
      <c r="F67" s="6">
        <f>IF(SUMIFS('Daily BSE Equity Futures'!$I:$I,'Daily BSE Equity Futures'!$A:$A,$A67)=0,"",SUMIFS('Daily BSE Equity Futures'!$I:$I,'Daily BSE Equity Futures'!$A:$A,$A67))</f>
        <v>0.17219999999999999</v>
      </c>
      <c r="G67" s="6">
        <f t="shared" si="12"/>
        <v>772.28390000000002</v>
      </c>
      <c r="H67" s="15">
        <f t="shared" si="13"/>
        <v>0.99977702500336996</v>
      </c>
      <c r="I67" s="15">
        <f t="shared" si="14"/>
        <v>2.2297499663012527E-4</v>
      </c>
      <c r="J67" s="20" t="str">
        <f t="shared" si="15"/>
        <v/>
      </c>
      <c r="K67" s="15" t="str">
        <f t="shared" si="16"/>
        <v/>
      </c>
      <c r="L67" s="15" t="str">
        <f t="shared" si="17"/>
        <v/>
      </c>
      <c r="M67" s="15">
        <f t="shared" ref="M67:M130" si="21">IF(OR(E67="",E66=""),"",E67/E66-1)</f>
        <v>-0.20676500741187298</v>
      </c>
      <c r="N67" s="15">
        <f t="shared" ref="N67:N130" si="22">IF(OR(F67="",F66=""),"",F67/F66-1)</f>
        <v>0.77342945417095765</v>
      </c>
      <c r="O67" s="15">
        <f t="shared" ref="O67:O130" si="23">IF(OR(G67="",G66=""),"",G67/G66-1)</f>
        <v>-0.2066672364509643</v>
      </c>
      <c r="P67" s="18">
        <f>IF(SUMIFS('Daily NSE Equity Futures'!$J:$J,'Daily NSE Equity Futures'!$A:$A,$A67)=0,"",SUMIFS('Daily NSE Equity Futures'!$J:$J,'Daily NSE Equity Futures'!$A:$A,$A67))</f>
        <v>1145029</v>
      </c>
      <c r="Q67" s="7">
        <f>IF(SUMIFS('Daily BSE Equity Futures'!$J:$J,'Daily BSE Equity Futures'!$A:$A,$A67)=0,"",SUMIFS('Daily BSE Equity Futures'!$J:$J,'Daily BSE Equity Futures'!$A:$A,$A67))</f>
        <v>204</v>
      </c>
      <c r="R67" s="7">
        <f t="shared" si="18"/>
        <v>1145233</v>
      </c>
      <c r="S67" s="19">
        <f t="shared" si="19"/>
        <v>0.99982187030936065</v>
      </c>
      <c r="T67" s="19">
        <f t="shared" si="20"/>
        <v>1.7812969063937207E-4</v>
      </c>
    </row>
    <row r="68" spans="1:20" x14ac:dyDescent="0.2">
      <c r="A68" s="9">
        <v>44022</v>
      </c>
      <c r="B68" s="4" t="s">
        <v>222</v>
      </c>
      <c r="C68" s="8">
        <v>44013</v>
      </c>
      <c r="D68" s="4" t="s">
        <v>174</v>
      </c>
      <c r="E68" s="14">
        <f>IF(SUMIFS('Daily NSE Equity Futures'!$I:$I,'Daily NSE Equity Futures'!$A:$A,$A68)=0,"",SUMIFS('Daily NSE Equity Futures'!$I:$I,'Daily NSE Equity Futures'!$A:$A,$A68))</f>
        <v>870.95749999999998</v>
      </c>
      <c r="F68" s="6">
        <f>IF(SUMIFS('Daily BSE Equity Futures'!$I:$I,'Daily BSE Equity Futures'!$A:$A,$A68)=0,"",SUMIFS('Daily BSE Equity Futures'!$I:$I,'Daily BSE Equity Futures'!$A:$A,$A68))</f>
        <v>0.27260000000000001</v>
      </c>
      <c r="G68" s="6">
        <f t="shared" si="12"/>
        <v>871.23009999999999</v>
      </c>
      <c r="H68" s="15">
        <f t="shared" si="13"/>
        <v>0.99968710906567626</v>
      </c>
      <c r="I68" s="15">
        <f t="shared" si="14"/>
        <v>3.1289093432377972E-4</v>
      </c>
      <c r="J68" s="20" t="str">
        <f t="shared" si="15"/>
        <v/>
      </c>
      <c r="K68" s="15" t="str">
        <f t="shared" si="16"/>
        <v/>
      </c>
      <c r="L68" s="15" t="str">
        <f t="shared" si="17"/>
        <v/>
      </c>
      <c r="M68" s="15">
        <f t="shared" si="21"/>
        <v>0.12802007792395842</v>
      </c>
      <c r="N68" s="15">
        <f t="shared" si="22"/>
        <v>0.58304297328687582</v>
      </c>
      <c r="O68" s="15">
        <f t="shared" si="23"/>
        <v>0.12812153665251858</v>
      </c>
      <c r="P68" s="18">
        <f>IF(SUMIFS('Daily NSE Equity Futures'!$J:$J,'Daily NSE Equity Futures'!$A:$A,$A68)=0,"",SUMIFS('Daily NSE Equity Futures'!$J:$J,'Daily NSE Equity Futures'!$A:$A,$A68))</f>
        <v>1289524</v>
      </c>
      <c r="Q68" s="7">
        <f>IF(SUMIFS('Daily BSE Equity Futures'!$J:$J,'Daily BSE Equity Futures'!$A:$A,$A68)=0,"",SUMIFS('Daily BSE Equity Futures'!$J:$J,'Daily BSE Equity Futures'!$A:$A,$A68))</f>
        <v>323</v>
      </c>
      <c r="R68" s="7">
        <f t="shared" si="18"/>
        <v>1289847</v>
      </c>
      <c r="S68" s="19">
        <f t="shared" si="19"/>
        <v>0.99974958270244452</v>
      </c>
      <c r="T68" s="19">
        <f t="shared" si="20"/>
        <v>2.5041729755544649E-4</v>
      </c>
    </row>
    <row r="69" spans="1:20" x14ac:dyDescent="0.2">
      <c r="A69" s="9">
        <v>44025</v>
      </c>
      <c r="B69" s="4" t="s">
        <v>225</v>
      </c>
      <c r="C69" s="8">
        <v>44013</v>
      </c>
      <c r="D69" s="4" t="s">
        <v>174</v>
      </c>
      <c r="E69" s="14">
        <f>IF(SUMIFS('Daily NSE Equity Futures'!$I:$I,'Daily NSE Equity Futures'!$A:$A,$A69)=0,"",SUMIFS('Daily NSE Equity Futures'!$I:$I,'Daily NSE Equity Futures'!$A:$A,$A69))</f>
        <v>788.54819999999995</v>
      </c>
      <c r="F69" s="6">
        <f>IF(SUMIFS('Daily BSE Equity Futures'!$I:$I,'Daily BSE Equity Futures'!$A:$A,$A69)=0,"",SUMIFS('Daily BSE Equity Futures'!$I:$I,'Daily BSE Equity Futures'!$A:$A,$A69))</f>
        <v>0.45419999999999999</v>
      </c>
      <c r="G69" s="6">
        <f t="shared" si="12"/>
        <v>789.00239999999997</v>
      </c>
      <c r="H69" s="15">
        <f t="shared" si="13"/>
        <v>0.99942433635182859</v>
      </c>
      <c r="I69" s="15">
        <f t="shared" si="14"/>
        <v>5.756636481714124E-4</v>
      </c>
      <c r="J69" s="20" t="str">
        <f t="shared" si="15"/>
        <v/>
      </c>
      <c r="K69" s="15" t="str">
        <f t="shared" si="16"/>
        <v/>
      </c>
      <c r="L69" s="15" t="str">
        <f t="shared" si="17"/>
        <v/>
      </c>
      <c r="M69" s="15">
        <f t="shared" si="21"/>
        <v>-9.4619197836863456E-2</v>
      </c>
      <c r="N69" s="15">
        <f t="shared" si="22"/>
        <v>0.66617754952311081</v>
      </c>
      <c r="O69" s="15">
        <f t="shared" si="23"/>
        <v>-9.438115143175152E-2</v>
      </c>
      <c r="P69" s="18">
        <f>IF(SUMIFS('Daily NSE Equity Futures'!$J:$J,'Daily NSE Equity Futures'!$A:$A,$A69)=0,"",SUMIFS('Daily NSE Equity Futures'!$J:$J,'Daily NSE Equity Futures'!$A:$A,$A69))</f>
        <v>1136339</v>
      </c>
      <c r="Q69" s="7">
        <f>IF(SUMIFS('Daily BSE Equity Futures'!$J:$J,'Daily BSE Equity Futures'!$A:$A,$A69)=0,"",SUMIFS('Daily BSE Equity Futures'!$J:$J,'Daily BSE Equity Futures'!$A:$A,$A69))</f>
        <v>535</v>
      </c>
      <c r="R69" s="7">
        <f t="shared" si="18"/>
        <v>1136874</v>
      </c>
      <c r="S69" s="19">
        <f t="shared" si="19"/>
        <v>0.99952941135077411</v>
      </c>
      <c r="T69" s="19">
        <f t="shared" si="20"/>
        <v>4.7058864922585968E-4</v>
      </c>
    </row>
    <row r="70" spans="1:20" x14ac:dyDescent="0.2">
      <c r="A70" s="9">
        <v>44026</v>
      </c>
      <c r="B70" s="4" t="s">
        <v>223</v>
      </c>
      <c r="C70" s="8">
        <v>44013</v>
      </c>
      <c r="D70" s="4" t="s">
        <v>174</v>
      </c>
      <c r="E70" s="14">
        <f>IF(SUMIFS('Daily NSE Equity Futures'!$I:$I,'Daily NSE Equity Futures'!$A:$A,$A70)=0,"",SUMIFS('Daily NSE Equity Futures'!$I:$I,'Daily NSE Equity Futures'!$A:$A,$A70))</f>
        <v>907.50760000000002</v>
      </c>
      <c r="F70" s="6">
        <f>IF(SUMIFS('Daily BSE Equity Futures'!$I:$I,'Daily BSE Equity Futures'!$A:$A,$A70)=0,"",SUMIFS('Daily BSE Equity Futures'!$I:$I,'Daily BSE Equity Futures'!$A:$A,$A70))</f>
        <v>0.1105</v>
      </c>
      <c r="G70" s="6">
        <f t="shared" si="12"/>
        <v>907.61810000000003</v>
      </c>
      <c r="H70" s="15">
        <f t="shared" si="13"/>
        <v>0.9998782527585115</v>
      </c>
      <c r="I70" s="15">
        <f t="shared" si="14"/>
        <v>1.2174724148846304E-4</v>
      </c>
      <c r="J70" s="20" t="str">
        <f t="shared" si="15"/>
        <v/>
      </c>
      <c r="K70" s="15" t="str">
        <f t="shared" si="16"/>
        <v/>
      </c>
      <c r="L70" s="15" t="str">
        <f t="shared" si="17"/>
        <v/>
      </c>
      <c r="M70" s="15">
        <f t="shared" si="21"/>
        <v>0.15085875536840998</v>
      </c>
      <c r="N70" s="15">
        <f t="shared" si="22"/>
        <v>-0.75671510347864379</v>
      </c>
      <c r="O70" s="15">
        <f t="shared" si="23"/>
        <v>0.15033629808984106</v>
      </c>
      <c r="P70" s="18">
        <f>IF(SUMIFS('Daily NSE Equity Futures'!$J:$J,'Daily NSE Equity Futures'!$A:$A,$A70)=0,"",SUMIFS('Daily NSE Equity Futures'!$J:$J,'Daily NSE Equity Futures'!$A:$A,$A70))</f>
        <v>1337656</v>
      </c>
      <c r="Q70" s="7">
        <f>IF(SUMIFS('Daily BSE Equity Futures'!$J:$J,'Daily BSE Equity Futures'!$A:$A,$A70)=0,"",SUMIFS('Daily BSE Equity Futures'!$J:$J,'Daily BSE Equity Futures'!$A:$A,$A70))</f>
        <v>132</v>
      </c>
      <c r="R70" s="7">
        <f t="shared" si="18"/>
        <v>1337788</v>
      </c>
      <c r="S70" s="19">
        <f t="shared" si="19"/>
        <v>0.99990132965761391</v>
      </c>
      <c r="T70" s="19">
        <f t="shared" si="20"/>
        <v>9.8670342386088084E-5</v>
      </c>
    </row>
    <row r="71" spans="1:20" x14ac:dyDescent="0.2">
      <c r="A71" s="9">
        <v>44027</v>
      </c>
      <c r="B71" s="4" t="s">
        <v>221</v>
      </c>
      <c r="C71" s="8">
        <v>44013</v>
      </c>
      <c r="D71" s="4" t="s">
        <v>174</v>
      </c>
      <c r="E71" s="14">
        <f>IF(SUMIFS('Daily NSE Equity Futures'!$I:$I,'Daily NSE Equity Futures'!$A:$A,$A71)=0,"",SUMIFS('Daily NSE Equity Futures'!$I:$I,'Daily NSE Equity Futures'!$A:$A,$A71))</f>
        <v>1060.7177999999999</v>
      </c>
      <c r="F71" s="6">
        <f>IF(SUMIFS('Daily BSE Equity Futures'!$I:$I,'Daily BSE Equity Futures'!$A:$A,$A71)=0,"",SUMIFS('Daily BSE Equity Futures'!$I:$I,'Daily BSE Equity Futures'!$A:$A,$A71))</f>
        <v>0.33310000000000001</v>
      </c>
      <c r="G71" s="6">
        <f t="shared" si="12"/>
        <v>1061.0509</v>
      </c>
      <c r="H71" s="15">
        <f t="shared" si="13"/>
        <v>0.99968606595593101</v>
      </c>
      <c r="I71" s="15">
        <f t="shared" si="14"/>
        <v>3.1393404406895089E-4</v>
      </c>
      <c r="J71" s="20" t="str">
        <f t="shared" si="15"/>
        <v/>
      </c>
      <c r="K71" s="15" t="str">
        <f t="shared" si="16"/>
        <v/>
      </c>
      <c r="L71" s="15" t="str">
        <f t="shared" si="17"/>
        <v/>
      </c>
      <c r="M71" s="15">
        <f t="shared" si="21"/>
        <v>0.16882525281330962</v>
      </c>
      <c r="N71" s="15">
        <f t="shared" si="22"/>
        <v>2.0144796380090497</v>
      </c>
      <c r="O71" s="15">
        <f t="shared" si="23"/>
        <v>0.16904995614344842</v>
      </c>
      <c r="P71" s="18">
        <f>IF(SUMIFS('Daily NSE Equity Futures'!$J:$J,'Daily NSE Equity Futures'!$A:$A,$A71)=0,"",SUMIFS('Daily NSE Equity Futures'!$J:$J,'Daily NSE Equity Futures'!$A:$A,$A71))</f>
        <v>1514625</v>
      </c>
      <c r="Q71" s="7">
        <f>IF(SUMIFS('Daily BSE Equity Futures'!$J:$J,'Daily BSE Equity Futures'!$A:$A,$A71)=0,"",SUMIFS('Daily BSE Equity Futures'!$J:$J,'Daily BSE Equity Futures'!$A:$A,$A71))</f>
        <v>395</v>
      </c>
      <c r="R71" s="7">
        <f t="shared" si="18"/>
        <v>1515020</v>
      </c>
      <c r="S71" s="19">
        <f t="shared" si="19"/>
        <v>0.9997392773692757</v>
      </c>
      <c r="T71" s="19">
        <f t="shared" si="20"/>
        <v>2.607226307243469E-4</v>
      </c>
    </row>
    <row r="72" spans="1:20" x14ac:dyDescent="0.2">
      <c r="A72" s="9">
        <v>44028</v>
      </c>
      <c r="B72" s="4" t="s">
        <v>224</v>
      </c>
      <c r="C72" s="8">
        <v>44013</v>
      </c>
      <c r="D72" s="4" t="s">
        <v>174</v>
      </c>
      <c r="E72" s="14">
        <f>IF(SUMIFS('Daily NSE Equity Futures'!$I:$I,'Daily NSE Equity Futures'!$A:$A,$A72)=0,"",SUMIFS('Daily NSE Equity Futures'!$I:$I,'Daily NSE Equity Futures'!$A:$A,$A72))</f>
        <v>954.44560000000001</v>
      </c>
      <c r="F72" s="6">
        <f>IF(SUMIFS('Daily BSE Equity Futures'!$I:$I,'Daily BSE Equity Futures'!$A:$A,$A72)=0,"",SUMIFS('Daily BSE Equity Futures'!$I:$I,'Daily BSE Equity Futures'!$A:$A,$A72))</f>
        <v>0.3029</v>
      </c>
      <c r="G72" s="6">
        <f t="shared" si="12"/>
        <v>954.74850000000004</v>
      </c>
      <c r="H72" s="15">
        <f t="shared" si="13"/>
        <v>0.99968274367542864</v>
      </c>
      <c r="I72" s="15">
        <f t="shared" si="14"/>
        <v>3.1725632457133999E-4</v>
      </c>
      <c r="J72" s="20" t="str">
        <f t="shared" si="15"/>
        <v/>
      </c>
      <c r="K72" s="15" t="str">
        <f t="shared" si="16"/>
        <v/>
      </c>
      <c r="L72" s="15" t="str">
        <f t="shared" si="17"/>
        <v/>
      </c>
      <c r="M72" s="15">
        <f t="shared" si="21"/>
        <v>-0.10018894752214014</v>
      </c>
      <c r="N72" s="15">
        <f t="shared" si="22"/>
        <v>-9.066346442509754E-2</v>
      </c>
      <c r="O72" s="15">
        <f t="shared" si="23"/>
        <v>-0.10018595714870981</v>
      </c>
      <c r="P72" s="18">
        <f>IF(SUMIFS('Daily NSE Equity Futures'!$J:$J,'Daily NSE Equity Futures'!$A:$A,$A72)=0,"",SUMIFS('Daily NSE Equity Futures'!$J:$J,'Daily NSE Equity Futures'!$A:$A,$A72))</f>
        <v>1389595</v>
      </c>
      <c r="Q72" s="7">
        <f>IF(SUMIFS('Daily BSE Equity Futures'!$J:$J,'Daily BSE Equity Futures'!$A:$A,$A72)=0,"",SUMIFS('Daily BSE Equity Futures'!$J:$J,'Daily BSE Equity Futures'!$A:$A,$A72))</f>
        <v>362</v>
      </c>
      <c r="R72" s="7">
        <f t="shared" si="18"/>
        <v>1389957</v>
      </c>
      <c r="S72" s="19">
        <f t="shared" si="19"/>
        <v>0.99973956028855571</v>
      </c>
      <c r="T72" s="19">
        <f t="shared" si="20"/>
        <v>2.6043971144431086E-4</v>
      </c>
    </row>
    <row r="73" spans="1:20" x14ac:dyDescent="0.2">
      <c r="A73" s="9">
        <v>44029</v>
      </c>
      <c r="B73" s="4" t="s">
        <v>222</v>
      </c>
      <c r="C73" s="8">
        <v>44013</v>
      </c>
      <c r="D73" s="4" t="s">
        <v>174</v>
      </c>
      <c r="E73" s="14">
        <f>IF(SUMIFS('Daily NSE Equity Futures'!$I:$I,'Daily NSE Equity Futures'!$A:$A,$A73)=0,"",SUMIFS('Daily NSE Equity Futures'!$I:$I,'Daily NSE Equity Futures'!$A:$A,$A73))</f>
        <v>952.51319999999998</v>
      </c>
      <c r="F73" s="6">
        <f>IF(SUMIFS('Daily BSE Equity Futures'!$I:$I,'Daily BSE Equity Futures'!$A:$A,$A73)=0,"",SUMIFS('Daily BSE Equity Futures'!$I:$I,'Daily BSE Equity Futures'!$A:$A,$A73))</f>
        <v>0.30580000000000002</v>
      </c>
      <c r="G73" s="6">
        <f t="shared" si="12"/>
        <v>952.81899999999996</v>
      </c>
      <c r="H73" s="15">
        <f t="shared" si="13"/>
        <v>0.99967905761744891</v>
      </c>
      <c r="I73" s="15">
        <f t="shared" si="14"/>
        <v>3.2094238255114561E-4</v>
      </c>
      <c r="J73" s="20" t="str">
        <f t="shared" si="15"/>
        <v/>
      </c>
      <c r="K73" s="15" t="str">
        <f t="shared" si="16"/>
        <v/>
      </c>
      <c r="L73" s="15" t="str">
        <f t="shared" si="17"/>
        <v/>
      </c>
      <c r="M73" s="15">
        <f t="shared" si="21"/>
        <v>-2.0246308432875226E-3</v>
      </c>
      <c r="N73" s="15">
        <f t="shared" si="22"/>
        <v>9.5741168702543344E-3</v>
      </c>
      <c r="O73" s="15">
        <f t="shared" si="23"/>
        <v>-2.0209510672183351E-3</v>
      </c>
      <c r="P73" s="18">
        <f>IF(SUMIFS('Daily NSE Equity Futures'!$J:$J,'Daily NSE Equity Futures'!$A:$A,$A73)=0,"",SUMIFS('Daily NSE Equity Futures'!$J:$J,'Daily NSE Equity Futures'!$A:$A,$A73))</f>
        <v>1390178</v>
      </c>
      <c r="Q73" s="7">
        <f>IF(SUMIFS('Daily BSE Equity Futures'!$J:$J,'Daily BSE Equity Futures'!$A:$A,$A73)=0,"",SUMIFS('Daily BSE Equity Futures'!$J:$J,'Daily BSE Equity Futures'!$A:$A,$A73))</f>
        <v>360</v>
      </c>
      <c r="R73" s="7">
        <f t="shared" si="18"/>
        <v>1390538</v>
      </c>
      <c r="S73" s="19">
        <f t="shared" si="19"/>
        <v>0.99974110739871902</v>
      </c>
      <c r="T73" s="19">
        <f t="shared" si="20"/>
        <v>2.5889260128094305E-4</v>
      </c>
    </row>
    <row r="74" spans="1:20" x14ac:dyDescent="0.2">
      <c r="A74" s="9">
        <v>44032</v>
      </c>
      <c r="B74" s="4" t="s">
        <v>225</v>
      </c>
      <c r="C74" s="8">
        <v>44013</v>
      </c>
      <c r="D74" s="4" t="s">
        <v>174</v>
      </c>
      <c r="E74" s="14">
        <f>IF(SUMIFS('Daily NSE Equity Futures'!$I:$I,'Daily NSE Equity Futures'!$A:$A,$A74)=0,"",SUMIFS('Daily NSE Equity Futures'!$I:$I,'Daily NSE Equity Futures'!$A:$A,$A74))</f>
        <v>885.68190000000004</v>
      </c>
      <c r="F74" s="6">
        <f>IF(SUMIFS('Daily BSE Equity Futures'!$I:$I,'Daily BSE Equity Futures'!$A:$A,$A74)=0,"",SUMIFS('Daily BSE Equity Futures'!$I:$I,'Daily BSE Equity Futures'!$A:$A,$A74))</f>
        <v>0.91320000000000001</v>
      </c>
      <c r="G74" s="6">
        <f t="shared" si="12"/>
        <v>886.5951</v>
      </c>
      <c r="H74" s="15">
        <f t="shared" si="13"/>
        <v>0.99896999205161419</v>
      </c>
      <c r="I74" s="15">
        <f t="shared" si="14"/>
        <v>1.0300079483859092E-3</v>
      </c>
      <c r="J74" s="20" t="str">
        <f t="shared" si="15"/>
        <v/>
      </c>
      <c r="K74" s="15" t="str">
        <f t="shared" si="16"/>
        <v/>
      </c>
      <c r="L74" s="15" t="str">
        <f t="shared" si="17"/>
        <v/>
      </c>
      <c r="M74" s="15">
        <f t="shared" si="21"/>
        <v>-7.0163122148858337E-2</v>
      </c>
      <c r="N74" s="15">
        <f t="shared" si="22"/>
        <v>1.9862655330281229</v>
      </c>
      <c r="O74" s="15">
        <f t="shared" si="23"/>
        <v>-6.9503127036719459E-2</v>
      </c>
      <c r="P74" s="18">
        <f>IF(SUMIFS('Daily NSE Equity Futures'!$J:$J,'Daily NSE Equity Futures'!$A:$A,$A74)=0,"",SUMIFS('Daily NSE Equity Futures'!$J:$J,'Daily NSE Equity Futures'!$A:$A,$A74))</f>
        <v>1321808</v>
      </c>
      <c r="Q74" s="7">
        <f>IF(SUMIFS('Daily BSE Equity Futures'!$J:$J,'Daily BSE Equity Futures'!$A:$A,$A74)=0,"",SUMIFS('Daily BSE Equity Futures'!$J:$J,'Daily BSE Equity Futures'!$A:$A,$A74))</f>
        <v>1058</v>
      </c>
      <c r="R74" s="7">
        <f t="shared" si="18"/>
        <v>1322866</v>
      </c>
      <c r="S74" s="19">
        <f t="shared" si="19"/>
        <v>0.99920022133761088</v>
      </c>
      <c r="T74" s="19">
        <f t="shared" si="20"/>
        <v>7.9977866238908554E-4</v>
      </c>
    </row>
    <row r="75" spans="1:20" x14ac:dyDescent="0.2">
      <c r="A75" s="9">
        <v>44033</v>
      </c>
      <c r="B75" s="4" t="s">
        <v>223</v>
      </c>
      <c r="C75" s="8">
        <v>44013</v>
      </c>
      <c r="D75" s="4" t="s">
        <v>174</v>
      </c>
      <c r="E75" s="14">
        <f>IF(SUMIFS('Daily NSE Equity Futures'!$I:$I,'Daily NSE Equity Futures'!$A:$A,$A75)=0,"",SUMIFS('Daily NSE Equity Futures'!$I:$I,'Daily NSE Equity Futures'!$A:$A,$A75))</f>
        <v>974.0942</v>
      </c>
      <c r="F75" s="6">
        <f>IF(SUMIFS('Daily BSE Equity Futures'!$I:$I,'Daily BSE Equity Futures'!$A:$A,$A75)=0,"",SUMIFS('Daily BSE Equity Futures'!$I:$I,'Daily BSE Equity Futures'!$A:$A,$A75))</f>
        <v>0.24660000000000001</v>
      </c>
      <c r="G75" s="6">
        <f t="shared" si="12"/>
        <v>974.34079999999994</v>
      </c>
      <c r="H75" s="15">
        <f t="shared" si="13"/>
        <v>0.99974690580544312</v>
      </c>
      <c r="I75" s="15">
        <f t="shared" si="14"/>
        <v>2.5309419455697642E-4</v>
      </c>
      <c r="J75" s="20" t="str">
        <f t="shared" si="15"/>
        <v/>
      </c>
      <c r="K75" s="15" t="str">
        <f t="shared" si="16"/>
        <v/>
      </c>
      <c r="L75" s="15" t="str">
        <f t="shared" si="17"/>
        <v/>
      </c>
      <c r="M75" s="15">
        <f t="shared" si="21"/>
        <v>9.9823988725523227E-2</v>
      </c>
      <c r="N75" s="15">
        <f t="shared" si="22"/>
        <v>-0.72996057818659654</v>
      </c>
      <c r="O75" s="15">
        <f t="shared" si="23"/>
        <v>9.8969304026155669E-2</v>
      </c>
      <c r="P75" s="18">
        <f>IF(SUMIFS('Daily NSE Equity Futures'!$J:$J,'Daily NSE Equity Futures'!$A:$A,$A75)=0,"",SUMIFS('Daily NSE Equity Futures'!$J:$J,'Daily NSE Equity Futures'!$A:$A,$A75))</f>
        <v>1399404</v>
      </c>
      <c r="Q75" s="7">
        <f>IF(SUMIFS('Daily BSE Equity Futures'!$J:$J,'Daily BSE Equity Futures'!$A:$A,$A75)=0,"",SUMIFS('Daily BSE Equity Futures'!$J:$J,'Daily BSE Equity Futures'!$A:$A,$A75))</f>
        <v>282</v>
      </c>
      <c r="R75" s="7">
        <f t="shared" si="18"/>
        <v>1399686</v>
      </c>
      <c r="S75" s="19">
        <f t="shared" si="19"/>
        <v>0.9997985262408855</v>
      </c>
      <c r="T75" s="19">
        <f t="shared" si="20"/>
        <v>2.0147375911454426E-4</v>
      </c>
    </row>
    <row r="76" spans="1:20" x14ac:dyDescent="0.2">
      <c r="A76" s="9">
        <v>44034</v>
      </c>
      <c r="B76" s="4" t="s">
        <v>221</v>
      </c>
      <c r="C76" s="8">
        <v>44013</v>
      </c>
      <c r="D76" s="4" t="s">
        <v>174</v>
      </c>
      <c r="E76" s="14">
        <f>IF(SUMIFS('Daily NSE Equity Futures'!$I:$I,'Daily NSE Equity Futures'!$A:$A,$A76)=0,"",SUMIFS('Daily NSE Equity Futures'!$I:$I,'Daily NSE Equity Futures'!$A:$A,$A76))</f>
        <v>1053.4079999999999</v>
      </c>
      <c r="F76" s="6">
        <f>IF(SUMIFS('Daily BSE Equity Futures'!$I:$I,'Daily BSE Equity Futures'!$A:$A,$A76)=0,"",SUMIFS('Daily BSE Equity Futures'!$I:$I,'Daily BSE Equity Futures'!$A:$A,$A76))</f>
        <v>0.25669999999999998</v>
      </c>
      <c r="G76" s="6">
        <f t="shared" si="12"/>
        <v>1053.6646999999998</v>
      </c>
      <c r="H76" s="15">
        <f t="shared" si="13"/>
        <v>0.99975637411028395</v>
      </c>
      <c r="I76" s="15">
        <f t="shared" si="14"/>
        <v>2.4362588971614977E-4</v>
      </c>
      <c r="J76" s="20" t="str">
        <f t="shared" si="15"/>
        <v/>
      </c>
      <c r="K76" s="15" t="str">
        <f t="shared" si="16"/>
        <v/>
      </c>
      <c r="L76" s="15" t="str">
        <f t="shared" si="17"/>
        <v/>
      </c>
      <c r="M76" s="15">
        <f t="shared" si="21"/>
        <v>8.1423131356289646E-2</v>
      </c>
      <c r="N76" s="15">
        <f t="shared" si="22"/>
        <v>4.0957015409569975E-2</v>
      </c>
      <c r="O76" s="15">
        <f t="shared" si="23"/>
        <v>8.1412889617267226E-2</v>
      </c>
      <c r="P76" s="18">
        <f>IF(SUMIFS('Daily NSE Equity Futures'!$J:$J,'Daily NSE Equity Futures'!$A:$A,$A76)=0,"",SUMIFS('Daily NSE Equity Futures'!$J:$J,'Daily NSE Equity Futures'!$A:$A,$A76))</f>
        <v>1522751</v>
      </c>
      <c r="Q76" s="7">
        <f>IF(SUMIFS('Daily BSE Equity Futures'!$J:$J,'Daily BSE Equity Futures'!$A:$A,$A76)=0,"",SUMIFS('Daily BSE Equity Futures'!$J:$J,'Daily BSE Equity Futures'!$A:$A,$A76))</f>
        <v>294</v>
      </c>
      <c r="R76" s="7">
        <f t="shared" si="18"/>
        <v>1523045</v>
      </c>
      <c r="S76" s="19">
        <f t="shared" si="19"/>
        <v>0.99980696565104776</v>
      </c>
      <c r="T76" s="19">
        <f t="shared" si="20"/>
        <v>1.930343489522634E-4</v>
      </c>
    </row>
    <row r="77" spans="1:20" x14ac:dyDescent="0.2">
      <c r="A77" s="9">
        <v>44035</v>
      </c>
      <c r="B77" s="4" t="s">
        <v>224</v>
      </c>
      <c r="C77" s="8">
        <v>44013</v>
      </c>
      <c r="D77" s="4" t="s">
        <v>174</v>
      </c>
      <c r="E77" s="14">
        <f>IF(SUMIFS('Daily NSE Equity Futures'!$I:$I,'Daily NSE Equity Futures'!$A:$A,$A77)=0,"",SUMIFS('Daily NSE Equity Futures'!$I:$I,'Daily NSE Equity Futures'!$A:$A,$A77))</f>
        <v>882.68759999999997</v>
      </c>
      <c r="F77" s="6">
        <f>IF(SUMIFS('Daily BSE Equity Futures'!$I:$I,'Daily BSE Equity Futures'!$A:$A,$A77)=0,"",SUMIFS('Daily BSE Equity Futures'!$I:$I,'Daily BSE Equity Futures'!$A:$A,$A77))</f>
        <v>0.19389999999999999</v>
      </c>
      <c r="G77" s="6">
        <f t="shared" si="12"/>
        <v>882.88149999999996</v>
      </c>
      <c r="H77" s="15">
        <f t="shared" si="13"/>
        <v>0.99978037822742916</v>
      </c>
      <c r="I77" s="15">
        <f t="shared" si="14"/>
        <v>2.1962177257083766E-4</v>
      </c>
      <c r="J77" s="20" t="str">
        <f t="shared" si="15"/>
        <v/>
      </c>
      <c r="K77" s="15" t="str">
        <f t="shared" si="16"/>
        <v/>
      </c>
      <c r="L77" s="15" t="str">
        <f t="shared" si="17"/>
        <v/>
      </c>
      <c r="M77" s="15">
        <f t="shared" si="21"/>
        <v>-0.16206484097329799</v>
      </c>
      <c r="N77" s="15">
        <f t="shared" si="22"/>
        <v>-0.24464355278535255</v>
      </c>
      <c r="O77" s="15">
        <f t="shared" si="23"/>
        <v>-0.16208495928543476</v>
      </c>
      <c r="P77" s="18">
        <f>IF(SUMIFS('Daily NSE Equity Futures'!$J:$J,'Daily NSE Equity Futures'!$A:$A,$A77)=0,"",SUMIFS('Daily NSE Equity Futures'!$J:$J,'Daily NSE Equity Futures'!$A:$A,$A77))</f>
        <v>1272191</v>
      </c>
      <c r="Q77" s="7">
        <f>IF(SUMIFS('Daily BSE Equity Futures'!$J:$J,'Daily BSE Equity Futures'!$A:$A,$A77)=0,"",SUMIFS('Daily BSE Equity Futures'!$J:$J,'Daily BSE Equity Futures'!$A:$A,$A77))</f>
        <v>221</v>
      </c>
      <c r="R77" s="7">
        <f t="shared" si="18"/>
        <v>1272412</v>
      </c>
      <c r="S77" s="19">
        <f t="shared" si="19"/>
        <v>0.99982631411838307</v>
      </c>
      <c r="T77" s="19">
        <f t="shared" si="20"/>
        <v>1.7368588161696053E-4</v>
      </c>
    </row>
    <row r="78" spans="1:20" x14ac:dyDescent="0.2">
      <c r="A78" s="9">
        <v>44036</v>
      </c>
      <c r="B78" s="4" t="s">
        <v>222</v>
      </c>
      <c r="C78" s="8">
        <v>44013</v>
      </c>
      <c r="D78" s="4" t="s">
        <v>174</v>
      </c>
      <c r="E78" s="14">
        <f>IF(SUMIFS('Daily NSE Equity Futures'!$I:$I,'Daily NSE Equity Futures'!$A:$A,$A78)=0,"",SUMIFS('Daily NSE Equity Futures'!$I:$I,'Daily NSE Equity Futures'!$A:$A,$A78))</f>
        <v>1193.4540999999999</v>
      </c>
      <c r="F78" s="6">
        <f>IF(SUMIFS('Daily BSE Equity Futures'!$I:$I,'Daily BSE Equity Futures'!$A:$A,$A78)=0,"",SUMIFS('Daily BSE Equity Futures'!$I:$I,'Daily BSE Equity Futures'!$A:$A,$A78))</f>
        <v>0.41599999999999998</v>
      </c>
      <c r="G78" s="6">
        <f t="shared" si="12"/>
        <v>1193.8700999999999</v>
      </c>
      <c r="H78" s="15">
        <f t="shared" si="13"/>
        <v>0.99965155338089129</v>
      </c>
      <c r="I78" s="15">
        <f t="shared" si="14"/>
        <v>3.4844661910872883E-4</v>
      </c>
      <c r="J78" s="20" t="str">
        <f t="shared" si="15"/>
        <v/>
      </c>
      <c r="K78" s="15" t="str">
        <f t="shared" si="16"/>
        <v/>
      </c>
      <c r="L78" s="15" t="str">
        <f t="shared" si="17"/>
        <v/>
      </c>
      <c r="M78" s="15">
        <f t="shared" si="21"/>
        <v>0.35206850079235275</v>
      </c>
      <c r="N78" s="15">
        <f t="shared" si="22"/>
        <v>1.1454357916451778</v>
      </c>
      <c r="O78" s="15">
        <f t="shared" si="23"/>
        <v>0.35224274152306956</v>
      </c>
      <c r="P78" s="18">
        <f>IF(SUMIFS('Daily NSE Equity Futures'!$J:$J,'Daily NSE Equity Futures'!$A:$A,$A78)=0,"",SUMIFS('Daily NSE Equity Futures'!$J:$J,'Daily NSE Equity Futures'!$A:$A,$A78))</f>
        <v>1709830</v>
      </c>
      <c r="Q78" s="7">
        <f>IF(SUMIFS('Daily BSE Equity Futures'!$J:$J,'Daily BSE Equity Futures'!$A:$A,$A78)=0,"",SUMIFS('Daily BSE Equity Futures'!$J:$J,'Daily BSE Equity Futures'!$A:$A,$A78))</f>
        <v>476</v>
      </c>
      <c r="R78" s="7">
        <f t="shared" si="18"/>
        <v>1710306</v>
      </c>
      <c r="S78" s="19">
        <f t="shared" si="19"/>
        <v>0.99972168723023835</v>
      </c>
      <c r="T78" s="19">
        <f t="shared" si="20"/>
        <v>2.7831276976166838E-4</v>
      </c>
    </row>
    <row r="79" spans="1:20" x14ac:dyDescent="0.2">
      <c r="A79" s="9">
        <v>44039</v>
      </c>
      <c r="B79" s="4" t="s">
        <v>225</v>
      </c>
      <c r="C79" s="8">
        <v>44013</v>
      </c>
      <c r="D79" s="4" t="s">
        <v>174</v>
      </c>
      <c r="E79" s="14">
        <f>IF(SUMIFS('Daily NSE Equity Futures'!$I:$I,'Daily NSE Equity Futures'!$A:$A,$A79)=0,"",SUMIFS('Daily NSE Equity Futures'!$I:$I,'Daily NSE Equity Futures'!$A:$A,$A79))</f>
        <v>1383.1388999999999</v>
      </c>
      <c r="F79" s="6">
        <f>IF(SUMIFS('Daily BSE Equity Futures'!$I:$I,'Daily BSE Equity Futures'!$A:$A,$A79)=0,"",SUMIFS('Daily BSE Equity Futures'!$I:$I,'Daily BSE Equity Futures'!$A:$A,$A79))</f>
        <v>0.60289999999999999</v>
      </c>
      <c r="G79" s="6">
        <f t="shared" si="12"/>
        <v>1383.7418</v>
      </c>
      <c r="H79" s="15">
        <f t="shared" si="13"/>
        <v>0.99956429732772389</v>
      </c>
      <c r="I79" s="15">
        <f t="shared" si="14"/>
        <v>4.3570267227599832E-4</v>
      </c>
      <c r="J79" s="20" t="str">
        <f t="shared" si="15"/>
        <v/>
      </c>
      <c r="K79" s="15" t="str">
        <f t="shared" si="16"/>
        <v/>
      </c>
      <c r="L79" s="15" t="str">
        <f t="shared" si="17"/>
        <v/>
      </c>
      <c r="M79" s="15">
        <f t="shared" si="21"/>
        <v>0.15893765834815099</v>
      </c>
      <c r="N79" s="15">
        <f t="shared" si="22"/>
        <v>0.44927884615384617</v>
      </c>
      <c r="O79" s="15">
        <f t="shared" si="23"/>
        <v>0.15903882675342995</v>
      </c>
      <c r="P79" s="18">
        <f>IF(SUMIFS('Daily NSE Equity Futures'!$J:$J,'Daily NSE Equity Futures'!$A:$A,$A79)=0,"",SUMIFS('Daily NSE Equity Futures'!$J:$J,'Daily NSE Equity Futures'!$A:$A,$A79))</f>
        <v>2023114</v>
      </c>
      <c r="Q79" s="7">
        <f>IF(SUMIFS('Daily BSE Equity Futures'!$J:$J,'Daily BSE Equity Futures'!$A:$A,$A79)=0,"",SUMIFS('Daily BSE Equity Futures'!$J:$J,'Daily BSE Equity Futures'!$A:$A,$A79))</f>
        <v>689</v>
      </c>
      <c r="R79" s="7">
        <f t="shared" si="18"/>
        <v>2023803</v>
      </c>
      <c r="S79" s="19">
        <f t="shared" si="19"/>
        <v>0.99965955184373179</v>
      </c>
      <c r="T79" s="19">
        <f t="shared" si="20"/>
        <v>3.4044815626817432E-4</v>
      </c>
    </row>
    <row r="80" spans="1:20" x14ac:dyDescent="0.2">
      <c r="A80" s="9">
        <v>44040</v>
      </c>
      <c r="B80" s="4" t="s">
        <v>223</v>
      </c>
      <c r="C80" s="8">
        <v>44013</v>
      </c>
      <c r="D80" s="4" t="s">
        <v>174</v>
      </c>
      <c r="E80" s="14">
        <f>IF(SUMIFS('Daily NSE Equity Futures'!$I:$I,'Daily NSE Equity Futures'!$A:$A,$A80)=0,"",SUMIFS('Daily NSE Equity Futures'!$I:$I,'Daily NSE Equity Futures'!$A:$A,$A80))</f>
        <v>1593.9780000000001</v>
      </c>
      <c r="F80" s="6">
        <f>IF(SUMIFS('Daily BSE Equity Futures'!$I:$I,'Daily BSE Equity Futures'!$A:$A,$A80)=0,"",SUMIFS('Daily BSE Equity Futures'!$I:$I,'Daily BSE Equity Futures'!$A:$A,$A80))</f>
        <v>0.14180000000000001</v>
      </c>
      <c r="G80" s="6">
        <f t="shared" si="12"/>
        <v>1594.1198000000002</v>
      </c>
      <c r="H80" s="15">
        <f t="shared" si="13"/>
        <v>0.99991104809061393</v>
      </c>
      <c r="I80" s="15">
        <f t="shared" si="14"/>
        <v>8.8951909385982149E-5</v>
      </c>
      <c r="J80" s="20" t="str">
        <f t="shared" si="15"/>
        <v/>
      </c>
      <c r="K80" s="15" t="str">
        <f t="shared" si="16"/>
        <v/>
      </c>
      <c r="L80" s="15" t="str">
        <f t="shared" si="17"/>
        <v/>
      </c>
      <c r="M80" s="15">
        <f t="shared" si="21"/>
        <v>0.1524352326436631</v>
      </c>
      <c r="N80" s="15">
        <f t="shared" si="22"/>
        <v>-0.76480344999170669</v>
      </c>
      <c r="O80" s="15">
        <f t="shared" si="23"/>
        <v>0.1520355892985239</v>
      </c>
      <c r="P80" s="18">
        <f>IF(SUMIFS('Daily NSE Equity Futures'!$J:$J,'Daily NSE Equity Futures'!$A:$A,$A80)=0,"",SUMIFS('Daily NSE Equity Futures'!$J:$J,'Daily NSE Equity Futures'!$A:$A,$A80))</f>
        <v>2312148</v>
      </c>
      <c r="Q80" s="7">
        <f>IF(SUMIFS('Daily BSE Equity Futures'!$J:$J,'Daily BSE Equity Futures'!$A:$A,$A80)=0,"",SUMIFS('Daily BSE Equity Futures'!$J:$J,'Daily BSE Equity Futures'!$A:$A,$A80))</f>
        <v>161</v>
      </c>
      <c r="R80" s="7">
        <f t="shared" si="18"/>
        <v>2312309</v>
      </c>
      <c r="S80" s="19">
        <f t="shared" si="19"/>
        <v>0.99993037262753381</v>
      </c>
      <c r="T80" s="19">
        <f t="shared" si="20"/>
        <v>6.962737246622315E-5</v>
      </c>
    </row>
    <row r="81" spans="1:20" x14ac:dyDescent="0.2">
      <c r="A81" s="9">
        <v>44041</v>
      </c>
      <c r="B81" s="4" t="s">
        <v>221</v>
      </c>
      <c r="C81" s="8">
        <v>44013</v>
      </c>
      <c r="D81" s="4" t="s">
        <v>174</v>
      </c>
      <c r="E81" s="14">
        <f>IF(SUMIFS('Daily NSE Equity Futures'!$I:$I,'Daily NSE Equity Futures'!$A:$A,$A81)=0,"",SUMIFS('Daily NSE Equity Futures'!$I:$I,'Daily NSE Equity Futures'!$A:$A,$A81))</f>
        <v>1614.7701</v>
      </c>
      <c r="F81" s="6">
        <f>IF(SUMIFS('Daily BSE Equity Futures'!$I:$I,'Daily BSE Equity Futures'!$A:$A,$A81)=0,"",SUMIFS('Daily BSE Equity Futures'!$I:$I,'Daily BSE Equity Futures'!$A:$A,$A81))</f>
        <v>0.17430000000000001</v>
      </c>
      <c r="G81" s="6">
        <f t="shared" si="12"/>
        <v>1614.9443999999999</v>
      </c>
      <c r="H81" s="15">
        <f t="shared" si="13"/>
        <v>0.99989207058769336</v>
      </c>
      <c r="I81" s="15">
        <f t="shared" si="14"/>
        <v>1.0792941230670235E-4</v>
      </c>
      <c r="J81" s="20" t="str">
        <f t="shared" si="15"/>
        <v/>
      </c>
      <c r="K81" s="15" t="str">
        <f t="shared" si="16"/>
        <v/>
      </c>
      <c r="L81" s="15" t="str">
        <f t="shared" si="17"/>
        <v/>
      </c>
      <c r="M81" s="15">
        <f t="shared" si="21"/>
        <v>1.3044157447593241E-2</v>
      </c>
      <c r="N81" s="15">
        <f t="shared" si="22"/>
        <v>0.22919605077574046</v>
      </c>
      <c r="O81" s="15">
        <f t="shared" si="23"/>
        <v>1.3063384571222025E-2</v>
      </c>
      <c r="P81" s="18">
        <f>IF(SUMIFS('Daily NSE Equity Futures'!$J:$J,'Daily NSE Equity Futures'!$A:$A,$A81)=0,"",SUMIFS('Daily NSE Equity Futures'!$J:$J,'Daily NSE Equity Futures'!$A:$A,$A81))</f>
        <v>2289385</v>
      </c>
      <c r="Q81" s="7">
        <f>IF(SUMIFS('Daily BSE Equity Futures'!$J:$J,'Daily BSE Equity Futures'!$A:$A,$A81)=0,"",SUMIFS('Daily BSE Equity Futures'!$J:$J,'Daily BSE Equity Futures'!$A:$A,$A81))</f>
        <v>197</v>
      </c>
      <c r="R81" s="7">
        <f t="shared" si="18"/>
        <v>2289582</v>
      </c>
      <c r="S81" s="19">
        <f t="shared" si="19"/>
        <v>0.99991395809366079</v>
      </c>
      <c r="T81" s="19">
        <f t="shared" si="20"/>
        <v>8.6041906339235716E-5</v>
      </c>
    </row>
    <row r="82" spans="1:20" x14ac:dyDescent="0.2">
      <c r="A82" s="9">
        <v>44042</v>
      </c>
      <c r="B82" s="4" t="s">
        <v>224</v>
      </c>
      <c r="C82" s="8">
        <v>44013</v>
      </c>
      <c r="D82" s="4" t="s">
        <v>174</v>
      </c>
      <c r="E82" s="14">
        <f>IF(SUMIFS('Daily NSE Equity Futures'!$I:$I,'Daily NSE Equity Futures'!$A:$A,$A82)=0,"",SUMIFS('Daily NSE Equity Futures'!$I:$I,'Daily NSE Equity Futures'!$A:$A,$A82))</f>
        <v>1541.0755999999999</v>
      </c>
      <c r="F82" s="6">
        <f>IF(SUMIFS('Daily BSE Equity Futures'!$I:$I,'Daily BSE Equity Futures'!$A:$A,$A82)=0,"",SUMIFS('Daily BSE Equity Futures'!$I:$I,'Daily BSE Equity Futures'!$A:$A,$A82))</f>
        <v>0.48830000000000001</v>
      </c>
      <c r="G82" s="6">
        <f t="shared" si="12"/>
        <v>1541.5638999999999</v>
      </c>
      <c r="H82" s="15">
        <f t="shared" si="13"/>
        <v>0.99968324375006445</v>
      </c>
      <c r="I82" s="15">
        <f t="shared" si="14"/>
        <v>3.1675624993553626E-4</v>
      </c>
      <c r="J82" s="20" t="str">
        <f t="shared" si="15"/>
        <v/>
      </c>
      <c r="K82" s="15" t="str">
        <f t="shared" si="16"/>
        <v/>
      </c>
      <c r="L82" s="15" t="str">
        <f t="shared" si="17"/>
        <v/>
      </c>
      <c r="M82" s="15">
        <f t="shared" si="21"/>
        <v>-4.5637766020066972E-2</v>
      </c>
      <c r="N82" s="15">
        <f t="shared" si="22"/>
        <v>1.801491681009753</v>
      </c>
      <c r="O82" s="15">
        <f t="shared" si="23"/>
        <v>-4.5438406424394562E-2</v>
      </c>
      <c r="P82" s="18">
        <f>IF(SUMIFS('Daily NSE Equity Futures'!$J:$J,'Daily NSE Equity Futures'!$A:$A,$A82)=0,"",SUMIFS('Daily NSE Equity Futures'!$J:$J,'Daily NSE Equity Futures'!$A:$A,$A82))</f>
        <v>2195390</v>
      </c>
      <c r="Q82" s="7">
        <f>IF(SUMIFS('Daily BSE Equity Futures'!$J:$J,'Daily BSE Equity Futures'!$A:$A,$A82)=0,"",SUMIFS('Daily BSE Equity Futures'!$J:$J,'Daily BSE Equity Futures'!$A:$A,$A82))</f>
        <v>553</v>
      </c>
      <c r="R82" s="7">
        <f t="shared" si="18"/>
        <v>2195943</v>
      </c>
      <c r="S82" s="19">
        <f t="shared" si="19"/>
        <v>0.99974817196985533</v>
      </c>
      <c r="T82" s="19">
        <f t="shared" si="20"/>
        <v>2.5182803014468043E-4</v>
      </c>
    </row>
    <row r="83" spans="1:20" x14ac:dyDescent="0.2">
      <c r="A83" s="9">
        <v>44043</v>
      </c>
      <c r="B83" s="4" t="s">
        <v>222</v>
      </c>
      <c r="C83" s="8">
        <v>44013</v>
      </c>
      <c r="D83" s="4" t="s">
        <v>174</v>
      </c>
      <c r="E83" s="14">
        <f>IF(SUMIFS('Daily NSE Equity Futures'!$I:$I,'Daily NSE Equity Futures'!$A:$A,$A83)=0,"",SUMIFS('Daily NSE Equity Futures'!$I:$I,'Daily NSE Equity Futures'!$A:$A,$A83))</f>
        <v>994.63649999999996</v>
      </c>
      <c r="F83" s="6">
        <f>IF(SUMIFS('Daily BSE Equity Futures'!$I:$I,'Daily BSE Equity Futures'!$A:$A,$A83)=0,"",SUMIFS('Daily BSE Equity Futures'!$I:$I,'Daily BSE Equity Futures'!$A:$A,$A83))</f>
        <v>0.24429999999999999</v>
      </c>
      <c r="G83" s="6">
        <f t="shared" si="12"/>
        <v>994.88079999999991</v>
      </c>
      <c r="H83" s="15">
        <f t="shared" si="13"/>
        <v>0.99975444294432059</v>
      </c>
      <c r="I83" s="15">
        <f t="shared" si="14"/>
        <v>2.4555705567943419E-4</v>
      </c>
      <c r="J83" s="20" t="str">
        <f t="shared" si="15"/>
        <v/>
      </c>
      <c r="K83" s="15" t="str">
        <f t="shared" si="16"/>
        <v/>
      </c>
      <c r="L83" s="15" t="str">
        <f t="shared" si="17"/>
        <v/>
      </c>
      <c r="M83" s="15">
        <f t="shared" si="21"/>
        <v>-0.35458292896208332</v>
      </c>
      <c r="N83" s="15">
        <f t="shared" si="22"/>
        <v>-0.49969281179602709</v>
      </c>
      <c r="O83" s="15">
        <f t="shared" si="23"/>
        <v>-0.35462889342439841</v>
      </c>
      <c r="P83" s="18">
        <f>IF(SUMIFS('Daily NSE Equity Futures'!$J:$J,'Daily NSE Equity Futures'!$A:$A,$A83)=0,"",SUMIFS('Daily NSE Equity Futures'!$J:$J,'Daily NSE Equity Futures'!$A:$A,$A83))</f>
        <v>1421486</v>
      </c>
      <c r="Q83" s="7">
        <f>IF(SUMIFS('Daily BSE Equity Futures'!$J:$J,'Daily BSE Equity Futures'!$A:$A,$A83)=0,"",SUMIFS('Daily BSE Equity Futures'!$J:$J,'Daily BSE Equity Futures'!$A:$A,$A83))</f>
        <v>280</v>
      </c>
      <c r="R83" s="7">
        <f t="shared" si="18"/>
        <v>1421766</v>
      </c>
      <c r="S83" s="19">
        <f t="shared" si="19"/>
        <v>0.99980306182592638</v>
      </c>
      <c r="T83" s="19">
        <f t="shared" si="20"/>
        <v>1.9693817407365208E-4</v>
      </c>
    </row>
    <row r="84" spans="1:20" x14ac:dyDescent="0.2">
      <c r="A84" s="9">
        <v>44046</v>
      </c>
      <c r="B84" s="4" t="s">
        <v>225</v>
      </c>
      <c r="C84" s="8">
        <v>44044</v>
      </c>
      <c r="D84" s="4" t="s">
        <v>174</v>
      </c>
      <c r="E84" s="14">
        <f>IF(SUMIFS('Daily NSE Equity Futures'!$I:$I,'Daily NSE Equity Futures'!$A:$A,$A84)=0,"",SUMIFS('Daily NSE Equity Futures'!$I:$I,'Daily NSE Equity Futures'!$A:$A,$A84))</f>
        <v>852.70370000000003</v>
      </c>
      <c r="F84" s="6">
        <f>IF(SUMIFS('Daily BSE Equity Futures'!$I:$I,'Daily BSE Equity Futures'!$A:$A,$A84)=0,"",SUMIFS('Daily BSE Equity Futures'!$I:$I,'Daily BSE Equity Futures'!$A:$A,$A84))</f>
        <v>0.26939999999999997</v>
      </c>
      <c r="G84" s="6">
        <f t="shared" si="12"/>
        <v>852.97310000000004</v>
      </c>
      <c r="H84" s="15">
        <f t="shared" si="13"/>
        <v>0.99968416354513401</v>
      </c>
      <c r="I84" s="15">
        <f t="shared" si="14"/>
        <v>3.1583645486592715E-4</v>
      </c>
      <c r="J84" s="20" t="str">
        <f t="shared" si="15"/>
        <v/>
      </c>
      <c r="K84" s="15" t="str">
        <f t="shared" si="16"/>
        <v/>
      </c>
      <c r="L84" s="15" t="str">
        <f t="shared" si="17"/>
        <v/>
      </c>
      <c r="M84" s="15">
        <f t="shared" si="21"/>
        <v>-0.14269816158968618</v>
      </c>
      <c r="N84" s="15">
        <f t="shared" si="22"/>
        <v>0.10274252967662711</v>
      </c>
      <c r="O84" s="15">
        <f t="shared" si="23"/>
        <v>-0.14263789189619491</v>
      </c>
      <c r="P84" s="18">
        <f>IF(SUMIFS('Daily NSE Equity Futures'!$J:$J,'Daily NSE Equity Futures'!$A:$A,$A84)=0,"",SUMIFS('Daily NSE Equity Futures'!$J:$J,'Daily NSE Equity Futures'!$A:$A,$A84))</f>
        <v>1238687</v>
      </c>
      <c r="Q84" s="7">
        <f>IF(SUMIFS('Daily BSE Equity Futures'!$J:$J,'Daily BSE Equity Futures'!$A:$A,$A84)=0,"",SUMIFS('Daily BSE Equity Futures'!$J:$J,'Daily BSE Equity Futures'!$A:$A,$A84))</f>
        <v>313</v>
      </c>
      <c r="R84" s="7">
        <f t="shared" si="18"/>
        <v>1239000</v>
      </c>
      <c r="S84" s="19">
        <f t="shared" si="19"/>
        <v>0.99974737691686844</v>
      </c>
      <c r="T84" s="19">
        <f t="shared" si="20"/>
        <v>2.5262308313155773E-4</v>
      </c>
    </row>
    <row r="85" spans="1:20" x14ac:dyDescent="0.2">
      <c r="A85" s="9">
        <v>44047</v>
      </c>
      <c r="B85" s="4" t="s">
        <v>223</v>
      </c>
      <c r="C85" s="8">
        <v>44044</v>
      </c>
      <c r="D85" s="4" t="s">
        <v>174</v>
      </c>
      <c r="E85" s="14">
        <f>IF(SUMIFS('Daily NSE Equity Futures'!$I:$I,'Daily NSE Equity Futures'!$A:$A,$A85)=0,"",SUMIFS('Daily NSE Equity Futures'!$I:$I,'Daily NSE Equity Futures'!$A:$A,$A85))</f>
        <v>924.45270000000005</v>
      </c>
      <c r="F85" s="6">
        <f>IF(SUMIFS('Daily BSE Equity Futures'!$I:$I,'Daily BSE Equity Futures'!$A:$A,$A85)=0,"",SUMIFS('Daily BSE Equity Futures'!$I:$I,'Daily BSE Equity Futures'!$A:$A,$A85))</f>
        <v>0.1598</v>
      </c>
      <c r="G85" s="6">
        <f t="shared" si="12"/>
        <v>924.61250000000007</v>
      </c>
      <c r="H85" s="15">
        <f t="shared" si="13"/>
        <v>0.99982717084183914</v>
      </c>
      <c r="I85" s="15">
        <f t="shared" si="14"/>
        <v>1.7282915816085116E-4</v>
      </c>
      <c r="J85" s="20" t="str">
        <f t="shared" si="15"/>
        <v/>
      </c>
      <c r="K85" s="15" t="str">
        <f t="shared" si="16"/>
        <v/>
      </c>
      <c r="L85" s="15" t="str">
        <f t="shared" si="17"/>
        <v/>
      </c>
      <c r="M85" s="15">
        <f t="shared" si="21"/>
        <v>8.4142944377982642E-2</v>
      </c>
      <c r="N85" s="15">
        <f t="shared" si="22"/>
        <v>-0.40682999257609498</v>
      </c>
      <c r="O85" s="15">
        <f t="shared" si="23"/>
        <v>8.3987877226139984E-2</v>
      </c>
      <c r="P85" s="18">
        <f>IF(SUMIFS('Daily NSE Equity Futures'!$J:$J,'Daily NSE Equity Futures'!$A:$A,$A85)=0,"",SUMIFS('Daily NSE Equity Futures'!$J:$J,'Daily NSE Equity Futures'!$A:$A,$A85))</f>
        <v>1331154</v>
      </c>
      <c r="Q85" s="7">
        <f>IF(SUMIFS('Daily BSE Equity Futures'!$J:$J,'Daily BSE Equity Futures'!$A:$A,$A85)=0,"",SUMIFS('Daily BSE Equity Futures'!$J:$J,'Daily BSE Equity Futures'!$A:$A,$A85))</f>
        <v>184</v>
      </c>
      <c r="R85" s="7">
        <f t="shared" si="18"/>
        <v>1331338</v>
      </c>
      <c r="S85" s="19">
        <f t="shared" si="19"/>
        <v>0.99986179317348411</v>
      </c>
      <c r="T85" s="19">
        <f t="shared" si="20"/>
        <v>1.38206826515881E-4</v>
      </c>
    </row>
    <row r="86" spans="1:20" x14ac:dyDescent="0.2">
      <c r="A86" s="9">
        <v>44048</v>
      </c>
      <c r="B86" s="4" t="s">
        <v>221</v>
      </c>
      <c r="C86" s="8">
        <v>44044</v>
      </c>
      <c r="D86" s="4" t="s">
        <v>174</v>
      </c>
      <c r="E86" s="14">
        <f>IF(SUMIFS('Daily NSE Equity Futures'!$I:$I,'Daily NSE Equity Futures'!$A:$A,$A86)=0,"",SUMIFS('Daily NSE Equity Futures'!$I:$I,'Daily NSE Equity Futures'!$A:$A,$A86))</f>
        <v>961.49180000000001</v>
      </c>
      <c r="F86" s="6">
        <f>IF(SUMIFS('Daily BSE Equity Futures'!$I:$I,'Daily BSE Equity Futures'!$A:$A,$A86)=0,"",SUMIFS('Daily BSE Equity Futures'!$I:$I,'Daily BSE Equity Futures'!$A:$A,$A86))</f>
        <v>0.2291</v>
      </c>
      <c r="G86" s="6">
        <f t="shared" si="12"/>
        <v>961.72090000000003</v>
      </c>
      <c r="H86" s="15">
        <f t="shared" si="13"/>
        <v>0.99976178119868242</v>
      </c>
      <c r="I86" s="15">
        <f t="shared" si="14"/>
        <v>2.3821880131751321E-4</v>
      </c>
      <c r="J86" s="20" t="str">
        <f t="shared" si="15"/>
        <v/>
      </c>
      <c r="K86" s="15" t="str">
        <f t="shared" si="16"/>
        <v/>
      </c>
      <c r="L86" s="15" t="str">
        <f t="shared" si="17"/>
        <v/>
      </c>
      <c r="M86" s="15">
        <f t="shared" si="21"/>
        <v>4.0065976333889086E-2</v>
      </c>
      <c r="N86" s="15">
        <f t="shared" si="22"/>
        <v>0.43366708385481845</v>
      </c>
      <c r="O86" s="15">
        <f t="shared" si="23"/>
        <v>4.0134002081953168E-2</v>
      </c>
      <c r="P86" s="18">
        <f>IF(SUMIFS('Daily NSE Equity Futures'!$J:$J,'Daily NSE Equity Futures'!$A:$A,$A86)=0,"",SUMIFS('Daily NSE Equity Futures'!$J:$J,'Daily NSE Equity Futures'!$A:$A,$A86))</f>
        <v>1378534</v>
      </c>
      <c r="Q86" s="7">
        <f>IF(SUMIFS('Daily BSE Equity Futures'!$J:$J,'Daily BSE Equity Futures'!$A:$A,$A86)=0,"",SUMIFS('Daily BSE Equity Futures'!$J:$J,'Daily BSE Equity Futures'!$A:$A,$A86))</f>
        <v>261</v>
      </c>
      <c r="R86" s="7">
        <f t="shared" si="18"/>
        <v>1378795</v>
      </c>
      <c r="S86" s="19">
        <f t="shared" si="19"/>
        <v>0.99981070427438457</v>
      </c>
      <c r="T86" s="19">
        <f t="shared" si="20"/>
        <v>1.8929572561548309E-4</v>
      </c>
    </row>
    <row r="87" spans="1:20" x14ac:dyDescent="0.2">
      <c r="A87" s="9">
        <v>44049</v>
      </c>
      <c r="B87" s="4" t="s">
        <v>224</v>
      </c>
      <c r="C87" s="8">
        <v>44044</v>
      </c>
      <c r="D87" s="4" t="s">
        <v>174</v>
      </c>
      <c r="E87" s="14">
        <f>IF(SUMIFS('Daily NSE Equity Futures'!$I:$I,'Daily NSE Equity Futures'!$A:$A,$A87)=0,"",SUMIFS('Daily NSE Equity Futures'!$I:$I,'Daily NSE Equity Futures'!$A:$A,$A87))</f>
        <v>927.99210000000005</v>
      </c>
      <c r="F87" s="6">
        <f>IF(SUMIFS('Daily BSE Equity Futures'!$I:$I,'Daily BSE Equity Futures'!$A:$A,$A87)=0,"",SUMIFS('Daily BSE Equity Futures'!$I:$I,'Daily BSE Equity Futures'!$A:$A,$A87))</f>
        <v>0.16539999999999999</v>
      </c>
      <c r="G87" s="6">
        <f t="shared" si="12"/>
        <v>928.15750000000003</v>
      </c>
      <c r="H87" s="15">
        <f t="shared" si="13"/>
        <v>0.99982179748587929</v>
      </c>
      <c r="I87" s="15">
        <f t="shared" si="14"/>
        <v>1.7820251412071765E-4</v>
      </c>
      <c r="J87" s="20" t="str">
        <f t="shared" si="15"/>
        <v/>
      </c>
      <c r="K87" s="15" t="str">
        <f t="shared" si="16"/>
        <v/>
      </c>
      <c r="L87" s="15" t="str">
        <f t="shared" si="17"/>
        <v/>
      </c>
      <c r="M87" s="15">
        <f t="shared" si="21"/>
        <v>-3.4841378782429544E-2</v>
      </c>
      <c r="N87" s="15">
        <f t="shared" si="22"/>
        <v>-0.27804452204277608</v>
      </c>
      <c r="O87" s="15">
        <f t="shared" si="23"/>
        <v>-3.4899314343693644E-2</v>
      </c>
      <c r="P87" s="18">
        <f>IF(SUMIFS('Daily NSE Equity Futures'!$J:$J,'Daily NSE Equity Futures'!$A:$A,$A87)=0,"",SUMIFS('Daily NSE Equity Futures'!$J:$J,'Daily NSE Equity Futures'!$A:$A,$A87))</f>
        <v>1342853</v>
      </c>
      <c r="Q87" s="7">
        <f>IF(SUMIFS('Daily BSE Equity Futures'!$J:$J,'Daily BSE Equity Futures'!$A:$A,$A87)=0,"",SUMIFS('Daily BSE Equity Futures'!$J:$J,'Daily BSE Equity Futures'!$A:$A,$A87))</f>
        <v>188</v>
      </c>
      <c r="R87" s="7">
        <f t="shared" si="18"/>
        <v>1343041</v>
      </c>
      <c r="S87" s="19">
        <f t="shared" si="19"/>
        <v>0.99986001916546108</v>
      </c>
      <c r="T87" s="19">
        <f t="shared" si="20"/>
        <v>1.3998083453893069E-4</v>
      </c>
    </row>
    <row r="88" spans="1:20" x14ac:dyDescent="0.2">
      <c r="A88" s="9">
        <v>44050</v>
      </c>
      <c r="B88" s="4" t="s">
        <v>222</v>
      </c>
      <c r="C88" s="8">
        <v>44044</v>
      </c>
      <c r="D88" s="4" t="s">
        <v>174</v>
      </c>
      <c r="E88" s="14">
        <f>IF(SUMIFS('Daily NSE Equity Futures'!$I:$I,'Daily NSE Equity Futures'!$A:$A,$A88)=0,"",SUMIFS('Daily NSE Equity Futures'!$I:$I,'Daily NSE Equity Futures'!$A:$A,$A88))</f>
        <v>827.94780000000003</v>
      </c>
      <c r="F88" s="6">
        <f>IF(SUMIFS('Daily BSE Equity Futures'!$I:$I,'Daily BSE Equity Futures'!$A:$A,$A88)=0,"",SUMIFS('Daily BSE Equity Futures'!$I:$I,'Daily BSE Equity Futures'!$A:$A,$A88))</f>
        <v>0.27679999999999999</v>
      </c>
      <c r="G88" s="6">
        <f t="shared" si="12"/>
        <v>828.22460000000001</v>
      </c>
      <c r="H88" s="15">
        <f t="shared" si="13"/>
        <v>0.99966579113926346</v>
      </c>
      <c r="I88" s="15">
        <f t="shared" si="14"/>
        <v>3.3420886073656829E-4</v>
      </c>
      <c r="J88" s="20" t="str">
        <f t="shared" si="15"/>
        <v/>
      </c>
      <c r="K88" s="15" t="str">
        <f t="shared" si="16"/>
        <v/>
      </c>
      <c r="L88" s="15" t="str">
        <f t="shared" si="17"/>
        <v/>
      </c>
      <c r="M88" s="15">
        <f t="shared" si="21"/>
        <v>-0.10780727551452218</v>
      </c>
      <c r="N88" s="15">
        <f t="shared" si="22"/>
        <v>0.67351874244256349</v>
      </c>
      <c r="O88" s="15">
        <f t="shared" si="23"/>
        <v>-0.10766804125377427</v>
      </c>
      <c r="P88" s="18">
        <f>IF(SUMIFS('Daily NSE Equity Futures'!$J:$J,'Daily NSE Equity Futures'!$A:$A,$A88)=0,"",SUMIFS('Daily NSE Equity Futures'!$J:$J,'Daily NSE Equity Futures'!$A:$A,$A88))</f>
        <v>1174809</v>
      </c>
      <c r="Q88" s="7">
        <f>IF(SUMIFS('Daily BSE Equity Futures'!$J:$J,'Daily BSE Equity Futures'!$A:$A,$A88)=0,"",SUMIFS('Daily BSE Equity Futures'!$J:$J,'Daily BSE Equity Futures'!$A:$A,$A88))</f>
        <v>314</v>
      </c>
      <c r="R88" s="7">
        <f t="shared" si="18"/>
        <v>1175123</v>
      </c>
      <c r="S88" s="19">
        <f t="shared" si="19"/>
        <v>0.99973279392880576</v>
      </c>
      <c r="T88" s="19">
        <f t="shared" si="20"/>
        <v>2.6720607119424947E-4</v>
      </c>
    </row>
    <row r="89" spans="1:20" x14ac:dyDescent="0.2">
      <c r="A89" s="9">
        <v>44053</v>
      </c>
      <c r="B89" s="4" t="s">
        <v>225</v>
      </c>
      <c r="C89" s="8">
        <v>44044</v>
      </c>
      <c r="D89" s="4" t="s">
        <v>174</v>
      </c>
      <c r="E89" s="14">
        <f>IF(SUMIFS('Daily NSE Equity Futures'!$I:$I,'Daily NSE Equity Futures'!$A:$A,$A89)=0,"",SUMIFS('Daily NSE Equity Futures'!$I:$I,'Daily NSE Equity Futures'!$A:$A,$A89))</f>
        <v>832.07389999999998</v>
      </c>
      <c r="F89" s="6">
        <f>IF(SUMIFS('Daily BSE Equity Futures'!$I:$I,'Daily BSE Equity Futures'!$A:$A,$A89)=0,"",SUMIFS('Daily BSE Equity Futures'!$I:$I,'Daily BSE Equity Futures'!$A:$A,$A89))</f>
        <v>0.32869999999999999</v>
      </c>
      <c r="G89" s="6">
        <f t="shared" si="12"/>
        <v>832.40260000000001</v>
      </c>
      <c r="H89" s="15">
        <f t="shared" si="13"/>
        <v>0.99960511896526993</v>
      </c>
      <c r="I89" s="15">
        <f t="shared" si="14"/>
        <v>3.9488103473006933E-4</v>
      </c>
      <c r="J89" s="20" t="str">
        <f t="shared" si="15"/>
        <v/>
      </c>
      <c r="K89" s="15" t="str">
        <f t="shared" si="16"/>
        <v/>
      </c>
      <c r="L89" s="15" t="str">
        <f t="shared" si="17"/>
        <v/>
      </c>
      <c r="M89" s="15">
        <f t="shared" si="21"/>
        <v>4.9835267392459581E-3</v>
      </c>
      <c r="N89" s="15">
        <f t="shared" si="22"/>
        <v>0.1875</v>
      </c>
      <c r="O89" s="15">
        <f t="shared" si="23"/>
        <v>5.0445253618403019E-3</v>
      </c>
      <c r="P89" s="18">
        <f>IF(SUMIFS('Daily NSE Equity Futures'!$J:$J,'Daily NSE Equity Futures'!$A:$A,$A89)=0,"",SUMIFS('Daily NSE Equity Futures'!$J:$J,'Daily NSE Equity Futures'!$A:$A,$A89))</f>
        <v>1141975</v>
      </c>
      <c r="Q89" s="7">
        <f>IF(SUMIFS('Daily BSE Equity Futures'!$J:$J,'Daily BSE Equity Futures'!$A:$A,$A89)=0,"",SUMIFS('Daily BSE Equity Futures'!$J:$J,'Daily BSE Equity Futures'!$A:$A,$A89))</f>
        <v>370</v>
      </c>
      <c r="R89" s="7">
        <f t="shared" si="18"/>
        <v>1142345</v>
      </c>
      <c r="S89" s="19">
        <f t="shared" si="19"/>
        <v>0.99967610485448788</v>
      </c>
      <c r="T89" s="19">
        <f t="shared" si="20"/>
        <v>3.2389514551208262E-4</v>
      </c>
    </row>
    <row r="90" spans="1:20" x14ac:dyDescent="0.2">
      <c r="A90" s="9">
        <v>44054</v>
      </c>
      <c r="B90" s="4" t="s">
        <v>223</v>
      </c>
      <c r="C90" s="8">
        <v>44044</v>
      </c>
      <c r="D90" s="4" t="s">
        <v>174</v>
      </c>
      <c r="E90" s="14">
        <f>IF(SUMIFS('Daily NSE Equity Futures'!$I:$I,'Daily NSE Equity Futures'!$A:$A,$A90)=0,"",SUMIFS('Daily NSE Equity Futures'!$I:$I,'Daily NSE Equity Futures'!$A:$A,$A90))</f>
        <v>822.53859999999997</v>
      </c>
      <c r="F90" s="6">
        <f>IF(SUMIFS('Daily BSE Equity Futures'!$I:$I,'Daily BSE Equity Futures'!$A:$A,$A90)=0,"",SUMIFS('Daily BSE Equity Futures'!$I:$I,'Daily BSE Equity Futures'!$A:$A,$A90))</f>
        <v>0.107</v>
      </c>
      <c r="G90" s="6">
        <f t="shared" si="12"/>
        <v>822.64559999999994</v>
      </c>
      <c r="H90" s="15">
        <f t="shared" si="13"/>
        <v>0.99986993183942152</v>
      </c>
      <c r="I90" s="15">
        <f t="shared" si="14"/>
        <v>1.300681605785043E-4</v>
      </c>
      <c r="J90" s="20" t="str">
        <f t="shared" si="15"/>
        <v/>
      </c>
      <c r="K90" s="15" t="str">
        <f t="shared" si="16"/>
        <v/>
      </c>
      <c r="L90" s="15" t="str">
        <f t="shared" si="17"/>
        <v/>
      </c>
      <c r="M90" s="15">
        <f t="shared" si="21"/>
        <v>-1.145967924243263E-2</v>
      </c>
      <c r="N90" s="15">
        <f t="shared" si="22"/>
        <v>-0.67447520535442651</v>
      </c>
      <c r="O90" s="15">
        <f t="shared" si="23"/>
        <v>-1.1721491499425918E-2</v>
      </c>
      <c r="P90" s="18">
        <f>IF(SUMIFS('Daily NSE Equity Futures'!$J:$J,'Daily NSE Equity Futures'!$A:$A,$A90)=0,"",SUMIFS('Daily NSE Equity Futures'!$J:$J,'Daily NSE Equity Futures'!$A:$A,$A90))</f>
        <v>1158470</v>
      </c>
      <c r="Q90" s="7">
        <f>IF(SUMIFS('Daily BSE Equity Futures'!$J:$J,'Daily BSE Equity Futures'!$A:$A,$A90)=0,"",SUMIFS('Daily BSE Equity Futures'!$J:$J,'Daily BSE Equity Futures'!$A:$A,$A90))</f>
        <v>120</v>
      </c>
      <c r="R90" s="7">
        <f t="shared" si="18"/>
        <v>1158590</v>
      </c>
      <c r="S90" s="19">
        <f t="shared" si="19"/>
        <v>0.99989642582794602</v>
      </c>
      <c r="T90" s="19">
        <f t="shared" si="20"/>
        <v>1.0357417205396215E-4</v>
      </c>
    </row>
    <row r="91" spans="1:20" x14ac:dyDescent="0.2">
      <c r="A91" s="9">
        <v>44055</v>
      </c>
      <c r="B91" s="4" t="s">
        <v>221</v>
      </c>
      <c r="C91" s="8">
        <v>44044</v>
      </c>
      <c r="D91" s="4" t="s">
        <v>174</v>
      </c>
      <c r="E91" s="14">
        <f>IF(SUMIFS('Daily NSE Equity Futures'!$I:$I,'Daily NSE Equity Futures'!$A:$A,$A91)=0,"",SUMIFS('Daily NSE Equity Futures'!$I:$I,'Daily NSE Equity Futures'!$A:$A,$A91))</f>
        <v>794.86980000000005</v>
      </c>
      <c r="F91" s="6">
        <f>IF(SUMIFS('Daily BSE Equity Futures'!$I:$I,'Daily BSE Equity Futures'!$A:$A,$A91)=0,"",SUMIFS('Daily BSE Equity Futures'!$I:$I,'Daily BSE Equity Futures'!$A:$A,$A91))</f>
        <v>0.12609999999999999</v>
      </c>
      <c r="G91" s="6">
        <f t="shared" si="12"/>
        <v>794.99590000000001</v>
      </c>
      <c r="H91" s="15">
        <f t="shared" si="13"/>
        <v>0.9998413828297732</v>
      </c>
      <c r="I91" s="15">
        <f t="shared" si="14"/>
        <v>1.5861717022691563E-4</v>
      </c>
      <c r="J91" s="20" t="str">
        <f t="shared" si="15"/>
        <v/>
      </c>
      <c r="K91" s="15" t="str">
        <f t="shared" si="16"/>
        <v/>
      </c>
      <c r="L91" s="15" t="str">
        <f t="shared" si="17"/>
        <v/>
      </c>
      <c r="M91" s="15">
        <f t="shared" si="21"/>
        <v>-3.3638299770977209E-2</v>
      </c>
      <c r="N91" s="15">
        <f t="shared" si="22"/>
        <v>0.17850467289719618</v>
      </c>
      <c r="O91" s="15">
        <f t="shared" si="23"/>
        <v>-3.3610706724742645E-2</v>
      </c>
      <c r="P91" s="18">
        <f>IF(SUMIFS('Daily NSE Equity Futures'!$J:$J,'Daily NSE Equity Futures'!$A:$A,$A91)=0,"",SUMIFS('Daily NSE Equity Futures'!$J:$J,'Daily NSE Equity Futures'!$A:$A,$A91))</f>
        <v>1146369</v>
      </c>
      <c r="Q91" s="7">
        <f>IF(SUMIFS('Daily BSE Equity Futures'!$J:$J,'Daily BSE Equity Futures'!$A:$A,$A91)=0,"",SUMIFS('Daily BSE Equity Futures'!$J:$J,'Daily BSE Equity Futures'!$A:$A,$A91))</f>
        <v>142</v>
      </c>
      <c r="R91" s="7">
        <f t="shared" si="18"/>
        <v>1146511</v>
      </c>
      <c r="S91" s="19">
        <f t="shared" si="19"/>
        <v>0.99987614597679397</v>
      </c>
      <c r="T91" s="19">
        <f t="shared" si="20"/>
        <v>1.2385402320605734E-4</v>
      </c>
    </row>
    <row r="92" spans="1:20" x14ac:dyDescent="0.2">
      <c r="A92" s="9">
        <v>44056</v>
      </c>
      <c r="B92" s="4" t="s">
        <v>224</v>
      </c>
      <c r="C92" s="8">
        <v>44044</v>
      </c>
      <c r="D92" s="4" t="s">
        <v>174</v>
      </c>
      <c r="E92" s="14">
        <f>IF(SUMIFS('Daily NSE Equity Futures'!$I:$I,'Daily NSE Equity Futures'!$A:$A,$A92)=0,"",SUMIFS('Daily NSE Equity Futures'!$I:$I,'Daily NSE Equity Futures'!$A:$A,$A92))</f>
        <v>782.79179999999997</v>
      </c>
      <c r="F92" s="6">
        <f>IF(SUMIFS('Daily BSE Equity Futures'!$I:$I,'Daily BSE Equity Futures'!$A:$A,$A92)=0,"",SUMIFS('Daily BSE Equity Futures'!$I:$I,'Daily BSE Equity Futures'!$A:$A,$A92))</f>
        <v>0.1042</v>
      </c>
      <c r="G92" s="6">
        <f t="shared" si="12"/>
        <v>782.89599999999996</v>
      </c>
      <c r="H92" s="15">
        <f t="shared" si="13"/>
        <v>0.99986690441642312</v>
      </c>
      <c r="I92" s="15">
        <f t="shared" si="14"/>
        <v>1.3309558357687358E-4</v>
      </c>
      <c r="J92" s="20" t="str">
        <f t="shared" si="15"/>
        <v/>
      </c>
      <c r="K92" s="15" t="str">
        <f t="shared" si="16"/>
        <v/>
      </c>
      <c r="L92" s="15" t="str">
        <f t="shared" si="17"/>
        <v/>
      </c>
      <c r="M92" s="15">
        <f t="shared" si="21"/>
        <v>-1.5194941360207825E-2</v>
      </c>
      <c r="N92" s="15">
        <f t="shared" si="22"/>
        <v>-0.1736716891356066</v>
      </c>
      <c r="O92" s="15">
        <f t="shared" si="23"/>
        <v>-1.5220078493486611E-2</v>
      </c>
      <c r="P92" s="18">
        <f>IF(SUMIFS('Daily NSE Equity Futures'!$J:$J,'Daily NSE Equity Futures'!$A:$A,$A92)=0,"",SUMIFS('Daily NSE Equity Futures'!$J:$J,'Daily NSE Equity Futures'!$A:$A,$A92))</f>
        <v>1113816</v>
      </c>
      <c r="Q92" s="7">
        <f>IF(SUMIFS('Daily BSE Equity Futures'!$J:$J,'Daily BSE Equity Futures'!$A:$A,$A92)=0,"",SUMIFS('Daily BSE Equity Futures'!$J:$J,'Daily BSE Equity Futures'!$A:$A,$A92))</f>
        <v>117</v>
      </c>
      <c r="R92" s="7">
        <f t="shared" si="18"/>
        <v>1113933</v>
      </c>
      <c r="S92" s="19">
        <f t="shared" si="19"/>
        <v>0.99989496675293754</v>
      </c>
      <c r="T92" s="19">
        <f t="shared" si="20"/>
        <v>1.0503324706243553E-4</v>
      </c>
    </row>
    <row r="93" spans="1:20" x14ac:dyDescent="0.2">
      <c r="A93" s="9">
        <v>44057</v>
      </c>
      <c r="B93" s="4" t="s">
        <v>222</v>
      </c>
      <c r="C93" s="8">
        <v>44044</v>
      </c>
      <c r="D93" s="4" t="s">
        <v>174</v>
      </c>
      <c r="E93" s="14">
        <f>IF(SUMIFS('Daily NSE Equity Futures'!$I:$I,'Daily NSE Equity Futures'!$A:$A,$A93)=0,"",SUMIFS('Daily NSE Equity Futures'!$I:$I,'Daily NSE Equity Futures'!$A:$A,$A93))</f>
        <v>1028.546</v>
      </c>
      <c r="F93" s="6">
        <f>IF(SUMIFS('Daily BSE Equity Futures'!$I:$I,'Daily BSE Equity Futures'!$A:$A,$A93)=0,"",SUMIFS('Daily BSE Equity Futures'!$I:$I,'Daily BSE Equity Futures'!$A:$A,$A93))</f>
        <v>0.3674</v>
      </c>
      <c r="G93" s="6">
        <f t="shared" si="12"/>
        <v>1028.9134000000001</v>
      </c>
      <c r="H93" s="15">
        <f t="shared" si="13"/>
        <v>0.9996429242733158</v>
      </c>
      <c r="I93" s="15">
        <f t="shared" si="14"/>
        <v>3.5707572668409212E-4</v>
      </c>
      <c r="J93" s="20" t="str">
        <f t="shared" si="15"/>
        <v/>
      </c>
      <c r="K93" s="15" t="str">
        <f t="shared" si="16"/>
        <v/>
      </c>
      <c r="L93" s="15" t="str">
        <f t="shared" si="17"/>
        <v/>
      </c>
      <c r="M93" s="15">
        <f t="shared" si="21"/>
        <v>0.31394580270258343</v>
      </c>
      <c r="N93" s="15">
        <f t="shared" si="22"/>
        <v>2.5259117082533589</v>
      </c>
      <c r="O93" s="15">
        <f t="shared" si="23"/>
        <v>0.31424020559563481</v>
      </c>
      <c r="P93" s="18">
        <f>IF(SUMIFS('Daily NSE Equity Futures'!$J:$J,'Daily NSE Equity Futures'!$A:$A,$A93)=0,"",SUMIFS('Daily NSE Equity Futures'!$J:$J,'Daily NSE Equity Futures'!$A:$A,$A93))</f>
        <v>1468286</v>
      </c>
      <c r="Q93" s="7">
        <f>IF(SUMIFS('Daily BSE Equity Futures'!$J:$J,'Daily BSE Equity Futures'!$A:$A,$A93)=0,"",SUMIFS('Daily BSE Equity Futures'!$J:$J,'Daily BSE Equity Futures'!$A:$A,$A93))</f>
        <v>415</v>
      </c>
      <c r="R93" s="7">
        <f t="shared" si="18"/>
        <v>1468701</v>
      </c>
      <c r="S93" s="19">
        <f t="shared" si="19"/>
        <v>0.99971743738174068</v>
      </c>
      <c r="T93" s="19">
        <f t="shared" si="20"/>
        <v>2.8256261825926446E-4</v>
      </c>
    </row>
    <row r="94" spans="1:20" x14ac:dyDescent="0.2">
      <c r="A94" s="9">
        <v>44060</v>
      </c>
      <c r="B94" s="4" t="s">
        <v>225</v>
      </c>
      <c r="C94" s="8">
        <v>44044</v>
      </c>
      <c r="D94" s="4" t="s">
        <v>174</v>
      </c>
      <c r="E94" s="14">
        <f>IF(SUMIFS('Daily NSE Equity Futures'!$I:$I,'Daily NSE Equity Futures'!$A:$A,$A94)=0,"",SUMIFS('Daily NSE Equity Futures'!$I:$I,'Daily NSE Equity Futures'!$A:$A,$A94))</f>
        <v>810.12639999999999</v>
      </c>
      <c r="F94" s="6">
        <f>IF(SUMIFS('Daily BSE Equity Futures'!$I:$I,'Daily BSE Equity Futures'!$A:$A,$A94)=0,"",SUMIFS('Daily BSE Equity Futures'!$I:$I,'Daily BSE Equity Futures'!$A:$A,$A94))</f>
        <v>0.55449999999999999</v>
      </c>
      <c r="G94" s="6">
        <f t="shared" si="12"/>
        <v>810.68089999999995</v>
      </c>
      <c r="H94" s="15">
        <f t="shared" si="13"/>
        <v>0.99931600707504031</v>
      </c>
      <c r="I94" s="15">
        <f t="shared" si="14"/>
        <v>6.8399292495974684E-4</v>
      </c>
      <c r="J94" s="20" t="str">
        <f t="shared" si="15"/>
        <v/>
      </c>
      <c r="K94" s="15" t="str">
        <f t="shared" si="16"/>
        <v/>
      </c>
      <c r="L94" s="15" t="str">
        <f t="shared" si="17"/>
        <v/>
      </c>
      <c r="M94" s="15">
        <f t="shared" si="21"/>
        <v>-0.21235763884162695</v>
      </c>
      <c r="N94" s="15">
        <f t="shared" si="22"/>
        <v>0.50925421883505706</v>
      </c>
      <c r="O94" s="15">
        <f t="shared" si="23"/>
        <v>-0.21209996876316328</v>
      </c>
      <c r="P94" s="18">
        <f>IF(SUMIFS('Daily NSE Equity Futures'!$J:$J,'Daily NSE Equity Futures'!$A:$A,$A94)=0,"",SUMIFS('Daily NSE Equity Futures'!$J:$J,'Daily NSE Equity Futures'!$A:$A,$A94))</f>
        <v>1167822</v>
      </c>
      <c r="Q94" s="7">
        <f>IF(SUMIFS('Daily BSE Equity Futures'!$J:$J,'Daily BSE Equity Futures'!$A:$A,$A94)=0,"",SUMIFS('Daily BSE Equity Futures'!$J:$J,'Daily BSE Equity Futures'!$A:$A,$A94))</f>
        <v>629</v>
      </c>
      <c r="R94" s="7">
        <f t="shared" si="18"/>
        <v>1168451</v>
      </c>
      <c r="S94" s="19">
        <f t="shared" si="19"/>
        <v>0.99946168046413586</v>
      </c>
      <c r="T94" s="19">
        <f t="shared" si="20"/>
        <v>5.383195358641483E-4</v>
      </c>
    </row>
    <row r="95" spans="1:20" x14ac:dyDescent="0.2">
      <c r="A95" s="9">
        <v>44061</v>
      </c>
      <c r="B95" s="4" t="s">
        <v>223</v>
      </c>
      <c r="C95" s="8">
        <v>44044</v>
      </c>
      <c r="D95" s="4" t="s">
        <v>174</v>
      </c>
      <c r="E95" s="14">
        <f>IF(SUMIFS('Daily NSE Equity Futures'!$I:$I,'Daily NSE Equity Futures'!$A:$A,$A95)=0,"",SUMIFS('Daily NSE Equity Futures'!$I:$I,'Daily NSE Equity Futures'!$A:$A,$A95))</f>
        <v>832.13620000000003</v>
      </c>
      <c r="F95" s="6">
        <f>IF(SUMIFS('Daily BSE Equity Futures'!$I:$I,'Daily BSE Equity Futures'!$A:$A,$A95)=0,"",SUMIFS('Daily BSE Equity Futures'!$I:$I,'Daily BSE Equity Futures'!$A:$A,$A95))</f>
        <v>0.2175</v>
      </c>
      <c r="G95" s="6">
        <f t="shared" si="12"/>
        <v>832.3537</v>
      </c>
      <c r="H95" s="15">
        <f t="shared" si="13"/>
        <v>0.99973869281772887</v>
      </c>
      <c r="I95" s="15">
        <f t="shared" si="14"/>
        <v>2.6130718227119072E-4</v>
      </c>
      <c r="J95" s="20" t="str">
        <f t="shared" si="15"/>
        <v/>
      </c>
      <c r="K95" s="15" t="str">
        <f t="shared" si="16"/>
        <v/>
      </c>
      <c r="L95" s="15" t="str">
        <f t="shared" si="17"/>
        <v/>
      </c>
      <c r="M95" s="15">
        <f t="shared" si="21"/>
        <v>2.7168352987879452E-2</v>
      </c>
      <c r="N95" s="15">
        <f t="shared" si="22"/>
        <v>-0.60775473399458968</v>
      </c>
      <c r="O95" s="15">
        <f t="shared" si="23"/>
        <v>2.6734070088489936E-2</v>
      </c>
      <c r="P95" s="18">
        <f>IF(SUMIFS('Daily NSE Equity Futures'!$J:$J,'Daily NSE Equity Futures'!$A:$A,$A95)=0,"",SUMIFS('Daily NSE Equity Futures'!$J:$J,'Daily NSE Equity Futures'!$A:$A,$A95))</f>
        <v>1214898</v>
      </c>
      <c r="Q95" s="7">
        <f>IF(SUMIFS('Daily BSE Equity Futures'!$J:$J,'Daily BSE Equity Futures'!$A:$A,$A95)=0,"",SUMIFS('Daily BSE Equity Futures'!$J:$J,'Daily BSE Equity Futures'!$A:$A,$A95))</f>
        <v>244</v>
      </c>
      <c r="R95" s="7">
        <f t="shared" si="18"/>
        <v>1215142</v>
      </c>
      <c r="S95" s="19">
        <f t="shared" si="19"/>
        <v>0.99979920042266668</v>
      </c>
      <c r="T95" s="19">
        <f t="shared" si="20"/>
        <v>2.007995773333487E-4</v>
      </c>
    </row>
    <row r="96" spans="1:20" x14ac:dyDescent="0.2">
      <c r="A96" s="9">
        <v>44062</v>
      </c>
      <c r="B96" s="4" t="s">
        <v>221</v>
      </c>
      <c r="C96" s="8">
        <v>44044</v>
      </c>
      <c r="D96" s="4" t="s">
        <v>174</v>
      </c>
      <c r="E96" s="14">
        <f>IF(SUMIFS('Daily NSE Equity Futures'!$I:$I,'Daily NSE Equity Futures'!$A:$A,$A96)=0,"",SUMIFS('Daily NSE Equity Futures'!$I:$I,'Daily NSE Equity Futures'!$A:$A,$A96))</f>
        <v>777.66690000000006</v>
      </c>
      <c r="F96" s="6">
        <f>IF(SUMIFS('Daily BSE Equity Futures'!$I:$I,'Daily BSE Equity Futures'!$A:$A,$A96)=0,"",SUMIFS('Daily BSE Equity Futures'!$I:$I,'Daily BSE Equity Futures'!$A:$A,$A96))</f>
        <v>0.1401</v>
      </c>
      <c r="G96" s="6">
        <f t="shared" si="12"/>
        <v>777.80700000000002</v>
      </c>
      <c r="H96" s="15">
        <f t="shared" si="13"/>
        <v>0.99981987819600493</v>
      </c>
      <c r="I96" s="15">
        <f t="shared" si="14"/>
        <v>1.8012180399507846E-4</v>
      </c>
      <c r="J96" s="20" t="str">
        <f t="shared" si="15"/>
        <v/>
      </c>
      <c r="K96" s="15" t="str">
        <f t="shared" si="16"/>
        <v/>
      </c>
      <c r="L96" s="15" t="str">
        <f t="shared" si="17"/>
        <v/>
      </c>
      <c r="M96" s="15">
        <f t="shared" si="21"/>
        <v>-6.5457193185442408E-2</v>
      </c>
      <c r="N96" s="15">
        <f t="shared" si="22"/>
        <v>-0.3558620689655172</v>
      </c>
      <c r="O96" s="15">
        <f t="shared" si="23"/>
        <v>-6.5533078065250328E-2</v>
      </c>
      <c r="P96" s="18">
        <f>IF(SUMIFS('Daily NSE Equity Futures'!$J:$J,'Daily NSE Equity Futures'!$A:$A,$A96)=0,"",SUMIFS('Daily NSE Equity Futures'!$J:$J,'Daily NSE Equity Futures'!$A:$A,$A96))</f>
        <v>1110011</v>
      </c>
      <c r="Q96" s="7">
        <f>IF(SUMIFS('Daily BSE Equity Futures'!$J:$J,'Daily BSE Equity Futures'!$A:$A,$A96)=0,"",SUMIFS('Daily BSE Equity Futures'!$J:$J,'Daily BSE Equity Futures'!$A:$A,$A96))</f>
        <v>156</v>
      </c>
      <c r="R96" s="7">
        <f t="shared" si="18"/>
        <v>1110167</v>
      </c>
      <c r="S96" s="19">
        <f t="shared" si="19"/>
        <v>0.99985948060066643</v>
      </c>
      <c r="T96" s="19">
        <f t="shared" si="20"/>
        <v>1.4051939933361378E-4</v>
      </c>
    </row>
    <row r="97" spans="1:20" x14ac:dyDescent="0.2">
      <c r="A97" s="9">
        <v>44063</v>
      </c>
      <c r="B97" s="4" t="s">
        <v>224</v>
      </c>
      <c r="C97" s="8">
        <v>44044</v>
      </c>
      <c r="D97" s="4" t="s">
        <v>174</v>
      </c>
      <c r="E97" s="14">
        <f>IF(SUMIFS('Daily NSE Equity Futures'!$I:$I,'Daily NSE Equity Futures'!$A:$A,$A97)=0,"",SUMIFS('Daily NSE Equity Futures'!$I:$I,'Daily NSE Equity Futures'!$A:$A,$A97))</f>
        <v>881.85220000000004</v>
      </c>
      <c r="F97" s="6">
        <f>IF(SUMIFS('Daily BSE Equity Futures'!$I:$I,'Daily BSE Equity Futures'!$A:$A,$A97)=0,"",SUMIFS('Daily BSE Equity Futures'!$I:$I,'Daily BSE Equity Futures'!$A:$A,$A97))</f>
        <v>0.35289999999999999</v>
      </c>
      <c r="G97" s="6">
        <f t="shared" si="12"/>
        <v>882.20510000000002</v>
      </c>
      <c r="H97" s="15">
        <f t="shared" si="13"/>
        <v>0.99959997964192226</v>
      </c>
      <c r="I97" s="15">
        <f t="shared" si="14"/>
        <v>4.0002035807773045E-4</v>
      </c>
      <c r="J97" s="20" t="str">
        <f t="shared" si="15"/>
        <v/>
      </c>
      <c r="K97" s="15" t="str">
        <f t="shared" si="16"/>
        <v/>
      </c>
      <c r="L97" s="15" t="str">
        <f t="shared" si="17"/>
        <v/>
      </c>
      <c r="M97" s="15">
        <f t="shared" si="21"/>
        <v>0.13397162718382383</v>
      </c>
      <c r="N97" s="15">
        <f t="shared" si="22"/>
        <v>1.5189150606709494</v>
      </c>
      <c r="O97" s="15">
        <f t="shared" si="23"/>
        <v>0.13422108569349467</v>
      </c>
      <c r="P97" s="18">
        <f>IF(SUMIFS('Daily NSE Equity Futures'!$J:$J,'Daily NSE Equity Futures'!$A:$A,$A97)=0,"",SUMIFS('Daily NSE Equity Futures'!$J:$J,'Daily NSE Equity Futures'!$A:$A,$A97))</f>
        <v>1299289</v>
      </c>
      <c r="Q97" s="7">
        <f>IF(SUMIFS('Daily BSE Equity Futures'!$J:$J,'Daily BSE Equity Futures'!$A:$A,$A97)=0,"",SUMIFS('Daily BSE Equity Futures'!$J:$J,'Daily BSE Equity Futures'!$A:$A,$A97))</f>
        <v>397</v>
      </c>
      <c r="R97" s="7">
        <f t="shared" si="18"/>
        <v>1299686</v>
      </c>
      <c r="S97" s="19">
        <f t="shared" si="19"/>
        <v>0.99969454160466453</v>
      </c>
      <c r="T97" s="19">
        <f t="shared" si="20"/>
        <v>3.0545839533548873E-4</v>
      </c>
    </row>
    <row r="98" spans="1:20" x14ac:dyDescent="0.2">
      <c r="A98" s="9">
        <v>44064</v>
      </c>
      <c r="B98" s="4" t="s">
        <v>222</v>
      </c>
      <c r="C98" s="8">
        <v>44044</v>
      </c>
      <c r="D98" s="4" t="s">
        <v>174</v>
      </c>
      <c r="E98" s="14">
        <f>IF(SUMIFS('Daily NSE Equity Futures'!$I:$I,'Daily NSE Equity Futures'!$A:$A,$A98)=0,"",SUMIFS('Daily NSE Equity Futures'!$I:$I,'Daily NSE Equity Futures'!$A:$A,$A98))</f>
        <v>905.39200000000005</v>
      </c>
      <c r="F98" s="6">
        <f>IF(SUMIFS('Daily BSE Equity Futures'!$I:$I,'Daily BSE Equity Futures'!$A:$A,$A98)=0,"",SUMIFS('Daily BSE Equity Futures'!$I:$I,'Daily BSE Equity Futures'!$A:$A,$A98))</f>
        <v>0.1396</v>
      </c>
      <c r="G98" s="6">
        <f t="shared" si="12"/>
        <v>905.53160000000003</v>
      </c>
      <c r="H98" s="15">
        <f t="shared" si="13"/>
        <v>0.99984583641255598</v>
      </c>
      <c r="I98" s="15">
        <f t="shared" si="14"/>
        <v>1.5416358744410467E-4</v>
      </c>
      <c r="J98" s="20" t="str">
        <f t="shared" si="15"/>
        <v/>
      </c>
      <c r="K98" s="15" t="str">
        <f t="shared" si="16"/>
        <v/>
      </c>
      <c r="L98" s="15" t="str">
        <f t="shared" si="17"/>
        <v/>
      </c>
      <c r="M98" s="15">
        <f t="shared" si="21"/>
        <v>2.6693588789595379E-2</v>
      </c>
      <c r="N98" s="15">
        <f t="shared" si="22"/>
        <v>-0.60442051572683475</v>
      </c>
      <c r="O98" s="15">
        <f t="shared" si="23"/>
        <v>2.6441130299518889E-2</v>
      </c>
      <c r="P98" s="18">
        <f>IF(SUMIFS('Daily NSE Equity Futures'!$J:$J,'Daily NSE Equity Futures'!$A:$A,$A98)=0,"",SUMIFS('Daily NSE Equity Futures'!$J:$J,'Daily NSE Equity Futures'!$A:$A,$A98))</f>
        <v>1278658</v>
      </c>
      <c r="Q98" s="7">
        <f>IF(SUMIFS('Daily BSE Equity Futures'!$J:$J,'Daily BSE Equity Futures'!$A:$A,$A98)=0,"",SUMIFS('Daily BSE Equity Futures'!$J:$J,'Daily BSE Equity Futures'!$A:$A,$A98))</f>
        <v>156</v>
      </c>
      <c r="R98" s="7">
        <f t="shared" si="18"/>
        <v>1278814</v>
      </c>
      <c r="S98" s="19">
        <f t="shared" si="19"/>
        <v>0.99987801197046644</v>
      </c>
      <c r="T98" s="19">
        <f t="shared" si="20"/>
        <v>1.2198802953361474E-4</v>
      </c>
    </row>
    <row r="99" spans="1:20" x14ac:dyDescent="0.2">
      <c r="A99" s="9">
        <v>44067</v>
      </c>
      <c r="B99" s="4" t="s">
        <v>225</v>
      </c>
      <c r="C99" s="8">
        <v>44044</v>
      </c>
      <c r="D99" s="4" t="s">
        <v>174</v>
      </c>
      <c r="E99" s="14">
        <f>IF(SUMIFS('Daily NSE Equity Futures'!$I:$I,'Daily NSE Equity Futures'!$A:$A,$A99)=0,"",SUMIFS('Daily NSE Equity Futures'!$I:$I,'Daily NSE Equity Futures'!$A:$A,$A99))</f>
        <v>1282.4668999999999</v>
      </c>
      <c r="F99" s="6">
        <f>IF(SUMIFS('Daily BSE Equity Futures'!$I:$I,'Daily BSE Equity Futures'!$A:$A,$A99)=0,"",SUMIFS('Daily BSE Equity Futures'!$I:$I,'Daily BSE Equity Futures'!$A:$A,$A99))</f>
        <v>0.22140000000000001</v>
      </c>
      <c r="G99" s="6">
        <f t="shared" si="12"/>
        <v>1282.6882999999998</v>
      </c>
      <c r="H99" s="15">
        <f t="shared" si="13"/>
        <v>0.99982739376355123</v>
      </c>
      <c r="I99" s="15">
        <f t="shared" si="14"/>
        <v>1.7260623644887074E-4</v>
      </c>
      <c r="J99" s="20" t="str">
        <f t="shared" si="15"/>
        <v/>
      </c>
      <c r="K99" s="15" t="str">
        <f t="shared" si="16"/>
        <v/>
      </c>
      <c r="L99" s="15" t="str">
        <f t="shared" si="17"/>
        <v/>
      </c>
      <c r="M99" s="15">
        <f t="shared" si="21"/>
        <v>0.41647695141993735</v>
      </c>
      <c r="N99" s="15">
        <f t="shared" si="22"/>
        <v>0.58595988538681953</v>
      </c>
      <c r="O99" s="15">
        <f t="shared" si="23"/>
        <v>0.41650307951704812</v>
      </c>
      <c r="P99" s="18">
        <f>IF(SUMIFS('Daily NSE Equity Futures'!$J:$J,'Daily NSE Equity Futures'!$A:$A,$A99)=0,"",SUMIFS('Daily NSE Equity Futures'!$J:$J,'Daily NSE Equity Futures'!$A:$A,$A99))</f>
        <v>1784578</v>
      </c>
      <c r="Q99" s="7">
        <f>IF(SUMIFS('Daily BSE Equity Futures'!$J:$J,'Daily BSE Equity Futures'!$A:$A,$A99)=0,"",SUMIFS('Daily BSE Equity Futures'!$J:$J,'Daily BSE Equity Futures'!$A:$A,$A99))</f>
        <v>248</v>
      </c>
      <c r="R99" s="7">
        <f t="shared" si="18"/>
        <v>1784826</v>
      </c>
      <c r="S99" s="19">
        <f t="shared" si="19"/>
        <v>0.99986105088115029</v>
      </c>
      <c r="T99" s="19">
        <f t="shared" si="20"/>
        <v>1.3894911884968059E-4</v>
      </c>
    </row>
    <row r="100" spans="1:20" x14ac:dyDescent="0.2">
      <c r="A100" s="9">
        <v>44068</v>
      </c>
      <c r="B100" s="4" t="s">
        <v>223</v>
      </c>
      <c r="C100" s="8">
        <v>44044</v>
      </c>
      <c r="D100" s="4" t="s">
        <v>174</v>
      </c>
      <c r="E100" s="14">
        <f>IF(SUMIFS('Daily NSE Equity Futures'!$I:$I,'Daily NSE Equity Futures'!$A:$A,$A100)=0,"",SUMIFS('Daily NSE Equity Futures'!$I:$I,'Daily NSE Equity Futures'!$A:$A,$A100))</f>
        <v>1545.7937999999999</v>
      </c>
      <c r="F100" s="6">
        <f>IF(SUMIFS('Daily BSE Equity Futures'!$I:$I,'Daily BSE Equity Futures'!$A:$A,$A100)=0,"",SUMIFS('Daily BSE Equity Futures'!$I:$I,'Daily BSE Equity Futures'!$A:$A,$A100))</f>
        <v>0.11070000000000001</v>
      </c>
      <c r="G100" s="6">
        <f t="shared" si="12"/>
        <v>1545.9044999999999</v>
      </c>
      <c r="H100" s="15">
        <f t="shared" si="13"/>
        <v>0.99992839143685786</v>
      </c>
      <c r="I100" s="15">
        <f t="shared" si="14"/>
        <v>7.1608563142160477E-5</v>
      </c>
      <c r="J100" s="20" t="str">
        <f t="shared" si="15"/>
        <v/>
      </c>
      <c r="K100" s="15" t="str">
        <f t="shared" si="16"/>
        <v/>
      </c>
      <c r="L100" s="15" t="str">
        <f t="shared" si="17"/>
        <v/>
      </c>
      <c r="M100" s="15">
        <f t="shared" si="21"/>
        <v>0.20532841822272374</v>
      </c>
      <c r="N100" s="15">
        <f t="shared" si="22"/>
        <v>-0.5</v>
      </c>
      <c r="O100" s="15">
        <f t="shared" si="23"/>
        <v>0.20520667413899396</v>
      </c>
      <c r="P100" s="18">
        <f>IF(SUMIFS('Daily NSE Equity Futures'!$J:$J,'Daily NSE Equity Futures'!$A:$A,$A100)=0,"",SUMIFS('Daily NSE Equity Futures'!$J:$J,'Daily NSE Equity Futures'!$A:$A,$A100))</f>
        <v>2191401</v>
      </c>
      <c r="Q100" s="7">
        <f>IF(SUMIFS('Daily BSE Equity Futures'!$J:$J,'Daily BSE Equity Futures'!$A:$A,$A100)=0,"",SUMIFS('Daily BSE Equity Futures'!$J:$J,'Daily BSE Equity Futures'!$A:$A,$A100))</f>
        <v>123</v>
      </c>
      <c r="R100" s="7">
        <f t="shared" si="18"/>
        <v>2191524</v>
      </c>
      <c r="S100" s="19">
        <f t="shared" si="19"/>
        <v>0.99994387467351487</v>
      </c>
      <c r="T100" s="19">
        <f t="shared" si="20"/>
        <v>5.6125326485130898E-5</v>
      </c>
    </row>
    <row r="101" spans="1:20" x14ac:dyDescent="0.2">
      <c r="A101" s="9">
        <v>44069</v>
      </c>
      <c r="B101" s="4" t="s">
        <v>221</v>
      </c>
      <c r="C101" s="8">
        <v>44044</v>
      </c>
      <c r="D101" s="4" t="s">
        <v>174</v>
      </c>
      <c r="E101" s="14">
        <f>IF(SUMIFS('Daily NSE Equity Futures'!$I:$I,'Daily NSE Equity Futures'!$A:$A,$A101)=0,"",SUMIFS('Daily NSE Equity Futures'!$I:$I,'Daily NSE Equity Futures'!$A:$A,$A101))</f>
        <v>1397.0581</v>
      </c>
      <c r="F101" s="6">
        <f>IF(SUMIFS('Daily BSE Equity Futures'!$I:$I,'Daily BSE Equity Futures'!$A:$A,$A101)=0,"",SUMIFS('Daily BSE Equity Futures'!$I:$I,'Daily BSE Equity Futures'!$A:$A,$A101))</f>
        <v>0.1714</v>
      </c>
      <c r="G101" s="6">
        <f t="shared" si="12"/>
        <v>1397.2294999999999</v>
      </c>
      <c r="H101" s="15">
        <f t="shared" si="13"/>
        <v>0.99987732867077317</v>
      </c>
      <c r="I101" s="15">
        <f t="shared" si="14"/>
        <v>1.2267132922687361E-4</v>
      </c>
      <c r="J101" s="20" t="str">
        <f t="shared" si="15"/>
        <v/>
      </c>
      <c r="K101" s="15" t="str">
        <f t="shared" si="16"/>
        <v/>
      </c>
      <c r="L101" s="15" t="str">
        <f t="shared" si="17"/>
        <v/>
      </c>
      <c r="M101" s="15">
        <f t="shared" si="21"/>
        <v>-9.6219625153109001E-2</v>
      </c>
      <c r="N101" s="15">
        <f t="shared" si="22"/>
        <v>0.54832881662149946</v>
      </c>
      <c r="O101" s="15">
        <f t="shared" si="23"/>
        <v>-9.6173469965318059E-2</v>
      </c>
      <c r="P101" s="18">
        <f>IF(SUMIFS('Daily NSE Equity Futures'!$J:$J,'Daily NSE Equity Futures'!$A:$A,$A101)=0,"",SUMIFS('Daily NSE Equity Futures'!$J:$J,'Daily NSE Equity Futures'!$A:$A,$A101))</f>
        <v>1924881</v>
      </c>
      <c r="Q101" s="7">
        <f>IF(SUMIFS('Daily BSE Equity Futures'!$J:$J,'Daily BSE Equity Futures'!$A:$A,$A101)=0,"",SUMIFS('Daily BSE Equity Futures'!$J:$J,'Daily BSE Equity Futures'!$A:$A,$A101))</f>
        <v>190</v>
      </c>
      <c r="R101" s="7">
        <f t="shared" si="18"/>
        <v>1925071</v>
      </c>
      <c r="S101" s="19">
        <f t="shared" si="19"/>
        <v>0.99990130234157593</v>
      </c>
      <c r="T101" s="19">
        <f t="shared" si="20"/>
        <v>9.8697658424026964E-5</v>
      </c>
    </row>
    <row r="102" spans="1:20" x14ac:dyDescent="0.2">
      <c r="A102" s="9">
        <v>44070</v>
      </c>
      <c r="B102" s="4" t="s">
        <v>224</v>
      </c>
      <c r="C102" s="8">
        <v>44044</v>
      </c>
      <c r="D102" s="4" t="s">
        <v>174</v>
      </c>
      <c r="E102" s="14">
        <f>IF(SUMIFS('Daily NSE Equity Futures'!$I:$I,'Daily NSE Equity Futures'!$A:$A,$A102)=0,"",SUMIFS('Daily NSE Equity Futures'!$I:$I,'Daily NSE Equity Futures'!$A:$A,$A102))</f>
        <v>1304.8598999999999</v>
      </c>
      <c r="F102" s="6">
        <f>IF(SUMIFS('Daily BSE Equity Futures'!$I:$I,'Daily BSE Equity Futures'!$A:$A,$A102)=0,"",SUMIFS('Daily BSE Equity Futures'!$I:$I,'Daily BSE Equity Futures'!$A:$A,$A102))</f>
        <v>0.2747</v>
      </c>
      <c r="G102" s="6">
        <f t="shared" si="12"/>
        <v>1305.1345999999999</v>
      </c>
      <c r="H102" s="15">
        <f t="shared" si="13"/>
        <v>0.99978952362461315</v>
      </c>
      <c r="I102" s="15">
        <f t="shared" si="14"/>
        <v>2.1047637538687582E-4</v>
      </c>
      <c r="J102" s="20" t="str">
        <f t="shared" si="15"/>
        <v/>
      </c>
      <c r="K102" s="15" t="str">
        <f t="shared" si="16"/>
        <v/>
      </c>
      <c r="L102" s="15" t="str">
        <f t="shared" si="17"/>
        <v/>
      </c>
      <c r="M102" s="15">
        <f t="shared" si="21"/>
        <v>-6.5994535230854079E-2</v>
      </c>
      <c r="N102" s="15">
        <f t="shared" si="22"/>
        <v>0.60268378063010508</v>
      </c>
      <c r="O102" s="15">
        <f t="shared" si="23"/>
        <v>-6.591250757302225E-2</v>
      </c>
      <c r="P102" s="18">
        <f>IF(SUMIFS('Daily NSE Equity Futures'!$J:$J,'Daily NSE Equity Futures'!$A:$A,$A102)=0,"",SUMIFS('Daily NSE Equity Futures'!$J:$J,'Daily NSE Equity Futures'!$A:$A,$A102))</f>
        <v>1809290</v>
      </c>
      <c r="Q102" s="7">
        <f>IF(SUMIFS('Daily BSE Equity Futures'!$J:$J,'Daily BSE Equity Futures'!$A:$A,$A102)=0,"",SUMIFS('Daily BSE Equity Futures'!$J:$J,'Daily BSE Equity Futures'!$A:$A,$A102))</f>
        <v>302</v>
      </c>
      <c r="R102" s="7">
        <f t="shared" si="18"/>
        <v>1809592</v>
      </c>
      <c r="S102" s="19">
        <f t="shared" si="19"/>
        <v>0.99983311155221732</v>
      </c>
      <c r="T102" s="19">
        <f t="shared" si="20"/>
        <v>1.668884477827046E-4</v>
      </c>
    </row>
    <row r="103" spans="1:20" x14ac:dyDescent="0.2">
      <c r="A103" s="9">
        <v>44071</v>
      </c>
      <c r="B103" s="4" t="s">
        <v>222</v>
      </c>
      <c r="C103" s="8">
        <v>44044</v>
      </c>
      <c r="D103" s="4" t="s">
        <v>174</v>
      </c>
      <c r="E103" s="14">
        <f>IF(SUMIFS('Daily NSE Equity Futures'!$I:$I,'Daily NSE Equity Futures'!$A:$A,$A103)=0,"",SUMIFS('Daily NSE Equity Futures'!$I:$I,'Daily NSE Equity Futures'!$A:$A,$A103))</f>
        <v>1028.0601999999999</v>
      </c>
      <c r="F103" s="6">
        <f>IF(SUMIFS('Daily BSE Equity Futures'!$I:$I,'Daily BSE Equity Futures'!$A:$A,$A103)=0,"",SUMIFS('Daily BSE Equity Futures'!$I:$I,'Daily BSE Equity Futures'!$A:$A,$A103))</f>
        <v>0.29330000000000001</v>
      </c>
      <c r="G103" s="6">
        <f t="shared" si="12"/>
        <v>1028.3534999999999</v>
      </c>
      <c r="H103" s="15">
        <f t="shared" si="13"/>
        <v>0.99971478679267389</v>
      </c>
      <c r="I103" s="15">
        <f t="shared" si="14"/>
        <v>2.8521320732608E-4</v>
      </c>
      <c r="J103" s="20" t="str">
        <f t="shared" si="15"/>
        <v/>
      </c>
      <c r="K103" s="15" t="str">
        <f t="shared" si="16"/>
        <v/>
      </c>
      <c r="L103" s="15" t="str">
        <f t="shared" si="17"/>
        <v/>
      </c>
      <c r="M103" s="15">
        <f t="shared" si="21"/>
        <v>-0.21212982328600949</v>
      </c>
      <c r="N103" s="15">
        <f t="shared" si="22"/>
        <v>6.7710229341099382E-2</v>
      </c>
      <c r="O103" s="15">
        <f t="shared" si="23"/>
        <v>-0.2120709235660444</v>
      </c>
      <c r="P103" s="18">
        <f>IF(SUMIFS('Daily NSE Equity Futures'!$J:$J,'Daily NSE Equity Futures'!$A:$A,$A103)=0,"",SUMIFS('Daily NSE Equity Futures'!$J:$J,'Daily NSE Equity Futures'!$A:$A,$A103))</f>
        <v>1467804</v>
      </c>
      <c r="Q103" s="7">
        <f>IF(SUMIFS('Daily BSE Equity Futures'!$J:$J,'Daily BSE Equity Futures'!$A:$A,$A103)=0,"",SUMIFS('Daily BSE Equity Futures'!$J:$J,'Daily BSE Equity Futures'!$A:$A,$A103))</f>
        <v>321</v>
      </c>
      <c r="R103" s="7">
        <f t="shared" si="18"/>
        <v>1468125</v>
      </c>
      <c r="S103" s="19">
        <f t="shared" si="19"/>
        <v>0.99978135376756061</v>
      </c>
      <c r="T103" s="19">
        <f t="shared" si="20"/>
        <v>2.1864623243933589E-4</v>
      </c>
    </row>
    <row r="104" spans="1:20" x14ac:dyDescent="0.2">
      <c r="A104" s="9">
        <v>44074</v>
      </c>
      <c r="B104" s="4" t="s">
        <v>225</v>
      </c>
      <c r="C104" s="8">
        <v>44044</v>
      </c>
      <c r="D104" s="4" t="s">
        <v>174</v>
      </c>
      <c r="E104" s="14">
        <f>IF(SUMIFS('Daily NSE Equity Futures'!$I:$I,'Daily NSE Equity Futures'!$A:$A,$A104)=0,"",SUMIFS('Daily NSE Equity Futures'!$I:$I,'Daily NSE Equity Futures'!$A:$A,$A104))</f>
        <v>1472.7647999999999</v>
      </c>
      <c r="F104" s="6">
        <f>IF(SUMIFS('Daily BSE Equity Futures'!$I:$I,'Daily BSE Equity Futures'!$A:$A,$A104)=0,"",SUMIFS('Daily BSE Equity Futures'!$I:$I,'Daily BSE Equity Futures'!$A:$A,$A104))</f>
        <v>0.75519999999999998</v>
      </c>
      <c r="G104" s="6">
        <f t="shared" si="12"/>
        <v>1473.52</v>
      </c>
      <c r="H104" s="15">
        <f t="shared" si="13"/>
        <v>0.99948748574841195</v>
      </c>
      <c r="I104" s="15">
        <f t="shared" si="14"/>
        <v>5.1251425158803409E-4</v>
      </c>
      <c r="J104" s="20" t="str">
        <f t="shared" si="15"/>
        <v/>
      </c>
      <c r="K104" s="15" t="str">
        <f t="shared" si="16"/>
        <v/>
      </c>
      <c r="L104" s="15" t="str">
        <f t="shared" si="17"/>
        <v/>
      </c>
      <c r="M104" s="15">
        <f t="shared" si="21"/>
        <v>0.43256669210616283</v>
      </c>
      <c r="N104" s="15">
        <f t="shared" si="22"/>
        <v>1.5748380497783838</v>
      </c>
      <c r="O104" s="15">
        <f t="shared" si="23"/>
        <v>0.43289248298372107</v>
      </c>
      <c r="P104" s="18">
        <f>IF(SUMIFS('Daily NSE Equity Futures'!$J:$J,'Daily NSE Equity Futures'!$A:$A,$A104)=0,"",SUMIFS('Daily NSE Equity Futures'!$J:$J,'Daily NSE Equity Futures'!$A:$A,$A104))</f>
        <v>2049658</v>
      </c>
      <c r="Q104" s="7">
        <f>IF(SUMIFS('Daily BSE Equity Futures'!$J:$J,'Daily BSE Equity Futures'!$A:$A,$A104)=0,"",SUMIFS('Daily BSE Equity Futures'!$J:$J,'Daily BSE Equity Futures'!$A:$A,$A104))</f>
        <v>835</v>
      </c>
      <c r="R104" s="7">
        <f t="shared" si="18"/>
        <v>2050493</v>
      </c>
      <c r="S104" s="19">
        <f t="shared" si="19"/>
        <v>0.9995927808580668</v>
      </c>
      <c r="T104" s="19">
        <f t="shared" si="20"/>
        <v>4.0721914193318385E-4</v>
      </c>
    </row>
    <row r="105" spans="1:20" x14ac:dyDescent="0.2">
      <c r="A105" s="9">
        <v>44075</v>
      </c>
      <c r="B105" s="4" t="s">
        <v>223</v>
      </c>
      <c r="C105" s="8">
        <v>44075</v>
      </c>
      <c r="D105" s="4" t="s">
        <v>174</v>
      </c>
      <c r="E105" s="14">
        <f>IF(SUMIFS('Daily NSE Equity Futures'!$I:$I,'Daily NSE Equity Futures'!$A:$A,$A105)=0,"",SUMIFS('Daily NSE Equity Futures'!$I:$I,'Daily NSE Equity Futures'!$A:$A,$A105))</f>
        <v>1120.4146000000001</v>
      </c>
      <c r="F105" s="6">
        <f>IF(SUMIFS('Daily BSE Equity Futures'!$I:$I,'Daily BSE Equity Futures'!$A:$A,$A105)=0,"",SUMIFS('Daily BSE Equity Futures'!$I:$I,'Daily BSE Equity Futures'!$A:$A,$A105))</f>
        <v>0.2346</v>
      </c>
      <c r="G105" s="6">
        <f t="shared" si="12"/>
        <v>1120.6492000000001</v>
      </c>
      <c r="H105" s="15">
        <f t="shared" si="13"/>
        <v>0.99979065705842651</v>
      </c>
      <c r="I105" s="15">
        <f t="shared" si="14"/>
        <v>2.0934294157350935E-4</v>
      </c>
      <c r="J105" s="20" t="str">
        <f t="shared" si="15"/>
        <v/>
      </c>
      <c r="K105" s="15" t="str">
        <f t="shared" si="16"/>
        <v/>
      </c>
      <c r="L105" s="15" t="str">
        <f t="shared" si="17"/>
        <v/>
      </c>
      <c r="M105" s="15">
        <f t="shared" si="21"/>
        <v>-0.23924403950990669</v>
      </c>
      <c r="N105" s="15">
        <f t="shared" si="22"/>
        <v>-0.68935381355932202</v>
      </c>
      <c r="O105" s="15">
        <f t="shared" si="23"/>
        <v>-0.23947472718388618</v>
      </c>
      <c r="P105" s="18">
        <f>IF(SUMIFS('Daily NSE Equity Futures'!$J:$J,'Daily NSE Equity Futures'!$A:$A,$A105)=0,"",SUMIFS('Daily NSE Equity Futures'!$J:$J,'Daily NSE Equity Futures'!$A:$A,$A105))</f>
        <v>1563555</v>
      </c>
      <c r="Q105" s="7">
        <f>IF(SUMIFS('Daily BSE Equity Futures'!$J:$J,'Daily BSE Equity Futures'!$A:$A,$A105)=0,"",SUMIFS('Daily BSE Equity Futures'!$J:$J,'Daily BSE Equity Futures'!$A:$A,$A105))</f>
        <v>260</v>
      </c>
      <c r="R105" s="7">
        <f t="shared" si="18"/>
        <v>1563815</v>
      </c>
      <c r="S105" s="19">
        <f t="shared" si="19"/>
        <v>0.99983373992447955</v>
      </c>
      <c r="T105" s="19">
        <f t="shared" si="20"/>
        <v>1.66260075520442E-4</v>
      </c>
    </row>
    <row r="106" spans="1:20" x14ac:dyDescent="0.2">
      <c r="A106" s="9">
        <v>44076</v>
      </c>
      <c r="B106" s="4" t="s">
        <v>221</v>
      </c>
      <c r="C106" s="8">
        <v>44075</v>
      </c>
      <c r="D106" s="4" t="s">
        <v>174</v>
      </c>
      <c r="E106" s="14">
        <f>IF(SUMIFS('Daily NSE Equity Futures'!$I:$I,'Daily NSE Equity Futures'!$A:$A,$A106)=0,"",SUMIFS('Daily NSE Equity Futures'!$I:$I,'Daily NSE Equity Futures'!$A:$A,$A106))</f>
        <v>857.31359999999995</v>
      </c>
      <c r="F106" s="6">
        <f>IF(SUMIFS('Daily BSE Equity Futures'!$I:$I,'Daily BSE Equity Futures'!$A:$A,$A106)=0,"",SUMIFS('Daily BSE Equity Futures'!$I:$I,'Daily BSE Equity Futures'!$A:$A,$A106))</f>
        <v>0.2324</v>
      </c>
      <c r="G106" s="6">
        <f t="shared" si="12"/>
        <v>857.54599999999994</v>
      </c>
      <c r="H106" s="15">
        <f t="shared" si="13"/>
        <v>0.99972899412976102</v>
      </c>
      <c r="I106" s="15">
        <f t="shared" si="14"/>
        <v>2.710058702390309E-4</v>
      </c>
      <c r="J106" s="20" t="str">
        <f t="shared" si="15"/>
        <v/>
      </c>
      <c r="K106" s="15" t="str">
        <f t="shared" si="16"/>
        <v/>
      </c>
      <c r="L106" s="15" t="str">
        <f t="shared" si="17"/>
        <v/>
      </c>
      <c r="M106" s="15">
        <f t="shared" si="21"/>
        <v>-0.23482468007824964</v>
      </c>
      <c r="N106" s="15">
        <f t="shared" si="22"/>
        <v>-9.377664109121997E-3</v>
      </c>
      <c r="O106" s="15">
        <f t="shared" si="23"/>
        <v>-0.23477748433675771</v>
      </c>
      <c r="P106" s="18">
        <f>IF(SUMIFS('Daily NSE Equity Futures'!$J:$J,'Daily NSE Equity Futures'!$A:$A,$A106)=0,"",SUMIFS('Daily NSE Equity Futures'!$J:$J,'Daily NSE Equity Futures'!$A:$A,$A106))</f>
        <v>1173364</v>
      </c>
      <c r="Q106" s="7">
        <f>IF(SUMIFS('Daily BSE Equity Futures'!$J:$J,'Daily BSE Equity Futures'!$A:$A,$A106)=0,"",SUMIFS('Daily BSE Equity Futures'!$J:$J,'Daily BSE Equity Futures'!$A:$A,$A106))</f>
        <v>257</v>
      </c>
      <c r="R106" s="7">
        <f t="shared" si="18"/>
        <v>1173621</v>
      </c>
      <c r="S106" s="19">
        <f t="shared" si="19"/>
        <v>0.99978101959661592</v>
      </c>
      <c r="T106" s="19">
        <f t="shared" si="20"/>
        <v>2.189804033840567E-4</v>
      </c>
    </row>
    <row r="107" spans="1:20" x14ac:dyDescent="0.2">
      <c r="A107" s="9">
        <v>44077</v>
      </c>
      <c r="B107" s="4" t="s">
        <v>224</v>
      </c>
      <c r="C107" s="8">
        <v>44075</v>
      </c>
      <c r="D107" s="4" t="s">
        <v>174</v>
      </c>
      <c r="E107" s="14">
        <f>IF(SUMIFS('Daily NSE Equity Futures'!$I:$I,'Daily NSE Equity Futures'!$A:$A,$A107)=0,"",SUMIFS('Daily NSE Equity Futures'!$I:$I,'Daily NSE Equity Futures'!$A:$A,$A107))</f>
        <v>778.78480000000002</v>
      </c>
      <c r="F107" s="6">
        <f>IF(SUMIFS('Daily BSE Equity Futures'!$I:$I,'Daily BSE Equity Futures'!$A:$A,$A107)=0,"",SUMIFS('Daily BSE Equity Futures'!$I:$I,'Daily BSE Equity Futures'!$A:$A,$A107))</f>
        <v>0.246</v>
      </c>
      <c r="G107" s="6">
        <f t="shared" si="12"/>
        <v>779.0308</v>
      </c>
      <c r="H107" s="15">
        <f t="shared" si="13"/>
        <v>0.99968422301146509</v>
      </c>
      <c r="I107" s="15">
        <f t="shared" si="14"/>
        <v>3.1577698853498475E-4</v>
      </c>
      <c r="J107" s="20" t="str">
        <f t="shared" si="15"/>
        <v/>
      </c>
      <c r="K107" s="15" t="str">
        <f t="shared" si="16"/>
        <v/>
      </c>
      <c r="L107" s="15" t="str">
        <f t="shared" si="17"/>
        <v/>
      </c>
      <c r="M107" s="15">
        <f t="shared" si="21"/>
        <v>-9.1598686874907798E-2</v>
      </c>
      <c r="N107" s="15">
        <f t="shared" si="22"/>
        <v>5.8519793459552494E-2</v>
      </c>
      <c r="O107" s="15">
        <f t="shared" si="23"/>
        <v>-9.1558003885505834E-2</v>
      </c>
      <c r="P107" s="18">
        <f>IF(SUMIFS('Daily NSE Equity Futures'!$J:$J,'Daily NSE Equity Futures'!$A:$A,$A107)=0,"",SUMIFS('Daily NSE Equity Futures'!$J:$J,'Daily NSE Equity Futures'!$A:$A,$A107))</f>
        <v>1046442</v>
      </c>
      <c r="Q107" s="7">
        <f>IF(SUMIFS('Daily BSE Equity Futures'!$J:$J,'Daily BSE Equity Futures'!$A:$A,$A107)=0,"",SUMIFS('Daily BSE Equity Futures'!$J:$J,'Daily BSE Equity Futures'!$A:$A,$A107))</f>
        <v>271</v>
      </c>
      <c r="R107" s="7">
        <f t="shared" si="18"/>
        <v>1046713</v>
      </c>
      <c r="S107" s="19">
        <f t="shared" si="19"/>
        <v>0.99974109426366153</v>
      </c>
      <c r="T107" s="19">
        <f t="shared" si="20"/>
        <v>2.5890573633842326E-4</v>
      </c>
    </row>
    <row r="108" spans="1:20" x14ac:dyDescent="0.2">
      <c r="A108" s="9">
        <v>44078</v>
      </c>
      <c r="B108" s="4" t="s">
        <v>222</v>
      </c>
      <c r="C108" s="8">
        <v>44075</v>
      </c>
      <c r="D108" s="4" t="s">
        <v>174</v>
      </c>
      <c r="E108" s="14">
        <f>IF(SUMIFS('Daily NSE Equity Futures'!$I:$I,'Daily NSE Equity Futures'!$A:$A,$A108)=0,"",SUMIFS('Daily NSE Equity Futures'!$I:$I,'Daily NSE Equity Futures'!$A:$A,$A108))</f>
        <v>951.572</v>
      </c>
      <c r="F108" s="6">
        <f>IF(SUMIFS('Daily BSE Equity Futures'!$I:$I,'Daily BSE Equity Futures'!$A:$A,$A108)=0,"",SUMIFS('Daily BSE Equity Futures'!$I:$I,'Daily BSE Equity Futures'!$A:$A,$A108))</f>
        <v>0.32190000000000002</v>
      </c>
      <c r="G108" s="6">
        <f t="shared" si="12"/>
        <v>951.89390000000003</v>
      </c>
      <c r="H108" s="15">
        <f t="shared" si="13"/>
        <v>0.99966183205922421</v>
      </c>
      <c r="I108" s="15">
        <f t="shared" si="14"/>
        <v>3.3816794077575244E-4</v>
      </c>
      <c r="J108" s="20" t="str">
        <f t="shared" si="15"/>
        <v/>
      </c>
      <c r="K108" s="15" t="str">
        <f t="shared" si="16"/>
        <v/>
      </c>
      <c r="L108" s="15" t="str">
        <f t="shared" si="17"/>
        <v/>
      </c>
      <c r="M108" s="15">
        <f t="shared" si="21"/>
        <v>0.22186770979608239</v>
      </c>
      <c r="N108" s="15">
        <f t="shared" si="22"/>
        <v>0.30853658536585371</v>
      </c>
      <c r="O108" s="15">
        <f t="shared" si="23"/>
        <v>0.22189507783260942</v>
      </c>
      <c r="P108" s="18">
        <f>IF(SUMIFS('Daily NSE Equity Futures'!$J:$J,'Daily NSE Equity Futures'!$A:$A,$A108)=0,"",SUMIFS('Daily NSE Equity Futures'!$J:$J,'Daily NSE Equity Futures'!$A:$A,$A108))</f>
        <v>1335810</v>
      </c>
      <c r="Q108" s="7">
        <f>IF(SUMIFS('Daily BSE Equity Futures'!$J:$J,'Daily BSE Equity Futures'!$A:$A,$A108)=0,"",SUMIFS('Daily BSE Equity Futures'!$J:$J,'Daily BSE Equity Futures'!$A:$A,$A108))</f>
        <v>360</v>
      </c>
      <c r="R108" s="7">
        <f t="shared" si="18"/>
        <v>1336170</v>
      </c>
      <c r="S108" s="19">
        <f t="shared" si="19"/>
        <v>0.99973057320550529</v>
      </c>
      <c r="T108" s="19">
        <f t="shared" si="20"/>
        <v>2.694267944947125E-4</v>
      </c>
    </row>
    <row r="109" spans="1:20" x14ac:dyDescent="0.2">
      <c r="A109" s="9">
        <v>44081</v>
      </c>
      <c r="B109" s="4" t="s">
        <v>225</v>
      </c>
      <c r="C109" s="8">
        <v>44075</v>
      </c>
      <c r="D109" s="4" t="s">
        <v>174</v>
      </c>
      <c r="E109" s="14">
        <f>IF(SUMIFS('Daily NSE Equity Futures'!$I:$I,'Daily NSE Equity Futures'!$A:$A,$A109)=0,"",SUMIFS('Daily NSE Equity Futures'!$I:$I,'Daily NSE Equity Futures'!$A:$A,$A109))</f>
        <v>731.90509999999995</v>
      </c>
      <c r="F109" s="6">
        <f>IF(SUMIFS('Daily BSE Equity Futures'!$I:$I,'Daily BSE Equity Futures'!$A:$A,$A109)=0,"",SUMIFS('Daily BSE Equity Futures'!$I:$I,'Daily BSE Equity Futures'!$A:$A,$A109))</f>
        <v>0.47220000000000001</v>
      </c>
      <c r="G109" s="6">
        <f t="shared" si="12"/>
        <v>732.37729999999999</v>
      </c>
      <c r="H109" s="15">
        <f t="shared" si="13"/>
        <v>0.99935525036070882</v>
      </c>
      <c r="I109" s="15">
        <f t="shared" si="14"/>
        <v>6.4474963929111399E-4</v>
      </c>
      <c r="J109" s="20" t="str">
        <f t="shared" si="15"/>
        <v/>
      </c>
      <c r="K109" s="15" t="str">
        <f t="shared" si="16"/>
        <v/>
      </c>
      <c r="L109" s="15" t="str">
        <f t="shared" si="17"/>
        <v/>
      </c>
      <c r="M109" s="15">
        <f t="shared" si="21"/>
        <v>-0.2308463258691934</v>
      </c>
      <c r="N109" s="15">
        <f t="shared" si="22"/>
        <v>0.46691519105312196</v>
      </c>
      <c r="O109" s="15">
        <f t="shared" si="23"/>
        <v>-0.23061036529386314</v>
      </c>
      <c r="P109" s="18">
        <f>IF(SUMIFS('Daily NSE Equity Futures'!$J:$J,'Daily NSE Equity Futures'!$A:$A,$A109)=0,"",SUMIFS('Daily NSE Equity Futures'!$J:$J,'Daily NSE Equity Futures'!$A:$A,$A109))</f>
        <v>1037945</v>
      </c>
      <c r="Q109" s="7">
        <f>IF(SUMIFS('Daily BSE Equity Futures'!$J:$J,'Daily BSE Equity Futures'!$A:$A,$A109)=0,"",SUMIFS('Daily BSE Equity Futures'!$J:$J,'Daily BSE Equity Futures'!$A:$A,$A109))</f>
        <v>531</v>
      </c>
      <c r="R109" s="7">
        <f t="shared" si="18"/>
        <v>1038476</v>
      </c>
      <c r="S109" s="19">
        <f t="shared" si="19"/>
        <v>0.99948867378735762</v>
      </c>
      <c r="T109" s="19">
        <f t="shared" si="20"/>
        <v>5.1132621264237212E-4</v>
      </c>
    </row>
    <row r="110" spans="1:20" x14ac:dyDescent="0.2">
      <c r="A110" s="9">
        <v>44082</v>
      </c>
      <c r="B110" s="4" t="s">
        <v>223</v>
      </c>
      <c r="C110" s="8">
        <v>44075</v>
      </c>
      <c r="D110" s="4" t="s">
        <v>174</v>
      </c>
      <c r="E110" s="14">
        <f>IF(SUMIFS('Daily NSE Equity Futures'!$I:$I,'Daily NSE Equity Futures'!$A:$A,$A110)=0,"",SUMIFS('Daily NSE Equity Futures'!$I:$I,'Daily NSE Equity Futures'!$A:$A,$A110))</f>
        <v>797.83299999999997</v>
      </c>
      <c r="F110" s="6">
        <f>IF(SUMIFS('Daily BSE Equity Futures'!$I:$I,'Daily BSE Equity Futures'!$A:$A,$A110)=0,"",SUMIFS('Daily BSE Equity Futures'!$I:$I,'Daily BSE Equity Futures'!$A:$A,$A110))</f>
        <v>0.23499999999999999</v>
      </c>
      <c r="G110" s="6">
        <f t="shared" si="12"/>
        <v>798.06799999999998</v>
      </c>
      <c r="H110" s="15">
        <f t="shared" si="13"/>
        <v>0.99970553887638647</v>
      </c>
      <c r="I110" s="15">
        <f t="shared" si="14"/>
        <v>2.9446112361352668E-4</v>
      </c>
      <c r="J110" s="20" t="str">
        <f t="shared" si="15"/>
        <v/>
      </c>
      <c r="K110" s="15" t="str">
        <f t="shared" si="16"/>
        <v/>
      </c>
      <c r="L110" s="15" t="str">
        <f t="shared" si="17"/>
        <v/>
      </c>
      <c r="M110" s="15">
        <f t="shared" si="21"/>
        <v>9.0077115188840873E-2</v>
      </c>
      <c r="N110" s="15">
        <f t="shared" si="22"/>
        <v>-0.50232952138924181</v>
      </c>
      <c r="O110" s="15">
        <f t="shared" si="23"/>
        <v>8.9695161223593445E-2</v>
      </c>
      <c r="P110" s="18">
        <f>IF(SUMIFS('Daily NSE Equity Futures'!$J:$J,'Daily NSE Equity Futures'!$A:$A,$A110)=0,"",SUMIFS('Daily NSE Equity Futures'!$J:$J,'Daily NSE Equity Futures'!$A:$A,$A110))</f>
        <v>1103196</v>
      </c>
      <c r="Q110" s="7">
        <f>IF(SUMIFS('Daily BSE Equity Futures'!$J:$J,'Daily BSE Equity Futures'!$A:$A,$A110)=0,"",SUMIFS('Daily BSE Equity Futures'!$J:$J,'Daily BSE Equity Futures'!$A:$A,$A110))</f>
        <v>263</v>
      </c>
      <c r="R110" s="7">
        <f t="shared" si="18"/>
        <v>1103459</v>
      </c>
      <c r="S110" s="19">
        <f t="shared" si="19"/>
        <v>0.99976165856638077</v>
      </c>
      <c r="T110" s="19">
        <f t="shared" si="20"/>
        <v>2.3834143361919203E-4</v>
      </c>
    </row>
    <row r="111" spans="1:20" x14ac:dyDescent="0.2">
      <c r="A111" s="9">
        <v>44083</v>
      </c>
      <c r="B111" s="4" t="s">
        <v>221</v>
      </c>
      <c r="C111" s="8">
        <v>44075</v>
      </c>
      <c r="D111" s="4" t="s">
        <v>174</v>
      </c>
      <c r="E111" s="14">
        <f>IF(SUMIFS('Daily NSE Equity Futures'!$I:$I,'Daily NSE Equity Futures'!$A:$A,$A111)=0,"",SUMIFS('Daily NSE Equity Futures'!$I:$I,'Daily NSE Equity Futures'!$A:$A,$A111))</f>
        <v>891.0729</v>
      </c>
      <c r="F111" s="6">
        <f>IF(SUMIFS('Daily BSE Equity Futures'!$I:$I,'Daily BSE Equity Futures'!$A:$A,$A111)=0,"",SUMIFS('Daily BSE Equity Futures'!$I:$I,'Daily BSE Equity Futures'!$A:$A,$A111))</f>
        <v>0.22900000000000001</v>
      </c>
      <c r="G111" s="6">
        <f t="shared" si="12"/>
        <v>891.30190000000005</v>
      </c>
      <c r="H111" s="15">
        <f t="shared" si="13"/>
        <v>0.99974307246512095</v>
      </c>
      <c r="I111" s="15">
        <f t="shared" si="14"/>
        <v>2.5692753487903484E-4</v>
      </c>
      <c r="J111" s="20" t="str">
        <f t="shared" si="15"/>
        <v/>
      </c>
      <c r="K111" s="15" t="str">
        <f t="shared" si="16"/>
        <v/>
      </c>
      <c r="L111" s="15" t="str">
        <f t="shared" si="17"/>
        <v/>
      </c>
      <c r="M111" s="15">
        <f t="shared" si="21"/>
        <v>0.11686643696111854</v>
      </c>
      <c r="N111" s="15">
        <f t="shared" si="22"/>
        <v>-2.5531914893616947E-2</v>
      </c>
      <c r="O111" s="15">
        <f t="shared" si="23"/>
        <v>0.11682450618243068</v>
      </c>
      <c r="P111" s="18">
        <f>IF(SUMIFS('Daily NSE Equity Futures'!$J:$J,'Daily NSE Equity Futures'!$A:$A,$A111)=0,"",SUMIFS('Daily NSE Equity Futures'!$J:$J,'Daily NSE Equity Futures'!$A:$A,$A111))</f>
        <v>1250070</v>
      </c>
      <c r="Q111" s="7">
        <f>IF(SUMIFS('Daily BSE Equity Futures'!$J:$J,'Daily BSE Equity Futures'!$A:$A,$A111)=0,"",SUMIFS('Daily BSE Equity Futures'!$J:$J,'Daily BSE Equity Futures'!$A:$A,$A111))</f>
        <v>259</v>
      </c>
      <c r="R111" s="7">
        <f t="shared" si="18"/>
        <v>1250329</v>
      </c>
      <c r="S111" s="19">
        <f t="shared" si="19"/>
        <v>0.99979285452069011</v>
      </c>
      <c r="T111" s="19">
        <f t="shared" si="20"/>
        <v>2.0714547930984566E-4</v>
      </c>
    </row>
    <row r="112" spans="1:20" x14ac:dyDescent="0.2">
      <c r="A112" s="9">
        <v>44084</v>
      </c>
      <c r="B112" s="4" t="s">
        <v>224</v>
      </c>
      <c r="C112" s="8">
        <v>44075</v>
      </c>
      <c r="D112" s="4" t="s">
        <v>174</v>
      </c>
      <c r="E112" s="14">
        <f>IF(SUMIFS('Daily NSE Equity Futures'!$I:$I,'Daily NSE Equity Futures'!$A:$A,$A112)=0,"",SUMIFS('Daily NSE Equity Futures'!$I:$I,'Daily NSE Equity Futures'!$A:$A,$A112))</f>
        <v>1005.0067</v>
      </c>
      <c r="F112" s="6">
        <f>IF(SUMIFS('Daily BSE Equity Futures'!$I:$I,'Daily BSE Equity Futures'!$A:$A,$A112)=0,"",SUMIFS('Daily BSE Equity Futures'!$I:$I,'Daily BSE Equity Futures'!$A:$A,$A112))</f>
        <v>0.27389999999999998</v>
      </c>
      <c r="G112" s="6">
        <f t="shared" si="12"/>
        <v>1005.2806</v>
      </c>
      <c r="H112" s="15">
        <f t="shared" si="13"/>
        <v>0.99972753875883014</v>
      </c>
      <c r="I112" s="15">
        <f t="shared" si="14"/>
        <v>2.7246124116987833E-4</v>
      </c>
      <c r="J112" s="20" t="str">
        <f t="shared" si="15"/>
        <v/>
      </c>
      <c r="K112" s="15" t="str">
        <f t="shared" si="16"/>
        <v/>
      </c>
      <c r="L112" s="15" t="str">
        <f t="shared" si="17"/>
        <v/>
      </c>
      <c r="M112" s="15">
        <f t="shared" si="21"/>
        <v>0.12786136802050652</v>
      </c>
      <c r="N112" s="15">
        <f t="shared" si="22"/>
        <v>0.19606986899563306</v>
      </c>
      <c r="O112" s="15">
        <f t="shared" si="23"/>
        <v>0.12787889266251984</v>
      </c>
      <c r="P112" s="18">
        <f>IF(SUMIFS('Daily NSE Equity Futures'!$J:$J,'Daily NSE Equity Futures'!$A:$A,$A112)=0,"",SUMIFS('Daily NSE Equity Futures'!$J:$J,'Daily NSE Equity Futures'!$A:$A,$A112))</f>
        <v>1339910</v>
      </c>
      <c r="Q112" s="7">
        <f>IF(SUMIFS('Daily BSE Equity Futures'!$J:$J,'Daily BSE Equity Futures'!$A:$A,$A112)=0,"",SUMIFS('Daily BSE Equity Futures'!$J:$J,'Daily BSE Equity Futures'!$A:$A,$A112))</f>
        <v>306</v>
      </c>
      <c r="R112" s="7">
        <f t="shared" si="18"/>
        <v>1340216</v>
      </c>
      <c r="S112" s="19">
        <f t="shared" si="19"/>
        <v>0.99977167859509208</v>
      </c>
      <c r="T112" s="19">
        <f t="shared" si="20"/>
        <v>2.2832140490786559E-4</v>
      </c>
    </row>
    <row r="113" spans="1:20" x14ac:dyDescent="0.2">
      <c r="A113" s="9">
        <v>44085</v>
      </c>
      <c r="B113" s="4" t="s">
        <v>222</v>
      </c>
      <c r="C113" s="8">
        <v>44075</v>
      </c>
      <c r="D113" s="4" t="s">
        <v>174</v>
      </c>
      <c r="E113" s="14">
        <f>IF(SUMIFS('Daily NSE Equity Futures'!$I:$I,'Daily NSE Equity Futures'!$A:$A,$A113)=0,"",SUMIFS('Daily NSE Equity Futures'!$I:$I,'Daily NSE Equity Futures'!$A:$A,$A113))</f>
        <v>837.82510000000002</v>
      </c>
      <c r="F113" s="6">
        <f>IF(SUMIFS('Daily BSE Equity Futures'!$I:$I,'Daily BSE Equity Futures'!$A:$A,$A113)=0,"",SUMIFS('Daily BSE Equity Futures'!$I:$I,'Daily BSE Equity Futures'!$A:$A,$A113))</f>
        <v>0.1918</v>
      </c>
      <c r="G113" s="6">
        <f t="shared" si="12"/>
        <v>838.01689999999996</v>
      </c>
      <c r="H113" s="15">
        <f t="shared" si="13"/>
        <v>0.99977112633408716</v>
      </c>
      <c r="I113" s="15">
        <f t="shared" si="14"/>
        <v>2.288736659129428E-4</v>
      </c>
      <c r="J113" s="20" t="str">
        <f t="shared" si="15"/>
        <v/>
      </c>
      <c r="K113" s="15" t="str">
        <f t="shared" si="16"/>
        <v/>
      </c>
      <c r="L113" s="15" t="str">
        <f t="shared" si="17"/>
        <v/>
      </c>
      <c r="M113" s="15">
        <f t="shared" si="21"/>
        <v>-0.16634874175465697</v>
      </c>
      <c r="N113" s="15">
        <f t="shared" si="22"/>
        <v>-0.29974443227455272</v>
      </c>
      <c r="O113" s="15">
        <f t="shared" si="23"/>
        <v>-0.16638508691006282</v>
      </c>
      <c r="P113" s="18">
        <f>IF(SUMIFS('Daily NSE Equity Futures'!$J:$J,'Daily NSE Equity Futures'!$A:$A,$A113)=0,"",SUMIFS('Daily NSE Equity Futures'!$J:$J,'Daily NSE Equity Futures'!$A:$A,$A113))</f>
        <v>1150084</v>
      </c>
      <c r="Q113" s="7">
        <f>IF(SUMIFS('Daily BSE Equity Futures'!$J:$J,'Daily BSE Equity Futures'!$A:$A,$A113)=0,"",SUMIFS('Daily BSE Equity Futures'!$J:$J,'Daily BSE Equity Futures'!$A:$A,$A113))</f>
        <v>213</v>
      </c>
      <c r="R113" s="7">
        <f t="shared" si="18"/>
        <v>1150297</v>
      </c>
      <c r="S113" s="19">
        <f t="shared" si="19"/>
        <v>0.99981483043074959</v>
      </c>
      <c r="T113" s="19">
        <f t="shared" si="20"/>
        <v>1.851695692503762E-4</v>
      </c>
    </row>
    <row r="114" spans="1:20" x14ac:dyDescent="0.2">
      <c r="A114" s="9">
        <v>44088</v>
      </c>
      <c r="B114" s="4" t="s">
        <v>225</v>
      </c>
      <c r="C114" s="8">
        <v>44075</v>
      </c>
      <c r="D114" s="4" t="s">
        <v>174</v>
      </c>
      <c r="E114" s="14">
        <f>IF(SUMIFS('Daily NSE Equity Futures'!$I:$I,'Daily NSE Equity Futures'!$A:$A,$A114)=0,"",SUMIFS('Daily NSE Equity Futures'!$I:$I,'Daily NSE Equity Futures'!$A:$A,$A114))</f>
        <v>975.62720000000002</v>
      </c>
      <c r="F114" s="6">
        <f>IF(SUMIFS('Daily BSE Equity Futures'!$I:$I,'Daily BSE Equity Futures'!$A:$A,$A114)=0,"",SUMIFS('Daily BSE Equity Futures'!$I:$I,'Daily BSE Equity Futures'!$A:$A,$A114))</f>
        <v>0.68730000000000002</v>
      </c>
      <c r="G114" s="6">
        <f t="shared" si="12"/>
        <v>976.31450000000007</v>
      </c>
      <c r="H114" s="15">
        <f t="shared" si="13"/>
        <v>0.99929602602440093</v>
      </c>
      <c r="I114" s="15">
        <f t="shared" si="14"/>
        <v>7.039739755990513E-4</v>
      </c>
      <c r="J114" s="20" t="str">
        <f t="shared" si="15"/>
        <v/>
      </c>
      <c r="K114" s="15" t="str">
        <f t="shared" si="16"/>
        <v/>
      </c>
      <c r="L114" s="15" t="str">
        <f t="shared" si="17"/>
        <v/>
      </c>
      <c r="M114" s="15">
        <f t="shared" si="21"/>
        <v>0.16447597475893239</v>
      </c>
      <c r="N114" s="15">
        <f t="shared" si="22"/>
        <v>2.5834202294056312</v>
      </c>
      <c r="O114" s="15">
        <f t="shared" si="23"/>
        <v>0.16502960739813255</v>
      </c>
      <c r="P114" s="18">
        <f>IF(SUMIFS('Daily NSE Equity Futures'!$J:$J,'Daily NSE Equity Futures'!$A:$A,$A114)=0,"",SUMIFS('Daily NSE Equity Futures'!$J:$J,'Daily NSE Equity Futures'!$A:$A,$A114))</f>
        <v>1331152</v>
      </c>
      <c r="Q114" s="7">
        <f>IF(SUMIFS('Daily BSE Equity Futures'!$J:$J,'Daily BSE Equity Futures'!$A:$A,$A114)=0,"",SUMIFS('Daily BSE Equity Futures'!$J:$J,'Daily BSE Equity Futures'!$A:$A,$A114))</f>
        <v>761</v>
      </c>
      <c r="R114" s="7">
        <f t="shared" si="18"/>
        <v>1331913</v>
      </c>
      <c r="S114" s="19">
        <f t="shared" si="19"/>
        <v>0.99942864136020892</v>
      </c>
      <c r="T114" s="19">
        <f t="shared" si="20"/>
        <v>5.7135863979103742E-4</v>
      </c>
    </row>
    <row r="115" spans="1:20" x14ac:dyDescent="0.2">
      <c r="A115" s="9">
        <v>44089</v>
      </c>
      <c r="B115" s="4" t="s">
        <v>223</v>
      </c>
      <c r="C115" s="8">
        <v>44075</v>
      </c>
      <c r="D115" s="4" t="s">
        <v>174</v>
      </c>
      <c r="E115" s="14">
        <f>IF(SUMIFS('Daily NSE Equity Futures'!$I:$I,'Daily NSE Equity Futures'!$A:$A,$A115)=0,"",SUMIFS('Daily NSE Equity Futures'!$I:$I,'Daily NSE Equity Futures'!$A:$A,$A115))</f>
        <v>878.65060000000005</v>
      </c>
      <c r="F115" s="6">
        <f>IF(SUMIFS('Daily BSE Equity Futures'!$I:$I,'Daily BSE Equity Futures'!$A:$A,$A115)=0,"",SUMIFS('Daily BSE Equity Futures'!$I:$I,'Daily BSE Equity Futures'!$A:$A,$A115))</f>
        <v>0.34470000000000001</v>
      </c>
      <c r="G115" s="6">
        <f t="shared" si="12"/>
        <v>878.99530000000004</v>
      </c>
      <c r="H115" s="15">
        <f t="shared" si="13"/>
        <v>0.99960784773251921</v>
      </c>
      <c r="I115" s="15">
        <f t="shared" si="14"/>
        <v>3.9215226748083863E-4</v>
      </c>
      <c r="J115" s="20" t="str">
        <f t="shared" si="15"/>
        <v/>
      </c>
      <c r="K115" s="15" t="str">
        <f t="shared" si="16"/>
        <v/>
      </c>
      <c r="L115" s="15" t="str">
        <f t="shared" si="17"/>
        <v/>
      </c>
      <c r="M115" s="15">
        <f t="shared" si="21"/>
        <v>-9.9399237741629176E-2</v>
      </c>
      <c r="N115" s="15">
        <f t="shared" si="22"/>
        <v>-0.49847228284591882</v>
      </c>
      <c r="O115" s="15">
        <f t="shared" si="23"/>
        <v>-9.9680174779745667E-2</v>
      </c>
      <c r="P115" s="18">
        <f>IF(SUMIFS('Daily NSE Equity Futures'!$J:$J,'Daily NSE Equity Futures'!$A:$A,$A115)=0,"",SUMIFS('Daily NSE Equity Futures'!$J:$J,'Daily NSE Equity Futures'!$A:$A,$A115))</f>
        <v>1213049</v>
      </c>
      <c r="Q115" s="7">
        <f>IF(SUMIFS('Daily BSE Equity Futures'!$J:$J,'Daily BSE Equity Futures'!$A:$A,$A115)=0,"",SUMIFS('Daily BSE Equity Futures'!$J:$J,'Daily BSE Equity Futures'!$A:$A,$A115))</f>
        <v>381</v>
      </c>
      <c r="R115" s="7">
        <f t="shared" si="18"/>
        <v>1213430</v>
      </c>
      <c r="S115" s="19">
        <f t="shared" si="19"/>
        <v>0.99968601402635504</v>
      </c>
      <c r="T115" s="19">
        <f t="shared" si="20"/>
        <v>3.1398597364495684E-4</v>
      </c>
    </row>
    <row r="116" spans="1:20" x14ac:dyDescent="0.2">
      <c r="A116" s="9">
        <v>44090</v>
      </c>
      <c r="B116" s="4" t="s">
        <v>221</v>
      </c>
      <c r="C116" s="8">
        <v>44075</v>
      </c>
      <c r="D116" s="4" t="s">
        <v>174</v>
      </c>
      <c r="E116" s="14">
        <f>IF(SUMIFS('Daily NSE Equity Futures'!$I:$I,'Daily NSE Equity Futures'!$A:$A,$A116)=0,"",SUMIFS('Daily NSE Equity Futures'!$I:$I,'Daily NSE Equity Futures'!$A:$A,$A116))</f>
        <v>857.24559999999997</v>
      </c>
      <c r="F116" s="6">
        <f>IF(SUMIFS('Daily BSE Equity Futures'!$I:$I,'Daily BSE Equity Futures'!$A:$A,$A116)=0,"",SUMIFS('Daily BSE Equity Futures'!$I:$I,'Daily BSE Equity Futures'!$A:$A,$A116))</f>
        <v>0.2339</v>
      </c>
      <c r="G116" s="6">
        <f t="shared" si="12"/>
        <v>857.47949999999992</v>
      </c>
      <c r="H116" s="15">
        <f t="shared" si="13"/>
        <v>0.9997272237995195</v>
      </c>
      <c r="I116" s="15">
        <f t="shared" si="14"/>
        <v>2.727762004805946E-4</v>
      </c>
      <c r="J116" s="20" t="str">
        <f t="shared" si="15"/>
        <v/>
      </c>
      <c r="K116" s="15" t="str">
        <f t="shared" si="16"/>
        <v/>
      </c>
      <c r="L116" s="15" t="str">
        <f t="shared" si="17"/>
        <v/>
      </c>
      <c r="M116" s="15">
        <f t="shared" si="21"/>
        <v>-2.4361219351583085E-2</v>
      </c>
      <c r="N116" s="15">
        <f t="shared" si="22"/>
        <v>-0.32143893240498989</v>
      </c>
      <c r="O116" s="15">
        <f t="shared" si="23"/>
        <v>-2.4477719050374991E-2</v>
      </c>
      <c r="P116" s="18">
        <f>IF(SUMIFS('Daily NSE Equity Futures'!$J:$J,'Daily NSE Equity Futures'!$A:$A,$A116)=0,"",SUMIFS('Daily NSE Equity Futures'!$J:$J,'Daily NSE Equity Futures'!$A:$A,$A116))</f>
        <v>1182011</v>
      </c>
      <c r="Q116" s="7">
        <f>IF(SUMIFS('Daily BSE Equity Futures'!$J:$J,'Daily BSE Equity Futures'!$A:$A,$A116)=0,"",SUMIFS('Daily BSE Equity Futures'!$J:$J,'Daily BSE Equity Futures'!$A:$A,$A116))</f>
        <v>257</v>
      </c>
      <c r="R116" s="7">
        <f t="shared" si="18"/>
        <v>1182268</v>
      </c>
      <c r="S116" s="19">
        <f t="shared" si="19"/>
        <v>0.99978262119925432</v>
      </c>
      <c r="T116" s="19">
        <f t="shared" si="20"/>
        <v>2.1737880074568542E-4</v>
      </c>
    </row>
    <row r="117" spans="1:20" x14ac:dyDescent="0.2">
      <c r="A117" s="9">
        <v>44091</v>
      </c>
      <c r="B117" s="4" t="s">
        <v>224</v>
      </c>
      <c r="C117" s="8">
        <v>44075</v>
      </c>
      <c r="D117" s="4" t="s">
        <v>174</v>
      </c>
      <c r="E117" s="14">
        <f>IF(SUMIFS('Daily NSE Equity Futures'!$I:$I,'Daily NSE Equity Futures'!$A:$A,$A117)=0,"",SUMIFS('Daily NSE Equity Futures'!$I:$I,'Daily NSE Equity Futures'!$A:$A,$A117))</f>
        <v>866.7799</v>
      </c>
      <c r="F117" s="6">
        <f>IF(SUMIFS('Daily BSE Equity Futures'!$I:$I,'Daily BSE Equity Futures'!$A:$A,$A117)=0,"",SUMIFS('Daily BSE Equity Futures'!$I:$I,'Daily BSE Equity Futures'!$A:$A,$A117))</f>
        <v>0.2777</v>
      </c>
      <c r="G117" s="6">
        <f t="shared" si="12"/>
        <v>867.05759999999998</v>
      </c>
      <c r="H117" s="15">
        <f t="shared" si="13"/>
        <v>0.99967972139336536</v>
      </c>
      <c r="I117" s="15">
        <f t="shared" si="14"/>
        <v>3.2027860663466878E-4</v>
      </c>
      <c r="J117" s="20" t="str">
        <f t="shared" si="15"/>
        <v/>
      </c>
      <c r="K117" s="15" t="str">
        <f t="shared" si="16"/>
        <v/>
      </c>
      <c r="L117" s="15" t="str">
        <f t="shared" si="17"/>
        <v/>
      </c>
      <c r="M117" s="15">
        <f t="shared" si="21"/>
        <v>1.1122016840914739E-2</v>
      </c>
      <c r="N117" s="15">
        <f t="shared" si="22"/>
        <v>0.1872595126122274</v>
      </c>
      <c r="O117" s="15">
        <f t="shared" si="23"/>
        <v>1.1170062957773341E-2</v>
      </c>
      <c r="P117" s="18">
        <f>IF(SUMIFS('Daily NSE Equity Futures'!$J:$J,'Daily NSE Equity Futures'!$A:$A,$A117)=0,"",SUMIFS('Daily NSE Equity Futures'!$J:$J,'Daily NSE Equity Futures'!$A:$A,$A117))</f>
        <v>1179952</v>
      </c>
      <c r="Q117" s="7">
        <f>IF(SUMIFS('Daily BSE Equity Futures'!$J:$J,'Daily BSE Equity Futures'!$A:$A,$A117)=0,"",SUMIFS('Daily BSE Equity Futures'!$J:$J,'Daily BSE Equity Futures'!$A:$A,$A117))</f>
        <v>306</v>
      </c>
      <c r="R117" s="7">
        <f t="shared" si="18"/>
        <v>1180258</v>
      </c>
      <c r="S117" s="19">
        <f t="shared" si="19"/>
        <v>0.99974073465293178</v>
      </c>
      <c r="T117" s="19">
        <f t="shared" si="20"/>
        <v>2.5926534706818339E-4</v>
      </c>
    </row>
    <row r="118" spans="1:20" x14ac:dyDescent="0.2">
      <c r="A118" s="9">
        <v>44092</v>
      </c>
      <c r="B118" s="4" t="s">
        <v>222</v>
      </c>
      <c r="C118" s="8">
        <v>44075</v>
      </c>
      <c r="D118" s="4" t="s">
        <v>174</v>
      </c>
      <c r="E118" s="14">
        <f>IF(SUMIFS('Daily NSE Equity Futures'!$I:$I,'Daily NSE Equity Futures'!$A:$A,$A118)=0,"",SUMIFS('Daily NSE Equity Futures'!$I:$I,'Daily NSE Equity Futures'!$A:$A,$A118))</f>
        <v>1314.9727</v>
      </c>
      <c r="F118" s="6">
        <f>IF(SUMIFS('Daily BSE Equity Futures'!$I:$I,'Daily BSE Equity Futures'!$A:$A,$A118)=0,"",SUMIFS('Daily BSE Equity Futures'!$I:$I,'Daily BSE Equity Futures'!$A:$A,$A118))</f>
        <v>0.40379999999999999</v>
      </c>
      <c r="G118" s="6">
        <f t="shared" si="12"/>
        <v>1315.3765000000001</v>
      </c>
      <c r="H118" s="15">
        <f t="shared" si="13"/>
        <v>0.99969301564989188</v>
      </c>
      <c r="I118" s="15">
        <f t="shared" si="14"/>
        <v>3.0698435010812489E-4</v>
      </c>
      <c r="J118" s="20" t="str">
        <f t="shared" si="15"/>
        <v/>
      </c>
      <c r="K118" s="15" t="str">
        <f t="shared" si="16"/>
        <v/>
      </c>
      <c r="L118" s="15" t="str">
        <f t="shared" si="17"/>
        <v/>
      </c>
      <c r="M118" s="15">
        <f t="shared" si="21"/>
        <v>0.51707798023465945</v>
      </c>
      <c r="N118" s="15">
        <f t="shared" si="22"/>
        <v>0.45408714440043219</v>
      </c>
      <c r="O118" s="15">
        <f t="shared" si="23"/>
        <v>0.51705780561752768</v>
      </c>
      <c r="P118" s="18">
        <f>IF(SUMIFS('Daily NSE Equity Futures'!$J:$J,'Daily NSE Equity Futures'!$A:$A,$A118)=0,"",SUMIFS('Daily NSE Equity Futures'!$J:$J,'Daily NSE Equity Futures'!$A:$A,$A118))</f>
        <v>1732466</v>
      </c>
      <c r="Q118" s="7">
        <f>IF(SUMIFS('Daily BSE Equity Futures'!$J:$J,'Daily BSE Equity Futures'!$A:$A,$A118)=0,"",SUMIFS('Daily BSE Equity Futures'!$J:$J,'Daily BSE Equity Futures'!$A:$A,$A118))</f>
        <v>445</v>
      </c>
      <c r="R118" s="7">
        <f t="shared" si="18"/>
        <v>1732911</v>
      </c>
      <c r="S118" s="19">
        <f t="shared" si="19"/>
        <v>0.99974320666208483</v>
      </c>
      <c r="T118" s="19">
        <f t="shared" si="20"/>
        <v>2.5679333791521898E-4</v>
      </c>
    </row>
    <row r="119" spans="1:20" x14ac:dyDescent="0.2">
      <c r="A119" s="9">
        <v>44095</v>
      </c>
      <c r="B119" s="4" t="s">
        <v>225</v>
      </c>
      <c r="C119" s="8">
        <v>44075</v>
      </c>
      <c r="D119" s="4" t="s">
        <v>174</v>
      </c>
      <c r="E119" s="14">
        <f>IF(SUMIFS('Daily NSE Equity Futures'!$I:$I,'Daily NSE Equity Futures'!$A:$A,$A119)=0,"",SUMIFS('Daily NSE Equity Futures'!$I:$I,'Daily NSE Equity Futures'!$A:$A,$A119))</f>
        <v>1543.5757000000001</v>
      </c>
      <c r="F119" s="6">
        <f>IF(SUMIFS('Daily BSE Equity Futures'!$I:$I,'Daily BSE Equity Futures'!$A:$A,$A119)=0,"",SUMIFS('Daily BSE Equity Futures'!$I:$I,'Daily BSE Equity Futures'!$A:$A,$A119))</f>
        <v>0.48259999999999997</v>
      </c>
      <c r="G119" s="6">
        <f t="shared" si="12"/>
        <v>1544.0583000000001</v>
      </c>
      <c r="H119" s="15">
        <f t="shared" si="13"/>
        <v>0.999687447034869</v>
      </c>
      <c r="I119" s="15">
        <f t="shared" si="14"/>
        <v>3.1255296513091503E-4</v>
      </c>
      <c r="J119" s="20" t="str">
        <f t="shared" si="15"/>
        <v/>
      </c>
      <c r="K119" s="15" t="str">
        <f t="shared" si="16"/>
        <v/>
      </c>
      <c r="L119" s="15" t="str">
        <f t="shared" si="17"/>
        <v/>
      </c>
      <c r="M119" s="15">
        <f t="shared" si="21"/>
        <v>0.17384619467765372</v>
      </c>
      <c r="N119" s="15">
        <f t="shared" si="22"/>
        <v>0.19514611193660225</v>
      </c>
      <c r="O119" s="15">
        <f t="shared" si="23"/>
        <v>0.17385273341891083</v>
      </c>
      <c r="P119" s="18">
        <f>IF(SUMIFS('Daily NSE Equity Futures'!$J:$J,'Daily NSE Equity Futures'!$A:$A,$A119)=0,"",SUMIFS('Daily NSE Equity Futures'!$J:$J,'Daily NSE Equity Futures'!$A:$A,$A119))</f>
        <v>2121693</v>
      </c>
      <c r="Q119" s="7">
        <f>IF(SUMIFS('Daily BSE Equity Futures'!$J:$J,'Daily BSE Equity Futures'!$A:$A,$A119)=0,"",SUMIFS('Daily BSE Equity Futures'!$J:$J,'Daily BSE Equity Futures'!$A:$A,$A119))</f>
        <v>537</v>
      </c>
      <c r="R119" s="7">
        <f t="shared" si="18"/>
        <v>2122230</v>
      </c>
      <c r="S119" s="19">
        <f t="shared" si="19"/>
        <v>0.99974696427814136</v>
      </c>
      <c r="T119" s="19">
        <f t="shared" si="20"/>
        <v>2.53035721858611E-4</v>
      </c>
    </row>
    <row r="120" spans="1:20" x14ac:dyDescent="0.2">
      <c r="A120" s="9">
        <v>44096</v>
      </c>
      <c r="B120" s="4" t="s">
        <v>223</v>
      </c>
      <c r="C120" s="8">
        <v>44075</v>
      </c>
      <c r="D120" s="4" t="s">
        <v>174</v>
      </c>
      <c r="E120" s="14">
        <f>IF(SUMIFS('Daily NSE Equity Futures'!$I:$I,'Daily NSE Equity Futures'!$A:$A,$A120)=0,"",SUMIFS('Daily NSE Equity Futures'!$I:$I,'Daily NSE Equity Futures'!$A:$A,$A120))</f>
        <v>1722.5856000000001</v>
      </c>
      <c r="F120" s="6">
        <f>IF(SUMIFS('Daily BSE Equity Futures'!$I:$I,'Daily BSE Equity Futures'!$A:$A,$A120)=0,"",SUMIFS('Daily BSE Equity Futures'!$I:$I,'Daily BSE Equity Futures'!$A:$A,$A120))</f>
        <v>0.77639999999999998</v>
      </c>
      <c r="G120" s="6">
        <f t="shared" si="12"/>
        <v>1723.3620000000001</v>
      </c>
      <c r="H120" s="15">
        <f t="shared" si="13"/>
        <v>0.99954948525034204</v>
      </c>
      <c r="I120" s="15">
        <f t="shared" si="14"/>
        <v>4.5051474965793605E-4</v>
      </c>
      <c r="J120" s="20" t="str">
        <f t="shared" si="15"/>
        <v/>
      </c>
      <c r="K120" s="15" t="str">
        <f t="shared" si="16"/>
        <v/>
      </c>
      <c r="L120" s="15" t="str">
        <f t="shared" si="17"/>
        <v/>
      </c>
      <c r="M120" s="15">
        <f t="shared" si="21"/>
        <v>0.11597092387500019</v>
      </c>
      <c r="N120" s="15">
        <f t="shared" si="22"/>
        <v>0.60878574388727724</v>
      </c>
      <c r="O120" s="15">
        <f t="shared" si="23"/>
        <v>0.11612495460825545</v>
      </c>
      <c r="P120" s="18">
        <f>IF(SUMIFS('Daily NSE Equity Futures'!$J:$J,'Daily NSE Equity Futures'!$A:$A,$A120)=0,"",SUMIFS('Daily NSE Equity Futures'!$J:$J,'Daily NSE Equity Futures'!$A:$A,$A120))</f>
        <v>2476072</v>
      </c>
      <c r="Q120" s="7">
        <f>IF(SUMIFS('Daily BSE Equity Futures'!$J:$J,'Daily BSE Equity Futures'!$A:$A,$A120)=0,"",SUMIFS('Daily BSE Equity Futures'!$J:$J,'Daily BSE Equity Futures'!$A:$A,$A120))</f>
        <v>882</v>
      </c>
      <c r="R120" s="7">
        <f t="shared" si="18"/>
        <v>2476954</v>
      </c>
      <c r="S120" s="19">
        <f t="shared" si="19"/>
        <v>0.9996439174889804</v>
      </c>
      <c r="T120" s="19">
        <f t="shared" si="20"/>
        <v>3.560825110195829E-4</v>
      </c>
    </row>
    <row r="121" spans="1:20" x14ac:dyDescent="0.2">
      <c r="A121" s="9">
        <v>44097</v>
      </c>
      <c r="B121" s="4" t="s">
        <v>221</v>
      </c>
      <c r="C121" s="8">
        <v>44075</v>
      </c>
      <c r="D121" s="4" t="s">
        <v>174</v>
      </c>
      <c r="E121" s="14">
        <f>IF(SUMIFS('Daily NSE Equity Futures'!$I:$I,'Daily NSE Equity Futures'!$A:$A,$A121)=0,"",SUMIFS('Daily NSE Equity Futures'!$I:$I,'Daily NSE Equity Futures'!$A:$A,$A121))</f>
        <v>1558.4676999999999</v>
      </c>
      <c r="F121" s="6">
        <f>IF(SUMIFS('Daily BSE Equity Futures'!$I:$I,'Daily BSE Equity Futures'!$A:$A,$A121)=0,"",SUMIFS('Daily BSE Equity Futures'!$I:$I,'Daily BSE Equity Futures'!$A:$A,$A121))</f>
        <v>0.23899999999999999</v>
      </c>
      <c r="G121" s="6">
        <f t="shared" si="12"/>
        <v>1558.7067</v>
      </c>
      <c r="H121" s="15">
        <f t="shared" si="13"/>
        <v>0.99984666775346509</v>
      </c>
      <c r="I121" s="15">
        <f t="shared" si="14"/>
        <v>1.5333224653489973E-4</v>
      </c>
      <c r="J121" s="20" t="str">
        <f t="shared" si="15"/>
        <v/>
      </c>
      <c r="K121" s="15" t="str">
        <f t="shared" si="16"/>
        <v/>
      </c>
      <c r="L121" s="15" t="str">
        <f t="shared" si="17"/>
        <v/>
      </c>
      <c r="M121" s="15">
        <f t="shared" si="21"/>
        <v>-9.5274162282559582E-2</v>
      </c>
      <c r="N121" s="15">
        <f t="shared" si="22"/>
        <v>-0.69216898505924784</v>
      </c>
      <c r="O121" s="15">
        <f t="shared" si="23"/>
        <v>-9.5543072204214874E-2</v>
      </c>
      <c r="P121" s="18">
        <f>IF(SUMIFS('Daily NSE Equity Futures'!$J:$J,'Daily NSE Equity Futures'!$A:$A,$A121)=0,"",SUMIFS('Daily NSE Equity Futures'!$J:$J,'Daily NSE Equity Futures'!$A:$A,$A121))</f>
        <v>2264699</v>
      </c>
      <c r="Q121" s="7">
        <f>IF(SUMIFS('Daily BSE Equity Futures'!$J:$J,'Daily BSE Equity Futures'!$A:$A,$A121)=0,"",SUMIFS('Daily BSE Equity Futures'!$J:$J,'Daily BSE Equity Futures'!$A:$A,$A121))</f>
        <v>272</v>
      </c>
      <c r="R121" s="7">
        <f t="shared" si="18"/>
        <v>2264971</v>
      </c>
      <c r="S121" s="19">
        <f t="shared" si="19"/>
        <v>0.99987991016220512</v>
      </c>
      <c r="T121" s="19">
        <f t="shared" si="20"/>
        <v>1.2008983779483269E-4</v>
      </c>
    </row>
    <row r="122" spans="1:20" x14ac:dyDescent="0.2">
      <c r="A122" s="9">
        <v>44098</v>
      </c>
      <c r="B122" s="4" t="s">
        <v>224</v>
      </c>
      <c r="C122" s="8">
        <v>44075</v>
      </c>
      <c r="D122" s="4" t="s">
        <v>174</v>
      </c>
      <c r="E122" s="14">
        <f>IF(SUMIFS('Daily NSE Equity Futures'!$I:$I,'Daily NSE Equity Futures'!$A:$A,$A122)=0,"",SUMIFS('Daily NSE Equity Futures'!$I:$I,'Daily NSE Equity Futures'!$A:$A,$A122))</f>
        <v>1531.3044</v>
      </c>
      <c r="F122" s="6">
        <f>IF(SUMIFS('Daily BSE Equity Futures'!$I:$I,'Daily BSE Equity Futures'!$A:$A,$A122)=0,"",SUMIFS('Daily BSE Equity Futures'!$I:$I,'Daily BSE Equity Futures'!$A:$A,$A122))</f>
        <v>0.30059999999999998</v>
      </c>
      <c r="G122" s="6">
        <f t="shared" si="12"/>
        <v>1531.605</v>
      </c>
      <c r="H122" s="15">
        <f t="shared" si="13"/>
        <v>0.99980373529728617</v>
      </c>
      <c r="I122" s="15">
        <f t="shared" si="14"/>
        <v>1.9626470271381981E-4</v>
      </c>
      <c r="J122" s="20" t="str">
        <f t="shared" si="15"/>
        <v/>
      </c>
      <c r="K122" s="15" t="str">
        <f t="shared" si="16"/>
        <v/>
      </c>
      <c r="L122" s="15" t="str">
        <f t="shared" si="17"/>
        <v/>
      </c>
      <c r="M122" s="15">
        <f t="shared" si="21"/>
        <v>-1.7429491801466246E-2</v>
      </c>
      <c r="N122" s="15">
        <f t="shared" si="22"/>
        <v>0.25774058577405845</v>
      </c>
      <c r="O122" s="15">
        <f t="shared" si="23"/>
        <v>-1.7387299355292374E-2</v>
      </c>
      <c r="P122" s="18">
        <f>IF(SUMIFS('Daily NSE Equity Futures'!$J:$J,'Daily NSE Equity Futures'!$A:$A,$A122)=0,"",SUMIFS('Daily NSE Equity Futures'!$J:$J,'Daily NSE Equity Futures'!$A:$A,$A122))</f>
        <v>2226925</v>
      </c>
      <c r="Q122" s="7">
        <f>IF(SUMIFS('Daily BSE Equity Futures'!$J:$J,'Daily BSE Equity Futures'!$A:$A,$A122)=0,"",SUMIFS('Daily BSE Equity Futures'!$J:$J,'Daily BSE Equity Futures'!$A:$A,$A122))</f>
        <v>350</v>
      </c>
      <c r="R122" s="7">
        <f t="shared" si="18"/>
        <v>2227275</v>
      </c>
      <c r="S122" s="19">
        <f t="shared" si="19"/>
        <v>0.99984285730320688</v>
      </c>
      <c r="T122" s="19">
        <f t="shared" si="20"/>
        <v>1.5714269679316655E-4</v>
      </c>
    </row>
    <row r="123" spans="1:20" x14ac:dyDescent="0.2">
      <c r="A123" s="9">
        <v>44099</v>
      </c>
      <c r="B123" s="4" t="s">
        <v>222</v>
      </c>
      <c r="C123" s="8">
        <v>44075</v>
      </c>
      <c r="D123" s="4" t="s">
        <v>174</v>
      </c>
      <c r="E123" s="14">
        <f>IF(SUMIFS('Daily NSE Equity Futures'!$I:$I,'Daily NSE Equity Futures'!$A:$A,$A123)=0,"",SUMIFS('Daily NSE Equity Futures'!$I:$I,'Daily NSE Equity Futures'!$A:$A,$A123))</f>
        <v>967.28639999999996</v>
      </c>
      <c r="F123" s="6">
        <f>IF(SUMIFS('Daily BSE Equity Futures'!$I:$I,'Daily BSE Equity Futures'!$A:$A,$A123)=0,"",SUMIFS('Daily BSE Equity Futures'!$I:$I,'Daily BSE Equity Futures'!$A:$A,$A123))</f>
        <v>0.57899999999999996</v>
      </c>
      <c r="G123" s="6">
        <f t="shared" si="12"/>
        <v>967.86539999999991</v>
      </c>
      <c r="H123" s="15">
        <f t="shared" si="13"/>
        <v>0.99940177632137694</v>
      </c>
      <c r="I123" s="15">
        <f t="shared" si="14"/>
        <v>5.9822367862308128E-4</v>
      </c>
      <c r="J123" s="20" t="str">
        <f t="shared" si="15"/>
        <v/>
      </c>
      <c r="K123" s="15" t="str">
        <f t="shared" si="16"/>
        <v/>
      </c>
      <c r="L123" s="15" t="str">
        <f t="shared" si="17"/>
        <v/>
      </c>
      <c r="M123" s="15">
        <f t="shared" si="21"/>
        <v>-0.3683252003977785</v>
      </c>
      <c r="N123" s="15">
        <f t="shared" si="22"/>
        <v>0.92614770459081841</v>
      </c>
      <c r="O123" s="15">
        <f t="shared" si="23"/>
        <v>-0.36807114105790995</v>
      </c>
      <c r="P123" s="18">
        <f>IF(SUMIFS('Daily NSE Equity Futures'!$J:$J,'Daily NSE Equity Futures'!$A:$A,$A123)=0,"",SUMIFS('Daily NSE Equity Futures'!$J:$J,'Daily NSE Equity Futures'!$A:$A,$A123))</f>
        <v>1409877</v>
      </c>
      <c r="Q123" s="7">
        <f>IF(SUMIFS('Daily BSE Equity Futures'!$J:$J,'Daily BSE Equity Futures'!$A:$A,$A123)=0,"",SUMIFS('Daily BSE Equity Futures'!$J:$J,'Daily BSE Equity Futures'!$A:$A,$A123))</f>
        <v>670</v>
      </c>
      <c r="R123" s="7">
        <f t="shared" si="18"/>
        <v>1410547</v>
      </c>
      <c r="S123" s="19">
        <f t="shared" si="19"/>
        <v>0.99952500696538293</v>
      </c>
      <c r="T123" s="19">
        <f t="shared" si="20"/>
        <v>4.7499303461706702E-4</v>
      </c>
    </row>
    <row r="124" spans="1:20" x14ac:dyDescent="0.2">
      <c r="A124" s="9">
        <v>44102</v>
      </c>
      <c r="B124" s="4" t="s">
        <v>225</v>
      </c>
      <c r="C124" s="8">
        <v>44075</v>
      </c>
      <c r="D124" s="4" t="s">
        <v>174</v>
      </c>
      <c r="E124" s="14">
        <f>IF(SUMIFS('Daily NSE Equity Futures'!$I:$I,'Daily NSE Equity Futures'!$A:$A,$A124)=0,"",SUMIFS('Daily NSE Equity Futures'!$I:$I,'Daily NSE Equity Futures'!$A:$A,$A124))</f>
        <v>841.91859999999997</v>
      </c>
      <c r="F124" s="6">
        <f>IF(SUMIFS('Daily BSE Equity Futures'!$I:$I,'Daily BSE Equity Futures'!$A:$A,$A124)=0,"",SUMIFS('Daily BSE Equity Futures'!$I:$I,'Daily BSE Equity Futures'!$A:$A,$A124))</f>
        <v>0.6704</v>
      </c>
      <c r="G124" s="6">
        <f t="shared" si="12"/>
        <v>842.58899999999994</v>
      </c>
      <c r="H124" s="15">
        <f t="shared" si="13"/>
        <v>0.99920435704714872</v>
      </c>
      <c r="I124" s="15">
        <f t="shared" si="14"/>
        <v>7.9564295285127157E-4</v>
      </c>
      <c r="J124" s="20" t="str">
        <f t="shared" si="15"/>
        <v/>
      </c>
      <c r="K124" s="15" t="str">
        <f t="shared" si="16"/>
        <v/>
      </c>
      <c r="L124" s="15" t="str">
        <f t="shared" si="17"/>
        <v/>
      </c>
      <c r="M124" s="15">
        <f t="shared" si="21"/>
        <v>-0.12960773561997774</v>
      </c>
      <c r="N124" s="15">
        <f t="shared" si="22"/>
        <v>0.15785837651122625</v>
      </c>
      <c r="O124" s="15">
        <f t="shared" si="23"/>
        <v>-0.12943576658489908</v>
      </c>
      <c r="P124" s="18">
        <f>IF(SUMIFS('Daily NSE Equity Futures'!$J:$J,'Daily NSE Equity Futures'!$A:$A,$A124)=0,"",SUMIFS('Daily NSE Equity Futures'!$J:$J,'Daily NSE Equity Futures'!$A:$A,$A124))</f>
        <v>1200694</v>
      </c>
      <c r="Q124" s="7">
        <f>IF(SUMIFS('Daily BSE Equity Futures'!$J:$J,'Daily BSE Equity Futures'!$A:$A,$A124)=0,"",SUMIFS('Daily BSE Equity Futures'!$J:$J,'Daily BSE Equity Futures'!$A:$A,$A124))</f>
        <v>761</v>
      </c>
      <c r="R124" s="7">
        <f t="shared" si="18"/>
        <v>1201455</v>
      </c>
      <c r="S124" s="19">
        <f t="shared" si="19"/>
        <v>0.99936660132922162</v>
      </c>
      <c r="T124" s="19">
        <f t="shared" si="20"/>
        <v>6.3339867077834787E-4</v>
      </c>
    </row>
    <row r="125" spans="1:20" x14ac:dyDescent="0.2">
      <c r="A125" s="9">
        <v>44103</v>
      </c>
      <c r="B125" s="4" t="s">
        <v>223</v>
      </c>
      <c r="C125" s="8">
        <v>44075</v>
      </c>
      <c r="D125" s="4" t="s">
        <v>174</v>
      </c>
      <c r="E125" s="14">
        <f>IF(SUMIFS('Daily NSE Equity Futures'!$I:$I,'Daily NSE Equity Futures'!$A:$A,$A125)=0,"",SUMIFS('Daily NSE Equity Futures'!$I:$I,'Daily NSE Equity Futures'!$A:$A,$A125))</f>
        <v>895.00829999999996</v>
      </c>
      <c r="F125" s="6">
        <f>IF(SUMIFS('Daily BSE Equity Futures'!$I:$I,'Daily BSE Equity Futures'!$A:$A,$A125)=0,"",SUMIFS('Daily BSE Equity Futures'!$I:$I,'Daily BSE Equity Futures'!$A:$A,$A125))</f>
        <v>0.21179999999999999</v>
      </c>
      <c r="G125" s="6">
        <f t="shared" si="12"/>
        <v>895.2201</v>
      </c>
      <c r="H125" s="15">
        <f t="shared" si="13"/>
        <v>0.99976341013790904</v>
      </c>
      <c r="I125" s="15">
        <f t="shared" si="14"/>
        <v>2.3658986209089809E-4</v>
      </c>
      <c r="J125" s="20" t="str">
        <f t="shared" si="15"/>
        <v/>
      </c>
      <c r="K125" s="15" t="str">
        <f t="shared" si="16"/>
        <v/>
      </c>
      <c r="L125" s="15" t="str">
        <f t="shared" si="17"/>
        <v/>
      </c>
      <c r="M125" s="15">
        <f t="shared" si="21"/>
        <v>6.3057996343114375E-2</v>
      </c>
      <c r="N125" s="15">
        <f t="shared" si="22"/>
        <v>-0.68406921241050123</v>
      </c>
      <c r="O125" s="15">
        <f t="shared" si="23"/>
        <v>6.2463549844586241E-2</v>
      </c>
      <c r="P125" s="18">
        <f>IF(SUMIFS('Daily NSE Equity Futures'!$J:$J,'Daily NSE Equity Futures'!$A:$A,$A125)=0,"",SUMIFS('Daily NSE Equity Futures'!$J:$J,'Daily NSE Equity Futures'!$A:$A,$A125))</f>
        <v>1252585</v>
      </c>
      <c r="Q125" s="7">
        <f>IF(SUMIFS('Daily BSE Equity Futures'!$J:$J,'Daily BSE Equity Futures'!$A:$A,$A125)=0,"",SUMIFS('Daily BSE Equity Futures'!$J:$J,'Daily BSE Equity Futures'!$A:$A,$A125))</f>
        <v>239</v>
      </c>
      <c r="R125" s="7">
        <f t="shared" si="18"/>
        <v>1252824</v>
      </c>
      <c r="S125" s="19">
        <f t="shared" si="19"/>
        <v>0.9998092309853579</v>
      </c>
      <c r="T125" s="19">
        <f t="shared" si="20"/>
        <v>1.9076901464212053E-4</v>
      </c>
    </row>
    <row r="126" spans="1:20" x14ac:dyDescent="0.2">
      <c r="A126" s="9">
        <v>44104</v>
      </c>
      <c r="B126" s="4" t="s">
        <v>221</v>
      </c>
      <c r="C126" s="8">
        <v>44075</v>
      </c>
      <c r="D126" s="4" t="s">
        <v>174</v>
      </c>
      <c r="E126" s="14">
        <f>IF(SUMIFS('Daily NSE Equity Futures'!$I:$I,'Daily NSE Equity Futures'!$A:$A,$A126)=0,"",SUMIFS('Daily NSE Equity Futures'!$I:$I,'Daily NSE Equity Futures'!$A:$A,$A126))</f>
        <v>836.01890000000003</v>
      </c>
      <c r="F126" s="6">
        <f>IF(SUMIFS('Daily BSE Equity Futures'!$I:$I,'Daily BSE Equity Futures'!$A:$A,$A126)=0,"",SUMIFS('Daily BSE Equity Futures'!$I:$I,'Daily BSE Equity Futures'!$A:$A,$A126))</f>
        <v>0.22239999999999999</v>
      </c>
      <c r="G126" s="6">
        <f t="shared" si="12"/>
        <v>836.24130000000002</v>
      </c>
      <c r="H126" s="15">
        <f t="shared" si="13"/>
        <v>0.99973404805526822</v>
      </c>
      <c r="I126" s="15">
        <f t="shared" si="14"/>
        <v>2.6595194473174189E-4</v>
      </c>
      <c r="J126" s="20" t="str">
        <f t="shared" si="15"/>
        <v/>
      </c>
      <c r="K126" s="15" t="str">
        <f t="shared" si="16"/>
        <v/>
      </c>
      <c r="L126" s="15" t="str">
        <f t="shared" si="17"/>
        <v/>
      </c>
      <c r="M126" s="15">
        <f t="shared" si="21"/>
        <v>-6.5909332907862384E-2</v>
      </c>
      <c r="N126" s="15">
        <f t="shared" si="22"/>
        <v>5.0047214353163394E-2</v>
      </c>
      <c r="O126" s="15">
        <f t="shared" si="23"/>
        <v>-6.5881898764337365E-2</v>
      </c>
      <c r="P126" s="18">
        <f>IF(SUMIFS('Daily NSE Equity Futures'!$J:$J,'Daily NSE Equity Futures'!$A:$A,$A126)=0,"",SUMIFS('Daily NSE Equity Futures'!$J:$J,'Daily NSE Equity Futures'!$A:$A,$A126))</f>
        <v>1192558</v>
      </c>
      <c r="Q126" s="7">
        <f>IF(SUMIFS('Daily BSE Equity Futures'!$J:$J,'Daily BSE Equity Futures'!$A:$A,$A126)=0,"",SUMIFS('Daily BSE Equity Futures'!$J:$J,'Daily BSE Equity Futures'!$A:$A,$A126))</f>
        <v>251</v>
      </c>
      <c r="R126" s="7">
        <f t="shared" si="18"/>
        <v>1192809</v>
      </c>
      <c r="S126" s="19">
        <f t="shared" si="19"/>
        <v>0.99978957234561439</v>
      </c>
      <c r="T126" s="19">
        <f t="shared" si="20"/>
        <v>2.1042765438557222E-4</v>
      </c>
    </row>
    <row r="127" spans="1:20" x14ac:dyDescent="0.2">
      <c r="A127" s="9">
        <v>44105</v>
      </c>
      <c r="B127" s="4" t="s">
        <v>224</v>
      </c>
      <c r="C127" s="8">
        <v>44105</v>
      </c>
      <c r="D127" s="4" t="s">
        <v>175</v>
      </c>
      <c r="E127" s="14">
        <f>IF(SUMIFS('Daily NSE Equity Futures'!$I:$I,'Daily NSE Equity Futures'!$A:$A,$A127)=0,"",SUMIFS('Daily NSE Equity Futures'!$I:$I,'Daily NSE Equity Futures'!$A:$A,$A127))</f>
        <v>806.18899999999996</v>
      </c>
      <c r="F127" s="6">
        <f>IF(SUMIFS('Daily BSE Equity Futures'!$I:$I,'Daily BSE Equity Futures'!$A:$A,$A127)=0,"",SUMIFS('Daily BSE Equity Futures'!$I:$I,'Daily BSE Equity Futures'!$A:$A,$A127))</f>
        <v>0.13289999999999999</v>
      </c>
      <c r="G127" s="6">
        <f t="shared" si="12"/>
        <v>806.32189999999991</v>
      </c>
      <c r="H127" s="15">
        <f t="shared" si="13"/>
        <v>0.99983517748928818</v>
      </c>
      <c r="I127" s="15">
        <f t="shared" si="14"/>
        <v>1.6482251071191296E-4</v>
      </c>
      <c r="J127" s="20" t="str">
        <f t="shared" si="15"/>
        <v/>
      </c>
      <c r="K127" s="15" t="str">
        <f t="shared" si="16"/>
        <v/>
      </c>
      <c r="L127" s="15" t="str">
        <f t="shared" si="17"/>
        <v/>
      </c>
      <c r="M127" s="15">
        <f t="shared" si="21"/>
        <v>-3.5680891903281164E-2</v>
      </c>
      <c r="N127" s="15">
        <f t="shared" si="22"/>
        <v>-0.40242805755395683</v>
      </c>
      <c r="O127" s="15">
        <f t="shared" si="23"/>
        <v>-3.5778429025210889E-2</v>
      </c>
      <c r="P127" s="18">
        <f>IF(SUMIFS('Daily NSE Equity Futures'!$J:$J,'Daily NSE Equity Futures'!$A:$A,$A127)=0,"",SUMIFS('Daily NSE Equity Futures'!$J:$J,'Daily NSE Equity Futures'!$A:$A,$A127))</f>
        <v>1176650</v>
      </c>
      <c r="Q127" s="7">
        <f>IF(SUMIFS('Daily BSE Equity Futures'!$J:$J,'Daily BSE Equity Futures'!$A:$A,$A127)=0,"",SUMIFS('Daily BSE Equity Futures'!$J:$J,'Daily BSE Equity Futures'!$A:$A,$A127))</f>
        <v>148</v>
      </c>
      <c r="R127" s="7">
        <f t="shared" si="18"/>
        <v>1176798</v>
      </c>
      <c r="S127" s="19">
        <f t="shared" si="19"/>
        <v>0.9998742350003994</v>
      </c>
      <c r="T127" s="19">
        <f t="shared" si="20"/>
        <v>1.2576499960061116E-4</v>
      </c>
    </row>
    <row r="128" spans="1:20" x14ac:dyDescent="0.2">
      <c r="A128" s="9">
        <v>44109</v>
      </c>
      <c r="B128" s="4" t="s">
        <v>225</v>
      </c>
      <c r="C128" s="8">
        <v>44105</v>
      </c>
      <c r="D128" s="4" t="s">
        <v>175</v>
      </c>
      <c r="E128" s="14">
        <f>IF(SUMIFS('Daily NSE Equity Futures'!$I:$I,'Daily NSE Equity Futures'!$A:$A,$A128)=0,"",SUMIFS('Daily NSE Equity Futures'!$I:$I,'Daily NSE Equity Futures'!$A:$A,$A128))</f>
        <v>863.39340000000004</v>
      </c>
      <c r="F128" s="6">
        <f>IF(SUMIFS('Daily BSE Equity Futures'!$I:$I,'Daily BSE Equity Futures'!$A:$A,$A128)=0,"",SUMIFS('Daily BSE Equity Futures'!$I:$I,'Daily BSE Equity Futures'!$A:$A,$A128))</f>
        <v>0.54010000000000002</v>
      </c>
      <c r="G128" s="6">
        <f t="shared" si="12"/>
        <v>863.93350000000009</v>
      </c>
      <c r="H128" s="15">
        <f t="shared" si="13"/>
        <v>0.99937483614190203</v>
      </c>
      <c r="I128" s="15">
        <f t="shared" si="14"/>
        <v>6.2516385809787442E-4</v>
      </c>
      <c r="J128" s="20" t="str">
        <f t="shared" si="15"/>
        <v/>
      </c>
      <c r="K128" s="15" t="str">
        <f t="shared" si="16"/>
        <v/>
      </c>
      <c r="L128" s="15" t="str">
        <f t="shared" si="17"/>
        <v/>
      </c>
      <c r="M128" s="15">
        <f t="shared" si="21"/>
        <v>7.0956562294945735E-2</v>
      </c>
      <c r="N128" s="15">
        <f t="shared" si="22"/>
        <v>3.0639578630549291</v>
      </c>
      <c r="O128" s="15">
        <f t="shared" si="23"/>
        <v>7.1449876283901315E-2</v>
      </c>
      <c r="P128" s="18">
        <f>IF(SUMIFS('Daily NSE Equity Futures'!$J:$J,'Daily NSE Equity Futures'!$A:$A,$A128)=0,"",SUMIFS('Daily NSE Equity Futures'!$J:$J,'Daily NSE Equity Futures'!$A:$A,$A128))</f>
        <v>1211554</v>
      </c>
      <c r="Q128" s="7">
        <f>IF(SUMIFS('Daily BSE Equity Futures'!$J:$J,'Daily BSE Equity Futures'!$A:$A,$A128)=0,"",SUMIFS('Daily BSE Equity Futures'!$J:$J,'Daily BSE Equity Futures'!$A:$A,$A128))</f>
        <v>595</v>
      </c>
      <c r="R128" s="7">
        <f t="shared" si="18"/>
        <v>1212149</v>
      </c>
      <c r="S128" s="19">
        <f t="shared" si="19"/>
        <v>0.99950913625305138</v>
      </c>
      <c r="T128" s="19">
        <f t="shared" si="20"/>
        <v>4.9086374694860119E-4</v>
      </c>
    </row>
    <row r="129" spans="1:20" x14ac:dyDescent="0.2">
      <c r="A129" s="9">
        <v>44110</v>
      </c>
      <c r="B129" s="4" t="s">
        <v>223</v>
      </c>
      <c r="C129" s="8">
        <v>44105</v>
      </c>
      <c r="D129" s="4" t="s">
        <v>175</v>
      </c>
      <c r="E129" s="14">
        <f>IF(SUMIFS('Daily NSE Equity Futures'!$I:$I,'Daily NSE Equity Futures'!$A:$A,$A129)=0,"",SUMIFS('Daily NSE Equity Futures'!$I:$I,'Daily NSE Equity Futures'!$A:$A,$A129))</f>
        <v>828.03129999999999</v>
      </c>
      <c r="F129" s="6">
        <f>IF(SUMIFS('Daily BSE Equity Futures'!$I:$I,'Daily BSE Equity Futures'!$A:$A,$A129)=0,"",SUMIFS('Daily BSE Equity Futures'!$I:$I,'Daily BSE Equity Futures'!$A:$A,$A129))</f>
        <v>0.15459999999999999</v>
      </c>
      <c r="G129" s="6">
        <f t="shared" si="12"/>
        <v>828.18589999999995</v>
      </c>
      <c r="H129" s="15">
        <f t="shared" si="13"/>
        <v>0.99981332693541392</v>
      </c>
      <c r="I129" s="15">
        <f t="shared" si="14"/>
        <v>1.866730645861032E-4</v>
      </c>
      <c r="J129" s="20" t="str">
        <f t="shared" si="15"/>
        <v/>
      </c>
      <c r="K129" s="15" t="str">
        <f t="shared" si="16"/>
        <v/>
      </c>
      <c r="L129" s="15" t="str">
        <f t="shared" si="17"/>
        <v/>
      </c>
      <c r="M129" s="15">
        <f t="shared" si="21"/>
        <v>-4.095711178704875E-2</v>
      </c>
      <c r="N129" s="15">
        <f t="shared" si="22"/>
        <v>-0.71375671172005184</v>
      </c>
      <c r="O129" s="15">
        <f t="shared" si="23"/>
        <v>-4.1377721780669674E-2</v>
      </c>
      <c r="P129" s="18">
        <f>IF(SUMIFS('Daily NSE Equity Futures'!$J:$J,'Daily NSE Equity Futures'!$A:$A,$A129)=0,"",SUMIFS('Daily NSE Equity Futures'!$J:$J,'Daily NSE Equity Futures'!$A:$A,$A129))</f>
        <v>1159583</v>
      </c>
      <c r="Q129" s="7">
        <f>IF(SUMIFS('Daily BSE Equity Futures'!$J:$J,'Daily BSE Equity Futures'!$A:$A,$A129)=0,"",SUMIFS('Daily BSE Equity Futures'!$J:$J,'Daily BSE Equity Futures'!$A:$A,$A129))</f>
        <v>169</v>
      </c>
      <c r="R129" s="7">
        <f t="shared" si="18"/>
        <v>1159752</v>
      </c>
      <c r="S129" s="19">
        <f t="shared" si="19"/>
        <v>0.99985427919072356</v>
      </c>
      <c r="T129" s="19">
        <f t="shared" si="20"/>
        <v>1.45720809276466E-4</v>
      </c>
    </row>
    <row r="130" spans="1:20" x14ac:dyDescent="0.2">
      <c r="A130" s="9">
        <v>44111</v>
      </c>
      <c r="B130" s="4" t="s">
        <v>221</v>
      </c>
      <c r="C130" s="8">
        <v>44105</v>
      </c>
      <c r="D130" s="4" t="s">
        <v>175</v>
      </c>
      <c r="E130" s="14">
        <f>IF(SUMIFS('Daily NSE Equity Futures'!$I:$I,'Daily NSE Equity Futures'!$A:$A,$A130)=0,"",SUMIFS('Daily NSE Equity Futures'!$I:$I,'Daily NSE Equity Futures'!$A:$A,$A130))</f>
        <v>881.81399999999996</v>
      </c>
      <c r="F130" s="6">
        <f>IF(SUMIFS('Daily BSE Equity Futures'!$I:$I,'Daily BSE Equity Futures'!$A:$A,$A130)=0,"",SUMIFS('Daily BSE Equity Futures'!$I:$I,'Daily BSE Equity Futures'!$A:$A,$A130))</f>
        <v>0.15509999999999999</v>
      </c>
      <c r="G130" s="6">
        <f t="shared" ref="G130:G193" si="24">IF(OR(E130="",F130=""),"",E130+F130)</f>
        <v>881.96909999999991</v>
      </c>
      <c r="H130" s="15">
        <f t="shared" ref="H130:H193" si="25">IF(G130="","",E130/G130)</f>
        <v>0.99982414349890492</v>
      </c>
      <c r="I130" s="15">
        <f t="shared" ref="I130:I193" si="26">IF(G130="","",F130/G130)</f>
        <v>1.7585650109510639E-4</v>
      </c>
      <c r="J130" s="20" t="str">
        <f t="shared" ref="J130:J193" si="27">IFERROR(IF(OR(E130="",INDEX(E:E,MATCH(DATE(YEAR($A130)-1,MONTH($A130),DAY($A130)),$A:$A,0))=""),"",E130/INDEX(E:E,MATCH(DATE(YEAR($A130)-1,MONTH($A130),DAY($A130)),$A:$A,0))-1),"")</f>
        <v/>
      </c>
      <c r="K130" s="15" t="str">
        <f t="shared" ref="K130:K193" si="28">IFERROR(IF(OR(F130="",INDEX(F:F,MATCH(DATE(YEAR($A130)-1,MONTH($A130),DAY($A130)),$A:$A,0))=""),"",F130/INDEX(F:F,MATCH(DATE(YEAR($A130)-1,MONTH($A130),DAY($A130)),$A:$A,0))-1),"")</f>
        <v/>
      </c>
      <c r="L130" s="15" t="str">
        <f t="shared" ref="L130:L193" si="29">IFERROR(IF(OR(G130="",INDEX(G:G,MATCH(DATE(YEAR($A130)-1,MONTH($A130),DAY($A130)),$A:$A,0))=""),"",G130/INDEX(G:G,MATCH(DATE(YEAR($A130)-1,MONTH($A130),DAY($A130)),$A:$A,0))-1),"")</f>
        <v/>
      </c>
      <c r="M130" s="15">
        <f t="shared" si="21"/>
        <v>6.4952496360946688E-2</v>
      </c>
      <c r="N130" s="15">
        <f t="shared" si="22"/>
        <v>3.2341526520052177E-3</v>
      </c>
      <c r="O130" s="15">
        <f t="shared" si="23"/>
        <v>6.4940975208585439E-2</v>
      </c>
      <c r="P130" s="18">
        <f>IF(SUMIFS('Daily NSE Equity Futures'!$J:$J,'Daily NSE Equity Futures'!$A:$A,$A130)=0,"",SUMIFS('Daily NSE Equity Futures'!$J:$J,'Daily NSE Equity Futures'!$A:$A,$A130))</f>
        <v>1184718</v>
      </c>
      <c r="Q130" s="7">
        <f>IF(SUMIFS('Daily BSE Equity Futures'!$J:$J,'Daily BSE Equity Futures'!$A:$A,$A130)=0,"",SUMIFS('Daily BSE Equity Futures'!$J:$J,'Daily BSE Equity Futures'!$A:$A,$A130))</f>
        <v>168</v>
      </c>
      <c r="R130" s="7">
        <f t="shared" ref="R130:R193" si="30">IF(OR(P130="",Q130=""),"",P130+Q130)</f>
        <v>1184886</v>
      </c>
      <c r="S130" s="19">
        <f t="shared" ref="S130:S193" si="31">IF(R130="","",P130/R130)</f>
        <v>0.99985821420794907</v>
      </c>
      <c r="T130" s="19">
        <f t="shared" ref="T130:T193" si="32">IF(R130="","",Q130/R130)</f>
        <v>1.4178579205088084E-4</v>
      </c>
    </row>
    <row r="131" spans="1:20" x14ac:dyDescent="0.2">
      <c r="A131" s="9">
        <v>44112</v>
      </c>
      <c r="B131" s="4" t="s">
        <v>224</v>
      </c>
      <c r="C131" s="8">
        <v>44105</v>
      </c>
      <c r="D131" s="4" t="s">
        <v>175</v>
      </c>
      <c r="E131" s="14">
        <f>IF(SUMIFS('Daily NSE Equity Futures'!$I:$I,'Daily NSE Equity Futures'!$A:$A,$A131)=0,"",SUMIFS('Daily NSE Equity Futures'!$I:$I,'Daily NSE Equity Futures'!$A:$A,$A131))</f>
        <v>969.83879999999999</v>
      </c>
      <c r="F131" s="6">
        <f>IF(SUMIFS('Daily BSE Equity Futures'!$I:$I,'Daily BSE Equity Futures'!$A:$A,$A131)=0,"",SUMIFS('Daily BSE Equity Futures'!$I:$I,'Daily BSE Equity Futures'!$A:$A,$A131))</f>
        <v>0.15310000000000001</v>
      </c>
      <c r="G131" s="6">
        <f t="shared" si="24"/>
        <v>969.99189999999999</v>
      </c>
      <c r="H131" s="15">
        <f t="shared" si="25"/>
        <v>0.99984216363043854</v>
      </c>
      <c r="I131" s="15">
        <f t="shared" si="26"/>
        <v>1.5783636956143656E-4</v>
      </c>
      <c r="J131" s="20" t="str">
        <f t="shared" si="27"/>
        <v/>
      </c>
      <c r="K131" s="15" t="str">
        <f t="shared" si="28"/>
        <v/>
      </c>
      <c r="L131" s="15" t="str">
        <f t="shared" si="29"/>
        <v/>
      </c>
      <c r="M131" s="15">
        <f t="shared" ref="M131:M194" si="33">IF(OR(E131="",E130=""),"",E131/E130-1)</f>
        <v>9.9822411528961874E-2</v>
      </c>
      <c r="N131" s="15">
        <f t="shared" ref="N131:N194" si="34">IF(OR(F131="",F130=""),"",F131/F130-1)</f>
        <v>-1.2894906511927595E-2</v>
      </c>
      <c r="O131" s="15">
        <f t="shared" ref="O131:O194" si="35">IF(OR(G131="",G130=""),"",G131/G130-1)</f>
        <v>9.9802589455798563E-2</v>
      </c>
      <c r="P131" s="18">
        <f>IF(SUMIFS('Daily NSE Equity Futures'!$J:$J,'Daily NSE Equity Futures'!$A:$A,$A131)=0,"",SUMIFS('Daily NSE Equity Futures'!$J:$J,'Daily NSE Equity Futures'!$A:$A,$A131))</f>
        <v>1263700</v>
      </c>
      <c r="Q131" s="7">
        <f>IF(SUMIFS('Daily BSE Equity Futures'!$J:$J,'Daily BSE Equity Futures'!$A:$A,$A131)=0,"",SUMIFS('Daily BSE Equity Futures'!$J:$J,'Daily BSE Equity Futures'!$A:$A,$A131))</f>
        <v>164</v>
      </c>
      <c r="R131" s="7">
        <f t="shared" si="30"/>
        <v>1263864</v>
      </c>
      <c r="S131" s="19">
        <f t="shared" si="31"/>
        <v>0.99987023920295226</v>
      </c>
      <c r="T131" s="19">
        <f t="shared" si="32"/>
        <v>1.2976079704778363E-4</v>
      </c>
    </row>
    <row r="132" spans="1:20" x14ac:dyDescent="0.2">
      <c r="A132" s="9">
        <v>44113</v>
      </c>
      <c r="B132" s="4" t="s">
        <v>222</v>
      </c>
      <c r="C132" s="8">
        <v>44105</v>
      </c>
      <c r="D132" s="4" t="s">
        <v>175</v>
      </c>
      <c r="E132" s="14">
        <f>IF(SUMIFS('Daily NSE Equity Futures'!$I:$I,'Daily NSE Equity Futures'!$A:$A,$A132)=0,"",SUMIFS('Daily NSE Equity Futures'!$I:$I,'Daily NSE Equity Futures'!$A:$A,$A132))</f>
        <v>964.54380000000003</v>
      </c>
      <c r="F132" s="6">
        <f>IF(SUMIFS('Daily BSE Equity Futures'!$I:$I,'Daily BSE Equity Futures'!$A:$A,$A132)=0,"",SUMIFS('Daily BSE Equity Futures'!$I:$I,'Daily BSE Equity Futures'!$A:$A,$A132))</f>
        <v>0.23860000000000001</v>
      </c>
      <c r="G132" s="6">
        <f t="shared" si="24"/>
        <v>964.78240000000005</v>
      </c>
      <c r="H132" s="15">
        <f t="shared" si="25"/>
        <v>0.99975269034758507</v>
      </c>
      <c r="I132" s="15">
        <f t="shared" si="26"/>
        <v>2.4730965241488652E-4</v>
      </c>
      <c r="J132" s="20" t="str">
        <f t="shared" si="27"/>
        <v/>
      </c>
      <c r="K132" s="15" t="str">
        <f t="shared" si="28"/>
        <v/>
      </c>
      <c r="L132" s="15" t="str">
        <f t="shared" si="29"/>
        <v/>
      </c>
      <c r="M132" s="15">
        <f t="shared" si="33"/>
        <v>-5.4596702049866108E-3</v>
      </c>
      <c r="N132" s="15">
        <f t="shared" si="34"/>
        <v>0.558458523840627</v>
      </c>
      <c r="O132" s="15">
        <f t="shared" si="35"/>
        <v>-5.3706634045087576E-3</v>
      </c>
      <c r="P132" s="18">
        <f>IF(SUMIFS('Daily NSE Equity Futures'!$J:$J,'Daily NSE Equity Futures'!$A:$A,$A132)=0,"",SUMIFS('Daily NSE Equity Futures'!$J:$J,'Daily NSE Equity Futures'!$A:$A,$A132))</f>
        <v>1355670</v>
      </c>
      <c r="Q132" s="7">
        <f>IF(SUMIFS('Daily BSE Equity Futures'!$J:$J,'Daily BSE Equity Futures'!$A:$A,$A132)=0,"",SUMIFS('Daily BSE Equity Futures'!$J:$J,'Daily BSE Equity Futures'!$A:$A,$A132))</f>
        <v>255</v>
      </c>
      <c r="R132" s="7">
        <f t="shared" si="30"/>
        <v>1355925</v>
      </c>
      <c r="S132" s="19">
        <f t="shared" si="31"/>
        <v>0.99981193650091271</v>
      </c>
      <c r="T132" s="19">
        <f t="shared" si="32"/>
        <v>1.880634990873389E-4</v>
      </c>
    </row>
    <row r="133" spans="1:20" x14ac:dyDescent="0.2">
      <c r="A133" s="9">
        <v>44116</v>
      </c>
      <c r="B133" s="4" t="s">
        <v>225</v>
      </c>
      <c r="C133" s="8">
        <v>44105</v>
      </c>
      <c r="D133" s="4" t="s">
        <v>175</v>
      </c>
      <c r="E133" s="14">
        <f>IF(SUMIFS('Daily NSE Equity Futures'!$I:$I,'Daily NSE Equity Futures'!$A:$A,$A133)=0,"",SUMIFS('Daily NSE Equity Futures'!$I:$I,'Daily NSE Equity Futures'!$A:$A,$A133))</f>
        <v>787.05039999999997</v>
      </c>
      <c r="F133" s="6">
        <f>IF(SUMIFS('Daily BSE Equity Futures'!$I:$I,'Daily BSE Equity Futures'!$A:$A,$A133)=0,"",SUMIFS('Daily BSE Equity Futures'!$I:$I,'Daily BSE Equity Futures'!$A:$A,$A133))</f>
        <v>0.40139999999999998</v>
      </c>
      <c r="G133" s="6">
        <f t="shared" si="24"/>
        <v>787.45179999999993</v>
      </c>
      <c r="H133" s="15">
        <f t="shared" si="25"/>
        <v>0.99949025451462559</v>
      </c>
      <c r="I133" s="15">
        <f t="shared" si="26"/>
        <v>5.0974548537446992E-4</v>
      </c>
      <c r="J133" s="20" t="str">
        <f t="shared" si="27"/>
        <v/>
      </c>
      <c r="K133" s="15" t="str">
        <f t="shared" si="28"/>
        <v/>
      </c>
      <c r="L133" s="15" t="str">
        <f t="shared" si="29"/>
        <v/>
      </c>
      <c r="M133" s="15">
        <f t="shared" si="33"/>
        <v>-0.18401797824007582</v>
      </c>
      <c r="N133" s="15">
        <f t="shared" si="34"/>
        <v>0.68231349538977359</v>
      </c>
      <c r="O133" s="15">
        <f t="shared" si="35"/>
        <v>-0.18380372610445639</v>
      </c>
      <c r="P133" s="18">
        <f>IF(SUMIFS('Daily NSE Equity Futures'!$J:$J,'Daily NSE Equity Futures'!$A:$A,$A133)=0,"",SUMIFS('Daily NSE Equity Futures'!$J:$J,'Daily NSE Equity Futures'!$A:$A,$A133))</f>
        <v>1078607</v>
      </c>
      <c r="Q133" s="7">
        <f>IF(SUMIFS('Daily BSE Equity Futures'!$J:$J,'Daily BSE Equity Futures'!$A:$A,$A133)=0,"",SUMIFS('Daily BSE Equity Futures'!$J:$J,'Daily BSE Equity Futures'!$A:$A,$A133))</f>
        <v>428</v>
      </c>
      <c r="R133" s="7">
        <f t="shared" si="30"/>
        <v>1079035</v>
      </c>
      <c r="S133" s="19">
        <f t="shared" si="31"/>
        <v>0.99960334928894801</v>
      </c>
      <c r="T133" s="19">
        <f t="shared" si="32"/>
        <v>3.9665071105200478E-4</v>
      </c>
    </row>
    <row r="134" spans="1:20" x14ac:dyDescent="0.2">
      <c r="A134" s="9">
        <v>44117</v>
      </c>
      <c r="B134" s="4" t="s">
        <v>223</v>
      </c>
      <c r="C134" s="8">
        <v>44105</v>
      </c>
      <c r="D134" s="4" t="s">
        <v>175</v>
      </c>
      <c r="E134" s="14">
        <f>IF(SUMIFS('Daily NSE Equity Futures'!$I:$I,'Daily NSE Equity Futures'!$A:$A,$A134)=0,"",SUMIFS('Daily NSE Equity Futures'!$I:$I,'Daily NSE Equity Futures'!$A:$A,$A134))</f>
        <v>805.41920000000005</v>
      </c>
      <c r="F134" s="6">
        <f>IF(SUMIFS('Daily BSE Equity Futures'!$I:$I,'Daily BSE Equity Futures'!$A:$A,$A134)=0,"",SUMIFS('Daily BSE Equity Futures'!$I:$I,'Daily BSE Equity Futures'!$A:$A,$A134))</f>
        <v>0.16539999999999999</v>
      </c>
      <c r="G134" s="6">
        <f t="shared" si="24"/>
        <v>805.58460000000002</v>
      </c>
      <c r="H134" s="15">
        <f t="shared" si="25"/>
        <v>0.99979468326479926</v>
      </c>
      <c r="I134" s="15">
        <f t="shared" si="26"/>
        <v>2.0531673520074738E-4</v>
      </c>
      <c r="J134" s="20" t="str">
        <f t="shared" si="27"/>
        <v/>
      </c>
      <c r="K134" s="15" t="str">
        <f t="shared" si="28"/>
        <v/>
      </c>
      <c r="L134" s="15" t="str">
        <f t="shared" si="29"/>
        <v/>
      </c>
      <c r="M134" s="15">
        <f t="shared" si="33"/>
        <v>2.3338784911360211E-2</v>
      </c>
      <c r="N134" s="15">
        <f t="shared" si="34"/>
        <v>-0.58794220229197802</v>
      </c>
      <c r="O134" s="15">
        <f t="shared" si="35"/>
        <v>2.3027187187838249E-2</v>
      </c>
      <c r="P134" s="18">
        <f>IF(SUMIFS('Daily NSE Equity Futures'!$J:$J,'Daily NSE Equity Futures'!$A:$A,$A134)=0,"",SUMIFS('Daily NSE Equity Futures'!$J:$J,'Daily NSE Equity Futures'!$A:$A,$A134))</f>
        <v>1049730</v>
      </c>
      <c r="Q134" s="7">
        <f>IF(SUMIFS('Daily BSE Equity Futures'!$J:$J,'Daily BSE Equity Futures'!$A:$A,$A134)=0,"",SUMIFS('Daily BSE Equity Futures'!$J:$J,'Daily BSE Equity Futures'!$A:$A,$A134))</f>
        <v>176</v>
      </c>
      <c r="R134" s="7">
        <f t="shared" si="30"/>
        <v>1049906</v>
      </c>
      <c r="S134" s="19">
        <f t="shared" si="31"/>
        <v>0.9998323659451418</v>
      </c>
      <c r="T134" s="19">
        <f t="shared" si="32"/>
        <v>1.6763405485824444E-4</v>
      </c>
    </row>
    <row r="135" spans="1:20" x14ac:dyDescent="0.2">
      <c r="A135" s="9">
        <v>44118</v>
      </c>
      <c r="B135" s="4" t="s">
        <v>221</v>
      </c>
      <c r="C135" s="8">
        <v>44105</v>
      </c>
      <c r="D135" s="4" t="s">
        <v>175</v>
      </c>
      <c r="E135" s="14">
        <f>IF(SUMIFS('Daily NSE Equity Futures'!$I:$I,'Daily NSE Equity Futures'!$A:$A,$A135)=0,"",SUMIFS('Daily NSE Equity Futures'!$I:$I,'Daily NSE Equity Futures'!$A:$A,$A135))</f>
        <v>868.83759999999995</v>
      </c>
      <c r="F135" s="6">
        <f>IF(SUMIFS('Daily BSE Equity Futures'!$I:$I,'Daily BSE Equity Futures'!$A:$A,$A135)=0,"",SUMIFS('Daily BSE Equity Futures'!$I:$I,'Daily BSE Equity Futures'!$A:$A,$A135))</f>
        <v>0.2122</v>
      </c>
      <c r="G135" s="6">
        <f t="shared" si="24"/>
        <v>869.0498</v>
      </c>
      <c r="H135" s="15">
        <f t="shared" si="25"/>
        <v>0.99975582527031237</v>
      </c>
      <c r="I135" s="15">
        <f t="shared" si="26"/>
        <v>2.4417472968752768E-4</v>
      </c>
      <c r="J135" s="20" t="str">
        <f t="shared" si="27"/>
        <v/>
      </c>
      <c r="K135" s="15" t="str">
        <f t="shared" si="28"/>
        <v/>
      </c>
      <c r="L135" s="15" t="str">
        <f t="shared" si="29"/>
        <v/>
      </c>
      <c r="M135" s="15">
        <f t="shared" si="33"/>
        <v>7.8739617828827324E-2</v>
      </c>
      <c r="N135" s="15">
        <f t="shared" si="34"/>
        <v>0.28295042321644504</v>
      </c>
      <c r="O135" s="15">
        <f t="shared" si="35"/>
        <v>7.8781545724682323E-2</v>
      </c>
      <c r="P135" s="18">
        <f>IF(SUMIFS('Daily NSE Equity Futures'!$J:$J,'Daily NSE Equity Futures'!$A:$A,$A135)=0,"",SUMIFS('Daily NSE Equity Futures'!$J:$J,'Daily NSE Equity Futures'!$A:$A,$A135))</f>
        <v>1168373</v>
      </c>
      <c r="Q135" s="7">
        <f>IF(SUMIFS('Daily BSE Equity Futures'!$J:$J,'Daily BSE Equity Futures'!$A:$A,$A135)=0,"",SUMIFS('Daily BSE Equity Futures'!$J:$J,'Daily BSE Equity Futures'!$A:$A,$A135))</f>
        <v>227</v>
      </c>
      <c r="R135" s="7">
        <f t="shared" si="30"/>
        <v>1168600</v>
      </c>
      <c r="S135" s="19">
        <f t="shared" si="31"/>
        <v>0.99980575047064868</v>
      </c>
      <c r="T135" s="19">
        <f t="shared" si="32"/>
        <v>1.9424952935136061E-4</v>
      </c>
    </row>
    <row r="136" spans="1:20" x14ac:dyDescent="0.2">
      <c r="A136" s="9">
        <v>44119</v>
      </c>
      <c r="B136" s="4" t="s">
        <v>224</v>
      </c>
      <c r="C136" s="8">
        <v>44105</v>
      </c>
      <c r="D136" s="4" t="s">
        <v>175</v>
      </c>
      <c r="E136" s="14">
        <f>IF(SUMIFS('Daily NSE Equity Futures'!$I:$I,'Daily NSE Equity Futures'!$A:$A,$A136)=0,"",SUMIFS('Daily NSE Equity Futures'!$I:$I,'Daily NSE Equity Futures'!$A:$A,$A136))</f>
        <v>1052.5075999999999</v>
      </c>
      <c r="F136" s="6">
        <f>IF(SUMIFS('Daily BSE Equity Futures'!$I:$I,'Daily BSE Equity Futures'!$A:$A,$A136)=0,"",SUMIFS('Daily BSE Equity Futures'!$I:$I,'Daily BSE Equity Futures'!$A:$A,$A136))</f>
        <v>0.2394</v>
      </c>
      <c r="G136" s="6">
        <f t="shared" si="24"/>
        <v>1052.7469999999998</v>
      </c>
      <c r="H136" s="15">
        <f t="shared" si="25"/>
        <v>0.9997725949349654</v>
      </c>
      <c r="I136" s="15">
        <f t="shared" si="26"/>
        <v>2.2740506503461899E-4</v>
      </c>
      <c r="J136" s="20" t="str">
        <f t="shared" si="27"/>
        <v/>
      </c>
      <c r="K136" s="15" t="str">
        <f t="shared" si="28"/>
        <v/>
      </c>
      <c r="L136" s="15" t="str">
        <f t="shared" si="29"/>
        <v/>
      </c>
      <c r="M136" s="15">
        <f t="shared" si="33"/>
        <v>0.21139738887911852</v>
      </c>
      <c r="N136" s="15">
        <f t="shared" si="34"/>
        <v>0.12818096135721024</v>
      </c>
      <c r="O136" s="15">
        <f t="shared" si="35"/>
        <v>0.21137706953042268</v>
      </c>
      <c r="P136" s="18">
        <f>IF(SUMIFS('Daily NSE Equity Futures'!$J:$J,'Daily NSE Equity Futures'!$A:$A,$A136)=0,"",SUMIFS('Daily NSE Equity Futures'!$J:$J,'Daily NSE Equity Futures'!$A:$A,$A136))</f>
        <v>1404215</v>
      </c>
      <c r="Q136" s="7">
        <f>IF(SUMIFS('Daily BSE Equity Futures'!$J:$J,'Daily BSE Equity Futures'!$A:$A,$A136)=0,"",SUMIFS('Daily BSE Equity Futures'!$J:$J,'Daily BSE Equity Futures'!$A:$A,$A136))</f>
        <v>257</v>
      </c>
      <c r="R136" s="7">
        <f t="shared" si="30"/>
        <v>1404472</v>
      </c>
      <c r="S136" s="19">
        <f t="shared" si="31"/>
        <v>0.99981701308392046</v>
      </c>
      <c r="T136" s="19">
        <f t="shared" si="32"/>
        <v>1.8298691607949465E-4</v>
      </c>
    </row>
    <row r="137" spans="1:20" x14ac:dyDescent="0.2">
      <c r="A137" s="9">
        <v>44120</v>
      </c>
      <c r="B137" s="4" t="s">
        <v>222</v>
      </c>
      <c r="C137" s="8">
        <v>44105</v>
      </c>
      <c r="D137" s="4" t="s">
        <v>175</v>
      </c>
      <c r="E137" s="14">
        <f>IF(SUMIFS('Daily NSE Equity Futures'!$I:$I,'Daily NSE Equity Futures'!$A:$A,$A137)=0,"",SUMIFS('Daily NSE Equity Futures'!$I:$I,'Daily NSE Equity Futures'!$A:$A,$A137))</f>
        <v>886.46579999999994</v>
      </c>
      <c r="F137" s="6">
        <f>IF(SUMIFS('Daily BSE Equity Futures'!$I:$I,'Daily BSE Equity Futures'!$A:$A,$A137)=0,"",SUMIFS('Daily BSE Equity Futures'!$I:$I,'Daily BSE Equity Futures'!$A:$A,$A137))</f>
        <v>0.37969999999999998</v>
      </c>
      <c r="G137" s="6">
        <f t="shared" si="24"/>
        <v>886.8454999999999</v>
      </c>
      <c r="H137" s="15">
        <f t="shared" si="25"/>
        <v>0.99957185327094744</v>
      </c>
      <c r="I137" s="15">
        <f t="shared" si="26"/>
        <v>4.281467290525802E-4</v>
      </c>
      <c r="J137" s="20" t="str">
        <f t="shared" si="27"/>
        <v/>
      </c>
      <c r="K137" s="15" t="str">
        <f t="shared" si="28"/>
        <v/>
      </c>
      <c r="L137" s="15" t="str">
        <f t="shared" si="29"/>
        <v/>
      </c>
      <c r="M137" s="15">
        <f t="shared" si="33"/>
        <v>-0.15775829077148706</v>
      </c>
      <c r="N137" s="15">
        <f t="shared" si="34"/>
        <v>0.58604845446950704</v>
      </c>
      <c r="O137" s="15">
        <f t="shared" si="35"/>
        <v>-0.15758914535021229</v>
      </c>
      <c r="P137" s="18">
        <f>IF(SUMIFS('Daily NSE Equity Futures'!$J:$J,'Daily NSE Equity Futures'!$A:$A,$A137)=0,"",SUMIFS('Daily NSE Equity Futures'!$J:$J,'Daily NSE Equity Futures'!$A:$A,$A137))</f>
        <v>1198010</v>
      </c>
      <c r="Q137" s="7">
        <f>IF(SUMIFS('Daily BSE Equity Futures'!$J:$J,'Daily BSE Equity Futures'!$A:$A,$A137)=0,"",SUMIFS('Daily BSE Equity Futures'!$J:$J,'Daily BSE Equity Futures'!$A:$A,$A137))</f>
        <v>411</v>
      </c>
      <c r="R137" s="7">
        <f t="shared" si="30"/>
        <v>1198421</v>
      </c>
      <c r="S137" s="19">
        <f t="shared" si="31"/>
        <v>0.99965704873329153</v>
      </c>
      <c r="T137" s="19">
        <f t="shared" si="32"/>
        <v>3.4295126670844388E-4</v>
      </c>
    </row>
    <row r="138" spans="1:20" x14ac:dyDescent="0.2">
      <c r="A138" s="9">
        <v>44123</v>
      </c>
      <c r="B138" s="4" t="s">
        <v>225</v>
      </c>
      <c r="C138" s="8">
        <v>44105</v>
      </c>
      <c r="D138" s="4" t="s">
        <v>175</v>
      </c>
      <c r="E138" s="14">
        <f>IF(SUMIFS('Daily NSE Equity Futures'!$I:$I,'Daily NSE Equity Futures'!$A:$A,$A138)=0,"",SUMIFS('Daily NSE Equity Futures'!$I:$I,'Daily NSE Equity Futures'!$A:$A,$A138))</f>
        <v>864.5874</v>
      </c>
      <c r="F138" s="6">
        <f>IF(SUMIFS('Daily BSE Equity Futures'!$I:$I,'Daily BSE Equity Futures'!$A:$A,$A138)=0,"",SUMIFS('Daily BSE Equity Futures'!$I:$I,'Daily BSE Equity Futures'!$A:$A,$A138))</f>
        <v>0.41749999999999998</v>
      </c>
      <c r="G138" s="6">
        <f t="shared" si="24"/>
        <v>865.00490000000002</v>
      </c>
      <c r="H138" s="15">
        <f t="shared" si="25"/>
        <v>0.99951734377458434</v>
      </c>
      <c r="I138" s="15">
        <f t="shared" si="26"/>
        <v>4.8265622541560164E-4</v>
      </c>
      <c r="J138" s="20" t="str">
        <f t="shared" si="27"/>
        <v/>
      </c>
      <c r="K138" s="15" t="str">
        <f t="shared" si="28"/>
        <v/>
      </c>
      <c r="L138" s="15" t="str">
        <f t="shared" si="29"/>
        <v/>
      </c>
      <c r="M138" s="15">
        <f t="shared" si="33"/>
        <v>-2.4680478367016478E-2</v>
      </c>
      <c r="N138" s="15">
        <f t="shared" si="34"/>
        <v>9.9552278114300785E-2</v>
      </c>
      <c r="O138" s="15">
        <f t="shared" si="35"/>
        <v>-2.4627288518687784E-2</v>
      </c>
      <c r="P138" s="18">
        <f>IF(SUMIFS('Daily NSE Equity Futures'!$J:$J,'Daily NSE Equity Futures'!$A:$A,$A138)=0,"",SUMIFS('Daily NSE Equity Futures'!$J:$J,'Daily NSE Equity Futures'!$A:$A,$A138))</f>
        <v>1201832</v>
      </c>
      <c r="Q138" s="7">
        <f>IF(SUMIFS('Daily BSE Equity Futures'!$J:$J,'Daily BSE Equity Futures'!$A:$A,$A138)=0,"",SUMIFS('Daily BSE Equity Futures'!$J:$J,'Daily BSE Equity Futures'!$A:$A,$A138))</f>
        <v>448</v>
      </c>
      <c r="R138" s="7">
        <f t="shared" si="30"/>
        <v>1202280</v>
      </c>
      <c r="S138" s="19">
        <f t="shared" si="31"/>
        <v>0.99962737465482254</v>
      </c>
      <c r="T138" s="19">
        <f t="shared" si="32"/>
        <v>3.7262534517749609E-4</v>
      </c>
    </row>
    <row r="139" spans="1:20" x14ac:dyDescent="0.2">
      <c r="A139" s="9">
        <v>44124</v>
      </c>
      <c r="B139" s="4" t="s">
        <v>223</v>
      </c>
      <c r="C139" s="8">
        <v>44105</v>
      </c>
      <c r="D139" s="4" t="s">
        <v>175</v>
      </c>
      <c r="E139" s="14">
        <f>IF(SUMIFS('Daily NSE Equity Futures'!$I:$I,'Daily NSE Equity Futures'!$A:$A,$A139)=0,"",SUMIFS('Daily NSE Equity Futures'!$I:$I,'Daily NSE Equity Futures'!$A:$A,$A139))</f>
        <v>794.68209999999999</v>
      </c>
      <c r="F139" s="6">
        <f>IF(SUMIFS('Daily BSE Equity Futures'!$I:$I,'Daily BSE Equity Futures'!$A:$A,$A139)=0,"",SUMIFS('Daily BSE Equity Futures'!$I:$I,'Daily BSE Equity Futures'!$A:$A,$A139))</f>
        <v>0.34620000000000001</v>
      </c>
      <c r="G139" s="6">
        <f t="shared" si="24"/>
        <v>795.02829999999994</v>
      </c>
      <c r="H139" s="15">
        <f t="shared" si="25"/>
        <v>0.99956454380303195</v>
      </c>
      <c r="I139" s="15">
        <f t="shared" si="26"/>
        <v>4.3545619696808282E-4</v>
      </c>
      <c r="J139" s="20" t="str">
        <f t="shared" si="27"/>
        <v/>
      </c>
      <c r="K139" s="15" t="str">
        <f t="shared" si="28"/>
        <v/>
      </c>
      <c r="L139" s="15" t="str">
        <f t="shared" si="29"/>
        <v/>
      </c>
      <c r="M139" s="15">
        <f t="shared" si="33"/>
        <v>-8.0853942585792926E-2</v>
      </c>
      <c r="N139" s="15">
        <f t="shared" si="34"/>
        <v>-0.17077844311377244</v>
      </c>
      <c r="O139" s="15">
        <f t="shared" si="35"/>
        <v>-8.0897345205790283E-2</v>
      </c>
      <c r="P139" s="18">
        <f>IF(SUMIFS('Daily NSE Equity Futures'!$J:$J,'Daily NSE Equity Futures'!$A:$A,$A139)=0,"",SUMIFS('Daily NSE Equity Futures'!$J:$J,'Daily NSE Equity Futures'!$A:$A,$A139))</f>
        <v>1085602</v>
      </c>
      <c r="Q139" s="7">
        <f>IF(SUMIFS('Daily BSE Equity Futures'!$J:$J,'Daily BSE Equity Futures'!$A:$A,$A139)=0,"",SUMIFS('Daily BSE Equity Futures'!$J:$J,'Daily BSE Equity Futures'!$A:$A,$A139))</f>
        <v>370</v>
      </c>
      <c r="R139" s="7">
        <f t="shared" si="30"/>
        <v>1085972</v>
      </c>
      <c r="S139" s="19">
        <f t="shared" si="31"/>
        <v>0.99965929139977827</v>
      </c>
      <c r="T139" s="19">
        <f t="shared" si="32"/>
        <v>3.4070860022173685E-4</v>
      </c>
    </row>
    <row r="140" spans="1:20" x14ac:dyDescent="0.2">
      <c r="A140" s="9">
        <v>44125</v>
      </c>
      <c r="B140" s="4" t="s">
        <v>221</v>
      </c>
      <c r="C140" s="8">
        <v>44105</v>
      </c>
      <c r="D140" s="4" t="s">
        <v>175</v>
      </c>
      <c r="E140" s="14">
        <f>IF(SUMIFS('Daily NSE Equity Futures'!$I:$I,'Daily NSE Equity Futures'!$A:$A,$A140)=0,"",SUMIFS('Daily NSE Equity Futures'!$I:$I,'Daily NSE Equity Futures'!$A:$A,$A140))</f>
        <v>1170.3951</v>
      </c>
      <c r="F140" s="6">
        <f>IF(SUMIFS('Daily BSE Equity Futures'!$I:$I,'Daily BSE Equity Futures'!$A:$A,$A140)=0,"",SUMIFS('Daily BSE Equity Futures'!$I:$I,'Daily BSE Equity Futures'!$A:$A,$A140))</f>
        <v>0.57410000000000005</v>
      </c>
      <c r="G140" s="6">
        <f t="shared" si="24"/>
        <v>1170.9692</v>
      </c>
      <c r="H140" s="15">
        <f t="shared" si="25"/>
        <v>0.99950972237356883</v>
      </c>
      <c r="I140" s="15">
        <f t="shared" si="26"/>
        <v>4.9027762643116498E-4</v>
      </c>
      <c r="J140" s="20" t="str">
        <f t="shared" si="27"/>
        <v/>
      </c>
      <c r="K140" s="15" t="str">
        <f t="shared" si="28"/>
        <v/>
      </c>
      <c r="L140" s="15" t="str">
        <f t="shared" si="29"/>
        <v/>
      </c>
      <c r="M140" s="15">
        <f t="shared" si="33"/>
        <v>0.47278402269284792</v>
      </c>
      <c r="N140" s="15">
        <f t="shared" si="34"/>
        <v>0.65829000577700758</v>
      </c>
      <c r="O140" s="15">
        <f t="shared" si="35"/>
        <v>0.47286480242275664</v>
      </c>
      <c r="P140" s="18">
        <f>IF(SUMIFS('Daily NSE Equity Futures'!$J:$J,'Daily NSE Equity Futures'!$A:$A,$A140)=0,"",SUMIFS('Daily NSE Equity Futures'!$J:$J,'Daily NSE Equity Futures'!$A:$A,$A140))</f>
        <v>1600429</v>
      </c>
      <c r="Q140" s="7">
        <f>IF(SUMIFS('Daily BSE Equity Futures'!$J:$J,'Daily BSE Equity Futures'!$A:$A,$A140)=0,"",SUMIFS('Daily BSE Equity Futures'!$J:$J,'Daily BSE Equity Futures'!$A:$A,$A140))</f>
        <v>614</v>
      </c>
      <c r="R140" s="7">
        <f t="shared" si="30"/>
        <v>1601043</v>
      </c>
      <c r="S140" s="19">
        <f t="shared" si="31"/>
        <v>0.99961649999406632</v>
      </c>
      <c r="T140" s="19">
        <f t="shared" si="32"/>
        <v>3.83500005933632E-4</v>
      </c>
    </row>
    <row r="141" spans="1:20" x14ac:dyDescent="0.2">
      <c r="A141" s="9">
        <v>44126</v>
      </c>
      <c r="B141" s="4" t="s">
        <v>224</v>
      </c>
      <c r="C141" s="8">
        <v>44105</v>
      </c>
      <c r="D141" s="4" t="s">
        <v>175</v>
      </c>
      <c r="E141" s="14">
        <f>IF(SUMIFS('Daily NSE Equity Futures'!$I:$I,'Daily NSE Equity Futures'!$A:$A,$A141)=0,"",SUMIFS('Daily NSE Equity Futures'!$I:$I,'Daily NSE Equity Futures'!$A:$A,$A141))</f>
        <v>1002.3436</v>
      </c>
      <c r="F141" s="6">
        <f>IF(SUMIFS('Daily BSE Equity Futures'!$I:$I,'Daily BSE Equity Futures'!$A:$A,$A141)=0,"",SUMIFS('Daily BSE Equity Futures'!$I:$I,'Daily BSE Equity Futures'!$A:$A,$A141))</f>
        <v>0.68959999999999999</v>
      </c>
      <c r="G141" s="6">
        <f t="shared" si="24"/>
        <v>1003.0332000000001</v>
      </c>
      <c r="H141" s="15">
        <f t="shared" si="25"/>
        <v>0.99931248536937756</v>
      </c>
      <c r="I141" s="15">
        <f t="shared" si="26"/>
        <v>6.8751463062239606E-4</v>
      </c>
      <c r="J141" s="20" t="str">
        <f t="shared" si="27"/>
        <v/>
      </c>
      <c r="K141" s="15" t="str">
        <f t="shared" si="28"/>
        <v/>
      </c>
      <c r="L141" s="15" t="str">
        <f t="shared" si="29"/>
        <v/>
      </c>
      <c r="M141" s="15">
        <f t="shared" si="33"/>
        <v>-0.14358527304155655</v>
      </c>
      <c r="N141" s="15">
        <f t="shared" si="34"/>
        <v>0.20118446263717105</v>
      </c>
      <c r="O141" s="15">
        <f t="shared" si="35"/>
        <v>-0.14341624015388277</v>
      </c>
      <c r="P141" s="18">
        <f>IF(SUMIFS('Daily NSE Equity Futures'!$J:$J,'Daily NSE Equity Futures'!$A:$A,$A141)=0,"",SUMIFS('Daily NSE Equity Futures'!$J:$J,'Daily NSE Equity Futures'!$A:$A,$A141))</f>
        <v>1349579</v>
      </c>
      <c r="Q141" s="7">
        <f>IF(SUMIFS('Daily BSE Equity Futures'!$J:$J,'Daily BSE Equity Futures'!$A:$A,$A141)=0,"",SUMIFS('Daily BSE Equity Futures'!$J:$J,'Daily BSE Equity Futures'!$A:$A,$A141))</f>
        <v>738</v>
      </c>
      <c r="R141" s="7">
        <f t="shared" si="30"/>
        <v>1350317</v>
      </c>
      <c r="S141" s="19">
        <f t="shared" si="31"/>
        <v>0.99945346166863036</v>
      </c>
      <c r="T141" s="19">
        <f t="shared" si="32"/>
        <v>5.4653833136959697E-4</v>
      </c>
    </row>
    <row r="142" spans="1:20" x14ac:dyDescent="0.2">
      <c r="A142" s="9">
        <v>44127</v>
      </c>
      <c r="B142" s="4" t="s">
        <v>222</v>
      </c>
      <c r="C142" s="8">
        <v>44105</v>
      </c>
      <c r="D142" s="4" t="s">
        <v>175</v>
      </c>
      <c r="E142" s="14">
        <f>IF(SUMIFS('Daily NSE Equity Futures'!$I:$I,'Daily NSE Equity Futures'!$A:$A,$A142)=0,"",SUMIFS('Daily NSE Equity Futures'!$I:$I,'Daily NSE Equity Futures'!$A:$A,$A142))</f>
        <v>1021.0502</v>
      </c>
      <c r="F142" s="6">
        <f>IF(SUMIFS('Daily BSE Equity Futures'!$I:$I,'Daily BSE Equity Futures'!$A:$A,$A142)=0,"",SUMIFS('Daily BSE Equity Futures'!$I:$I,'Daily BSE Equity Futures'!$A:$A,$A142))</f>
        <v>0.39550000000000002</v>
      </c>
      <c r="G142" s="6">
        <f t="shared" si="24"/>
        <v>1021.4457</v>
      </c>
      <c r="H142" s="15">
        <f t="shared" si="25"/>
        <v>0.99961280369578143</v>
      </c>
      <c r="I142" s="15">
        <f t="shared" si="26"/>
        <v>3.871963042186188E-4</v>
      </c>
      <c r="J142" s="20" t="str">
        <f t="shared" si="27"/>
        <v/>
      </c>
      <c r="K142" s="15" t="str">
        <f t="shared" si="28"/>
        <v/>
      </c>
      <c r="L142" s="15" t="str">
        <f t="shared" si="29"/>
        <v/>
      </c>
      <c r="M142" s="15">
        <f t="shared" si="33"/>
        <v>1.8662861717279267E-2</v>
      </c>
      <c r="N142" s="15">
        <f t="shared" si="34"/>
        <v>-0.42647911832946628</v>
      </c>
      <c r="O142" s="15">
        <f t="shared" si="35"/>
        <v>1.8356820093292869E-2</v>
      </c>
      <c r="P142" s="18">
        <f>IF(SUMIFS('Daily NSE Equity Futures'!$J:$J,'Daily NSE Equity Futures'!$A:$A,$A142)=0,"",SUMIFS('Daily NSE Equity Futures'!$J:$J,'Daily NSE Equity Futures'!$A:$A,$A142))</f>
        <v>1396749</v>
      </c>
      <c r="Q142" s="7">
        <f>IF(SUMIFS('Daily BSE Equity Futures'!$J:$J,'Daily BSE Equity Futures'!$A:$A,$A142)=0,"",SUMIFS('Daily BSE Equity Futures'!$J:$J,'Daily BSE Equity Futures'!$A:$A,$A142))</f>
        <v>421</v>
      </c>
      <c r="R142" s="7">
        <f t="shared" si="30"/>
        <v>1397170</v>
      </c>
      <c r="S142" s="19">
        <f t="shared" si="31"/>
        <v>0.9996986766105771</v>
      </c>
      <c r="T142" s="19">
        <f t="shared" si="32"/>
        <v>3.0132338942290488E-4</v>
      </c>
    </row>
    <row r="143" spans="1:20" x14ac:dyDescent="0.2">
      <c r="A143" s="9">
        <v>44130</v>
      </c>
      <c r="B143" s="4" t="s">
        <v>225</v>
      </c>
      <c r="C143" s="8">
        <v>44105</v>
      </c>
      <c r="D143" s="4" t="s">
        <v>175</v>
      </c>
      <c r="E143" s="14">
        <f>IF(SUMIFS('Daily NSE Equity Futures'!$I:$I,'Daily NSE Equity Futures'!$A:$A,$A143)=0,"",SUMIFS('Daily NSE Equity Futures'!$I:$I,'Daily NSE Equity Futures'!$A:$A,$A143))</f>
        <v>1397.4268999999999</v>
      </c>
      <c r="F143" s="6">
        <f>IF(SUMIFS('Daily BSE Equity Futures'!$I:$I,'Daily BSE Equity Futures'!$A:$A,$A143)=0,"",SUMIFS('Daily BSE Equity Futures'!$I:$I,'Daily BSE Equity Futures'!$A:$A,$A143))</f>
        <v>0.52180000000000004</v>
      </c>
      <c r="G143" s="6">
        <f t="shared" si="24"/>
        <v>1397.9486999999999</v>
      </c>
      <c r="H143" s="15">
        <f t="shared" si="25"/>
        <v>0.99962673880665298</v>
      </c>
      <c r="I143" s="15">
        <f t="shared" si="26"/>
        <v>3.7326119334708064E-4</v>
      </c>
      <c r="J143" s="20" t="str">
        <f t="shared" si="27"/>
        <v/>
      </c>
      <c r="K143" s="15" t="str">
        <f t="shared" si="28"/>
        <v/>
      </c>
      <c r="L143" s="15" t="str">
        <f t="shared" si="29"/>
        <v/>
      </c>
      <c r="M143" s="15">
        <f t="shared" si="33"/>
        <v>0.36861723351114373</v>
      </c>
      <c r="N143" s="15">
        <f t="shared" si="34"/>
        <v>0.31934260429835648</v>
      </c>
      <c r="O143" s="15">
        <f t="shared" si="35"/>
        <v>0.36859815455682066</v>
      </c>
      <c r="P143" s="18">
        <f>IF(SUMIFS('Daily NSE Equity Futures'!$J:$J,'Daily NSE Equity Futures'!$A:$A,$A143)=0,"",SUMIFS('Daily NSE Equity Futures'!$J:$J,'Daily NSE Equity Futures'!$A:$A,$A143))</f>
        <v>1932892</v>
      </c>
      <c r="Q143" s="7">
        <f>IF(SUMIFS('Daily BSE Equity Futures'!$J:$J,'Daily BSE Equity Futures'!$A:$A,$A143)=0,"",SUMIFS('Daily BSE Equity Futures'!$J:$J,'Daily BSE Equity Futures'!$A:$A,$A143))</f>
        <v>562</v>
      </c>
      <c r="R143" s="7">
        <f t="shared" si="30"/>
        <v>1933454</v>
      </c>
      <c r="S143" s="19">
        <f t="shared" si="31"/>
        <v>0.99970932848673932</v>
      </c>
      <c r="T143" s="19">
        <f t="shared" si="32"/>
        <v>2.9067151326072407E-4</v>
      </c>
    </row>
    <row r="144" spans="1:20" x14ac:dyDescent="0.2">
      <c r="A144" s="9">
        <v>44131</v>
      </c>
      <c r="B144" s="4" t="s">
        <v>223</v>
      </c>
      <c r="C144" s="8">
        <v>44105</v>
      </c>
      <c r="D144" s="4" t="s">
        <v>175</v>
      </c>
      <c r="E144" s="14">
        <f>IF(SUMIFS('Daily NSE Equity Futures'!$I:$I,'Daily NSE Equity Futures'!$A:$A,$A144)=0,"",SUMIFS('Daily NSE Equity Futures'!$I:$I,'Daily NSE Equity Futures'!$A:$A,$A144))</f>
        <v>1686.0821000000001</v>
      </c>
      <c r="F144" s="6">
        <f>IF(SUMIFS('Daily BSE Equity Futures'!$I:$I,'Daily BSE Equity Futures'!$A:$A,$A144)=0,"",SUMIFS('Daily BSE Equity Futures'!$I:$I,'Daily BSE Equity Futures'!$A:$A,$A144))</f>
        <v>0.16819999999999999</v>
      </c>
      <c r="G144" s="6">
        <f t="shared" si="24"/>
        <v>1686.2503000000002</v>
      </c>
      <c r="H144" s="15">
        <f t="shared" si="25"/>
        <v>0.99990025205629318</v>
      </c>
      <c r="I144" s="15">
        <f t="shared" si="26"/>
        <v>9.9747943706815037E-5</v>
      </c>
      <c r="J144" s="20" t="str">
        <f t="shared" si="27"/>
        <v/>
      </c>
      <c r="K144" s="15" t="str">
        <f t="shared" si="28"/>
        <v/>
      </c>
      <c r="L144" s="15" t="str">
        <f t="shared" si="29"/>
        <v/>
      </c>
      <c r="M144" s="15">
        <f t="shared" si="33"/>
        <v>0.20656193179049298</v>
      </c>
      <c r="N144" s="15">
        <f t="shared" si="34"/>
        <v>-0.67765427366807218</v>
      </c>
      <c r="O144" s="15">
        <f t="shared" si="35"/>
        <v>0.20623188819446692</v>
      </c>
      <c r="P144" s="18">
        <f>IF(SUMIFS('Daily NSE Equity Futures'!$J:$J,'Daily NSE Equity Futures'!$A:$A,$A144)=0,"",SUMIFS('Daily NSE Equity Futures'!$J:$J,'Daily NSE Equity Futures'!$A:$A,$A144))</f>
        <v>2350055</v>
      </c>
      <c r="Q144" s="7">
        <f>IF(SUMIFS('Daily BSE Equity Futures'!$J:$J,'Daily BSE Equity Futures'!$A:$A,$A144)=0,"",SUMIFS('Daily BSE Equity Futures'!$J:$J,'Daily BSE Equity Futures'!$A:$A,$A144))</f>
        <v>181</v>
      </c>
      <c r="R144" s="7">
        <f t="shared" si="30"/>
        <v>2350236</v>
      </c>
      <c r="S144" s="19">
        <f t="shared" si="31"/>
        <v>0.99992298645753019</v>
      </c>
      <c r="T144" s="19">
        <f t="shared" si="32"/>
        <v>7.7013542469777502E-5</v>
      </c>
    </row>
    <row r="145" spans="1:20" x14ac:dyDescent="0.2">
      <c r="A145" s="9">
        <v>44132</v>
      </c>
      <c r="B145" s="4" t="s">
        <v>221</v>
      </c>
      <c r="C145" s="8">
        <v>44105</v>
      </c>
      <c r="D145" s="4" t="s">
        <v>175</v>
      </c>
      <c r="E145" s="14">
        <f>IF(SUMIFS('Daily NSE Equity Futures'!$I:$I,'Daily NSE Equity Futures'!$A:$A,$A145)=0,"",SUMIFS('Daily NSE Equity Futures'!$I:$I,'Daily NSE Equity Futures'!$A:$A,$A145))</f>
        <v>1715.1373000000001</v>
      </c>
      <c r="F145" s="6">
        <f>IF(SUMIFS('Daily BSE Equity Futures'!$I:$I,'Daily BSE Equity Futures'!$A:$A,$A145)=0,"",SUMIFS('Daily BSE Equity Futures'!$I:$I,'Daily BSE Equity Futures'!$A:$A,$A145))</f>
        <v>0.2346</v>
      </c>
      <c r="G145" s="6">
        <f t="shared" si="24"/>
        <v>1715.3719000000001</v>
      </c>
      <c r="H145" s="15">
        <f t="shared" si="25"/>
        <v>0.99986323665439547</v>
      </c>
      <c r="I145" s="15">
        <f t="shared" si="26"/>
        <v>1.367633456045304E-4</v>
      </c>
      <c r="J145" s="20" t="str">
        <f t="shared" si="27"/>
        <v/>
      </c>
      <c r="K145" s="15" t="str">
        <f t="shared" si="28"/>
        <v/>
      </c>
      <c r="L145" s="15" t="str">
        <f t="shared" si="29"/>
        <v/>
      </c>
      <c r="M145" s="15">
        <f t="shared" si="33"/>
        <v>1.7232375576491821E-2</v>
      </c>
      <c r="N145" s="15">
        <f t="shared" si="34"/>
        <v>0.39476813317479209</v>
      </c>
      <c r="O145" s="15">
        <f t="shared" si="35"/>
        <v>1.727003399198801E-2</v>
      </c>
      <c r="P145" s="18">
        <f>IF(SUMIFS('Daily NSE Equity Futures'!$J:$J,'Daily NSE Equity Futures'!$A:$A,$A145)=0,"",SUMIFS('Daily NSE Equity Futures'!$J:$J,'Daily NSE Equity Futures'!$A:$A,$A145))</f>
        <v>2324456</v>
      </c>
      <c r="Q145" s="7">
        <f>IF(SUMIFS('Daily BSE Equity Futures'!$J:$J,'Daily BSE Equity Futures'!$A:$A,$A145)=0,"",SUMIFS('Daily BSE Equity Futures'!$J:$J,'Daily BSE Equity Futures'!$A:$A,$A145))</f>
        <v>253</v>
      </c>
      <c r="R145" s="7">
        <f t="shared" si="30"/>
        <v>2324709</v>
      </c>
      <c r="S145" s="19">
        <f t="shared" si="31"/>
        <v>0.99989116917429233</v>
      </c>
      <c r="T145" s="19">
        <f t="shared" si="32"/>
        <v>1.0883082570764771E-4</v>
      </c>
    </row>
    <row r="146" spans="1:20" x14ac:dyDescent="0.2">
      <c r="A146" s="9">
        <v>44133</v>
      </c>
      <c r="B146" s="4" t="s">
        <v>224</v>
      </c>
      <c r="C146" s="8">
        <v>44105</v>
      </c>
      <c r="D146" s="4" t="s">
        <v>175</v>
      </c>
      <c r="E146" s="14">
        <f>IF(SUMIFS('Daily NSE Equity Futures'!$I:$I,'Daily NSE Equity Futures'!$A:$A,$A146)=0,"",SUMIFS('Daily NSE Equity Futures'!$I:$I,'Daily NSE Equity Futures'!$A:$A,$A146))</f>
        <v>1487.5209</v>
      </c>
      <c r="F146" s="6">
        <f>IF(SUMIFS('Daily BSE Equity Futures'!$I:$I,'Daily BSE Equity Futures'!$A:$A,$A146)=0,"",SUMIFS('Daily BSE Equity Futures'!$I:$I,'Daily BSE Equity Futures'!$A:$A,$A146))</f>
        <v>0.2301</v>
      </c>
      <c r="G146" s="6">
        <f t="shared" si="24"/>
        <v>1487.751</v>
      </c>
      <c r="H146" s="15">
        <f t="shared" si="25"/>
        <v>0.99984533702212264</v>
      </c>
      <c r="I146" s="15">
        <f t="shared" si="26"/>
        <v>1.5466297787734642E-4</v>
      </c>
      <c r="J146" s="20" t="str">
        <f t="shared" si="27"/>
        <v/>
      </c>
      <c r="K146" s="15" t="str">
        <f t="shared" si="28"/>
        <v/>
      </c>
      <c r="L146" s="15" t="str">
        <f t="shared" si="29"/>
        <v/>
      </c>
      <c r="M146" s="15">
        <f t="shared" si="33"/>
        <v>-0.13271030838172548</v>
      </c>
      <c r="N146" s="15">
        <f t="shared" si="34"/>
        <v>-1.9181585677749413E-2</v>
      </c>
      <c r="O146" s="15">
        <f t="shared" si="35"/>
        <v>-0.13269478181378636</v>
      </c>
      <c r="P146" s="18">
        <f>IF(SUMIFS('Daily NSE Equity Futures'!$J:$J,'Daily NSE Equity Futures'!$A:$A,$A146)=0,"",SUMIFS('Daily NSE Equity Futures'!$J:$J,'Daily NSE Equity Futures'!$A:$A,$A146))</f>
        <v>2073006</v>
      </c>
      <c r="Q146" s="7">
        <f>IF(SUMIFS('Daily BSE Equity Futures'!$J:$J,'Daily BSE Equity Futures'!$A:$A,$A146)=0,"",SUMIFS('Daily BSE Equity Futures'!$J:$J,'Daily BSE Equity Futures'!$A:$A,$A146))</f>
        <v>251</v>
      </c>
      <c r="R146" s="7">
        <f t="shared" si="30"/>
        <v>2073257</v>
      </c>
      <c r="S146" s="19">
        <f t="shared" si="31"/>
        <v>0.99987893444951592</v>
      </c>
      <c r="T146" s="19">
        <f t="shared" si="32"/>
        <v>1.2106555048409339E-4</v>
      </c>
    </row>
    <row r="147" spans="1:20" x14ac:dyDescent="0.2">
      <c r="A147" s="9">
        <v>44134</v>
      </c>
      <c r="B147" s="4" t="s">
        <v>222</v>
      </c>
      <c r="C147" s="8">
        <v>44105</v>
      </c>
      <c r="D147" s="4" t="s">
        <v>175</v>
      </c>
      <c r="E147" s="14">
        <f>IF(SUMIFS('Daily NSE Equity Futures'!$I:$I,'Daily NSE Equity Futures'!$A:$A,$A147)=0,"",SUMIFS('Daily NSE Equity Futures'!$I:$I,'Daily NSE Equity Futures'!$A:$A,$A147))</f>
        <v>998.31460000000004</v>
      </c>
      <c r="F147" s="6">
        <f>IF(SUMIFS('Daily BSE Equity Futures'!$I:$I,'Daily BSE Equity Futures'!$A:$A,$A147)=0,"",SUMIFS('Daily BSE Equity Futures'!$I:$I,'Daily BSE Equity Futures'!$A:$A,$A147))</f>
        <v>0.64610000000000001</v>
      </c>
      <c r="G147" s="6">
        <f t="shared" si="24"/>
        <v>998.96070000000009</v>
      </c>
      <c r="H147" s="15">
        <f t="shared" si="25"/>
        <v>0.99935322780966251</v>
      </c>
      <c r="I147" s="15">
        <f t="shared" si="26"/>
        <v>6.4677219033741759E-4</v>
      </c>
      <c r="J147" s="20" t="str">
        <f t="shared" si="27"/>
        <v/>
      </c>
      <c r="K147" s="15" t="str">
        <f t="shared" si="28"/>
        <v/>
      </c>
      <c r="L147" s="15" t="str">
        <f t="shared" si="29"/>
        <v/>
      </c>
      <c r="M147" s="15">
        <f t="shared" si="33"/>
        <v>-0.32887356406219226</v>
      </c>
      <c r="N147" s="15">
        <f t="shared" si="34"/>
        <v>1.8079096045197742</v>
      </c>
      <c r="O147" s="15">
        <f t="shared" si="35"/>
        <v>-0.32854308281426114</v>
      </c>
      <c r="P147" s="18">
        <f>IF(SUMIFS('Daily NSE Equity Futures'!$J:$J,'Daily NSE Equity Futures'!$A:$A,$A147)=0,"",SUMIFS('Daily NSE Equity Futures'!$J:$J,'Daily NSE Equity Futures'!$A:$A,$A147))</f>
        <v>1450918</v>
      </c>
      <c r="Q147" s="7">
        <f>IF(SUMIFS('Daily BSE Equity Futures'!$J:$J,'Daily BSE Equity Futures'!$A:$A,$A147)=0,"",SUMIFS('Daily BSE Equity Futures'!$J:$J,'Daily BSE Equity Futures'!$A:$A,$A147))</f>
        <v>707</v>
      </c>
      <c r="R147" s="7">
        <f t="shared" si="30"/>
        <v>1451625</v>
      </c>
      <c r="S147" s="19">
        <f t="shared" si="31"/>
        <v>0.99951295961422548</v>
      </c>
      <c r="T147" s="19">
        <f t="shared" si="32"/>
        <v>4.8704038577456301E-4</v>
      </c>
    </row>
    <row r="148" spans="1:20" x14ac:dyDescent="0.2">
      <c r="A148" s="9">
        <v>44137</v>
      </c>
      <c r="B148" s="4" t="s">
        <v>225</v>
      </c>
      <c r="C148" s="8">
        <v>44136</v>
      </c>
      <c r="D148" s="4" t="s">
        <v>175</v>
      </c>
      <c r="E148" s="14">
        <f>IF(SUMIFS('Daily NSE Equity Futures'!$I:$I,'Daily NSE Equity Futures'!$A:$A,$A148)=0,"",SUMIFS('Daily NSE Equity Futures'!$I:$I,'Daily NSE Equity Futures'!$A:$A,$A148))</f>
        <v>1025.6757</v>
      </c>
      <c r="F148" s="6">
        <f>IF(SUMIFS('Daily BSE Equity Futures'!$I:$I,'Daily BSE Equity Futures'!$A:$A,$A148)=0,"",SUMIFS('Daily BSE Equity Futures'!$I:$I,'Daily BSE Equity Futures'!$A:$A,$A148))</f>
        <v>0.70250000000000001</v>
      </c>
      <c r="G148" s="6">
        <f t="shared" si="24"/>
        <v>1026.3782000000001</v>
      </c>
      <c r="H148" s="15">
        <f t="shared" si="25"/>
        <v>0.99931555444182263</v>
      </c>
      <c r="I148" s="15">
        <f t="shared" si="26"/>
        <v>6.8444555817728781E-4</v>
      </c>
      <c r="J148" s="20" t="str">
        <f t="shared" si="27"/>
        <v/>
      </c>
      <c r="K148" s="15" t="str">
        <f t="shared" si="28"/>
        <v/>
      </c>
      <c r="L148" s="15" t="str">
        <f t="shared" si="29"/>
        <v/>
      </c>
      <c r="M148" s="15">
        <f t="shared" si="33"/>
        <v>2.7407292250358761E-2</v>
      </c>
      <c r="N148" s="15">
        <f t="shared" si="34"/>
        <v>8.7292988701439311E-2</v>
      </c>
      <c r="O148" s="15">
        <f t="shared" si="35"/>
        <v>2.7446024653422274E-2</v>
      </c>
      <c r="P148" s="18">
        <f>IF(SUMIFS('Daily NSE Equity Futures'!$J:$J,'Daily NSE Equity Futures'!$A:$A,$A148)=0,"",SUMIFS('Daily NSE Equity Futures'!$J:$J,'Daily NSE Equity Futures'!$A:$A,$A148))</f>
        <v>1489015</v>
      </c>
      <c r="Q148" s="7">
        <f>IF(SUMIFS('Daily BSE Equity Futures'!$J:$J,'Daily BSE Equity Futures'!$A:$A,$A148)=0,"",SUMIFS('Daily BSE Equity Futures'!$J:$J,'Daily BSE Equity Futures'!$A:$A,$A148))</f>
        <v>769</v>
      </c>
      <c r="R148" s="7">
        <f t="shared" si="30"/>
        <v>1489784</v>
      </c>
      <c r="S148" s="19">
        <f t="shared" si="31"/>
        <v>0.99948381778835049</v>
      </c>
      <c r="T148" s="19">
        <f t="shared" si="32"/>
        <v>5.16182211649474E-4</v>
      </c>
    </row>
    <row r="149" spans="1:20" x14ac:dyDescent="0.2">
      <c r="A149" s="9">
        <v>44138</v>
      </c>
      <c r="B149" s="4" t="s">
        <v>223</v>
      </c>
      <c r="C149" s="8">
        <v>44136</v>
      </c>
      <c r="D149" s="4" t="s">
        <v>175</v>
      </c>
      <c r="E149" s="14">
        <f>IF(SUMIFS('Daily NSE Equity Futures'!$I:$I,'Daily NSE Equity Futures'!$A:$A,$A149)=0,"",SUMIFS('Daily NSE Equity Futures'!$I:$I,'Daily NSE Equity Futures'!$A:$A,$A149))</f>
        <v>953.39419999999996</v>
      </c>
      <c r="F149" s="6">
        <f>IF(SUMIFS('Daily BSE Equity Futures'!$I:$I,'Daily BSE Equity Futures'!$A:$A,$A149)=0,"",SUMIFS('Daily BSE Equity Futures'!$I:$I,'Daily BSE Equity Futures'!$A:$A,$A149))</f>
        <v>0.18440000000000001</v>
      </c>
      <c r="G149" s="6">
        <f t="shared" si="24"/>
        <v>953.57859999999994</v>
      </c>
      <c r="H149" s="15">
        <f t="shared" si="25"/>
        <v>0.99980662317715607</v>
      </c>
      <c r="I149" s="15">
        <f t="shared" si="26"/>
        <v>1.9337682284396905E-4</v>
      </c>
      <c r="J149" s="20" t="str">
        <f t="shared" si="27"/>
        <v/>
      </c>
      <c r="K149" s="15" t="str">
        <f t="shared" si="28"/>
        <v/>
      </c>
      <c r="L149" s="15" t="str">
        <f t="shared" si="29"/>
        <v/>
      </c>
      <c r="M149" s="15">
        <f t="shared" si="33"/>
        <v>-7.0472080015154925E-2</v>
      </c>
      <c r="N149" s="15">
        <f t="shared" si="34"/>
        <v>-0.73750889679715304</v>
      </c>
      <c r="O149" s="15">
        <f t="shared" si="35"/>
        <v>-7.0928630401542181E-2</v>
      </c>
      <c r="P149" s="18">
        <f>IF(SUMIFS('Daily NSE Equity Futures'!$J:$J,'Daily NSE Equity Futures'!$A:$A,$A149)=0,"",SUMIFS('Daily NSE Equity Futures'!$J:$J,'Daily NSE Equity Futures'!$A:$A,$A149))</f>
        <v>1351092</v>
      </c>
      <c r="Q149" s="7">
        <f>IF(SUMIFS('Daily BSE Equity Futures'!$J:$J,'Daily BSE Equity Futures'!$A:$A,$A149)=0,"",SUMIFS('Daily BSE Equity Futures'!$J:$J,'Daily BSE Equity Futures'!$A:$A,$A149))</f>
        <v>199</v>
      </c>
      <c r="R149" s="7">
        <f t="shared" si="30"/>
        <v>1351291</v>
      </c>
      <c r="S149" s="19">
        <f t="shared" si="31"/>
        <v>0.99985273342307468</v>
      </c>
      <c r="T149" s="19">
        <f t="shared" si="32"/>
        <v>1.4726657692532547E-4</v>
      </c>
    </row>
    <row r="150" spans="1:20" x14ac:dyDescent="0.2">
      <c r="A150" s="9">
        <v>44139</v>
      </c>
      <c r="B150" s="4" t="s">
        <v>221</v>
      </c>
      <c r="C150" s="8">
        <v>44136</v>
      </c>
      <c r="D150" s="4" t="s">
        <v>175</v>
      </c>
      <c r="E150" s="14">
        <f>IF(SUMIFS('Daily NSE Equity Futures'!$I:$I,'Daily NSE Equity Futures'!$A:$A,$A150)=0,"",SUMIFS('Daily NSE Equity Futures'!$I:$I,'Daily NSE Equity Futures'!$A:$A,$A150))</f>
        <v>1097.8697</v>
      </c>
      <c r="F150" s="6">
        <f>IF(SUMIFS('Daily BSE Equity Futures'!$I:$I,'Daily BSE Equity Futures'!$A:$A,$A150)=0,"",SUMIFS('Daily BSE Equity Futures'!$I:$I,'Daily BSE Equity Futures'!$A:$A,$A150))</f>
        <v>0.29620000000000002</v>
      </c>
      <c r="G150" s="6">
        <f t="shared" si="24"/>
        <v>1098.1659</v>
      </c>
      <c r="H150" s="15">
        <f t="shared" si="25"/>
        <v>0.9997302775473178</v>
      </c>
      <c r="I150" s="15">
        <f t="shared" si="26"/>
        <v>2.6972245268224045E-4</v>
      </c>
      <c r="J150" s="20" t="str">
        <f t="shared" si="27"/>
        <v/>
      </c>
      <c r="K150" s="15" t="str">
        <f t="shared" si="28"/>
        <v/>
      </c>
      <c r="L150" s="15" t="str">
        <f t="shared" si="29"/>
        <v/>
      </c>
      <c r="M150" s="15">
        <f t="shared" si="33"/>
        <v>0.15153805215093619</v>
      </c>
      <c r="N150" s="15">
        <f t="shared" si="34"/>
        <v>0.60629067245119317</v>
      </c>
      <c r="O150" s="15">
        <f t="shared" si="35"/>
        <v>0.15162599076782968</v>
      </c>
      <c r="P150" s="18">
        <f>IF(SUMIFS('Daily NSE Equity Futures'!$J:$J,'Daily NSE Equity Futures'!$A:$A,$A150)=0,"",SUMIFS('Daily NSE Equity Futures'!$J:$J,'Daily NSE Equity Futures'!$A:$A,$A150))</f>
        <v>1544043</v>
      </c>
      <c r="Q150" s="7">
        <f>IF(SUMIFS('Daily BSE Equity Futures'!$J:$J,'Daily BSE Equity Futures'!$A:$A,$A150)=0,"",SUMIFS('Daily BSE Equity Futures'!$J:$J,'Daily BSE Equity Futures'!$A:$A,$A150))</f>
        <v>318</v>
      </c>
      <c r="R150" s="7">
        <f t="shared" si="30"/>
        <v>1544361</v>
      </c>
      <c r="S150" s="19">
        <f t="shared" si="31"/>
        <v>0.99979408959433702</v>
      </c>
      <c r="T150" s="19">
        <f t="shared" si="32"/>
        <v>2.0591040566292468E-4</v>
      </c>
    </row>
    <row r="151" spans="1:20" x14ac:dyDescent="0.2">
      <c r="A151" s="9">
        <v>44140</v>
      </c>
      <c r="B151" s="4" t="s">
        <v>224</v>
      </c>
      <c r="C151" s="8">
        <v>44136</v>
      </c>
      <c r="D151" s="4" t="s">
        <v>175</v>
      </c>
      <c r="E151" s="14">
        <f>IF(SUMIFS('Daily NSE Equity Futures'!$I:$I,'Daily NSE Equity Futures'!$A:$A,$A151)=0,"",SUMIFS('Daily NSE Equity Futures'!$I:$I,'Daily NSE Equity Futures'!$A:$A,$A151))</f>
        <v>946.47900000000004</v>
      </c>
      <c r="F151" s="6">
        <f>IF(SUMIFS('Daily BSE Equity Futures'!$I:$I,'Daily BSE Equity Futures'!$A:$A,$A151)=0,"",SUMIFS('Daily BSE Equity Futures'!$I:$I,'Daily BSE Equity Futures'!$A:$A,$A151))</f>
        <v>0.1111</v>
      </c>
      <c r="G151" s="6">
        <f t="shared" si="24"/>
        <v>946.59010000000001</v>
      </c>
      <c r="H151" s="15">
        <f t="shared" si="25"/>
        <v>0.99988263135226119</v>
      </c>
      <c r="I151" s="15">
        <f t="shared" si="26"/>
        <v>1.1736864773886818E-4</v>
      </c>
      <c r="J151" s="20" t="str">
        <f t="shared" si="27"/>
        <v/>
      </c>
      <c r="K151" s="15" t="str">
        <f t="shared" si="28"/>
        <v/>
      </c>
      <c r="L151" s="15" t="str">
        <f t="shared" si="29"/>
        <v/>
      </c>
      <c r="M151" s="15">
        <f t="shared" si="33"/>
        <v>-0.13789496148768832</v>
      </c>
      <c r="N151" s="15">
        <f t="shared" si="34"/>
        <v>-0.62491559756921</v>
      </c>
      <c r="O151" s="15">
        <f t="shared" si="35"/>
        <v>-0.13802632188815911</v>
      </c>
      <c r="P151" s="18">
        <f>IF(SUMIFS('Daily NSE Equity Futures'!$J:$J,'Daily NSE Equity Futures'!$A:$A,$A151)=0,"",SUMIFS('Daily NSE Equity Futures'!$J:$J,'Daily NSE Equity Futures'!$A:$A,$A151))</f>
        <v>1323214</v>
      </c>
      <c r="Q151" s="7">
        <f>IF(SUMIFS('Daily BSE Equity Futures'!$J:$J,'Daily BSE Equity Futures'!$A:$A,$A151)=0,"",SUMIFS('Daily BSE Equity Futures'!$J:$J,'Daily BSE Equity Futures'!$A:$A,$A151))</f>
        <v>117</v>
      </c>
      <c r="R151" s="7">
        <f t="shared" si="30"/>
        <v>1323331</v>
      </c>
      <c r="S151" s="19">
        <f t="shared" si="31"/>
        <v>0.99991158674587088</v>
      </c>
      <c r="T151" s="19">
        <f t="shared" si="32"/>
        <v>8.8413254129163455E-5</v>
      </c>
    </row>
    <row r="152" spans="1:20" x14ac:dyDescent="0.2">
      <c r="A152" s="9">
        <v>44141</v>
      </c>
      <c r="B152" s="4" t="s">
        <v>222</v>
      </c>
      <c r="C152" s="8">
        <v>44136</v>
      </c>
      <c r="D152" s="4" t="s">
        <v>175</v>
      </c>
      <c r="E152" s="14">
        <f>IF(SUMIFS('Daily NSE Equity Futures'!$I:$I,'Daily NSE Equity Futures'!$A:$A,$A152)=0,"",SUMIFS('Daily NSE Equity Futures'!$I:$I,'Daily NSE Equity Futures'!$A:$A,$A152))</f>
        <v>987.38319999999999</v>
      </c>
      <c r="F152" s="6">
        <f>IF(SUMIFS('Daily BSE Equity Futures'!$I:$I,'Daily BSE Equity Futures'!$A:$A,$A152)=0,"",SUMIFS('Daily BSE Equity Futures'!$I:$I,'Daily BSE Equity Futures'!$A:$A,$A152))</f>
        <v>0.2263</v>
      </c>
      <c r="G152" s="6">
        <f t="shared" si="24"/>
        <v>987.60950000000003</v>
      </c>
      <c r="H152" s="15">
        <f t="shared" si="25"/>
        <v>0.99977086085137901</v>
      </c>
      <c r="I152" s="15">
        <f t="shared" si="26"/>
        <v>2.2913914862098835E-4</v>
      </c>
      <c r="J152" s="20" t="str">
        <f t="shared" si="27"/>
        <v/>
      </c>
      <c r="K152" s="15" t="str">
        <f t="shared" si="28"/>
        <v/>
      </c>
      <c r="L152" s="15" t="str">
        <f t="shared" si="29"/>
        <v/>
      </c>
      <c r="M152" s="15">
        <f t="shared" si="33"/>
        <v>4.3217229331025786E-2</v>
      </c>
      <c r="N152" s="15">
        <f t="shared" si="34"/>
        <v>1.0369036903690367</v>
      </c>
      <c r="O152" s="15">
        <f t="shared" si="35"/>
        <v>4.3333856967234352E-2</v>
      </c>
      <c r="P152" s="18">
        <f>IF(SUMIFS('Daily NSE Equity Futures'!$J:$J,'Daily NSE Equity Futures'!$A:$A,$A152)=0,"",SUMIFS('Daily NSE Equity Futures'!$J:$J,'Daily NSE Equity Futures'!$A:$A,$A152))</f>
        <v>1354182</v>
      </c>
      <c r="Q152" s="7">
        <f>IF(SUMIFS('Daily BSE Equity Futures'!$J:$J,'Daily BSE Equity Futures'!$A:$A,$A152)=0,"",SUMIFS('Daily BSE Equity Futures'!$J:$J,'Daily BSE Equity Futures'!$A:$A,$A152))</f>
        <v>236</v>
      </c>
      <c r="R152" s="7">
        <f t="shared" si="30"/>
        <v>1354418</v>
      </c>
      <c r="S152" s="19">
        <f t="shared" si="31"/>
        <v>0.9998257554167177</v>
      </c>
      <c r="T152" s="19">
        <f t="shared" si="32"/>
        <v>1.7424458328226588E-4</v>
      </c>
    </row>
    <row r="153" spans="1:20" x14ac:dyDescent="0.2">
      <c r="A153" s="9">
        <v>44144</v>
      </c>
      <c r="B153" s="4" t="s">
        <v>225</v>
      </c>
      <c r="C153" s="8">
        <v>44136</v>
      </c>
      <c r="D153" s="4" t="s">
        <v>175</v>
      </c>
      <c r="E153" s="14">
        <f>IF(SUMIFS('Daily NSE Equity Futures'!$I:$I,'Daily NSE Equity Futures'!$A:$A,$A153)=0,"",SUMIFS('Daily NSE Equity Futures'!$I:$I,'Daily NSE Equity Futures'!$A:$A,$A153))</f>
        <v>956.9837</v>
      </c>
      <c r="F153" s="6">
        <f>IF(SUMIFS('Daily BSE Equity Futures'!$I:$I,'Daily BSE Equity Futures'!$A:$A,$A153)=0,"",SUMIFS('Daily BSE Equity Futures'!$I:$I,'Daily BSE Equity Futures'!$A:$A,$A153))</f>
        <v>0.1598</v>
      </c>
      <c r="G153" s="6">
        <f t="shared" si="24"/>
        <v>957.14350000000002</v>
      </c>
      <c r="H153" s="15">
        <f t="shared" si="25"/>
        <v>0.99983304488825342</v>
      </c>
      <c r="I153" s="15">
        <f t="shared" si="26"/>
        <v>1.6695511174656674E-4</v>
      </c>
      <c r="J153" s="20" t="str">
        <f t="shared" si="27"/>
        <v/>
      </c>
      <c r="K153" s="15" t="str">
        <f t="shared" si="28"/>
        <v/>
      </c>
      <c r="L153" s="15" t="str">
        <f t="shared" si="29"/>
        <v/>
      </c>
      <c r="M153" s="15">
        <f t="shared" si="33"/>
        <v>-3.0787945348877743E-2</v>
      </c>
      <c r="N153" s="15">
        <f t="shared" si="34"/>
        <v>-0.29385771100309321</v>
      </c>
      <c r="O153" s="15">
        <f t="shared" si="35"/>
        <v>-3.0848224931007695E-2</v>
      </c>
      <c r="P153" s="18">
        <f>IF(SUMIFS('Daily NSE Equity Futures'!$J:$J,'Daily NSE Equity Futures'!$A:$A,$A153)=0,"",SUMIFS('Daily NSE Equity Futures'!$J:$J,'Daily NSE Equity Futures'!$A:$A,$A153))</f>
        <v>1303157</v>
      </c>
      <c r="Q153" s="7">
        <f>IF(SUMIFS('Daily BSE Equity Futures'!$J:$J,'Daily BSE Equity Futures'!$A:$A,$A153)=0,"",SUMIFS('Daily BSE Equity Futures'!$J:$J,'Daily BSE Equity Futures'!$A:$A,$A153))</f>
        <v>164</v>
      </c>
      <c r="R153" s="7">
        <f t="shared" si="30"/>
        <v>1303321</v>
      </c>
      <c r="S153" s="19">
        <f t="shared" si="31"/>
        <v>0.9998741676072127</v>
      </c>
      <c r="T153" s="19">
        <f t="shared" si="32"/>
        <v>1.2583239278734864E-4</v>
      </c>
    </row>
    <row r="154" spans="1:20" x14ac:dyDescent="0.2">
      <c r="A154" s="9">
        <v>44145</v>
      </c>
      <c r="B154" s="4" t="s">
        <v>223</v>
      </c>
      <c r="C154" s="8">
        <v>44136</v>
      </c>
      <c r="D154" s="4" t="s">
        <v>175</v>
      </c>
      <c r="E154" s="14">
        <f>IF(SUMIFS('Daily NSE Equity Futures'!$I:$I,'Daily NSE Equity Futures'!$A:$A,$A154)=0,"",SUMIFS('Daily NSE Equity Futures'!$I:$I,'Daily NSE Equity Futures'!$A:$A,$A154))</f>
        <v>1313.4121</v>
      </c>
      <c r="F154" s="6">
        <f>IF(SUMIFS('Daily BSE Equity Futures'!$I:$I,'Daily BSE Equity Futures'!$A:$A,$A154)=0,"",SUMIFS('Daily BSE Equity Futures'!$I:$I,'Daily BSE Equity Futures'!$A:$A,$A154))</f>
        <v>0.15790000000000001</v>
      </c>
      <c r="G154" s="6">
        <f t="shared" si="24"/>
        <v>1313.57</v>
      </c>
      <c r="H154" s="15">
        <f t="shared" si="25"/>
        <v>0.99987979323522924</v>
      </c>
      <c r="I154" s="15">
        <f t="shared" si="26"/>
        <v>1.2020676477081542E-4</v>
      </c>
      <c r="J154" s="20" t="str">
        <f t="shared" si="27"/>
        <v/>
      </c>
      <c r="K154" s="15" t="str">
        <f t="shared" si="28"/>
        <v/>
      </c>
      <c r="L154" s="15" t="str">
        <f t="shared" si="29"/>
        <v/>
      </c>
      <c r="M154" s="15">
        <f t="shared" si="33"/>
        <v>0.37244981288605028</v>
      </c>
      <c r="N154" s="15">
        <f t="shared" si="34"/>
        <v>-1.1889862327909784E-2</v>
      </c>
      <c r="O154" s="15">
        <f t="shared" si="35"/>
        <v>0.3723856454126262</v>
      </c>
      <c r="P154" s="18">
        <f>IF(SUMIFS('Daily NSE Equity Futures'!$J:$J,'Daily NSE Equity Futures'!$A:$A,$A154)=0,"",SUMIFS('Daily NSE Equity Futures'!$J:$J,'Daily NSE Equity Futures'!$A:$A,$A154))</f>
        <v>1751436</v>
      </c>
      <c r="Q154" s="7">
        <f>IF(SUMIFS('Daily BSE Equity Futures'!$J:$J,'Daily BSE Equity Futures'!$A:$A,$A154)=0,"",SUMIFS('Daily BSE Equity Futures'!$J:$J,'Daily BSE Equity Futures'!$A:$A,$A154))</f>
        <v>160</v>
      </c>
      <c r="R154" s="7">
        <f t="shared" si="30"/>
        <v>1751596</v>
      </c>
      <c r="S154" s="19">
        <f t="shared" si="31"/>
        <v>0.99990865473545265</v>
      </c>
      <c r="T154" s="19">
        <f t="shared" si="32"/>
        <v>9.1345264547304284E-5</v>
      </c>
    </row>
    <row r="155" spans="1:20" x14ac:dyDescent="0.2">
      <c r="A155" s="9">
        <v>44146</v>
      </c>
      <c r="B155" s="4" t="s">
        <v>221</v>
      </c>
      <c r="C155" s="8">
        <v>44136</v>
      </c>
      <c r="D155" s="4" t="s">
        <v>175</v>
      </c>
      <c r="E155" s="14">
        <f>IF(SUMIFS('Daily NSE Equity Futures'!$I:$I,'Daily NSE Equity Futures'!$A:$A,$A155)=0,"",SUMIFS('Daily NSE Equity Futures'!$I:$I,'Daily NSE Equity Futures'!$A:$A,$A155))</f>
        <v>1353.4713999999999</v>
      </c>
      <c r="F155" s="6">
        <f>IF(SUMIFS('Daily BSE Equity Futures'!$I:$I,'Daily BSE Equity Futures'!$A:$A,$A155)=0,"",SUMIFS('Daily BSE Equity Futures'!$I:$I,'Daily BSE Equity Futures'!$A:$A,$A155))</f>
        <v>0.24379999999999999</v>
      </c>
      <c r="G155" s="6">
        <f t="shared" si="24"/>
        <v>1353.7151999999999</v>
      </c>
      <c r="H155" s="15">
        <f t="shared" si="25"/>
        <v>0.99981990303425716</v>
      </c>
      <c r="I155" s="15">
        <f t="shared" si="26"/>
        <v>1.8009696574286822E-4</v>
      </c>
      <c r="J155" s="20" t="str">
        <f t="shared" si="27"/>
        <v/>
      </c>
      <c r="K155" s="15" t="str">
        <f t="shared" si="28"/>
        <v/>
      </c>
      <c r="L155" s="15" t="str">
        <f t="shared" si="29"/>
        <v/>
      </c>
      <c r="M155" s="15">
        <f t="shared" si="33"/>
        <v>3.0500175839707877E-2</v>
      </c>
      <c r="N155" s="15">
        <f t="shared" si="34"/>
        <v>0.54401519949334998</v>
      </c>
      <c r="O155" s="15">
        <f t="shared" si="35"/>
        <v>3.0561903819362524E-2</v>
      </c>
      <c r="P155" s="18">
        <f>IF(SUMIFS('Daily NSE Equity Futures'!$J:$J,'Daily NSE Equity Futures'!$A:$A,$A155)=0,"",SUMIFS('Daily NSE Equity Futures'!$J:$J,'Daily NSE Equity Futures'!$A:$A,$A155))</f>
        <v>1770273</v>
      </c>
      <c r="Q155" s="7">
        <f>IF(SUMIFS('Daily BSE Equity Futures'!$J:$J,'Daily BSE Equity Futures'!$A:$A,$A155)=0,"",SUMIFS('Daily BSE Equity Futures'!$J:$J,'Daily BSE Equity Futures'!$A:$A,$A155))</f>
        <v>245</v>
      </c>
      <c r="R155" s="7">
        <f t="shared" si="30"/>
        <v>1770518</v>
      </c>
      <c r="S155" s="19">
        <f t="shared" si="31"/>
        <v>0.99986162241784604</v>
      </c>
      <c r="T155" s="19">
        <f t="shared" si="32"/>
        <v>1.3837758215392331E-4</v>
      </c>
    </row>
    <row r="156" spans="1:20" x14ac:dyDescent="0.2">
      <c r="A156" s="9">
        <v>44147</v>
      </c>
      <c r="B156" s="4" t="s">
        <v>224</v>
      </c>
      <c r="C156" s="8">
        <v>44136</v>
      </c>
      <c r="D156" s="4" t="s">
        <v>175</v>
      </c>
      <c r="E156" s="14">
        <f>IF(SUMIFS('Daily NSE Equity Futures'!$I:$I,'Daily NSE Equity Futures'!$A:$A,$A156)=0,"",SUMIFS('Daily NSE Equity Futures'!$I:$I,'Daily NSE Equity Futures'!$A:$A,$A156))</f>
        <v>962.98450000000003</v>
      </c>
      <c r="F156" s="6">
        <f>IF(SUMIFS('Daily BSE Equity Futures'!$I:$I,'Daily BSE Equity Futures'!$A:$A,$A156)=0,"",SUMIFS('Daily BSE Equity Futures'!$I:$I,'Daily BSE Equity Futures'!$A:$A,$A156))</f>
        <v>0.29370000000000002</v>
      </c>
      <c r="G156" s="6">
        <f t="shared" si="24"/>
        <v>963.27819999999997</v>
      </c>
      <c r="H156" s="15">
        <f t="shared" si="25"/>
        <v>0.9996951036574897</v>
      </c>
      <c r="I156" s="15">
        <f t="shared" si="26"/>
        <v>3.0489634251039838E-4</v>
      </c>
      <c r="J156" s="20" t="str">
        <f t="shared" si="27"/>
        <v/>
      </c>
      <c r="K156" s="15" t="str">
        <f t="shared" si="28"/>
        <v/>
      </c>
      <c r="L156" s="15" t="str">
        <f t="shared" si="29"/>
        <v/>
      </c>
      <c r="M156" s="15">
        <f t="shared" si="33"/>
        <v>-0.28850768475787514</v>
      </c>
      <c r="N156" s="15">
        <f t="shared" si="34"/>
        <v>0.20467596390484011</v>
      </c>
      <c r="O156" s="15">
        <f t="shared" si="35"/>
        <v>-0.28841886387919702</v>
      </c>
      <c r="P156" s="18">
        <f>IF(SUMIFS('Daily NSE Equity Futures'!$J:$J,'Daily NSE Equity Futures'!$A:$A,$A156)=0,"",SUMIFS('Daily NSE Equity Futures'!$J:$J,'Daily NSE Equity Futures'!$A:$A,$A156))</f>
        <v>1281022</v>
      </c>
      <c r="Q156" s="7">
        <f>IF(SUMIFS('Daily BSE Equity Futures'!$J:$J,'Daily BSE Equity Futures'!$A:$A,$A156)=0,"",SUMIFS('Daily BSE Equity Futures'!$J:$J,'Daily BSE Equity Futures'!$A:$A,$A156))</f>
        <v>295</v>
      </c>
      <c r="R156" s="7">
        <f t="shared" si="30"/>
        <v>1281317</v>
      </c>
      <c r="S156" s="19">
        <f t="shared" si="31"/>
        <v>0.9997697681370028</v>
      </c>
      <c r="T156" s="19">
        <f t="shared" si="32"/>
        <v>2.3023186299721304E-4</v>
      </c>
    </row>
    <row r="157" spans="1:20" x14ac:dyDescent="0.2">
      <c r="A157" s="9">
        <v>44148</v>
      </c>
      <c r="B157" s="4" t="s">
        <v>222</v>
      </c>
      <c r="C157" s="8">
        <v>44136</v>
      </c>
      <c r="D157" s="4" t="s">
        <v>175</v>
      </c>
      <c r="E157" s="14">
        <f>IF(SUMIFS('Daily NSE Equity Futures'!$I:$I,'Daily NSE Equity Futures'!$A:$A,$A157)=0,"",SUMIFS('Daily NSE Equity Futures'!$I:$I,'Daily NSE Equity Futures'!$A:$A,$A157))</f>
        <v>927.82309999999995</v>
      </c>
      <c r="F157" s="6">
        <f>IF(SUMIFS('Daily BSE Equity Futures'!$I:$I,'Daily BSE Equity Futures'!$A:$A,$A157)=0,"",SUMIFS('Daily BSE Equity Futures'!$I:$I,'Daily BSE Equity Futures'!$A:$A,$A157))</f>
        <v>0.37440000000000001</v>
      </c>
      <c r="G157" s="6">
        <f t="shared" si="24"/>
        <v>928.19749999999999</v>
      </c>
      <c r="H157" s="15">
        <f t="shared" si="25"/>
        <v>0.99959663756905182</v>
      </c>
      <c r="I157" s="15">
        <f t="shared" si="26"/>
        <v>4.0336243094815492E-4</v>
      </c>
      <c r="J157" s="20" t="str">
        <f t="shared" si="27"/>
        <v/>
      </c>
      <c r="K157" s="15" t="str">
        <f t="shared" si="28"/>
        <v/>
      </c>
      <c r="L157" s="15" t="str">
        <f t="shared" si="29"/>
        <v/>
      </c>
      <c r="M157" s="15">
        <f t="shared" si="33"/>
        <v>-3.6512944912405199E-2</v>
      </c>
      <c r="N157" s="15">
        <f t="shared" si="34"/>
        <v>0.27477017364657819</v>
      </c>
      <c r="O157" s="15">
        <f t="shared" si="35"/>
        <v>-3.6418035828071238E-2</v>
      </c>
      <c r="P157" s="18">
        <f>IF(SUMIFS('Daily NSE Equity Futures'!$J:$J,'Daily NSE Equity Futures'!$A:$A,$A157)=0,"",SUMIFS('Daily NSE Equity Futures'!$J:$J,'Daily NSE Equity Futures'!$A:$A,$A157))</f>
        <v>1219463</v>
      </c>
      <c r="Q157" s="7">
        <f>IF(SUMIFS('Daily BSE Equity Futures'!$J:$J,'Daily BSE Equity Futures'!$A:$A,$A157)=0,"",SUMIFS('Daily BSE Equity Futures'!$J:$J,'Daily BSE Equity Futures'!$A:$A,$A157))</f>
        <v>376</v>
      </c>
      <c r="R157" s="7">
        <f t="shared" si="30"/>
        <v>1219839</v>
      </c>
      <c r="S157" s="19">
        <f t="shared" si="31"/>
        <v>0.99969176260145809</v>
      </c>
      <c r="T157" s="19">
        <f t="shared" si="32"/>
        <v>3.0823739854193871E-4</v>
      </c>
    </row>
    <row r="158" spans="1:20" x14ac:dyDescent="0.2">
      <c r="A158" s="9">
        <v>44149</v>
      </c>
      <c r="B158" s="4" t="s">
        <v>226</v>
      </c>
      <c r="C158" s="8">
        <v>44136</v>
      </c>
      <c r="D158" s="4" t="s">
        <v>175</v>
      </c>
      <c r="E158" s="14">
        <f>IF(SUMIFS('Daily NSE Equity Futures'!$I:$I,'Daily NSE Equity Futures'!$A:$A,$A158)=0,"",SUMIFS('Daily NSE Equity Futures'!$I:$I,'Daily NSE Equity Futures'!$A:$A,$A158))</f>
        <v>141.5675</v>
      </c>
      <c r="F158" s="6" t="str">
        <f>IF(SUMIFS('Daily BSE Equity Futures'!$I:$I,'Daily BSE Equity Futures'!$A:$A,$A158)=0,"",SUMIFS('Daily BSE Equity Futures'!$I:$I,'Daily BSE Equity Futures'!$A:$A,$A158))</f>
        <v/>
      </c>
      <c r="G158" s="6" t="str">
        <f t="shared" si="24"/>
        <v/>
      </c>
      <c r="H158" s="15" t="str">
        <f t="shared" si="25"/>
        <v/>
      </c>
      <c r="I158" s="15" t="str">
        <f t="shared" si="26"/>
        <v/>
      </c>
      <c r="J158" s="20" t="str">
        <f t="shared" si="27"/>
        <v/>
      </c>
      <c r="K158" s="15" t="str">
        <f t="shared" si="28"/>
        <v/>
      </c>
      <c r="L158" s="15" t="str">
        <f t="shared" si="29"/>
        <v/>
      </c>
      <c r="M158" s="15">
        <f t="shared" si="33"/>
        <v>-0.84741972904102081</v>
      </c>
      <c r="N158" s="15" t="str">
        <f t="shared" si="34"/>
        <v/>
      </c>
      <c r="O158" s="15" t="str">
        <f t="shared" si="35"/>
        <v/>
      </c>
      <c r="P158" s="18">
        <f>IF(SUMIFS('Daily NSE Equity Futures'!$J:$J,'Daily NSE Equity Futures'!$A:$A,$A158)=0,"",SUMIFS('Daily NSE Equity Futures'!$J:$J,'Daily NSE Equity Futures'!$A:$A,$A158))</f>
        <v>183609</v>
      </c>
      <c r="Q158" s="7" t="str">
        <f>IF(SUMIFS('Daily BSE Equity Futures'!$J:$J,'Daily BSE Equity Futures'!$A:$A,$A158)=0,"",SUMIFS('Daily BSE Equity Futures'!$J:$J,'Daily BSE Equity Futures'!$A:$A,$A158))</f>
        <v/>
      </c>
      <c r="R158" s="7" t="str">
        <f t="shared" si="30"/>
        <v/>
      </c>
      <c r="S158" s="19" t="str">
        <f t="shared" si="31"/>
        <v/>
      </c>
      <c r="T158" s="19" t="str">
        <f t="shared" si="32"/>
        <v/>
      </c>
    </row>
    <row r="159" spans="1:20" x14ac:dyDescent="0.2">
      <c r="A159" s="9">
        <v>44152</v>
      </c>
      <c r="B159" s="4" t="s">
        <v>223</v>
      </c>
      <c r="C159" s="8">
        <v>44136</v>
      </c>
      <c r="D159" s="4" t="s">
        <v>175</v>
      </c>
      <c r="E159" s="14">
        <f>IF(SUMIFS('Daily NSE Equity Futures'!$I:$I,'Daily NSE Equity Futures'!$A:$A,$A159)=0,"",SUMIFS('Daily NSE Equity Futures'!$I:$I,'Daily NSE Equity Futures'!$A:$A,$A159))</f>
        <v>918.57349999999997</v>
      </c>
      <c r="F159" s="6">
        <f>IF(SUMIFS('Daily BSE Equity Futures'!$I:$I,'Daily BSE Equity Futures'!$A:$A,$A159)=0,"",SUMIFS('Daily BSE Equity Futures'!$I:$I,'Daily BSE Equity Futures'!$A:$A,$A159))</f>
        <v>0.1633</v>
      </c>
      <c r="G159" s="6">
        <f t="shared" si="24"/>
        <v>918.73680000000002</v>
      </c>
      <c r="H159" s="15">
        <f t="shared" si="25"/>
        <v>0.99982225594969087</v>
      </c>
      <c r="I159" s="15">
        <f t="shared" si="26"/>
        <v>1.7774405030907654E-4</v>
      </c>
      <c r="J159" s="20" t="str">
        <f t="shared" si="27"/>
        <v/>
      </c>
      <c r="K159" s="15" t="str">
        <f t="shared" si="28"/>
        <v/>
      </c>
      <c r="L159" s="15" t="str">
        <f t="shared" si="29"/>
        <v/>
      </c>
      <c r="M159" s="15">
        <f t="shared" si="33"/>
        <v>5.4885902484680456</v>
      </c>
      <c r="N159" s="15" t="str">
        <f t="shared" si="34"/>
        <v/>
      </c>
      <c r="O159" s="15" t="str">
        <f t="shared" si="35"/>
        <v/>
      </c>
      <c r="P159" s="18">
        <f>IF(SUMIFS('Daily NSE Equity Futures'!$J:$J,'Daily NSE Equity Futures'!$A:$A,$A159)=0,"",SUMIFS('Daily NSE Equity Futures'!$J:$J,'Daily NSE Equity Futures'!$A:$A,$A159))</f>
        <v>1189880</v>
      </c>
      <c r="Q159" s="7">
        <f>IF(SUMIFS('Daily BSE Equity Futures'!$J:$J,'Daily BSE Equity Futures'!$A:$A,$A159)=0,"",SUMIFS('Daily BSE Equity Futures'!$J:$J,'Daily BSE Equity Futures'!$A:$A,$A159))</f>
        <v>162</v>
      </c>
      <c r="R159" s="7">
        <f t="shared" si="30"/>
        <v>1190042</v>
      </c>
      <c r="S159" s="19">
        <f t="shared" si="31"/>
        <v>0.99986387035079438</v>
      </c>
      <c r="T159" s="19">
        <f t="shared" si="32"/>
        <v>1.3612964920565828E-4</v>
      </c>
    </row>
    <row r="160" spans="1:20" x14ac:dyDescent="0.2">
      <c r="A160" s="9">
        <v>44153</v>
      </c>
      <c r="B160" s="4" t="s">
        <v>221</v>
      </c>
      <c r="C160" s="8">
        <v>44136</v>
      </c>
      <c r="D160" s="4" t="s">
        <v>175</v>
      </c>
      <c r="E160" s="14">
        <f>IF(SUMIFS('Daily NSE Equity Futures'!$I:$I,'Daily NSE Equity Futures'!$A:$A,$A160)=0,"",SUMIFS('Daily NSE Equity Futures'!$I:$I,'Daily NSE Equity Futures'!$A:$A,$A160))</f>
        <v>1006.7507000000001</v>
      </c>
      <c r="F160" s="6">
        <f>IF(SUMIFS('Daily BSE Equity Futures'!$I:$I,'Daily BSE Equity Futures'!$A:$A,$A160)=0,"",SUMIFS('Daily BSE Equity Futures'!$I:$I,'Daily BSE Equity Futures'!$A:$A,$A160))</f>
        <v>0.2296</v>
      </c>
      <c r="G160" s="6">
        <f t="shared" si="24"/>
        <v>1006.9803000000001</v>
      </c>
      <c r="H160" s="15">
        <f t="shared" si="25"/>
        <v>0.99977199156726304</v>
      </c>
      <c r="I160" s="15">
        <f t="shared" si="26"/>
        <v>2.2800843273696614E-4</v>
      </c>
      <c r="J160" s="20" t="str">
        <f t="shared" si="27"/>
        <v/>
      </c>
      <c r="K160" s="15" t="str">
        <f t="shared" si="28"/>
        <v/>
      </c>
      <c r="L160" s="15" t="str">
        <f t="shared" si="29"/>
        <v/>
      </c>
      <c r="M160" s="15">
        <f t="shared" si="33"/>
        <v>9.5993624897735552E-2</v>
      </c>
      <c r="N160" s="15">
        <f t="shared" si="34"/>
        <v>0.40600122473974287</v>
      </c>
      <c r="O160" s="15">
        <f t="shared" si="35"/>
        <v>9.604872690415811E-2</v>
      </c>
      <c r="P160" s="18">
        <f>IF(SUMIFS('Daily NSE Equity Futures'!$J:$J,'Daily NSE Equity Futures'!$A:$A,$A160)=0,"",SUMIFS('Daily NSE Equity Futures'!$J:$J,'Daily NSE Equity Futures'!$A:$A,$A160))</f>
        <v>1305262</v>
      </c>
      <c r="Q160" s="7">
        <f>IF(SUMIFS('Daily BSE Equity Futures'!$J:$J,'Daily BSE Equity Futures'!$A:$A,$A160)=0,"",SUMIFS('Daily BSE Equity Futures'!$J:$J,'Daily BSE Equity Futures'!$A:$A,$A160))</f>
        <v>227</v>
      </c>
      <c r="R160" s="7">
        <f t="shared" si="30"/>
        <v>1305489</v>
      </c>
      <c r="S160" s="19">
        <f t="shared" si="31"/>
        <v>0.99982611879533267</v>
      </c>
      <c r="T160" s="19">
        <f t="shared" si="32"/>
        <v>1.7388120466736986E-4</v>
      </c>
    </row>
    <row r="161" spans="1:20" x14ac:dyDescent="0.2">
      <c r="A161" s="9">
        <v>44154</v>
      </c>
      <c r="B161" s="4" t="s">
        <v>224</v>
      </c>
      <c r="C161" s="8">
        <v>44136</v>
      </c>
      <c r="D161" s="4" t="s">
        <v>175</v>
      </c>
      <c r="E161" s="14">
        <f>IF(SUMIFS('Daily NSE Equity Futures'!$I:$I,'Daily NSE Equity Futures'!$A:$A,$A161)=0,"",SUMIFS('Daily NSE Equity Futures'!$I:$I,'Daily NSE Equity Futures'!$A:$A,$A161))</f>
        <v>1216.8015</v>
      </c>
      <c r="F161" s="6">
        <f>IF(SUMIFS('Daily BSE Equity Futures'!$I:$I,'Daily BSE Equity Futures'!$A:$A,$A161)=0,"",SUMIFS('Daily BSE Equity Futures'!$I:$I,'Daily BSE Equity Futures'!$A:$A,$A161))</f>
        <v>0.39879999999999999</v>
      </c>
      <c r="G161" s="6">
        <f t="shared" si="24"/>
        <v>1217.2003</v>
      </c>
      <c r="H161" s="15">
        <f t="shared" si="25"/>
        <v>0.99967236288062045</v>
      </c>
      <c r="I161" s="15">
        <f t="shared" si="26"/>
        <v>3.2763711937961235E-4</v>
      </c>
      <c r="J161" s="20" t="str">
        <f t="shared" si="27"/>
        <v/>
      </c>
      <c r="K161" s="15" t="str">
        <f t="shared" si="28"/>
        <v/>
      </c>
      <c r="L161" s="15" t="str">
        <f t="shared" si="29"/>
        <v/>
      </c>
      <c r="M161" s="15">
        <f t="shared" si="33"/>
        <v>0.20864231830183977</v>
      </c>
      <c r="N161" s="15">
        <f t="shared" si="34"/>
        <v>0.73693379790940772</v>
      </c>
      <c r="O161" s="15">
        <f t="shared" si="35"/>
        <v>0.20876277321413328</v>
      </c>
      <c r="P161" s="18">
        <f>IF(SUMIFS('Daily NSE Equity Futures'!$J:$J,'Daily NSE Equity Futures'!$A:$A,$A161)=0,"",SUMIFS('Daily NSE Equity Futures'!$J:$J,'Daily NSE Equity Futures'!$A:$A,$A161))</f>
        <v>1552350</v>
      </c>
      <c r="Q161" s="7">
        <f>IF(SUMIFS('Daily BSE Equity Futures'!$J:$J,'Daily BSE Equity Futures'!$A:$A,$A161)=0,"",SUMIFS('Daily BSE Equity Futures'!$J:$J,'Daily BSE Equity Futures'!$A:$A,$A161))</f>
        <v>395</v>
      </c>
      <c r="R161" s="7">
        <f t="shared" si="30"/>
        <v>1552745</v>
      </c>
      <c r="S161" s="19">
        <f t="shared" si="31"/>
        <v>0.99974561180361232</v>
      </c>
      <c r="T161" s="19">
        <f t="shared" si="32"/>
        <v>2.5438819638768761E-4</v>
      </c>
    </row>
    <row r="162" spans="1:20" x14ac:dyDescent="0.2">
      <c r="A162" s="9">
        <v>44155</v>
      </c>
      <c r="B162" s="4" t="s">
        <v>222</v>
      </c>
      <c r="C162" s="8">
        <v>44136</v>
      </c>
      <c r="D162" s="4" t="s">
        <v>175</v>
      </c>
      <c r="E162" s="14">
        <f>IF(SUMIFS('Daily NSE Equity Futures'!$I:$I,'Daily NSE Equity Futures'!$A:$A,$A162)=0,"",SUMIFS('Daily NSE Equity Futures'!$I:$I,'Daily NSE Equity Futures'!$A:$A,$A162))</f>
        <v>1397.7727</v>
      </c>
      <c r="F162" s="6">
        <f>IF(SUMIFS('Daily BSE Equity Futures'!$I:$I,'Daily BSE Equity Futures'!$A:$A,$A162)=0,"",SUMIFS('Daily BSE Equity Futures'!$I:$I,'Daily BSE Equity Futures'!$A:$A,$A162))</f>
        <v>0.54920000000000002</v>
      </c>
      <c r="G162" s="6">
        <f t="shared" si="24"/>
        <v>1398.3218999999999</v>
      </c>
      <c r="H162" s="15">
        <f t="shared" si="25"/>
        <v>0.99960724351095409</v>
      </c>
      <c r="I162" s="15">
        <f t="shared" si="26"/>
        <v>3.9275648904590573E-4</v>
      </c>
      <c r="J162" s="20" t="str">
        <f t="shared" si="27"/>
        <v/>
      </c>
      <c r="K162" s="15" t="str">
        <f t="shared" si="28"/>
        <v/>
      </c>
      <c r="L162" s="15" t="str">
        <f t="shared" si="29"/>
        <v/>
      </c>
      <c r="M162" s="15">
        <f t="shared" si="33"/>
        <v>0.14872696984676614</v>
      </c>
      <c r="N162" s="15">
        <f t="shared" si="34"/>
        <v>0.37713139418254782</v>
      </c>
      <c r="O162" s="15">
        <f t="shared" si="35"/>
        <v>0.1488018036144092</v>
      </c>
      <c r="P162" s="18">
        <f>IF(SUMIFS('Daily NSE Equity Futures'!$J:$J,'Daily NSE Equity Futures'!$A:$A,$A162)=0,"",SUMIFS('Daily NSE Equity Futures'!$J:$J,'Daily NSE Equity Futures'!$A:$A,$A162))</f>
        <v>1776664</v>
      </c>
      <c r="Q162" s="7">
        <f>IF(SUMIFS('Daily BSE Equity Futures'!$J:$J,'Daily BSE Equity Futures'!$A:$A,$A162)=0,"",SUMIFS('Daily BSE Equity Futures'!$J:$J,'Daily BSE Equity Futures'!$A:$A,$A162))</f>
        <v>546</v>
      </c>
      <c r="R162" s="7">
        <f t="shared" si="30"/>
        <v>1777210</v>
      </c>
      <c r="S162" s="19">
        <f t="shared" si="31"/>
        <v>0.9996927768806162</v>
      </c>
      <c r="T162" s="19">
        <f t="shared" si="32"/>
        <v>3.0722311938375318E-4</v>
      </c>
    </row>
    <row r="163" spans="1:20" x14ac:dyDescent="0.2">
      <c r="A163" s="9">
        <v>44158</v>
      </c>
      <c r="B163" s="4" t="s">
        <v>225</v>
      </c>
      <c r="C163" s="8">
        <v>44136</v>
      </c>
      <c r="D163" s="4" t="s">
        <v>175</v>
      </c>
      <c r="E163" s="14">
        <f>IF(SUMIFS('Daily NSE Equity Futures'!$I:$I,'Daily NSE Equity Futures'!$A:$A,$A163)=0,"",SUMIFS('Daily NSE Equity Futures'!$I:$I,'Daily NSE Equity Futures'!$A:$A,$A163))</f>
        <v>1667.0853999999999</v>
      </c>
      <c r="F163" s="6">
        <f>IF(SUMIFS('Daily BSE Equity Futures'!$I:$I,'Daily BSE Equity Futures'!$A:$A,$A163)=0,"",SUMIFS('Daily BSE Equity Futures'!$I:$I,'Daily BSE Equity Futures'!$A:$A,$A163))</f>
        <v>0.44640000000000002</v>
      </c>
      <c r="G163" s="6">
        <f t="shared" si="24"/>
        <v>1667.5318</v>
      </c>
      <c r="H163" s="15">
        <f t="shared" si="25"/>
        <v>0.99973229895825677</v>
      </c>
      <c r="I163" s="15">
        <f t="shared" si="26"/>
        <v>2.6770104174325194E-4</v>
      </c>
      <c r="J163" s="20" t="str">
        <f t="shared" si="27"/>
        <v/>
      </c>
      <c r="K163" s="15" t="str">
        <f t="shared" si="28"/>
        <v/>
      </c>
      <c r="L163" s="15" t="str">
        <f t="shared" si="29"/>
        <v/>
      </c>
      <c r="M163" s="15">
        <f t="shared" si="33"/>
        <v>0.19267274285726144</v>
      </c>
      <c r="N163" s="15">
        <f t="shared" si="34"/>
        <v>-0.18718135469774222</v>
      </c>
      <c r="O163" s="15">
        <f t="shared" si="35"/>
        <v>0.19252355269555599</v>
      </c>
      <c r="P163" s="18">
        <f>IF(SUMIFS('Daily NSE Equity Futures'!$J:$J,'Daily NSE Equity Futures'!$A:$A,$A163)=0,"",SUMIFS('Daily NSE Equity Futures'!$J:$J,'Daily NSE Equity Futures'!$A:$A,$A163))</f>
        <v>2142229</v>
      </c>
      <c r="Q163" s="7">
        <f>IF(SUMIFS('Daily BSE Equity Futures'!$J:$J,'Daily BSE Equity Futures'!$A:$A,$A163)=0,"",SUMIFS('Daily BSE Equity Futures'!$J:$J,'Daily BSE Equity Futures'!$A:$A,$A163))</f>
        <v>441</v>
      </c>
      <c r="R163" s="7">
        <f t="shared" si="30"/>
        <v>2142670</v>
      </c>
      <c r="S163" s="19">
        <f t="shared" si="31"/>
        <v>0.99979418202523018</v>
      </c>
      <c r="T163" s="19">
        <f t="shared" si="32"/>
        <v>2.0581797476979658E-4</v>
      </c>
    </row>
    <row r="164" spans="1:20" x14ac:dyDescent="0.2">
      <c r="A164" s="9">
        <v>44159</v>
      </c>
      <c r="B164" s="4" t="s">
        <v>223</v>
      </c>
      <c r="C164" s="8">
        <v>44136</v>
      </c>
      <c r="D164" s="4" t="s">
        <v>175</v>
      </c>
      <c r="E164" s="14">
        <f>IF(SUMIFS('Daily NSE Equity Futures'!$I:$I,'Daily NSE Equity Futures'!$A:$A,$A164)=0,"",SUMIFS('Daily NSE Equity Futures'!$I:$I,'Daily NSE Equity Futures'!$A:$A,$A164))</f>
        <v>1799.5081</v>
      </c>
      <c r="F164" s="6">
        <f>IF(SUMIFS('Daily BSE Equity Futures'!$I:$I,'Daily BSE Equity Futures'!$A:$A,$A164)=0,"",SUMIFS('Daily BSE Equity Futures'!$I:$I,'Daily BSE Equity Futures'!$A:$A,$A164))</f>
        <v>8.9899999999999994E-2</v>
      </c>
      <c r="G164" s="6">
        <f t="shared" si="24"/>
        <v>1799.598</v>
      </c>
      <c r="H164" s="15">
        <f t="shared" si="25"/>
        <v>0.99995004439880464</v>
      </c>
      <c r="I164" s="15">
        <f t="shared" si="26"/>
        <v>4.9955601195378079E-5</v>
      </c>
      <c r="J164" s="20" t="str">
        <f t="shared" si="27"/>
        <v/>
      </c>
      <c r="K164" s="15" t="str">
        <f t="shared" si="28"/>
        <v/>
      </c>
      <c r="L164" s="15" t="str">
        <f t="shared" si="29"/>
        <v/>
      </c>
      <c r="M164" s="15">
        <f t="shared" si="33"/>
        <v>7.943366308648625E-2</v>
      </c>
      <c r="N164" s="15">
        <f t="shared" si="34"/>
        <v>-0.79861111111111116</v>
      </c>
      <c r="O164" s="15">
        <f t="shared" si="35"/>
        <v>7.9198609585736213E-2</v>
      </c>
      <c r="P164" s="18">
        <f>IF(SUMIFS('Daily NSE Equity Futures'!$J:$J,'Daily NSE Equity Futures'!$A:$A,$A164)=0,"",SUMIFS('Daily NSE Equity Futures'!$J:$J,'Daily NSE Equity Futures'!$A:$A,$A164))</f>
        <v>2323583</v>
      </c>
      <c r="Q164" s="7">
        <f>IF(SUMIFS('Daily BSE Equity Futures'!$J:$J,'Daily BSE Equity Futures'!$A:$A,$A164)=0,"",SUMIFS('Daily BSE Equity Futures'!$J:$J,'Daily BSE Equity Futures'!$A:$A,$A164))</f>
        <v>88</v>
      </c>
      <c r="R164" s="7">
        <f t="shared" si="30"/>
        <v>2323671</v>
      </c>
      <c r="S164" s="19">
        <f t="shared" si="31"/>
        <v>0.99996212889001923</v>
      </c>
      <c r="T164" s="19">
        <f t="shared" si="32"/>
        <v>3.7871109980715856E-5</v>
      </c>
    </row>
    <row r="165" spans="1:20" x14ac:dyDescent="0.2">
      <c r="A165" s="9">
        <v>44160</v>
      </c>
      <c r="B165" s="4" t="s">
        <v>221</v>
      </c>
      <c r="C165" s="8">
        <v>44136</v>
      </c>
      <c r="D165" s="4" t="s">
        <v>175</v>
      </c>
      <c r="E165" s="14">
        <f>IF(SUMIFS('Daily NSE Equity Futures'!$I:$I,'Daily NSE Equity Futures'!$A:$A,$A165)=0,"",SUMIFS('Daily NSE Equity Futures'!$I:$I,'Daily NSE Equity Futures'!$A:$A,$A165))</f>
        <v>2056.5700999999999</v>
      </c>
      <c r="F165" s="6">
        <f>IF(SUMIFS('Daily BSE Equity Futures'!$I:$I,'Daily BSE Equity Futures'!$A:$A,$A165)=0,"",SUMIFS('Daily BSE Equity Futures'!$I:$I,'Daily BSE Equity Futures'!$A:$A,$A165))</f>
        <v>0.2596</v>
      </c>
      <c r="G165" s="6">
        <f t="shared" si="24"/>
        <v>2056.8296999999998</v>
      </c>
      <c r="H165" s="15">
        <f t="shared" si="25"/>
        <v>0.99987378634215562</v>
      </c>
      <c r="I165" s="15">
        <f t="shared" si="26"/>
        <v>1.2621365784440007E-4</v>
      </c>
      <c r="J165" s="20" t="str">
        <f t="shared" si="27"/>
        <v/>
      </c>
      <c r="K165" s="15" t="str">
        <f t="shared" si="28"/>
        <v/>
      </c>
      <c r="L165" s="15" t="str">
        <f t="shared" si="29"/>
        <v/>
      </c>
      <c r="M165" s="15">
        <f t="shared" si="33"/>
        <v>0.14285126029718898</v>
      </c>
      <c r="N165" s="15">
        <f t="shared" si="34"/>
        <v>1.8876529477196886</v>
      </c>
      <c r="O165" s="15">
        <f t="shared" si="35"/>
        <v>0.1429384229144508</v>
      </c>
      <c r="P165" s="18">
        <f>IF(SUMIFS('Daily NSE Equity Futures'!$J:$J,'Daily NSE Equity Futures'!$A:$A,$A165)=0,"",SUMIFS('Daily NSE Equity Futures'!$J:$J,'Daily NSE Equity Futures'!$A:$A,$A165))</f>
        <v>2638026</v>
      </c>
      <c r="Q165" s="7">
        <f>IF(SUMIFS('Daily BSE Equity Futures'!$J:$J,'Daily BSE Equity Futures'!$A:$A,$A165)=0,"",SUMIFS('Daily BSE Equity Futures'!$J:$J,'Daily BSE Equity Futures'!$A:$A,$A165))</f>
        <v>255</v>
      </c>
      <c r="R165" s="7">
        <f t="shared" si="30"/>
        <v>2638281</v>
      </c>
      <c r="S165" s="19">
        <f t="shared" si="31"/>
        <v>0.99990334615607668</v>
      </c>
      <c r="T165" s="19">
        <f t="shared" si="32"/>
        <v>9.6653843923372832E-5</v>
      </c>
    </row>
    <row r="166" spans="1:20" x14ac:dyDescent="0.2">
      <c r="A166" s="9">
        <v>44161</v>
      </c>
      <c r="B166" s="4" t="s">
        <v>224</v>
      </c>
      <c r="C166" s="8">
        <v>44136</v>
      </c>
      <c r="D166" s="4" t="s">
        <v>175</v>
      </c>
      <c r="E166" s="14">
        <f>IF(SUMIFS('Daily NSE Equity Futures'!$I:$I,'Daily NSE Equity Futures'!$A:$A,$A166)=0,"",SUMIFS('Daily NSE Equity Futures'!$I:$I,'Daily NSE Equity Futures'!$A:$A,$A166))</f>
        <v>1679.5154</v>
      </c>
      <c r="F166" s="6">
        <f>IF(SUMIFS('Daily BSE Equity Futures'!$I:$I,'Daily BSE Equity Futures'!$A:$A,$A166)=0,"",SUMIFS('Daily BSE Equity Futures'!$I:$I,'Daily BSE Equity Futures'!$A:$A,$A166))</f>
        <v>0.4012</v>
      </c>
      <c r="G166" s="6">
        <f t="shared" si="24"/>
        <v>1679.9166</v>
      </c>
      <c r="H166" s="15">
        <f t="shared" si="25"/>
        <v>0.9997611786204148</v>
      </c>
      <c r="I166" s="15">
        <f t="shared" si="26"/>
        <v>2.3882137958515322E-4</v>
      </c>
      <c r="J166" s="20" t="str">
        <f t="shared" si="27"/>
        <v/>
      </c>
      <c r="K166" s="15" t="str">
        <f t="shared" si="28"/>
        <v/>
      </c>
      <c r="L166" s="15" t="str">
        <f t="shared" si="29"/>
        <v/>
      </c>
      <c r="M166" s="15">
        <f t="shared" si="33"/>
        <v>-0.18334152577633989</v>
      </c>
      <c r="N166" s="15">
        <f t="shared" si="34"/>
        <v>0.54545454545454541</v>
      </c>
      <c r="O166" s="15">
        <f t="shared" si="35"/>
        <v>-0.18324954175836716</v>
      </c>
      <c r="P166" s="18">
        <f>IF(SUMIFS('Daily NSE Equity Futures'!$J:$J,'Daily NSE Equity Futures'!$A:$A,$A166)=0,"",SUMIFS('Daily NSE Equity Futures'!$J:$J,'Daily NSE Equity Futures'!$A:$A,$A166))</f>
        <v>2139470</v>
      </c>
      <c r="Q166" s="7">
        <f>IF(SUMIFS('Daily BSE Equity Futures'!$J:$J,'Daily BSE Equity Futures'!$A:$A,$A166)=0,"",SUMIFS('Daily BSE Equity Futures'!$J:$J,'Daily BSE Equity Futures'!$A:$A,$A166))</f>
        <v>397</v>
      </c>
      <c r="R166" s="7">
        <f t="shared" si="30"/>
        <v>2139867</v>
      </c>
      <c r="S166" s="19">
        <f t="shared" si="31"/>
        <v>0.99981447445098226</v>
      </c>
      <c r="T166" s="19">
        <f t="shared" si="32"/>
        <v>1.8552554901776606E-4</v>
      </c>
    </row>
    <row r="167" spans="1:20" x14ac:dyDescent="0.2">
      <c r="A167" s="9">
        <v>44162</v>
      </c>
      <c r="B167" s="4" t="s">
        <v>222</v>
      </c>
      <c r="C167" s="8">
        <v>44136</v>
      </c>
      <c r="D167" s="4" t="s">
        <v>175</v>
      </c>
      <c r="E167" s="14">
        <f>IF(SUMIFS('Daily NSE Equity Futures'!$I:$I,'Daily NSE Equity Futures'!$A:$A,$A167)=0,"",SUMIFS('Daily NSE Equity Futures'!$I:$I,'Daily NSE Equity Futures'!$A:$A,$A167))</f>
        <v>1288.2557999999999</v>
      </c>
      <c r="F167" s="6">
        <f>IF(SUMIFS('Daily BSE Equity Futures'!$I:$I,'Daily BSE Equity Futures'!$A:$A,$A167)=0,"",SUMIFS('Daily BSE Equity Futures'!$I:$I,'Daily BSE Equity Futures'!$A:$A,$A167))</f>
        <v>0.3644</v>
      </c>
      <c r="G167" s="6">
        <f t="shared" si="24"/>
        <v>1288.6201999999998</v>
      </c>
      <c r="H167" s="15">
        <f t="shared" si="25"/>
        <v>0.99971721691154625</v>
      </c>
      <c r="I167" s="15">
        <f t="shared" si="26"/>
        <v>2.8278308845383615E-4</v>
      </c>
      <c r="J167" s="20" t="str">
        <f t="shared" si="27"/>
        <v/>
      </c>
      <c r="K167" s="15" t="str">
        <f t="shared" si="28"/>
        <v/>
      </c>
      <c r="L167" s="15" t="str">
        <f t="shared" si="29"/>
        <v/>
      </c>
      <c r="M167" s="15">
        <f t="shared" si="33"/>
        <v>-0.23295981686145906</v>
      </c>
      <c r="N167" s="15">
        <f t="shared" si="34"/>
        <v>-9.1724825523429754E-2</v>
      </c>
      <c r="O167" s="15">
        <f t="shared" si="35"/>
        <v>-0.23292608692598205</v>
      </c>
      <c r="P167" s="18">
        <f>IF(SUMIFS('Daily NSE Equity Futures'!$J:$J,'Daily NSE Equity Futures'!$A:$A,$A167)=0,"",SUMIFS('Daily NSE Equity Futures'!$J:$J,'Daily NSE Equity Futures'!$A:$A,$A167))</f>
        <v>1630453</v>
      </c>
      <c r="Q167" s="7">
        <f>IF(SUMIFS('Daily BSE Equity Futures'!$J:$J,'Daily BSE Equity Futures'!$A:$A,$A167)=0,"",SUMIFS('Daily BSE Equity Futures'!$J:$J,'Daily BSE Equity Futures'!$A:$A,$A167))</f>
        <v>358</v>
      </c>
      <c r="R167" s="7">
        <f t="shared" si="30"/>
        <v>1630811</v>
      </c>
      <c r="S167" s="19">
        <f t="shared" si="31"/>
        <v>0.99978047732079312</v>
      </c>
      <c r="T167" s="19">
        <f t="shared" si="32"/>
        <v>2.195226792068486E-4</v>
      </c>
    </row>
    <row r="168" spans="1:20" x14ac:dyDescent="0.2">
      <c r="A168" s="9">
        <v>44166</v>
      </c>
      <c r="B168" s="4" t="s">
        <v>223</v>
      </c>
      <c r="C168" s="8">
        <v>44166</v>
      </c>
      <c r="D168" s="4" t="s">
        <v>175</v>
      </c>
      <c r="E168" s="14">
        <f>IF(SUMIFS('Daily NSE Equity Futures'!$I:$I,'Daily NSE Equity Futures'!$A:$A,$A168)=0,"",SUMIFS('Daily NSE Equity Futures'!$I:$I,'Daily NSE Equity Futures'!$A:$A,$A168))</f>
        <v>813.44780000000003</v>
      </c>
      <c r="F168" s="6">
        <f>IF(SUMIFS('Daily BSE Equity Futures'!$I:$I,'Daily BSE Equity Futures'!$A:$A,$A168)=0,"",SUMIFS('Daily BSE Equity Futures'!$I:$I,'Daily BSE Equity Futures'!$A:$A,$A168))</f>
        <v>0.10150000000000001</v>
      </c>
      <c r="G168" s="6">
        <f t="shared" si="24"/>
        <v>813.54930000000002</v>
      </c>
      <c r="H168" s="15">
        <f t="shared" si="25"/>
        <v>0.99987523804642209</v>
      </c>
      <c r="I168" s="15">
        <f t="shared" si="26"/>
        <v>1.2476195357798232E-4</v>
      </c>
      <c r="J168" s="20" t="str">
        <f t="shared" si="27"/>
        <v/>
      </c>
      <c r="K168" s="15" t="str">
        <f t="shared" si="28"/>
        <v/>
      </c>
      <c r="L168" s="15" t="str">
        <f t="shared" si="29"/>
        <v/>
      </c>
      <c r="M168" s="15">
        <f t="shared" si="33"/>
        <v>-0.36856655331961241</v>
      </c>
      <c r="N168" s="15">
        <f t="shared" si="34"/>
        <v>-0.72145993413830956</v>
      </c>
      <c r="O168" s="15">
        <f t="shared" si="35"/>
        <v>-0.36866634559973521</v>
      </c>
      <c r="P168" s="18">
        <f>IF(SUMIFS('Daily NSE Equity Futures'!$J:$J,'Daily NSE Equity Futures'!$A:$A,$A168)=0,"",SUMIFS('Daily NSE Equity Futures'!$J:$J,'Daily NSE Equity Futures'!$A:$A,$A168))</f>
        <v>1024567</v>
      </c>
      <c r="Q168" s="7">
        <f>IF(SUMIFS('Daily BSE Equity Futures'!$J:$J,'Daily BSE Equity Futures'!$A:$A,$A168)=0,"",SUMIFS('Daily BSE Equity Futures'!$J:$J,'Daily BSE Equity Futures'!$A:$A,$A168))</f>
        <v>99</v>
      </c>
      <c r="R168" s="7">
        <f t="shared" si="30"/>
        <v>1024666</v>
      </c>
      <c r="S168" s="19">
        <f t="shared" si="31"/>
        <v>0.99990338315119265</v>
      </c>
      <c r="T168" s="19">
        <f t="shared" si="32"/>
        <v>9.6616848807318673E-5</v>
      </c>
    </row>
    <row r="169" spans="1:20" x14ac:dyDescent="0.2">
      <c r="A169" s="9">
        <v>44167</v>
      </c>
      <c r="B169" s="4" t="s">
        <v>221</v>
      </c>
      <c r="C169" s="8">
        <v>44166</v>
      </c>
      <c r="D169" s="4" t="s">
        <v>175</v>
      </c>
      <c r="E169" s="14">
        <f>IF(SUMIFS('Daily NSE Equity Futures'!$I:$I,'Daily NSE Equity Futures'!$A:$A,$A169)=0,"",SUMIFS('Daily NSE Equity Futures'!$I:$I,'Daily NSE Equity Futures'!$A:$A,$A169))</f>
        <v>948.07159999999999</v>
      </c>
      <c r="F169" s="6">
        <f>IF(SUMIFS('Daily BSE Equity Futures'!$I:$I,'Daily BSE Equity Futures'!$A:$A,$A169)=0,"",SUMIFS('Daily BSE Equity Futures'!$I:$I,'Daily BSE Equity Futures'!$A:$A,$A169))</f>
        <v>0.27650000000000002</v>
      </c>
      <c r="G169" s="6">
        <f t="shared" si="24"/>
        <v>948.34810000000004</v>
      </c>
      <c r="H169" s="15">
        <f t="shared" si="25"/>
        <v>0.99970844039229889</v>
      </c>
      <c r="I169" s="15">
        <f t="shared" si="26"/>
        <v>2.915596077010119E-4</v>
      </c>
      <c r="J169" s="20" t="str">
        <f t="shared" si="27"/>
        <v/>
      </c>
      <c r="K169" s="15" t="str">
        <f t="shared" si="28"/>
        <v/>
      </c>
      <c r="L169" s="15" t="str">
        <f t="shared" si="29"/>
        <v/>
      </c>
      <c r="M169" s="15">
        <f t="shared" si="33"/>
        <v>0.16549777379691721</v>
      </c>
      <c r="N169" s="15">
        <f t="shared" si="34"/>
        <v>1.7241379310344827</v>
      </c>
      <c r="O169" s="15">
        <f t="shared" si="35"/>
        <v>0.16569223278785938</v>
      </c>
      <c r="P169" s="18">
        <f>IF(SUMIFS('Daily NSE Equity Futures'!$J:$J,'Daily NSE Equity Futures'!$A:$A,$A169)=0,"",SUMIFS('Daily NSE Equity Futures'!$J:$J,'Daily NSE Equity Futures'!$A:$A,$A169))</f>
        <v>1191365</v>
      </c>
      <c r="Q169" s="7">
        <f>IF(SUMIFS('Daily BSE Equity Futures'!$J:$J,'Daily BSE Equity Futures'!$A:$A,$A169)=0,"",SUMIFS('Daily BSE Equity Futures'!$J:$J,'Daily BSE Equity Futures'!$A:$A,$A169))</f>
        <v>269</v>
      </c>
      <c r="R169" s="7">
        <f t="shared" si="30"/>
        <v>1191634</v>
      </c>
      <c r="S169" s="19">
        <f t="shared" si="31"/>
        <v>0.99977425954613586</v>
      </c>
      <c r="T169" s="19">
        <f t="shared" si="32"/>
        <v>2.2574045386418985E-4</v>
      </c>
    </row>
    <row r="170" spans="1:20" x14ac:dyDescent="0.2">
      <c r="A170" s="9">
        <v>44168</v>
      </c>
      <c r="B170" s="4" t="s">
        <v>224</v>
      </c>
      <c r="C170" s="8">
        <v>44166</v>
      </c>
      <c r="D170" s="4" t="s">
        <v>175</v>
      </c>
      <c r="E170" s="14">
        <f>IF(SUMIFS('Daily NSE Equity Futures'!$I:$I,'Daily NSE Equity Futures'!$A:$A,$A170)=0,"",SUMIFS('Daily NSE Equity Futures'!$I:$I,'Daily NSE Equity Futures'!$A:$A,$A170))</f>
        <v>914.11490000000003</v>
      </c>
      <c r="F170" s="6">
        <f>IF(SUMIFS('Daily BSE Equity Futures'!$I:$I,'Daily BSE Equity Futures'!$A:$A,$A170)=0,"",SUMIFS('Daily BSE Equity Futures'!$I:$I,'Daily BSE Equity Futures'!$A:$A,$A170))</f>
        <v>0.158</v>
      </c>
      <c r="G170" s="6">
        <f t="shared" si="24"/>
        <v>914.27290000000005</v>
      </c>
      <c r="H170" s="15">
        <f t="shared" si="25"/>
        <v>0.99982718507789081</v>
      </c>
      <c r="I170" s="15">
        <f t="shared" si="26"/>
        <v>1.7281492210914268E-4</v>
      </c>
      <c r="J170" s="20" t="str">
        <f t="shared" si="27"/>
        <v/>
      </c>
      <c r="K170" s="15" t="str">
        <f t="shared" si="28"/>
        <v/>
      </c>
      <c r="L170" s="15" t="str">
        <f t="shared" si="29"/>
        <v/>
      </c>
      <c r="M170" s="15">
        <f t="shared" si="33"/>
        <v>-3.5816598661957522E-2</v>
      </c>
      <c r="N170" s="15">
        <f t="shared" si="34"/>
        <v>-0.4285714285714286</v>
      </c>
      <c r="O170" s="15">
        <f t="shared" si="35"/>
        <v>-3.5931110106088626E-2</v>
      </c>
      <c r="P170" s="18">
        <f>IF(SUMIFS('Daily NSE Equity Futures'!$J:$J,'Daily NSE Equity Futures'!$A:$A,$A170)=0,"",SUMIFS('Daily NSE Equity Futures'!$J:$J,'Daily NSE Equity Futures'!$A:$A,$A170))</f>
        <v>1159420</v>
      </c>
      <c r="Q170" s="7">
        <f>IF(SUMIFS('Daily BSE Equity Futures'!$J:$J,'Daily BSE Equity Futures'!$A:$A,$A170)=0,"",SUMIFS('Daily BSE Equity Futures'!$J:$J,'Daily BSE Equity Futures'!$A:$A,$A170))</f>
        <v>153</v>
      </c>
      <c r="R170" s="7">
        <f t="shared" si="30"/>
        <v>1159573</v>
      </c>
      <c r="S170" s="19">
        <f t="shared" si="31"/>
        <v>0.9998680548788218</v>
      </c>
      <c r="T170" s="19">
        <f t="shared" si="32"/>
        <v>1.3194512117822681E-4</v>
      </c>
    </row>
    <row r="171" spans="1:20" x14ac:dyDescent="0.2">
      <c r="A171" s="9">
        <v>44169</v>
      </c>
      <c r="B171" s="4" t="s">
        <v>222</v>
      </c>
      <c r="C171" s="8">
        <v>44166</v>
      </c>
      <c r="D171" s="4" t="s">
        <v>175</v>
      </c>
      <c r="E171" s="14">
        <f>IF(SUMIFS('Daily NSE Equity Futures'!$I:$I,'Daily NSE Equity Futures'!$A:$A,$A171)=0,"",SUMIFS('Daily NSE Equity Futures'!$I:$I,'Daily NSE Equity Futures'!$A:$A,$A171))</f>
        <v>1038.0033000000001</v>
      </c>
      <c r="F171" s="6">
        <f>IF(SUMIFS('Daily BSE Equity Futures'!$I:$I,'Daily BSE Equity Futures'!$A:$A,$A171)=0,"",SUMIFS('Daily BSE Equity Futures'!$I:$I,'Daily BSE Equity Futures'!$A:$A,$A171))</f>
        <v>0.1671</v>
      </c>
      <c r="G171" s="6">
        <f t="shared" si="24"/>
        <v>1038.1704</v>
      </c>
      <c r="H171" s="15">
        <f t="shared" si="25"/>
        <v>0.99983904376391397</v>
      </c>
      <c r="I171" s="15">
        <f t="shared" si="26"/>
        <v>1.6095623608609915E-4</v>
      </c>
      <c r="J171" s="20" t="str">
        <f t="shared" si="27"/>
        <v/>
      </c>
      <c r="K171" s="15" t="str">
        <f t="shared" si="28"/>
        <v/>
      </c>
      <c r="L171" s="15" t="str">
        <f t="shared" si="29"/>
        <v/>
      </c>
      <c r="M171" s="15">
        <f t="shared" si="33"/>
        <v>0.13552825799032497</v>
      </c>
      <c r="N171" s="15">
        <f t="shared" si="34"/>
        <v>5.7594936708860844E-2</v>
      </c>
      <c r="O171" s="15">
        <f t="shared" si="35"/>
        <v>0.13551478994947774</v>
      </c>
      <c r="P171" s="18">
        <f>IF(SUMIFS('Daily NSE Equity Futures'!$J:$J,'Daily NSE Equity Futures'!$A:$A,$A171)=0,"",SUMIFS('Daily NSE Equity Futures'!$J:$J,'Daily NSE Equity Futures'!$A:$A,$A171))</f>
        <v>1292151</v>
      </c>
      <c r="Q171" s="7">
        <f>IF(SUMIFS('Daily BSE Equity Futures'!$J:$J,'Daily BSE Equity Futures'!$A:$A,$A171)=0,"",SUMIFS('Daily BSE Equity Futures'!$J:$J,'Daily BSE Equity Futures'!$A:$A,$A171))</f>
        <v>161</v>
      </c>
      <c r="R171" s="7">
        <f t="shared" si="30"/>
        <v>1292312</v>
      </c>
      <c r="S171" s="19">
        <f t="shared" si="31"/>
        <v>0.99987541708194305</v>
      </c>
      <c r="T171" s="19">
        <f t="shared" si="32"/>
        <v>1.245829180569398E-4</v>
      </c>
    </row>
    <row r="172" spans="1:20" x14ac:dyDescent="0.2">
      <c r="A172" s="9">
        <v>44172</v>
      </c>
      <c r="B172" s="4" t="s">
        <v>225</v>
      </c>
      <c r="C172" s="8">
        <v>44166</v>
      </c>
      <c r="D172" s="4" t="s">
        <v>175</v>
      </c>
      <c r="E172" s="14">
        <f>IF(SUMIFS('Daily NSE Equity Futures'!$I:$I,'Daily NSE Equity Futures'!$A:$A,$A172)=0,"",SUMIFS('Daily NSE Equity Futures'!$I:$I,'Daily NSE Equity Futures'!$A:$A,$A172))</f>
        <v>862.64359999999999</v>
      </c>
      <c r="F172" s="6">
        <f>IF(SUMIFS('Daily BSE Equity Futures'!$I:$I,'Daily BSE Equity Futures'!$A:$A,$A172)=0,"",SUMIFS('Daily BSE Equity Futures'!$I:$I,'Daily BSE Equity Futures'!$A:$A,$A172))</f>
        <v>0.30409999999999998</v>
      </c>
      <c r="G172" s="6">
        <f t="shared" si="24"/>
        <v>862.94769999999994</v>
      </c>
      <c r="H172" s="15">
        <f t="shared" si="25"/>
        <v>0.99964760320932544</v>
      </c>
      <c r="I172" s="15">
        <f t="shared" si="26"/>
        <v>3.5239679067456813E-4</v>
      </c>
      <c r="J172" s="20" t="str">
        <f t="shared" si="27"/>
        <v/>
      </c>
      <c r="K172" s="15" t="str">
        <f t="shared" si="28"/>
        <v/>
      </c>
      <c r="L172" s="15" t="str">
        <f t="shared" si="29"/>
        <v/>
      </c>
      <c r="M172" s="15">
        <f t="shared" si="33"/>
        <v>-0.16893944364146052</v>
      </c>
      <c r="N172" s="15">
        <f t="shared" si="34"/>
        <v>0.81986834230999395</v>
      </c>
      <c r="O172" s="15">
        <f t="shared" si="35"/>
        <v>-0.16878028886202112</v>
      </c>
      <c r="P172" s="18">
        <f>IF(SUMIFS('Daily NSE Equity Futures'!$J:$J,'Daily NSE Equity Futures'!$A:$A,$A172)=0,"",SUMIFS('Daily NSE Equity Futures'!$J:$J,'Daily NSE Equity Futures'!$A:$A,$A172))</f>
        <v>1077413</v>
      </c>
      <c r="Q172" s="7">
        <f>IF(SUMIFS('Daily BSE Equity Futures'!$J:$J,'Daily BSE Equity Futures'!$A:$A,$A172)=0,"",SUMIFS('Daily BSE Equity Futures'!$J:$J,'Daily BSE Equity Futures'!$A:$A,$A172))</f>
        <v>291</v>
      </c>
      <c r="R172" s="7">
        <f t="shared" si="30"/>
        <v>1077704</v>
      </c>
      <c r="S172" s="19">
        <f t="shared" si="31"/>
        <v>0.99972998151626047</v>
      </c>
      <c r="T172" s="19">
        <f t="shared" si="32"/>
        <v>2.7001848373950545E-4</v>
      </c>
    </row>
    <row r="173" spans="1:20" x14ac:dyDescent="0.2">
      <c r="A173" s="9">
        <v>44173</v>
      </c>
      <c r="B173" s="4" t="s">
        <v>223</v>
      </c>
      <c r="C173" s="8">
        <v>44166</v>
      </c>
      <c r="D173" s="4" t="s">
        <v>175</v>
      </c>
      <c r="E173" s="14">
        <f>IF(SUMIFS('Daily NSE Equity Futures'!$I:$I,'Daily NSE Equity Futures'!$A:$A,$A173)=0,"",SUMIFS('Daily NSE Equity Futures'!$I:$I,'Daily NSE Equity Futures'!$A:$A,$A173))</f>
        <v>934.38319999999999</v>
      </c>
      <c r="F173" s="6">
        <f>IF(SUMIFS('Daily BSE Equity Futures'!$I:$I,'Daily BSE Equity Futures'!$A:$A,$A173)=0,"",SUMIFS('Daily BSE Equity Futures'!$I:$I,'Daily BSE Equity Futures'!$A:$A,$A173))</f>
        <v>0.2271</v>
      </c>
      <c r="G173" s="6">
        <f t="shared" si="24"/>
        <v>934.61029999999994</v>
      </c>
      <c r="H173" s="15">
        <f t="shared" si="25"/>
        <v>0.99975701102373904</v>
      </c>
      <c r="I173" s="15">
        <f t="shared" si="26"/>
        <v>2.429889762610149E-4</v>
      </c>
      <c r="J173" s="20" t="str">
        <f t="shared" si="27"/>
        <v/>
      </c>
      <c r="K173" s="15" t="str">
        <f t="shared" si="28"/>
        <v/>
      </c>
      <c r="L173" s="15" t="str">
        <f t="shared" si="29"/>
        <v/>
      </c>
      <c r="M173" s="15">
        <f t="shared" si="33"/>
        <v>8.3162501872152017E-2</v>
      </c>
      <c r="N173" s="15">
        <f t="shared" si="34"/>
        <v>-0.25320618217691548</v>
      </c>
      <c r="O173" s="15">
        <f t="shared" si="35"/>
        <v>8.3043966627409649E-2</v>
      </c>
      <c r="P173" s="18">
        <f>IF(SUMIFS('Daily NSE Equity Futures'!$J:$J,'Daily NSE Equity Futures'!$A:$A,$A173)=0,"",SUMIFS('Daily NSE Equity Futures'!$J:$J,'Daily NSE Equity Futures'!$A:$A,$A173))</f>
        <v>1146682</v>
      </c>
      <c r="Q173" s="7">
        <f>IF(SUMIFS('Daily BSE Equity Futures'!$J:$J,'Daily BSE Equity Futures'!$A:$A,$A173)=0,"",SUMIFS('Daily BSE Equity Futures'!$J:$J,'Daily BSE Equity Futures'!$A:$A,$A173))</f>
        <v>216</v>
      </c>
      <c r="R173" s="7">
        <f t="shared" si="30"/>
        <v>1146898</v>
      </c>
      <c r="S173" s="19">
        <f t="shared" si="31"/>
        <v>0.99981166590228598</v>
      </c>
      <c r="T173" s="19">
        <f t="shared" si="32"/>
        <v>1.8833409771400769E-4</v>
      </c>
    </row>
    <row r="174" spans="1:20" x14ac:dyDescent="0.2">
      <c r="A174" s="9">
        <v>44174</v>
      </c>
      <c r="B174" s="4" t="s">
        <v>221</v>
      </c>
      <c r="C174" s="8">
        <v>44166</v>
      </c>
      <c r="D174" s="4" t="s">
        <v>175</v>
      </c>
      <c r="E174" s="14">
        <f>IF(SUMIFS('Daily NSE Equity Futures'!$I:$I,'Daily NSE Equity Futures'!$A:$A,$A174)=0,"",SUMIFS('Daily NSE Equity Futures'!$I:$I,'Daily NSE Equity Futures'!$A:$A,$A174))</f>
        <v>837.92600000000004</v>
      </c>
      <c r="F174" s="6">
        <f>IF(SUMIFS('Daily BSE Equity Futures'!$I:$I,'Daily BSE Equity Futures'!$A:$A,$A174)=0,"",SUMIFS('Daily BSE Equity Futures'!$I:$I,'Daily BSE Equity Futures'!$A:$A,$A174))</f>
        <v>0.13039999999999999</v>
      </c>
      <c r="G174" s="6">
        <f t="shared" si="24"/>
        <v>838.05640000000005</v>
      </c>
      <c r="H174" s="15">
        <f t="shared" si="25"/>
        <v>0.99984440188035073</v>
      </c>
      <c r="I174" s="15">
        <f t="shared" si="26"/>
        <v>1.5559811964922644E-4</v>
      </c>
      <c r="J174" s="20" t="str">
        <f t="shared" si="27"/>
        <v/>
      </c>
      <c r="K174" s="15" t="str">
        <f t="shared" si="28"/>
        <v/>
      </c>
      <c r="L174" s="15" t="str">
        <f t="shared" si="29"/>
        <v/>
      </c>
      <c r="M174" s="15">
        <f t="shared" si="33"/>
        <v>-0.10323088000726033</v>
      </c>
      <c r="N174" s="15">
        <f t="shared" si="34"/>
        <v>-0.42580361074416562</v>
      </c>
      <c r="O174" s="15">
        <f t="shared" si="35"/>
        <v>-0.10330926162487175</v>
      </c>
      <c r="P174" s="18">
        <f>IF(SUMIFS('Daily NSE Equity Futures'!$J:$J,'Daily NSE Equity Futures'!$A:$A,$A174)=0,"",SUMIFS('Daily NSE Equity Futures'!$J:$J,'Daily NSE Equity Futures'!$A:$A,$A174))</f>
        <v>1027644</v>
      </c>
      <c r="Q174" s="7">
        <f>IF(SUMIFS('Daily BSE Equity Futures'!$J:$J,'Daily BSE Equity Futures'!$A:$A,$A174)=0,"",SUMIFS('Daily BSE Equity Futures'!$J:$J,'Daily BSE Equity Futures'!$A:$A,$A174))</f>
        <v>123</v>
      </c>
      <c r="R174" s="7">
        <f t="shared" si="30"/>
        <v>1027767</v>
      </c>
      <c r="S174" s="19">
        <f t="shared" si="31"/>
        <v>0.99988032306933383</v>
      </c>
      <c r="T174" s="19">
        <f t="shared" si="32"/>
        <v>1.1967693066619185E-4</v>
      </c>
    </row>
    <row r="175" spans="1:20" x14ac:dyDescent="0.2">
      <c r="A175" s="9">
        <v>44175</v>
      </c>
      <c r="B175" s="4" t="s">
        <v>224</v>
      </c>
      <c r="C175" s="8">
        <v>44166</v>
      </c>
      <c r="D175" s="4" t="s">
        <v>175</v>
      </c>
      <c r="E175" s="14">
        <f>IF(SUMIFS('Daily NSE Equity Futures'!$I:$I,'Daily NSE Equity Futures'!$A:$A,$A175)=0,"",SUMIFS('Daily NSE Equity Futures'!$I:$I,'Daily NSE Equity Futures'!$A:$A,$A175))</f>
        <v>863.47839999999997</v>
      </c>
      <c r="F175" s="6">
        <f>IF(SUMIFS('Daily BSE Equity Futures'!$I:$I,'Daily BSE Equity Futures'!$A:$A,$A175)=0,"",SUMIFS('Daily BSE Equity Futures'!$I:$I,'Daily BSE Equity Futures'!$A:$A,$A175))</f>
        <v>0.20050000000000001</v>
      </c>
      <c r="G175" s="6">
        <f t="shared" si="24"/>
        <v>863.6789</v>
      </c>
      <c r="H175" s="15">
        <f t="shared" si="25"/>
        <v>0.99976785353908726</v>
      </c>
      <c r="I175" s="15">
        <f t="shared" si="26"/>
        <v>2.3214646091273042E-4</v>
      </c>
      <c r="J175" s="20" t="str">
        <f t="shared" si="27"/>
        <v/>
      </c>
      <c r="K175" s="15" t="str">
        <f t="shared" si="28"/>
        <v/>
      </c>
      <c r="L175" s="15" t="str">
        <f t="shared" si="29"/>
        <v/>
      </c>
      <c r="M175" s="15">
        <f t="shared" si="33"/>
        <v>3.0494816964743876E-2</v>
      </c>
      <c r="N175" s="15">
        <f t="shared" si="34"/>
        <v>0.53757668711656459</v>
      </c>
      <c r="O175" s="15">
        <f t="shared" si="35"/>
        <v>3.0573717950247659E-2</v>
      </c>
      <c r="P175" s="18">
        <f>IF(SUMIFS('Daily NSE Equity Futures'!$J:$J,'Daily NSE Equity Futures'!$A:$A,$A175)=0,"",SUMIFS('Daily NSE Equity Futures'!$J:$J,'Daily NSE Equity Futures'!$A:$A,$A175))</f>
        <v>1080296</v>
      </c>
      <c r="Q175" s="7">
        <f>IF(SUMIFS('Daily BSE Equity Futures'!$J:$J,'Daily BSE Equity Futures'!$A:$A,$A175)=0,"",SUMIFS('Daily BSE Equity Futures'!$J:$J,'Daily BSE Equity Futures'!$A:$A,$A175))</f>
        <v>190</v>
      </c>
      <c r="R175" s="7">
        <f t="shared" si="30"/>
        <v>1080486</v>
      </c>
      <c r="S175" s="19">
        <f t="shared" si="31"/>
        <v>0.99982415320513174</v>
      </c>
      <c r="T175" s="19">
        <f t="shared" si="32"/>
        <v>1.7584679486823521E-4</v>
      </c>
    </row>
    <row r="176" spans="1:20" x14ac:dyDescent="0.2">
      <c r="A176" s="9">
        <v>44176</v>
      </c>
      <c r="B176" s="4" t="s">
        <v>222</v>
      </c>
      <c r="C176" s="8">
        <v>44166</v>
      </c>
      <c r="D176" s="4" t="s">
        <v>175</v>
      </c>
      <c r="E176" s="14">
        <f>IF(SUMIFS('Daily NSE Equity Futures'!$I:$I,'Daily NSE Equity Futures'!$A:$A,$A176)=0,"",SUMIFS('Daily NSE Equity Futures'!$I:$I,'Daily NSE Equity Futures'!$A:$A,$A176))</f>
        <v>951.76059999999995</v>
      </c>
      <c r="F176" s="6">
        <f>IF(SUMIFS('Daily BSE Equity Futures'!$I:$I,'Daily BSE Equity Futures'!$A:$A,$A176)=0,"",SUMIFS('Daily BSE Equity Futures'!$I:$I,'Daily BSE Equity Futures'!$A:$A,$A176))</f>
        <v>0.31309999999999999</v>
      </c>
      <c r="G176" s="6">
        <f t="shared" si="24"/>
        <v>952.07369999999992</v>
      </c>
      <c r="H176" s="15">
        <f t="shared" si="25"/>
        <v>0.99967113890447767</v>
      </c>
      <c r="I176" s="15">
        <f t="shared" si="26"/>
        <v>3.2886109552233197E-4</v>
      </c>
      <c r="J176" s="20" t="str">
        <f t="shared" si="27"/>
        <v/>
      </c>
      <c r="K176" s="15" t="str">
        <f t="shared" si="28"/>
        <v/>
      </c>
      <c r="L176" s="15" t="str">
        <f t="shared" si="29"/>
        <v/>
      </c>
      <c r="M176" s="15">
        <f t="shared" si="33"/>
        <v>0.10224019500661519</v>
      </c>
      <c r="N176" s="15">
        <f t="shared" si="34"/>
        <v>0.56159600997506209</v>
      </c>
      <c r="O176" s="15">
        <f t="shared" si="35"/>
        <v>0.10234683283335966</v>
      </c>
      <c r="P176" s="18">
        <f>IF(SUMIFS('Daily NSE Equity Futures'!$J:$J,'Daily NSE Equity Futures'!$A:$A,$A176)=0,"",SUMIFS('Daily NSE Equity Futures'!$J:$J,'Daily NSE Equity Futures'!$A:$A,$A176))</f>
        <v>1168763</v>
      </c>
      <c r="Q176" s="7">
        <f>IF(SUMIFS('Daily BSE Equity Futures'!$J:$J,'Daily BSE Equity Futures'!$A:$A,$A176)=0,"",SUMIFS('Daily BSE Equity Futures'!$J:$J,'Daily BSE Equity Futures'!$A:$A,$A176))</f>
        <v>295</v>
      </c>
      <c r="R176" s="7">
        <f t="shared" si="30"/>
        <v>1169058</v>
      </c>
      <c r="S176" s="19">
        <f t="shared" si="31"/>
        <v>0.99974766008187788</v>
      </c>
      <c r="T176" s="19">
        <f t="shared" si="32"/>
        <v>2.52339918122112E-4</v>
      </c>
    </row>
    <row r="177" spans="1:20" x14ac:dyDescent="0.2">
      <c r="A177" s="9">
        <v>44179</v>
      </c>
      <c r="B177" s="4" t="s">
        <v>225</v>
      </c>
      <c r="C177" s="8">
        <v>44166</v>
      </c>
      <c r="D177" s="4" t="s">
        <v>175</v>
      </c>
      <c r="E177" s="14">
        <f>IF(SUMIFS('Daily NSE Equity Futures'!$I:$I,'Daily NSE Equity Futures'!$A:$A,$A177)=0,"",SUMIFS('Daily NSE Equity Futures'!$I:$I,'Daily NSE Equity Futures'!$A:$A,$A177))</f>
        <v>732.37279999999998</v>
      </c>
      <c r="F177" s="6">
        <f>IF(SUMIFS('Daily BSE Equity Futures'!$I:$I,'Daily BSE Equity Futures'!$A:$A,$A177)=0,"",SUMIFS('Daily BSE Equity Futures'!$I:$I,'Daily BSE Equity Futures'!$A:$A,$A177))</f>
        <v>0.3826</v>
      </c>
      <c r="G177" s="6">
        <f t="shared" si="24"/>
        <v>732.75540000000001</v>
      </c>
      <c r="H177" s="15">
        <f t="shared" si="25"/>
        <v>0.99947786123445825</v>
      </c>
      <c r="I177" s="15">
        <f t="shared" si="26"/>
        <v>5.2213876554168008E-4</v>
      </c>
      <c r="J177" s="20" t="str">
        <f t="shared" si="27"/>
        <v/>
      </c>
      <c r="K177" s="15" t="str">
        <f t="shared" si="28"/>
        <v/>
      </c>
      <c r="L177" s="15" t="str">
        <f t="shared" si="29"/>
        <v/>
      </c>
      <c r="M177" s="15">
        <f t="shared" si="33"/>
        <v>-0.23050733556316572</v>
      </c>
      <c r="N177" s="15">
        <f t="shared" si="34"/>
        <v>0.22197381028425434</v>
      </c>
      <c r="O177" s="15">
        <f t="shared" si="35"/>
        <v>-0.23035853211783908</v>
      </c>
      <c r="P177" s="18">
        <f>IF(SUMIFS('Daily NSE Equity Futures'!$J:$J,'Daily NSE Equity Futures'!$A:$A,$A177)=0,"",SUMIFS('Daily NSE Equity Futures'!$J:$J,'Daily NSE Equity Futures'!$A:$A,$A177))</f>
        <v>890908</v>
      </c>
      <c r="Q177" s="7">
        <f>IF(SUMIFS('Daily BSE Equity Futures'!$J:$J,'Daily BSE Equity Futures'!$A:$A,$A177)=0,"",SUMIFS('Daily BSE Equity Futures'!$J:$J,'Daily BSE Equity Futures'!$A:$A,$A177))</f>
        <v>360</v>
      </c>
      <c r="R177" s="7">
        <f t="shared" si="30"/>
        <v>891268</v>
      </c>
      <c r="S177" s="19">
        <f t="shared" si="31"/>
        <v>0.99959608108896536</v>
      </c>
      <c r="T177" s="19">
        <f t="shared" si="32"/>
        <v>4.0391891103461587E-4</v>
      </c>
    </row>
    <row r="178" spans="1:20" x14ac:dyDescent="0.2">
      <c r="A178" s="9">
        <v>44180</v>
      </c>
      <c r="B178" s="4" t="s">
        <v>223</v>
      </c>
      <c r="C178" s="8">
        <v>44166</v>
      </c>
      <c r="D178" s="4" t="s">
        <v>175</v>
      </c>
      <c r="E178" s="14">
        <f>IF(SUMIFS('Daily NSE Equity Futures'!$I:$I,'Daily NSE Equity Futures'!$A:$A,$A178)=0,"",SUMIFS('Daily NSE Equity Futures'!$I:$I,'Daily NSE Equity Futures'!$A:$A,$A178))</f>
        <v>836.35389999999995</v>
      </c>
      <c r="F178" s="6">
        <f>IF(SUMIFS('Daily BSE Equity Futures'!$I:$I,'Daily BSE Equity Futures'!$A:$A,$A178)=0,"",SUMIFS('Daily BSE Equity Futures'!$I:$I,'Daily BSE Equity Futures'!$A:$A,$A178))</f>
        <v>0.15379999999999999</v>
      </c>
      <c r="G178" s="6">
        <f t="shared" si="24"/>
        <v>836.5077</v>
      </c>
      <c r="H178" s="15">
        <f t="shared" si="25"/>
        <v>0.99981614036547417</v>
      </c>
      <c r="I178" s="15">
        <f t="shared" si="26"/>
        <v>1.8385963452577901E-4</v>
      </c>
      <c r="J178" s="20" t="str">
        <f t="shared" si="27"/>
        <v/>
      </c>
      <c r="K178" s="15" t="str">
        <f t="shared" si="28"/>
        <v/>
      </c>
      <c r="L178" s="15" t="str">
        <f t="shared" si="29"/>
        <v/>
      </c>
      <c r="M178" s="15">
        <f t="shared" si="33"/>
        <v>0.14197837494784071</v>
      </c>
      <c r="N178" s="15">
        <f t="shared" si="34"/>
        <v>-0.59801359121798225</v>
      </c>
      <c r="O178" s="15">
        <f t="shared" si="35"/>
        <v>0.14159199645611609</v>
      </c>
      <c r="P178" s="18">
        <f>IF(SUMIFS('Daily NSE Equity Futures'!$J:$J,'Daily NSE Equity Futures'!$A:$A,$A178)=0,"",SUMIFS('Daily NSE Equity Futures'!$J:$J,'Daily NSE Equity Futures'!$A:$A,$A178))</f>
        <v>1006143</v>
      </c>
      <c r="Q178" s="7">
        <f>IF(SUMIFS('Daily BSE Equity Futures'!$J:$J,'Daily BSE Equity Futures'!$A:$A,$A178)=0,"",SUMIFS('Daily BSE Equity Futures'!$J:$J,'Daily BSE Equity Futures'!$A:$A,$A178))</f>
        <v>145</v>
      </c>
      <c r="R178" s="7">
        <f t="shared" si="30"/>
        <v>1006288</v>
      </c>
      <c r="S178" s="19">
        <f t="shared" si="31"/>
        <v>0.99985590606267793</v>
      </c>
      <c r="T178" s="19">
        <f t="shared" si="32"/>
        <v>1.4409393732211853E-4</v>
      </c>
    </row>
    <row r="179" spans="1:20" x14ac:dyDescent="0.2">
      <c r="A179" s="9">
        <v>44181</v>
      </c>
      <c r="B179" s="4" t="s">
        <v>221</v>
      </c>
      <c r="C179" s="8">
        <v>44166</v>
      </c>
      <c r="D179" s="4" t="s">
        <v>175</v>
      </c>
      <c r="E179" s="14">
        <f>IF(SUMIFS('Daily NSE Equity Futures'!$I:$I,'Daily NSE Equity Futures'!$A:$A,$A179)=0,"",SUMIFS('Daily NSE Equity Futures'!$I:$I,'Daily NSE Equity Futures'!$A:$A,$A179))</f>
        <v>850.27679999999998</v>
      </c>
      <c r="F179" s="6">
        <f>IF(SUMIFS('Daily BSE Equity Futures'!$I:$I,'Daily BSE Equity Futures'!$A:$A,$A179)=0,"",SUMIFS('Daily BSE Equity Futures'!$I:$I,'Daily BSE Equity Futures'!$A:$A,$A179))</f>
        <v>0.12659999999999999</v>
      </c>
      <c r="G179" s="6">
        <f t="shared" si="24"/>
        <v>850.40340000000003</v>
      </c>
      <c r="H179" s="15">
        <f t="shared" si="25"/>
        <v>0.99985112947572874</v>
      </c>
      <c r="I179" s="15">
        <f t="shared" si="26"/>
        <v>1.4887052427118704E-4</v>
      </c>
      <c r="J179" s="20" t="str">
        <f t="shared" si="27"/>
        <v/>
      </c>
      <c r="K179" s="15" t="str">
        <f t="shared" si="28"/>
        <v/>
      </c>
      <c r="L179" s="15" t="str">
        <f t="shared" si="29"/>
        <v/>
      </c>
      <c r="M179" s="15">
        <f t="shared" si="33"/>
        <v>1.6647139446590797E-2</v>
      </c>
      <c r="N179" s="15">
        <f t="shared" si="34"/>
        <v>-0.17685305591677503</v>
      </c>
      <c r="O179" s="15">
        <f t="shared" si="35"/>
        <v>1.6611562571390515E-2</v>
      </c>
      <c r="P179" s="18">
        <f>IF(SUMIFS('Daily NSE Equity Futures'!$J:$J,'Daily NSE Equity Futures'!$A:$A,$A179)=0,"",SUMIFS('Daily NSE Equity Futures'!$J:$J,'Daily NSE Equity Futures'!$A:$A,$A179))</f>
        <v>1022062</v>
      </c>
      <c r="Q179" s="7">
        <f>IF(SUMIFS('Daily BSE Equity Futures'!$J:$J,'Daily BSE Equity Futures'!$A:$A,$A179)=0,"",SUMIFS('Daily BSE Equity Futures'!$J:$J,'Daily BSE Equity Futures'!$A:$A,$A179))</f>
        <v>118</v>
      </c>
      <c r="R179" s="7">
        <f t="shared" si="30"/>
        <v>1022180</v>
      </c>
      <c r="S179" s="19">
        <f t="shared" si="31"/>
        <v>0.9998845604492359</v>
      </c>
      <c r="T179" s="19">
        <f t="shared" si="32"/>
        <v>1.1543955076405329E-4</v>
      </c>
    </row>
    <row r="180" spans="1:20" x14ac:dyDescent="0.2">
      <c r="A180" s="9">
        <v>44182</v>
      </c>
      <c r="B180" s="4" t="s">
        <v>224</v>
      </c>
      <c r="C180" s="8">
        <v>44166</v>
      </c>
      <c r="D180" s="4" t="s">
        <v>175</v>
      </c>
      <c r="E180" s="14">
        <f>IF(SUMIFS('Daily NSE Equity Futures'!$I:$I,'Daily NSE Equity Futures'!$A:$A,$A180)=0,"",SUMIFS('Daily NSE Equity Futures'!$I:$I,'Daily NSE Equity Futures'!$A:$A,$A180))</f>
        <v>782.65260000000001</v>
      </c>
      <c r="F180" s="6">
        <f>IF(SUMIFS('Daily BSE Equity Futures'!$I:$I,'Daily BSE Equity Futures'!$A:$A,$A180)=0,"",SUMIFS('Daily BSE Equity Futures'!$I:$I,'Daily BSE Equity Futures'!$A:$A,$A180))</f>
        <v>7.1099999999999997E-2</v>
      </c>
      <c r="G180" s="6">
        <f t="shared" si="24"/>
        <v>782.72370000000001</v>
      </c>
      <c r="H180" s="15">
        <f t="shared" si="25"/>
        <v>0.99990916334844593</v>
      </c>
      <c r="I180" s="15">
        <f t="shared" si="26"/>
        <v>9.0836651554054127E-5</v>
      </c>
      <c r="J180" s="20" t="str">
        <f t="shared" si="27"/>
        <v/>
      </c>
      <c r="K180" s="15" t="str">
        <f t="shared" si="28"/>
        <v/>
      </c>
      <c r="L180" s="15" t="str">
        <f t="shared" si="29"/>
        <v/>
      </c>
      <c r="M180" s="15">
        <f t="shared" si="33"/>
        <v>-7.9531982996595918E-2</v>
      </c>
      <c r="N180" s="15">
        <f t="shared" si="34"/>
        <v>-0.43838862559241709</v>
      </c>
      <c r="O180" s="15">
        <f t="shared" si="35"/>
        <v>-7.9585406173117379E-2</v>
      </c>
      <c r="P180" s="18">
        <f>IF(SUMIFS('Daily NSE Equity Futures'!$J:$J,'Daily NSE Equity Futures'!$A:$A,$A180)=0,"",SUMIFS('Daily NSE Equity Futures'!$J:$J,'Daily NSE Equity Futures'!$A:$A,$A180))</f>
        <v>938308</v>
      </c>
      <c r="Q180" s="7">
        <f>IF(SUMIFS('Daily BSE Equity Futures'!$J:$J,'Daily BSE Equity Futures'!$A:$A,$A180)=0,"",SUMIFS('Daily BSE Equity Futures'!$J:$J,'Daily BSE Equity Futures'!$A:$A,$A180))</f>
        <v>66</v>
      </c>
      <c r="R180" s="7">
        <f t="shared" si="30"/>
        <v>938374</v>
      </c>
      <c r="S180" s="19">
        <f t="shared" si="31"/>
        <v>0.99992966557044416</v>
      </c>
      <c r="T180" s="19">
        <f t="shared" si="32"/>
        <v>7.0334429555806108E-5</v>
      </c>
    </row>
    <row r="181" spans="1:20" x14ac:dyDescent="0.2">
      <c r="A181" s="9">
        <v>44183</v>
      </c>
      <c r="B181" s="4" t="s">
        <v>222</v>
      </c>
      <c r="C181" s="8">
        <v>44166</v>
      </c>
      <c r="D181" s="4" t="s">
        <v>175</v>
      </c>
      <c r="E181" s="14">
        <f>IF(SUMIFS('Daily NSE Equity Futures'!$I:$I,'Daily NSE Equity Futures'!$A:$A,$A181)=0,"",SUMIFS('Daily NSE Equity Futures'!$I:$I,'Daily NSE Equity Futures'!$A:$A,$A181))</f>
        <v>925.8963</v>
      </c>
      <c r="F181" s="6">
        <f>IF(SUMIFS('Daily BSE Equity Futures'!$I:$I,'Daily BSE Equity Futures'!$A:$A,$A181)=0,"",SUMIFS('Daily BSE Equity Futures'!$I:$I,'Daily BSE Equity Futures'!$A:$A,$A181))</f>
        <v>0.15620000000000001</v>
      </c>
      <c r="G181" s="6">
        <f t="shared" si="24"/>
        <v>926.05250000000001</v>
      </c>
      <c r="H181" s="15">
        <f t="shared" si="25"/>
        <v>0.99983132705759126</v>
      </c>
      <c r="I181" s="15">
        <f t="shared" si="26"/>
        <v>1.6867294240877274E-4</v>
      </c>
      <c r="J181" s="20" t="str">
        <f t="shared" si="27"/>
        <v/>
      </c>
      <c r="K181" s="15" t="str">
        <f t="shared" si="28"/>
        <v/>
      </c>
      <c r="L181" s="15" t="str">
        <f t="shared" si="29"/>
        <v/>
      </c>
      <c r="M181" s="15">
        <f t="shared" si="33"/>
        <v>0.18302334905678452</v>
      </c>
      <c r="N181" s="15">
        <f t="shared" si="34"/>
        <v>1.1969057665260197</v>
      </c>
      <c r="O181" s="15">
        <f t="shared" si="35"/>
        <v>0.18311544674065705</v>
      </c>
      <c r="P181" s="18">
        <f>IF(SUMIFS('Daily NSE Equity Futures'!$J:$J,'Daily NSE Equity Futures'!$A:$A,$A181)=0,"",SUMIFS('Daily NSE Equity Futures'!$J:$J,'Daily NSE Equity Futures'!$A:$A,$A181))</f>
        <v>1119505</v>
      </c>
      <c r="Q181" s="7">
        <f>IF(SUMIFS('Daily BSE Equity Futures'!$J:$J,'Daily BSE Equity Futures'!$A:$A,$A181)=0,"",SUMIFS('Daily BSE Equity Futures'!$J:$J,'Daily BSE Equity Futures'!$A:$A,$A181))</f>
        <v>145</v>
      </c>
      <c r="R181" s="7">
        <f t="shared" si="30"/>
        <v>1119650</v>
      </c>
      <c r="S181" s="19">
        <f t="shared" si="31"/>
        <v>0.99987049524404947</v>
      </c>
      <c r="T181" s="19">
        <f t="shared" si="32"/>
        <v>1.2950475595052024E-4</v>
      </c>
    </row>
    <row r="182" spans="1:20" x14ac:dyDescent="0.2">
      <c r="A182" s="9">
        <v>44186</v>
      </c>
      <c r="B182" s="4" t="s">
        <v>225</v>
      </c>
      <c r="C182" s="8">
        <v>44166</v>
      </c>
      <c r="D182" s="4" t="s">
        <v>175</v>
      </c>
      <c r="E182" s="14">
        <f>IF(SUMIFS('Daily NSE Equity Futures'!$I:$I,'Daily NSE Equity Futures'!$A:$A,$A182)=0,"",SUMIFS('Daily NSE Equity Futures'!$I:$I,'Daily NSE Equity Futures'!$A:$A,$A182))</f>
        <v>1462.4648</v>
      </c>
      <c r="F182" s="6">
        <f>IF(SUMIFS('Daily BSE Equity Futures'!$I:$I,'Daily BSE Equity Futures'!$A:$A,$A182)=0,"",SUMIFS('Daily BSE Equity Futures'!$I:$I,'Daily BSE Equity Futures'!$A:$A,$A182))</f>
        <v>0.4486</v>
      </c>
      <c r="G182" s="6">
        <f t="shared" si="24"/>
        <v>1462.9133999999999</v>
      </c>
      <c r="H182" s="15">
        <f t="shared" si="25"/>
        <v>0.99969335163653572</v>
      </c>
      <c r="I182" s="15">
        <f t="shared" si="26"/>
        <v>3.0664836346430349E-4</v>
      </c>
      <c r="J182" s="20" t="str">
        <f t="shared" si="27"/>
        <v/>
      </c>
      <c r="K182" s="15" t="str">
        <f t="shared" si="28"/>
        <v/>
      </c>
      <c r="L182" s="15" t="str">
        <f t="shared" si="29"/>
        <v/>
      </c>
      <c r="M182" s="15">
        <f t="shared" si="33"/>
        <v>0.57951252208265647</v>
      </c>
      <c r="N182" s="15">
        <f t="shared" si="34"/>
        <v>1.8719590268886042</v>
      </c>
      <c r="O182" s="15">
        <f t="shared" si="35"/>
        <v>0.57973052283752802</v>
      </c>
      <c r="P182" s="18">
        <f>IF(SUMIFS('Daily NSE Equity Futures'!$J:$J,'Daily NSE Equity Futures'!$A:$A,$A182)=0,"",SUMIFS('Daily NSE Equity Futures'!$J:$J,'Daily NSE Equity Futures'!$A:$A,$A182))</f>
        <v>1775015</v>
      </c>
      <c r="Q182" s="7">
        <f>IF(SUMIFS('Daily BSE Equity Futures'!$J:$J,'Daily BSE Equity Futures'!$A:$A,$A182)=0,"",SUMIFS('Daily BSE Equity Futures'!$J:$J,'Daily BSE Equity Futures'!$A:$A,$A182))</f>
        <v>423</v>
      </c>
      <c r="R182" s="7">
        <f t="shared" si="30"/>
        <v>1775438</v>
      </c>
      <c r="S182" s="19">
        <f t="shared" si="31"/>
        <v>0.99976174893181291</v>
      </c>
      <c r="T182" s="19">
        <f t="shared" si="32"/>
        <v>2.3825106818711777E-4</v>
      </c>
    </row>
    <row r="183" spans="1:20" x14ac:dyDescent="0.2">
      <c r="A183" s="9">
        <v>44187</v>
      </c>
      <c r="B183" s="4" t="s">
        <v>223</v>
      </c>
      <c r="C183" s="8">
        <v>44166</v>
      </c>
      <c r="D183" s="4" t="s">
        <v>175</v>
      </c>
      <c r="E183" s="14">
        <f>IF(SUMIFS('Daily NSE Equity Futures'!$I:$I,'Daily NSE Equity Futures'!$A:$A,$A183)=0,"",SUMIFS('Daily NSE Equity Futures'!$I:$I,'Daily NSE Equity Futures'!$A:$A,$A183))</f>
        <v>1255.5659000000001</v>
      </c>
      <c r="F183" s="6">
        <f>IF(SUMIFS('Daily BSE Equity Futures'!$I:$I,'Daily BSE Equity Futures'!$A:$A,$A183)=0,"",SUMIFS('Daily BSE Equity Futures'!$I:$I,'Daily BSE Equity Futures'!$A:$A,$A183))</f>
        <v>0.75870000000000004</v>
      </c>
      <c r="G183" s="6">
        <f t="shared" si="24"/>
        <v>1256.3246000000001</v>
      </c>
      <c r="H183" s="15">
        <f t="shared" si="25"/>
        <v>0.99939609556320075</v>
      </c>
      <c r="I183" s="15">
        <f t="shared" si="26"/>
        <v>6.0390443679921566E-4</v>
      </c>
      <c r="J183" s="20" t="str">
        <f t="shared" si="27"/>
        <v/>
      </c>
      <c r="K183" s="15" t="str">
        <f t="shared" si="28"/>
        <v/>
      </c>
      <c r="L183" s="15" t="str">
        <f t="shared" si="29"/>
        <v/>
      </c>
      <c r="M183" s="15">
        <f t="shared" si="33"/>
        <v>-0.14147273835240337</v>
      </c>
      <c r="N183" s="15">
        <f t="shared" si="34"/>
        <v>0.69126170307623735</v>
      </c>
      <c r="O183" s="15">
        <f t="shared" si="35"/>
        <v>-0.14121738169873876</v>
      </c>
      <c r="P183" s="18">
        <f>IF(SUMIFS('Daily NSE Equity Futures'!$J:$J,'Daily NSE Equity Futures'!$A:$A,$A183)=0,"",SUMIFS('Daily NSE Equity Futures'!$J:$J,'Daily NSE Equity Futures'!$A:$A,$A183))</f>
        <v>1557358</v>
      </c>
      <c r="Q183" s="7">
        <f>IF(SUMIFS('Daily BSE Equity Futures'!$J:$J,'Daily BSE Equity Futures'!$A:$A,$A183)=0,"",SUMIFS('Daily BSE Equity Futures'!$J:$J,'Daily BSE Equity Futures'!$A:$A,$A183))</f>
        <v>726</v>
      </c>
      <c r="R183" s="7">
        <f t="shared" si="30"/>
        <v>1558084</v>
      </c>
      <c r="S183" s="19">
        <f t="shared" si="31"/>
        <v>0.99953404309395388</v>
      </c>
      <c r="T183" s="19">
        <f t="shared" si="32"/>
        <v>4.6595690604614383E-4</v>
      </c>
    </row>
    <row r="184" spans="1:20" x14ac:dyDescent="0.2">
      <c r="A184" s="9">
        <v>44188</v>
      </c>
      <c r="B184" s="4" t="s">
        <v>221</v>
      </c>
      <c r="C184" s="8">
        <v>44166</v>
      </c>
      <c r="D184" s="4" t="s">
        <v>175</v>
      </c>
      <c r="E184" s="14">
        <f>IF(SUMIFS('Daily NSE Equity Futures'!$I:$I,'Daily NSE Equity Futures'!$A:$A,$A184)=0,"",SUMIFS('Daily NSE Equity Futures'!$I:$I,'Daily NSE Equity Futures'!$A:$A,$A184))</f>
        <v>994.101</v>
      </c>
      <c r="F184" s="6">
        <f>IF(SUMIFS('Daily BSE Equity Futures'!$I:$I,'Daily BSE Equity Futures'!$A:$A,$A184)=0,"",SUMIFS('Daily BSE Equity Futures'!$I:$I,'Daily BSE Equity Futures'!$A:$A,$A184))</f>
        <v>0.1787</v>
      </c>
      <c r="G184" s="6">
        <f t="shared" si="24"/>
        <v>994.27970000000005</v>
      </c>
      <c r="H184" s="15">
        <f t="shared" si="25"/>
        <v>0.99982027190135725</v>
      </c>
      <c r="I184" s="15">
        <f t="shared" si="26"/>
        <v>1.7972809864266563E-4</v>
      </c>
      <c r="J184" s="20" t="str">
        <f t="shared" si="27"/>
        <v/>
      </c>
      <c r="K184" s="15" t="str">
        <f t="shared" si="28"/>
        <v/>
      </c>
      <c r="L184" s="15" t="str">
        <f t="shared" si="29"/>
        <v/>
      </c>
      <c r="M184" s="15">
        <f t="shared" si="33"/>
        <v>-0.20824466481608017</v>
      </c>
      <c r="N184" s="15">
        <f t="shared" si="34"/>
        <v>-0.76446553314880716</v>
      </c>
      <c r="O184" s="15">
        <f t="shared" si="35"/>
        <v>-0.20858056906630662</v>
      </c>
      <c r="P184" s="18">
        <f>IF(SUMIFS('Daily NSE Equity Futures'!$J:$J,'Daily NSE Equity Futures'!$A:$A,$A184)=0,"",SUMIFS('Daily NSE Equity Futures'!$J:$J,'Daily NSE Equity Futures'!$A:$A,$A184))</f>
        <v>1194246</v>
      </c>
      <c r="Q184" s="7">
        <f>IF(SUMIFS('Daily BSE Equity Futures'!$J:$J,'Daily BSE Equity Futures'!$A:$A,$A184)=0,"",SUMIFS('Daily BSE Equity Futures'!$J:$J,'Daily BSE Equity Futures'!$A:$A,$A184))</f>
        <v>168</v>
      </c>
      <c r="R184" s="7">
        <f t="shared" si="30"/>
        <v>1194414</v>
      </c>
      <c r="S184" s="19">
        <f t="shared" si="31"/>
        <v>0.9998593452521487</v>
      </c>
      <c r="T184" s="19">
        <f t="shared" si="32"/>
        <v>1.4065474785124755E-4</v>
      </c>
    </row>
    <row r="185" spans="1:20" x14ac:dyDescent="0.2">
      <c r="A185" s="9">
        <v>44189</v>
      </c>
      <c r="B185" s="4" t="s">
        <v>224</v>
      </c>
      <c r="C185" s="8">
        <v>44166</v>
      </c>
      <c r="D185" s="4" t="s">
        <v>175</v>
      </c>
      <c r="E185" s="14">
        <f>IF(SUMIFS('Daily NSE Equity Futures'!$I:$I,'Daily NSE Equity Futures'!$A:$A,$A185)=0,"",SUMIFS('Daily NSE Equity Futures'!$I:$I,'Daily NSE Equity Futures'!$A:$A,$A185))</f>
        <v>1124.5256999999999</v>
      </c>
      <c r="F185" s="6">
        <f>IF(SUMIFS('Daily BSE Equity Futures'!$I:$I,'Daily BSE Equity Futures'!$A:$A,$A185)=0,"",SUMIFS('Daily BSE Equity Futures'!$I:$I,'Daily BSE Equity Futures'!$A:$A,$A185))</f>
        <v>0.15809999999999999</v>
      </c>
      <c r="G185" s="6">
        <f t="shared" si="24"/>
        <v>1124.6838</v>
      </c>
      <c r="H185" s="15">
        <f t="shared" si="25"/>
        <v>0.99985942715632603</v>
      </c>
      <c r="I185" s="15">
        <f t="shared" si="26"/>
        <v>1.4057284367392862E-4</v>
      </c>
      <c r="J185" s="20" t="str">
        <f t="shared" si="27"/>
        <v/>
      </c>
      <c r="K185" s="15" t="str">
        <f t="shared" si="28"/>
        <v/>
      </c>
      <c r="L185" s="15" t="str">
        <f t="shared" si="29"/>
        <v/>
      </c>
      <c r="M185" s="15">
        <f t="shared" si="33"/>
        <v>0.13119864078197274</v>
      </c>
      <c r="N185" s="15">
        <f t="shared" si="34"/>
        <v>-0.11527700055959711</v>
      </c>
      <c r="O185" s="15">
        <f t="shared" si="35"/>
        <v>0.13115434218359279</v>
      </c>
      <c r="P185" s="18">
        <f>IF(SUMIFS('Daily NSE Equity Futures'!$J:$J,'Daily NSE Equity Futures'!$A:$A,$A185)=0,"",SUMIFS('Daily NSE Equity Futures'!$J:$J,'Daily NSE Equity Futures'!$A:$A,$A185))</f>
        <v>1347605</v>
      </c>
      <c r="Q185" s="7">
        <f>IF(SUMIFS('Daily BSE Equity Futures'!$J:$J,'Daily BSE Equity Futures'!$A:$A,$A185)=0,"",SUMIFS('Daily BSE Equity Futures'!$J:$J,'Daily BSE Equity Futures'!$A:$A,$A185))</f>
        <v>147</v>
      </c>
      <c r="R185" s="7">
        <f t="shared" si="30"/>
        <v>1347752</v>
      </c>
      <c r="S185" s="19">
        <f t="shared" si="31"/>
        <v>0.99989092948851122</v>
      </c>
      <c r="T185" s="19">
        <f t="shared" si="32"/>
        <v>1.0907051148876054E-4</v>
      </c>
    </row>
    <row r="186" spans="1:20" x14ac:dyDescent="0.2">
      <c r="A186" s="9">
        <v>44193</v>
      </c>
      <c r="B186" s="4" t="s">
        <v>225</v>
      </c>
      <c r="C186" s="8">
        <v>44166</v>
      </c>
      <c r="D186" s="4" t="s">
        <v>175</v>
      </c>
      <c r="E186" s="14">
        <f>IF(SUMIFS('Daily NSE Equity Futures'!$I:$I,'Daily NSE Equity Futures'!$A:$A,$A186)=0,"",SUMIFS('Daily NSE Equity Futures'!$I:$I,'Daily NSE Equity Futures'!$A:$A,$A186))</f>
        <v>1275.8288</v>
      </c>
      <c r="F186" s="6">
        <f>IF(SUMIFS('Daily BSE Equity Futures'!$I:$I,'Daily BSE Equity Futures'!$A:$A,$A186)=0,"",SUMIFS('Daily BSE Equity Futures'!$I:$I,'Daily BSE Equity Futures'!$A:$A,$A186))</f>
        <v>9.9000000000000005E-2</v>
      </c>
      <c r="G186" s="6">
        <f t="shared" si="24"/>
        <v>1275.9277999999999</v>
      </c>
      <c r="H186" s="15">
        <f t="shared" si="25"/>
        <v>0.99992240940278909</v>
      </c>
      <c r="I186" s="15">
        <f t="shared" si="26"/>
        <v>7.7590597210908026E-5</v>
      </c>
      <c r="J186" s="20" t="str">
        <f t="shared" si="27"/>
        <v/>
      </c>
      <c r="K186" s="15" t="str">
        <f t="shared" si="28"/>
        <v/>
      </c>
      <c r="L186" s="15" t="str">
        <f t="shared" si="29"/>
        <v/>
      </c>
      <c r="M186" s="15">
        <f t="shared" si="33"/>
        <v>0.13454837003725229</v>
      </c>
      <c r="N186" s="15">
        <f t="shared" si="34"/>
        <v>-0.37381404174573052</v>
      </c>
      <c r="O186" s="15">
        <f t="shared" si="35"/>
        <v>0.13447690808741086</v>
      </c>
      <c r="P186" s="18">
        <f>IF(SUMIFS('Daily NSE Equity Futures'!$J:$J,'Daily NSE Equity Futures'!$A:$A,$A186)=0,"",SUMIFS('Daily NSE Equity Futures'!$J:$J,'Daily NSE Equity Futures'!$A:$A,$A186))</f>
        <v>1524233</v>
      </c>
      <c r="Q186" s="7">
        <f>IF(SUMIFS('Daily BSE Equity Futures'!$J:$J,'Daily BSE Equity Futures'!$A:$A,$A186)=0,"",SUMIFS('Daily BSE Equity Futures'!$J:$J,'Daily BSE Equity Futures'!$A:$A,$A186))</f>
        <v>91</v>
      </c>
      <c r="R186" s="7">
        <f t="shared" si="30"/>
        <v>1524324</v>
      </c>
      <c r="S186" s="19">
        <f t="shared" si="31"/>
        <v>0.99994030140573786</v>
      </c>
      <c r="T186" s="19">
        <f t="shared" si="32"/>
        <v>5.9698594262112253E-5</v>
      </c>
    </row>
    <row r="187" spans="1:20" x14ac:dyDescent="0.2">
      <c r="A187" s="9">
        <v>44194</v>
      </c>
      <c r="B187" s="4" t="s">
        <v>223</v>
      </c>
      <c r="C187" s="8">
        <v>44166</v>
      </c>
      <c r="D187" s="4" t="s">
        <v>175</v>
      </c>
      <c r="E187" s="14">
        <f>IF(SUMIFS('Daily NSE Equity Futures'!$I:$I,'Daily NSE Equity Futures'!$A:$A,$A187)=0,"",SUMIFS('Daily NSE Equity Futures'!$I:$I,'Daily NSE Equity Futures'!$A:$A,$A187))</f>
        <v>1482.6304</v>
      </c>
      <c r="F187" s="6">
        <f>IF(SUMIFS('Daily BSE Equity Futures'!$I:$I,'Daily BSE Equity Futures'!$A:$A,$A187)=0,"",SUMIFS('Daily BSE Equity Futures'!$I:$I,'Daily BSE Equity Futures'!$A:$A,$A187))</f>
        <v>4.48E-2</v>
      </c>
      <c r="G187" s="6">
        <f t="shared" si="24"/>
        <v>1482.6751999999999</v>
      </c>
      <c r="H187" s="15">
        <f t="shared" si="25"/>
        <v>0.99996978434656503</v>
      </c>
      <c r="I187" s="15">
        <f t="shared" si="26"/>
        <v>3.0215653435088144E-5</v>
      </c>
      <c r="J187" s="20" t="str">
        <f t="shared" si="27"/>
        <v/>
      </c>
      <c r="K187" s="15" t="str">
        <f t="shared" si="28"/>
        <v/>
      </c>
      <c r="L187" s="15" t="str">
        <f t="shared" si="29"/>
        <v/>
      </c>
      <c r="M187" s="15">
        <f t="shared" si="33"/>
        <v>0.16209196719810692</v>
      </c>
      <c r="N187" s="15">
        <f t="shared" si="34"/>
        <v>-0.54747474747474745</v>
      </c>
      <c r="O187" s="15">
        <f t="shared" si="35"/>
        <v>0.16203691149295429</v>
      </c>
      <c r="P187" s="18">
        <f>IF(SUMIFS('Daily NSE Equity Futures'!$J:$J,'Daily NSE Equity Futures'!$A:$A,$A187)=0,"",SUMIFS('Daily NSE Equity Futures'!$J:$J,'Daily NSE Equity Futures'!$A:$A,$A187))</f>
        <v>1802224</v>
      </c>
      <c r="Q187" s="7">
        <f>IF(SUMIFS('Daily BSE Equity Futures'!$J:$J,'Daily BSE Equity Futures'!$A:$A,$A187)=0,"",SUMIFS('Daily BSE Equity Futures'!$J:$J,'Daily BSE Equity Futures'!$A:$A,$A187))</f>
        <v>41</v>
      </c>
      <c r="R187" s="7">
        <f t="shared" si="30"/>
        <v>1802265</v>
      </c>
      <c r="S187" s="19">
        <f t="shared" si="31"/>
        <v>0.99997725084823819</v>
      </c>
      <c r="T187" s="19">
        <f t="shared" si="32"/>
        <v>2.2749151761810833E-5</v>
      </c>
    </row>
    <row r="188" spans="1:20" x14ac:dyDescent="0.2">
      <c r="A188" s="9">
        <v>44195</v>
      </c>
      <c r="B188" s="4" t="s">
        <v>221</v>
      </c>
      <c r="C188" s="8">
        <v>44166</v>
      </c>
      <c r="D188" s="4" t="s">
        <v>175</v>
      </c>
      <c r="E188" s="14">
        <f>IF(SUMIFS('Daily NSE Equity Futures'!$I:$I,'Daily NSE Equity Futures'!$A:$A,$A188)=0,"",SUMIFS('Daily NSE Equity Futures'!$I:$I,'Daily NSE Equity Futures'!$A:$A,$A188))</f>
        <v>1439.5940000000001</v>
      </c>
      <c r="F188" s="6">
        <f>IF(SUMIFS('Daily BSE Equity Futures'!$I:$I,'Daily BSE Equity Futures'!$A:$A,$A188)=0,"",SUMIFS('Daily BSE Equity Futures'!$I:$I,'Daily BSE Equity Futures'!$A:$A,$A188))</f>
        <v>0.18959999999999999</v>
      </c>
      <c r="G188" s="6">
        <f t="shared" si="24"/>
        <v>1439.7836</v>
      </c>
      <c r="H188" s="15">
        <f t="shared" si="25"/>
        <v>0.99986831354378536</v>
      </c>
      <c r="I188" s="15">
        <f t="shared" si="26"/>
        <v>1.3168645621467004E-4</v>
      </c>
      <c r="J188" s="20" t="str">
        <f t="shared" si="27"/>
        <v/>
      </c>
      <c r="K188" s="15" t="str">
        <f t="shared" si="28"/>
        <v/>
      </c>
      <c r="L188" s="15" t="str">
        <f t="shared" si="29"/>
        <v/>
      </c>
      <c r="M188" s="15">
        <f t="shared" si="33"/>
        <v>-2.9027058935254479E-2</v>
      </c>
      <c r="N188" s="15">
        <f t="shared" si="34"/>
        <v>3.2321428571428568</v>
      </c>
      <c r="O188" s="15">
        <f t="shared" si="35"/>
        <v>-2.8928520555277282E-2</v>
      </c>
      <c r="P188" s="18">
        <f>IF(SUMIFS('Daily NSE Equity Futures'!$J:$J,'Daily NSE Equity Futures'!$A:$A,$A188)=0,"",SUMIFS('Daily NSE Equity Futures'!$J:$J,'Daily NSE Equity Futures'!$A:$A,$A188))</f>
        <v>1735329</v>
      </c>
      <c r="Q188" s="7">
        <f>IF(SUMIFS('Daily BSE Equity Futures'!$J:$J,'Daily BSE Equity Futures'!$A:$A,$A188)=0,"",SUMIFS('Daily BSE Equity Futures'!$J:$J,'Daily BSE Equity Futures'!$A:$A,$A188))</f>
        <v>173</v>
      </c>
      <c r="R188" s="7">
        <f t="shared" si="30"/>
        <v>1735502</v>
      </c>
      <c r="S188" s="19">
        <f t="shared" si="31"/>
        <v>0.99990031702642812</v>
      </c>
      <c r="T188" s="19">
        <f t="shared" si="32"/>
        <v>9.9682973571911754E-5</v>
      </c>
    </row>
    <row r="189" spans="1:20" x14ac:dyDescent="0.2">
      <c r="A189" s="9">
        <v>44196</v>
      </c>
      <c r="B189" s="4" t="s">
        <v>224</v>
      </c>
      <c r="C189" s="8">
        <v>44166</v>
      </c>
      <c r="D189" s="4" t="s">
        <v>175</v>
      </c>
      <c r="E189" s="14">
        <f>IF(SUMIFS('Daily NSE Equity Futures'!$I:$I,'Daily NSE Equity Futures'!$A:$A,$A189)=0,"",SUMIFS('Daily NSE Equity Futures'!$I:$I,'Daily NSE Equity Futures'!$A:$A,$A189))</f>
        <v>1468.4159999999999</v>
      </c>
      <c r="F189" s="6">
        <f>IF(SUMIFS('Daily BSE Equity Futures'!$I:$I,'Daily BSE Equity Futures'!$A:$A,$A189)=0,"",SUMIFS('Daily BSE Equity Futures'!$I:$I,'Daily BSE Equity Futures'!$A:$A,$A189))</f>
        <v>0.1923</v>
      </c>
      <c r="G189" s="6">
        <f t="shared" si="24"/>
        <v>1468.6082999999999</v>
      </c>
      <c r="H189" s="15">
        <f t="shared" si="25"/>
        <v>0.99986905970775197</v>
      </c>
      <c r="I189" s="15">
        <f t="shared" si="26"/>
        <v>1.3094029224811001E-4</v>
      </c>
      <c r="J189" s="20" t="str">
        <f t="shared" si="27"/>
        <v/>
      </c>
      <c r="K189" s="15" t="str">
        <f t="shared" si="28"/>
        <v/>
      </c>
      <c r="L189" s="15" t="str">
        <f t="shared" si="29"/>
        <v/>
      </c>
      <c r="M189" s="15">
        <f t="shared" si="33"/>
        <v>2.0020922565667787E-2</v>
      </c>
      <c r="N189" s="15">
        <f t="shared" si="34"/>
        <v>1.4240506329114E-2</v>
      </c>
      <c r="O189" s="15">
        <f t="shared" si="35"/>
        <v>2.0020161363138111E-2</v>
      </c>
      <c r="P189" s="18">
        <f>IF(SUMIFS('Daily NSE Equity Futures'!$J:$J,'Daily NSE Equity Futures'!$A:$A,$A189)=0,"",SUMIFS('Daily NSE Equity Futures'!$J:$J,'Daily NSE Equity Futures'!$A:$A,$A189))</f>
        <v>1749322</v>
      </c>
      <c r="Q189" s="7">
        <f>IF(SUMIFS('Daily BSE Equity Futures'!$J:$J,'Daily BSE Equity Futures'!$A:$A,$A189)=0,"",SUMIFS('Daily BSE Equity Futures'!$J:$J,'Daily BSE Equity Futures'!$A:$A,$A189))</f>
        <v>175</v>
      </c>
      <c r="R189" s="7">
        <f t="shared" si="30"/>
        <v>1749497</v>
      </c>
      <c r="S189" s="19">
        <f t="shared" si="31"/>
        <v>0.99989997124887897</v>
      </c>
      <c r="T189" s="19">
        <f t="shared" si="32"/>
        <v>1.000287511210365E-4</v>
      </c>
    </row>
    <row r="190" spans="1:20" x14ac:dyDescent="0.2">
      <c r="A190" s="9">
        <v>44197</v>
      </c>
      <c r="B190" s="4" t="s">
        <v>222</v>
      </c>
      <c r="C190" s="8">
        <v>44197</v>
      </c>
      <c r="D190" s="4" t="s">
        <v>176</v>
      </c>
      <c r="E190" s="14">
        <f>IF(SUMIFS('Daily NSE Equity Futures'!$I:$I,'Daily NSE Equity Futures'!$A:$A,$A190)=0,"",SUMIFS('Daily NSE Equity Futures'!$I:$I,'Daily NSE Equity Futures'!$A:$A,$A190))</f>
        <v>511.42520000000002</v>
      </c>
      <c r="F190" s="6">
        <f>IF(SUMIFS('Daily BSE Equity Futures'!$I:$I,'Daily BSE Equity Futures'!$A:$A,$A190)=0,"",SUMIFS('Daily BSE Equity Futures'!$I:$I,'Daily BSE Equity Futures'!$A:$A,$A190))</f>
        <v>0.18840000000000001</v>
      </c>
      <c r="G190" s="6">
        <f t="shared" si="24"/>
        <v>511.61360000000002</v>
      </c>
      <c r="H190" s="15">
        <f t="shared" si="25"/>
        <v>0.99963175333884791</v>
      </c>
      <c r="I190" s="15">
        <f t="shared" si="26"/>
        <v>3.6824666115208823E-4</v>
      </c>
      <c r="J190" s="20" t="str">
        <f t="shared" si="27"/>
        <v/>
      </c>
      <c r="K190" s="15" t="str">
        <f t="shared" si="28"/>
        <v/>
      </c>
      <c r="L190" s="15" t="str">
        <f t="shared" si="29"/>
        <v/>
      </c>
      <c r="M190" s="15">
        <f t="shared" si="33"/>
        <v>-0.65171640733960945</v>
      </c>
      <c r="N190" s="15">
        <f t="shared" si="34"/>
        <v>-2.0280811232449181E-2</v>
      </c>
      <c r="O190" s="15">
        <f t="shared" si="35"/>
        <v>-0.65163372697811939</v>
      </c>
      <c r="P190" s="18">
        <f>IF(SUMIFS('Daily NSE Equity Futures'!$J:$J,'Daily NSE Equity Futures'!$A:$A,$A190)=0,"",SUMIFS('Daily NSE Equity Futures'!$J:$J,'Daily NSE Equity Futures'!$A:$A,$A190))</f>
        <v>613454</v>
      </c>
      <c r="Q190" s="7">
        <f>IF(SUMIFS('Daily BSE Equity Futures'!$J:$J,'Daily BSE Equity Futures'!$A:$A,$A190)=0,"",SUMIFS('Daily BSE Equity Futures'!$J:$J,'Daily BSE Equity Futures'!$A:$A,$A190))</f>
        <v>171</v>
      </c>
      <c r="R190" s="7">
        <f t="shared" si="30"/>
        <v>613625</v>
      </c>
      <c r="S190" s="19">
        <f t="shared" si="31"/>
        <v>0.99972132817274395</v>
      </c>
      <c r="T190" s="19">
        <f t="shared" si="32"/>
        <v>2.7867182725606029E-4</v>
      </c>
    </row>
    <row r="191" spans="1:20" x14ac:dyDescent="0.2">
      <c r="A191" s="9">
        <v>44200</v>
      </c>
      <c r="B191" s="4" t="s">
        <v>225</v>
      </c>
      <c r="C191" s="8">
        <v>44197</v>
      </c>
      <c r="D191" s="4" t="s">
        <v>176</v>
      </c>
      <c r="E191" s="14">
        <f>IF(SUMIFS('Daily NSE Equity Futures'!$I:$I,'Daily NSE Equity Futures'!$A:$A,$A191)=0,"",SUMIFS('Daily NSE Equity Futures'!$I:$I,'Daily NSE Equity Futures'!$A:$A,$A191))</f>
        <v>962.82719999999995</v>
      </c>
      <c r="F191" s="6">
        <f>IF(SUMIFS('Daily BSE Equity Futures'!$I:$I,'Daily BSE Equity Futures'!$A:$A,$A191)=0,"",SUMIFS('Daily BSE Equity Futures'!$I:$I,'Daily BSE Equity Futures'!$A:$A,$A191))</f>
        <v>0.48299999999999998</v>
      </c>
      <c r="G191" s="6">
        <f t="shared" si="24"/>
        <v>963.3101999999999</v>
      </c>
      <c r="H191" s="15">
        <f t="shared" si="25"/>
        <v>0.99949860387650835</v>
      </c>
      <c r="I191" s="15">
        <f t="shared" si="26"/>
        <v>5.0139612349168528E-4</v>
      </c>
      <c r="J191" s="20" t="str">
        <f t="shared" si="27"/>
        <v/>
      </c>
      <c r="K191" s="15" t="str">
        <f t="shared" si="28"/>
        <v/>
      </c>
      <c r="L191" s="15" t="str">
        <f t="shared" si="29"/>
        <v/>
      </c>
      <c r="M191" s="15">
        <f t="shared" si="33"/>
        <v>0.88263542742907442</v>
      </c>
      <c r="N191" s="15">
        <f t="shared" si="34"/>
        <v>1.5636942675159231</v>
      </c>
      <c r="O191" s="15">
        <f t="shared" si="35"/>
        <v>0.88288622507298453</v>
      </c>
      <c r="P191" s="18">
        <f>IF(SUMIFS('Daily NSE Equity Futures'!$J:$J,'Daily NSE Equity Futures'!$A:$A,$A191)=0,"",SUMIFS('Daily NSE Equity Futures'!$J:$J,'Daily NSE Equity Futures'!$A:$A,$A191))</f>
        <v>1137001</v>
      </c>
      <c r="Q191" s="7">
        <f>IF(SUMIFS('Daily BSE Equity Futures'!$J:$J,'Daily BSE Equity Futures'!$A:$A,$A191)=0,"",SUMIFS('Daily BSE Equity Futures'!$J:$J,'Daily BSE Equity Futures'!$A:$A,$A191))</f>
        <v>437</v>
      </c>
      <c r="R191" s="7">
        <f t="shared" si="30"/>
        <v>1137438</v>
      </c>
      <c r="S191" s="19">
        <f t="shared" si="31"/>
        <v>0.99961580323498955</v>
      </c>
      <c r="T191" s="19">
        <f t="shared" si="32"/>
        <v>3.841967650104885E-4</v>
      </c>
    </row>
    <row r="192" spans="1:20" x14ac:dyDescent="0.2">
      <c r="A192" s="9">
        <v>44201</v>
      </c>
      <c r="B192" s="4" t="s">
        <v>223</v>
      </c>
      <c r="C192" s="8">
        <v>44197</v>
      </c>
      <c r="D192" s="4" t="s">
        <v>176</v>
      </c>
      <c r="E192" s="14">
        <f>IF(SUMIFS('Daily NSE Equity Futures'!$I:$I,'Daily NSE Equity Futures'!$A:$A,$A192)=0,"",SUMIFS('Daily NSE Equity Futures'!$I:$I,'Daily NSE Equity Futures'!$A:$A,$A192))</f>
        <v>963.1454</v>
      </c>
      <c r="F192" s="6">
        <f>IF(SUMIFS('Daily BSE Equity Futures'!$I:$I,'Daily BSE Equity Futures'!$A:$A,$A192)=0,"",SUMIFS('Daily BSE Equity Futures'!$I:$I,'Daily BSE Equity Futures'!$A:$A,$A192))</f>
        <v>0.1376</v>
      </c>
      <c r="G192" s="6">
        <f t="shared" si="24"/>
        <v>963.28300000000002</v>
      </c>
      <c r="H192" s="15">
        <f t="shared" si="25"/>
        <v>0.99985715516623874</v>
      </c>
      <c r="I192" s="15">
        <f t="shared" si="26"/>
        <v>1.4284483376121037E-4</v>
      </c>
      <c r="J192" s="20" t="str">
        <f t="shared" si="27"/>
        <v/>
      </c>
      <c r="K192" s="15" t="str">
        <f t="shared" si="28"/>
        <v/>
      </c>
      <c r="L192" s="15" t="str">
        <f t="shared" si="29"/>
        <v/>
      </c>
      <c r="M192" s="15">
        <f t="shared" si="33"/>
        <v>3.3048505484689628E-4</v>
      </c>
      <c r="N192" s="15">
        <f t="shared" si="34"/>
        <v>-0.71511387163561069</v>
      </c>
      <c r="O192" s="15">
        <f t="shared" si="35"/>
        <v>-2.8235972171608559E-5</v>
      </c>
      <c r="P192" s="18">
        <f>IF(SUMIFS('Daily NSE Equity Futures'!$J:$J,'Daily NSE Equity Futures'!$A:$A,$A192)=0,"",SUMIFS('Daily NSE Equity Futures'!$J:$J,'Daily NSE Equity Futures'!$A:$A,$A192))</f>
        <v>1129979</v>
      </c>
      <c r="Q192" s="7">
        <f>IF(SUMIFS('Daily BSE Equity Futures'!$J:$J,'Daily BSE Equity Futures'!$A:$A,$A192)=0,"",SUMIFS('Daily BSE Equity Futures'!$J:$J,'Daily BSE Equity Futures'!$A:$A,$A192))</f>
        <v>124</v>
      </c>
      <c r="R192" s="7">
        <f t="shared" si="30"/>
        <v>1130103</v>
      </c>
      <c r="S192" s="19">
        <f t="shared" si="31"/>
        <v>0.99989027548816345</v>
      </c>
      <c r="T192" s="19">
        <f t="shared" si="32"/>
        <v>1.0972451183653172E-4</v>
      </c>
    </row>
    <row r="193" spans="1:20" x14ac:dyDescent="0.2">
      <c r="A193" s="9">
        <v>44202</v>
      </c>
      <c r="B193" s="4" t="s">
        <v>221</v>
      </c>
      <c r="C193" s="8">
        <v>44197</v>
      </c>
      <c r="D193" s="4" t="s">
        <v>176</v>
      </c>
      <c r="E193" s="14">
        <f>IF(SUMIFS('Daily NSE Equity Futures'!$I:$I,'Daily NSE Equity Futures'!$A:$A,$A193)=0,"",SUMIFS('Daily NSE Equity Futures'!$I:$I,'Daily NSE Equity Futures'!$A:$A,$A193))</f>
        <v>1120.1297999999999</v>
      </c>
      <c r="F193" s="6">
        <f>IF(SUMIFS('Daily BSE Equity Futures'!$I:$I,'Daily BSE Equity Futures'!$A:$A,$A193)=0,"",SUMIFS('Daily BSE Equity Futures'!$I:$I,'Daily BSE Equity Futures'!$A:$A,$A193))</f>
        <v>0.1011</v>
      </c>
      <c r="G193" s="6">
        <f t="shared" si="24"/>
        <v>1120.2309</v>
      </c>
      <c r="H193" s="15">
        <f t="shared" si="25"/>
        <v>0.99990975074870714</v>
      </c>
      <c r="I193" s="15">
        <f t="shared" si="26"/>
        <v>9.0249251292746875E-5</v>
      </c>
      <c r="J193" s="20" t="str">
        <f t="shared" si="27"/>
        <v/>
      </c>
      <c r="K193" s="15" t="str">
        <f t="shared" si="28"/>
        <v/>
      </c>
      <c r="L193" s="15" t="str">
        <f t="shared" si="29"/>
        <v/>
      </c>
      <c r="M193" s="15">
        <f t="shared" si="33"/>
        <v>0.16299138219421483</v>
      </c>
      <c r="N193" s="15">
        <f t="shared" si="34"/>
        <v>-0.26526162790697683</v>
      </c>
      <c r="O193" s="15">
        <f t="shared" si="35"/>
        <v>0.16293020846417927</v>
      </c>
      <c r="P193" s="18">
        <f>IF(SUMIFS('Daily NSE Equity Futures'!$J:$J,'Daily NSE Equity Futures'!$A:$A,$A193)=0,"",SUMIFS('Daily NSE Equity Futures'!$J:$J,'Daily NSE Equity Futures'!$A:$A,$A193))</f>
        <v>1309583</v>
      </c>
      <c r="Q193" s="7">
        <f>IF(SUMIFS('Daily BSE Equity Futures'!$J:$J,'Daily BSE Equity Futures'!$A:$A,$A193)=0,"",SUMIFS('Daily BSE Equity Futures'!$J:$J,'Daily BSE Equity Futures'!$A:$A,$A193))</f>
        <v>91</v>
      </c>
      <c r="R193" s="7">
        <f t="shared" si="30"/>
        <v>1309674</v>
      </c>
      <c r="S193" s="19">
        <f t="shared" si="31"/>
        <v>0.9999305170599706</v>
      </c>
      <c r="T193" s="19">
        <f t="shared" si="32"/>
        <v>6.9482940029350811E-5</v>
      </c>
    </row>
    <row r="194" spans="1:20" x14ac:dyDescent="0.2">
      <c r="A194" s="9">
        <v>44203</v>
      </c>
      <c r="B194" s="4" t="s">
        <v>224</v>
      </c>
      <c r="C194" s="8">
        <v>44197</v>
      </c>
      <c r="D194" s="4" t="s">
        <v>176</v>
      </c>
      <c r="E194" s="14">
        <f>IF(SUMIFS('Daily NSE Equity Futures'!$I:$I,'Daily NSE Equity Futures'!$A:$A,$A194)=0,"",SUMIFS('Daily NSE Equity Futures'!$I:$I,'Daily NSE Equity Futures'!$A:$A,$A194))</f>
        <v>972.95870000000002</v>
      </c>
      <c r="F194" s="6">
        <f>IF(SUMIFS('Daily BSE Equity Futures'!$I:$I,'Daily BSE Equity Futures'!$A:$A,$A194)=0,"",SUMIFS('Daily BSE Equity Futures'!$I:$I,'Daily BSE Equity Futures'!$A:$A,$A194))</f>
        <v>7.6999999999999999E-2</v>
      </c>
      <c r="G194" s="6">
        <f t="shared" ref="G194:G257" si="36">IF(OR(E194="",F194=""),"",E194+F194)</f>
        <v>973.03570000000002</v>
      </c>
      <c r="H194" s="15">
        <f t="shared" ref="H194:H257" si="37">IF(G194="","",E194/G194)</f>
        <v>0.99992086621282239</v>
      </c>
      <c r="I194" s="15">
        <f t="shared" ref="I194:I257" si="38">IF(G194="","",F194/G194)</f>
        <v>7.9133787177592765E-5</v>
      </c>
      <c r="J194" s="20" t="str">
        <f t="shared" ref="J194:J257" si="39">IFERROR(IF(OR(E194="",INDEX(E:E,MATCH(DATE(YEAR($A194)-1,MONTH($A194),DAY($A194)),$A:$A,0))=""),"",E194/INDEX(E:E,MATCH(DATE(YEAR($A194)-1,MONTH($A194),DAY($A194)),$A:$A,0))-1),"")</f>
        <v/>
      </c>
      <c r="K194" s="15" t="str">
        <f t="shared" ref="K194:K257" si="40">IFERROR(IF(OR(F194="",INDEX(F:F,MATCH(DATE(YEAR($A194)-1,MONTH($A194),DAY($A194)),$A:$A,0))=""),"",F194/INDEX(F:F,MATCH(DATE(YEAR($A194)-1,MONTH($A194),DAY($A194)),$A:$A,0))-1),"")</f>
        <v/>
      </c>
      <c r="L194" s="15" t="str">
        <f t="shared" ref="L194:L257" si="41">IFERROR(IF(OR(G194="",INDEX(G:G,MATCH(DATE(YEAR($A194)-1,MONTH($A194),DAY($A194)),$A:$A,0))=""),"",G194/INDEX(G:G,MATCH(DATE(YEAR($A194)-1,MONTH($A194),DAY($A194)),$A:$A,0))-1),"")</f>
        <v/>
      </c>
      <c r="M194" s="15">
        <f t="shared" si="33"/>
        <v>-0.13138754097962568</v>
      </c>
      <c r="N194" s="15">
        <f t="shared" si="34"/>
        <v>-0.23837784371908999</v>
      </c>
      <c r="O194" s="15">
        <f t="shared" si="35"/>
        <v>-0.13139719677434358</v>
      </c>
      <c r="P194" s="18">
        <f>IF(SUMIFS('Daily NSE Equity Futures'!$J:$J,'Daily NSE Equity Futures'!$A:$A,$A194)=0,"",SUMIFS('Daily NSE Equity Futures'!$J:$J,'Daily NSE Equity Futures'!$A:$A,$A194))</f>
        <v>1118117</v>
      </c>
      <c r="Q194" s="7">
        <f>IF(SUMIFS('Daily BSE Equity Futures'!$J:$J,'Daily BSE Equity Futures'!$A:$A,$A194)=0,"",SUMIFS('Daily BSE Equity Futures'!$J:$J,'Daily BSE Equity Futures'!$A:$A,$A194))</f>
        <v>69</v>
      </c>
      <c r="R194" s="7">
        <f t="shared" ref="R194:R257" si="42">IF(OR(P194="",Q194=""),"",P194+Q194)</f>
        <v>1118186</v>
      </c>
      <c r="S194" s="19">
        <f t="shared" ref="S194:S257" si="43">IF(R194="","",P194/R194)</f>
        <v>0.99993829291370129</v>
      </c>
      <c r="T194" s="19">
        <f t="shared" ref="T194:T257" si="44">IF(R194="","",Q194/R194)</f>
        <v>6.1707086298701648E-5</v>
      </c>
    </row>
    <row r="195" spans="1:20" x14ac:dyDescent="0.2">
      <c r="A195" s="9">
        <v>44204</v>
      </c>
      <c r="B195" s="4" t="s">
        <v>222</v>
      </c>
      <c r="C195" s="8">
        <v>44197</v>
      </c>
      <c r="D195" s="4" t="s">
        <v>176</v>
      </c>
      <c r="E195" s="14">
        <f>IF(SUMIFS('Daily NSE Equity Futures'!$I:$I,'Daily NSE Equity Futures'!$A:$A,$A195)=0,"",SUMIFS('Daily NSE Equity Futures'!$I:$I,'Daily NSE Equity Futures'!$A:$A,$A195))</f>
        <v>1003.4104</v>
      </c>
      <c r="F195" s="6">
        <f>IF(SUMIFS('Daily BSE Equity Futures'!$I:$I,'Daily BSE Equity Futures'!$A:$A,$A195)=0,"",SUMIFS('Daily BSE Equity Futures'!$I:$I,'Daily BSE Equity Futures'!$A:$A,$A195))</f>
        <v>0.1135</v>
      </c>
      <c r="G195" s="6">
        <f t="shared" si="36"/>
        <v>1003.5239</v>
      </c>
      <c r="H195" s="15">
        <f t="shared" si="37"/>
        <v>0.99988689855817081</v>
      </c>
      <c r="I195" s="15">
        <f t="shared" si="38"/>
        <v>1.131014418291383E-4</v>
      </c>
      <c r="J195" s="20" t="str">
        <f t="shared" si="39"/>
        <v/>
      </c>
      <c r="K195" s="15" t="str">
        <f t="shared" si="40"/>
        <v/>
      </c>
      <c r="L195" s="15" t="str">
        <f t="shared" si="41"/>
        <v/>
      </c>
      <c r="M195" s="15">
        <f t="shared" ref="M195:M258" si="45">IF(OR(E195="",E194=""),"",E195/E194-1)</f>
        <v>3.1298039680409895E-2</v>
      </c>
      <c r="N195" s="15">
        <f t="shared" ref="N195:N258" si="46">IF(OR(F195="",F194=""),"",F195/F194-1)</f>
        <v>0.47402597402597402</v>
      </c>
      <c r="O195" s="15">
        <f t="shared" ref="O195:O258" si="47">IF(OR(G195="",G194=""),"",G195/G194-1)</f>
        <v>3.1333074418544049E-2</v>
      </c>
      <c r="P195" s="18">
        <f>IF(SUMIFS('Daily NSE Equity Futures'!$J:$J,'Daily NSE Equity Futures'!$A:$A,$A195)=0,"",SUMIFS('Daily NSE Equity Futures'!$J:$J,'Daily NSE Equity Futures'!$A:$A,$A195))</f>
        <v>1150830</v>
      </c>
      <c r="Q195" s="7">
        <f>IF(SUMIFS('Daily BSE Equity Futures'!$J:$J,'Daily BSE Equity Futures'!$A:$A,$A195)=0,"",SUMIFS('Daily BSE Equity Futures'!$J:$J,'Daily BSE Equity Futures'!$A:$A,$A195))</f>
        <v>101</v>
      </c>
      <c r="R195" s="7">
        <f t="shared" si="42"/>
        <v>1150931</v>
      </c>
      <c r="S195" s="19">
        <f t="shared" si="43"/>
        <v>0.99991224495647435</v>
      </c>
      <c r="T195" s="19">
        <f t="shared" si="44"/>
        <v>8.7755043525632726E-5</v>
      </c>
    </row>
    <row r="196" spans="1:20" x14ac:dyDescent="0.2">
      <c r="A196" s="9">
        <v>44207</v>
      </c>
      <c r="B196" s="4" t="s">
        <v>225</v>
      </c>
      <c r="C196" s="8">
        <v>44197</v>
      </c>
      <c r="D196" s="4" t="s">
        <v>176</v>
      </c>
      <c r="E196" s="14">
        <f>IF(SUMIFS('Daily NSE Equity Futures'!$I:$I,'Daily NSE Equity Futures'!$A:$A,$A196)=0,"",SUMIFS('Daily NSE Equity Futures'!$I:$I,'Daily NSE Equity Futures'!$A:$A,$A196))</f>
        <v>1025.6855</v>
      </c>
      <c r="F196" s="6">
        <f>IF(SUMIFS('Daily BSE Equity Futures'!$I:$I,'Daily BSE Equity Futures'!$A:$A,$A196)=0,"",SUMIFS('Daily BSE Equity Futures'!$I:$I,'Daily BSE Equity Futures'!$A:$A,$A196))</f>
        <v>0.1091</v>
      </c>
      <c r="G196" s="6">
        <f t="shared" si="36"/>
        <v>1025.7945999999999</v>
      </c>
      <c r="H196" s="15">
        <f t="shared" si="37"/>
        <v>0.99989364342530185</v>
      </c>
      <c r="I196" s="15">
        <f t="shared" si="38"/>
        <v>1.0635657469828756E-4</v>
      </c>
      <c r="J196" s="20" t="str">
        <f t="shared" si="39"/>
        <v/>
      </c>
      <c r="K196" s="15" t="str">
        <f t="shared" si="40"/>
        <v/>
      </c>
      <c r="L196" s="15" t="str">
        <f t="shared" si="41"/>
        <v/>
      </c>
      <c r="M196" s="15">
        <f t="shared" si="45"/>
        <v>2.2199391196264351E-2</v>
      </c>
      <c r="N196" s="15">
        <f t="shared" si="46"/>
        <v>-3.8766519823788537E-2</v>
      </c>
      <c r="O196" s="15">
        <f t="shared" si="47"/>
        <v>2.2192495863825323E-2</v>
      </c>
      <c r="P196" s="18">
        <f>IF(SUMIFS('Daily NSE Equity Futures'!$J:$J,'Daily NSE Equity Futures'!$A:$A,$A196)=0,"",SUMIFS('Daily NSE Equity Futures'!$J:$J,'Daily NSE Equity Futures'!$A:$A,$A196))</f>
        <v>1158426</v>
      </c>
      <c r="Q196" s="7">
        <f>IF(SUMIFS('Daily BSE Equity Futures'!$J:$J,'Daily BSE Equity Futures'!$A:$A,$A196)=0,"",SUMIFS('Daily BSE Equity Futures'!$J:$J,'Daily BSE Equity Futures'!$A:$A,$A196))</f>
        <v>96</v>
      </c>
      <c r="R196" s="7">
        <f t="shared" si="42"/>
        <v>1158522</v>
      </c>
      <c r="S196" s="19">
        <f t="shared" si="43"/>
        <v>0.99991713579888863</v>
      </c>
      <c r="T196" s="19">
        <f t="shared" si="44"/>
        <v>8.2864201111416093E-5</v>
      </c>
    </row>
    <row r="197" spans="1:20" x14ac:dyDescent="0.2">
      <c r="A197" s="9">
        <v>44208</v>
      </c>
      <c r="B197" s="4" t="s">
        <v>223</v>
      </c>
      <c r="C197" s="8">
        <v>44197</v>
      </c>
      <c r="D197" s="4" t="s">
        <v>176</v>
      </c>
      <c r="E197" s="14">
        <f>IF(SUMIFS('Daily NSE Equity Futures'!$I:$I,'Daily NSE Equity Futures'!$A:$A,$A197)=0,"",SUMIFS('Daily NSE Equity Futures'!$I:$I,'Daily NSE Equity Futures'!$A:$A,$A197))</f>
        <v>1106.6628000000001</v>
      </c>
      <c r="F197" s="6">
        <f>IF(SUMIFS('Daily BSE Equity Futures'!$I:$I,'Daily BSE Equity Futures'!$A:$A,$A197)=0,"",SUMIFS('Daily BSE Equity Futures'!$I:$I,'Daily BSE Equity Futures'!$A:$A,$A197))</f>
        <v>0.26769999999999999</v>
      </c>
      <c r="G197" s="6">
        <f t="shared" si="36"/>
        <v>1106.9305000000002</v>
      </c>
      <c r="H197" s="15">
        <f t="shared" si="37"/>
        <v>0.99975816006515306</v>
      </c>
      <c r="I197" s="15">
        <f t="shared" si="38"/>
        <v>2.4183993484685801E-4</v>
      </c>
      <c r="J197" s="20" t="str">
        <f t="shared" si="39"/>
        <v/>
      </c>
      <c r="K197" s="15" t="str">
        <f t="shared" si="40"/>
        <v/>
      </c>
      <c r="L197" s="15" t="str">
        <f t="shared" si="41"/>
        <v/>
      </c>
      <c r="M197" s="15">
        <f t="shared" si="45"/>
        <v>7.8949444054732254E-2</v>
      </c>
      <c r="N197" s="15">
        <f t="shared" si="46"/>
        <v>1.4537121906507791</v>
      </c>
      <c r="O197" s="15">
        <f t="shared" si="47"/>
        <v>7.9095659111483085E-2</v>
      </c>
      <c r="P197" s="18">
        <f>IF(SUMIFS('Daily NSE Equity Futures'!$J:$J,'Daily NSE Equity Futures'!$A:$A,$A197)=0,"",SUMIFS('Daily NSE Equity Futures'!$J:$J,'Daily NSE Equity Futures'!$A:$A,$A197))</f>
        <v>1247412</v>
      </c>
      <c r="Q197" s="7">
        <f>IF(SUMIFS('Daily BSE Equity Futures'!$J:$J,'Daily BSE Equity Futures'!$A:$A,$A197)=0,"",SUMIFS('Daily BSE Equity Futures'!$J:$J,'Daily BSE Equity Futures'!$A:$A,$A197))</f>
        <v>235</v>
      </c>
      <c r="R197" s="7">
        <f t="shared" si="42"/>
        <v>1247647</v>
      </c>
      <c r="S197" s="19">
        <f t="shared" si="43"/>
        <v>0.9998116454413789</v>
      </c>
      <c r="T197" s="19">
        <f t="shared" si="44"/>
        <v>1.8835455862114845E-4</v>
      </c>
    </row>
    <row r="198" spans="1:20" x14ac:dyDescent="0.2">
      <c r="A198" s="9">
        <v>44209</v>
      </c>
      <c r="B198" s="4" t="s">
        <v>221</v>
      </c>
      <c r="C198" s="8">
        <v>44197</v>
      </c>
      <c r="D198" s="4" t="s">
        <v>176</v>
      </c>
      <c r="E198" s="14">
        <f>IF(SUMIFS('Daily NSE Equity Futures'!$I:$I,'Daily NSE Equity Futures'!$A:$A,$A198)=0,"",SUMIFS('Daily NSE Equity Futures'!$I:$I,'Daily NSE Equity Futures'!$A:$A,$A198))</f>
        <v>1316.1543999999999</v>
      </c>
      <c r="F198" s="6">
        <f>IF(SUMIFS('Daily BSE Equity Futures'!$I:$I,'Daily BSE Equity Futures'!$A:$A,$A198)=0,"",SUMIFS('Daily BSE Equity Futures'!$I:$I,'Daily BSE Equity Futures'!$A:$A,$A198))</f>
        <v>0.35110000000000002</v>
      </c>
      <c r="G198" s="6">
        <f t="shared" si="36"/>
        <v>1316.5055</v>
      </c>
      <c r="H198" s="15">
        <f t="shared" si="37"/>
        <v>0.99973330912783875</v>
      </c>
      <c r="I198" s="15">
        <f t="shared" si="38"/>
        <v>2.6669087216118733E-4</v>
      </c>
      <c r="J198" s="20" t="str">
        <f t="shared" si="39"/>
        <v/>
      </c>
      <c r="K198" s="15" t="str">
        <f t="shared" si="40"/>
        <v/>
      </c>
      <c r="L198" s="15" t="str">
        <f t="shared" si="41"/>
        <v/>
      </c>
      <c r="M198" s="15">
        <f t="shared" si="45"/>
        <v>0.18930029996490338</v>
      </c>
      <c r="N198" s="15">
        <f t="shared" si="46"/>
        <v>0.31154277175943235</v>
      </c>
      <c r="O198" s="15">
        <f t="shared" si="47"/>
        <v>0.18932986307631761</v>
      </c>
      <c r="P198" s="18">
        <f>IF(SUMIFS('Daily NSE Equity Futures'!$J:$J,'Daily NSE Equity Futures'!$A:$A,$A198)=0,"",SUMIFS('Daily NSE Equity Futures'!$J:$J,'Daily NSE Equity Futures'!$A:$A,$A198))</f>
        <v>1479709</v>
      </c>
      <c r="Q198" s="7">
        <f>IF(SUMIFS('Daily BSE Equity Futures'!$J:$J,'Daily BSE Equity Futures'!$A:$A,$A198)=0,"",SUMIFS('Daily BSE Equity Futures'!$J:$J,'Daily BSE Equity Futures'!$A:$A,$A198))</f>
        <v>307</v>
      </c>
      <c r="R198" s="7">
        <f t="shared" si="42"/>
        <v>1480016</v>
      </c>
      <c r="S198" s="19">
        <f t="shared" si="43"/>
        <v>0.99979256981005615</v>
      </c>
      <c r="T198" s="19">
        <f t="shared" si="44"/>
        <v>2.0743018994389249E-4</v>
      </c>
    </row>
    <row r="199" spans="1:20" x14ac:dyDescent="0.2">
      <c r="A199" s="9">
        <v>44210</v>
      </c>
      <c r="B199" s="4" t="s">
        <v>224</v>
      </c>
      <c r="C199" s="8">
        <v>44197</v>
      </c>
      <c r="D199" s="4" t="s">
        <v>176</v>
      </c>
      <c r="E199" s="14">
        <f>IF(SUMIFS('Daily NSE Equity Futures'!$I:$I,'Daily NSE Equity Futures'!$A:$A,$A199)=0,"",SUMIFS('Daily NSE Equity Futures'!$I:$I,'Daily NSE Equity Futures'!$A:$A,$A199))</f>
        <v>906.57939999999996</v>
      </c>
      <c r="F199" s="6">
        <f>IF(SUMIFS('Daily BSE Equity Futures'!$I:$I,'Daily BSE Equity Futures'!$A:$A,$A199)=0,"",SUMIFS('Daily BSE Equity Futures'!$I:$I,'Daily BSE Equity Futures'!$A:$A,$A199))</f>
        <v>2.63E-2</v>
      </c>
      <c r="G199" s="6">
        <f t="shared" si="36"/>
        <v>906.60569999999996</v>
      </c>
      <c r="H199" s="15">
        <f t="shared" si="37"/>
        <v>0.9999709906963965</v>
      </c>
      <c r="I199" s="15">
        <f t="shared" si="38"/>
        <v>2.9009303603540108E-5</v>
      </c>
      <c r="J199" s="20" t="str">
        <f t="shared" si="39"/>
        <v/>
      </c>
      <c r="K199" s="15" t="str">
        <f t="shared" si="40"/>
        <v/>
      </c>
      <c r="L199" s="15" t="str">
        <f t="shared" si="41"/>
        <v/>
      </c>
      <c r="M199" s="15">
        <f t="shared" si="45"/>
        <v>-0.31119069312840497</v>
      </c>
      <c r="N199" s="15">
        <f t="shared" si="46"/>
        <v>-0.92509256622045</v>
      </c>
      <c r="O199" s="15">
        <f t="shared" si="47"/>
        <v>-0.31135441515436135</v>
      </c>
      <c r="P199" s="18">
        <f>IF(SUMIFS('Daily NSE Equity Futures'!$J:$J,'Daily NSE Equity Futures'!$A:$A,$A199)=0,"",SUMIFS('Daily NSE Equity Futures'!$J:$J,'Daily NSE Equity Futures'!$A:$A,$A199))</f>
        <v>1019961</v>
      </c>
      <c r="Q199" s="7">
        <f>IF(SUMIFS('Daily BSE Equity Futures'!$J:$J,'Daily BSE Equity Futures'!$A:$A,$A199)=0,"",SUMIFS('Daily BSE Equity Futures'!$J:$J,'Daily BSE Equity Futures'!$A:$A,$A199))</f>
        <v>23</v>
      </c>
      <c r="R199" s="7">
        <f t="shared" si="42"/>
        <v>1019984</v>
      </c>
      <c r="S199" s="19">
        <f t="shared" si="43"/>
        <v>0.99997745062667653</v>
      </c>
      <c r="T199" s="19">
        <f t="shared" si="44"/>
        <v>2.2549373323503113E-5</v>
      </c>
    </row>
    <row r="200" spans="1:20" x14ac:dyDescent="0.2">
      <c r="A200" s="9">
        <v>44211</v>
      </c>
      <c r="B200" s="4" t="s">
        <v>222</v>
      </c>
      <c r="C200" s="8">
        <v>44197</v>
      </c>
      <c r="D200" s="4" t="s">
        <v>176</v>
      </c>
      <c r="E200" s="14">
        <f>IF(SUMIFS('Daily NSE Equity Futures'!$I:$I,'Daily NSE Equity Futures'!$A:$A,$A200)=0,"",SUMIFS('Daily NSE Equity Futures'!$I:$I,'Daily NSE Equity Futures'!$A:$A,$A200))</f>
        <v>1215.3957</v>
      </c>
      <c r="F200" s="6">
        <f>IF(SUMIFS('Daily BSE Equity Futures'!$I:$I,'Daily BSE Equity Futures'!$A:$A,$A200)=0,"",SUMIFS('Daily BSE Equity Futures'!$I:$I,'Daily BSE Equity Futures'!$A:$A,$A200))</f>
        <v>0.30130000000000001</v>
      </c>
      <c r="G200" s="6">
        <f t="shared" si="36"/>
        <v>1215.6970000000001</v>
      </c>
      <c r="H200" s="15">
        <f t="shared" si="37"/>
        <v>0.99975215863821321</v>
      </c>
      <c r="I200" s="15">
        <f t="shared" si="38"/>
        <v>2.4784136178669517E-4</v>
      </c>
      <c r="J200" s="20" t="str">
        <f t="shared" si="39"/>
        <v/>
      </c>
      <c r="K200" s="15" t="str">
        <f t="shared" si="40"/>
        <v/>
      </c>
      <c r="L200" s="15" t="str">
        <f t="shared" si="41"/>
        <v/>
      </c>
      <c r="M200" s="15">
        <f t="shared" si="45"/>
        <v>0.34063899973901912</v>
      </c>
      <c r="N200" s="15">
        <f t="shared" si="46"/>
        <v>10.456273764258555</v>
      </c>
      <c r="O200" s="15">
        <f t="shared" si="47"/>
        <v>0.34093244725904559</v>
      </c>
      <c r="P200" s="18">
        <f>IF(SUMIFS('Daily NSE Equity Futures'!$J:$J,'Daily NSE Equity Futures'!$A:$A,$A200)=0,"",SUMIFS('Daily NSE Equity Futures'!$J:$J,'Daily NSE Equity Futures'!$A:$A,$A200))</f>
        <v>1331760</v>
      </c>
      <c r="Q200" s="7">
        <f>IF(SUMIFS('Daily BSE Equity Futures'!$J:$J,'Daily BSE Equity Futures'!$A:$A,$A200)=0,"",SUMIFS('Daily BSE Equity Futures'!$J:$J,'Daily BSE Equity Futures'!$A:$A,$A200))</f>
        <v>265</v>
      </c>
      <c r="R200" s="7">
        <f t="shared" si="42"/>
        <v>1332025</v>
      </c>
      <c r="S200" s="19">
        <f t="shared" si="43"/>
        <v>0.9998010547850078</v>
      </c>
      <c r="T200" s="19">
        <f t="shared" si="44"/>
        <v>1.9894521499221111E-4</v>
      </c>
    </row>
    <row r="201" spans="1:20" x14ac:dyDescent="0.2">
      <c r="A201" s="9">
        <v>44214</v>
      </c>
      <c r="B201" s="4" t="s">
        <v>225</v>
      </c>
      <c r="C201" s="8">
        <v>44197</v>
      </c>
      <c r="D201" s="4" t="s">
        <v>176</v>
      </c>
      <c r="E201" s="14">
        <f>IF(SUMIFS('Daily NSE Equity Futures'!$I:$I,'Daily NSE Equity Futures'!$A:$A,$A201)=0,"",SUMIFS('Daily NSE Equity Futures'!$I:$I,'Daily NSE Equity Futures'!$A:$A,$A201))</f>
        <v>1156.1745000000001</v>
      </c>
      <c r="F201" s="6">
        <f>IF(SUMIFS('Daily BSE Equity Futures'!$I:$I,'Daily BSE Equity Futures'!$A:$A,$A201)=0,"",SUMIFS('Daily BSE Equity Futures'!$I:$I,'Daily BSE Equity Futures'!$A:$A,$A201))</f>
        <v>7.5300000000000006E-2</v>
      </c>
      <c r="G201" s="6">
        <f t="shared" si="36"/>
        <v>1156.2498000000001</v>
      </c>
      <c r="H201" s="15">
        <f t="shared" si="37"/>
        <v>0.99993487566441097</v>
      </c>
      <c r="I201" s="15">
        <f t="shared" si="38"/>
        <v>6.5124335589074266E-5</v>
      </c>
      <c r="J201" s="20" t="str">
        <f t="shared" si="39"/>
        <v/>
      </c>
      <c r="K201" s="15" t="str">
        <f t="shared" si="40"/>
        <v/>
      </c>
      <c r="L201" s="15" t="str">
        <f t="shared" si="41"/>
        <v/>
      </c>
      <c r="M201" s="15">
        <f t="shared" si="45"/>
        <v>-4.8725859405294836E-2</v>
      </c>
      <c r="N201" s="15">
        <f t="shared" si="46"/>
        <v>-0.75008297378028543</v>
      </c>
      <c r="O201" s="15">
        <f t="shared" si="47"/>
        <v>-4.8899684707620406E-2</v>
      </c>
      <c r="P201" s="18">
        <f>IF(SUMIFS('Daily NSE Equity Futures'!$J:$J,'Daily NSE Equity Futures'!$A:$A,$A201)=0,"",SUMIFS('Daily NSE Equity Futures'!$J:$J,'Daily NSE Equity Futures'!$A:$A,$A201))</f>
        <v>1336963</v>
      </c>
      <c r="Q201" s="7">
        <f>IF(SUMIFS('Daily BSE Equity Futures'!$J:$J,'Daily BSE Equity Futures'!$A:$A,$A201)=0,"",SUMIFS('Daily BSE Equity Futures'!$J:$J,'Daily BSE Equity Futures'!$A:$A,$A201))</f>
        <v>67</v>
      </c>
      <c r="R201" s="7">
        <f t="shared" si="42"/>
        <v>1337030</v>
      </c>
      <c r="S201" s="19">
        <f t="shared" si="43"/>
        <v>0.99994988893293346</v>
      </c>
      <c r="T201" s="19">
        <f t="shared" si="44"/>
        <v>5.011106706655797E-5</v>
      </c>
    </row>
    <row r="202" spans="1:20" x14ac:dyDescent="0.2">
      <c r="A202" s="9">
        <v>44215</v>
      </c>
      <c r="B202" s="4" t="s">
        <v>223</v>
      </c>
      <c r="C202" s="8">
        <v>44197</v>
      </c>
      <c r="D202" s="4" t="s">
        <v>176</v>
      </c>
      <c r="E202" s="14">
        <f>IF(SUMIFS('Daily NSE Equity Futures'!$I:$I,'Daily NSE Equity Futures'!$A:$A,$A202)=0,"",SUMIFS('Daily NSE Equity Futures'!$I:$I,'Daily NSE Equity Futures'!$A:$A,$A202))</f>
        <v>999.30269999999996</v>
      </c>
      <c r="F202" s="6">
        <f>IF(SUMIFS('Daily BSE Equity Futures'!$I:$I,'Daily BSE Equity Futures'!$A:$A,$A202)=0,"",SUMIFS('Daily BSE Equity Futures'!$I:$I,'Daily BSE Equity Futures'!$A:$A,$A202))</f>
        <v>3.2000000000000001E-2</v>
      </c>
      <c r="G202" s="6">
        <f t="shared" si="36"/>
        <v>999.3347</v>
      </c>
      <c r="H202" s="15">
        <f t="shared" si="37"/>
        <v>0.99996797869622656</v>
      </c>
      <c r="I202" s="15">
        <f t="shared" si="38"/>
        <v>3.2021303773400447E-5</v>
      </c>
      <c r="J202" s="20" t="str">
        <f t="shared" si="39"/>
        <v/>
      </c>
      <c r="K202" s="15" t="str">
        <f t="shared" si="40"/>
        <v/>
      </c>
      <c r="L202" s="15" t="str">
        <f t="shared" si="41"/>
        <v/>
      </c>
      <c r="M202" s="15">
        <f t="shared" si="45"/>
        <v>-0.13568176776083551</v>
      </c>
      <c r="N202" s="15">
        <f t="shared" si="46"/>
        <v>-0.57503320053120854</v>
      </c>
      <c r="O202" s="15">
        <f t="shared" si="47"/>
        <v>-0.1357103802309847</v>
      </c>
      <c r="P202" s="18">
        <f>IF(SUMIFS('Daily NSE Equity Futures'!$J:$J,'Daily NSE Equity Futures'!$A:$A,$A202)=0,"",SUMIFS('Daily NSE Equity Futures'!$J:$J,'Daily NSE Equity Futures'!$A:$A,$A202))</f>
        <v>1130004</v>
      </c>
      <c r="Q202" s="7">
        <f>IF(SUMIFS('Daily BSE Equity Futures'!$J:$J,'Daily BSE Equity Futures'!$A:$A,$A202)=0,"",SUMIFS('Daily BSE Equity Futures'!$J:$J,'Daily BSE Equity Futures'!$A:$A,$A202))</f>
        <v>28</v>
      </c>
      <c r="R202" s="7">
        <f t="shared" si="42"/>
        <v>1130032</v>
      </c>
      <c r="S202" s="19">
        <f t="shared" si="43"/>
        <v>0.99997522194061761</v>
      </c>
      <c r="T202" s="19">
        <f t="shared" si="44"/>
        <v>2.4778059382389172E-5</v>
      </c>
    </row>
    <row r="203" spans="1:20" x14ac:dyDescent="0.2">
      <c r="A203" s="9">
        <v>44216</v>
      </c>
      <c r="B203" s="4" t="s">
        <v>221</v>
      </c>
      <c r="C203" s="8">
        <v>44197</v>
      </c>
      <c r="D203" s="4" t="s">
        <v>176</v>
      </c>
      <c r="E203" s="14">
        <f>IF(SUMIFS('Daily NSE Equity Futures'!$I:$I,'Daily NSE Equity Futures'!$A:$A,$A203)=0,"",SUMIFS('Daily NSE Equity Futures'!$I:$I,'Daily NSE Equity Futures'!$A:$A,$A203))</f>
        <v>974.6146</v>
      </c>
      <c r="F203" s="6">
        <f>IF(SUMIFS('Daily BSE Equity Futures'!$I:$I,'Daily BSE Equity Futures'!$A:$A,$A203)=0,"",SUMIFS('Daily BSE Equity Futures'!$I:$I,'Daily BSE Equity Futures'!$A:$A,$A203))</f>
        <v>0.1804</v>
      </c>
      <c r="G203" s="6">
        <f t="shared" si="36"/>
        <v>974.79499999999996</v>
      </c>
      <c r="H203" s="15">
        <f t="shared" si="37"/>
        <v>0.99981493544796607</v>
      </c>
      <c r="I203" s="15">
        <f t="shared" si="38"/>
        <v>1.8506455203401743E-4</v>
      </c>
      <c r="J203" s="20" t="str">
        <f t="shared" si="39"/>
        <v/>
      </c>
      <c r="K203" s="15" t="str">
        <f t="shared" si="40"/>
        <v/>
      </c>
      <c r="L203" s="15" t="str">
        <f t="shared" si="41"/>
        <v/>
      </c>
      <c r="M203" s="15">
        <f t="shared" si="45"/>
        <v>-2.4705327024534207E-2</v>
      </c>
      <c r="N203" s="15">
        <f t="shared" si="46"/>
        <v>4.6375000000000002</v>
      </c>
      <c r="O203" s="15">
        <f t="shared" si="47"/>
        <v>-2.4556037131503672E-2</v>
      </c>
      <c r="P203" s="18">
        <f>IF(SUMIFS('Daily NSE Equity Futures'!$J:$J,'Daily NSE Equity Futures'!$A:$A,$A203)=0,"",SUMIFS('Daily NSE Equity Futures'!$J:$J,'Daily NSE Equity Futures'!$A:$A,$A203))</f>
        <v>1076492</v>
      </c>
      <c r="Q203" s="7">
        <f>IF(SUMIFS('Daily BSE Equity Futures'!$J:$J,'Daily BSE Equity Futures'!$A:$A,$A203)=0,"",SUMIFS('Daily BSE Equity Futures'!$J:$J,'Daily BSE Equity Futures'!$A:$A,$A203))</f>
        <v>157</v>
      </c>
      <c r="R203" s="7">
        <f t="shared" si="42"/>
        <v>1076649</v>
      </c>
      <c r="S203" s="19">
        <f t="shared" si="43"/>
        <v>0.99985417717380498</v>
      </c>
      <c r="T203" s="19">
        <f t="shared" si="44"/>
        <v>1.4582282619498091E-4</v>
      </c>
    </row>
    <row r="204" spans="1:20" x14ac:dyDescent="0.2">
      <c r="A204" s="9">
        <v>44217</v>
      </c>
      <c r="B204" s="4" t="s">
        <v>224</v>
      </c>
      <c r="C204" s="8">
        <v>44197</v>
      </c>
      <c r="D204" s="4" t="s">
        <v>176</v>
      </c>
      <c r="E204" s="14">
        <f>IF(SUMIFS('Daily NSE Equity Futures'!$I:$I,'Daily NSE Equity Futures'!$A:$A,$A204)=0,"",SUMIFS('Daily NSE Equity Futures'!$I:$I,'Daily NSE Equity Futures'!$A:$A,$A204))</f>
        <v>1349.2809</v>
      </c>
      <c r="F204" s="6">
        <f>IF(SUMIFS('Daily BSE Equity Futures'!$I:$I,'Daily BSE Equity Futures'!$A:$A,$A204)=0,"",SUMIFS('Daily BSE Equity Futures'!$I:$I,'Daily BSE Equity Futures'!$A:$A,$A204))</f>
        <v>0.1608</v>
      </c>
      <c r="G204" s="6">
        <f t="shared" si="36"/>
        <v>1349.4417000000001</v>
      </c>
      <c r="H204" s="15">
        <f t="shared" si="37"/>
        <v>0.99988083960944729</v>
      </c>
      <c r="I204" s="15">
        <f t="shared" si="38"/>
        <v>1.1916039055262631E-4</v>
      </c>
      <c r="J204" s="20" t="str">
        <f t="shared" si="39"/>
        <v/>
      </c>
      <c r="K204" s="15" t="str">
        <f t="shared" si="40"/>
        <v/>
      </c>
      <c r="L204" s="15" t="str">
        <f t="shared" si="41"/>
        <v/>
      </c>
      <c r="M204" s="15">
        <f t="shared" si="45"/>
        <v>0.38442508454110991</v>
      </c>
      <c r="N204" s="15">
        <f t="shared" si="46"/>
        <v>-0.10864745011086474</v>
      </c>
      <c r="O204" s="15">
        <f t="shared" si="47"/>
        <v>0.38433383429336443</v>
      </c>
      <c r="P204" s="18">
        <f>IF(SUMIFS('Daily NSE Equity Futures'!$J:$J,'Daily NSE Equity Futures'!$A:$A,$A204)=0,"",SUMIFS('Daily NSE Equity Futures'!$J:$J,'Daily NSE Equity Futures'!$A:$A,$A204))</f>
        <v>1494367</v>
      </c>
      <c r="Q204" s="7">
        <f>IF(SUMIFS('Daily BSE Equity Futures'!$J:$J,'Daily BSE Equity Futures'!$A:$A,$A204)=0,"",SUMIFS('Daily BSE Equity Futures'!$J:$J,'Daily BSE Equity Futures'!$A:$A,$A204))</f>
        <v>139</v>
      </c>
      <c r="R204" s="7">
        <f t="shared" si="42"/>
        <v>1494506</v>
      </c>
      <c r="S204" s="19">
        <f t="shared" si="43"/>
        <v>0.99990699267851724</v>
      </c>
      <c r="T204" s="19">
        <f t="shared" si="44"/>
        <v>9.3007321482817729E-5</v>
      </c>
    </row>
    <row r="205" spans="1:20" x14ac:dyDescent="0.2">
      <c r="A205" s="9">
        <v>44218</v>
      </c>
      <c r="B205" s="4" t="s">
        <v>222</v>
      </c>
      <c r="C205" s="8">
        <v>44197</v>
      </c>
      <c r="D205" s="4" t="s">
        <v>176</v>
      </c>
      <c r="E205" s="14">
        <f>IF(SUMIFS('Daily NSE Equity Futures'!$I:$I,'Daily NSE Equity Futures'!$A:$A,$A205)=0,"",SUMIFS('Daily NSE Equity Futures'!$I:$I,'Daily NSE Equity Futures'!$A:$A,$A205))</f>
        <v>1803.5826999999999</v>
      </c>
      <c r="F205" s="6">
        <f>IF(SUMIFS('Daily BSE Equity Futures'!$I:$I,'Daily BSE Equity Futures'!$A:$A,$A205)=0,"",SUMIFS('Daily BSE Equity Futures'!$I:$I,'Daily BSE Equity Futures'!$A:$A,$A205))</f>
        <v>0.2036</v>
      </c>
      <c r="G205" s="6">
        <f t="shared" si="36"/>
        <v>1803.7863</v>
      </c>
      <c r="H205" s="15">
        <f t="shared" si="37"/>
        <v>0.99988712631867749</v>
      </c>
      <c r="I205" s="15">
        <f t="shared" si="38"/>
        <v>1.1287368132244935E-4</v>
      </c>
      <c r="J205" s="20" t="str">
        <f t="shared" si="39"/>
        <v/>
      </c>
      <c r="K205" s="15" t="str">
        <f t="shared" si="40"/>
        <v/>
      </c>
      <c r="L205" s="15" t="str">
        <f t="shared" si="41"/>
        <v/>
      </c>
      <c r="M205" s="15">
        <f t="shared" si="45"/>
        <v>0.33669920029254108</v>
      </c>
      <c r="N205" s="15">
        <f t="shared" si="46"/>
        <v>0.26616915422885579</v>
      </c>
      <c r="O205" s="15">
        <f t="shared" si="47"/>
        <v>0.3366907959047063</v>
      </c>
      <c r="P205" s="18">
        <f>IF(SUMIFS('Daily NSE Equity Futures'!$J:$J,'Daily NSE Equity Futures'!$A:$A,$A205)=0,"",SUMIFS('Daily NSE Equity Futures'!$J:$J,'Daily NSE Equity Futures'!$A:$A,$A205))</f>
        <v>2009520</v>
      </c>
      <c r="Q205" s="7">
        <f>IF(SUMIFS('Daily BSE Equity Futures'!$J:$J,'Daily BSE Equity Futures'!$A:$A,$A205)=0,"",SUMIFS('Daily BSE Equity Futures'!$J:$J,'Daily BSE Equity Futures'!$A:$A,$A205))</f>
        <v>179</v>
      </c>
      <c r="R205" s="7">
        <f t="shared" si="42"/>
        <v>2009699</v>
      </c>
      <c r="S205" s="19">
        <f t="shared" si="43"/>
        <v>0.99991093193557845</v>
      </c>
      <c r="T205" s="19">
        <f t="shared" si="44"/>
        <v>8.9068064421587512E-5</v>
      </c>
    </row>
    <row r="206" spans="1:20" x14ac:dyDescent="0.2">
      <c r="A206" s="9">
        <v>44221</v>
      </c>
      <c r="B206" s="4" t="s">
        <v>225</v>
      </c>
      <c r="C206" s="8">
        <v>44197</v>
      </c>
      <c r="D206" s="4" t="s">
        <v>176</v>
      </c>
      <c r="E206" s="14">
        <f>IF(SUMIFS('Daily NSE Equity Futures'!$I:$I,'Daily NSE Equity Futures'!$A:$A,$A206)=0,"",SUMIFS('Daily NSE Equity Futures'!$I:$I,'Daily NSE Equity Futures'!$A:$A,$A206))</f>
        <v>2103.7406999999998</v>
      </c>
      <c r="F206" s="6">
        <f>IF(SUMIFS('Daily BSE Equity Futures'!$I:$I,'Daily BSE Equity Futures'!$A:$A,$A206)=0,"",SUMIFS('Daily BSE Equity Futures'!$I:$I,'Daily BSE Equity Futures'!$A:$A,$A206))</f>
        <v>0.35289999999999999</v>
      </c>
      <c r="G206" s="6">
        <f t="shared" si="36"/>
        <v>2104.0935999999997</v>
      </c>
      <c r="H206" s="15">
        <f t="shared" si="37"/>
        <v>0.99983227932445595</v>
      </c>
      <c r="I206" s="15">
        <f t="shared" si="38"/>
        <v>1.6772067554409178E-4</v>
      </c>
      <c r="J206" s="20" t="str">
        <f t="shared" si="39"/>
        <v/>
      </c>
      <c r="K206" s="15" t="str">
        <f t="shared" si="40"/>
        <v/>
      </c>
      <c r="L206" s="15" t="str">
        <f t="shared" si="41"/>
        <v/>
      </c>
      <c r="M206" s="15">
        <f t="shared" si="45"/>
        <v>0.16642319756116519</v>
      </c>
      <c r="N206" s="15">
        <f t="shared" si="46"/>
        <v>0.73330058939096254</v>
      </c>
      <c r="O206" s="15">
        <f t="shared" si="47"/>
        <v>0.16648718309923938</v>
      </c>
      <c r="P206" s="18">
        <f>IF(SUMIFS('Daily NSE Equity Futures'!$J:$J,'Daily NSE Equity Futures'!$A:$A,$A206)=0,"",SUMIFS('Daily NSE Equity Futures'!$J:$J,'Daily NSE Equity Futures'!$A:$A,$A206))</f>
        <v>2473345</v>
      </c>
      <c r="Q206" s="7">
        <f>IF(SUMIFS('Daily BSE Equity Futures'!$J:$J,'Daily BSE Equity Futures'!$A:$A,$A206)=0,"",SUMIFS('Daily BSE Equity Futures'!$J:$J,'Daily BSE Equity Futures'!$A:$A,$A206))</f>
        <v>312</v>
      </c>
      <c r="R206" s="7">
        <f t="shared" si="42"/>
        <v>2473657</v>
      </c>
      <c r="S206" s="19">
        <f t="shared" si="43"/>
        <v>0.99987387095300606</v>
      </c>
      <c r="T206" s="19">
        <f t="shared" si="44"/>
        <v>1.2612904699398501E-4</v>
      </c>
    </row>
    <row r="207" spans="1:20" x14ac:dyDescent="0.2">
      <c r="A207" s="9">
        <v>44223</v>
      </c>
      <c r="B207" s="4" t="s">
        <v>221</v>
      </c>
      <c r="C207" s="8">
        <v>44197</v>
      </c>
      <c r="D207" s="4" t="s">
        <v>176</v>
      </c>
      <c r="E207" s="14">
        <f>IF(SUMIFS('Daily NSE Equity Futures'!$I:$I,'Daily NSE Equity Futures'!$A:$A,$A207)=0,"",SUMIFS('Daily NSE Equity Futures'!$I:$I,'Daily NSE Equity Futures'!$A:$A,$A207))</f>
        <v>2069.6505999999999</v>
      </c>
      <c r="F207" s="6">
        <f>IF(SUMIFS('Daily BSE Equity Futures'!$I:$I,'Daily BSE Equity Futures'!$A:$A,$A207)=0,"",SUMIFS('Daily BSE Equity Futures'!$I:$I,'Daily BSE Equity Futures'!$A:$A,$A207))</f>
        <v>2.4299999999999999E-2</v>
      </c>
      <c r="G207" s="6">
        <f t="shared" si="36"/>
        <v>2069.6749</v>
      </c>
      <c r="H207" s="15">
        <f t="shared" si="37"/>
        <v>0.99998825902560828</v>
      </c>
      <c r="I207" s="15">
        <f t="shared" si="38"/>
        <v>1.1740974391678615E-5</v>
      </c>
      <c r="J207" s="20" t="str">
        <f t="shared" si="39"/>
        <v/>
      </c>
      <c r="K207" s="15" t="str">
        <f t="shared" si="40"/>
        <v/>
      </c>
      <c r="L207" s="15" t="str">
        <f t="shared" si="41"/>
        <v/>
      </c>
      <c r="M207" s="15">
        <f t="shared" si="45"/>
        <v>-1.6204516079381781E-2</v>
      </c>
      <c r="N207" s="15">
        <f t="shared" si="46"/>
        <v>-0.9311419665627656</v>
      </c>
      <c r="O207" s="15">
        <f t="shared" si="47"/>
        <v>-1.6357970006657396E-2</v>
      </c>
      <c r="P207" s="18">
        <f>IF(SUMIFS('Daily NSE Equity Futures'!$J:$J,'Daily NSE Equity Futures'!$A:$A,$A207)=0,"",SUMIFS('Daily NSE Equity Futures'!$J:$J,'Daily NSE Equity Futures'!$A:$A,$A207))</f>
        <v>2467237</v>
      </c>
      <c r="Q207" s="7">
        <f>IF(SUMIFS('Daily BSE Equity Futures'!$J:$J,'Daily BSE Equity Futures'!$A:$A,$A207)=0,"",SUMIFS('Daily BSE Equity Futures'!$J:$J,'Daily BSE Equity Futures'!$A:$A,$A207))</f>
        <v>22</v>
      </c>
      <c r="R207" s="7">
        <f t="shared" si="42"/>
        <v>2467259</v>
      </c>
      <c r="S207" s="19">
        <f t="shared" si="43"/>
        <v>0.99999108322231267</v>
      </c>
      <c r="T207" s="19">
        <f t="shared" si="44"/>
        <v>8.9167776873040086E-6</v>
      </c>
    </row>
    <row r="208" spans="1:20" x14ac:dyDescent="0.2">
      <c r="A208" s="9">
        <v>44224</v>
      </c>
      <c r="B208" s="4" t="s">
        <v>224</v>
      </c>
      <c r="C208" s="8">
        <v>44197</v>
      </c>
      <c r="D208" s="4" t="s">
        <v>176</v>
      </c>
      <c r="E208" s="14">
        <f>IF(SUMIFS('Daily NSE Equity Futures'!$I:$I,'Daily NSE Equity Futures'!$A:$A,$A208)=0,"",SUMIFS('Daily NSE Equity Futures'!$I:$I,'Daily NSE Equity Futures'!$A:$A,$A208))</f>
        <v>2111.3364000000001</v>
      </c>
      <c r="F208" s="6">
        <f>IF(SUMIFS('Daily BSE Equity Futures'!$I:$I,'Daily BSE Equity Futures'!$A:$A,$A208)=0,"",SUMIFS('Daily BSE Equity Futures'!$I:$I,'Daily BSE Equity Futures'!$A:$A,$A208))</f>
        <v>0.21199999999999999</v>
      </c>
      <c r="G208" s="6">
        <f t="shared" si="36"/>
        <v>2111.5484000000001</v>
      </c>
      <c r="H208" s="15">
        <f t="shared" si="37"/>
        <v>0.99989959974396037</v>
      </c>
      <c r="I208" s="15">
        <f t="shared" si="38"/>
        <v>1.0040025603959633E-4</v>
      </c>
      <c r="J208" s="20" t="str">
        <f t="shared" si="39"/>
        <v/>
      </c>
      <c r="K208" s="15" t="str">
        <f t="shared" si="40"/>
        <v/>
      </c>
      <c r="L208" s="15" t="str">
        <f t="shared" si="41"/>
        <v/>
      </c>
      <c r="M208" s="15">
        <f t="shared" si="45"/>
        <v>2.0141467356857401E-2</v>
      </c>
      <c r="N208" s="15">
        <f t="shared" si="46"/>
        <v>7.7242798353909468</v>
      </c>
      <c r="O208" s="15">
        <f t="shared" si="47"/>
        <v>2.0231921448146339E-2</v>
      </c>
      <c r="P208" s="18">
        <f>IF(SUMIFS('Daily NSE Equity Futures'!$J:$J,'Daily NSE Equity Futures'!$A:$A,$A208)=0,"",SUMIFS('Daily NSE Equity Futures'!$J:$J,'Daily NSE Equity Futures'!$A:$A,$A208))</f>
        <v>2552653</v>
      </c>
      <c r="Q208" s="7">
        <f>IF(SUMIFS('Daily BSE Equity Futures'!$J:$J,'Daily BSE Equity Futures'!$A:$A,$A208)=0,"",SUMIFS('Daily BSE Equity Futures'!$J:$J,'Daily BSE Equity Futures'!$A:$A,$A208))</f>
        <v>195</v>
      </c>
      <c r="R208" s="7">
        <f t="shared" si="42"/>
        <v>2552848</v>
      </c>
      <c r="S208" s="19">
        <f t="shared" si="43"/>
        <v>0.99992361472363411</v>
      </c>
      <c r="T208" s="19">
        <f t="shared" si="44"/>
        <v>7.6385276365847085E-5</v>
      </c>
    </row>
    <row r="209" spans="1:20" x14ac:dyDescent="0.2">
      <c r="A209" s="9">
        <v>44225</v>
      </c>
      <c r="B209" s="4" t="s">
        <v>222</v>
      </c>
      <c r="C209" s="8">
        <v>44197</v>
      </c>
      <c r="D209" s="4" t="s">
        <v>176</v>
      </c>
      <c r="E209" s="14">
        <f>IF(SUMIFS('Daily NSE Equity Futures'!$I:$I,'Daily NSE Equity Futures'!$A:$A,$A209)=0,"",SUMIFS('Daily NSE Equity Futures'!$I:$I,'Daily NSE Equity Futures'!$A:$A,$A209))</f>
        <v>1314.6854000000001</v>
      </c>
      <c r="F209" s="6">
        <f>IF(SUMIFS('Daily BSE Equity Futures'!$I:$I,'Daily BSE Equity Futures'!$A:$A,$A209)=0,"",SUMIFS('Daily BSE Equity Futures'!$I:$I,'Daily BSE Equity Futures'!$A:$A,$A209))</f>
        <v>7.4899999999999994E-2</v>
      </c>
      <c r="G209" s="6">
        <f t="shared" si="36"/>
        <v>1314.7603000000001</v>
      </c>
      <c r="H209" s="15">
        <f t="shared" si="37"/>
        <v>0.999943031440788</v>
      </c>
      <c r="I209" s="15">
        <f t="shared" si="38"/>
        <v>5.696855921189588E-5</v>
      </c>
      <c r="J209" s="20" t="str">
        <f t="shared" si="39"/>
        <v/>
      </c>
      <c r="K209" s="15" t="str">
        <f t="shared" si="40"/>
        <v/>
      </c>
      <c r="L209" s="15" t="str">
        <f t="shared" si="41"/>
        <v/>
      </c>
      <c r="M209" s="15">
        <f t="shared" si="45"/>
        <v>-0.37732073391999499</v>
      </c>
      <c r="N209" s="15">
        <f t="shared" si="46"/>
        <v>-0.64669811320754711</v>
      </c>
      <c r="O209" s="15">
        <f t="shared" si="47"/>
        <v>-0.3773477794778467</v>
      </c>
      <c r="P209" s="18">
        <f>IF(SUMIFS('Daily NSE Equity Futures'!$J:$J,'Daily NSE Equity Futures'!$A:$A,$A209)=0,"",SUMIFS('Daily NSE Equity Futures'!$J:$J,'Daily NSE Equity Futures'!$A:$A,$A209))</f>
        <v>1549029</v>
      </c>
      <c r="Q209" s="7">
        <f>IF(SUMIFS('Daily BSE Equity Futures'!$J:$J,'Daily BSE Equity Futures'!$A:$A,$A209)=0,"",SUMIFS('Daily BSE Equity Futures'!$J:$J,'Daily BSE Equity Futures'!$A:$A,$A209))</f>
        <v>69</v>
      </c>
      <c r="R209" s="7">
        <f t="shared" si="42"/>
        <v>1549098</v>
      </c>
      <c r="S209" s="19">
        <f t="shared" si="43"/>
        <v>0.99995545795036855</v>
      </c>
      <c r="T209" s="19">
        <f t="shared" si="44"/>
        <v>4.4542049631462956E-5</v>
      </c>
    </row>
    <row r="210" spans="1:20" x14ac:dyDescent="0.2">
      <c r="A210" s="9">
        <v>44228</v>
      </c>
      <c r="B210" s="4" t="s">
        <v>225</v>
      </c>
      <c r="C210" s="8">
        <v>44228</v>
      </c>
      <c r="D210" s="4" t="s">
        <v>176</v>
      </c>
      <c r="E210" s="14">
        <f>IF(SUMIFS('Daily NSE Equity Futures'!$I:$I,'Daily NSE Equity Futures'!$A:$A,$A210)=0,"",SUMIFS('Daily NSE Equity Futures'!$I:$I,'Daily NSE Equity Futures'!$A:$A,$A210))</f>
        <v>1720.8483000000001</v>
      </c>
      <c r="F210" s="6">
        <f>IF(SUMIFS('Daily BSE Equity Futures'!$I:$I,'Daily BSE Equity Futures'!$A:$A,$A210)=0,"",SUMIFS('Daily BSE Equity Futures'!$I:$I,'Daily BSE Equity Futures'!$A:$A,$A210))</f>
        <v>0.15759999999999999</v>
      </c>
      <c r="G210" s="6">
        <f t="shared" si="36"/>
        <v>1721.0059000000001</v>
      </c>
      <c r="H210" s="15">
        <f t="shared" si="37"/>
        <v>0.99990842564804683</v>
      </c>
      <c r="I210" s="15">
        <f t="shared" si="38"/>
        <v>9.1574351953122287E-5</v>
      </c>
      <c r="J210" s="20" t="str">
        <f t="shared" si="39"/>
        <v/>
      </c>
      <c r="K210" s="15" t="str">
        <f t="shared" si="40"/>
        <v/>
      </c>
      <c r="L210" s="15" t="str">
        <f t="shared" si="41"/>
        <v/>
      </c>
      <c r="M210" s="15">
        <f t="shared" si="45"/>
        <v>0.30894303686646252</v>
      </c>
      <c r="N210" s="15">
        <f t="shared" si="46"/>
        <v>1.1041388518024031</v>
      </c>
      <c r="O210" s="15">
        <f t="shared" si="47"/>
        <v>0.30898833802633074</v>
      </c>
      <c r="P210" s="18">
        <f>IF(SUMIFS('Daily NSE Equity Futures'!$J:$J,'Daily NSE Equity Futures'!$A:$A,$A210)=0,"",SUMIFS('Daily NSE Equity Futures'!$J:$J,'Daily NSE Equity Futures'!$A:$A,$A210))</f>
        <v>1975083</v>
      </c>
      <c r="Q210" s="7">
        <f>IF(SUMIFS('Daily BSE Equity Futures'!$J:$J,'Daily BSE Equity Futures'!$A:$A,$A210)=0,"",SUMIFS('Daily BSE Equity Futures'!$J:$J,'Daily BSE Equity Futures'!$A:$A,$A210))</f>
        <v>143</v>
      </c>
      <c r="R210" s="7">
        <f t="shared" si="42"/>
        <v>1975226</v>
      </c>
      <c r="S210" s="19">
        <f t="shared" si="43"/>
        <v>0.99992760322109975</v>
      </c>
      <c r="T210" s="19">
        <f t="shared" si="44"/>
        <v>7.2396778900237239E-5</v>
      </c>
    </row>
    <row r="211" spans="1:20" x14ac:dyDescent="0.2">
      <c r="A211" s="9">
        <v>44229</v>
      </c>
      <c r="B211" s="4" t="s">
        <v>223</v>
      </c>
      <c r="C211" s="8">
        <v>44228</v>
      </c>
      <c r="D211" s="4" t="s">
        <v>176</v>
      </c>
      <c r="E211" s="14">
        <f>IF(SUMIFS('Daily NSE Equity Futures'!$I:$I,'Daily NSE Equity Futures'!$A:$A,$A211)=0,"",SUMIFS('Daily NSE Equity Futures'!$I:$I,'Daily NSE Equity Futures'!$A:$A,$A211))</f>
        <v>1612.9511</v>
      </c>
      <c r="F211" s="6">
        <f>IF(SUMIFS('Daily BSE Equity Futures'!$I:$I,'Daily BSE Equity Futures'!$A:$A,$A211)=0,"",SUMIFS('Daily BSE Equity Futures'!$I:$I,'Daily BSE Equity Futures'!$A:$A,$A211))</f>
        <v>0.14710000000000001</v>
      </c>
      <c r="G211" s="6">
        <f t="shared" si="36"/>
        <v>1613.0981999999999</v>
      </c>
      <c r="H211" s="15">
        <f t="shared" si="37"/>
        <v>0.99990880902353008</v>
      </c>
      <c r="I211" s="15">
        <f t="shared" si="38"/>
        <v>9.1190976470000411E-5</v>
      </c>
      <c r="J211" s="20" t="str">
        <f t="shared" si="39"/>
        <v/>
      </c>
      <c r="K211" s="15" t="str">
        <f t="shared" si="40"/>
        <v/>
      </c>
      <c r="L211" s="15" t="str">
        <f t="shared" si="41"/>
        <v/>
      </c>
      <c r="M211" s="15">
        <f t="shared" si="45"/>
        <v>-6.2700006735050495E-2</v>
      </c>
      <c r="N211" s="15">
        <f t="shared" si="46"/>
        <v>-6.6624365482233383E-2</v>
      </c>
      <c r="O211" s="15">
        <f t="shared" si="47"/>
        <v>-6.2700366105659655E-2</v>
      </c>
      <c r="P211" s="18">
        <f>IF(SUMIFS('Daily NSE Equity Futures'!$J:$J,'Daily NSE Equity Futures'!$A:$A,$A211)=0,"",SUMIFS('Daily NSE Equity Futures'!$J:$J,'Daily NSE Equity Futures'!$A:$A,$A211))</f>
        <v>1782332</v>
      </c>
      <c r="Q211" s="7">
        <f>IF(SUMIFS('Daily BSE Equity Futures'!$J:$J,'Daily BSE Equity Futures'!$A:$A,$A211)=0,"",SUMIFS('Daily BSE Equity Futures'!$J:$J,'Daily BSE Equity Futures'!$A:$A,$A211))</f>
        <v>128</v>
      </c>
      <c r="R211" s="7">
        <f t="shared" si="42"/>
        <v>1782460</v>
      </c>
      <c r="S211" s="19">
        <f t="shared" si="43"/>
        <v>0.99992818913187398</v>
      </c>
      <c r="T211" s="19">
        <f t="shared" si="44"/>
        <v>7.181086812607296E-5</v>
      </c>
    </row>
    <row r="212" spans="1:20" x14ac:dyDescent="0.2">
      <c r="A212" s="9">
        <v>44230</v>
      </c>
      <c r="B212" s="4" t="s">
        <v>221</v>
      </c>
      <c r="C212" s="8">
        <v>44228</v>
      </c>
      <c r="D212" s="4" t="s">
        <v>176</v>
      </c>
      <c r="E212" s="14">
        <f>IF(SUMIFS('Daily NSE Equity Futures'!$I:$I,'Daily NSE Equity Futures'!$A:$A,$A212)=0,"",SUMIFS('Daily NSE Equity Futures'!$I:$I,'Daily NSE Equity Futures'!$A:$A,$A212))</f>
        <v>1288.1041</v>
      </c>
      <c r="F212" s="6">
        <f>IF(SUMIFS('Daily BSE Equity Futures'!$I:$I,'Daily BSE Equity Futures'!$A:$A,$A212)=0,"",SUMIFS('Daily BSE Equity Futures'!$I:$I,'Daily BSE Equity Futures'!$A:$A,$A212))</f>
        <v>8.3799999999999999E-2</v>
      </c>
      <c r="G212" s="6">
        <f t="shared" si="36"/>
        <v>1288.1879000000001</v>
      </c>
      <c r="H212" s="15">
        <f t="shared" si="37"/>
        <v>0.99993494737840638</v>
      </c>
      <c r="I212" s="15">
        <f t="shared" si="38"/>
        <v>6.505262159348026E-5</v>
      </c>
      <c r="J212" s="20" t="str">
        <f t="shared" si="39"/>
        <v/>
      </c>
      <c r="K212" s="15" t="str">
        <f t="shared" si="40"/>
        <v/>
      </c>
      <c r="L212" s="15" t="str">
        <f t="shared" si="41"/>
        <v/>
      </c>
      <c r="M212" s="15">
        <f t="shared" si="45"/>
        <v>-0.20139916207007147</v>
      </c>
      <c r="N212" s="15">
        <f t="shared" si="46"/>
        <v>-0.43031951053704964</v>
      </c>
      <c r="O212" s="15">
        <f t="shared" si="47"/>
        <v>-0.2014200375401819</v>
      </c>
      <c r="P212" s="18">
        <f>IF(SUMIFS('Daily NSE Equity Futures'!$J:$J,'Daily NSE Equity Futures'!$A:$A,$A212)=0,"",SUMIFS('Daily NSE Equity Futures'!$J:$J,'Daily NSE Equity Futures'!$A:$A,$A212))</f>
        <v>1408694</v>
      </c>
      <c r="Q212" s="7">
        <f>IF(SUMIFS('Daily BSE Equity Futures'!$J:$J,'Daily BSE Equity Futures'!$A:$A,$A212)=0,"",SUMIFS('Daily BSE Equity Futures'!$J:$J,'Daily BSE Equity Futures'!$A:$A,$A212))</f>
        <v>72</v>
      </c>
      <c r="R212" s="7">
        <f t="shared" si="42"/>
        <v>1408766</v>
      </c>
      <c r="S212" s="19">
        <f t="shared" si="43"/>
        <v>0.99994889144116195</v>
      </c>
      <c r="T212" s="19">
        <f t="shared" si="44"/>
        <v>5.1108558838018523E-5</v>
      </c>
    </row>
    <row r="213" spans="1:20" x14ac:dyDescent="0.2">
      <c r="A213" s="9">
        <v>44231</v>
      </c>
      <c r="B213" s="4" t="s">
        <v>224</v>
      </c>
      <c r="C213" s="8">
        <v>44228</v>
      </c>
      <c r="D213" s="4" t="s">
        <v>176</v>
      </c>
      <c r="E213" s="14">
        <f>IF(SUMIFS('Daily NSE Equity Futures'!$I:$I,'Daily NSE Equity Futures'!$A:$A,$A213)=0,"",SUMIFS('Daily NSE Equity Futures'!$I:$I,'Daily NSE Equity Futures'!$A:$A,$A213))</f>
        <v>1304.9952000000001</v>
      </c>
      <c r="F213" s="6">
        <f>IF(SUMIFS('Daily BSE Equity Futures'!$I:$I,'Daily BSE Equity Futures'!$A:$A,$A213)=0,"",SUMIFS('Daily BSE Equity Futures'!$I:$I,'Daily BSE Equity Futures'!$A:$A,$A213))</f>
        <v>5.2400000000000002E-2</v>
      </c>
      <c r="G213" s="6">
        <f t="shared" si="36"/>
        <v>1305.0476000000001</v>
      </c>
      <c r="H213" s="15">
        <f t="shared" si="37"/>
        <v>0.99995984820783546</v>
      </c>
      <c r="I213" s="15">
        <f t="shared" si="38"/>
        <v>4.0151792164515681E-5</v>
      </c>
      <c r="J213" s="20" t="str">
        <f t="shared" si="39"/>
        <v/>
      </c>
      <c r="K213" s="15" t="str">
        <f t="shared" si="40"/>
        <v/>
      </c>
      <c r="L213" s="15" t="str">
        <f t="shared" si="41"/>
        <v/>
      </c>
      <c r="M213" s="15">
        <f t="shared" si="45"/>
        <v>1.3113148230799121E-2</v>
      </c>
      <c r="N213" s="15">
        <f t="shared" si="46"/>
        <v>-0.37470167064439142</v>
      </c>
      <c r="O213" s="15">
        <f t="shared" si="47"/>
        <v>1.3087919860138353E-2</v>
      </c>
      <c r="P213" s="18">
        <f>IF(SUMIFS('Daily NSE Equity Futures'!$J:$J,'Daily NSE Equity Futures'!$A:$A,$A213)=0,"",SUMIFS('Daily NSE Equity Futures'!$J:$J,'Daily NSE Equity Futures'!$A:$A,$A213))</f>
        <v>1410716</v>
      </c>
      <c r="Q213" s="7">
        <f>IF(SUMIFS('Daily BSE Equity Futures'!$J:$J,'Daily BSE Equity Futures'!$A:$A,$A213)=0,"",SUMIFS('Daily BSE Equity Futures'!$J:$J,'Daily BSE Equity Futures'!$A:$A,$A213))</f>
        <v>45</v>
      </c>
      <c r="R213" s="7">
        <f t="shared" si="42"/>
        <v>1410761</v>
      </c>
      <c r="S213" s="19">
        <f t="shared" si="43"/>
        <v>0.99996810232208011</v>
      </c>
      <c r="T213" s="19">
        <f t="shared" si="44"/>
        <v>3.1897677919931159E-5</v>
      </c>
    </row>
    <row r="214" spans="1:20" x14ac:dyDescent="0.2">
      <c r="A214" s="9">
        <v>44232</v>
      </c>
      <c r="B214" s="4" t="s">
        <v>222</v>
      </c>
      <c r="C214" s="8">
        <v>44228</v>
      </c>
      <c r="D214" s="4" t="s">
        <v>176</v>
      </c>
      <c r="E214" s="14">
        <f>IF(SUMIFS('Daily NSE Equity Futures'!$I:$I,'Daily NSE Equity Futures'!$A:$A,$A214)=0,"",SUMIFS('Daily NSE Equity Futures'!$I:$I,'Daily NSE Equity Futures'!$A:$A,$A214))</f>
        <v>1508.4151999999999</v>
      </c>
      <c r="F214" s="6">
        <f>IF(SUMIFS('Daily BSE Equity Futures'!$I:$I,'Daily BSE Equity Futures'!$A:$A,$A214)=0,"",SUMIFS('Daily BSE Equity Futures'!$I:$I,'Daily BSE Equity Futures'!$A:$A,$A214))</f>
        <v>5.3900000000000003E-2</v>
      </c>
      <c r="G214" s="6">
        <f t="shared" si="36"/>
        <v>1508.4691</v>
      </c>
      <c r="H214" s="15">
        <f t="shared" si="37"/>
        <v>0.99996426840960806</v>
      </c>
      <c r="I214" s="15">
        <f t="shared" si="38"/>
        <v>3.5731590391874787E-5</v>
      </c>
      <c r="J214" s="20" t="str">
        <f t="shared" si="39"/>
        <v/>
      </c>
      <c r="K214" s="15" t="str">
        <f t="shared" si="40"/>
        <v/>
      </c>
      <c r="L214" s="15" t="str">
        <f t="shared" si="41"/>
        <v/>
      </c>
      <c r="M214" s="15">
        <f t="shared" si="45"/>
        <v>0.15587796798026532</v>
      </c>
      <c r="N214" s="15">
        <f t="shared" si="46"/>
        <v>2.8625954198473247E-2</v>
      </c>
      <c r="O214" s="15">
        <f t="shared" si="47"/>
        <v>0.15587285858385536</v>
      </c>
      <c r="P214" s="18">
        <f>IF(SUMIFS('Daily NSE Equity Futures'!$J:$J,'Daily NSE Equity Futures'!$A:$A,$A214)=0,"",SUMIFS('Daily NSE Equity Futures'!$J:$J,'Daily NSE Equity Futures'!$A:$A,$A214))</f>
        <v>1611008</v>
      </c>
      <c r="Q214" s="7">
        <f>IF(SUMIFS('Daily BSE Equity Futures'!$J:$J,'Daily BSE Equity Futures'!$A:$A,$A214)=0,"",SUMIFS('Daily BSE Equity Futures'!$J:$J,'Daily BSE Equity Futures'!$A:$A,$A214))</f>
        <v>46</v>
      </c>
      <c r="R214" s="7">
        <f t="shared" si="42"/>
        <v>1611054</v>
      </c>
      <c r="S214" s="19">
        <f t="shared" si="43"/>
        <v>0.99997144726371678</v>
      </c>
      <c r="T214" s="19">
        <f t="shared" si="44"/>
        <v>2.855273628320342E-5</v>
      </c>
    </row>
    <row r="215" spans="1:20" x14ac:dyDescent="0.2">
      <c r="A215" s="9">
        <v>44235</v>
      </c>
      <c r="B215" s="4" t="s">
        <v>225</v>
      </c>
      <c r="C215" s="8">
        <v>44228</v>
      </c>
      <c r="D215" s="4" t="s">
        <v>176</v>
      </c>
      <c r="E215" s="14">
        <f>IF(SUMIFS('Daily NSE Equity Futures'!$I:$I,'Daily NSE Equity Futures'!$A:$A,$A215)=0,"",SUMIFS('Daily NSE Equity Futures'!$I:$I,'Daily NSE Equity Futures'!$A:$A,$A215))</f>
        <v>1110.4666999999999</v>
      </c>
      <c r="F215" s="6">
        <f>IF(SUMIFS('Daily BSE Equity Futures'!$I:$I,'Daily BSE Equity Futures'!$A:$A,$A215)=0,"",SUMIFS('Daily BSE Equity Futures'!$I:$I,'Daily BSE Equity Futures'!$A:$A,$A215))</f>
        <v>6.7599999999999993E-2</v>
      </c>
      <c r="G215" s="6">
        <f t="shared" si="36"/>
        <v>1110.5343</v>
      </c>
      <c r="H215" s="15">
        <f t="shared" si="37"/>
        <v>0.9999391283997261</v>
      </c>
      <c r="I215" s="15">
        <f t="shared" si="38"/>
        <v>6.0871600273850158E-5</v>
      </c>
      <c r="J215" s="20" t="str">
        <f t="shared" si="39"/>
        <v/>
      </c>
      <c r="K215" s="15" t="str">
        <f t="shared" si="40"/>
        <v/>
      </c>
      <c r="L215" s="15" t="str">
        <f t="shared" si="41"/>
        <v/>
      </c>
      <c r="M215" s="15">
        <f t="shared" si="45"/>
        <v>-0.26381894056755728</v>
      </c>
      <c r="N215" s="15">
        <f t="shared" si="46"/>
        <v>0.25417439703153977</v>
      </c>
      <c r="O215" s="15">
        <f t="shared" si="47"/>
        <v>-0.26380043184179247</v>
      </c>
      <c r="P215" s="18">
        <f>IF(SUMIFS('Daily NSE Equity Futures'!$J:$J,'Daily NSE Equity Futures'!$A:$A,$A215)=0,"",SUMIFS('Daily NSE Equity Futures'!$J:$J,'Daily NSE Equity Futures'!$A:$A,$A215))</f>
        <v>1174282</v>
      </c>
      <c r="Q215" s="7">
        <f>IF(SUMIFS('Daily BSE Equity Futures'!$J:$J,'Daily BSE Equity Futures'!$A:$A,$A215)=0,"",SUMIFS('Daily BSE Equity Futures'!$J:$J,'Daily BSE Equity Futures'!$A:$A,$A215))</f>
        <v>57</v>
      </c>
      <c r="R215" s="7">
        <f t="shared" si="42"/>
        <v>1174339</v>
      </c>
      <c r="S215" s="19">
        <f t="shared" si="43"/>
        <v>0.99995146205652707</v>
      </c>
      <c r="T215" s="19">
        <f t="shared" si="44"/>
        <v>4.8537943472881343E-5</v>
      </c>
    </row>
    <row r="216" spans="1:20" x14ac:dyDescent="0.2">
      <c r="A216" s="9">
        <v>44236</v>
      </c>
      <c r="B216" s="4" t="s">
        <v>223</v>
      </c>
      <c r="C216" s="8">
        <v>44228</v>
      </c>
      <c r="D216" s="4" t="s">
        <v>176</v>
      </c>
      <c r="E216" s="14">
        <f>IF(SUMIFS('Daily NSE Equity Futures'!$I:$I,'Daily NSE Equity Futures'!$A:$A,$A216)=0,"",SUMIFS('Daily NSE Equity Futures'!$I:$I,'Daily NSE Equity Futures'!$A:$A,$A216))</f>
        <v>1185.8956000000001</v>
      </c>
      <c r="F216" s="6">
        <f>IF(SUMIFS('Daily BSE Equity Futures'!$I:$I,'Daily BSE Equity Futures'!$A:$A,$A216)=0,"",SUMIFS('Daily BSE Equity Futures'!$I:$I,'Daily BSE Equity Futures'!$A:$A,$A216))</f>
        <v>9.0399999999999994E-2</v>
      </c>
      <c r="G216" s="6">
        <f t="shared" si="36"/>
        <v>1185.9860000000001</v>
      </c>
      <c r="H216" s="15">
        <f t="shared" si="37"/>
        <v>0.99992377650326392</v>
      </c>
      <c r="I216" s="15">
        <f t="shared" si="38"/>
        <v>7.622349673604915E-5</v>
      </c>
      <c r="J216" s="20" t="str">
        <f t="shared" si="39"/>
        <v/>
      </c>
      <c r="K216" s="15" t="str">
        <f t="shared" si="40"/>
        <v/>
      </c>
      <c r="L216" s="15" t="str">
        <f t="shared" si="41"/>
        <v/>
      </c>
      <c r="M216" s="15">
        <f t="shared" si="45"/>
        <v>6.7925404696962177E-2</v>
      </c>
      <c r="N216" s="15">
        <f t="shared" si="46"/>
        <v>0.33727810650887569</v>
      </c>
      <c r="O216" s="15">
        <f t="shared" si="47"/>
        <v>6.7941800626959648E-2</v>
      </c>
      <c r="P216" s="18">
        <f>IF(SUMIFS('Daily NSE Equity Futures'!$J:$J,'Daily NSE Equity Futures'!$A:$A,$A216)=0,"",SUMIFS('Daily NSE Equity Futures'!$J:$J,'Daily NSE Equity Futures'!$A:$A,$A216))</f>
        <v>1269802</v>
      </c>
      <c r="Q216" s="7">
        <f>IF(SUMIFS('Daily BSE Equity Futures'!$J:$J,'Daily BSE Equity Futures'!$A:$A,$A216)=0,"",SUMIFS('Daily BSE Equity Futures'!$J:$J,'Daily BSE Equity Futures'!$A:$A,$A216))</f>
        <v>76</v>
      </c>
      <c r="R216" s="7">
        <f t="shared" si="42"/>
        <v>1269878</v>
      </c>
      <c r="S216" s="19">
        <f t="shared" si="43"/>
        <v>0.99994015173111117</v>
      </c>
      <c r="T216" s="19">
        <f t="shared" si="44"/>
        <v>5.9848268888822388E-5</v>
      </c>
    </row>
    <row r="217" spans="1:20" x14ac:dyDescent="0.2">
      <c r="A217" s="9">
        <v>44237</v>
      </c>
      <c r="B217" s="4" t="s">
        <v>221</v>
      </c>
      <c r="C217" s="8">
        <v>44228</v>
      </c>
      <c r="D217" s="4" t="s">
        <v>176</v>
      </c>
      <c r="E217" s="14">
        <f>IF(SUMIFS('Daily NSE Equity Futures'!$I:$I,'Daily NSE Equity Futures'!$A:$A,$A217)=0,"",SUMIFS('Daily NSE Equity Futures'!$I:$I,'Daily NSE Equity Futures'!$A:$A,$A217))</f>
        <v>1243.4295</v>
      </c>
      <c r="F217" s="6">
        <f>IF(SUMIFS('Daily BSE Equity Futures'!$I:$I,'Daily BSE Equity Futures'!$A:$A,$A217)=0,"",SUMIFS('Daily BSE Equity Futures'!$I:$I,'Daily BSE Equity Futures'!$A:$A,$A217))</f>
        <v>0.1192</v>
      </c>
      <c r="G217" s="6">
        <f t="shared" si="36"/>
        <v>1243.5487000000001</v>
      </c>
      <c r="H217" s="15">
        <f t="shared" si="37"/>
        <v>0.99990414529000748</v>
      </c>
      <c r="I217" s="15">
        <f t="shared" si="38"/>
        <v>9.5854709992459485E-5</v>
      </c>
      <c r="J217" s="20" t="str">
        <f t="shared" si="39"/>
        <v/>
      </c>
      <c r="K217" s="15" t="str">
        <f t="shared" si="40"/>
        <v/>
      </c>
      <c r="L217" s="15" t="str">
        <f t="shared" si="41"/>
        <v/>
      </c>
      <c r="M217" s="15">
        <f t="shared" si="45"/>
        <v>4.8515147539125669E-2</v>
      </c>
      <c r="N217" s="15">
        <f t="shared" si="46"/>
        <v>0.31858407079646023</v>
      </c>
      <c r="O217" s="15">
        <f t="shared" si="47"/>
        <v>4.8535733136816139E-2</v>
      </c>
      <c r="P217" s="18">
        <f>IF(SUMIFS('Daily NSE Equity Futures'!$J:$J,'Daily NSE Equity Futures'!$A:$A,$A217)=0,"",SUMIFS('Daily NSE Equity Futures'!$J:$J,'Daily NSE Equity Futures'!$A:$A,$A217))</f>
        <v>1302155</v>
      </c>
      <c r="Q217" s="7">
        <f>IF(SUMIFS('Daily BSE Equity Futures'!$J:$J,'Daily BSE Equity Futures'!$A:$A,$A217)=0,"",SUMIFS('Daily BSE Equity Futures'!$J:$J,'Daily BSE Equity Futures'!$A:$A,$A217))</f>
        <v>101</v>
      </c>
      <c r="R217" s="7">
        <f t="shared" si="42"/>
        <v>1302256</v>
      </c>
      <c r="S217" s="19">
        <f t="shared" si="43"/>
        <v>0.99992244228477345</v>
      </c>
      <c r="T217" s="19">
        <f t="shared" si="44"/>
        <v>7.7557715226499245E-5</v>
      </c>
    </row>
    <row r="218" spans="1:20" x14ac:dyDescent="0.2">
      <c r="A218" s="9">
        <v>44238</v>
      </c>
      <c r="B218" s="4" t="s">
        <v>224</v>
      </c>
      <c r="C218" s="8">
        <v>44228</v>
      </c>
      <c r="D218" s="4" t="s">
        <v>176</v>
      </c>
      <c r="E218" s="14">
        <f>IF(SUMIFS('Daily NSE Equity Futures'!$I:$I,'Daily NSE Equity Futures'!$A:$A,$A218)=0,"",SUMIFS('Daily NSE Equity Futures'!$I:$I,'Daily NSE Equity Futures'!$A:$A,$A218))</f>
        <v>953.97990000000004</v>
      </c>
      <c r="F218" s="6">
        <f>IF(SUMIFS('Daily BSE Equity Futures'!$I:$I,'Daily BSE Equity Futures'!$A:$A,$A218)=0,"",SUMIFS('Daily BSE Equity Futures'!$I:$I,'Daily BSE Equity Futures'!$A:$A,$A218))</f>
        <v>8.3099999999999993E-2</v>
      </c>
      <c r="G218" s="6">
        <f t="shared" si="36"/>
        <v>954.06299999999999</v>
      </c>
      <c r="H218" s="15">
        <f t="shared" si="37"/>
        <v>0.99991289883372492</v>
      </c>
      <c r="I218" s="15">
        <f t="shared" si="38"/>
        <v>8.710116627518308E-5</v>
      </c>
      <c r="J218" s="20" t="str">
        <f t="shared" si="39"/>
        <v/>
      </c>
      <c r="K218" s="15" t="str">
        <f t="shared" si="40"/>
        <v/>
      </c>
      <c r="L218" s="15" t="str">
        <f t="shared" si="41"/>
        <v/>
      </c>
      <c r="M218" s="15">
        <f t="shared" si="45"/>
        <v>-0.23278328204373466</v>
      </c>
      <c r="N218" s="15">
        <f t="shared" si="46"/>
        <v>-0.30285234899328861</v>
      </c>
      <c r="O218" s="15">
        <f t="shared" si="47"/>
        <v>-0.23278999849382664</v>
      </c>
      <c r="P218" s="18">
        <f>IF(SUMIFS('Daily NSE Equity Futures'!$J:$J,'Daily NSE Equity Futures'!$A:$A,$A218)=0,"",SUMIFS('Daily NSE Equity Futures'!$J:$J,'Daily NSE Equity Futures'!$A:$A,$A218))</f>
        <v>1050349</v>
      </c>
      <c r="Q218" s="7">
        <f>IF(SUMIFS('Daily BSE Equity Futures'!$J:$J,'Daily BSE Equity Futures'!$A:$A,$A218)=0,"",SUMIFS('Daily BSE Equity Futures'!$J:$J,'Daily BSE Equity Futures'!$A:$A,$A218))</f>
        <v>70</v>
      </c>
      <c r="R218" s="7">
        <f t="shared" si="42"/>
        <v>1050419</v>
      </c>
      <c r="S218" s="19">
        <f t="shared" si="43"/>
        <v>0.99993335992589627</v>
      </c>
      <c r="T218" s="19">
        <f t="shared" si="44"/>
        <v>6.6640074103762405E-5</v>
      </c>
    </row>
    <row r="219" spans="1:20" x14ac:dyDescent="0.2">
      <c r="A219" s="9">
        <v>44239</v>
      </c>
      <c r="B219" s="4" t="s">
        <v>222</v>
      </c>
      <c r="C219" s="8">
        <v>44228</v>
      </c>
      <c r="D219" s="4" t="s">
        <v>176</v>
      </c>
      <c r="E219" s="14">
        <f>IF(SUMIFS('Daily NSE Equity Futures'!$I:$I,'Daily NSE Equity Futures'!$A:$A,$A219)=0,"",SUMIFS('Daily NSE Equity Futures'!$I:$I,'Daily NSE Equity Futures'!$A:$A,$A219))</f>
        <v>1132.954</v>
      </c>
      <c r="F219" s="6">
        <f>IF(SUMIFS('Daily BSE Equity Futures'!$I:$I,'Daily BSE Equity Futures'!$A:$A,$A219)=0,"",SUMIFS('Daily BSE Equity Futures'!$I:$I,'Daily BSE Equity Futures'!$A:$A,$A219))</f>
        <v>5.6000000000000001E-2</v>
      </c>
      <c r="G219" s="6">
        <f t="shared" si="36"/>
        <v>1133.01</v>
      </c>
      <c r="H219" s="15">
        <f t="shared" si="37"/>
        <v>0.99995057413438537</v>
      </c>
      <c r="I219" s="15">
        <f t="shared" si="38"/>
        <v>4.9425865614601816E-5</v>
      </c>
      <c r="J219" s="20" t="str">
        <f t="shared" si="39"/>
        <v/>
      </c>
      <c r="K219" s="15" t="str">
        <f t="shared" si="40"/>
        <v/>
      </c>
      <c r="L219" s="15" t="str">
        <f t="shared" si="41"/>
        <v/>
      </c>
      <c r="M219" s="15">
        <f t="shared" si="45"/>
        <v>0.18760783115032087</v>
      </c>
      <c r="N219" s="15">
        <f t="shared" si="46"/>
        <v>-0.32611311672683507</v>
      </c>
      <c r="O219" s="15">
        <f t="shared" si="47"/>
        <v>0.18756308545662081</v>
      </c>
      <c r="P219" s="18">
        <f>IF(SUMIFS('Daily NSE Equity Futures'!$J:$J,'Daily NSE Equity Futures'!$A:$A,$A219)=0,"",SUMIFS('Daily NSE Equity Futures'!$J:$J,'Daily NSE Equity Futures'!$A:$A,$A219))</f>
        <v>1207216</v>
      </c>
      <c r="Q219" s="7">
        <f>IF(SUMIFS('Daily BSE Equity Futures'!$J:$J,'Daily BSE Equity Futures'!$A:$A,$A219)=0,"",SUMIFS('Daily BSE Equity Futures'!$J:$J,'Daily BSE Equity Futures'!$A:$A,$A219))</f>
        <v>47</v>
      </c>
      <c r="R219" s="7">
        <f t="shared" si="42"/>
        <v>1207263</v>
      </c>
      <c r="S219" s="19">
        <f t="shared" si="43"/>
        <v>0.99996106896343218</v>
      </c>
      <c r="T219" s="19">
        <f t="shared" si="44"/>
        <v>3.8931036567839818E-5</v>
      </c>
    </row>
    <row r="220" spans="1:20" x14ac:dyDescent="0.2">
      <c r="A220" s="9">
        <v>44242</v>
      </c>
      <c r="B220" s="4" t="s">
        <v>225</v>
      </c>
      <c r="C220" s="8">
        <v>44228</v>
      </c>
      <c r="D220" s="4" t="s">
        <v>176</v>
      </c>
      <c r="E220" s="14">
        <f>IF(SUMIFS('Daily NSE Equity Futures'!$I:$I,'Daily NSE Equity Futures'!$A:$A,$A220)=0,"",SUMIFS('Daily NSE Equity Futures'!$I:$I,'Daily NSE Equity Futures'!$A:$A,$A220))</f>
        <v>1060.5437999999999</v>
      </c>
      <c r="F220" s="6">
        <f>IF(SUMIFS('Daily BSE Equity Futures'!$I:$I,'Daily BSE Equity Futures'!$A:$A,$A220)=0,"",SUMIFS('Daily BSE Equity Futures'!$I:$I,'Daily BSE Equity Futures'!$A:$A,$A220))</f>
        <v>8.5199999999999998E-2</v>
      </c>
      <c r="G220" s="6">
        <f t="shared" si="36"/>
        <v>1060.6289999999999</v>
      </c>
      <c r="H220" s="15">
        <f t="shared" si="37"/>
        <v>0.9999196703088451</v>
      </c>
      <c r="I220" s="15">
        <f t="shared" si="38"/>
        <v>8.0329691154965599E-5</v>
      </c>
      <c r="J220" s="20" t="str">
        <f t="shared" si="39"/>
        <v/>
      </c>
      <c r="K220" s="15" t="str">
        <f t="shared" si="40"/>
        <v/>
      </c>
      <c r="L220" s="15" t="str">
        <f t="shared" si="41"/>
        <v/>
      </c>
      <c r="M220" s="15">
        <f t="shared" si="45"/>
        <v>-6.3912744912856145E-2</v>
      </c>
      <c r="N220" s="15">
        <f t="shared" si="46"/>
        <v>0.52142857142857135</v>
      </c>
      <c r="O220" s="15">
        <f t="shared" si="47"/>
        <v>-6.3883813911616016E-2</v>
      </c>
      <c r="P220" s="18">
        <f>IF(SUMIFS('Daily NSE Equity Futures'!$J:$J,'Daily NSE Equity Futures'!$A:$A,$A220)=0,"",SUMIFS('Daily NSE Equity Futures'!$J:$J,'Daily NSE Equity Futures'!$A:$A,$A220))</f>
        <v>1074414</v>
      </c>
      <c r="Q220" s="7">
        <f>IF(SUMIFS('Daily BSE Equity Futures'!$J:$J,'Daily BSE Equity Futures'!$A:$A,$A220)=0,"",SUMIFS('Daily BSE Equity Futures'!$J:$J,'Daily BSE Equity Futures'!$A:$A,$A220))</f>
        <v>71</v>
      </c>
      <c r="R220" s="7">
        <f t="shared" si="42"/>
        <v>1074485</v>
      </c>
      <c r="S220" s="19">
        <f t="shared" si="43"/>
        <v>0.99993392183231966</v>
      </c>
      <c r="T220" s="19">
        <f t="shared" si="44"/>
        <v>6.6078167680330572E-5</v>
      </c>
    </row>
    <row r="221" spans="1:20" x14ac:dyDescent="0.2">
      <c r="A221" s="9">
        <v>44243</v>
      </c>
      <c r="B221" s="4" t="s">
        <v>223</v>
      </c>
      <c r="C221" s="8">
        <v>44228</v>
      </c>
      <c r="D221" s="4" t="s">
        <v>176</v>
      </c>
      <c r="E221" s="14">
        <f>IF(SUMIFS('Daily NSE Equity Futures'!$I:$I,'Daily NSE Equity Futures'!$A:$A,$A221)=0,"",SUMIFS('Daily NSE Equity Futures'!$I:$I,'Daily NSE Equity Futures'!$A:$A,$A221))</f>
        <v>1255.4775</v>
      </c>
      <c r="F221" s="6">
        <f>IF(SUMIFS('Daily BSE Equity Futures'!$I:$I,'Daily BSE Equity Futures'!$A:$A,$A221)=0,"",SUMIFS('Daily BSE Equity Futures'!$I:$I,'Daily BSE Equity Futures'!$A:$A,$A221))</f>
        <v>5.8999999999999997E-2</v>
      </c>
      <c r="G221" s="6">
        <f t="shared" si="36"/>
        <v>1255.5364999999999</v>
      </c>
      <c r="H221" s="15">
        <f t="shared" si="37"/>
        <v>0.99995300813636245</v>
      </c>
      <c r="I221" s="15">
        <f t="shared" si="38"/>
        <v>4.6991863637576443E-5</v>
      </c>
      <c r="J221" s="20" t="str">
        <f t="shared" si="39"/>
        <v/>
      </c>
      <c r="K221" s="15" t="str">
        <f t="shared" si="40"/>
        <v/>
      </c>
      <c r="L221" s="15" t="str">
        <f t="shared" si="41"/>
        <v/>
      </c>
      <c r="M221" s="15">
        <f t="shared" si="45"/>
        <v>0.18380542133196198</v>
      </c>
      <c r="N221" s="15">
        <f t="shared" si="46"/>
        <v>-0.30751173708920188</v>
      </c>
      <c r="O221" s="15">
        <f t="shared" si="47"/>
        <v>0.18376595397636697</v>
      </c>
      <c r="P221" s="18">
        <f>IF(SUMIFS('Daily NSE Equity Futures'!$J:$J,'Daily NSE Equity Futures'!$A:$A,$A221)=0,"",SUMIFS('Daily NSE Equity Futures'!$J:$J,'Daily NSE Equity Futures'!$A:$A,$A221))</f>
        <v>1291795</v>
      </c>
      <c r="Q221" s="7">
        <f>IF(SUMIFS('Daily BSE Equity Futures'!$J:$J,'Daily BSE Equity Futures'!$A:$A,$A221)=0,"",SUMIFS('Daily BSE Equity Futures'!$J:$J,'Daily BSE Equity Futures'!$A:$A,$A221))</f>
        <v>49</v>
      </c>
      <c r="R221" s="7">
        <f t="shared" si="42"/>
        <v>1291844</v>
      </c>
      <c r="S221" s="19">
        <f t="shared" si="43"/>
        <v>0.99996206972358892</v>
      </c>
      <c r="T221" s="19">
        <f t="shared" si="44"/>
        <v>3.793027641108369E-5</v>
      </c>
    </row>
    <row r="222" spans="1:20" x14ac:dyDescent="0.2">
      <c r="A222" s="9">
        <v>44244</v>
      </c>
      <c r="B222" s="4" t="s">
        <v>221</v>
      </c>
      <c r="C222" s="8">
        <v>44228</v>
      </c>
      <c r="D222" s="4" t="s">
        <v>176</v>
      </c>
      <c r="E222" s="14">
        <f>IF(SUMIFS('Daily NSE Equity Futures'!$I:$I,'Daily NSE Equity Futures'!$A:$A,$A222)=0,"",SUMIFS('Daily NSE Equity Futures'!$I:$I,'Daily NSE Equity Futures'!$A:$A,$A222))</f>
        <v>1197.9462000000001</v>
      </c>
      <c r="F222" s="6">
        <f>IF(SUMIFS('Daily BSE Equity Futures'!$I:$I,'Daily BSE Equity Futures'!$A:$A,$A222)=0,"",SUMIFS('Daily BSE Equity Futures'!$I:$I,'Daily BSE Equity Futures'!$A:$A,$A222))</f>
        <v>4.4200000000000003E-2</v>
      </c>
      <c r="G222" s="6">
        <f t="shared" si="36"/>
        <v>1197.9904000000001</v>
      </c>
      <c r="H222" s="15">
        <f t="shared" si="37"/>
        <v>0.99996310487963835</v>
      </c>
      <c r="I222" s="15">
        <f t="shared" si="38"/>
        <v>3.68951203615655E-5</v>
      </c>
      <c r="J222" s="20" t="str">
        <f t="shared" si="39"/>
        <v/>
      </c>
      <c r="K222" s="15" t="str">
        <f t="shared" si="40"/>
        <v/>
      </c>
      <c r="L222" s="15" t="str">
        <f t="shared" si="41"/>
        <v/>
      </c>
      <c r="M222" s="15">
        <f t="shared" si="45"/>
        <v>-4.5824238188258981E-2</v>
      </c>
      <c r="N222" s="15">
        <f t="shared" si="46"/>
        <v>-0.25084745762711858</v>
      </c>
      <c r="O222" s="15">
        <f t="shared" si="47"/>
        <v>-4.5833872611429349E-2</v>
      </c>
      <c r="P222" s="18">
        <f>IF(SUMIFS('Daily NSE Equity Futures'!$J:$J,'Daily NSE Equity Futures'!$A:$A,$A222)=0,"",SUMIFS('Daily NSE Equity Futures'!$J:$J,'Daily NSE Equity Futures'!$A:$A,$A222))</f>
        <v>1243008</v>
      </c>
      <c r="Q222" s="7">
        <f>IF(SUMIFS('Daily BSE Equity Futures'!$J:$J,'Daily BSE Equity Futures'!$A:$A,$A222)=0,"",SUMIFS('Daily BSE Equity Futures'!$J:$J,'Daily BSE Equity Futures'!$A:$A,$A222))</f>
        <v>37</v>
      </c>
      <c r="R222" s="7">
        <f t="shared" si="42"/>
        <v>1243045</v>
      </c>
      <c r="S222" s="19">
        <f t="shared" si="43"/>
        <v>0.99997023438411325</v>
      </c>
      <c r="T222" s="19">
        <f t="shared" si="44"/>
        <v>2.9765615886794123E-5</v>
      </c>
    </row>
    <row r="223" spans="1:20" x14ac:dyDescent="0.2">
      <c r="A223" s="9">
        <v>44245</v>
      </c>
      <c r="B223" s="4" t="s">
        <v>224</v>
      </c>
      <c r="C223" s="8">
        <v>44228</v>
      </c>
      <c r="D223" s="4" t="s">
        <v>176</v>
      </c>
      <c r="E223" s="14">
        <f>IF(SUMIFS('Daily NSE Equity Futures'!$I:$I,'Daily NSE Equity Futures'!$A:$A,$A223)=0,"",SUMIFS('Daily NSE Equity Futures'!$I:$I,'Daily NSE Equity Futures'!$A:$A,$A223))</f>
        <v>1284.0073</v>
      </c>
      <c r="F223" s="6">
        <f>IF(SUMIFS('Daily BSE Equity Futures'!$I:$I,'Daily BSE Equity Futures'!$A:$A,$A223)=0,"",SUMIFS('Daily BSE Equity Futures'!$I:$I,'Daily BSE Equity Futures'!$A:$A,$A223))</f>
        <v>0.1045</v>
      </c>
      <c r="G223" s="6">
        <f t="shared" si="36"/>
        <v>1284.1117999999999</v>
      </c>
      <c r="H223" s="15">
        <f t="shared" si="37"/>
        <v>0.9999186207929871</v>
      </c>
      <c r="I223" s="15">
        <f t="shared" si="38"/>
        <v>8.1379207012971931E-5</v>
      </c>
      <c r="J223" s="20" t="str">
        <f t="shared" si="39"/>
        <v/>
      </c>
      <c r="K223" s="15" t="str">
        <f t="shared" si="40"/>
        <v/>
      </c>
      <c r="L223" s="15" t="str">
        <f t="shared" si="41"/>
        <v/>
      </c>
      <c r="M223" s="15">
        <f t="shared" si="45"/>
        <v>7.184053841483018E-2</v>
      </c>
      <c r="N223" s="15">
        <f t="shared" si="46"/>
        <v>1.364253393665158</v>
      </c>
      <c r="O223" s="15">
        <f t="shared" si="47"/>
        <v>7.1888222142681313E-2</v>
      </c>
      <c r="P223" s="18">
        <f>IF(SUMIFS('Daily NSE Equity Futures'!$J:$J,'Daily NSE Equity Futures'!$A:$A,$A223)=0,"",SUMIFS('Daily NSE Equity Futures'!$J:$J,'Daily NSE Equity Futures'!$A:$A,$A223))</f>
        <v>1347582</v>
      </c>
      <c r="Q223" s="7">
        <f>IF(SUMIFS('Daily BSE Equity Futures'!$J:$J,'Daily BSE Equity Futures'!$A:$A,$A223)=0,"",SUMIFS('Daily BSE Equity Futures'!$J:$J,'Daily BSE Equity Futures'!$A:$A,$A223))</f>
        <v>88</v>
      </c>
      <c r="R223" s="7">
        <f t="shared" si="42"/>
        <v>1347670</v>
      </c>
      <c r="S223" s="19">
        <f t="shared" si="43"/>
        <v>0.99993470211550306</v>
      </c>
      <c r="T223" s="19">
        <f t="shared" si="44"/>
        <v>6.5297884496946586E-5</v>
      </c>
    </row>
    <row r="224" spans="1:20" x14ac:dyDescent="0.2">
      <c r="A224" s="9">
        <v>44246</v>
      </c>
      <c r="B224" s="4" t="s">
        <v>222</v>
      </c>
      <c r="C224" s="8">
        <v>44228</v>
      </c>
      <c r="D224" s="4" t="s">
        <v>176</v>
      </c>
      <c r="E224" s="14">
        <f>IF(SUMIFS('Daily NSE Equity Futures'!$I:$I,'Daily NSE Equity Futures'!$A:$A,$A224)=0,"",SUMIFS('Daily NSE Equity Futures'!$I:$I,'Daily NSE Equity Futures'!$A:$A,$A224))</f>
        <v>1639.4775999999999</v>
      </c>
      <c r="F224" s="6">
        <f>IF(SUMIFS('Daily BSE Equity Futures'!$I:$I,'Daily BSE Equity Futures'!$A:$A,$A224)=0,"",SUMIFS('Daily BSE Equity Futures'!$I:$I,'Daily BSE Equity Futures'!$A:$A,$A224))</f>
        <v>8.5999999999999993E-2</v>
      </c>
      <c r="G224" s="6">
        <f t="shared" si="36"/>
        <v>1639.5636</v>
      </c>
      <c r="H224" s="15">
        <f t="shared" si="37"/>
        <v>0.99994754701799915</v>
      </c>
      <c r="I224" s="15">
        <f t="shared" si="38"/>
        <v>5.2452982000820217E-5</v>
      </c>
      <c r="J224" s="20" t="str">
        <f t="shared" si="39"/>
        <v/>
      </c>
      <c r="K224" s="15" t="str">
        <f t="shared" si="40"/>
        <v/>
      </c>
      <c r="L224" s="15" t="str">
        <f t="shared" si="41"/>
        <v/>
      </c>
      <c r="M224" s="15">
        <f t="shared" si="45"/>
        <v>0.2768444540774806</v>
      </c>
      <c r="N224" s="15">
        <f t="shared" si="46"/>
        <v>-0.17703349282296654</v>
      </c>
      <c r="O224" s="15">
        <f t="shared" si="47"/>
        <v>0.27680751785008129</v>
      </c>
      <c r="P224" s="18">
        <f>IF(SUMIFS('Daily NSE Equity Futures'!$J:$J,'Daily NSE Equity Futures'!$A:$A,$A224)=0,"",SUMIFS('Daily NSE Equity Futures'!$J:$J,'Daily NSE Equity Futures'!$A:$A,$A224))</f>
        <v>1728200</v>
      </c>
      <c r="Q224" s="7">
        <f>IF(SUMIFS('Daily BSE Equity Futures'!$J:$J,'Daily BSE Equity Futures'!$A:$A,$A224)=0,"",SUMIFS('Daily BSE Equity Futures'!$J:$J,'Daily BSE Equity Futures'!$A:$A,$A224))</f>
        <v>73</v>
      </c>
      <c r="R224" s="7">
        <f t="shared" si="42"/>
        <v>1728273</v>
      </c>
      <c r="S224" s="19">
        <f t="shared" si="43"/>
        <v>0.99995776130275715</v>
      </c>
      <c r="T224" s="19">
        <f t="shared" si="44"/>
        <v>4.2238697242854569E-5</v>
      </c>
    </row>
    <row r="225" spans="1:20" x14ac:dyDescent="0.2">
      <c r="A225" s="9">
        <v>44249</v>
      </c>
      <c r="B225" s="4" t="s">
        <v>225</v>
      </c>
      <c r="C225" s="8">
        <v>44228</v>
      </c>
      <c r="D225" s="4" t="s">
        <v>176</v>
      </c>
      <c r="E225" s="14">
        <f>IF(SUMIFS('Daily NSE Equity Futures'!$I:$I,'Daily NSE Equity Futures'!$A:$A,$A225)=0,"",SUMIFS('Daily NSE Equity Futures'!$I:$I,'Daily NSE Equity Futures'!$A:$A,$A225))</f>
        <v>1926.8090999999999</v>
      </c>
      <c r="F225" s="6">
        <f>IF(SUMIFS('Daily BSE Equity Futures'!$I:$I,'Daily BSE Equity Futures'!$A:$A,$A225)=0,"",SUMIFS('Daily BSE Equity Futures'!$I:$I,'Daily BSE Equity Futures'!$A:$A,$A225))</f>
        <v>0.1099</v>
      </c>
      <c r="G225" s="6">
        <f t="shared" si="36"/>
        <v>1926.9189999999999</v>
      </c>
      <c r="H225" s="15">
        <f t="shared" si="37"/>
        <v>0.99994296594719345</v>
      </c>
      <c r="I225" s="15">
        <f t="shared" si="38"/>
        <v>5.7034052806578795E-5</v>
      </c>
      <c r="J225" s="20" t="str">
        <f t="shared" si="39"/>
        <v/>
      </c>
      <c r="K225" s="15" t="str">
        <f t="shared" si="40"/>
        <v/>
      </c>
      <c r="L225" s="15" t="str">
        <f t="shared" si="41"/>
        <v/>
      </c>
      <c r="M225" s="15">
        <f t="shared" si="45"/>
        <v>0.17525796021854778</v>
      </c>
      <c r="N225" s="15">
        <f t="shared" si="46"/>
        <v>0.27790697674418618</v>
      </c>
      <c r="O225" s="15">
        <f t="shared" si="47"/>
        <v>0.1752633444655638</v>
      </c>
      <c r="P225" s="18">
        <f>IF(SUMIFS('Daily NSE Equity Futures'!$J:$J,'Daily NSE Equity Futures'!$A:$A,$A225)=0,"",SUMIFS('Daily NSE Equity Futures'!$J:$J,'Daily NSE Equity Futures'!$A:$A,$A225))</f>
        <v>2108036</v>
      </c>
      <c r="Q225" s="7">
        <f>IF(SUMIFS('Daily BSE Equity Futures'!$J:$J,'Daily BSE Equity Futures'!$A:$A,$A225)=0,"",SUMIFS('Daily BSE Equity Futures'!$J:$J,'Daily BSE Equity Futures'!$A:$A,$A225))</f>
        <v>95</v>
      </c>
      <c r="R225" s="7">
        <f t="shared" si="42"/>
        <v>2108131</v>
      </c>
      <c r="S225" s="19">
        <f t="shared" si="43"/>
        <v>0.99995493638678057</v>
      </c>
      <c r="T225" s="19">
        <f t="shared" si="44"/>
        <v>4.5063613219482089E-5</v>
      </c>
    </row>
    <row r="226" spans="1:20" x14ac:dyDescent="0.2">
      <c r="A226" s="9">
        <v>44250</v>
      </c>
      <c r="B226" s="4" t="s">
        <v>223</v>
      </c>
      <c r="C226" s="8">
        <v>44228</v>
      </c>
      <c r="D226" s="4" t="s">
        <v>176</v>
      </c>
      <c r="E226" s="14">
        <f>IF(SUMIFS('Daily NSE Equity Futures'!$I:$I,'Daily NSE Equity Futures'!$A:$A,$A226)=0,"",SUMIFS('Daily NSE Equity Futures'!$I:$I,'Daily NSE Equity Futures'!$A:$A,$A226))</f>
        <v>2062.3319000000001</v>
      </c>
      <c r="F226" s="6">
        <f>IF(SUMIFS('Daily BSE Equity Futures'!$I:$I,'Daily BSE Equity Futures'!$A:$A,$A226)=0,"",SUMIFS('Daily BSE Equity Futures'!$I:$I,'Daily BSE Equity Futures'!$A:$A,$A226))</f>
        <v>8.7900000000000006E-2</v>
      </c>
      <c r="G226" s="6">
        <f t="shared" si="36"/>
        <v>2062.4198000000001</v>
      </c>
      <c r="H226" s="15">
        <f t="shared" si="37"/>
        <v>0.99995738016091584</v>
      </c>
      <c r="I226" s="15">
        <f t="shared" si="38"/>
        <v>4.2619839084167057E-5</v>
      </c>
      <c r="J226" s="20" t="str">
        <f t="shared" si="39"/>
        <v/>
      </c>
      <c r="K226" s="15" t="str">
        <f t="shared" si="40"/>
        <v/>
      </c>
      <c r="L226" s="15" t="str">
        <f t="shared" si="41"/>
        <v/>
      </c>
      <c r="M226" s="15">
        <f t="shared" si="45"/>
        <v>7.0335353927900801E-2</v>
      </c>
      <c r="N226" s="15">
        <f t="shared" si="46"/>
        <v>-0.20018198362147399</v>
      </c>
      <c r="O226" s="15">
        <f t="shared" si="47"/>
        <v>7.0319925227785962E-2</v>
      </c>
      <c r="P226" s="18">
        <f>IF(SUMIFS('Daily NSE Equity Futures'!$J:$J,'Daily NSE Equity Futures'!$A:$A,$A226)=0,"",SUMIFS('Daily NSE Equity Futures'!$J:$J,'Daily NSE Equity Futures'!$A:$A,$A226))</f>
        <v>2227570</v>
      </c>
      <c r="Q226" s="7">
        <f>IF(SUMIFS('Daily BSE Equity Futures'!$J:$J,'Daily BSE Equity Futures'!$A:$A,$A226)=0,"",SUMIFS('Daily BSE Equity Futures'!$J:$J,'Daily BSE Equity Futures'!$A:$A,$A226))</f>
        <v>76</v>
      </c>
      <c r="R226" s="7">
        <f t="shared" si="42"/>
        <v>2227646</v>
      </c>
      <c r="S226" s="19">
        <f t="shared" si="43"/>
        <v>0.99996588326870606</v>
      </c>
      <c r="T226" s="19">
        <f t="shared" si="44"/>
        <v>3.4116731293930905E-5</v>
      </c>
    </row>
    <row r="227" spans="1:20" x14ac:dyDescent="0.2">
      <c r="A227" s="9">
        <v>44251</v>
      </c>
      <c r="B227" s="4" t="s">
        <v>221</v>
      </c>
      <c r="C227" s="8">
        <v>44228</v>
      </c>
      <c r="D227" s="4" t="s">
        <v>176</v>
      </c>
      <c r="E227" s="14">
        <f>IF(SUMIFS('Daily NSE Equity Futures'!$I:$I,'Daily NSE Equity Futures'!$A:$A,$A227)=0,"",SUMIFS('Daily NSE Equity Futures'!$I:$I,'Daily NSE Equity Futures'!$A:$A,$A227))</f>
        <v>1477.1459</v>
      </c>
      <c r="F227" s="6">
        <f>IF(SUMIFS('Daily BSE Equity Futures'!$I:$I,'Daily BSE Equity Futures'!$A:$A,$A227)=0,"",SUMIFS('Daily BSE Equity Futures'!$I:$I,'Daily BSE Equity Futures'!$A:$A,$A227))</f>
        <v>8.2299999999999998E-2</v>
      </c>
      <c r="G227" s="6">
        <f t="shared" si="36"/>
        <v>1477.2282</v>
      </c>
      <c r="H227" s="15">
        <f t="shared" si="37"/>
        <v>0.99994428755151032</v>
      </c>
      <c r="I227" s="15">
        <f t="shared" si="38"/>
        <v>5.5712448489678166E-5</v>
      </c>
      <c r="J227" s="20" t="str">
        <f t="shared" si="39"/>
        <v/>
      </c>
      <c r="K227" s="15" t="str">
        <f t="shared" si="40"/>
        <v/>
      </c>
      <c r="L227" s="15" t="str">
        <f t="shared" si="41"/>
        <v/>
      </c>
      <c r="M227" s="15">
        <f t="shared" si="45"/>
        <v>-0.28374967191265388</v>
      </c>
      <c r="N227" s="15">
        <f t="shared" si="46"/>
        <v>-6.3708759954493877E-2</v>
      </c>
      <c r="O227" s="15">
        <f t="shared" si="47"/>
        <v>-0.28374029380439425</v>
      </c>
      <c r="P227" s="18">
        <f>IF(SUMIFS('Daily NSE Equity Futures'!$J:$J,'Daily NSE Equity Futures'!$A:$A,$A227)=0,"",SUMIFS('Daily NSE Equity Futures'!$J:$J,'Daily NSE Equity Futures'!$A:$A,$A227))</f>
        <v>1584005</v>
      </c>
      <c r="Q227" s="7">
        <f>IF(SUMIFS('Daily BSE Equity Futures'!$J:$J,'Daily BSE Equity Futures'!$A:$A,$A227)=0,"",SUMIFS('Daily BSE Equity Futures'!$J:$J,'Daily BSE Equity Futures'!$A:$A,$A227))</f>
        <v>71</v>
      </c>
      <c r="R227" s="7">
        <f t="shared" si="42"/>
        <v>1584076</v>
      </c>
      <c r="S227" s="19">
        <f t="shared" si="43"/>
        <v>0.9999551789181832</v>
      </c>
      <c r="T227" s="19">
        <f t="shared" si="44"/>
        <v>4.4821081816781516E-5</v>
      </c>
    </row>
    <row r="228" spans="1:20" x14ac:dyDescent="0.2">
      <c r="A228" s="9">
        <v>44252</v>
      </c>
      <c r="B228" s="4" t="s">
        <v>224</v>
      </c>
      <c r="C228" s="8">
        <v>44228</v>
      </c>
      <c r="D228" s="4" t="s">
        <v>176</v>
      </c>
      <c r="E228" s="14">
        <f>IF(SUMIFS('Daily NSE Equity Futures'!$I:$I,'Daily NSE Equity Futures'!$A:$A,$A228)=0,"",SUMIFS('Daily NSE Equity Futures'!$I:$I,'Daily NSE Equity Futures'!$A:$A,$A228))</f>
        <v>2318.4906999999998</v>
      </c>
      <c r="F228" s="6">
        <f>IF(SUMIFS('Daily BSE Equity Futures'!$I:$I,'Daily BSE Equity Futures'!$A:$A,$A228)=0,"",SUMIFS('Daily BSE Equity Futures'!$I:$I,'Daily BSE Equity Futures'!$A:$A,$A228))</f>
        <v>0.1676</v>
      </c>
      <c r="G228" s="6">
        <f t="shared" si="36"/>
        <v>2318.6583000000001</v>
      </c>
      <c r="H228" s="15">
        <f t="shared" si="37"/>
        <v>0.99992771681795445</v>
      </c>
      <c r="I228" s="15">
        <f t="shared" si="38"/>
        <v>7.2283182045409616E-5</v>
      </c>
      <c r="J228" s="20" t="str">
        <f t="shared" si="39"/>
        <v/>
      </c>
      <c r="K228" s="15" t="str">
        <f t="shared" si="40"/>
        <v/>
      </c>
      <c r="L228" s="15" t="str">
        <f t="shared" si="41"/>
        <v/>
      </c>
      <c r="M228" s="15">
        <f t="shared" si="45"/>
        <v>0.56957461006390764</v>
      </c>
      <c r="N228" s="15">
        <f t="shared" si="46"/>
        <v>1.0364520048602675</v>
      </c>
      <c r="O228" s="15">
        <f t="shared" si="47"/>
        <v>0.56960062094671637</v>
      </c>
      <c r="P228" s="18">
        <f>IF(SUMIFS('Daily NSE Equity Futures'!$J:$J,'Daily NSE Equity Futures'!$A:$A,$A228)=0,"",SUMIFS('Daily NSE Equity Futures'!$J:$J,'Daily NSE Equity Futures'!$A:$A,$A228))</f>
        <v>2489693</v>
      </c>
      <c r="Q228" s="7">
        <f>IF(SUMIFS('Daily BSE Equity Futures'!$J:$J,'Daily BSE Equity Futures'!$A:$A,$A228)=0,"",SUMIFS('Daily BSE Equity Futures'!$J:$J,'Daily BSE Equity Futures'!$A:$A,$A228))</f>
        <v>141</v>
      </c>
      <c r="R228" s="7">
        <f t="shared" si="42"/>
        <v>2489834</v>
      </c>
      <c r="S228" s="19">
        <f t="shared" si="43"/>
        <v>0.99994336971862385</v>
      </c>
      <c r="T228" s="19">
        <f t="shared" si="44"/>
        <v>5.6630281376188128E-5</v>
      </c>
    </row>
    <row r="229" spans="1:20" x14ac:dyDescent="0.2">
      <c r="A229" s="9">
        <v>44253</v>
      </c>
      <c r="B229" s="4" t="s">
        <v>222</v>
      </c>
      <c r="C229" s="8">
        <v>44228</v>
      </c>
      <c r="D229" s="4" t="s">
        <v>176</v>
      </c>
      <c r="E229" s="14">
        <f>IF(SUMIFS('Daily NSE Equity Futures'!$I:$I,'Daily NSE Equity Futures'!$A:$A,$A229)=0,"",SUMIFS('Daily NSE Equity Futures'!$I:$I,'Daily NSE Equity Futures'!$A:$A,$A229))</f>
        <v>1749.8744999999999</v>
      </c>
      <c r="F229" s="6">
        <f>IF(SUMIFS('Daily BSE Equity Futures'!$I:$I,'Daily BSE Equity Futures'!$A:$A,$A229)=0,"",SUMIFS('Daily BSE Equity Futures'!$I:$I,'Daily BSE Equity Futures'!$A:$A,$A229))</f>
        <v>0.1134</v>
      </c>
      <c r="G229" s="6">
        <f t="shared" si="36"/>
        <v>1749.9878999999999</v>
      </c>
      <c r="H229" s="15">
        <f t="shared" si="37"/>
        <v>0.9999351995519512</v>
      </c>
      <c r="I229" s="15">
        <f t="shared" si="38"/>
        <v>6.4800448048812234E-5</v>
      </c>
      <c r="J229" s="20" t="str">
        <f t="shared" si="39"/>
        <v/>
      </c>
      <c r="K229" s="15" t="str">
        <f t="shared" si="40"/>
        <v/>
      </c>
      <c r="L229" s="15" t="str">
        <f t="shared" si="41"/>
        <v/>
      </c>
      <c r="M229" s="15">
        <f t="shared" si="45"/>
        <v>-0.24525274136316355</v>
      </c>
      <c r="N229" s="15">
        <f t="shared" si="46"/>
        <v>-0.3233890214797136</v>
      </c>
      <c r="O229" s="15">
        <f t="shared" si="47"/>
        <v>-0.24525838930212362</v>
      </c>
      <c r="P229" s="18">
        <f>IF(SUMIFS('Daily NSE Equity Futures'!$J:$J,'Daily NSE Equity Futures'!$A:$A,$A229)=0,"",SUMIFS('Daily NSE Equity Futures'!$J:$J,'Daily NSE Equity Futures'!$A:$A,$A229))</f>
        <v>1845247</v>
      </c>
      <c r="Q229" s="7">
        <f>IF(SUMIFS('Daily BSE Equity Futures'!$J:$J,'Daily BSE Equity Futures'!$A:$A,$A229)=0,"",SUMIFS('Daily BSE Equity Futures'!$J:$J,'Daily BSE Equity Futures'!$A:$A,$A229))</f>
        <v>98</v>
      </c>
      <c r="R229" s="7">
        <f t="shared" si="42"/>
        <v>1845345</v>
      </c>
      <c r="S229" s="19">
        <f t="shared" si="43"/>
        <v>0.99994689339933729</v>
      </c>
      <c r="T229" s="19">
        <f t="shared" si="44"/>
        <v>5.3106600662748703E-5</v>
      </c>
    </row>
    <row r="230" spans="1:20" x14ac:dyDescent="0.2">
      <c r="A230" s="9">
        <v>44256</v>
      </c>
      <c r="B230" s="4" t="s">
        <v>225</v>
      </c>
      <c r="C230" s="8">
        <v>44256</v>
      </c>
      <c r="D230" s="4" t="s">
        <v>176</v>
      </c>
      <c r="E230" s="14">
        <f>IF(SUMIFS('Daily NSE Equity Futures'!$I:$I,'Daily NSE Equity Futures'!$A:$A,$A230)=0,"",SUMIFS('Daily NSE Equity Futures'!$I:$I,'Daily NSE Equity Futures'!$A:$A,$A230))</f>
        <v>1009.2577</v>
      </c>
      <c r="F230" s="6">
        <f>IF(SUMIFS('Daily BSE Equity Futures'!$I:$I,'Daily BSE Equity Futures'!$A:$A,$A230)=0,"",SUMIFS('Daily BSE Equity Futures'!$I:$I,'Daily BSE Equity Futures'!$A:$A,$A230))</f>
        <v>6.59E-2</v>
      </c>
      <c r="G230" s="6">
        <f t="shared" si="36"/>
        <v>1009.3236000000001</v>
      </c>
      <c r="H230" s="15">
        <f t="shared" si="37"/>
        <v>0.99993470874950308</v>
      </c>
      <c r="I230" s="15">
        <f t="shared" si="38"/>
        <v>6.5291250496867398E-5</v>
      </c>
      <c r="J230" s="20" t="str">
        <f t="shared" si="39"/>
        <v/>
      </c>
      <c r="K230" s="15" t="str">
        <f t="shared" si="40"/>
        <v/>
      </c>
      <c r="L230" s="15" t="str">
        <f t="shared" si="41"/>
        <v/>
      </c>
      <c r="M230" s="15">
        <f t="shared" si="45"/>
        <v>-0.42323995235086853</v>
      </c>
      <c r="N230" s="15">
        <f t="shared" si="46"/>
        <v>-0.41887125220458554</v>
      </c>
      <c r="O230" s="15">
        <f t="shared" si="47"/>
        <v>-0.42323966925714163</v>
      </c>
      <c r="P230" s="18">
        <f>IF(SUMIFS('Daily NSE Equity Futures'!$J:$J,'Daily NSE Equity Futures'!$A:$A,$A230)=0,"",SUMIFS('Daily NSE Equity Futures'!$J:$J,'Daily NSE Equity Futures'!$A:$A,$A230))</f>
        <v>1058352</v>
      </c>
      <c r="Q230" s="7">
        <f>IF(SUMIFS('Daily BSE Equity Futures'!$J:$J,'Daily BSE Equity Futures'!$A:$A,$A230)=0,"",SUMIFS('Daily BSE Equity Futures'!$J:$J,'Daily BSE Equity Futures'!$A:$A,$A230))</f>
        <v>57</v>
      </c>
      <c r="R230" s="7">
        <f t="shared" si="42"/>
        <v>1058409</v>
      </c>
      <c r="S230" s="19">
        <f t="shared" si="43"/>
        <v>0.99994614558266226</v>
      </c>
      <c r="T230" s="19">
        <f t="shared" si="44"/>
        <v>5.3854417337721052E-5</v>
      </c>
    </row>
    <row r="231" spans="1:20" x14ac:dyDescent="0.2">
      <c r="A231" s="9">
        <v>44257</v>
      </c>
      <c r="B231" s="4" t="s">
        <v>223</v>
      </c>
      <c r="C231" s="8">
        <v>44256</v>
      </c>
      <c r="D231" s="4" t="s">
        <v>176</v>
      </c>
      <c r="E231" s="14">
        <f>IF(SUMIFS('Daily NSE Equity Futures'!$I:$I,'Daily NSE Equity Futures'!$A:$A,$A231)=0,"",SUMIFS('Daily NSE Equity Futures'!$I:$I,'Daily NSE Equity Futures'!$A:$A,$A231))</f>
        <v>1146.2147</v>
      </c>
      <c r="F231" s="6">
        <f>IF(SUMIFS('Daily BSE Equity Futures'!$I:$I,'Daily BSE Equity Futures'!$A:$A,$A231)=0,"",SUMIFS('Daily BSE Equity Futures'!$I:$I,'Daily BSE Equity Futures'!$A:$A,$A231))</f>
        <v>5.4800000000000001E-2</v>
      </c>
      <c r="G231" s="6">
        <f t="shared" si="36"/>
        <v>1146.2694999999999</v>
      </c>
      <c r="H231" s="15">
        <f t="shared" si="37"/>
        <v>0.99995219274350411</v>
      </c>
      <c r="I231" s="15">
        <f t="shared" si="38"/>
        <v>4.7807256495963654E-5</v>
      </c>
      <c r="J231" s="20" t="str">
        <f t="shared" si="39"/>
        <v/>
      </c>
      <c r="K231" s="15" t="str">
        <f t="shared" si="40"/>
        <v/>
      </c>
      <c r="L231" s="15" t="str">
        <f t="shared" si="41"/>
        <v/>
      </c>
      <c r="M231" s="15">
        <f t="shared" si="45"/>
        <v>0.13570072341286066</v>
      </c>
      <c r="N231" s="15">
        <f t="shared" si="46"/>
        <v>-0.16843702579666164</v>
      </c>
      <c r="O231" s="15">
        <f t="shared" si="47"/>
        <v>0.13568086587889128</v>
      </c>
      <c r="P231" s="18">
        <f>IF(SUMIFS('Daily NSE Equity Futures'!$J:$J,'Daily NSE Equity Futures'!$A:$A,$A231)=0,"",SUMIFS('Daily NSE Equity Futures'!$J:$J,'Daily NSE Equity Futures'!$A:$A,$A231))</f>
        <v>1199069</v>
      </c>
      <c r="Q231" s="7">
        <f>IF(SUMIFS('Daily BSE Equity Futures'!$J:$J,'Daily BSE Equity Futures'!$A:$A,$A231)=0,"",SUMIFS('Daily BSE Equity Futures'!$J:$J,'Daily BSE Equity Futures'!$A:$A,$A231))</f>
        <v>47</v>
      </c>
      <c r="R231" s="7">
        <f t="shared" si="42"/>
        <v>1199116</v>
      </c>
      <c r="S231" s="19">
        <f t="shared" si="43"/>
        <v>0.99996080445928504</v>
      </c>
      <c r="T231" s="19">
        <f t="shared" si="44"/>
        <v>3.9195540714993376E-5</v>
      </c>
    </row>
    <row r="232" spans="1:20" x14ac:dyDescent="0.2">
      <c r="A232" s="9">
        <v>44258</v>
      </c>
      <c r="B232" s="4" t="s">
        <v>221</v>
      </c>
      <c r="C232" s="8">
        <v>44256</v>
      </c>
      <c r="D232" s="4" t="s">
        <v>176</v>
      </c>
      <c r="E232" s="14">
        <f>IF(SUMIFS('Daily NSE Equity Futures'!$I:$I,'Daily NSE Equity Futures'!$A:$A,$A232)=0,"",SUMIFS('Daily NSE Equity Futures'!$I:$I,'Daily NSE Equity Futures'!$A:$A,$A232))</f>
        <v>1118.2645</v>
      </c>
      <c r="F232" s="6">
        <f>IF(SUMIFS('Daily BSE Equity Futures'!$I:$I,'Daily BSE Equity Futures'!$A:$A,$A232)=0,"",SUMIFS('Daily BSE Equity Futures'!$I:$I,'Daily BSE Equity Futures'!$A:$A,$A232))</f>
        <v>0.1109</v>
      </c>
      <c r="G232" s="6">
        <f t="shared" si="36"/>
        <v>1118.3753999999999</v>
      </c>
      <c r="H232" s="15">
        <f t="shared" si="37"/>
        <v>0.99990083830527754</v>
      </c>
      <c r="I232" s="15">
        <f t="shared" si="38"/>
        <v>9.9161694722541289E-5</v>
      </c>
      <c r="J232" s="20" t="str">
        <f t="shared" si="39"/>
        <v/>
      </c>
      <c r="K232" s="15" t="str">
        <f t="shared" si="40"/>
        <v/>
      </c>
      <c r="L232" s="15" t="str">
        <f t="shared" si="41"/>
        <v/>
      </c>
      <c r="M232" s="15">
        <f t="shared" si="45"/>
        <v>-2.4384785852074709E-2</v>
      </c>
      <c r="N232" s="15">
        <f t="shared" si="46"/>
        <v>1.023722627737226</v>
      </c>
      <c r="O232" s="15">
        <f t="shared" si="47"/>
        <v>-2.4334678712117808E-2</v>
      </c>
      <c r="P232" s="18">
        <f>IF(SUMIFS('Daily NSE Equity Futures'!$J:$J,'Daily NSE Equity Futures'!$A:$A,$A232)=0,"",SUMIFS('Daily NSE Equity Futures'!$J:$J,'Daily NSE Equity Futures'!$A:$A,$A232))</f>
        <v>1163028</v>
      </c>
      <c r="Q232" s="7">
        <f>IF(SUMIFS('Daily BSE Equity Futures'!$J:$J,'Daily BSE Equity Futures'!$A:$A,$A232)=0,"",SUMIFS('Daily BSE Equity Futures'!$J:$J,'Daily BSE Equity Futures'!$A:$A,$A232))</f>
        <v>93</v>
      </c>
      <c r="R232" s="7">
        <f t="shared" si="42"/>
        <v>1163121</v>
      </c>
      <c r="S232" s="19">
        <f t="shared" si="43"/>
        <v>0.99992004271266699</v>
      </c>
      <c r="T232" s="19">
        <f t="shared" si="44"/>
        <v>7.9957287332960194E-5</v>
      </c>
    </row>
    <row r="233" spans="1:20" x14ac:dyDescent="0.2">
      <c r="A233" s="9">
        <v>44259</v>
      </c>
      <c r="B233" s="4" t="s">
        <v>224</v>
      </c>
      <c r="C233" s="8">
        <v>44256</v>
      </c>
      <c r="D233" s="4" t="s">
        <v>176</v>
      </c>
      <c r="E233" s="14">
        <f>IF(SUMIFS('Daily NSE Equity Futures'!$I:$I,'Daily NSE Equity Futures'!$A:$A,$A233)=0,"",SUMIFS('Daily NSE Equity Futures'!$I:$I,'Daily NSE Equity Futures'!$A:$A,$A233))</f>
        <v>1260.5605</v>
      </c>
      <c r="F233" s="6">
        <f>IF(SUMIFS('Daily BSE Equity Futures'!$I:$I,'Daily BSE Equity Futures'!$A:$A,$A233)=0,"",SUMIFS('Daily BSE Equity Futures'!$I:$I,'Daily BSE Equity Futures'!$A:$A,$A233))</f>
        <v>7.9399999999999998E-2</v>
      </c>
      <c r="G233" s="6">
        <f t="shared" si="36"/>
        <v>1260.6399000000001</v>
      </c>
      <c r="H233" s="15">
        <f t="shared" si="37"/>
        <v>0.99993701611380059</v>
      </c>
      <c r="I233" s="15">
        <f t="shared" si="38"/>
        <v>6.2983886199381758E-5</v>
      </c>
      <c r="J233" s="20" t="str">
        <f t="shared" si="39"/>
        <v/>
      </c>
      <c r="K233" s="15" t="str">
        <f t="shared" si="40"/>
        <v/>
      </c>
      <c r="L233" s="15" t="str">
        <f t="shared" si="41"/>
        <v/>
      </c>
      <c r="M233" s="15">
        <f t="shared" si="45"/>
        <v>0.1272471763165155</v>
      </c>
      <c r="N233" s="15">
        <f t="shared" si="46"/>
        <v>-0.28403967538322816</v>
      </c>
      <c r="O233" s="15">
        <f t="shared" si="47"/>
        <v>0.12720639241528398</v>
      </c>
      <c r="P233" s="18">
        <f>IF(SUMIFS('Daily NSE Equity Futures'!$J:$J,'Daily NSE Equity Futures'!$A:$A,$A233)=0,"",SUMIFS('Daily NSE Equity Futures'!$J:$J,'Daily NSE Equity Futures'!$A:$A,$A233))</f>
        <v>1304181</v>
      </c>
      <c r="Q233" s="7">
        <f>IF(SUMIFS('Daily BSE Equity Futures'!$J:$J,'Daily BSE Equity Futures'!$A:$A,$A233)=0,"",SUMIFS('Daily BSE Equity Futures'!$J:$J,'Daily BSE Equity Futures'!$A:$A,$A233))</f>
        <v>67</v>
      </c>
      <c r="R233" s="7">
        <f t="shared" si="42"/>
        <v>1304248</v>
      </c>
      <c r="S233" s="19">
        <f t="shared" si="43"/>
        <v>0.99994862940177021</v>
      </c>
      <c r="T233" s="19">
        <f t="shared" si="44"/>
        <v>5.1370598229784521E-5</v>
      </c>
    </row>
    <row r="234" spans="1:20" x14ac:dyDescent="0.2">
      <c r="A234" s="9">
        <v>44260</v>
      </c>
      <c r="B234" s="4" t="s">
        <v>222</v>
      </c>
      <c r="C234" s="8">
        <v>44256</v>
      </c>
      <c r="D234" s="4" t="s">
        <v>176</v>
      </c>
      <c r="E234" s="14">
        <f>IF(SUMIFS('Daily NSE Equity Futures'!$I:$I,'Daily NSE Equity Futures'!$A:$A,$A234)=0,"",SUMIFS('Daily NSE Equity Futures'!$I:$I,'Daily NSE Equity Futures'!$A:$A,$A234))</f>
        <v>1219.1545000000001</v>
      </c>
      <c r="F234" s="6">
        <f>IF(SUMIFS('Daily BSE Equity Futures'!$I:$I,'Daily BSE Equity Futures'!$A:$A,$A234)=0,"",SUMIFS('Daily BSE Equity Futures'!$I:$I,'Daily BSE Equity Futures'!$A:$A,$A234))</f>
        <v>0.18290000000000001</v>
      </c>
      <c r="G234" s="6">
        <f t="shared" si="36"/>
        <v>1219.3374000000001</v>
      </c>
      <c r="H234" s="15">
        <f t="shared" si="37"/>
        <v>0.99985000050027173</v>
      </c>
      <c r="I234" s="15">
        <f t="shared" si="38"/>
        <v>1.4999949972829504E-4</v>
      </c>
      <c r="J234" s="20" t="str">
        <f t="shared" si="39"/>
        <v/>
      </c>
      <c r="K234" s="15" t="str">
        <f t="shared" si="40"/>
        <v/>
      </c>
      <c r="L234" s="15" t="str">
        <f t="shared" si="41"/>
        <v/>
      </c>
      <c r="M234" s="15">
        <f t="shared" si="45"/>
        <v>-3.2847292930406669E-2</v>
      </c>
      <c r="N234" s="15">
        <f t="shared" si="46"/>
        <v>1.3035264483627205</v>
      </c>
      <c r="O234" s="15">
        <f t="shared" si="47"/>
        <v>-3.2763122918765264E-2</v>
      </c>
      <c r="P234" s="18">
        <f>IF(SUMIFS('Daily NSE Equity Futures'!$J:$J,'Daily NSE Equity Futures'!$A:$A,$A234)=0,"",SUMIFS('Daily NSE Equity Futures'!$J:$J,'Daily NSE Equity Futures'!$A:$A,$A234))</f>
        <v>1267531</v>
      </c>
      <c r="Q234" s="7">
        <f>IF(SUMIFS('Daily BSE Equity Futures'!$J:$J,'Daily BSE Equity Futures'!$A:$A,$A234)=0,"",SUMIFS('Daily BSE Equity Futures'!$J:$J,'Daily BSE Equity Futures'!$A:$A,$A234))</f>
        <v>156</v>
      </c>
      <c r="R234" s="7">
        <f t="shared" si="42"/>
        <v>1267687</v>
      </c>
      <c r="S234" s="19">
        <f t="shared" si="43"/>
        <v>0.99987694123233894</v>
      </c>
      <c r="T234" s="19">
        <f t="shared" si="44"/>
        <v>1.2305876766110246E-4</v>
      </c>
    </row>
    <row r="235" spans="1:20" x14ac:dyDescent="0.2">
      <c r="A235" s="9">
        <v>44263</v>
      </c>
      <c r="B235" s="4" t="s">
        <v>225</v>
      </c>
      <c r="C235" s="8">
        <v>44256</v>
      </c>
      <c r="D235" s="4" t="s">
        <v>176</v>
      </c>
      <c r="E235" s="14">
        <f>IF(SUMIFS('Daily NSE Equity Futures'!$I:$I,'Daily NSE Equity Futures'!$A:$A,$A235)=0,"",SUMIFS('Daily NSE Equity Futures'!$I:$I,'Daily NSE Equity Futures'!$A:$A,$A235))</f>
        <v>1001.3762</v>
      </c>
      <c r="F235" s="6">
        <f>IF(SUMIFS('Daily BSE Equity Futures'!$I:$I,'Daily BSE Equity Futures'!$A:$A,$A235)=0,"",SUMIFS('Daily BSE Equity Futures'!$I:$I,'Daily BSE Equity Futures'!$A:$A,$A235))</f>
        <v>6.3500000000000001E-2</v>
      </c>
      <c r="G235" s="6">
        <f t="shared" si="36"/>
        <v>1001.4397</v>
      </c>
      <c r="H235" s="15">
        <f t="shared" si="37"/>
        <v>0.9999365912895205</v>
      </c>
      <c r="I235" s="15">
        <f t="shared" si="38"/>
        <v>6.3408710479522626E-5</v>
      </c>
      <c r="J235" s="20" t="str">
        <f t="shared" si="39"/>
        <v/>
      </c>
      <c r="K235" s="15" t="str">
        <f t="shared" si="40"/>
        <v/>
      </c>
      <c r="L235" s="15" t="str">
        <f t="shared" si="41"/>
        <v/>
      </c>
      <c r="M235" s="15">
        <f t="shared" si="45"/>
        <v>-0.17863060014132748</v>
      </c>
      <c r="N235" s="15">
        <f t="shared" si="46"/>
        <v>-0.65281574630945871</v>
      </c>
      <c r="O235" s="15">
        <f t="shared" si="47"/>
        <v>-0.17870172767603132</v>
      </c>
      <c r="P235" s="18">
        <f>IF(SUMIFS('Daily NSE Equity Futures'!$J:$J,'Daily NSE Equity Futures'!$A:$A,$A235)=0,"",SUMIFS('Daily NSE Equity Futures'!$J:$J,'Daily NSE Equity Futures'!$A:$A,$A235))</f>
        <v>1053669</v>
      </c>
      <c r="Q235" s="7">
        <f>IF(SUMIFS('Daily BSE Equity Futures'!$J:$J,'Daily BSE Equity Futures'!$A:$A,$A235)=0,"",SUMIFS('Daily BSE Equity Futures'!$J:$J,'Daily BSE Equity Futures'!$A:$A,$A235))</f>
        <v>54</v>
      </c>
      <c r="R235" s="7">
        <f t="shared" si="42"/>
        <v>1053723</v>
      </c>
      <c r="S235" s="19">
        <f t="shared" si="43"/>
        <v>0.99994875313531162</v>
      </c>
      <c r="T235" s="19">
        <f t="shared" si="44"/>
        <v>5.1246864688347884E-5</v>
      </c>
    </row>
    <row r="236" spans="1:20" x14ac:dyDescent="0.2">
      <c r="A236" s="9">
        <v>44264</v>
      </c>
      <c r="B236" s="4" t="s">
        <v>223</v>
      </c>
      <c r="C236" s="8">
        <v>44256</v>
      </c>
      <c r="D236" s="4" t="s">
        <v>176</v>
      </c>
      <c r="E236" s="14">
        <f>IF(SUMIFS('Daily NSE Equity Futures'!$I:$I,'Daily NSE Equity Futures'!$A:$A,$A236)=0,"",SUMIFS('Daily NSE Equity Futures'!$I:$I,'Daily NSE Equity Futures'!$A:$A,$A236))</f>
        <v>1063.8458000000001</v>
      </c>
      <c r="F236" s="6">
        <f>IF(SUMIFS('Daily BSE Equity Futures'!$I:$I,'Daily BSE Equity Futures'!$A:$A,$A236)=0,"",SUMIFS('Daily BSE Equity Futures'!$I:$I,'Daily BSE Equity Futures'!$A:$A,$A236))</f>
        <v>0.12429999999999999</v>
      </c>
      <c r="G236" s="6">
        <f t="shared" si="36"/>
        <v>1063.9701</v>
      </c>
      <c r="H236" s="15">
        <f t="shared" si="37"/>
        <v>0.99988317340872646</v>
      </c>
      <c r="I236" s="15">
        <f t="shared" si="38"/>
        <v>1.1682659127357056E-4</v>
      </c>
      <c r="J236" s="20" t="str">
        <f t="shared" si="39"/>
        <v/>
      </c>
      <c r="K236" s="15" t="str">
        <f t="shared" si="40"/>
        <v/>
      </c>
      <c r="L236" s="15" t="str">
        <f t="shared" si="41"/>
        <v/>
      </c>
      <c r="M236" s="15">
        <f t="shared" si="45"/>
        <v>6.2383747486708829E-2</v>
      </c>
      <c r="N236" s="15">
        <f t="shared" si="46"/>
        <v>0.95748031496062969</v>
      </c>
      <c r="O236" s="15">
        <f t="shared" si="47"/>
        <v>6.2440504405806951E-2</v>
      </c>
      <c r="P236" s="18">
        <f>IF(SUMIFS('Daily NSE Equity Futures'!$J:$J,'Daily NSE Equity Futures'!$A:$A,$A236)=0,"",SUMIFS('Daily NSE Equity Futures'!$J:$J,'Daily NSE Equity Futures'!$A:$A,$A236))</f>
        <v>1120487</v>
      </c>
      <c r="Q236" s="7">
        <f>IF(SUMIFS('Daily BSE Equity Futures'!$J:$J,'Daily BSE Equity Futures'!$A:$A,$A236)=0,"",SUMIFS('Daily BSE Equity Futures'!$J:$J,'Daily BSE Equity Futures'!$A:$A,$A236))</f>
        <v>105</v>
      </c>
      <c r="R236" s="7">
        <f t="shared" si="42"/>
        <v>1120592</v>
      </c>
      <c r="S236" s="19">
        <f t="shared" si="43"/>
        <v>0.99990629952739263</v>
      </c>
      <c r="T236" s="19">
        <f t="shared" si="44"/>
        <v>9.370047260733612E-5</v>
      </c>
    </row>
    <row r="237" spans="1:20" x14ac:dyDescent="0.2">
      <c r="A237" s="9">
        <v>44265</v>
      </c>
      <c r="B237" s="4" t="s">
        <v>221</v>
      </c>
      <c r="C237" s="8">
        <v>44256</v>
      </c>
      <c r="D237" s="4" t="s">
        <v>176</v>
      </c>
      <c r="E237" s="14">
        <f>IF(SUMIFS('Daily NSE Equity Futures'!$I:$I,'Daily NSE Equity Futures'!$A:$A,$A237)=0,"",SUMIFS('Daily NSE Equity Futures'!$I:$I,'Daily NSE Equity Futures'!$A:$A,$A237))</f>
        <v>791.05679999999995</v>
      </c>
      <c r="F237" s="6">
        <f>IF(SUMIFS('Daily BSE Equity Futures'!$I:$I,'Daily BSE Equity Futures'!$A:$A,$A237)=0,"",SUMIFS('Daily BSE Equity Futures'!$I:$I,'Daily BSE Equity Futures'!$A:$A,$A237))</f>
        <v>8.9399999999999993E-2</v>
      </c>
      <c r="G237" s="6">
        <f t="shared" si="36"/>
        <v>791.14619999999991</v>
      </c>
      <c r="H237" s="15">
        <f t="shared" si="37"/>
        <v>0.9998869993940438</v>
      </c>
      <c r="I237" s="15">
        <f t="shared" si="38"/>
        <v>1.1300060595626953E-4</v>
      </c>
      <c r="J237" s="20" t="str">
        <f t="shared" si="39"/>
        <v/>
      </c>
      <c r="K237" s="15" t="str">
        <f t="shared" si="40"/>
        <v/>
      </c>
      <c r="L237" s="15" t="str">
        <f t="shared" si="41"/>
        <v/>
      </c>
      <c r="M237" s="15">
        <f t="shared" si="45"/>
        <v>-0.25641780039926843</v>
      </c>
      <c r="N237" s="15">
        <f t="shared" si="46"/>
        <v>-0.28077232502011262</v>
      </c>
      <c r="O237" s="15">
        <f t="shared" si="47"/>
        <v>-0.25642064565536205</v>
      </c>
      <c r="P237" s="18">
        <f>IF(SUMIFS('Daily NSE Equity Futures'!$J:$J,'Daily NSE Equity Futures'!$A:$A,$A237)=0,"",SUMIFS('Daily NSE Equity Futures'!$J:$J,'Daily NSE Equity Futures'!$A:$A,$A237))</f>
        <v>821573</v>
      </c>
      <c r="Q237" s="7">
        <f>IF(SUMIFS('Daily BSE Equity Futures'!$J:$J,'Daily BSE Equity Futures'!$A:$A,$A237)=0,"",SUMIFS('Daily BSE Equity Futures'!$J:$J,'Daily BSE Equity Futures'!$A:$A,$A237))</f>
        <v>75</v>
      </c>
      <c r="R237" s="7">
        <f t="shared" si="42"/>
        <v>821648</v>
      </c>
      <c r="S237" s="19">
        <f t="shared" si="43"/>
        <v>0.99990872003583042</v>
      </c>
      <c r="T237" s="19">
        <f t="shared" si="44"/>
        <v>9.1279964169571403E-5</v>
      </c>
    </row>
    <row r="238" spans="1:20" x14ac:dyDescent="0.2">
      <c r="A238" s="9">
        <v>44267</v>
      </c>
      <c r="B238" s="4" t="s">
        <v>222</v>
      </c>
      <c r="C238" s="8">
        <v>44256</v>
      </c>
      <c r="D238" s="4" t="s">
        <v>176</v>
      </c>
      <c r="E238" s="14">
        <f>IF(SUMIFS('Daily NSE Equity Futures'!$I:$I,'Daily NSE Equity Futures'!$A:$A,$A238)=0,"",SUMIFS('Daily NSE Equity Futures'!$I:$I,'Daily NSE Equity Futures'!$A:$A,$A238))</f>
        <v>1139.6036999999999</v>
      </c>
      <c r="F238" s="6">
        <f>IF(SUMIFS('Daily BSE Equity Futures'!$I:$I,'Daily BSE Equity Futures'!$A:$A,$A238)=0,"",SUMIFS('Daily BSE Equity Futures'!$I:$I,'Daily BSE Equity Futures'!$A:$A,$A238))</f>
        <v>0.13450000000000001</v>
      </c>
      <c r="G238" s="6">
        <f t="shared" si="36"/>
        <v>1139.7381999999998</v>
      </c>
      <c r="H238" s="15">
        <f t="shared" si="37"/>
        <v>0.99988199044306847</v>
      </c>
      <c r="I238" s="15">
        <f t="shared" si="38"/>
        <v>1.1800955693158309E-4</v>
      </c>
      <c r="J238" s="20" t="str">
        <f t="shared" si="39"/>
        <v/>
      </c>
      <c r="K238" s="15" t="str">
        <f t="shared" si="40"/>
        <v/>
      </c>
      <c r="L238" s="15" t="str">
        <f t="shared" si="41"/>
        <v/>
      </c>
      <c r="M238" s="15">
        <f t="shared" si="45"/>
        <v>0.4406091951930633</v>
      </c>
      <c r="N238" s="15">
        <f t="shared" si="46"/>
        <v>0.50447427293064906</v>
      </c>
      <c r="O238" s="15">
        <f t="shared" si="47"/>
        <v>0.44061641198554691</v>
      </c>
      <c r="P238" s="18">
        <f>IF(SUMIFS('Daily NSE Equity Futures'!$J:$J,'Daily NSE Equity Futures'!$A:$A,$A238)=0,"",SUMIFS('Daily NSE Equity Futures'!$J:$J,'Daily NSE Equity Futures'!$A:$A,$A238))</f>
        <v>1177274</v>
      </c>
      <c r="Q238" s="7">
        <f>IF(SUMIFS('Daily BSE Equity Futures'!$J:$J,'Daily BSE Equity Futures'!$A:$A,$A238)=0,"",SUMIFS('Daily BSE Equity Futures'!$J:$J,'Daily BSE Equity Futures'!$A:$A,$A238))</f>
        <v>113</v>
      </c>
      <c r="R238" s="7">
        <f t="shared" si="42"/>
        <v>1177387</v>
      </c>
      <c r="S238" s="19">
        <f t="shared" si="43"/>
        <v>0.99990402475991325</v>
      </c>
      <c r="T238" s="19">
        <f t="shared" si="44"/>
        <v>9.5975240086734444E-5</v>
      </c>
    </row>
    <row r="239" spans="1:20" x14ac:dyDescent="0.2">
      <c r="A239" s="9">
        <v>44270</v>
      </c>
      <c r="B239" s="4" t="s">
        <v>225</v>
      </c>
      <c r="C239" s="8">
        <v>44256</v>
      </c>
      <c r="D239" s="4" t="s">
        <v>176</v>
      </c>
      <c r="E239" s="14">
        <f>IF(SUMIFS('Daily NSE Equity Futures'!$I:$I,'Daily NSE Equity Futures'!$A:$A,$A239)=0,"",SUMIFS('Daily NSE Equity Futures'!$I:$I,'Daily NSE Equity Futures'!$A:$A,$A239))</f>
        <v>1028.3389</v>
      </c>
      <c r="F239" s="6">
        <f>IF(SUMIFS('Daily BSE Equity Futures'!$I:$I,'Daily BSE Equity Futures'!$A:$A,$A239)=0,"",SUMIFS('Daily BSE Equity Futures'!$I:$I,'Daily BSE Equity Futures'!$A:$A,$A239))</f>
        <v>9.35E-2</v>
      </c>
      <c r="G239" s="6">
        <f t="shared" si="36"/>
        <v>1028.4323999999999</v>
      </c>
      <c r="H239" s="15">
        <f t="shared" si="37"/>
        <v>0.99990908493353581</v>
      </c>
      <c r="I239" s="15">
        <f t="shared" si="38"/>
        <v>9.0915066464261537E-5</v>
      </c>
      <c r="J239" s="20" t="str">
        <f t="shared" si="39"/>
        <v/>
      </c>
      <c r="K239" s="15" t="str">
        <f t="shared" si="40"/>
        <v/>
      </c>
      <c r="L239" s="15" t="str">
        <f t="shared" si="41"/>
        <v/>
      </c>
      <c r="M239" s="15">
        <f t="shared" si="45"/>
        <v>-9.7634642639366609E-2</v>
      </c>
      <c r="N239" s="15">
        <f t="shared" si="46"/>
        <v>-0.30483271375464693</v>
      </c>
      <c r="O239" s="15">
        <f t="shared" si="47"/>
        <v>-9.7659093991935952E-2</v>
      </c>
      <c r="P239" s="18">
        <f>IF(SUMIFS('Daily NSE Equity Futures'!$J:$J,'Daily NSE Equity Futures'!$A:$A,$A239)=0,"",SUMIFS('Daily NSE Equity Futures'!$J:$J,'Daily NSE Equity Futures'!$A:$A,$A239))</f>
        <v>1088333</v>
      </c>
      <c r="Q239" s="7">
        <f>IF(SUMIFS('Daily BSE Equity Futures'!$J:$J,'Daily BSE Equity Futures'!$A:$A,$A239)=0,"",SUMIFS('Daily BSE Equity Futures'!$J:$J,'Daily BSE Equity Futures'!$A:$A,$A239))</f>
        <v>80</v>
      </c>
      <c r="R239" s="7">
        <f t="shared" si="42"/>
        <v>1088413</v>
      </c>
      <c r="S239" s="19">
        <f t="shared" si="43"/>
        <v>0.99992649848908455</v>
      </c>
      <c r="T239" s="19">
        <f t="shared" si="44"/>
        <v>7.3501510915433753E-5</v>
      </c>
    </row>
    <row r="240" spans="1:20" x14ac:dyDescent="0.2">
      <c r="A240" s="9">
        <v>44271</v>
      </c>
      <c r="B240" s="4" t="s">
        <v>223</v>
      </c>
      <c r="C240" s="8">
        <v>44256</v>
      </c>
      <c r="D240" s="4" t="s">
        <v>176</v>
      </c>
      <c r="E240" s="14">
        <f>IF(SUMIFS('Daily NSE Equity Futures'!$I:$I,'Daily NSE Equity Futures'!$A:$A,$A240)=0,"",SUMIFS('Daily NSE Equity Futures'!$I:$I,'Daily NSE Equity Futures'!$A:$A,$A240))</f>
        <v>925.43309999999997</v>
      </c>
      <c r="F240" s="6">
        <f>IF(SUMIFS('Daily BSE Equity Futures'!$I:$I,'Daily BSE Equity Futures'!$A:$A,$A240)=0,"",SUMIFS('Daily BSE Equity Futures'!$I:$I,'Daily BSE Equity Futures'!$A:$A,$A240))</f>
        <v>2.7099999999999999E-2</v>
      </c>
      <c r="G240" s="6">
        <f t="shared" si="36"/>
        <v>925.46019999999999</v>
      </c>
      <c r="H240" s="15">
        <f t="shared" si="37"/>
        <v>0.99997071727125597</v>
      </c>
      <c r="I240" s="15">
        <f t="shared" si="38"/>
        <v>2.9282728744034588E-5</v>
      </c>
      <c r="J240" s="20" t="str">
        <f t="shared" si="39"/>
        <v/>
      </c>
      <c r="K240" s="15" t="str">
        <f t="shared" si="40"/>
        <v/>
      </c>
      <c r="L240" s="15" t="str">
        <f t="shared" si="41"/>
        <v/>
      </c>
      <c r="M240" s="15">
        <f t="shared" si="45"/>
        <v>-0.10006992830865391</v>
      </c>
      <c r="N240" s="15">
        <f t="shared" si="46"/>
        <v>-0.71016042780748667</v>
      </c>
      <c r="O240" s="15">
        <f t="shared" si="47"/>
        <v>-0.10012539472696502</v>
      </c>
      <c r="P240" s="18">
        <f>IF(SUMIFS('Daily NSE Equity Futures'!$J:$J,'Daily NSE Equity Futures'!$A:$A,$A240)=0,"",SUMIFS('Daily NSE Equity Futures'!$J:$J,'Daily NSE Equity Futures'!$A:$A,$A240))</f>
        <v>977466</v>
      </c>
      <c r="Q240" s="7">
        <f>IF(SUMIFS('Daily BSE Equity Futures'!$J:$J,'Daily BSE Equity Futures'!$A:$A,$A240)=0,"",SUMIFS('Daily BSE Equity Futures'!$J:$J,'Daily BSE Equity Futures'!$A:$A,$A240))</f>
        <v>23</v>
      </c>
      <c r="R240" s="7">
        <f t="shared" si="42"/>
        <v>977489</v>
      </c>
      <c r="S240" s="19">
        <f t="shared" si="43"/>
        <v>0.99997647032345116</v>
      </c>
      <c r="T240" s="19">
        <f t="shared" si="44"/>
        <v>2.3529676548789808E-5</v>
      </c>
    </row>
    <row r="241" spans="1:20" x14ac:dyDescent="0.2">
      <c r="A241" s="9">
        <v>44272</v>
      </c>
      <c r="B241" s="4" t="s">
        <v>221</v>
      </c>
      <c r="C241" s="8">
        <v>44256</v>
      </c>
      <c r="D241" s="4" t="s">
        <v>176</v>
      </c>
      <c r="E241" s="14">
        <f>IF(SUMIFS('Daily NSE Equity Futures'!$I:$I,'Daily NSE Equity Futures'!$A:$A,$A241)=0,"",SUMIFS('Daily NSE Equity Futures'!$I:$I,'Daily NSE Equity Futures'!$A:$A,$A241))</f>
        <v>989.1979</v>
      </c>
      <c r="F241" s="6">
        <f>IF(SUMIFS('Daily BSE Equity Futures'!$I:$I,'Daily BSE Equity Futures'!$A:$A,$A241)=0,"",SUMIFS('Daily BSE Equity Futures'!$I:$I,'Daily BSE Equity Futures'!$A:$A,$A241))</f>
        <v>4.0800000000000003E-2</v>
      </c>
      <c r="G241" s="6">
        <f t="shared" si="36"/>
        <v>989.23869999999999</v>
      </c>
      <c r="H241" s="15">
        <f t="shared" si="37"/>
        <v>0.99995875616269358</v>
      </c>
      <c r="I241" s="15">
        <f t="shared" si="38"/>
        <v>4.1243837306405421E-5</v>
      </c>
      <c r="J241" s="20" t="str">
        <f t="shared" si="39"/>
        <v/>
      </c>
      <c r="K241" s="15" t="str">
        <f t="shared" si="40"/>
        <v/>
      </c>
      <c r="L241" s="15" t="str">
        <f t="shared" si="41"/>
        <v/>
      </c>
      <c r="M241" s="15">
        <f t="shared" si="45"/>
        <v>6.8902657577300852E-2</v>
      </c>
      <c r="N241" s="15">
        <f t="shared" si="46"/>
        <v>0.50553505535055376</v>
      </c>
      <c r="O241" s="15">
        <f t="shared" si="47"/>
        <v>6.8915443365365592E-2</v>
      </c>
      <c r="P241" s="18">
        <f>IF(SUMIFS('Daily NSE Equity Futures'!$J:$J,'Daily NSE Equity Futures'!$A:$A,$A241)=0,"",SUMIFS('Daily NSE Equity Futures'!$J:$J,'Daily NSE Equity Futures'!$A:$A,$A241))</f>
        <v>1072922</v>
      </c>
      <c r="Q241" s="7">
        <f>IF(SUMIFS('Daily BSE Equity Futures'!$J:$J,'Daily BSE Equity Futures'!$A:$A,$A241)=0,"",SUMIFS('Daily BSE Equity Futures'!$J:$J,'Daily BSE Equity Futures'!$A:$A,$A241))</f>
        <v>35</v>
      </c>
      <c r="R241" s="7">
        <f t="shared" si="42"/>
        <v>1072957</v>
      </c>
      <c r="S241" s="19">
        <f t="shared" si="43"/>
        <v>0.99996737986704032</v>
      </c>
      <c r="T241" s="19">
        <f t="shared" si="44"/>
        <v>3.2620132959661946E-5</v>
      </c>
    </row>
    <row r="242" spans="1:20" x14ac:dyDescent="0.2">
      <c r="A242" s="9">
        <v>44273</v>
      </c>
      <c r="B242" s="4" t="s">
        <v>224</v>
      </c>
      <c r="C242" s="8">
        <v>44256</v>
      </c>
      <c r="D242" s="4" t="s">
        <v>176</v>
      </c>
      <c r="E242" s="14">
        <f>IF(SUMIFS('Daily NSE Equity Futures'!$I:$I,'Daily NSE Equity Futures'!$A:$A,$A242)=0,"",SUMIFS('Daily NSE Equity Futures'!$I:$I,'Daily NSE Equity Futures'!$A:$A,$A242))</f>
        <v>1236.4438</v>
      </c>
      <c r="F242" s="6">
        <f>IF(SUMIFS('Daily BSE Equity Futures'!$I:$I,'Daily BSE Equity Futures'!$A:$A,$A242)=0,"",SUMIFS('Daily BSE Equity Futures'!$I:$I,'Daily BSE Equity Futures'!$A:$A,$A242))</f>
        <v>0.1046</v>
      </c>
      <c r="G242" s="6">
        <f t="shared" si="36"/>
        <v>1236.5483999999999</v>
      </c>
      <c r="H242" s="15">
        <f t="shared" si="37"/>
        <v>0.99991540970009751</v>
      </c>
      <c r="I242" s="15">
        <f t="shared" si="38"/>
        <v>8.4590299902535153E-5</v>
      </c>
      <c r="J242" s="20" t="str">
        <f t="shared" si="39"/>
        <v/>
      </c>
      <c r="K242" s="15" t="str">
        <f t="shared" si="40"/>
        <v/>
      </c>
      <c r="L242" s="15" t="str">
        <f t="shared" si="41"/>
        <v/>
      </c>
      <c r="M242" s="15">
        <f t="shared" si="45"/>
        <v>0.24994583995780828</v>
      </c>
      <c r="N242" s="15">
        <f t="shared" si="46"/>
        <v>1.5637254901960782</v>
      </c>
      <c r="O242" s="15">
        <f t="shared" si="47"/>
        <v>0.25000002527195897</v>
      </c>
      <c r="P242" s="18">
        <f>IF(SUMIFS('Daily NSE Equity Futures'!$J:$J,'Daily NSE Equity Futures'!$A:$A,$A242)=0,"",SUMIFS('Daily NSE Equity Futures'!$J:$J,'Daily NSE Equity Futures'!$A:$A,$A242))</f>
        <v>1340403</v>
      </c>
      <c r="Q242" s="7">
        <f>IF(SUMIFS('Daily BSE Equity Futures'!$J:$J,'Daily BSE Equity Futures'!$A:$A,$A242)=0,"",SUMIFS('Daily BSE Equity Futures'!$J:$J,'Daily BSE Equity Futures'!$A:$A,$A242))</f>
        <v>91</v>
      </c>
      <c r="R242" s="7">
        <f t="shared" si="42"/>
        <v>1340494</v>
      </c>
      <c r="S242" s="19">
        <f t="shared" si="43"/>
        <v>0.99993211457865538</v>
      </c>
      <c r="T242" s="19">
        <f t="shared" si="44"/>
        <v>6.7885421344668456E-5</v>
      </c>
    </row>
    <row r="243" spans="1:20" x14ac:dyDescent="0.2">
      <c r="A243" s="9">
        <v>44274</v>
      </c>
      <c r="B243" s="4" t="s">
        <v>222</v>
      </c>
      <c r="C243" s="8">
        <v>44256</v>
      </c>
      <c r="D243" s="4" t="s">
        <v>176</v>
      </c>
      <c r="E243" s="14">
        <f>IF(SUMIFS('Daily NSE Equity Futures'!$I:$I,'Daily NSE Equity Futures'!$A:$A,$A243)=0,"",SUMIFS('Daily NSE Equity Futures'!$I:$I,'Daily NSE Equity Futures'!$A:$A,$A243))</f>
        <v>1546.0428999999999</v>
      </c>
      <c r="F243" s="6">
        <f>IF(SUMIFS('Daily BSE Equity Futures'!$I:$I,'Daily BSE Equity Futures'!$A:$A,$A243)=0,"",SUMIFS('Daily BSE Equity Futures'!$I:$I,'Daily BSE Equity Futures'!$A:$A,$A243))</f>
        <v>2.1700000000000001E-2</v>
      </c>
      <c r="G243" s="6">
        <f t="shared" si="36"/>
        <v>1546.0645999999999</v>
      </c>
      <c r="H243" s="15">
        <f t="shared" si="37"/>
        <v>0.99998596436397291</v>
      </c>
      <c r="I243" s="15">
        <f t="shared" si="38"/>
        <v>1.4035636027110382E-5</v>
      </c>
      <c r="J243" s="20" t="str">
        <f t="shared" si="39"/>
        <v/>
      </c>
      <c r="K243" s="15" t="str">
        <f t="shared" si="40"/>
        <v/>
      </c>
      <c r="L243" s="15" t="str">
        <f t="shared" si="41"/>
        <v/>
      </c>
      <c r="M243" s="15">
        <f t="shared" si="45"/>
        <v>0.25039480160764271</v>
      </c>
      <c r="N243" s="15">
        <f t="shared" si="46"/>
        <v>-0.79254302103250474</v>
      </c>
      <c r="O243" s="15">
        <f t="shared" si="47"/>
        <v>0.2503065791844461</v>
      </c>
      <c r="P243" s="18">
        <f>IF(SUMIFS('Daily NSE Equity Futures'!$J:$J,'Daily NSE Equity Futures'!$A:$A,$A243)=0,"",SUMIFS('Daily NSE Equity Futures'!$J:$J,'Daily NSE Equity Futures'!$A:$A,$A243))</f>
        <v>1697985</v>
      </c>
      <c r="Q243" s="7">
        <f>IF(SUMIFS('Daily BSE Equity Futures'!$J:$J,'Daily BSE Equity Futures'!$A:$A,$A243)=0,"",SUMIFS('Daily BSE Equity Futures'!$J:$J,'Daily BSE Equity Futures'!$A:$A,$A243))</f>
        <v>19</v>
      </c>
      <c r="R243" s="7">
        <f t="shared" si="42"/>
        <v>1698004</v>
      </c>
      <c r="S243" s="19">
        <f t="shared" si="43"/>
        <v>0.99998881039149501</v>
      </c>
      <c r="T243" s="19">
        <f t="shared" si="44"/>
        <v>1.1189608505044747E-5</v>
      </c>
    </row>
    <row r="244" spans="1:20" x14ac:dyDescent="0.2">
      <c r="A244" s="9">
        <v>44277</v>
      </c>
      <c r="B244" s="4" t="s">
        <v>225</v>
      </c>
      <c r="C244" s="8">
        <v>44256</v>
      </c>
      <c r="D244" s="4" t="s">
        <v>176</v>
      </c>
      <c r="E244" s="14">
        <f>IF(SUMIFS('Daily NSE Equity Futures'!$I:$I,'Daily NSE Equity Futures'!$A:$A,$A244)=0,"",SUMIFS('Daily NSE Equity Futures'!$I:$I,'Daily NSE Equity Futures'!$A:$A,$A244))</f>
        <v>1650.3901000000001</v>
      </c>
      <c r="F244" s="6">
        <f>IF(SUMIFS('Daily BSE Equity Futures'!$I:$I,'Daily BSE Equity Futures'!$A:$A,$A244)=0,"",SUMIFS('Daily BSE Equity Futures'!$I:$I,'Daily BSE Equity Futures'!$A:$A,$A244))</f>
        <v>1.7299999999999999E-2</v>
      </c>
      <c r="G244" s="6">
        <f t="shared" si="36"/>
        <v>1650.4074000000001</v>
      </c>
      <c r="H244" s="15">
        <f t="shared" si="37"/>
        <v>0.99998951773968048</v>
      </c>
      <c r="I244" s="15">
        <f t="shared" si="38"/>
        <v>1.0482260319482329E-5</v>
      </c>
      <c r="J244" s="20" t="str">
        <f t="shared" si="39"/>
        <v/>
      </c>
      <c r="K244" s="15" t="str">
        <f t="shared" si="40"/>
        <v/>
      </c>
      <c r="L244" s="15" t="str">
        <f t="shared" si="41"/>
        <v/>
      </c>
      <c r="M244" s="15">
        <f t="shared" si="45"/>
        <v>6.7493081854326453E-2</v>
      </c>
      <c r="N244" s="15">
        <f t="shared" si="46"/>
        <v>-0.20276497695852536</v>
      </c>
      <c r="O244" s="15">
        <f t="shared" si="47"/>
        <v>6.7489288610579568E-2</v>
      </c>
      <c r="P244" s="18">
        <f>IF(SUMIFS('Daily NSE Equity Futures'!$J:$J,'Daily NSE Equity Futures'!$A:$A,$A244)=0,"",SUMIFS('Daily NSE Equity Futures'!$J:$J,'Daily NSE Equity Futures'!$A:$A,$A244))</f>
        <v>1785310</v>
      </c>
      <c r="Q244" s="7">
        <f>IF(SUMIFS('Daily BSE Equity Futures'!$J:$J,'Daily BSE Equity Futures'!$A:$A,$A244)=0,"",SUMIFS('Daily BSE Equity Futures'!$J:$J,'Daily BSE Equity Futures'!$A:$A,$A244))</f>
        <v>15</v>
      </c>
      <c r="R244" s="7">
        <f t="shared" si="42"/>
        <v>1785325</v>
      </c>
      <c r="S244" s="19">
        <f t="shared" si="43"/>
        <v>0.99999159816840066</v>
      </c>
      <c r="T244" s="19">
        <f t="shared" si="44"/>
        <v>8.4018315992886457E-6</v>
      </c>
    </row>
    <row r="245" spans="1:20" x14ac:dyDescent="0.2">
      <c r="A245" s="9">
        <v>44278</v>
      </c>
      <c r="B245" s="4" t="s">
        <v>223</v>
      </c>
      <c r="C245" s="8">
        <v>44256</v>
      </c>
      <c r="D245" s="4" t="s">
        <v>176</v>
      </c>
      <c r="E245" s="14">
        <f>IF(SUMIFS('Daily NSE Equity Futures'!$I:$I,'Daily NSE Equity Futures'!$A:$A,$A245)=0,"",SUMIFS('Daily NSE Equity Futures'!$I:$I,'Daily NSE Equity Futures'!$A:$A,$A245))</f>
        <v>1892.6521</v>
      </c>
      <c r="F245" s="6">
        <f>IF(SUMIFS('Daily BSE Equity Futures'!$I:$I,'Daily BSE Equity Futures'!$A:$A,$A245)=0,"",SUMIFS('Daily BSE Equity Futures'!$I:$I,'Daily BSE Equity Futures'!$A:$A,$A245))</f>
        <v>2.7900000000000001E-2</v>
      </c>
      <c r="G245" s="6">
        <f t="shared" si="36"/>
        <v>1892.68</v>
      </c>
      <c r="H245" s="15">
        <f t="shared" si="37"/>
        <v>0.9999852589978232</v>
      </c>
      <c r="I245" s="15">
        <f t="shared" si="38"/>
        <v>1.4741002176807489E-5</v>
      </c>
      <c r="J245" s="20" t="str">
        <f t="shared" si="39"/>
        <v/>
      </c>
      <c r="K245" s="15" t="str">
        <f t="shared" si="40"/>
        <v/>
      </c>
      <c r="L245" s="15" t="str">
        <f t="shared" si="41"/>
        <v/>
      </c>
      <c r="M245" s="15">
        <f t="shared" si="45"/>
        <v>0.14679074965367267</v>
      </c>
      <c r="N245" s="15">
        <f t="shared" si="46"/>
        <v>0.61271676300578037</v>
      </c>
      <c r="O245" s="15">
        <f t="shared" si="47"/>
        <v>0.14679563361143444</v>
      </c>
      <c r="P245" s="18">
        <f>IF(SUMIFS('Daily NSE Equity Futures'!$J:$J,'Daily NSE Equity Futures'!$A:$A,$A245)=0,"",SUMIFS('Daily NSE Equity Futures'!$J:$J,'Daily NSE Equity Futures'!$A:$A,$A245))</f>
        <v>2050392</v>
      </c>
      <c r="Q245" s="7">
        <f>IF(SUMIFS('Daily BSE Equity Futures'!$J:$J,'Daily BSE Equity Futures'!$A:$A,$A245)=0,"",SUMIFS('Daily BSE Equity Futures'!$J:$J,'Daily BSE Equity Futures'!$A:$A,$A245))</f>
        <v>24</v>
      </c>
      <c r="R245" s="7">
        <f t="shared" si="42"/>
        <v>2050416</v>
      </c>
      <c r="S245" s="19">
        <f t="shared" si="43"/>
        <v>0.99998829505817355</v>
      </c>
      <c r="T245" s="19">
        <f t="shared" si="44"/>
        <v>1.1704941826439122E-5</v>
      </c>
    </row>
    <row r="246" spans="1:20" x14ac:dyDescent="0.2">
      <c r="A246" s="9">
        <v>44279</v>
      </c>
      <c r="B246" s="4" t="s">
        <v>221</v>
      </c>
      <c r="C246" s="8">
        <v>44256</v>
      </c>
      <c r="D246" s="4" t="s">
        <v>176</v>
      </c>
      <c r="E246" s="14">
        <f>IF(SUMIFS('Daily NSE Equity Futures'!$I:$I,'Daily NSE Equity Futures'!$A:$A,$A246)=0,"",SUMIFS('Daily NSE Equity Futures'!$I:$I,'Daily NSE Equity Futures'!$A:$A,$A246))</f>
        <v>1712.1790000000001</v>
      </c>
      <c r="F246" s="6">
        <f>IF(SUMIFS('Daily BSE Equity Futures'!$I:$I,'Daily BSE Equity Futures'!$A:$A,$A246)=0,"",SUMIFS('Daily BSE Equity Futures'!$I:$I,'Daily BSE Equity Futures'!$A:$A,$A246))</f>
        <v>5.5100000000000003E-2</v>
      </c>
      <c r="G246" s="6">
        <f t="shared" si="36"/>
        <v>1712.2341000000001</v>
      </c>
      <c r="H246" s="15">
        <f t="shared" si="37"/>
        <v>0.99996781982089944</v>
      </c>
      <c r="I246" s="15">
        <f t="shared" si="38"/>
        <v>3.2180179100509678E-5</v>
      </c>
      <c r="J246" s="20" t="str">
        <f t="shared" si="39"/>
        <v/>
      </c>
      <c r="K246" s="15" t="str">
        <f t="shared" si="40"/>
        <v/>
      </c>
      <c r="L246" s="15" t="str">
        <f t="shared" si="41"/>
        <v/>
      </c>
      <c r="M246" s="15">
        <f t="shared" si="45"/>
        <v>-9.5354608488268933E-2</v>
      </c>
      <c r="N246" s="15">
        <f t="shared" si="46"/>
        <v>0.97491039426523307</v>
      </c>
      <c r="O246" s="15">
        <f t="shared" si="47"/>
        <v>-9.53388317095335E-2</v>
      </c>
      <c r="P246" s="18">
        <f>IF(SUMIFS('Daily NSE Equity Futures'!$J:$J,'Daily NSE Equity Futures'!$A:$A,$A246)=0,"",SUMIFS('Daily NSE Equity Futures'!$J:$J,'Daily NSE Equity Futures'!$A:$A,$A246))</f>
        <v>1866792</v>
      </c>
      <c r="Q246" s="7">
        <f>IF(SUMIFS('Daily BSE Equity Futures'!$J:$J,'Daily BSE Equity Futures'!$A:$A,$A246)=0,"",SUMIFS('Daily BSE Equity Futures'!$J:$J,'Daily BSE Equity Futures'!$A:$A,$A246))</f>
        <v>48</v>
      </c>
      <c r="R246" s="7">
        <f t="shared" si="42"/>
        <v>1866840</v>
      </c>
      <c r="S246" s="19">
        <f t="shared" si="43"/>
        <v>0.9999742881018191</v>
      </c>
      <c r="T246" s="19">
        <f t="shared" si="44"/>
        <v>2.5711898180883203E-5</v>
      </c>
    </row>
    <row r="247" spans="1:20" x14ac:dyDescent="0.2">
      <c r="A247" s="9">
        <v>44280</v>
      </c>
      <c r="B247" s="4" t="s">
        <v>224</v>
      </c>
      <c r="C247" s="8">
        <v>44256</v>
      </c>
      <c r="D247" s="4" t="s">
        <v>176</v>
      </c>
      <c r="E247" s="14">
        <f>IF(SUMIFS('Daily NSE Equity Futures'!$I:$I,'Daily NSE Equity Futures'!$A:$A,$A247)=0,"",SUMIFS('Daily NSE Equity Futures'!$I:$I,'Daily NSE Equity Futures'!$A:$A,$A247))</f>
        <v>2122.4848999999999</v>
      </c>
      <c r="F247" s="6">
        <f>IF(SUMIFS('Daily BSE Equity Futures'!$I:$I,'Daily BSE Equity Futures'!$A:$A,$A247)=0,"",SUMIFS('Daily BSE Equity Futures'!$I:$I,'Daily BSE Equity Futures'!$A:$A,$A247))</f>
        <v>0.2046</v>
      </c>
      <c r="G247" s="6">
        <f t="shared" si="36"/>
        <v>2122.6895</v>
      </c>
      <c r="H247" s="15">
        <f t="shared" si="37"/>
        <v>0.99990361284587315</v>
      </c>
      <c r="I247" s="15">
        <f t="shared" si="38"/>
        <v>9.6387154126875363E-5</v>
      </c>
      <c r="J247" s="20" t="str">
        <f t="shared" si="39"/>
        <v/>
      </c>
      <c r="K247" s="15" t="str">
        <f t="shared" si="40"/>
        <v/>
      </c>
      <c r="L247" s="15" t="str">
        <f t="shared" si="41"/>
        <v/>
      </c>
      <c r="M247" s="15">
        <f t="shared" si="45"/>
        <v>0.23963960543844998</v>
      </c>
      <c r="N247" s="15">
        <f t="shared" si="46"/>
        <v>2.7132486388384756</v>
      </c>
      <c r="O247" s="15">
        <f t="shared" si="47"/>
        <v>0.23971920662016943</v>
      </c>
      <c r="P247" s="18">
        <f>IF(SUMIFS('Daily NSE Equity Futures'!$J:$J,'Daily NSE Equity Futures'!$A:$A,$A247)=0,"",SUMIFS('Daily NSE Equity Futures'!$J:$J,'Daily NSE Equity Futures'!$A:$A,$A247))</f>
        <v>2382121</v>
      </c>
      <c r="Q247" s="7">
        <f>IF(SUMIFS('Daily BSE Equity Futures'!$J:$J,'Daily BSE Equity Futures'!$A:$A,$A247)=0,"",SUMIFS('Daily BSE Equity Futures'!$J:$J,'Daily BSE Equity Futures'!$A:$A,$A247))</f>
        <v>180</v>
      </c>
      <c r="R247" s="7">
        <f t="shared" si="42"/>
        <v>2382301</v>
      </c>
      <c r="S247" s="19">
        <f t="shared" si="43"/>
        <v>0.9999244427971109</v>
      </c>
      <c r="T247" s="19">
        <f t="shared" si="44"/>
        <v>7.5557202889139539E-5</v>
      </c>
    </row>
    <row r="248" spans="1:20" x14ac:dyDescent="0.2">
      <c r="A248" s="9">
        <v>44281</v>
      </c>
      <c r="B248" s="4" t="s">
        <v>222</v>
      </c>
      <c r="C248" s="8">
        <v>44256</v>
      </c>
      <c r="D248" s="4" t="s">
        <v>176</v>
      </c>
      <c r="E248" s="14">
        <f>IF(SUMIFS('Daily NSE Equity Futures'!$I:$I,'Daily NSE Equity Futures'!$A:$A,$A248)=0,"",SUMIFS('Daily NSE Equity Futures'!$I:$I,'Daily NSE Equity Futures'!$A:$A,$A248))</f>
        <v>911.55029999999999</v>
      </c>
      <c r="F248" s="6">
        <f>IF(SUMIFS('Daily BSE Equity Futures'!$I:$I,'Daily BSE Equity Futures'!$A:$A,$A248)=0,"",SUMIFS('Daily BSE Equity Futures'!$I:$I,'Daily BSE Equity Futures'!$A:$A,$A248))</f>
        <v>5.16E-2</v>
      </c>
      <c r="G248" s="6">
        <f t="shared" si="36"/>
        <v>911.6019</v>
      </c>
      <c r="H248" s="15">
        <f t="shared" si="37"/>
        <v>0.99994339634439111</v>
      </c>
      <c r="I248" s="15">
        <f t="shared" si="38"/>
        <v>5.6603655608879272E-5</v>
      </c>
      <c r="J248" s="20" t="str">
        <f t="shared" si="39"/>
        <v/>
      </c>
      <c r="K248" s="15" t="str">
        <f t="shared" si="40"/>
        <v/>
      </c>
      <c r="L248" s="15" t="str">
        <f t="shared" si="41"/>
        <v/>
      </c>
      <c r="M248" s="15">
        <f t="shared" si="45"/>
        <v>-0.57052683861260922</v>
      </c>
      <c r="N248" s="15">
        <f t="shared" si="46"/>
        <v>-0.74780058651026393</v>
      </c>
      <c r="O248" s="15">
        <f t="shared" si="47"/>
        <v>-0.57054392552467048</v>
      </c>
      <c r="P248" s="18">
        <f>IF(SUMIFS('Daily NSE Equity Futures'!$J:$J,'Daily NSE Equity Futures'!$A:$A,$A248)=0,"",SUMIFS('Daily NSE Equity Futures'!$J:$J,'Daily NSE Equity Futures'!$A:$A,$A248))</f>
        <v>973015</v>
      </c>
      <c r="Q248" s="7">
        <f>IF(SUMIFS('Daily BSE Equity Futures'!$J:$J,'Daily BSE Equity Futures'!$A:$A,$A248)=0,"",SUMIFS('Daily BSE Equity Futures'!$J:$J,'Daily BSE Equity Futures'!$A:$A,$A248))</f>
        <v>45</v>
      </c>
      <c r="R248" s="7">
        <f t="shared" si="42"/>
        <v>973060</v>
      </c>
      <c r="S248" s="19">
        <f t="shared" si="43"/>
        <v>0.99995375413643561</v>
      </c>
      <c r="T248" s="19">
        <f t="shared" si="44"/>
        <v>4.6245863564425625E-5</v>
      </c>
    </row>
    <row r="249" spans="1:20" x14ac:dyDescent="0.2">
      <c r="A249" s="9">
        <v>44285</v>
      </c>
      <c r="B249" s="4" t="s">
        <v>223</v>
      </c>
      <c r="C249" s="8">
        <v>44256</v>
      </c>
      <c r="D249" s="4" t="s">
        <v>176</v>
      </c>
      <c r="E249" s="14">
        <f>IF(SUMIFS('Daily NSE Equity Futures'!$I:$I,'Daily NSE Equity Futures'!$A:$A,$A249)=0,"",SUMIFS('Daily NSE Equity Futures'!$I:$I,'Daily NSE Equity Futures'!$A:$A,$A249))</f>
        <v>953.65380000000005</v>
      </c>
      <c r="F249" s="6">
        <f>IF(SUMIFS('Daily BSE Equity Futures'!$I:$I,'Daily BSE Equity Futures'!$A:$A,$A249)=0,"",SUMIFS('Daily BSE Equity Futures'!$I:$I,'Daily BSE Equity Futures'!$A:$A,$A249))</f>
        <v>0.24299999999999999</v>
      </c>
      <c r="G249" s="6">
        <f t="shared" si="36"/>
        <v>953.8968000000001</v>
      </c>
      <c r="H249" s="15">
        <f t="shared" si="37"/>
        <v>0.99974525546159709</v>
      </c>
      <c r="I249" s="15">
        <f t="shared" si="38"/>
        <v>2.5474453840289638E-4</v>
      </c>
      <c r="J249" s="20" t="str">
        <f t="shared" si="39"/>
        <v/>
      </c>
      <c r="K249" s="15" t="str">
        <f t="shared" si="40"/>
        <v/>
      </c>
      <c r="L249" s="15" t="str">
        <f t="shared" si="41"/>
        <v/>
      </c>
      <c r="M249" s="15">
        <f t="shared" si="45"/>
        <v>4.6188893799936181E-2</v>
      </c>
      <c r="N249" s="15">
        <f t="shared" si="46"/>
        <v>3.7093023255813948</v>
      </c>
      <c r="O249" s="15">
        <f t="shared" si="47"/>
        <v>4.6396239411085061E-2</v>
      </c>
      <c r="P249" s="18">
        <f>IF(SUMIFS('Daily NSE Equity Futures'!$J:$J,'Daily NSE Equity Futures'!$A:$A,$A249)=0,"",SUMIFS('Daily NSE Equity Futures'!$J:$J,'Daily NSE Equity Futures'!$A:$A,$A249))</f>
        <v>1017234</v>
      </c>
      <c r="Q249" s="7">
        <f>IF(SUMIFS('Daily BSE Equity Futures'!$J:$J,'Daily BSE Equity Futures'!$A:$A,$A249)=0,"",SUMIFS('Daily BSE Equity Futures'!$J:$J,'Daily BSE Equity Futures'!$A:$A,$A249))</f>
        <v>209</v>
      </c>
      <c r="R249" s="7">
        <f t="shared" si="42"/>
        <v>1017443</v>
      </c>
      <c r="S249" s="19">
        <f t="shared" si="43"/>
        <v>0.99979458308720981</v>
      </c>
      <c r="T249" s="19">
        <f t="shared" si="44"/>
        <v>2.0541691279020053E-4</v>
      </c>
    </row>
    <row r="250" spans="1:20" x14ac:dyDescent="0.2">
      <c r="A250" s="9">
        <v>44286</v>
      </c>
      <c r="B250" s="4" t="s">
        <v>221</v>
      </c>
      <c r="C250" s="8">
        <v>44256</v>
      </c>
      <c r="D250" s="4" t="s">
        <v>176</v>
      </c>
      <c r="E250" s="14">
        <f>IF(SUMIFS('Daily NSE Equity Futures'!$I:$I,'Daily NSE Equity Futures'!$A:$A,$A250)=0,"",SUMIFS('Daily NSE Equity Futures'!$I:$I,'Daily NSE Equity Futures'!$A:$A,$A250))</f>
        <v>867.06719999999996</v>
      </c>
      <c r="F250" s="6">
        <f>IF(SUMIFS('Daily BSE Equity Futures'!$I:$I,'Daily BSE Equity Futures'!$A:$A,$A250)=0,"",SUMIFS('Daily BSE Equity Futures'!$I:$I,'Daily BSE Equity Futures'!$A:$A,$A250))</f>
        <v>0.1288</v>
      </c>
      <c r="G250" s="6">
        <f t="shared" si="36"/>
        <v>867.19599999999991</v>
      </c>
      <c r="H250" s="15">
        <f t="shared" si="37"/>
        <v>0.99985147532968333</v>
      </c>
      <c r="I250" s="15">
        <f t="shared" si="38"/>
        <v>1.4852467031674501E-4</v>
      </c>
      <c r="J250" s="20" t="str">
        <f t="shared" si="39"/>
        <v/>
      </c>
      <c r="K250" s="15" t="str">
        <f t="shared" si="40"/>
        <v/>
      </c>
      <c r="L250" s="15" t="str">
        <f t="shared" si="41"/>
        <v/>
      </c>
      <c r="M250" s="15">
        <f t="shared" si="45"/>
        <v>-9.0794583946501417E-2</v>
      </c>
      <c r="N250" s="15">
        <f t="shared" si="46"/>
        <v>-0.46995884773662555</v>
      </c>
      <c r="O250" s="15">
        <f t="shared" si="47"/>
        <v>-9.089117397185964E-2</v>
      </c>
      <c r="P250" s="18">
        <f>IF(SUMIFS('Daily NSE Equity Futures'!$J:$J,'Daily NSE Equity Futures'!$A:$A,$A250)=0,"",SUMIFS('Daily NSE Equity Futures'!$J:$J,'Daily NSE Equity Futures'!$A:$A,$A250))</f>
        <v>933138</v>
      </c>
      <c r="Q250" s="7">
        <f>IF(SUMIFS('Daily BSE Equity Futures'!$J:$J,'Daily BSE Equity Futures'!$A:$A,$A250)=0,"",SUMIFS('Daily BSE Equity Futures'!$J:$J,'Daily BSE Equity Futures'!$A:$A,$A250))</f>
        <v>111</v>
      </c>
      <c r="R250" s="7">
        <f t="shared" si="42"/>
        <v>933249</v>
      </c>
      <c r="S250" s="19">
        <f t="shared" si="43"/>
        <v>0.99988106068155447</v>
      </c>
      <c r="T250" s="19">
        <f t="shared" si="44"/>
        <v>1.1893931844555955E-4</v>
      </c>
    </row>
    <row r="251" spans="1:20" x14ac:dyDescent="0.2">
      <c r="A251" s="9">
        <v>44287</v>
      </c>
      <c r="B251" s="4" t="s">
        <v>224</v>
      </c>
      <c r="C251" s="8">
        <v>44287</v>
      </c>
      <c r="D251" s="4" t="s">
        <v>177</v>
      </c>
      <c r="E251" s="14">
        <f>IF(SUMIFS('Daily NSE Equity Futures'!$I:$I,'Daily NSE Equity Futures'!$A:$A,$A251)=0,"",SUMIFS('Daily NSE Equity Futures'!$I:$I,'Daily NSE Equity Futures'!$A:$A,$A251))</f>
        <v>977.37789999999995</v>
      </c>
      <c r="F251" s="6">
        <f>IF(SUMIFS('Daily BSE Equity Futures'!$I:$I,'Daily BSE Equity Futures'!$A:$A,$A251)=0,"",SUMIFS('Daily BSE Equity Futures'!$I:$I,'Daily BSE Equity Futures'!$A:$A,$A251))</f>
        <v>0.1096</v>
      </c>
      <c r="G251" s="6">
        <f t="shared" si="36"/>
        <v>977.48749999999995</v>
      </c>
      <c r="H251" s="15">
        <f t="shared" si="37"/>
        <v>0.99988787580403837</v>
      </c>
      <c r="I251" s="15">
        <f t="shared" si="38"/>
        <v>1.121241959615852E-4</v>
      </c>
      <c r="J251" s="20">
        <f t="shared" si="39"/>
        <v>0.78412527055007741</v>
      </c>
      <c r="K251" s="15">
        <f t="shared" si="40"/>
        <v>5.85</v>
      </c>
      <c r="L251" s="15">
        <f t="shared" si="41"/>
        <v>0.78427322382227782</v>
      </c>
      <c r="M251" s="15">
        <f t="shared" si="45"/>
        <v>0.12722278042578483</v>
      </c>
      <c r="N251" s="15">
        <f t="shared" si="46"/>
        <v>-0.14906832298136641</v>
      </c>
      <c r="O251" s="15">
        <f t="shared" si="47"/>
        <v>0.12718174438073993</v>
      </c>
      <c r="P251" s="18">
        <f>IF(SUMIFS('Daily NSE Equity Futures'!$J:$J,'Daily NSE Equity Futures'!$A:$A,$A251)=0,"",SUMIFS('Daily NSE Equity Futures'!$J:$J,'Daily NSE Equity Futures'!$A:$A,$A251))</f>
        <v>1010933</v>
      </c>
      <c r="Q251" s="7">
        <f>IF(SUMIFS('Daily BSE Equity Futures'!$J:$J,'Daily BSE Equity Futures'!$A:$A,$A251)=0,"",SUMIFS('Daily BSE Equity Futures'!$J:$J,'Daily BSE Equity Futures'!$A:$A,$A251))</f>
        <v>94</v>
      </c>
      <c r="R251" s="7">
        <f t="shared" si="42"/>
        <v>1011027</v>
      </c>
      <c r="S251" s="19">
        <f t="shared" si="43"/>
        <v>0.99990702523275843</v>
      </c>
      <c r="T251" s="19">
        <f t="shared" si="44"/>
        <v>9.297476724162659E-5</v>
      </c>
    </row>
    <row r="252" spans="1:20" x14ac:dyDescent="0.2">
      <c r="A252" s="9">
        <v>44291</v>
      </c>
      <c r="B252" s="4" t="s">
        <v>225</v>
      </c>
      <c r="C252" s="8">
        <v>44287</v>
      </c>
      <c r="D252" s="4" t="s">
        <v>177</v>
      </c>
      <c r="E252" s="14">
        <f>IF(SUMIFS('Daily NSE Equity Futures'!$I:$I,'Daily NSE Equity Futures'!$A:$A,$A252)=0,"",SUMIFS('Daily NSE Equity Futures'!$I:$I,'Daily NSE Equity Futures'!$A:$A,$A252))</f>
        <v>1144.0273999999999</v>
      </c>
      <c r="F252" s="6">
        <f>IF(SUMIFS('Daily BSE Equity Futures'!$I:$I,'Daily BSE Equity Futures'!$A:$A,$A252)=0,"",SUMIFS('Daily BSE Equity Futures'!$I:$I,'Daily BSE Equity Futures'!$A:$A,$A252))</f>
        <v>0.17979999999999999</v>
      </c>
      <c r="G252" s="6">
        <f t="shared" si="36"/>
        <v>1144.2071999999998</v>
      </c>
      <c r="H252" s="15">
        <f t="shared" si="37"/>
        <v>0.99984286062873939</v>
      </c>
      <c r="I252" s="15">
        <f t="shared" si="38"/>
        <v>1.5713937126072972E-4</v>
      </c>
      <c r="J252" s="20" t="str">
        <f t="shared" si="39"/>
        <v/>
      </c>
      <c r="K252" s="15" t="str">
        <f t="shared" si="40"/>
        <v/>
      </c>
      <c r="L252" s="15" t="str">
        <f t="shared" si="41"/>
        <v/>
      </c>
      <c r="M252" s="15">
        <f t="shared" si="45"/>
        <v>0.17050672007214396</v>
      </c>
      <c r="N252" s="15">
        <f t="shared" si="46"/>
        <v>0.64051094890510929</v>
      </c>
      <c r="O252" s="15">
        <f t="shared" si="47"/>
        <v>0.17055941891840032</v>
      </c>
      <c r="P252" s="18">
        <f>IF(SUMIFS('Daily NSE Equity Futures'!$J:$J,'Daily NSE Equity Futures'!$A:$A,$A252)=0,"",SUMIFS('Daily NSE Equity Futures'!$J:$J,'Daily NSE Equity Futures'!$A:$A,$A252))</f>
        <v>1202501</v>
      </c>
      <c r="Q252" s="7">
        <f>IF(SUMIFS('Daily BSE Equity Futures'!$J:$J,'Daily BSE Equity Futures'!$A:$A,$A252)=0,"",SUMIFS('Daily BSE Equity Futures'!$J:$J,'Daily BSE Equity Futures'!$A:$A,$A252))</f>
        <v>156</v>
      </c>
      <c r="R252" s="7">
        <f t="shared" si="42"/>
        <v>1202657</v>
      </c>
      <c r="S252" s="19">
        <f t="shared" si="43"/>
        <v>0.99987028720574533</v>
      </c>
      <c r="T252" s="19">
        <f t="shared" si="44"/>
        <v>1.29712794254721E-4</v>
      </c>
    </row>
    <row r="253" spans="1:20" x14ac:dyDescent="0.2">
      <c r="A253" s="9">
        <v>44292</v>
      </c>
      <c r="B253" s="4" t="s">
        <v>223</v>
      </c>
      <c r="C253" s="8">
        <v>44287</v>
      </c>
      <c r="D253" s="4" t="s">
        <v>177</v>
      </c>
      <c r="E253" s="14">
        <f>IF(SUMIFS('Daily NSE Equity Futures'!$I:$I,'Daily NSE Equity Futures'!$A:$A,$A253)=0,"",SUMIFS('Daily NSE Equity Futures'!$I:$I,'Daily NSE Equity Futures'!$A:$A,$A253))</f>
        <v>956.72299999999996</v>
      </c>
      <c r="F253" s="6">
        <f>IF(SUMIFS('Daily BSE Equity Futures'!$I:$I,'Daily BSE Equity Futures'!$A:$A,$A253)=0,"",SUMIFS('Daily BSE Equity Futures'!$I:$I,'Daily BSE Equity Futures'!$A:$A,$A253))</f>
        <v>7.9799999999999996E-2</v>
      </c>
      <c r="G253" s="6">
        <f t="shared" si="36"/>
        <v>956.80279999999993</v>
      </c>
      <c r="H253" s="15">
        <f t="shared" si="37"/>
        <v>0.99991659723403825</v>
      </c>
      <c r="I253" s="15">
        <f t="shared" si="38"/>
        <v>8.3402765961805293E-5</v>
      </c>
      <c r="J253" s="20" t="str">
        <f t="shared" si="39"/>
        <v/>
      </c>
      <c r="K253" s="15" t="str">
        <f t="shared" si="40"/>
        <v/>
      </c>
      <c r="L253" s="15" t="str">
        <f t="shared" si="41"/>
        <v/>
      </c>
      <c r="M253" s="15">
        <f t="shared" si="45"/>
        <v>-0.16372370102324474</v>
      </c>
      <c r="N253" s="15">
        <f t="shared" si="46"/>
        <v>-0.55617352614015569</v>
      </c>
      <c r="O253" s="15">
        <f t="shared" si="47"/>
        <v>-0.1637853703420149</v>
      </c>
      <c r="P253" s="18">
        <f>IF(SUMIFS('Daily NSE Equity Futures'!$J:$J,'Daily NSE Equity Futures'!$A:$A,$A253)=0,"",SUMIFS('Daily NSE Equity Futures'!$J:$J,'Daily NSE Equity Futures'!$A:$A,$A253))</f>
        <v>962800</v>
      </c>
      <c r="Q253" s="7">
        <f>IF(SUMIFS('Daily BSE Equity Futures'!$J:$J,'Daily BSE Equity Futures'!$A:$A,$A253)=0,"",SUMIFS('Daily BSE Equity Futures'!$J:$J,'Daily BSE Equity Futures'!$A:$A,$A253))</f>
        <v>69</v>
      </c>
      <c r="R253" s="7">
        <f t="shared" si="42"/>
        <v>962869</v>
      </c>
      <c r="S253" s="19">
        <f t="shared" si="43"/>
        <v>0.999928339161402</v>
      </c>
      <c r="T253" s="19">
        <f t="shared" si="44"/>
        <v>7.1660838597981653E-5</v>
      </c>
    </row>
    <row r="254" spans="1:20" x14ac:dyDescent="0.2">
      <c r="A254" s="9">
        <v>44293</v>
      </c>
      <c r="B254" s="4" t="s">
        <v>221</v>
      </c>
      <c r="C254" s="8">
        <v>44287</v>
      </c>
      <c r="D254" s="4" t="s">
        <v>177</v>
      </c>
      <c r="E254" s="14">
        <f>IF(SUMIFS('Daily NSE Equity Futures'!$I:$I,'Daily NSE Equity Futures'!$A:$A,$A254)=0,"",SUMIFS('Daily NSE Equity Futures'!$I:$I,'Daily NSE Equity Futures'!$A:$A,$A254))</f>
        <v>1029.1555000000001</v>
      </c>
      <c r="F254" s="6">
        <f>IF(SUMIFS('Daily BSE Equity Futures'!$I:$I,'Daily BSE Equity Futures'!$A:$A,$A254)=0,"",SUMIFS('Daily BSE Equity Futures'!$I:$I,'Daily BSE Equity Futures'!$A:$A,$A254))</f>
        <v>0.1331</v>
      </c>
      <c r="G254" s="6">
        <f t="shared" si="36"/>
        <v>1029.2886000000001</v>
      </c>
      <c r="H254" s="15">
        <f t="shared" si="37"/>
        <v>0.99987068738544271</v>
      </c>
      <c r="I254" s="15">
        <f t="shared" si="38"/>
        <v>1.2931261455727771E-4</v>
      </c>
      <c r="J254" s="20">
        <f t="shared" si="39"/>
        <v>0.33374808488976404</v>
      </c>
      <c r="K254" s="15">
        <f t="shared" si="40"/>
        <v>7.0180722891566258</v>
      </c>
      <c r="L254" s="15">
        <f t="shared" si="41"/>
        <v>0.33389188163648686</v>
      </c>
      <c r="M254" s="15">
        <f t="shared" si="45"/>
        <v>7.5708956510923242E-2</v>
      </c>
      <c r="N254" s="15">
        <f t="shared" si="46"/>
        <v>0.66791979949874691</v>
      </c>
      <c r="O254" s="15">
        <f t="shared" si="47"/>
        <v>7.5758348533261133E-2</v>
      </c>
      <c r="P254" s="18">
        <f>IF(SUMIFS('Daily NSE Equity Futures'!$J:$J,'Daily NSE Equity Futures'!$A:$A,$A254)=0,"",SUMIFS('Daily NSE Equity Futures'!$J:$J,'Daily NSE Equity Futures'!$A:$A,$A254))</f>
        <v>1046503</v>
      </c>
      <c r="Q254" s="7">
        <f>IF(SUMIFS('Daily BSE Equity Futures'!$J:$J,'Daily BSE Equity Futures'!$A:$A,$A254)=0,"",SUMIFS('Daily BSE Equity Futures'!$J:$J,'Daily BSE Equity Futures'!$A:$A,$A254))</f>
        <v>114</v>
      </c>
      <c r="R254" s="7">
        <f t="shared" si="42"/>
        <v>1046617</v>
      </c>
      <c r="S254" s="19">
        <f t="shared" si="43"/>
        <v>0.9998910776339387</v>
      </c>
      <c r="T254" s="19">
        <f t="shared" si="44"/>
        <v>1.0892236606131947E-4</v>
      </c>
    </row>
    <row r="255" spans="1:20" x14ac:dyDescent="0.2">
      <c r="A255" s="9">
        <v>44294</v>
      </c>
      <c r="B255" s="4" t="s">
        <v>224</v>
      </c>
      <c r="C255" s="8">
        <v>44287</v>
      </c>
      <c r="D255" s="4" t="s">
        <v>177</v>
      </c>
      <c r="E255" s="14">
        <f>IF(SUMIFS('Daily NSE Equity Futures'!$I:$I,'Daily NSE Equity Futures'!$A:$A,$A255)=0,"",SUMIFS('Daily NSE Equity Futures'!$I:$I,'Daily NSE Equity Futures'!$A:$A,$A255))</f>
        <v>1001.5796</v>
      </c>
      <c r="F255" s="6">
        <f>IF(SUMIFS('Daily BSE Equity Futures'!$I:$I,'Daily BSE Equity Futures'!$A:$A,$A255)=0,"",SUMIFS('Daily BSE Equity Futures'!$I:$I,'Daily BSE Equity Futures'!$A:$A,$A255))</f>
        <v>9.64E-2</v>
      </c>
      <c r="G255" s="6">
        <f t="shared" si="36"/>
        <v>1001.676</v>
      </c>
      <c r="H255" s="15">
        <f t="shared" si="37"/>
        <v>0.99990376129606773</v>
      </c>
      <c r="I255" s="15">
        <f t="shared" si="38"/>
        <v>9.623870393220961E-5</v>
      </c>
      <c r="J255" s="20">
        <f t="shared" si="39"/>
        <v>6.9291979986665586E-2</v>
      </c>
      <c r="K255" s="15">
        <f t="shared" si="40"/>
        <v>4.3555555555555561</v>
      </c>
      <c r="L255" s="15">
        <f t="shared" si="41"/>
        <v>6.9374347105002787E-2</v>
      </c>
      <c r="M255" s="15">
        <f t="shared" si="45"/>
        <v>-2.6794687488916891E-2</v>
      </c>
      <c r="N255" s="15">
        <f t="shared" si="46"/>
        <v>-0.27573253193087899</v>
      </c>
      <c r="O255" s="15">
        <f t="shared" si="47"/>
        <v>-2.6826878292444012E-2</v>
      </c>
      <c r="P255" s="18">
        <f>IF(SUMIFS('Daily NSE Equity Futures'!$J:$J,'Daily NSE Equity Futures'!$A:$A,$A255)=0,"",SUMIFS('Daily NSE Equity Futures'!$J:$J,'Daily NSE Equity Futures'!$A:$A,$A255))</f>
        <v>983690</v>
      </c>
      <c r="Q255" s="7">
        <f>IF(SUMIFS('Daily BSE Equity Futures'!$J:$J,'Daily BSE Equity Futures'!$A:$A,$A255)=0,"",SUMIFS('Daily BSE Equity Futures'!$J:$J,'Daily BSE Equity Futures'!$A:$A,$A255))</f>
        <v>82</v>
      </c>
      <c r="R255" s="7">
        <f t="shared" si="42"/>
        <v>983772</v>
      </c>
      <c r="S255" s="19">
        <f t="shared" si="43"/>
        <v>0.99991664735324848</v>
      </c>
      <c r="T255" s="19">
        <f t="shared" si="44"/>
        <v>8.3352646751483068E-5</v>
      </c>
    </row>
    <row r="256" spans="1:20" x14ac:dyDescent="0.2">
      <c r="A256" s="9">
        <v>44295</v>
      </c>
      <c r="B256" s="4" t="s">
        <v>222</v>
      </c>
      <c r="C256" s="8">
        <v>44287</v>
      </c>
      <c r="D256" s="4" t="s">
        <v>177</v>
      </c>
      <c r="E256" s="14">
        <f>IF(SUMIFS('Daily NSE Equity Futures'!$I:$I,'Daily NSE Equity Futures'!$A:$A,$A256)=0,"",SUMIFS('Daily NSE Equity Futures'!$I:$I,'Daily NSE Equity Futures'!$A:$A,$A256))</f>
        <v>972.245</v>
      </c>
      <c r="F256" s="6">
        <f>IF(SUMIFS('Daily BSE Equity Futures'!$I:$I,'Daily BSE Equity Futures'!$A:$A,$A256)=0,"",SUMIFS('Daily BSE Equity Futures'!$I:$I,'Daily BSE Equity Futures'!$A:$A,$A256))</f>
        <v>4.4499999999999998E-2</v>
      </c>
      <c r="G256" s="6">
        <f t="shared" si="36"/>
        <v>972.28949999999998</v>
      </c>
      <c r="H256" s="15">
        <f t="shared" si="37"/>
        <v>0.99995423173859233</v>
      </c>
      <c r="I256" s="15">
        <f t="shared" si="38"/>
        <v>4.5768261407739157E-5</v>
      </c>
      <c r="J256" s="20">
        <f t="shared" si="39"/>
        <v>0.2535521253442532</v>
      </c>
      <c r="K256" s="15">
        <f t="shared" si="40"/>
        <v>1.14975845410628</v>
      </c>
      <c r="L256" s="15">
        <f t="shared" si="41"/>
        <v>0.25357604381671406</v>
      </c>
      <c r="M256" s="15">
        <f t="shared" si="45"/>
        <v>-2.9288336144226657E-2</v>
      </c>
      <c r="N256" s="15">
        <f t="shared" si="46"/>
        <v>-0.5383817427385893</v>
      </c>
      <c r="O256" s="15">
        <f t="shared" si="47"/>
        <v>-2.9337330633857683E-2</v>
      </c>
      <c r="P256" s="18">
        <f>IF(SUMIFS('Daily NSE Equity Futures'!$J:$J,'Daily NSE Equity Futures'!$A:$A,$A256)=0,"",SUMIFS('Daily NSE Equity Futures'!$J:$J,'Daily NSE Equity Futures'!$A:$A,$A256))</f>
        <v>1000970</v>
      </c>
      <c r="Q256" s="7">
        <f>IF(SUMIFS('Daily BSE Equity Futures'!$J:$J,'Daily BSE Equity Futures'!$A:$A,$A256)=0,"",SUMIFS('Daily BSE Equity Futures'!$J:$J,'Daily BSE Equity Futures'!$A:$A,$A256))</f>
        <v>38</v>
      </c>
      <c r="R256" s="7">
        <f t="shared" si="42"/>
        <v>1001008</v>
      </c>
      <c r="S256" s="19">
        <f t="shared" si="43"/>
        <v>0.9999620382654284</v>
      </c>
      <c r="T256" s="19">
        <f t="shared" si="44"/>
        <v>3.7961734571551879E-5</v>
      </c>
    </row>
    <row r="257" spans="1:20" x14ac:dyDescent="0.2">
      <c r="A257" s="9">
        <v>44298</v>
      </c>
      <c r="B257" s="4" t="s">
        <v>225</v>
      </c>
      <c r="C257" s="8">
        <v>44287</v>
      </c>
      <c r="D257" s="4" t="s">
        <v>177</v>
      </c>
      <c r="E257" s="14">
        <f>IF(SUMIFS('Daily NSE Equity Futures'!$I:$I,'Daily NSE Equity Futures'!$A:$A,$A257)=0,"",SUMIFS('Daily NSE Equity Futures'!$I:$I,'Daily NSE Equity Futures'!$A:$A,$A257))</f>
        <v>1298.1817000000001</v>
      </c>
      <c r="F257" s="6">
        <f>IF(SUMIFS('Daily BSE Equity Futures'!$I:$I,'Daily BSE Equity Futures'!$A:$A,$A257)=0,"",SUMIFS('Daily BSE Equity Futures'!$I:$I,'Daily BSE Equity Futures'!$A:$A,$A257))</f>
        <v>6.6699999999999995E-2</v>
      </c>
      <c r="G257" s="6">
        <f t="shared" si="36"/>
        <v>1298.2484000000002</v>
      </c>
      <c r="H257" s="15">
        <f t="shared" si="37"/>
        <v>0.99994862308322496</v>
      </c>
      <c r="I257" s="15">
        <f t="shared" si="38"/>
        <v>5.137691677494075E-5</v>
      </c>
      <c r="J257" s="20" t="str">
        <f t="shared" si="39"/>
        <v/>
      </c>
      <c r="K257" s="15" t="str">
        <f t="shared" si="40"/>
        <v/>
      </c>
      <c r="L257" s="15" t="str">
        <f t="shared" si="41"/>
        <v/>
      </c>
      <c r="M257" s="15">
        <f t="shared" si="45"/>
        <v>0.33524132291757747</v>
      </c>
      <c r="N257" s="15">
        <f t="shared" si="46"/>
        <v>0.49887640449438209</v>
      </c>
      <c r="O257" s="15">
        <f t="shared" si="47"/>
        <v>0.33524881221076663</v>
      </c>
      <c r="P257" s="18">
        <f>IF(SUMIFS('Daily NSE Equity Futures'!$J:$J,'Daily NSE Equity Futures'!$A:$A,$A257)=0,"",SUMIFS('Daily NSE Equity Futures'!$J:$J,'Daily NSE Equity Futures'!$A:$A,$A257))</f>
        <v>1419131</v>
      </c>
      <c r="Q257" s="7">
        <f>IF(SUMIFS('Daily BSE Equity Futures'!$J:$J,'Daily BSE Equity Futures'!$A:$A,$A257)=0,"",SUMIFS('Daily BSE Equity Futures'!$J:$J,'Daily BSE Equity Futures'!$A:$A,$A257))</f>
        <v>59</v>
      </c>
      <c r="R257" s="7">
        <f t="shared" si="42"/>
        <v>1419190</v>
      </c>
      <c r="S257" s="19">
        <f t="shared" si="43"/>
        <v>0.99995842699004367</v>
      </c>
      <c r="T257" s="19">
        <f t="shared" si="44"/>
        <v>4.1573009956383574E-5</v>
      </c>
    </row>
    <row r="258" spans="1:20" x14ac:dyDescent="0.2">
      <c r="A258" s="9">
        <v>44299</v>
      </c>
      <c r="B258" s="4" t="s">
        <v>223</v>
      </c>
      <c r="C258" s="8">
        <v>44287</v>
      </c>
      <c r="D258" s="4" t="s">
        <v>177</v>
      </c>
      <c r="E258" s="14">
        <f>IF(SUMIFS('Daily NSE Equity Futures'!$I:$I,'Daily NSE Equity Futures'!$A:$A,$A258)=0,"",SUMIFS('Daily NSE Equity Futures'!$I:$I,'Daily NSE Equity Futures'!$A:$A,$A258))</f>
        <v>1078.8885</v>
      </c>
      <c r="F258" s="6">
        <f>IF(SUMIFS('Daily BSE Equity Futures'!$I:$I,'Daily BSE Equity Futures'!$A:$A,$A258)=0,"",SUMIFS('Daily BSE Equity Futures'!$I:$I,'Daily BSE Equity Futures'!$A:$A,$A258))</f>
        <v>1.7000000000000001E-2</v>
      </c>
      <c r="G258" s="6">
        <f t="shared" ref="G258:G321" si="48">IF(OR(E258="",F258=""),"",E258+F258)</f>
        <v>1078.9055000000001</v>
      </c>
      <c r="H258" s="15">
        <f t="shared" ref="H258:H321" si="49">IF(G258="","",E258/G258)</f>
        <v>0.99998424329100177</v>
      </c>
      <c r="I258" s="15">
        <f t="shared" ref="I258:I321" si="50">IF(G258="","",F258/G258)</f>
        <v>1.5756708998146732E-5</v>
      </c>
      <c r="J258" s="20">
        <f t="shared" ref="J258:J321" si="51">IFERROR(IF(OR(E258="",INDEX(E:E,MATCH(DATE(YEAR($A258)-1,MONTH($A258),DAY($A258)),$A:$A,0))=""),"",E258/INDEX(E:E,MATCH(DATE(YEAR($A258)-1,MONTH($A258),DAY($A258)),$A:$A,0))-1),"")</f>
        <v>0.6286965533430604</v>
      </c>
      <c r="K258" s="15">
        <f t="shared" ref="K258:K321" si="52">IFERROR(IF(OR(F258="",INDEX(F:F,MATCH(DATE(YEAR($A258)-1,MONTH($A258),DAY($A258)),$A:$A,0))=""),"",F258/INDEX(F:F,MATCH(DATE(YEAR($A258)-1,MONTH($A258),DAY($A258)),$A:$A,0))-1),"")</f>
        <v>-7.6086956521739024E-2</v>
      </c>
      <c r="L258" s="15">
        <f t="shared" ref="L258:L321" si="53">IFERROR(IF(OR(G258="",INDEX(G:G,MATCH(DATE(YEAR($A258)-1,MONTH($A258),DAY($A258)),$A:$A,0))=""),"",G258/INDEX(G:G,MATCH(DATE(YEAR($A258)-1,MONTH($A258),DAY($A258)),$A:$A,0))-1),"")</f>
        <v>0.62867697729117489</v>
      </c>
      <c r="M258" s="15">
        <f t="shared" si="45"/>
        <v>-0.16892334871150938</v>
      </c>
      <c r="N258" s="15">
        <f t="shared" si="46"/>
        <v>-0.74512743628185896</v>
      </c>
      <c r="O258" s="15">
        <f t="shared" si="47"/>
        <v>-0.16895295230096186</v>
      </c>
      <c r="P258" s="18">
        <f>IF(SUMIFS('Daily NSE Equity Futures'!$J:$J,'Daily NSE Equity Futures'!$A:$A,$A258)=0,"",SUMIFS('Daily NSE Equity Futures'!$J:$J,'Daily NSE Equity Futures'!$A:$A,$A258))</f>
        <v>1154057</v>
      </c>
      <c r="Q258" s="7">
        <f>IF(SUMIFS('Daily BSE Equity Futures'!$J:$J,'Daily BSE Equity Futures'!$A:$A,$A258)=0,"",SUMIFS('Daily BSE Equity Futures'!$J:$J,'Daily BSE Equity Futures'!$A:$A,$A258))</f>
        <v>15</v>
      </c>
      <c r="R258" s="7">
        <f t="shared" ref="R258:R321" si="54">IF(OR(P258="",Q258=""),"",P258+Q258)</f>
        <v>1154072</v>
      </c>
      <c r="S258" s="19">
        <f t="shared" ref="S258:S321" si="55">IF(R258="","",P258/R258)</f>
        <v>0.99998700254403539</v>
      </c>
      <c r="T258" s="19">
        <f t="shared" ref="T258:T321" si="56">IF(R258="","",Q258/R258)</f>
        <v>1.2997455964619192E-5</v>
      </c>
    </row>
    <row r="259" spans="1:20" x14ac:dyDescent="0.2">
      <c r="A259" s="9">
        <v>44301</v>
      </c>
      <c r="B259" s="4" t="s">
        <v>224</v>
      </c>
      <c r="C259" s="8">
        <v>44287</v>
      </c>
      <c r="D259" s="4" t="s">
        <v>177</v>
      </c>
      <c r="E259" s="14">
        <f>IF(SUMIFS('Daily NSE Equity Futures'!$I:$I,'Daily NSE Equity Futures'!$A:$A,$A259)=0,"",SUMIFS('Daily NSE Equity Futures'!$I:$I,'Daily NSE Equity Futures'!$A:$A,$A259))</f>
        <v>1088.7562</v>
      </c>
      <c r="F259" s="6">
        <f>IF(SUMIFS('Daily BSE Equity Futures'!$I:$I,'Daily BSE Equity Futures'!$A:$A,$A259)=0,"",SUMIFS('Daily BSE Equity Futures'!$I:$I,'Daily BSE Equity Futures'!$A:$A,$A259))</f>
        <v>6.9500000000000006E-2</v>
      </c>
      <c r="G259" s="6">
        <f t="shared" si="48"/>
        <v>1088.8257000000001</v>
      </c>
      <c r="H259" s="15">
        <f t="shared" si="49"/>
        <v>0.9999361697652801</v>
      </c>
      <c r="I259" s="15">
        <f t="shared" si="50"/>
        <v>6.3830234719845425E-5</v>
      </c>
      <c r="J259" s="20">
        <f t="shared" si="51"/>
        <v>0.21435282696382174</v>
      </c>
      <c r="K259" s="15">
        <f t="shared" si="52"/>
        <v>2.1880733944954129</v>
      </c>
      <c r="L259" s="15">
        <f t="shared" si="53"/>
        <v>0.21440081642213049</v>
      </c>
      <c r="M259" s="15">
        <f t="shared" ref="M259:M322" si="57">IF(OR(E259="",E258=""),"",E259/E258-1)</f>
        <v>9.1461721948098429E-3</v>
      </c>
      <c r="N259" s="15">
        <f t="shared" ref="N259:N322" si="58">IF(OR(F259="",F258=""),"",F259/F258-1)</f>
        <v>3.0882352941176467</v>
      </c>
      <c r="O259" s="15">
        <f t="shared" ref="O259:O322" si="59">IF(OR(G259="",G258=""),"",G259/G258-1)</f>
        <v>9.1946885060831818E-3</v>
      </c>
      <c r="P259" s="18">
        <f>IF(SUMIFS('Daily NSE Equity Futures'!$J:$J,'Daily NSE Equity Futures'!$A:$A,$A259)=0,"",SUMIFS('Daily NSE Equity Futures'!$J:$J,'Daily NSE Equity Futures'!$A:$A,$A259))</f>
        <v>1173398</v>
      </c>
      <c r="Q259" s="7">
        <f>IF(SUMIFS('Daily BSE Equity Futures'!$J:$J,'Daily BSE Equity Futures'!$A:$A,$A259)=0,"",SUMIFS('Daily BSE Equity Futures'!$J:$J,'Daily BSE Equity Futures'!$A:$A,$A259))</f>
        <v>61</v>
      </c>
      <c r="R259" s="7">
        <f t="shared" si="54"/>
        <v>1173459</v>
      </c>
      <c r="S259" s="19">
        <f t="shared" si="55"/>
        <v>0.99994801693114121</v>
      </c>
      <c r="T259" s="19">
        <f t="shared" si="56"/>
        <v>5.1983068858818245E-5</v>
      </c>
    </row>
    <row r="260" spans="1:20" x14ac:dyDescent="0.2">
      <c r="A260" s="9">
        <v>44302</v>
      </c>
      <c r="B260" s="4" t="s">
        <v>222</v>
      </c>
      <c r="C260" s="8">
        <v>44287</v>
      </c>
      <c r="D260" s="4" t="s">
        <v>177</v>
      </c>
      <c r="E260" s="14">
        <f>IF(SUMIFS('Daily NSE Equity Futures'!$I:$I,'Daily NSE Equity Futures'!$A:$A,$A260)=0,"",SUMIFS('Daily NSE Equity Futures'!$I:$I,'Daily NSE Equity Futures'!$A:$A,$A260))</f>
        <v>929.05679999999995</v>
      </c>
      <c r="F260" s="6">
        <f>IF(SUMIFS('Daily BSE Equity Futures'!$I:$I,'Daily BSE Equity Futures'!$A:$A,$A260)=0,"",SUMIFS('Daily BSE Equity Futures'!$I:$I,'Daily BSE Equity Futures'!$A:$A,$A260))</f>
        <v>2.6499999999999999E-2</v>
      </c>
      <c r="G260" s="6">
        <f t="shared" si="48"/>
        <v>929.08330000000001</v>
      </c>
      <c r="H260" s="15">
        <f t="shared" si="49"/>
        <v>0.99997147726151137</v>
      </c>
      <c r="I260" s="15">
        <f t="shared" si="50"/>
        <v>2.8522738488572552E-5</v>
      </c>
      <c r="J260" s="20">
        <f t="shared" si="51"/>
        <v>0.21516607191695303</v>
      </c>
      <c r="K260" s="15">
        <f t="shared" si="52"/>
        <v>0.46408839779005517</v>
      </c>
      <c r="L260" s="15">
        <f t="shared" si="53"/>
        <v>0.21517196476866585</v>
      </c>
      <c r="M260" s="15">
        <f t="shared" si="57"/>
        <v>-0.14668058836312492</v>
      </c>
      <c r="N260" s="15">
        <f t="shared" si="58"/>
        <v>-0.61870503597122306</v>
      </c>
      <c r="O260" s="15">
        <f t="shared" si="59"/>
        <v>-0.14671071779440925</v>
      </c>
      <c r="P260" s="18">
        <f>IF(SUMIFS('Daily NSE Equity Futures'!$J:$J,'Daily NSE Equity Futures'!$A:$A,$A260)=0,"",SUMIFS('Daily NSE Equity Futures'!$J:$J,'Daily NSE Equity Futures'!$A:$A,$A260))</f>
        <v>956084</v>
      </c>
      <c r="Q260" s="7">
        <f>IF(SUMIFS('Daily BSE Equity Futures'!$J:$J,'Daily BSE Equity Futures'!$A:$A,$A260)=0,"",SUMIFS('Daily BSE Equity Futures'!$J:$J,'Daily BSE Equity Futures'!$A:$A,$A260))</f>
        <v>23</v>
      </c>
      <c r="R260" s="7">
        <f t="shared" si="54"/>
        <v>956107</v>
      </c>
      <c r="S260" s="19">
        <f t="shared" si="55"/>
        <v>0.99997594411504154</v>
      </c>
      <c r="T260" s="19">
        <f t="shared" si="56"/>
        <v>2.405588495848268E-5</v>
      </c>
    </row>
    <row r="261" spans="1:20" x14ac:dyDescent="0.2">
      <c r="A261" s="9">
        <v>44305</v>
      </c>
      <c r="B261" s="4" t="s">
        <v>225</v>
      </c>
      <c r="C261" s="8">
        <v>44287</v>
      </c>
      <c r="D261" s="4" t="s">
        <v>177</v>
      </c>
      <c r="E261" s="14">
        <f>IF(SUMIFS('Daily NSE Equity Futures'!$I:$I,'Daily NSE Equity Futures'!$A:$A,$A261)=0,"",SUMIFS('Daily NSE Equity Futures'!$I:$I,'Daily NSE Equity Futures'!$A:$A,$A261))</f>
        <v>1063.6244999999999</v>
      </c>
      <c r="F261" s="6">
        <f>IF(SUMIFS('Daily BSE Equity Futures'!$I:$I,'Daily BSE Equity Futures'!$A:$A,$A261)=0,"",SUMIFS('Daily BSE Equity Futures'!$I:$I,'Daily BSE Equity Futures'!$A:$A,$A261))</f>
        <v>2.1299999999999999E-2</v>
      </c>
      <c r="G261" s="6">
        <f t="shared" si="48"/>
        <v>1063.6458</v>
      </c>
      <c r="H261" s="15">
        <f t="shared" si="49"/>
        <v>0.99997997453663601</v>
      </c>
      <c r="I261" s="15">
        <f t="shared" si="50"/>
        <v>2.0025463363837848E-5</v>
      </c>
      <c r="J261" s="20" t="str">
        <f t="shared" si="51"/>
        <v/>
      </c>
      <c r="K261" s="15" t="str">
        <f t="shared" si="52"/>
        <v/>
      </c>
      <c r="L261" s="15" t="str">
        <f t="shared" si="53"/>
        <v/>
      </c>
      <c r="M261" s="15">
        <f t="shared" si="57"/>
        <v>0.14484335080481614</v>
      </c>
      <c r="N261" s="15">
        <f t="shared" si="58"/>
        <v>-0.19622641509433958</v>
      </c>
      <c r="O261" s="15">
        <f t="shared" si="59"/>
        <v>0.14483362256107712</v>
      </c>
      <c r="P261" s="18">
        <f>IF(SUMIFS('Daily NSE Equity Futures'!$J:$J,'Daily NSE Equity Futures'!$A:$A,$A261)=0,"",SUMIFS('Daily NSE Equity Futures'!$J:$J,'Daily NSE Equity Futures'!$A:$A,$A261))</f>
        <v>1171894</v>
      </c>
      <c r="Q261" s="7">
        <f>IF(SUMIFS('Daily BSE Equity Futures'!$J:$J,'Daily BSE Equity Futures'!$A:$A,$A261)=0,"",SUMIFS('Daily BSE Equity Futures'!$J:$J,'Daily BSE Equity Futures'!$A:$A,$A261))</f>
        <v>19</v>
      </c>
      <c r="R261" s="7">
        <f t="shared" si="54"/>
        <v>1171913</v>
      </c>
      <c r="S261" s="19">
        <f t="shared" si="55"/>
        <v>0.999983787192394</v>
      </c>
      <c r="T261" s="19">
        <f t="shared" si="56"/>
        <v>1.6212807606025363E-5</v>
      </c>
    </row>
    <row r="262" spans="1:20" x14ac:dyDescent="0.2">
      <c r="A262" s="9">
        <v>44306</v>
      </c>
      <c r="B262" s="4" t="s">
        <v>223</v>
      </c>
      <c r="C262" s="8">
        <v>44287</v>
      </c>
      <c r="D262" s="4" t="s">
        <v>177</v>
      </c>
      <c r="E262" s="14">
        <f>IF(SUMIFS('Daily NSE Equity Futures'!$I:$I,'Daily NSE Equity Futures'!$A:$A,$A262)=0,"",SUMIFS('Daily NSE Equity Futures'!$I:$I,'Daily NSE Equity Futures'!$A:$A,$A262))</f>
        <v>1021.923</v>
      </c>
      <c r="F262" s="6">
        <f>IF(SUMIFS('Daily BSE Equity Futures'!$I:$I,'Daily BSE Equity Futures'!$A:$A,$A262)=0,"",SUMIFS('Daily BSE Equity Futures'!$I:$I,'Daily BSE Equity Futures'!$A:$A,$A262))</f>
        <v>3.15E-2</v>
      </c>
      <c r="G262" s="6">
        <f t="shared" si="48"/>
        <v>1021.9545000000001</v>
      </c>
      <c r="H262" s="15">
        <f t="shared" si="49"/>
        <v>0.99996917670992191</v>
      </c>
      <c r="I262" s="15">
        <f t="shared" si="50"/>
        <v>3.0823290077982921E-5</v>
      </c>
      <c r="J262" s="20">
        <f t="shared" si="51"/>
        <v>0.28314792206662154</v>
      </c>
      <c r="K262" s="15">
        <f t="shared" si="52"/>
        <v>-0.13934426229508201</v>
      </c>
      <c r="L262" s="15">
        <f t="shared" si="53"/>
        <v>0.28312850702355807</v>
      </c>
      <c r="M262" s="15">
        <f t="shared" si="57"/>
        <v>-3.9206975770114227E-2</v>
      </c>
      <c r="N262" s="15">
        <f t="shared" si="58"/>
        <v>0.47887323943661975</v>
      </c>
      <c r="O262" s="15">
        <f t="shared" si="59"/>
        <v>-3.919660097374511E-2</v>
      </c>
      <c r="P262" s="18">
        <f>IF(SUMIFS('Daily NSE Equity Futures'!$J:$J,'Daily NSE Equity Futures'!$A:$A,$A262)=0,"",SUMIFS('Daily NSE Equity Futures'!$J:$J,'Daily NSE Equity Futures'!$A:$A,$A262))</f>
        <v>1112032</v>
      </c>
      <c r="Q262" s="7">
        <f>IF(SUMIFS('Daily BSE Equity Futures'!$J:$J,'Daily BSE Equity Futures'!$A:$A,$A262)=0,"",SUMIFS('Daily BSE Equity Futures'!$J:$J,'Daily BSE Equity Futures'!$A:$A,$A262))</f>
        <v>28</v>
      </c>
      <c r="R262" s="7">
        <f t="shared" si="54"/>
        <v>1112060</v>
      </c>
      <c r="S262" s="19">
        <f t="shared" si="55"/>
        <v>0.99997482150243688</v>
      </c>
      <c r="T262" s="19">
        <f t="shared" si="56"/>
        <v>2.5178497563081128E-5</v>
      </c>
    </row>
    <row r="263" spans="1:20" x14ac:dyDescent="0.2">
      <c r="A263" s="9">
        <v>44308</v>
      </c>
      <c r="B263" s="4" t="s">
        <v>224</v>
      </c>
      <c r="C263" s="8">
        <v>44287</v>
      </c>
      <c r="D263" s="4" t="s">
        <v>177</v>
      </c>
      <c r="E263" s="14">
        <f>IF(SUMIFS('Daily NSE Equity Futures'!$I:$I,'Daily NSE Equity Futures'!$A:$A,$A263)=0,"",SUMIFS('Daily NSE Equity Futures'!$I:$I,'Daily NSE Equity Futures'!$A:$A,$A263))</f>
        <v>1209.5886</v>
      </c>
      <c r="F263" s="6">
        <f>IF(SUMIFS('Daily BSE Equity Futures'!$I:$I,'Daily BSE Equity Futures'!$A:$A,$A263)=0,"",SUMIFS('Daily BSE Equity Futures'!$I:$I,'Daily BSE Equity Futures'!$A:$A,$A263))</f>
        <v>1.01E-2</v>
      </c>
      <c r="G263" s="6">
        <f t="shared" si="48"/>
        <v>1209.5987</v>
      </c>
      <c r="H263" s="15">
        <f t="shared" si="49"/>
        <v>0.99999165012330127</v>
      </c>
      <c r="I263" s="15">
        <f t="shared" si="50"/>
        <v>8.3498766987762136E-6</v>
      </c>
      <c r="J263" s="20">
        <f t="shared" si="51"/>
        <v>0.38968480190256272</v>
      </c>
      <c r="K263" s="15">
        <f t="shared" si="52"/>
        <v>-0.54910714285714279</v>
      </c>
      <c r="L263" s="15">
        <f t="shared" si="53"/>
        <v>0.38966064257627941</v>
      </c>
      <c r="M263" s="15">
        <f t="shared" si="57"/>
        <v>0.18363966756790884</v>
      </c>
      <c r="N263" s="15">
        <f t="shared" si="58"/>
        <v>-0.67936507936507939</v>
      </c>
      <c r="O263" s="15">
        <f t="shared" si="59"/>
        <v>0.18361306692225532</v>
      </c>
      <c r="P263" s="18">
        <f>IF(SUMIFS('Daily NSE Equity Futures'!$J:$J,'Daily NSE Equity Futures'!$A:$A,$A263)=0,"",SUMIFS('Daily NSE Equity Futures'!$J:$J,'Daily NSE Equity Futures'!$A:$A,$A263))</f>
        <v>1263752</v>
      </c>
      <c r="Q263" s="7">
        <f>IF(SUMIFS('Daily BSE Equity Futures'!$J:$J,'Daily BSE Equity Futures'!$A:$A,$A263)=0,"",SUMIFS('Daily BSE Equity Futures'!$J:$J,'Daily BSE Equity Futures'!$A:$A,$A263))</f>
        <v>9</v>
      </c>
      <c r="R263" s="7">
        <f t="shared" si="54"/>
        <v>1263761</v>
      </c>
      <c r="S263" s="19">
        <f t="shared" si="55"/>
        <v>0.99999287840026718</v>
      </c>
      <c r="T263" s="19">
        <f t="shared" si="56"/>
        <v>7.1215997328608811E-6</v>
      </c>
    </row>
    <row r="264" spans="1:20" x14ac:dyDescent="0.2">
      <c r="A264" s="9">
        <v>44309</v>
      </c>
      <c r="B264" s="4" t="s">
        <v>222</v>
      </c>
      <c r="C264" s="8">
        <v>44287</v>
      </c>
      <c r="D264" s="4" t="s">
        <v>177</v>
      </c>
      <c r="E264" s="14">
        <f>IF(SUMIFS('Daily NSE Equity Futures'!$I:$I,'Daily NSE Equity Futures'!$A:$A,$A264)=0,"",SUMIFS('Daily NSE Equity Futures'!$I:$I,'Daily NSE Equity Futures'!$A:$A,$A264))</f>
        <v>1213.5182</v>
      </c>
      <c r="F264" s="6">
        <f>IF(SUMIFS('Daily BSE Equity Futures'!$I:$I,'Daily BSE Equity Futures'!$A:$A,$A264)=0,"",SUMIFS('Daily BSE Equity Futures'!$I:$I,'Daily BSE Equity Futures'!$A:$A,$A264))</f>
        <v>0.16400000000000001</v>
      </c>
      <c r="G264" s="6">
        <f t="shared" si="48"/>
        <v>1213.6822</v>
      </c>
      <c r="H264" s="15">
        <f t="shared" si="49"/>
        <v>0.99986487401726742</v>
      </c>
      <c r="I264" s="15">
        <f t="shared" si="50"/>
        <v>1.3512598273254729E-4</v>
      </c>
      <c r="J264" s="20">
        <f t="shared" si="51"/>
        <v>0.58863660760806091</v>
      </c>
      <c r="K264" s="15">
        <f t="shared" si="52"/>
        <v>8.4797687861271687</v>
      </c>
      <c r="L264" s="15">
        <f t="shared" si="53"/>
        <v>0.58881531966655465</v>
      </c>
      <c r="M264" s="15">
        <f t="shared" si="57"/>
        <v>3.2487078664595881E-3</v>
      </c>
      <c r="N264" s="15">
        <f t="shared" si="58"/>
        <v>15.237623762376238</v>
      </c>
      <c r="O264" s="15">
        <f t="shared" si="59"/>
        <v>3.3759130197477116E-3</v>
      </c>
      <c r="P264" s="18">
        <f>IF(SUMIFS('Daily NSE Equity Futures'!$J:$J,'Daily NSE Equity Futures'!$A:$A,$A264)=0,"",SUMIFS('Daily NSE Equity Futures'!$J:$J,'Daily NSE Equity Futures'!$A:$A,$A264))</f>
        <v>1329916</v>
      </c>
      <c r="Q264" s="7">
        <f>IF(SUMIFS('Daily BSE Equity Futures'!$J:$J,'Daily BSE Equity Futures'!$A:$A,$A264)=0,"",SUMIFS('Daily BSE Equity Futures'!$J:$J,'Daily BSE Equity Futures'!$A:$A,$A264))</f>
        <v>145</v>
      </c>
      <c r="R264" s="7">
        <f t="shared" si="54"/>
        <v>1330061</v>
      </c>
      <c r="S264" s="19">
        <f t="shared" si="55"/>
        <v>0.99989098244366237</v>
      </c>
      <c r="T264" s="19">
        <f t="shared" si="56"/>
        <v>1.0901755633764166E-4</v>
      </c>
    </row>
    <row r="265" spans="1:20" x14ac:dyDescent="0.2">
      <c r="A265" s="9">
        <v>44312</v>
      </c>
      <c r="B265" s="4" t="s">
        <v>225</v>
      </c>
      <c r="C265" s="8">
        <v>44287</v>
      </c>
      <c r="D265" s="4" t="s">
        <v>177</v>
      </c>
      <c r="E265" s="14">
        <f>IF(SUMIFS('Daily NSE Equity Futures'!$I:$I,'Daily NSE Equity Futures'!$A:$A,$A265)=0,"",SUMIFS('Daily NSE Equity Futures'!$I:$I,'Daily NSE Equity Futures'!$A:$A,$A265))</f>
        <v>1558.6247000000001</v>
      </c>
      <c r="F265" s="6">
        <f>IF(SUMIFS('Daily BSE Equity Futures'!$I:$I,'Daily BSE Equity Futures'!$A:$A,$A265)=0,"",SUMIFS('Daily BSE Equity Futures'!$I:$I,'Daily BSE Equity Futures'!$A:$A,$A265))</f>
        <v>0.27079999999999999</v>
      </c>
      <c r="G265" s="6">
        <f t="shared" si="48"/>
        <v>1558.8955000000001</v>
      </c>
      <c r="H265" s="15">
        <f t="shared" si="49"/>
        <v>0.99982628726556722</v>
      </c>
      <c r="I265" s="15">
        <f t="shared" si="50"/>
        <v>1.7371273443280834E-4</v>
      </c>
      <c r="J265" s="20" t="str">
        <f t="shared" si="51"/>
        <v/>
      </c>
      <c r="K265" s="15" t="str">
        <f t="shared" si="52"/>
        <v/>
      </c>
      <c r="L265" s="15" t="str">
        <f t="shared" si="53"/>
        <v/>
      </c>
      <c r="M265" s="15">
        <f t="shared" si="57"/>
        <v>0.28438510440140097</v>
      </c>
      <c r="N265" s="15">
        <f t="shared" si="58"/>
        <v>0.65121951219512186</v>
      </c>
      <c r="O265" s="15">
        <f t="shared" si="59"/>
        <v>0.28443467326125416</v>
      </c>
      <c r="P265" s="18">
        <f>IF(SUMIFS('Daily NSE Equity Futures'!$J:$J,'Daily NSE Equity Futures'!$A:$A,$A265)=0,"",SUMIFS('Daily NSE Equity Futures'!$J:$J,'Daily NSE Equity Futures'!$A:$A,$A265))</f>
        <v>1721101</v>
      </c>
      <c r="Q265" s="7">
        <f>IF(SUMIFS('Daily BSE Equity Futures'!$J:$J,'Daily BSE Equity Futures'!$A:$A,$A265)=0,"",SUMIFS('Daily BSE Equity Futures'!$J:$J,'Daily BSE Equity Futures'!$A:$A,$A265))</f>
        <v>238</v>
      </c>
      <c r="R265" s="7">
        <f t="shared" si="54"/>
        <v>1721339</v>
      </c>
      <c r="S265" s="19">
        <f t="shared" si="55"/>
        <v>0.99986173554424784</v>
      </c>
      <c r="T265" s="19">
        <f t="shared" si="56"/>
        <v>1.3826445575217897E-4</v>
      </c>
    </row>
    <row r="266" spans="1:20" x14ac:dyDescent="0.2">
      <c r="A266" s="9">
        <v>44313</v>
      </c>
      <c r="B266" s="4" t="s">
        <v>223</v>
      </c>
      <c r="C266" s="8">
        <v>44287</v>
      </c>
      <c r="D266" s="4" t="s">
        <v>177</v>
      </c>
      <c r="E266" s="14">
        <f>IF(SUMIFS('Daily NSE Equity Futures'!$I:$I,'Daily NSE Equity Futures'!$A:$A,$A266)=0,"",SUMIFS('Daily NSE Equity Futures'!$I:$I,'Daily NSE Equity Futures'!$A:$A,$A266))</f>
        <v>1678.8505</v>
      </c>
      <c r="F266" s="6">
        <f>IF(SUMIFS('Daily BSE Equity Futures'!$I:$I,'Daily BSE Equity Futures'!$A:$A,$A266)=0,"",SUMIFS('Daily BSE Equity Futures'!$I:$I,'Daily BSE Equity Futures'!$A:$A,$A266))</f>
        <v>0.21929999999999999</v>
      </c>
      <c r="G266" s="6">
        <f t="shared" si="48"/>
        <v>1679.0698</v>
      </c>
      <c r="H266" s="15">
        <f t="shared" si="49"/>
        <v>0.99986939196929159</v>
      </c>
      <c r="I266" s="15">
        <f t="shared" si="50"/>
        <v>1.3060803070843153E-4</v>
      </c>
      <c r="J266" s="20">
        <f t="shared" si="51"/>
        <v>0.65347218221132941</v>
      </c>
      <c r="K266" s="15">
        <f t="shared" si="52"/>
        <v>8.4935064935064943</v>
      </c>
      <c r="L266" s="15">
        <f t="shared" si="53"/>
        <v>0.65365054527820177</v>
      </c>
      <c r="M266" s="15">
        <f t="shared" si="57"/>
        <v>7.7135823652736857E-2</v>
      </c>
      <c r="N266" s="15">
        <f t="shared" si="58"/>
        <v>-0.19017725258493345</v>
      </c>
      <c r="O266" s="15">
        <f t="shared" si="59"/>
        <v>7.7089387967314016E-2</v>
      </c>
      <c r="P266" s="18">
        <f>IF(SUMIFS('Daily NSE Equity Futures'!$J:$J,'Daily NSE Equity Futures'!$A:$A,$A266)=0,"",SUMIFS('Daily NSE Equity Futures'!$J:$J,'Daily NSE Equity Futures'!$A:$A,$A266))</f>
        <v>1842636</v>
      </c>
      <c r="Q266" s="7">
        <f>IF(SUMIFS('Daily BSE Equity Futures'!$J:$J,'Daily BSE Equity Futures'!$A:$A,$A266)=0,"",SUMIFS('Daily BSE Equity Futures'!$J:$J,'Daily BSE Equity Futures'!$A:$A,$A266))</f>
        <v>192</v>
      </c>
      <c r="R266" s="7">
        <f t="shared" si="54"/>
        <v>1842828</v>
      </c>
      <c r="S266" s="19">
        <f t="shared" si="55"/>
        <v>0.99989581230586899</v>
      </c>
      <c r="T266" s="19">
        <f t="shared" si="56"/>
        <v>1.0418769413097695E-4</v>
      </c>
    </row>
    <row r="267" spans="1:20" x14ac:dyDescent="0.2">
      <c r="A267" s="9">
        <v>44314</v>
      </c>
      <c r="B267" s="4" t="s">
        <v>221</v>
      </c>
      <c r="C267" s="8">
        <v>44287</v>
      </c>
      <c r="D267" s="4" t="s">
        <v>177</v>
      </c>
      <c r="E267" s="14">
        <f>IF(SUMIFS('Daily NSE Equity Futures'!$I:$I,'Daily NSE Equity Futures'!$A:$A,$A267)=0,"",SUMIFS('Daily NSE Equity Futures'!$I:$I,'Daily NSE Equity Futures'!$A:$A,$A267))</f>
        <v>1794.6964</v>
      </c>
      <c r="F267" s="6">
        <f>IF(SUMIFS('Daily BSE Equity Futures'!$I:$I,'Daily BSE Equity Futures'!$A:$A,$A267)=0,"",SUMIFS('Daily BSE Equity Futures'!$I:$I,'Daily BSE Equity Futures'!$A:$A,$A267))</f>
        <v>2.6800000000000001E-2</v>
      </c>
      <c r="G267" s="6">
        <f t="shared" si="48"/>
        <v>1794.7232000000001</v>
      </c>
      <c r="H267" s="15">
        <f t="shared" si="49"/>
        <v>0.99998506733517456</v>
      </c>
      <c r="I267" s="15">
        <f t="shared" si="50"/>
        <v>1.4932664825417088E-5</v>
      </c>
      <c r="J267" s="20">
        <f t="shared" si="51"/>
        <v>0.52724638719598738</v>
      </c>
      <c r="K267" s="15">
        <f t="shared" si="52"/>
        <v>0.39583333333333348</v>
      </c>
      <c r="L267" s="15">
        <f t="shared" si="53"/>
        <v>0.52724424010348425</v>
      </c>
      <c r="M267" s="15">
        <f t="shared" si="57"/>
        <v>6.9003106589895946E-2</v>
      </c>
      <c r="N267" s="15">
        <f t="shared" si="58"/>
        <v>-0.8777929776561787</v>
      </c>
      <c r="O267" s="15">
        <f t="shared" si="59"/>
        <v>6.8879447417850237E-2</v>
      </c>
      <c r="P267" s="18">
        <f>IF(SUMIFS('Daily NSE Equity Futures'!$J:$J,'Daily NSE Equity Futures'!$A:$A,$A267)=0,"",SUMIFS('Daily NSE Equity Futures'!$J:$J,'Daily NSE Equity Futures'!$A:$A,$A267))</f>
        <v>1959982</v>
      </c>
      <c r="Q267" s="7">
        <f>IF(SUMIFS('Daily BSE Equity Futures'!$J:$J,'Daily BSE Equity Futures'!$A:$A,$A267)=0,"",SUMIFS('Daily BSE Equity Futures'!$J:$J,'Daily BSE Equity Futures'!$A:$A,$A267))</f>
        <v>23</v>
      </c>
      <c r="R267" s="7">
        <f t="shared" si="54"/>
        <v>1960005</v>
      </c>
      <c r="S267" s="19">
        <f t="shared" si="55"/>
        <v>0.99998826533605778</v>
      </c>
      <c r="T267" s="19">
        <f t="shared" si="56"/>
        <v>1.1734663942183821E-5</v>
      </c>
    </row>
    <row r="268" spans="1:20" x14ac:dyDescent="0.2">
      <c r="A268" s="9">
        <v>44315</v>
      </c>
      <c r="B268" s="4" t="s">
        <v>224</v>
      </c>
      <c r="C268" s="8">
        <v>44287</v>
      </c>
      <c r="D268" s="4" t="s">
        <v>177</v>
      </c>
      <c r="E268" s="14">
        <f>IF(SUMIFS('Daily NSE Equity Futures'!$I:$I,'Daily NSE Equity Futures'!$A:$A,$A268)=0,"",SUMIFS('Daily NSE Equity Futures'!$I:$I,'Daily NSE Equity Futures'!$A:$A,$A268))</f>
        <v>1949.1123</v>
      </c>
      <c r="F268" s="6">
        <f>IF(SUMIFS('Daily BSE Equity Futures'!$I:$I,'Daily BSE Equity Futures'!$A:$A,$A268)=0,"",SUMIFS('Daily BSE Equity Futures'!$I:$I,'Daily BSE Equity Futures'!$A:$A,$A268))</f>
        <v>0.12770000000000001</v>
      </c>
      <c r="G268" s="6">
        <f t="shared" si="48"/>
        <v>1949.24</v>
      </c>
      <c r="H268" s="15">
        <f t="shared" si="49"/>
        <v>0.99993448728735301</v>
      </c>
      <c r="I268" s="15">
        <f t="shared" si="50"/>
        <v>6.551271264698036E-5</v>
      </c>
      <c r="J268" s="20">
        <f t="shared" si="51"/>
        <v>0.80408080113233127</v>
      </c>
      <c r="K268" s="15">
        <f t="shared" si="52"/>
        <v>5.3217821782178225</v>
      </c>
      <c r="L268" s="15">
        <f t="shared" si="53"/>
        <v>0.80416526673645516</v>
      </c>
      <c r="M268" s="15">
        <f t="shared" si="57"/>
        <v>8.6040123555159553E-2</v>
      </c>
      <c r="N268" s="15">
        <f t="shared" si="58"/>
        <v>3.7649253731343286</v>
      </c>
      <c r="O268" s="15">
        <f t="shared" si="59"/>
        <v>8.609505911552251E-2</v>
      </c>
      <c r="P268" s="18">
        <f>IF(SUMIFS('Daily NSE Equity Futures'!$J:$J,'Daily NSE Equity Futures'!$A:$A,$A268)=0,"",SUMIFS('Daily NSE Equity Futures'!$J:$J,'Daily NSE Equity Futures'!$A:$A,$A268))</f>
        <v>2052359</v>
      </c>
      <c r="Q268" s="7">
        <f>IF(SUMIFS('Daily BSE Equity Futures'!$J:$J,'Daily BSE Equity Futures'!$A:$A,$A268)=0,"",SUMIFS('Daily BSE Equity Futures'!$J:$J,'Daily BSE Equity Futures'!$A:$A,$A268))</f>
        <v>109</v>
      </c>
      <c r="R268" s="7">
        <f t="shared" si="54"/>
        <v>2052468</v>
      </c>
      <c r="S268" s="19">
        <f t="shared" si="55"/>
        <v>0.99994689320369423</v>
      </c>
      <c r="T268" s="19">
        <f t="shared" si="56"/>
        <v>5.3106796305715848E-5</v>
      </c>
    </row>
    <row r="269" spans="1:20" x14ac:dyDescent="0.2">
      <c r="A269" s="9">
        <v>44316</v>
      </c>
      <c r="B269" s="4" t="s">
        <v>222</v>
      </c>
      <c r="C269" s="8">
        <v>44287</v>
      </c>
      <c r="D269" s="4" t="s">
        <v>177</v>
      </c>
      <c r="E269" s="14">
        <f>IF(SUMIFS('Daily NSE Equity Futures'!$I:$I,'Daily NSE Equity Futures'!$A:$A,$A269)=0,"",SUMIFS('Daily NSE Equity Futures'!$I:$I,'Daily NSE Equity Futures'!$A:$A,$A269))</f>
        <v>1083.1353999999999</v>
      </c>
      <c r="F269" s="6">
        <f>IF(SUMIFS('Daily BSE Equity Futures'!$I:$I,'Daily BSE Equity Futures'!$A:$A,$A269)=0,"",SUMIFS('Daily BSE Equity Futures'!$I:$I,'Daily BSE Equity Futures'!$A:$A,$A269))</f>
        <v>7.0000000000000001E-3</v>
      </c>
      <c r="G269" s="6">
        <f t="shared" si="48"/>
        <v>1083.1424</v>
      </c>
      <c r="H269" s="15">
        <f t="shared" si="49"/>
        <v>0.99999353732251639</v>
      </c>
      <c r="I269" s="15">
        <f t="shared" si="50"/>
        <v>6.4626774835884928E-6</v>
      </c>
      <c r="J269" s="20">
        <f t="shared" si="51"/>
        <v>-0.16986825241097081</v>
      </c>
      <c r="K269" s="15">
        <f t="shared" si="52"/>
        <v>-0.98380754105944945</v>
      </c>
      <c r="L269" s="15">
        <f t="shared" si="53"/>
        <v>-0.17013783860896914</v>
      </c>
      <c r="M269" s="15">
        <f t="shared" si="57"/>
        <v>-0.44429297378093613</v>
      </c>
      <c r="N269" s="15">
        <f t="shared" si="58"/>
        <v>-0.94518402505873145</v>
      </c>
      <c r="O269" s="15">
        <f t="shared" si="59"/>
        <v>-0.44432578851244586</v>
      </c>
      <c r="P269" s="18">
        <f>IF(SUMIFS('Daily NSE Equity Futures'!$J:$J,'Daily NSE Equity Futures'!$A:$A,$A269)=0,"",SUMIFS('Daily NSE Equity Futures'!$J:$J,'Daily NSE Equity Futures'!$A:$A,$A269))</f>
        <v>1331677</v>
      </c>
      <c r="Q269" s="7">
        <f>IF(SUMIFS('Daily BSE Equity Futures'!$J:$J,'Daily BSE Equity Futures'!$A:$A,$A269)=0,"",SUMIFS('Daily BSE Equity Futures'!$J:$J,'Daily BSE Equity Futures'!$A:$A,$A269))</f>
        <v>6</v>
      </c>
      <c r="R269" s="7">
        <f t="shared" si="54"/>
        <v>1331683</v>
      </c>
      <c r="S269" s="19">
        <f t="shared" si="55"/>
        <v>0.99999549442322233</v>
      </c>
      <c r="T269" s="19">
        <f t="shared" si="56"/>
        <v>4.5055767776565442E-6</v>
      </c>
    </row>
    <row r="270" spans="1:20" x14ac:dyDescent="0.2">
      <c r="A270" s="9">
        <v>44319</v>
      </c>
      <c r="B270" s="4" t="s">
        <v>225</v>
      </c>
      <c r="C270" s="8">
        <v>44317</v>
      </c>
      <c r="D270" s="4" t="s">
        <v>177</v>
      </c>
      <c r="E270" s="14">
        <f>IF(SUMIFS('Daily NSE Equity Futures'!$I:$I,'Daily NSE Equity Futures'!$A:$A,$A270)=0,"",SUMIFS('Daily NSE Equity Futures'!$I:$I,'Daily NSE Equity Futures'!$A:$A,$A270))</f>
        <v>975.43920000000003</v>
      </c>
      <c r="F270" s="6">
        <f>IF(SUMIFS('Daily BSE Equity Futures'!$I:$I,'Daily BSE Equity Futures'!$A:$A,$A270)=0,"",SUMIFS('Daily BSE Equity Futures'!$I:$I,'Daily BSE Equity Futures'!$A:$A,$A270))</f>
        <v>4.5999999999999999E-3</v>
      </c>
      <c r="G270" s="6">
        <f t="shared" si="48"/>
        <v>975.44380000000001</v>
      </c>
      <c r="H270" s="15">
        <f t="shared" si="49"/>
        <v>0.99999528419781847</v>
      </c>
      <c r="I270" s="15">
        <f t="shared" si="50"/>
        <v>4.7158021815300893E-6</v>
      </c>
      <c r="J270" s="20" t="str">
        <f t="shared" si="51"/>
        <v/>
      </c>
      <c r="K270" s="15" t="str">
        <f t="shared" si="52"/>
        <v/>
      </c>
      <c r="L270" s="15" t="str">
        <f t="shared" si="53"/>
        <v/>
      </c>
      <c r="M270" s="15">
        <f t="shared" si="57"/>
        <v>-9.943004355688112E-2</v>
      </c>
      <c r="N270" s="15">
        <f t="shared" si="58"/>
        <v>-0.34285714285714286</v>
      </c>
      <c r="O270" s="15">
        <f t="shared" si="59"/>
        <v>-9.9431616747714724E-2</v>
      </c>
      <c r="P270" s="18">
        <f>IF(SUMIFS('Daily NSE Equity Futures'!$J:$J,'Daily NSE Equity Futures'!$A:$A,$A270)=0,"",SUMIFS('Daily NSE Equity Futures'!$J:$J,'Daily NSE Equity Futures'!$A:$A,$A270))</f>
        <v>1209227</v>
      </c>
      <c r="Q270" s="7">
        <f>IF(SUMIFS('Daily BSE Equity Futures'!$J:$J,'Daily BSE Equity Futures'!$A:$A,$A270)=0,"",SUMIFS('Daily BSE Equity Futures'!$J:$J,'Daily BSE Equity Futures'!$A:$A,$A270))</f>
        <v>4</v>
      </c>
      <c r="R270" s="7">
        <f t="shared" si="54"/>
        <v>1209231</v>
      </c>
      <c r="S270" s="19">
        <f t="shared" si="55"/>
        <v>0.99999669211259057</v>
      </c>
      <c r="T270" s="19">
        <f t="shared" si="56"/>
        <v>3.3078874094362449E-6</v>
      </c>
    </row>
    <row r="271" spans="1:20" x14ac:dyDescent="0.2">
      <c r="A271" s="9">
        <v>44320</v>
      </c>
      <c r="B271" s="4" t="s">
        <v>223</v>
      </c>
      <c r="C271" s="8">
        <v>44317</v>
      </c>
      <c r="D271" s="4" t="s">
        <v>177</v>
      </c>
      <c r="E271" s="14">
        <f>IF(SUMIFS('Daily NSE Equity Futures'!$I:$I,'Daily NSE Equity Futures'!$A:$A,$A271)=0,"",SUMIFS('Daily NSE Equity Futures'!$I:$I,'Daily NSE Equity Futures'!$A:$A,$A271))</f>
        <v>1037.3167000000001</v>
      </c>
      <c r="F271" s="6">
        <f>IF(SUMIFS('Daily BSE Equity Futures'!$I:$I,'Daily BSE Equity Futures'!$A:$A,$A271)=0,"",SUMIFS('Daily BSE Equity Futures'!$I:$I,'Daily BSE Equity Futures'!$A:$A,$A271))</f>
        <v>0.51829999999999998</v>
      </c>
      <c r="G271" s="6">
        <f t="shared" si="48"/>
        <v>1037.835</v>
      </c>
      <c r="H271" s="15">
        <f t="shared" si="49"/>
        <v>0.99950059498860611</v>
      </c>
      <c r="I271" s="15">
        <f t="shared" si="50"/>
        <v>4.9940501139391128E-4</v>
      </c>
      <c r="J271" s="20">
        <f t="shared" si="51"/>
        <v>0.38223858015881973</v>
      </c>
      <c r="K271" s="15">
        <f t="shared" si="52"/>
        <v>21.93362831858407</v>
      </c>
      <c r="L271" s="15">
        <f t="shared" si="53"/>
        <v>0.38288757655059924</v>
      </c>
      <c r="M271" s="15">
        <f t="shared" si="57"/>
        <v>6.3435527298882466E-2</v>
      </c>
      <c r="N271" s="15">
        <f t="shared" si="58"/>
        <v>111.67391304347827</v>
      </c>
      <c r="O271" s="15">
        <f t="shared" si="59"/>
        <v>6.3961860232234935E-2</v>
      </c>
      <c r="P271" s="18">
        <f>IF(SUMIFS('Daily NSE Equity Futures'!$J:$J,'Daily NSE Equity Futures'!$A:$A,$A271)=0,"",SUMIFS('Daily NSE Equity Futures'!$J:$J,'Daily NSE Equity Futures'!$A:$A,$A271))</f>
        <v>1282228</v>
      </c>
      <c r="Q271" s="7">
        <f>IF(SUMIFS('Daily BSE Equity Futures'!$J:$J,'Daily BSE Equity Futures'!$A:$A,$A271)=0,"",SUMIFS('Daily BSE Equity Futures'!$J:$J,'Daily BSE Equity Futures'!$A:$A,$A271))</f>
        <v>449</v>
      </c>
      <c r="R271" s="7">
        <f t="shared" si="54"/>
        <v>1282677</v>
      </c>
      <c r="S271" s="19">
        <f t="shared" si="55"/>
        <v>0.99964995084499064</v>
      </c>
      <c r="T271" s="19">
        <f t="shared" si="56"/>
        <v>3.5004915500940609E-4</v>
      </c>
    </row>
    <row r="272" spans="1:20" x14ac:dyDescent="0.2">
      <c r="A272" s="9">
        <v>44321</v>
      </c>
      <c r="B272" s="4" t="s">
        <v>221</v>
      </c>
      <c r="C272" s="8">
        <v>44317</v>
      </c>
      <c r="D272" s="4" t="s">
        <v>177</v>
      </c>
      <c r="E272" s="14">
        <f>IF(SUMIFS('Daily NSE Equity Futures'!$I:$I,'Daily NSE Equity Futures'!$A:$A,$A272)=0,"",SUMIFS('Daily NSE Equity Futures'!$I:$I,'Daily NSE Equity Futures'!$A:$A,$A272))</f>
        <v>983.41719999999998</v>
      </c>
      <c r="F272" s="6">
        <f>IF(SUMIFS('Daily BSE Equity Futures'!$I:$I,'Daily BSE Equity Futures'!$A:$A,$A272)=0,"",SUMIFS('Daily BSE Equity Futures'!$I:$I,'Daily BSE Equity Futures'!$A:$A,$A272))</f>
        <v>0.1046</v>
      </c>
      <c r="G272" s="6">
        <f t="shared" si="48"/>
        <v>983.52179999999998</v>
      </c>
      <c r="H272" s="15">
        <f t="shared" si="49"/>
        <v>0.99989364750227194</v>
      </c>
      <c r="I272" s="15">
        <f t="shared" si="50"/>
        <v>1.0635249772806256E-4</v>
      </c>
      <c r="J272" s="20">
        <f t="shared" si="51"/>
        <v>0.28643672808115106</v>
      </c>
      <c r="K272" s="15">
        <f t="shared" si="52"/>
        <v>3.4892703862660941</v>
      </c>
      <c r="L272" s="15">
        <f t="shared" si="53"/>
        <v>0.28653434558515944</v>
      </c>
      <c r="M272" s="15">
        <f t="shared" si="57"/>
        <v>-5.1960505407847135E-2</v>
      </c>
      <c r="N272" s="15">
        <f t="shared" si="58"/>
        <v>-0.7981863785452441</v>
      </c>
      <c r="O272" s="15">
        <f t="shared" si="59"/>
        <v>-5.2333174348523692E-2</v>
      </c>
      <c r="P272" s="18">
        <f>IF(SUMIFS('Daily NSE Equity Futures'!$J:$J,'Daily NSE Equity Futures'!$A:$A,$A272)=0,"",SUMIFS('Daily NSE Equity Futures'!$J:$J,'Daily NSE Equity Futures'!$A:$A,$A272))</f>
        <v>1201741</v>
      </c>
      <c r="Q272" s="7">
        <f>IF(SUMIFS('Daily BSE Equity Futures'!$J:$J,'Daily BSE Equity Futures'!$A:$A,$A272)=0,"",SUMIFS('Daily BSE Equity Futures'!$J:$J,'Daily BSE Equity Futures'!$A:$A,$A272))</f>
        <v>91</v>
      </c>
      <c r="R272" s="7">
        <f t="shared" si="54"/>
        <v>1201832</v>
      </c>
      <c r="S272" s="19">
        <f t="shared" si="55"/>
        <v>0.9999242822624127</v>
      </c>
      <c r="T272" s="19">
        <f t="shared" si="56"/>
        <v>7.5717737587283412E-5</v>
      </c>
    </row>
    <row r="273" spans="1:20" x14ac:dyDescent="0.2">
      <c r="A273" s="9">
        <v>44322</v>
      </c>
      <c r="B273" s="4" t="s">
        <v>224</v>
      </c>
      <c r="C273" s="8">
        <v>44317</v>
      </c>
      <c r="D273" s="4" t="s">
        <v>177</v>
      </c>
      <c r="E273" s="14">
        <f>IF(SUMIFS('Daily NSE Equity Futures'!$I:$I,'Daily NSE Equity Futures'!$A:$A,$A273)=0,"",SUMIFS('Daily NSE Equity Futures'!$I:$I,'Daily NSE Equity Futures'!$A:$A,$A273))</f>
        <v>918.33090000000004</v>
      </c>
      <c r="F273" s="6">
        <f>IF(SUMIFS('Daily BSE Equity Futures'!$I:$I,'Daily BSE Equity Futures'!$A:$A,$A273)=0,"",SUMIFS('Daily BSE Equity Futures'!$I:$I,'Daily BSE Equity Futures'!$A:$A,$A273))</f>
        <v>9.0300000000000005E-2</v>
      </c>
      <c r="G273" s="6">
        <f t="shared" si="48"/>
        <v>918.4212</v>
      </c>
      <c r="H273" s="15">
        <f t="shared" si="49"/>
        <v>0.99990167909887107</v>
      </c>
      <c r="I273" s="15">
        <f t="shared" si="50"/>
        <v>9.8320901129024462E-5</v>
      </c>
      <c r="J273" s="20">
        <f t="shared" si="51"/>
        <v>5.8443282061897639E-2</v>
      </c>
      <c r="K273" s="15">
        <f t="shared" si="52"/>
        <v>7.2090909090909108</v>
      </c>
      <c r="L273" s="15">
        <f t="shared" si="53"/>
        <v>5.8533938979647093E-2</v>
      </c>
      <c r="M273" s="15">
        <f t="shared" si="57"/>
        <v>-6.6183812933107045E-2</v>
      </c>
      <c r="N273" s="15">
        <f t="shared" si="58"/>
        <v>-0.13671128107074559</v>
      </c>
      <c r="O273" s="15">
        <f t="shared" si="59"/>
        <v>-6.619131370550202E-2</v>
      </c>
      <c r="P273" s="18">
        <f>IF(SUMIFS('Daily NSE Equity Futures'!$J:$J,'Daily NSE Equity Futures'!$A:$A,$A273)=0,"",SUMIFS('Daily NSE Equity Futures'!$J:$J,'Daily NSE Equity Futures'!$A:$A,$A273))</f>
        <v>1107560</v>
      </c>
      <c r="Q273" s="7">
        <f>IF(SUMIFS('Daily BSE Equity Futures'!$J:$J,'Daily BSE Equity Futures'!$A:$A,$A273)=0,"",SUMIFS('Daily BSE Equity Futures'!$J:$J,'Daily BSE Equity Futures'!$A:$A,$A273))</f>
        <v>78</v>
      </c>
      <c r="R273" s="7">
        <f t="shared" si="54"/>
        <v>1107638</v>
      </c>
      <c r="S273" s="19">
        <f t="shared" si="55"/>
        <v>0.99992957988079134</v>
      </c>
      <c r="T273" s="19">
        <f t="shared" si="56"/>
        <v>7.042011920862231E-5</v>
      </c>
    </row>
    <row r="274" spans="1:20" x14ac:dyDescent="0.2">
      <c r="A274" s="9">
        <v>44323</v>
      </c>
      <c r="B274" s="4" t="s">
        <v>222</v>
      </c>
      <c r="C274" s="8">
        <v>44317</v>
      </c>
      <c r="D274" s="4" t="s">
        <v>177</v>
      </c>
      <c r="E274" s="14">
        <f>IF(SUMIFS('Daily NSE Equity Futures'!$I:$I,'Daily NSE Equity Futures'!$A:$A,$A274)=0,"",SUMIFS('Daily NSE Equity Futures'!$I:$I,'Daily NSE Equity Futures'!$A:$A,$A274))</f>
        <v>955.17949999999996</v>
      </c>
      <c r="F274" s="6">
        <f>IF(SUMIFS('Daily BSE Equity Futures'!$I:$I,'Daily BSE Equity Futures'!$A:$A,$A274)=0,"",SUMIFS('Daily BSE Equity Futures'!$I:$I,'Daily BSE Equity Futures'!$A:$A,$A274))</f>
        <v>7.9399999999999998E-2</v>
      </c>
      <c r="G274" s="6">
        <f t="shared" si="48"/>
        <v>955.25889999999993</v>
      </c>
      <c r="H274" s="15">
        <f t="shared" si="49"/>
        <v>0.99991688117221422</v>
      </c>
      <c r="I274" s="15">
        <f t="shared" si="50"/>
        <v>8.3118827785849469E-5</v>
      </c>
      <c r="J274" s="20">
        <f t="shared" si="51"/>
        <v>0.30187810032390905</v>
      </c>
      <c r="K274" s="15">
        <f t="shared" si="52"/>
        <v>7.3578947368421055</v>
      </c>
      <c r="L274" s="15">
        <f t="shared" si="53"/>
        <v>0.30196946175768669</v>
      </c>
      <c r="M274" s="15">
        <f t="shared" si="57"/>
        <v>4.0125623563358248E-2</v>
      </c>
      <c r="N274" s="15">
        <f t="shared" si="58"/>
        <v>-0.12070874861572545</v>
      </c>
      <c r="O274" s="15">
        <f t="shared" si="59"/>
        <v>4.0109810182953121E-2</v>
      </c>
      <c r="P274" s="18">
        <f>IF(SUMIFS('Daily NSE Equity Futures'!$J:$J,'Daily NSE Equity Futures'!$A:$A,$A274)=0,"",SUMIFS('Daily NSE Equity Futures'!$J:$J,'Daily NSE Equity Futures'!$A:$A,$A274))</f>
        <v>1134669</v>
      </c>
      <c r="Q274" s="7">
        <f>IF(SUMIFS('Daily BSE Equity Futures'!$J:$J,'Daily BSE Equity Futures'!$A:$A,$A274)=0,"",SUMIFS('Daily BSE Equity Futures'!$J:$J,'Daily BSE Equity Futures'!$A:$A,$A274))</f>
        <v>68</v>
      </c>
      <c r="R274" s="7">
        <f t="shared" si="54"/>
        <v>1134737</v>
      </c>
      <c r="S274" s="19">
        <f t="shared" si="55"/>
        <v>0.99994007421984121</v>
      </c>
      <c r="T274" s="19">
        <f t="shared" si="56"/>
        <v>5.9925780158750441E-5</v>
      </c>
    </row>
    <row r="275" spans="1:20" x14ac:dyDescent="0.2">
      <c r="A275" s="9">
        <v>44326</v>
      </c>
      <c r="B275" s="4" t="s">
        <v>225</v>
      </c>
      <c r="C275" s="8">
        <v>44317</v>
      </c>
      <c r="D275" s="4" t="s">
        <v>177</v>
      </c>
      <c r="E275" s="14">
        <f>IF(SUMIFS('Daily NSE Equity Futures'!$I:$I,'Daily NSE Equity Futures'!$A:$A,$A275)=0,"",SUMIFS('Daily NSE Equity Futures'!$I:$I,'Daily NSE Equity Futures'!$A:$A,$A275))</f>
        <v>869.94730000000004</v>
      </c>
      <c r="F275" s="6">
        <f>IF(SUMIFS('Daily BSE Equity Futures'!$I:$I,'Daily BSE Equity Futures'!$A:$A,$A275)=0,"",SUMIFS('Daily BSE Equity Futures'!$I:$I,'Daily BSE Equity Futures'!$A:$A,$A275))</f>
        <v>1.29E-2</v>
      </c>
      <c r="G275" s="6">
        <f t="shared" si="48"/>
        <v>869.96019999999999</v>
      </c>
      <c r="H275" s="15">
        <f t="shared" si="49"/>
        <v>0.99998517173544266</v>
      </c>
      <c r="I275" s="15">
        <f t="shared" si="50"/>
        <v>1.4828264557390097E-5</v>
      </c>
      <c r="J275" s="20" t="str">
        <f t="shared" si="51"/>
        <v/>
      </c>
      <c r="K275" s="15" t="str">
        <f t="shared" si="52"/>
        <v/>
      </c>
      <c r="L275" s="15" t="str">
        <f t="shared" si="53"/>
        <v/>
      </c>
      <c r="M275" s="15">
        <f t="shared" si="57"/>
        <v>-8.9231605159030281E-2</v>
      </c>
      <c r="N275" s="15">
        <f t="shared" si="58"/>
        <v>-0.83753148614609574</v>
      </c>
      <c r="O275" s="15">
        <f t="shared" si="59"/>
        <v>-8.9293802967970182E-2</v>
      </c>
      <c r="P275" s="18">
        <f>IF(SUMIFS('Daily NSE Equity Futures'!$J:$J,'Daily NSE Equity Futures'!$A:$A,$A275)=0,"",SUMIFS('Daily NSE Equity Futures'!$J:$J,'Daily NSE Equity Futures'!$A:$A,$A275))</f>
        <v>1061457</v>
      </c>
      <c r="Q275" s="7">
        <f>IF(SUMIFS('Daily BSE Equity Futures'!$J:$J,'Daily BSE Equity Futures'!$A:$A,$A275)=0,"",SUMIFS('Daily BSE Equity Futures'!$J:$J,'Daily BSE Equity Futures'!$A:$A,$A275))</f>
        <v>11</v>
      </c>
      <c r="R275" s="7">
        <f t="shared" si="54"/>
        <v>1061468</v>
      </c>
      <c r="S275" s="19">
        <f t="shared" si="55"/>
        <v>0.99998963699329613</v>
      </c>
      <c r="T275" s="19">
        <f t="shared" si="56"/>
        <v>1.0363006703923246E-5</v>
      </c>
    </row>
    <row r="276" spans="1:20" x14ac:dyDescent="0.2">
      <c r="A276" s="9">
        <v>44327</v>
      </c>
      <c r="B276" s="4" t="s">
        <v>223</v>
      </c>
      <c r="C276" s="8">
        <v>44317</v>
      </c>
      <c r="D276" s="4" t="s">
        <v>177</v>
      </c>
      <c r="E276" s="14">
        <f>IF(SUMIFS('Daily NSE Equity Futures'!$I:$I,'Daily NSE Equity Futures'!$A:$A,$A276)=0,"",SUMIFS('Daily NSE Equity Futures'!$I:$I,'Daily NSE Equity Futures'!$A:$A,$A276))</f>
        <v>987.39679999999998</v>
      </c>
      <c r="F276" s="6">
        <f>IF(SUMIFS('Daily BSE Equity Futures'!$I:$I,'Daily BSE Equity Futures'!$A:$A,$A276)=0,"",SUMIFS('Daily BSE Equity Futures'!$I:$I,'Daily BSE Equity Futures'!$A:$A,$A276))</f>
        <v>1.4E-2</v>
      </c>
      <c r="G276" s="6">
        <f t="shared" si="48"/>
        <v>987.41079999999999</v>
      </c>
      <c r="H276" s="15">
        <f t="shared" si="49"/>
        <v>0.99998582150407911</v>
      </c>
      <c r="I276" s="15">
        <f t="shared" si="50"/>
        <v>1.4178495920846723E-5</v>
      </c>
      <c r="J276" s="20">
        <f t="shared" si="51"/>
        <v>0.31351096873011652</v>
      </c>
      <c r="K276" s="15">
        <f t="shared" si="52"/>
        <v>-0.46969696969696972</v>
      </c>
      <c r="L276" s="15">
        <f t="shared" si="53"/>
        <v>0.3134834639774382</v>
      </c>
      <c r="M276" s="15">
        <f t="shared" si="57"/>
        <v>0.13500760333413298</v>
      </c>
      <c r="N276" s="15">
        <f t="shared" si="58"/>
        <v>8.5271317829457294E-2</v>
      </c>
      <c r="O276" s="15">
        <f t="shared" si="59"/>
        <v>0.13500686583133348</v>
      </c>
      <c r="P276" s="18">
        <f>IF(SUMIFS('Daily NSE Equity Futures'!$J:$J,'Daily NSE Equity Futures'!$A:$A,$A276)=0,"",SUMIFS('Daily NSE Equity Futures'!$J:$J,'Daily NSE Equity Futures'!$A:$A,$A276))</f>
        <v>1185183</v>
      </c>
      <c r="Q276" s="7">
        <f>IF(SUMIFS('Daily BSE Equity Futures'!$J:$J,'Daily BSE Equity Futures'!$A:$A,$A276)=0,"",SUMIFS('Daily BSE Equity Futures'!$J:$J,'Daily BSE Equity Futures'!$A:$A,$A276))</f>
        <v>12</v>
      </c>
      <c r="R276" s="7">
        <f t="shared" si="54"/>
        <v>1185195</v>
      </c>
      <c r="S276" s="19">
        <f t="shared" si="55"/>
        <v>0.99998987508384696</v>
      </c>
      <c r="T276" s="19">
        <f t="shared" si="56"/>
        <v>1.0124916153038107E-5</v>
      </c>
    </row>
    <row r="277" spans="1:20" x14ac:dyDescent="0.2">
      <c r="A277" s="9">
        <v>44328</v>
      </c>
      <c r="B277" s="4" t="s">
        <v>221</v>
      </c>
      <c r="C277" s="8">
        <v>44317</v>
      </c>
      <c r="D277" s="4" t="s">
        <v>177</v>
      </c>
      <c r="E277" s="14">
        <f>IF(SUMIFS('Daily NSE Equity Futures'!$I:$I,'Daily NSE Equity Futures'!$A:$A,$A277)=0,"",SUMIFS('Daily NSE Equity Futures'!$I:$I,'Daily NSE Equity Futures'!$A:$A,$A277))</f>
        <v>1112.5769</v>
      </c>
      <c r="F277" s="6">
        <f>IF(SUMIFS('Daily BSE Equity Futures'!$I:$I,'Daily BSE Equity Futures'!$A:$A,$A277)=0,"",SUMIFS('Daily BSE Equity Futures'!$I:$I,'Daily BSE Equity Futures'!$A:$A,$A277))</f>
        <v>1.7399999999999999E-2</v>
      </c>
      <c r="G277" s="6">
        <f t="shared" si="48"/>
        <v>1112.5943</v>
      </c>
      <c r="H277" s="15">
        <f t="shared" si="49"/>
        <v>0.99998436087619724</v>
      </c>
      <c r="I277" s="15">
        <f t="shared" si="50"/>
        <v>1.5639123802809344E-5</v>
      </c>
      <c r="J277" s="20">
        <f t="shared" si="51"/>
        <v>0.26456381303798504</v>
      </c>
      <c r="K277" s="15">
        <f t="shared" si="52"/>
        <v>-0.83365200764818359</v>
      </c>
      <c r="L277" s="15">
        <f t="shared" si="53"/>
        <v>0.26443326256137811</v>
      </c>
      <c r="M277" s="15">
        <f t="shared" si="57"/>
        <v>0.12677790732155514</v>
      </c>
      <c r="N277" s="15">
        <f t="shared" si="58"/>
        <v>0.24285714285714266</v>
      </c>
      <c r="O277" s="15">
        <f t="shared" si="59"/>
        <v>0.12677955315052247</v>
      </c>
      <c r="P277" s="18">
        <f>IF(SUMIFS('Daily NSE Equity Futures'!$J:$J,'Daily NSE Equity Futures'!$A:$A,$A277)=0,"",SUMIFS('Daily NSE Equity Futures'!$J:$J,'Daily NSE Equity Futures'!$A:$A,$A277))</f>
        <v>1334621</v>
      </c>
      <c r="Q277" s="7">
        <f>IF(SUMIFS('Daily BSE Equity Futures'!$J:$J,'Daily BSE Equity Futures'!$A:$A,$A277)=0,"",SUMIFS('Daily BSE Equity Futures'!$J:$J,'Daily BSE Equity Futures'!$A:$A,$A277))</f>
        <v>15</v>
      </c>
      <c r="R277" s="7">
        <f t="shared" si="54"/>
        <v>1334636</v>
      </c>
      <c r="S277" s="19">
        <f t="shared" si="55"/>
        <v>0.99998876098052203</v>
      </c>
      <c r="T277" s="19">
        <f t="shared" si="56"/>
        <v>1.1239019477970024E-5</v>
      </c>
    </row>
    <row r="278" spans="1:20" x14ac:dyDescent="0.2">
      <c r="A278" s="9">
        <v>44330</v>
      </c>
      <c r="B278" s="4" t="s">
        <v>222</v>
      </c>
      <c r="C278" s="8">
        <v>44317</v>
      </c>
      <c r="D278" s="4" t="s">
        <v>177</v>
      </c>
      <c r="E278" s="14">
        <f>IF(SUMIFS('Daily NSE Equity Futures'!$I:$I,'Daily NSE Equity Futures'!$A:$A,$A278)=0,"",SUMIFS('Daily NSE Equity Futures'!$I:$I,'Daily NSE Equity Futures'!$A:$A,$A278))</f>
        <v>1101.2221</v>
      </c>
      <c r="F278" s="6">
        <f>IF(SUMIFS('Daily BSE Equity Futures'!$I:$I,'Daily BSE Equity Futures'!$A:$A,$A278)=0,"",SUMIFS('Daily BSE Equity Futures'!$I:$I,'Daily BSE Equity Futures'!$A:$A,$A278))</f>
        <v>5.1900000000000002E-2</v>
      </c>
      <c r="G278" s="6">
        <f t="shared" si="48"/>
        <v>1101.2739999999999</v>
      </c>
      <c r="H278" s="15">
        <f t="shared" si="49"/>
        <v>0.99995287276372646</v>
      </c>
      <c r="I278" s="15">
        <f t="shared" si="50"/>
        <v>4.7127236273624917E-5</v>
      </c>
      <c r="J278" s="20">
        <f t="shared" si="51"/>
        <v>0.45374127568121292</v>
      </c>
      <c r="K278" s="15">
        <f t="shared" si="52"/>
        <v>-0.14778325123152714</v>
      </c>
      <c r="L278" s="15">
        <f t="shared" si="53"/>
        <v>0.45369291995365701</v>
      </c>
      <c r="M278" s="15">
        <f t="shared" si="57"/>
        <v>-1.0205856332268004E-2</v>
      </c>
      <c r="N278" s="15">
        <f t="shared" si="58"/>
        <v>1.9827586206896557</v>
      </c>
      <c r="O278" s="15">
        <f t="shared" si="59"/>
        <v>-1.017468811407729E-2</v>
      </c>
      <c r="P278" s="18">
        <f>IF(SUMIFS('Daily NSE Equity Futures'!$J:$J,'Daily NSE Equity Futures'!$A:$A,$A278)=0,"",SUMIFS('Daily NSE Equity Futures'!$J:$J,'Daily NSE Equity Futures'!$A:$A,$A278))</f>
        <v>1340900</v>
      </c>
      <c r="Q278" s="7">
        <f>IF(SUMIFS('Daily BSE Equity Futures'!$J:$J,'Daily BSE Equity Futures'!$A:$A,$A278)=0,"",SUMIFS('Daily BSE Equity Futures'!$J:$J,'Daily BSE Equity Futures'!$A:$A,$A278))</f>
        <v>45</v>
      </c>
      <c r="R278" s="7">
        <f t="shared" si="54"/>
        <v>1340945</v>
      </c>
      <c r="S278" s="19">
        <f t="shared" si="55"/>
        <v>0.99996644157664927</v>
      </c>
      <c r="T278" s="19">
        <f t="shared" si="56"/>
        <v>3.3558423350696709E-5</v>
      </c>
    </row>
    <row r="279" spans="1:20" x14ac:dyDescent="0.2">
      <c r="A279" s="9">
        <v>44333</v>
      </c>
      <c r="B279" s="4" t="s">
        <v>225</v>
      </c>
      <c r="C279" s="8">
        <v>44317</v>
      </c>
      <c r="D279" s="4" t="s">
        <v>177</v>
      </c>
      <c r="E279" s="14">
        <f>IF(SUMIFS('Daily NSE Equity Futures'!$I:$I,'Daily NSE Equity Futures'!$A:$A,$A279)=0,"",SUMIFS('Daily NSE Equity Futures'!$I:$I,'Daily NSE Equity Futures'!$A:$A,$A279))</f>
        <v>1054.4274</v>
      </c>
      <c r="F279" s="6">
        <f>IF(SUMIFS('Daily BSE Equity Futures'!$I:$I,'Daily BSE Equity Futures'!$A:$A,$A279)=0,"",SUMIFS('Daily BSE Equity Futures'!$I:$I,'Daily BSE Equity Futures'!$A:$A,$A279))</f>
        <v>3.1399999999999997E-2</v>
      </c>
      <c r="G279" s="6">
        <f t="shared" si="48"/>
        <v>1054.4588000000001</v>
      </c>
      <c r="H279" s="15">
        <f t="shared" si="49"/>
        <v>0.99997022169097538</v>
      </c>
      <c r="I279" s="15">
        <f t="shared" si="50"/>
        <v>2.9778309024496732E-5</v>
      </c>
      <c r="J279" s="20" t="str">
        <f t="shared" si="51"/>
        <v/>
      </c>
      <c r="K279" s="15" t="str">
        <f t="shared" si="52"/>
        <v/>
      </c>
      <c r="L279" s="15" t="str">
        <f t="shared" si="53"/>
        <v/>
      </c>
      <c r="M279" s="15">
        <f t="shared" si="57"/>
        <v>-4.2493426167164561E-2</v>
      </c>
      <c r="N279" s="15">
        <f t="shared" si="58"/>
        <v>-0.39499036608863203</v>
      </c>
      <c r="O279" s="15">
        <f t="shared" si="59"/>
        <v>-4.2510038373737902E-2</v>
      </c>
      <c r="P279" s="18">
        <f>IF(SUMIFS('Daily NSE Equity Futures'!$J:$J,'Daily NSE Equity Futures'!$A:$A,$A279)=0,"",SUMIFS('Daily NSE Equity Futures'!$J:$J,'Daily NSE Equity Futures'!$A:$A,$A279))</f>
        <v>1308432</v>
      </c>
      <c r="Q279" s="7">
        <f>IF(SUMIFS('Daily BSE Equity Futures'!$J:$J,'Daily BSE Equity Futures'!$A:$A,$A279)=0,"",SUMIFS('Daily BSE Equity Futures'!$J:$J,'Daily BSE Equity Futures'!$A:$A,$A279))</f>
        <v>27</v>
      </c>
      <c r="R279" s="7">
        <f t="shared" si="54"/>
        <v>1308459</v>
      </c>
      <c r="S279" s="19">
        <f t="shared" si="55"/>
        <v>0.99997936503933249</v>
      </c>
      <c r="T279" s="19">
        <f t="shared" si="56"/>
        <v>2.0634960667472193E-5</v>
      </c>
    </row>
    <row r="280" spans="1:20" x14ac:dyDescent="0.2">
      <c r="A280" s="9">
        <v>44334</v>
      </c>
      <c r="B280" s="4" t="s">
        <v>223</v>
      </c>
      <c r="C280" s="8">
        <v>44317</v>
      </c>
      <c r="D280" s="4" t="s">
        <v>177</v>
      </c>
      <c r="E280" s="14">
        <f>IF(SUMIFS('Daily NSE Equity Futures'!$I:$I,'Daily NSE Equity Futures'!$A:$A,$A280)=0,"",SUMIFS('Daily NSE Equity Futures'!$I:$I,'Daily NSE Equity Futures'!$A:$A,$A280))</f>
        <v>1073.1479999999999</v>
      </c>
      <c r="F280" s="6">
        <f>IF(SUMIFS('Daily BSE Equity Futures'!$I:$I,'Daily BSE Equity Futures'!$A:$A,$A280)=0,"",SUMIFS('Daily BSE Equity Futures'!$I:$I,'Daily BSE Equity Futures'!$A:$A,$A280))</f>
        <v>1.9E-2</v>
      </c>
      <c r="G280" s="6">
        <f t="shared" si="48"/>
        <v>1073.1669999999999</v>
      </c>
      <c r="H280" s="15">
        <f t="shared" si="49"/>
        <v>0.99998229539298167</v>
      </c>
      <c r="I280" s="15">
        <f t="shared" si="50"/>
        <v>1.7704607018292587E-5</v>
      </c>
      <c r="J280" s="20">
        <f t="shared" si="51"/>
        <v>0.20971011880465551</v>
      </c>
      <c r="K280" s="15">
        <f t="shared" si="52"/>
        <v>-0.85714285714285721</v>
      </c>
      <c r="L280" s="15">
        <f t="shared" si="53"/>
        <v>0.20955019511528206</v>
      </c>
      <c r="M280" s="15">
        <f t="shared" si="57"/>
        <v>1.7754280664557642E-2</v>
      </c>
      <c r="N280" s="15">
        <f t="shared" si="58"/>
        <v>-0.39490445859872603</v>
      </c>
      <c r="O280" s="15">
        <f t="shared" si="59"/>
        <v>1.7741992385098326E-2</v>
      </c>
      <c r="P280" s="18">
        <f>IF(SUMIFS('Daily NSE Equity Futures'!$J:$J,'Daily NSE Equity Futures'!$A:$A,$A280)=0,"",SUMIFS('Daily NSE Equity Futures'!$J:$J,'Daily NSE Equity Futures'!$A:$A,$A280))</f>
        <v>1303116</v>
      </c>
      <c r="Q280" s="7">
        <f>IF(SUMIFS('Daily BSE Equity Futures'!$J:$J,'Daily BSE Equity Futures'!$A:$A,$A280)=0,"",SUMIFS('Daily BSE Equity Futures'!$J:$J,'Daily BSE Equity Futures'!$A:$A,$A280))</f>
        <v>16</v>
      </c>
      <c r="R280" s="7">
        <f t="shared" si="54"/>
        <v>1303132</v>
      </c>
      <c r="S280" s="19">
        <f t="shared" si="55"/>
        <v>0.99998772188849638</v>
      </c>
      <c r="T280" s="19">
        <f t="shared" si="56"/>
        <v>1.2278111503669621E-5</v>
      </c>
    </row>
    <row r="281" spans="1:20" x14ac:dyDescent="0.2">
      <c r="A281" s="9">
        <v>44335</v>
      </c>
      <c r="B281" s="4" t="s">
        <v>221</v>
      </c>
      <c r="C281" s="8">
        <v>44317</v>
      </c>
      <c r="D281" s="4" t="s">
        <v>177</v>
      </c>
      <c r="E281" s="14">
        <f>IF(SUMIFS('Daily NSE Equity Futures'!$I:$I,'Daily NSE Equity Futures'!$A:$A,$A281)=0,"",SUMIFS('Daily NSE Equity Futures'!$I:$I,'Daily NSE Equity Futures'!$A:$A,$A281))</f>
        <v>904.38879999999995</v>
      </c>
      <c r="F281" s="6">
        <f>IF(SUMIFS('Daily BSE Equity Futures'!$I:$I,'Daily BSE Equity Futures'!$A:$A,$A281)=0,"",SUMIFS('Daily BSE Equity Futures'!$I:$I,'Daily BSE Equity Futures'!$A:$A,$A281))</f>
        <v>0.12809999999999999</v>
      </c>
      <c r="G281" s="6">
        <f t="shared" si="48"/>
        <v>904.51689999999996</v>
      </c>
      <c r="H281" s="15">
        <f t="shared" si="49"/>
        <v>0.99985837743882944</v>
      </c>
      <c r="I281" s="15">
        <f t="shared" si="50"/>
        <v>1.4162256117049884E-4</v>
      </c>
      <c r="J281" s="20">
        <f t="shared" si="51"/>
        <v>2.0004585791692397E-2</v>
      </c>
      <c r="K281" s="15">
        <f t="shared" si="52"/>
        <v>-0.30794165316045385</v>
      </c>
      <c r="L281" s="15">
        <f t="shared" si="53"/>
        <v>1.9936137066030479E-2</v>
      </c>
      <c r="M281" s="15">
        <f t="shared" si="57"/>
        <v>-0.15725622188179078</v>
      </c>
      <c r="N281" s="15">
        <f t="shared" si="58"/>
        <v>5.7421052631578942</v>
      </c>
      <c r="O281" s="15">
        <f t="shared" si="59"/>
        <v>-0.15715177600503927</v>
      </c>
      <c r="P281" s="18">
        <f>IF(SUMIFS('Daily NSE Equity Futures'!$J:$J,'Daily NSE Equity Futures'!$A:$A,$A281)=0,"",SUMIFS('Daily NSE Equity Futures'!$J:$J,'Daily NSE Equity Futures'!$A:$A,$A281))</f>
        <v>1103988</v>
      </c>
      <c r="Q281" s="7">
        <f>IF(SUMIFS('Daily BSE Equity Futures'!$J:$J,'Daily BSE Equity Futures'!$A:$A,$A281)=0,"",SUMIFS('Daily BSE Equity Futures'!$J:$J,'Daily BSE Equity Futures'!$A:$A,$A281))</f>
        <v>108</v>
      </c>
      <c r="R281" s="7">
        <f t="shared" si="54"/>
        <v>1104096</v>
      </c>
      <c r="S281" s="19">
        <f t="shared" si="55"/>
        <v>0.99990218241892015</v>
      </c>
      <c r="T281" s="19">
        <f t="shared" si="56"/>
        <v>9.7817581079906091E-5</v>
      </c>
    </row>
    <row r="282" spans="1:20" x14ac:dyDescent="0.2">
      <c r="A282" s="9">
        <v>44336</v>
      </c>
      <c r="B282" s="4" t="s">
        <v>224</v>
      </c>
      <c r="C282" s="8">
        <v>44317</v>
      </c>
      <c r="D282" s="4" t="s">
        <v>177</v>
      </c>
      <c r="E282" s="14">
        <f>IF(SUMIFS('Daily NSE Equity Futures'!$I:$I,'Daily NSE Equity Futures'!$A:$A,$A282)=0,"",SUMIFS('Daily NSE Equity Futures'!$I:$I,'Daily NSE Equity Futures'!$A:$A,$A282))</f>
        <v>974.61469999999997</v>
      </c>
      <c r="F282" s="6">
        <f>IF(SUMIFS('Daily BSE Equity Futures'!$I:$I,'Daily BSE Equity Futures'!$A:$A,$A282)=0,"",SUMIFS('Daily BSE Equity Futures'!$I:$I,'Daily BSE Equity Futures'!$A:$A,$A282))</f>
        <v>0.36770000000000003</v>
      </c>
      <c r="G282" s="6">
        <f t="shared" si="48"/>
        <v>974.98239999999998</v>
      </c>
      <c r="H282" s="15">
        <f t="shared" si="49"/>
        <v>0.99962286498710129</v>
      </c>
      <c r="I282" s="15">
        <f t="shared" si="50"/>
        <v>3.7713501289869439E-4</v>
      </c>
      <c r="J282" s="20">
        <f t="shared" si="51"/>
        <v>0.15225278810584708</v>
      </c>
      <c r="K282" s="15">
        <f t="shared" si="52"/>
        <v>0.4224371373307545</v>
      </c>
      <c r="L282" s="15">
        <f t="shared" si="53"/>
        <v>0.15233533539945854</v>
      </c>
      <c r="M282" s="15">
        <f t="shared" si="57"/>
        <v>7.7650121275274486E-2</v>
      </c>
      <c r="N282" s="15">
        <f t="shared" si="58"/>
        <v>1.8704137392661986</v>
      </c>
      <c r="O282" s="15">
        <f t="shared" si="59"/>
        <v>7.790401705042771E-2</v>
      </c>
      <c r="P282" s="18">
        <f>IF(SUMIFS('Daily NSE Equity Futures'!$J:$J,'Daily NSE Equity Futures'!$A:$A,$A282)=0,"",SUMIFS('Daily NSE Equity Futures'!$J:$J,'Daily NSE Equity Futures'!$A:$A,$A282))</f>
        <v>1199524</v>
      </c>
      <c r="Q282" s="7">
        <f>IF(SUMIFS('Daily BSE Equity Futures'!$J:$J,'Daily BSE Equity Futures'!$A:$A,$A282)=0,"",SUMIFS('Daily BSE Equity Futures'!$J:$J,'Daily BSE Equity Futures'!$A:$A,$A282))</f>
        <v>312</v>
      </c>
      <c r="R282" s="7">
        <f t="shared" si="54"/>
        <v>1199836</v>
      </c>
      <c r="S282" s="19">
        <f t="shared" si="55"/>
        <v>0.99973996446180979</v>
      </c>
      <c r="T282" s="19">
        <f t="shared" si="56"/>
        <v>2.6003553819021932E-4</v>
      </c>
    </row>
    <row r="283" spans="1:20" x14ac:dyDescent="0.2">
      <c r="A283" s="9">
        <v>44337</v>
      </c>
      <c r="B283" s="4" t="s">
        <v>222</v>
      </c>
      <c r="C283" s="8">
        <v>44317</v>
      </c>
      <c r="D283" s="4" t="s">
        <v>177</v>
      </c>
      <c r="E283" s="14">
        <f>IF(SUMIFS('Daily NSE Equity Futures'!$I:$I,'Daily NSE Equity Futures'!$A:$A,$A283)=0,"",SUMIFS('Daily NSE Equity Futures'!$I:$I,'Daily NSE Equity Futures'!$A:$A,$A283))</f>
        <v>1308.5363</v>
      </c>
      <c r="F283" s="6">
        <f>IF(SUMIFS('Daily BSE Equity Futures'!$I:$I,'Daily BSE Equity Futures'!$A:$A,$A283)=0,"",SUMIFS('Daily BSE Equity Futures'!$I:$I,'Daily BSE Equity Futures'!$A:$A,$A283))</f>
        <v>1.4200000000000001E-2</v>
      </c>
      <c r="G283" s="6">
        <f t="shared" si="48"/>
        <v>1308.5505000000001</v>
      </c>
      <c r="H283" s="15">
        <f t="shared" si="49"/>
        <v>0.99998914829805952</v>
      </c>
      <c r="I283" s="15">
        <f t="shared" si="50"/>
        <v>1.0851701940429506E-5</v>
      </c>
      <c r="J283" s="20">
        <f t="shared" si="51"/>
        <v>0.63384128967620756</v>
      </c>
      <c r="K283" s="15">
        <f t="shared" si="52"/>
        <v>-0.8466522678185745</v>
      </c>
      <c r="L283" s="15">
        <f t="shared" si="53"/>
        <v>0.63367013396701743</v>
      </c>
      <c r="M283" s="15">
        <f t="shared" si="57"/>
        <v>0.34261908834332178</v>
      </c>
      <c r="N283" s="15">
        <f t="shared" si="58"/>
        <v>-0.961381561055208</v>
      </c>
      <c r="O283" s="15">
        <f t="shared" si="59"/>
        <v>0.34212730404159108</v>
      </c>
      <c r="P283" s="18">
        <f>IF(SUMIFS('Daily NSE Equity Futures'!$J:$J,'Daily NSE Equity Futures'!$A:$A,$A283)=0,"",SUMIFS('Daily NSE Equity Futures'!$J:$J,'Daily NSE Equity Futures'!$A:$A,$A283))</f>
        <v>1657748</v>
      </c>
      <c r="Q283" s="7">
        <f>IF(SUMIFS('Daily BSE Equity Futures'!$J:$J,'Daily BSE Equity Futures'!$A:$A,$A283)=0,"",SUMIFS('Daily BSE Equity Futures'!$J:$J,'Daily BSE Equity Futures'!$A:$A,$A283))</f>
        <v>12</v>
      </c>
      <c r="R283" s="7">
        <f t="shared" si="54"/>
        <v>1657760</v>
      </c>
      <c r="S283" s="19">
        <f t="shared" si="55"/>
        <v>0.9999927613164753</v>
      </c>
      <c r="T283" s="19">
        <f t="shared" si="56"/>
        <v>7.2386835247562977E-6</v>
      </c>
    </row>
    <row r="284" spans="1:20" x14ac:dyDescent="0.2">
      <c r="A284" s="9">
        <v>44340</v>
      </c>
      <c r="B284" s="4" t="s">
        <v>225</v>
      </c>
      <c r="C284" s="8">
        <v>44317</v>
      </c>
      <c r="D284" s="4" t="s">
        <v>177</v>
      </c>
      <c r="E284" s="14">
        <f>IF(SUMIFS('Daily NSE Equity Futures'!$I:$I,'Daily NSE Equity Futures'!$A:$A,$A284)=0,"",SUMIFS('Daily NSE Equity Futures'!$I:$I,'Daily NSE Equity Futures'!$A:$A,$A284))</f>
        <v>1755.8652</v>
      </c>
      <c r="F284" s="6">
        <f>IF(SUMIFS('Daily BSE Equity Futures'!$I:$I,'Daily BSE Equity Futures'!$A:$A,$A284)=0,"",SUMIFS('Daily BSE Equity Futures'!$I:$I,'Daily BSE Equity Futures'!$A:$A,$A284))</f>
        <v>6.0000000000000001E-3</v>
      </c>
      <c r="G284" s="6">
        <f t="shared" si="48"/>
        <v>1755.8712</v>
      </c>
      <c r="H284" s="15">
        <f t="shared" si="49"/>
        <v>0.99999658289286819</v>
      </c>
      <c r="I284" s="15">
        <f t="shared" si="50"/>
        <v>3.4171071317759525E-6</v>
      </c>
      <c r="J284" s="20" t="str">
        <f t="shared" si="51"/>
        <v/>
      </c>
      <c r="K284" s="15" t="str">
        <f t="shared" si="52"/>
        <v/>
      </c>
      <c r="L284" s="15" t="str">
        <f t="shared" si="53"/>
        <v/>
      </c>
      <c r="M284" s="15">
        <f t="shared" si="57"/>
        <v>0.34185440633171571</v>
      </c>
      <c r="N284" s="15">
        <f t="shared" si="58"/>
        <v>-0.57746478873239437</v>
      </c>
      <c r="O284" s="15">
        <f t="shared" si="59"/>
        <v>0.34184443015382282</v>
      </c>
      <c r="P284" s="18">
        <f>IF(SUMIFS('Daily NSE Equity Futures'!$J:$J,'Daily NSE Equity Futures'!$A:$A,$A284)=0,"",SUMIFS('Daily NSE Equity Futures'!$J:$J,'Daily NSE Equity Futures'!$A:$A,$A284))</f>
        <v>2172116</v>
      </c>
      <c r="Q284" s="7">
        <f>IF(SUMIFS('Daily BSE Equity Futures'!$J:$J,'Daily BSE Equity Futures'!$A:$A,$A284)=0,"",SUMIFS('Daily BSE Equity Futures'!$J:$J,'Daily BSE Equity Futures'!$A:$A,$A284))</f>
        <v>5</v>
      </c>
      <c r="R284" s="7">
        <f t="shared" si="54"/>
        <v>2172121</v>
      </c>
      <c r="S284" s="19">
        <f t="shared" si="55"/>
        <v>0.99999769810245376</v>
      </c>
      <c r="T284" s="19">
        <f t="shared" si="56"/>
        <v>2.3018975462232539E-6</v>
      </c>
    </row>
    <row r="285" spans="1:20" x14ac:dyDescent="0.2">
      <c r="A285" s="9">
        <v>44341</v>
      </c>
      <c r="B285" s="4" t="s">
        <v>223</v>
      </c>
      <c r="C285" s="8">
        <v>44317</v>
      </c>
      <c r="D285" s="4" t="s">
        <v>177</v>
      </c>
      <c r="E285" s="14">
        <f>IF(SUMIFS('Daily NSE Equity Futures'!$I:$I,'Daily NSE Equity Futures'!$A:$A,$A285)=0,"",SUMIFS('Daily NSE Equity Futures'!$I:$I,'Daily NSE Equity Futures'!$A:$A,$A285))</f>
        <v>1831.7673</v>
      </c>
      <c r="F285" s="6">
        <f>IF(SUMIFS('Daily BSE Equity Futures'!$I:$I,'Daily BSE Equity Futures'!$A:$A,$A285)=0,"",SUMIFS('Daily BSE Equity Futures'!$I:$I,'Daily BSE Equity Futures'!$A:$A,$A285))</f>
        <v>1.9099999999999999E-2</v>
      </c>
      <c r="G285" s="6">
        <f t="shared" si="48"/>
        <v>1831.7864</v>
      </c>
      <c r="H285" s="15">
        <f t="shared" si="49"/>
        <v>0.99998957302008573</v>
      </c>
      <c r="I285" s="15">
        <f t="shared" si="50"/>
        <v>1.0426979914252011E-5</v>
      </c>
      <c r="J285" s="20" t="str">
        <f t="shared" si="51"/>
        <v/>
      </c>
      <c r="K285" s="15" t="str">
        <f t="shared" si="52"/>
        <v/>
      </c>
      <c r="L285" s="15" t="str">
        <f t="shared" si="53"/>
        <v/>
      </c>
      <c r="M285" s="15">
        <f t="shared" si="57"/>
        <v>4.3227748918311049E-2</v>
      </c>
      <c r="N285" s="15">
        <f t="shared" si="58"/>
        <v>2.1833333333333331</v>
      </c>
      <c r="O285" s="15">
        <f t="shared" si="59"/>
        <v>4.3235061888366344E-2</v>
      </c>
      <c r="P285" s="18">
        <f>IF(SUMIFS('Daily NSE Equity Futures'!$J:$J,'Daily NSE Equity Futures'!$A:$A,$A285)=0,"",SUMIFS('Daily NSE Equity Futures'!$J:$J,'Daily NSE Equity Futures'!$A:$A,$A285))</f>
        <v>2253607</v>
      </c>
      <c r="Q285" s="7">
        <f>IF(SUMIFS('Daily BSE Equity Futures'!$J:$J,'Daily BSE Equity Futures'!$A:$A,$A285)=0,"",SUMIFS('Daily BSE Equity Futures'!$J:$J,'Daily BSE Equity Futures'!$A:$A,$A285))</f>
        <v>16</v>
      </c>
      <c r="R285" s="7">
        <f t="shared" si="54"/>
        <v>2253623</v>
      </c>
      <c r="S285" s="19">
        <f t="shared" si="55"/>
        <v>0.9999929003209499</v>
      </c>
      <c r="T285" s="19">
        <f t="shared" si="56"/>
        <v>7.0996790501339396E-6</v>
      </c>
    </row>
    <row r="286" spans="1:20" x14ac:dyDescent="0.2">
      <c r="A286" s="9">
        <v>44342</v>
      </c>
      <c r="B286" s="4" t="s">
        <v>221</v>
      </c>
      <c r="C286" s="8">
        <v>44317</v>
      </c>
      <c r="D286" s="4" t="s">
        <v>177</v>
      </c>
      <c r="E286" s="14">
        <f>IF(SUMIFS('Daily NSE Equity Futures'!$I:$I,'Daily NSE Equity Futures'!$A:$A,$A286)=0,"",SUMIFS('Daily NSE Equity Futures'!$I:$I,'Daily NSE Equity Futures'!$A:$A,$A286))</f>
        <v>1716.1452999999999</v>
      </c>
      <c r="F286" s="6">
        <f>IF(SUMIFS('Daily BSE Equity Futures'!$I:$I,'Daily BSE Equity Futures'!$A:$A,$A286)=0,"",SUMIFS('Daily BSE Equity Futures'!$I:$I,'Daily BSE Equity Futures'!$A:$A,$A286))</f>
        <v>7.2099999999999997E-2</v>
      </c>
      <c r="G286" s="6">
        <f t="shared" si="48"/>
        <v>1716.2174</v>
      </c>
      <c r="H286" s="15">
        <f t="shared" si="49"/>
        <v>0.9999579890053556</v>
      </c>
      <c r="I286" s="15">
        <f t="shared" si="50"/>
        <v>4.2010994644384792E-5</v>
      </c>
      <c r="J286" s="20">
        <f t="shared" si="51"/>
        <v>0.26076059154932874</v>
      </c>
      <c r="K286" s="15">
        <f t="shared" si="52"/>
        <v>0.4896694214876034</v>
      </c>
      <c r="L286" s="15">
        <f t="shared" si="53"/>
        <v>0.26076873054908201</v>
      </c>
      <c r="M286" s="15">
        <f t="shared" si="57"/>
        <v>-6.3120462954000756E-2</v>
      </c>
      <c r="N286" s="15">
        <f t="shared" si="58"/>
        <v>2.7748691099476441</v>
      </c>
      <c r="O286" s="15">
        <f t="shared" si="59"/>
        <v>-6.3090871293727258E-2</v>
      </c>
      <c r="P286" s="18">
        <f>IF(SUMIFS('Daily NSE Equity Futures'!$J:$J,'Daily NSE Equity Futures'!$A:$A,$A286)=0,"",SUMIFS('Daily NSE Equity Futures'!$J:$J,'Daily NSE Equity Futures'!$A:$A,$A286))</f>
        <v>2087456</v>
      </c>
      <c r="Q286" s="7">
        <f>IF(SUMIFS('Daily BSE Equity Futures'!$J:$J,'Daily BSE Equity Futures'!$A:$A,$A286)=0,"",SUMIFS('Daily BSE Equity Futures'!$J:$J,'Daily BSE Equity Futures'!$A:$A,$A286))</f>
        <v>60</v>
      </c>
      <c r="R286" s="7">
        <f t="shared" si="54"/>
        <v>2087516</v>
      </c>
      <c r="S286" s="19">
        <f t="shared" si="55"/>
        <v>0.99997125770533013</v>
      </c>
      <c r="T286" s="19">
        <f t="shared" si="56"/>
        <v>2.8742294669837261E-5</v>
      </c>
    </row>
    <row r="287" spans="1:20" x14ac:dyDescent="0.2">
      <c r="A287" s="9">
        <v>44343</v>
      </c>
      <c r="B287" s="4" t="s">
        <v>224</v>
      </c>
      <c r="C287" s="8">
        <v>44317</v>
      </c>
      <c r="D287" s="4" t="s">
        <v>177</v>
      </c>
      <c r="E287" s="14">
        <f>IF(SUMIFS('Daily NSE Equity Futures'!$I:$I,'Daily NSE Equity Futures'!$A:$A,$A287)=0,"",SUMIFS('Daily NSE Equity Futures'!$I:$I,'Daily NSE Equity Futures'!$A:$A,$A287))</f>
        <v>2013.7011</v>
      </c>
      <c r="F287" s="6">
        <f>IF(SUMIFS('Daily BSE Equity Futures'!$I:$I,'Daily BSE Equity Futures'!$A:$A,$A287)=0,"",SUMIFS('Daily BSE Equity Futures'!$I:$I,'Daily BSE Equity Futures'!$A:$A,$A287))</f>
        <v>0.25750000000000001</v>
      </c>
      <c r="G287" s="6">
        <f t="shared" si="48"/>
        <v>2013.9585999999999</v>
      </c>
      <c r="H287" s="15">
        <f t="shared" si="49"/>
        <v>0.99987214235684885</v>
      </c>
      <c r="I287" s="15">
        <f t="shared" si="50"/>
        <v>1.2785764315115516E-4</v>
      </c>
      <c r="J287" s="20">
        <f t="shared" si="51"/>
        <v>0.27904501496653977</v>
      </c>
      <c r="K287" s="15">
        <f t="shared" si="52"/>
        <v>3.5254833040421794</v>
      </c>
      <c r="L287" s="15">
        <f t="shared" si="53"/>
        <v>0.2791623410422337</v>
      </c>
      <c r="M287" s="15">
        <f t="shared" si="57"/>
        <v>0.1733861346122616</v>
      </c>
      <c r="N287" s="15">
        <f t="shared" si="58"/>
        <v>2.5714285714285716</v>
      </c>
      <c r="O287" s="15">
        <f t="shared" si="59"/>
        <v>0.17348687876023172</v>
      </c>
      <c r="P287" s="18">
        <f>IF(SUMIFS('Daily NSE Equity Futures'!$J:$J,'Daily NSE Equity Futures'!$A:$A,$A287)=0,"",SUMIFS('Daily NSE Equity Futures'!$J:$J,'Daily NSE Equity Futures'!$A:$A,$A287))</f>
        <v>2456255</v>
      </c>
      <c r="Q287" s="7">
        <f>IF(SUMIFS('Daily BSE Equity Futures'!$J:$J,'Daily BSE Equity Futures'!$A:$A,$A287)=0,"",SUMIFS('Daily BSE Equity Futures'!$J:$J,'Daily BSE Equity Futures'!$A:$A,$A287))</f>
        <v>214</v>
      </c>
      <c r="R287" s="7">
        <f t="shared" si="54"/>
        <v>2456469</v>
      </c>
      <c r="S287" s="19">
        <f t="shared" si="55"/>
        <v>0.99991288308543691</v>
      </c>
      <c r="T287" s="19">
        <f t="shared" si="56"/>
        <v>8.7116914563139207E-5</v>
      </c>
    </row>
    <row r="288" spans="1:20" x14ac:dyDescent="0.2">
      <c r="A288" s="9">
        <v>44344</v>
      </c>
      <c r="B288" s="4" t="s">
        <v>222</v>
      </c>
      <c r="C288" s="8">
        <v>44317</v>
      </c>
      <c r="D288" s="4" t="s">
        <v>177</v>
      </c>
      <c r="E288" s="14">
        <f>IF(SUMIFS('Daily NSE Equity Futures'!$I:$I,'Daily NSE Equity Futures'!$A:$A,$A288)=0,"",SUMIFS('Daily NSE Equity Futures'!$I:$I,'Daily NSE Equity Futures'!$A:$A,$A288))</f>
        <v>979.23860000000002</v>
      </c>
      <c r="F288" s="6">
        <f>IF(SUMIFS('Daily BSE Equity Futures'!$I:$I,'Daily BSE Equity Futures'!$A:$A,$A288)=0,"",SUMIFS('Daily BSE Equity Futures'!$I:$I,'Daily BSE Equity Futures'!$A:$A,$A288))</f>
        <v>6.1000000000000004E-3</v>
      </c>
      <c r="G288" s="6">
        <f t="shared" si="48"/>
        <v>979.24469999999997</v>
      </c>
      <c r="H288" s="15">
        <f t="shared" si="49"/>
        <v>0.9999937707092007</v>
      </c>
      <c r="I288" s="15">
        <f t="shared" si="50"/>
        <v>6.2292907993272783E-6</v>
      </c>
      <c r="J288" s="20">
        <f t="shared" si="51"/>
        <v>-0.31569328362521787</v>
      </c>
      <c r="K288" s="15">
        <f t="shared" si="52"/>
        <v>-0.99568141592920356</v>
      </c>
      <c r="L288" s="15">
        <f t="shared" si="53"/>
        <v>-0.31636382193821833</v>
      </c>
      <c r="M288" s="15">
        <f t="shared" si="57"/>
        <v>-0.51371203998448434</v>
      </c>
      <c r="N288" s="15">
        <f t="shared" si="58"/>
        <v>-0.97631067961165052</v>
      </c>
      <c r="O288" s="15">
        <f t="shared" si="59"/>
        <v>-0.51377118675627198</v>
      </c>
      <c r="P288" s="18">
        <f>IF(SUMIFS('Daily NSE Equity Futures'!$J:$J,'Daily NSE Equity Futures'!$A:$A,$A288)=0,"",SUMIFS('Daily NSE Equity Futures'!$J:$J,'Daily NSE Equity Futures'!$A:$A,$A288))</f>
        <v>1212444</v>
      </c>
      <c r="Q288" s="7">
        <f>IF(SUMIFS('Daily BSE Equity Futures'!$J:$J,'Daily BSE Equity Futures'!$A:$A,$A288)=0,"",SUMIFS('Daily BSE Equity Futures'!$J:$J,'Daily BSE Equity Futures'!$A:$A,$A288))</f>
        <v>5</v>
      </c>
      <c r="R288" s="7">
        <f t="shared" si="54"/>
        <v>1212449</v>
      </c>
      <c r="S288" s="19">
        <f t="shared" si="55"/>
        <v>0.99999587611520158</v>
      </c>
      <c r="T288" s="19">
        <f t="shared" si="56"/>
        <v>4.1238847984533783E-6</v>
      </c>
    </row>
    <row r="289" spans="1:20" x14ac:dyDescent="0.2">
      <c r="A289" s="9">
        <v>44347</v>
      </c>
      <c r="B289" s="4" t="s">
        <v>225</v>
      </c>
      <c r="C289" s="8">
        <v>44317</v>
      </c>
      <c r="D289" s="4" t="s">
        <v>177</v>
      </c>
      <c r="E289" s="14">
        <f>IF(SUMIFS('Daily NSE Equity Futures'!$I:$I,'Daily NSE Equity Futures'!$A:$A,$A289)=0,"",SUMIFS('Daily NSE Equity Futures'!$I:$I,'Daily NSE Equity Futures'!$A:$A,$A289))</f>
        <v>911.59569999999997</v>
      </c>
      <c r="F289" s="6">
        <f>IF(SUMIFS('Daily BSE Equity Futures'!$I:$I,'Daily BSE Equity Futures'!$A:$A,$A289)=0,"",SUMIFS('Daily BSE Equity Futures'!$I:$I,'Daily BSE Equity Futures'!$A:$A,$A289))</f>
        <v>0.1196</v>
      </c>
      <c r="G289" s="6">
        <f t="shared" si="48"/>
        <v>911.71529999999996</v>
      </c>
      <c r="H289" s="15">
        <f t="shared" si="49"/>
        <v>0.99986881869811772</v>
      </c>
      <c r="I289" s="15">
        <f t="shared" si="50"/>
        <v>1.3118130188228717E-4</v>
      </c>
      <c r="J289" s="20" t="str">
        <f t="shared" si="51"/>
        <v/>
      </c>
      <c r="K289" s="15" t="str">
        <f t="shared" si="52"/>
        <v/>
      </c>
      <c r="L289" s="15" t="str">
        <f t="shared" si="53"/>
        <v/>
      </c>
      <c r="M289" s="15">
        <f t="shared" si="57"/>
        <v>-6.9077035974684842E-2</v>
      </c>
      <c r="N289" s="15">
        <f t="shared" si="58"/>
        <v>18.606557377049178</v>
      </c>
      <c r="O289" s="15">
        <f t="shared" si="59"/>
        <v>-6.8960700017064225E-2</v>
      </c>
      <c r="P289" s="18">
        <f>IF(SUMIFS('Daily NSE Equity Futures'!$J:$J,'Daily NSE Equity Futures'!$A:$A,$A289)=0,"",SUMIFS('Daily NSE Equity Futures'!$J:$J,'Daily NSE Equity Futures'!$A:$A,$A289))</f>
        <v>1121291</v>
      </c>
      <c r="Q289" s="7">
        <f>IF(SUMIFS('Daily BSE Equity Futures'!$J:$J,'Daily BSE Equity Futures'!$A:$A,$A289)=0,"",SUMIFS('Daily BSE Equity Futures'!$J:$J,'Daily BSE Equity Futures'!$A:$A,$A289))</f>
        <v>98</v>
      </c>
      <c r="R289" s="7">
        <f t="shared" si="54"/>
        <v>1121389</v>
      </c>
      <c r="S289" s="19">
        <f t="shared" si="55"/>
        <v>0.99991260838121299</v>
      </c>
      <c r="T289" s="19">
        <f t="shared" si="56"/>
        <v>8.7391618787057839E-5</v>
      </c>
    </row>
    <row r="290" spans="1:20" x14ac:dyDescent="0.2">
      <c r="A290" s="9">
        <v>44348</v>
      </c>
      <c r="B290" s="4" t="s">
        <v>223</v>
      </c>
      <c r="C290" s="8">
        <v>44348</v>
      </c>
      <c r="D290" s="4" t="s">
        <v>177</v>
      </c>
      <c r="E290" s="14">
        <f>IF(SUMIFS('Daily NSE Equity Futures'!$I:$I,'Daily NSE Equity Futures'!$A:$A,$A290)=0,"",SUMIFS('Daily NSE Equity Futures'!$I:$I,'Daily NSE Equity Futures'!$A:$A,$A290))</f>
        <v>901.20299999999997</v>
      </c>
      <c r="F290" s="6">
        <f>IF(SUMIFS('Daily BSE Equity Futures'!$I:$I,'Daily BSE Equity Futures'!$A:$A,$A290)=0,"",SUMIFS('Daily BSE Equity Futures'!$I:$I,'Daily BSE Equity Futures'!$A:$A,$A290))</f>
        <v>9.7999999999999997E-3</v>
      </c>
      <c r="G290" s="6">
        <f t="shared" si="48"/>
        <v>901.21280000000002</v>
      </c>
      <c r="H290" s="15">
        <f t="shared" si="49"/>
        <v>0.99998912576474719</v>
      </c>
      <c r="I290" s="15">
        <f t="shared" si="50"/>
        <v>1.0874235252761612E-5</v>
      </c>
      <c r="J290" s="20">
        <f t="shared" si="51"/>
        <v>-3.1710307426656259E-2</v>
      </c>
      <c r="K290" s="15">
        <f t="shared" si="52"/>
        <v>-0.82624113475177308</v>
      </c>
      <c r="L290" s="15">
        <f t="shared" si="53"/>
        <v>-3.1758451875522398E-2</v>
      </c>
      <c r="M290" s="15">
        <f t="shared" si="57"/>
        <v>-1.1400558383502624E-2</v>
      </c>
      <c r="N290" s="15">
        <f t="shared" si="58"/>
        <v>-0.91806020066889626</v>
      </c>
      <c r="O290" s="15">
        <f t="shared" si="59"/>
        <v>-1.1519495175741801E-2</v>
      </c>
      <c r="P290" s="18">
        <f>IF(SUMIFS('Daily NSE Equity Futures'!$J:$J,'Daily NSE Equity Futures'!$A:$A,$A290)=0,"",SUMIFS('Daily NSE Equity Futures'!$J:$J,'Daily NSE Equity Futures'!$A:$A,$A290))</f>
        <v>1064858</v>
      </c>
      <c r="Q290" s="7">
        <f>IF(SUMIFS('Daily BSE Equity Futures'!$J:$J,'Daily BSE Equity Futures'!$A:$A,$A290)=0,"",SUMIFS('Daily BSE Equity Futures'!$J:$J,'Daily BSE Equity Futures'!$A:$A,$A290))</f>
        <v>8</v>
      </c>
      <c r="R290" s="7">
        <f t="shared" si="54"/>
        <v>1064866</v>
      </c>
      <c r="S290" s="19">
        <f t="shared" si="55"/>
        <v>0.99999248731765311</v>
      </c>
      <c r="T290" s="19">
        <f t="shared" si="56"/>
        <v>7.5126823468868386E-6</v>
      </c>
    </row>
    <row r="291" spans="1:20" x14ac:dyDescent="0.2">
      <c r="A291" s="9">
        <v>44349</v>
      </c>
      <c r="B291" s="4" t="s">
        <v>221</v>
      </c>
      <c r="C291" s="8">
        <v>44348</v>
      </c>
      <c r="D291" s="4" t="s">
        <v>177</v>
      </c>
      <c r="E291" s="14">
        <f>IF(SUMIFS('Daily NSE Equity Futures'!$I:$I,'Daily NSE Equity Futures'!$A:$A,$A291)=0,"",SUMIFS('Daily NSE Equity Futures'!$I:$I,'Daily NSE Equity Futures'!$A:$A,$A291))</f>
        <v>929.20240000000001</v>
      </c>
      <c r="F291" s="6">
        <f>IF(SUMIFS('Daily BSE Equity Futures'!$I:$I,'Daily BSE Equity Futures'!$A:$A,$A291)=0,"",SUMIFS('Daily BSE Equity Futures'!$I:$I,'Daily BSE Equity Futures'!$A:$A,$A291))</f>
        <v>9.7999999999999997E-3</v>
      </c>
      <c r="G291" s="6">
        <f t="shared" si="48"/>
        <v>929.21220000000005</v>
      </c>
      <c r="H291" s="15">
        <f t="shared" si="49"/>
        <v>0.99998945343162726</v>
      </c>
      <c r="I291" s="15">
        <f t="shared" si="50"/>
        <v>1.0546568372649432E-5</v>
      </c>
      <c r="J291" s="20">
        <f t="shared" si="51"/>
        <v>9.3161546318424548E-2</v>
      </c>
      <c r="K291" s="15">
        <f t="shared" si="52"/>
        <v>-0.91139240506329111</v>
      </c>
      <c r="L291" s="15">
        <f t="shared" si="53"/>
        <v>9.3030855248949607E-2</v>
      </c>
      <c r="M291" s="15">
        <f t="shared" si="57"/>
        <v>3.1068915660511509E-2</v>
      </c>
      <c r="N291" s="15">
        <f t="shared" si="58"/>
        <v>0</v>
      </c>
      <c r="O291" s="15">
        <f t="shared" si="59"/>
        <v>3.1068577809813647E-2</v>
      </c>
      <c r="P291" s="18">
        <f>IF(SUMIFS('Daily NSE Equity Futures'!$J:$J,'Daily NSE Equity Futures'!$A:$A,$A291)=0,"",SUMIFS('Daily NSE Equity Futures'!$J:$J,'Daily NSE Equity Futures'!$A:$A,$A291))</f>
        <v>1091292</v>
      </c>
      <c r="Q291" s="7">
        <f>IF(SUMIFS('Daily BSE Equity Futures'!$J:$J,'Daily BSE Equity Futures'!$A:$A,$A291)=0,"",SUMIFS('Daily BSE Equity Futures'!$J:$J,'Daily BSE Equity Futures'!$A:$A,$A291))</f>
        <v>8</v>
      </c>
      <c r="R291" s="7">
        <f t="shared" si="54"/>
        <v>1091300</v>
      </c>
      <c r="S291" s="19">
        <f t="shared" si="55"/>
        <v>0.99999266929350317</v>
      </c>
      <c r="T291" s="19">
        <f t="shared" si="56"/>
        <v>7.3307064968386327E-6</v>
      </c>
    </row>
    <row r="292" spans="1:20" x14ac:dyDescent="0.2">
      <c r="A292" s="9">
        <v>44350</v>
      </c>
      <c r="B292" s="4" t="s">
        <v>224</v>
      </c>
      <c r="C292" s="8">
        <v>44348</v>
      </c>
      <c r="D292" s="4" t="s">
        <v>177</v>
      </c>
      <c r="E292" s="14">
        <f>IF(SUMIFS('Daily NSE Equity Futures'!$I:$I,'Daily NSE Equity Futures'!$A:$A,$A292)=0,"",SUMIFS('Daily NSE Equity Futures'!$I:$I,'Daily NSE Equity Futures'!$A:$A,$A292))</f>
        <v>903.97799999999995</v>
      </c>
      <c r="F292" s="6">
        <f>IF(SUMIFS('Daily BSE Equity Futures'!$I:$I,'Daily BSE Equity Futures'!$A:$A,$A292)=0,"",SUMIFS('Daily BSE Equity Futures'!$I:$I,'Daily BSE Equity Futures'!$A:$A,$A292))</f>
        <v>4.5699999999999998E-2</v>
      </c>
      <c r="G292" s="6">
        <f t="shared" si="48"/>
        <v>904.02369999999996</v>
      </c>
      <c r="H292" s="15">
        <f t="shared" si="49"/>
        <v>0.99994944822796128</v>
      </c>
      <c r="I292" s="15">
        <f t="shared" si="50"/>
        <v>5.0551772038719783E-5</v>
      </c>
      <c r="J292" s="20">
        <f t="shared" si="51"/>
        <v>-5.0617297564679586E-2</v>
      </c>
      <c r="K292" s="15">
        <f t="shared" si="52"/>
        <v>-0.26762820512820518</v>
      </c>
      <c r="L292" s="15">
        <f t="shared" si="53"/>
        <v>-5.0631518270295994E-2</v>
      </c>
      <c r="M292" s="15">
        <f t="shared" si="57"/>
        <v>-2.714629234707111E-2</v>
      </c>
      <c r="N292" s="15">
        <f t="shared" si="58"/>
        <v>3.6632653061224492</v>
      </c>
      <c r="O292" s="15">
        <f t="shared" si="59"/>
        <v>-2.7107371168824557E-2</v>
      </c>
      <c r="P292" s="18">
        <f>IF(SUMIFS('Daily NSE Equity Futures'!$J:$J,'Daily NSE Equity Futures'!$A:$A,$A292)=0,"",SUMIFS('Daily NSE Equity Futures'!$J:$J,'Daily NSE Equity Futures'!$A:$A,$A292))</f>
        <v>1059174</v>
      </c>
      <c r="Q292" s="7">
        <f>IF(SUMIFS('Daily BSE Equity Futures'!$J:$J,'Daily BSE Equity Futures'!$A:$A,$A292)=0,"",SUMIFS('Daily BSE Equity Futures'!$J:$J,'Daily BSE Equity Futures'!$A:$A,$A292))</f>
        <v>37</v>
      </c>
      <c r="R292" s="7">
        <f t="shared" si="54"/>
        <v>1059211</v>
      </c>
      <c r="S292" s="19">
        <f t="shared" si="55"/>
        <v>0.99996506833860299</v>
      </c>
      <c r="T292" s="19">
        <f t="shared" si="56"/>
        <v>3.4931661397020988E-5</v>
      </c>
    </row>
    <row r="293" spans="1:20" x14ac:dyDescent="0.2">
      <c r="A293" s="9">
        <v>44351</v>
      </c>
      <c r="B293" s="4" t="s">
        <v>222</v>
      </c>
      <c r="C293" s="8">
        <v>44348</v>
      </c>
      <c r="D293" s="4" t="s">
        <v>177</v>
      </c>
      <c r="E293" s="14">
        <f>IF(SUMIFS('Daily NSE Equity Futures'!$I:$I,'Daily NSE Equity Futures'!$A:$A,$A293)=0,"",SUMIFS('Daily NSE Equity Futures'!$I:$I,'Daily NSE Equity Futures'!$A:$A,$A293))</f>
        <v>938.10919999999999</v>
      </c>
      <c r="F293" s="6">
        <f>IF(SUMIFS('Daily BSE Equity Futures'!$I:$I,'Daily BSE Equity Futures'!$A:$A,$A293)=0,"",SUMIFS('Daily BSE Equity Futures'!$I:$I,'Daily BSE Equity Futures'!$A:$A,$A293))</f>
        <v>1.6E-2</v>
      </c>
      <c r="G293" s="6">
        <f t="shared" si="48"/>
        <v>938.12519999999995</v>
      </c>
      <c r="H293" s="15">
        <f t="shared" si="49"/>
        <v>0.99998294470716709</v>
      </c>
      <c r="I293" s="15">
        <f t="shared" si="50"/>
        <v>1.7055292832982209E-5</v>
      </c>
      <c r="J293" s="20">
        <f t="shared" si="51"/>
        <v>-1.9993667263481729E-2</v>
      </c>
      <c r="K293" s="15">
        <f t="shared" si="52"/>
        <v>-0.7583081570996979</v>
      </c>
      <c r="L293" s="15">
        <f t="shared" si="53"/>
        <v>-2.0044723034013057E-2</v>
      </c>
      <c r="M293" s="15">
        <f t="shared" si="57"/>
        <v>3.7756671069428815E-2</v>
      </c>
      <c r="N293" s="15">
        <f t="shared" si="58"/>
        <v>-0.64989059080962797</v>
      </c>
      <c r="O293" s="15">
        <f t="shared" si="59"/>
        <v>3.7721909281803079E-2</v>
      </c>
      <c r="P293" s="18">
        <f>IF(SUMIFS('Daily NSE Equity Futures'!$J:$J,'Daily NSE Equity Futures'!$A:$A,$A293)=0,"",SUMIFS('Daily NSE Equity Futures'!$J:$J,'Daily NSE Equity Futures'!$A:$A,$A293))</f>
        <v>1071535</v>
      </c>
      <c r="Q293" s="7">
        <f>IF(SUMIFS('Daily BSE Equity Futures'!$J:$J,'Daily BSE Equity Futures'!$A:$A,$A293)=0,"",SUMIFS('Daily BSE Equity Futures'!$J:$J,'Daily BSE Equity Futures'!$A:$A,$A293))</f>
        <v>13</v>
      </c>
      <c r="R293" s="7">
        <f t="shared" si="54"/>
        <v>1071548</v>
      </c>
      <c r="S293" s="19">
        <f t="shared" si="55"/>
        <v>0.9999878680189781</v>
      </c>
      <c r="T293" s="19">
        <f t="shared" si="56"/>
        <v>1.2131981021848764E-5</v>
      </c>
    </row>
    <row r="294" spans="1:20" x14ac:dyDescent="0.2">
      <c r="A294" s="9">
        <v>44354</v>
      </c>
      <c r="B294" s="4" t="s">
        <v>225</v>
      </c>
      <c r="C294" s="8">
        <v>44348</v>
      </c>
      <c r="D294" s="4" t="s">
        <v>177</v>
      </c>
      <c r="E294" s="14">
        <f>IF(SUMIFS('Daily NSE Equity Futures'!$I:$I,'Daily NSE Equity Futures'!$A:$A,$A294)=0,"",SUMIFS('Daily NSE Equity Futures'!$I:$I,'Daily NSE Equity Futures'!$A:$A,$A294))</f>
        <v>886.33540000000005</v>
      </c>
      <c r="F294" s="6">
        <f>IF(SUMIFS('Daily BSE Equity Futures'!$I:$I,'Daily BSE Equity Futures'!$A:$A,$A294)=0,"",SUMIFS('Daily BSE Equity Futures'!$I:$I,'Daily BSE Equity Futures'!$A:$A,$A294))</f>
        <v>9.9000000000000008E-3</v>
      </c>
      <c r="G294" s="6">
        <f t="shared" si="48"/>
        <v>886.34530000000007</v>
      </c>
      <c r="H294" s="15">
        <f t="shared" si="49"/>
        <v>0.99998883053816612</v>
      </c>
      <c r="I294" s="15">
        <f t="shared" si="50"/>
        <v>1.1169461833892502E-5</v>
      </c>
      <c r="J294" s="20" t="str">
        <f t="shared" si="51"/>
        <v/>
      </c>
      <c r="K294" s="15" t="str">
        <f t="shared" si="52"/>
        <v/>
      </c>
      <c r="L294" s="15" t="str">
        <f t="shared" si="53"/>
        <v/>
      </c>
      <c r="M294" s="15">
        <f t="shared" si="57"/>
        <v>-5.5189523778255145E-2</v>
      </c>
      <c r="N294" s="15">
        <f t="shared" si="58"/>
        <v>-0.38124999999999998</v>
      </c>
      <c r="O294" s="15">
        <f t="shared" si="59"/>
        <v>-5.5195084835158337E-2</v>
      </c>
      <c r="P294" s="18">
        <f>IF(SUMIFS('Daily NSE Equity Futures'!$J:$J,'Daily NSE Equity Futures'!$A:$A,$A294)=0,"",SUMIFS('Daily NSE Equity Futures'!$J:$J,'Daily NSE Equity Futures'!$A:$A,$A294))</f>
        <v>1028998</v>
      </c>
      <c r="Q294" s="7">
        <f>IF(SUMIFS('Daily BSE Equity Futures'!$J:$J,'Daily BSE Equity Futures'!$A:$A,$A294)=0,"",SUMIFS('Daily BSE Equity Futures'!$J:$J,'Daily BSE Equity Futures'!$A:$A,$A294))</f>
        <v>8</v>
      </c>
      <c r="R294" s="7">
        <f t="shared" si="54"/>
        <v>1029006</v>
      </c>
      <c r="S294" s="19">
        <f t="shared" si="55"/>
        <v>0.99999222550694555</v>
      </c>
      <c r="T294" s="19">
        <f t="shared" si="56"/>
        <v>7.7744930544622677E-6</v>
      </c>
    </row>
    <row r="295" spans="1:20" x14ac:dyDescent="0.2">
      <c r="A295" s="9">
        <v>44355</v>
      </c>
      <c r="B295" s="4" t="s">
        <v>223</v>
      </c>
      <c r="C295" s="8">
        <v>44348</v>
      </c>
      <c r="D295" s="4" t="s">
        <v>177</v>
      </c>
      <c r="E295" s="14">
        <f>IF(SUMIFS('Daily NSE Equity Futures'!$I:$I,'Daily NSE Equity Futures'!$A:$A,$A295)=0,"",SUMIFS('Daily NSE Equity Futures'!$I:$I,'Daily NSE Equity Futures'!$A:$A,$A295))</f>
        <v>864.70159999999998</v>
      </c>
      <c r="F295" s="6">
        <f>IF(SUMIFS('Daily BSE Equity Futures'!$I:$I,'Daily BSE Equity Futures'!$A:$A,$A295)=0,"",SUMIFS('Daily BSE Equity Futures'!$I:$I,'Daily BSE Equity Futures'!$A:$A,$A295))</f>
        <v>9.9000000000000008E-3</v>
      </c>
      <c r="G295" s="6">
        <f t="shared" si="48"/>
        <v>864.7115</v>
      </c>
      <c r="H295" s="15">
        <f t="shared" si="49"/>
        <v>0.99998855109478713</v>
      </c>
      <c r="I295" s="15">
        <f t="shared" si="50"/>
        <v>1.1448905212894706E-5</v>
      </c>
      <c r="J295" s="20">
        <f t="shared" si="51"/>
        <v>-7.9079421930905003E-2</v>
      </c>
      <c r="K295" s="15">
        <f t="shared" si="52"/>
        <v>-3.8834951456310662E-2</v>
      </c>
      <c r="L295" s="15">
        <f t="shared" si="53"/>
        <v>-7.9078980467617632E-2</v>
      </c>
      <c r="M295" s="15">
        <f t="shared" si="57"/>
        <v>-2.4408141658338489E-2</v>
      </c>
      <c r="N295" s="15">
        <f t="shared" si="58"/>
        <v>0</v>
      </c>
      <c r="O295" s="15">
        <f t="shared" si="59"/>
        <v>-2.4407869032531782E-2</v>
      </c>
      <c r="P295" s="18">
        <f>IF(SUMIFS('Daily NSE Equity Futures'!$J:$J,'Daily NSE Equity Futures'!$A:$A,$A295)=0,"",SUMIFS('Daily NSE Equity Futures'!$J:$J,'Daily NSE Equity Futures'!$A:$A,$A295))</f>
        <v>1013989</v>
      </c>
      <c r="Q295" s="7">
        <f>IF(SUMIFS('Daily BSE Equity Futures'!$J:$J,'Daily BSE Equity Futures'!$A:$A,$A295)=0,"",SUMIFS('Daily BSE Equity Futures'!$J:$J,'Daily BSE Equity Futures'!$A:$A,$A295))</f>
        <v>8</v>
      </c>
      <c r="R295" s="7">
        <f t="shared" si="54"/>
        <v>1013997</v>
      </c>
      <c r="S295" s="19">
        <f t="shared" si="55"/>
        <v>0.999992110430307</v>
      </c>
      <c r="T295" s="19">
        <f t="shared" si="56"/>
        <v>7.889569693006982E-6</v>
      </c>
    </row>
    <row r="296" spans="1:20" x14ac:dyDescent="0.2">
      <c r="A296" s="9">
        <v>44356</v>
      </c>
      <c r="B296" s="4" t="s">
        <v>221</v>
      </c>
      <c r="C296" s="8">
        <v>44348</v>
      </c>
      <c r="D296" s="4" t="s">
        <v>177</v>
      </c>
      <c r="E296" s="14">
        <f>IF(SUMIFS('Daily NSE Equity Futures'!$I:$I,'Daily NSE Equity Futures'!$A:$A,$A296)=0,"",SUMIFS('Daily NSE Equity Futures'!$I:$I,'Daily NSE Equity Futures'!$A:$A,$A296))</f>
        <v>1197.5395000000001</v>
      </c>
      <c r="F296" s="6">
        <f>IF(SUMIFS('Daily BSE Equity Futures'!$I:$I,'Daily BSE Equity Futures'!$A:$A,$A296)=0,"",SUMIFS('Daily BSE Equity Futures'!$I:$I,'Daily BSE Equity Futures'!$A:$A,$A296))</f>
        <v>0.1011</v>
      </c>
      <c r="G296" s="6">
        <f t="shared" si="48"/>
        <v>1197.6406000000002</v>
      </c>
      <c r="H296" s="15">
        <f t="shared" si="49"/>
        <v>0.99991558402412206</v>
      </c>
      <c r="I296" s="15">
        <f t="shared" si="50"/>
        <v>8.4415975877905256E-5</v>
      </c>
      <c r="J296" s="20">
        <f t="shared" si="51"/>
        <v>0.2340342107310549</v>
      </c>
      <c r="K296" s="15">
        <f t="shared" si="52"/>
        <v>8.3601286173633493E-2</v>
      </c>
      <c r="L296" s="15">
        <f t="shared" si="53"/>
        <v>0.23401974900460565</v>
      </c>
      <c r="M296" s="15">
        <f t="shared" si="57"/>
        <v>0.38491648448435867</v>
      </c>
      <c r="N296" s="15">
        <f t="shared" si="58"/>
        <v>9.212121212121211</v>
      </c>
      <c r="O296" s="15">
        <f t="shared" si="59"/>
        <v>0.38501754631458018</v>
      </c>
      <c r="P296" s="18">
        <f>IF(SUMIFS('Daily NSE Equity Futures'!$J:$J,'Daily NSE Equity Futures'!$A:$A,$A296)=0,"",SUMIFS('Daily NSE Equity Futures'!$J:$J,'Daily NSE Equity Futures'!$A:$A,$A296))</f>
        <v>1385823</v>
      </c>
      <c r="Q296" s="7">
        <f>IF(SUMIFS('Daily BSE Equity Futures'!$J:$J,'Daily BSE Equity Futures'!$A:$A,$A296)=0,"",SUMIFS('Daily BSE Equity Futures'!$J:$J,'Daily BSE Equity Futures'!$A:$A,$A296))</f>
        <v>82</v>
      </c>
      <c r="R296" s="7">
        <f t="shared" si="54"/>
        <v>1385905</v>
      </c>
      <c r="S296" s="19">
        <f t="shared" si="55"/>
        <v>0.99994083288537094</v>
      </c>
      <c r="T296" s="19">
        <f t="shared" si="56"/>
        <v>5.9167114629069093E-5</v>
      </c>
    </row>
    <row r="297" spans="1:20" x14ac:dyDescent="0.2">
      <c r="A297" s="9">
        <v>44357</v>
      </c>
      <c r="B297" s="4" t="s">
        <v>224</v>
      </c>
      <c r="C297" s="8">
        <v>44348</v>
      </c>
      <c r="D297" s="4" t="s">
        <v>177</v>
      </c>
      <c r="E297" s="14">
        <f>IF(SUMIFS('Daily NSE Equity Futures'!$I:$I,'Daily NSE Equity Futures'!$A:$A,$A297)=0,"",SUMIFS('Daily NSE Equity Futures'!$I:$I,'Daily NSE Equity Futures'!$A:$A,$A297))</f>
        <v>863.36350000000004</v>
      </c>
      <c r="F297" s="6">
        <f>IF(SUMIFS('Daily BSE Equity Futures'!$I:$I,'Daily BSE Equity Futures'!$A:$A,$A297)=0,"",SUMIFS('Daily BSE Equity Futures'!$I:$I,'Daily BSE Equity Futures'!$A:$A,$A297))</f>
        <v>2.5999999999999999E-2</v>
      </c>
      <c r="G297" s="6">
        <f t="shared" si="48"/>
        <v>863.3895</v>
      </c>
      <c r="H297" s="15">
        <f t="shared" si="49"/>
        <v>0.99996988612902993</v>
      </c>
      <c r="I297" s="15">
        <f t="shared" si="50"/>
        <v>3.0113870970170471E-5</v>
      </c>
      <c r="J297" s="20">
        <f t="shared" si="51"/>
        <v>2.0414953197683605E-2</v>
      </c>
      <c r="K297" s="15">
        <f t="shared" si="52"/>
        <v>14.294117647058824</v>
      </c>
      <c r="L297" s="15">
        <f t="shared" si="53"/>
        <v>2.0443632450029448E-2</v>
      </c>
      <c r="M297" s="15">
        <f t="shared" si="57"/>
        <v>-0.27905217322685394</v>
      </c>
      <c r="N297" s="15">
        <f t="shared" si="58"/>
        <v>-0.74282888229475774</v>
      </c>
      <c r="O297" s="15">
        <f t="shared" si="59"/>
        <v>-0.27909132339033937</v>
      </c>
      <c r="P297" s="18">
        <f>IF(SUMIFS('Daily NSE Equity Futures'!$J:$J,'Daily NSE Equity Futures'!$A:$A,$A297)=0,"",SUMIFS('Daily NSE Equity Futures'!$J:$J,'Daily NSE Equity Futures'!$A:$A,$A297))</f>
        <v>1009524</v>
      </c>
      <c r="Q297" s="7">
        <f>IF(SUMIFS('Daily BSE Equity Futures'!$J:$J,'Daily BSE Equity Futures'!$A:$A,$A297)=0,"",SUMIFS('Daily BSE Equity Futures'!$J:$J,'Daily BSE Equity Futures'!$A:$A,$A297))</f>
        <v>21</v>
      </c>
      <c r="R297" s="7">
        <f t="shared" si="54"/>
        <v>1009545</v>
      </c>
      <c r="S297" s="19">
        <f t="shared" si="55"/>
        <v>0.99997919854984174</v>
      </c>
      <c r="T297" s="19">
        <f t="shared" si="56"/>
        <v>2.0801450158239602E-5</v>
      </c>
    </row>
    <row r="298" spans="1:20" x14ac:dyDescent="0.2">
      <c r="A298" s="9">
        <v>44358</v>
      </c>
      <c r="B298" s="4" t="s">
        <v>222</v>
      </c>
      <c r="C298" s="8">
        <v>44348</v>
      </c>
      <c r="D298" s="4" t="s">
        <v>177</v>
      </c>
      <c r="E298" s="14">
        <f>IF(SUMIFS('Daily NSE Equity Futures'!$I:$I,'Daily NSE Equity Futures'!$A:$A,$A298)=0,"",SUMIFS('Daily NSE Equity Futures'!$I:$I,'Daily NSE Equity Futures'!$A:$A,$A298))</f>
        <v>881.15369999999996</v>
      </c>
      <c r="F298" s="6">
        <f>IF(SUMIFS('Daily BSE Equity Futures'!$I:$I,'Daily BSE Equity Futures'!$A:$A,$A298)=0,"",SUMIFS('Daily BSE Equity Futures'!$I:$I,'Daily BSE Equity Futures'!$A:$A,$A298))</f>
        <v>2.7300000000000001E-2</v>
      </c>
      <c r="G298" s="6">
        <f t="shared" si="48"/>
        <v>881.18099999999993</v>
      </c>
      <c r="H298" s="15">
        <f t="shared" si="49"/>
        <v>0.99996901885083767</v>
      </c>
      <c r="I298" s="15">
        <f t="shared" si="50"/>
        <v>3.0981149162317393E-5</v>
      </c>
      <c r="J298" s="20">
        <f t="shared" si="51"/>
        <v>-2.2134741420840043E-2</v>
      </c>
      <c r="K298" s="15">
        <f t="shared" si="52"/>
        <v>4.3529411764705879</v>
      </c>
      <c r="L298" s="15">
        <f t="shared" si="53"/>
        <v>-2.2109979709343364E-2</v>
      </c>
      <c r="M298" s="15">
        <f t="shared" si="57"/>
        <v>2.060568926066475E-2</v>
      </c>
      <c r="N298" s="15">
        <f t="shared" si="58"/>
        <v>5.0000000000000044E-2</v>
      </c>
      <c r="O298" s="15">
        <f t="shared" si="59"/>
        <v>2.0606574437145531E-2</v>
      </c>
      <c r="P298" s="18">
        <f>IF(SUMIFS('Daily NSE Equity Futures'!$J:$J,'Daily NSE Equity Futures'!$A:$A,$A298)=0,"",SUMIFS('Daily NSE Equity Futures'!$J:$J,'Daily NSE Equity Futures'!$A:$A,$A298))</f>
        <v>1021198</v>
      </c>
      <c r="Q298" s="7">
        <f>IF(SUMIFS('Daily BSE Equity Futures'!$J:$J,'Daily BSE Equity Futures'!$A:$A,$A298)=0,"",SUMIFS('Daily BSE Equity Futures'!$J:$J,'Daily BSE Equity Futures'!$A:$A,$A298))</f>
        <v>22</v>
      </c>
      <c r="R298" s="7">
        <f t="shared" si="54"/>
        <v>1021220</v>
      </c>
      <c r="S298" s="19">
        <f t="shared" si="55"/>
        <v>0.99997845713949984</v>
      </c>
      <c r="T298" s="19">
        <f t="shared" si="56"/>
        <v>2.1542860500186051E-5</v>
      </c>
    </row>
    <row r="299" spans="1:20" x14ac:dyDescent="0.2">
      <c r="A299" s="9">
        <v>44361</v>
      </c>
      <c r="B299" s="4" t="s">
        <v>225</v>
      </c>
      <c r="C299" s="8">
        <v>44348</v>
      </c>
      <c r="D299" s="4" t="s">
        <v>177</v>
      </c>
      <c r="E299" s="14">
        <f>IF(SUMIFS('Daily NSE Equity Futures'!$I:$I,'Daily NSE Equity Futures'!$A:$A,$A299)=0,"",SUMIFS('Daily NSE Equity Futures'!$I:$I,'Daily NSE Equity Futures'!$A:$A,$A299))</f>
        <v>1047.1505</v>
      </c>
      <c r="F299" s="6">
        <f>IF(SUMIFS('Daily BSE Equity Futures'!$I:$I,'Daily BSE Equity Futures'!$A:$A,$A299)=0,"",SUMIFS('Daily BSE Equity Futures'!$I:$I,'Daily BSE Equity Futures'!$A:$A,$A299))</f>
        <v>2.35E-2</v>
      </c>
      <c r="G299" s="6">
        <f t="shared" si="48"/>
        <v>1047.174</v>
      </c>
      <c r="H299" s="15">
        <f t="shared" si="49"/>
        <v>0.99997755864832394</v>
      </c>
      <c r="I299" s="15">
        <f t="shared" si="50"/>
        <v>2.2441351676034736E-5</v>
      </c>
      <c r="J299" s="20" t="str">
        <f t="shared" si="51"/>
        <v/>
      </c>
      <c r="K299" s="15" t="str">
        <f t="shared" si="52"/>
        <v/>
      </c>
      <c r="L299" s="15" t="str">
        <f t="shared" si="53"/>
        <v/>
      </c>
      <c r="M299" s="15">
        <f t="shared" si="57"/>
        <v>0.18838574927393492</v>
      </c>
      <c r="N299" s="15">
        <f t="shared" si="58"/>
        <v>-0.13919413919413925</v>
      </c>
      <c r="O299" s="15">
        <f t="shared" si="59"/>
        <v>0.18837560047254764</v>
      </c>
      <c r="P299" s="18">
        <f>IF(SUMIFS('Daily NSE Equity Futures'!$J:$J,'Daily NSE Equity Futures'!$A:$A,$A299)=0,"",SUMIFS('Daily NSE Equity Futures'!$J:$J,'Daily NSE Equity Futures'!$A:$A,$A299))</f>
        <v>1185191</v>
      </c>
      <c r="Q299" s="7">
        <f>IF(SUMIFS('Daily BSE Equity Futures'!$J:$J,'Daily BSE Equity Futures'!$A:$A,$A299)=0,"",SUMIFS('Daily BSE Equity Futures'!$J:$J,'Daily BSE Equity Futures'!$A:$A,$A299))</f>
        <v>19</v>
      </c>
      <c r="R299" s="7">
        <f t="shared" si="54"/>
        <v>1185210</v>
      </c>
      <c r="S299" s="19">
        <f t="shared" si="55"/>
        <v>0.99998396908564724</v>
      </c>
      <c r="T299" s="19">
        <f t="shared" si="56"/>
        <v>1.6030914352730741E-5</v>
      </c>
    </row>
    <row r="300" spans="1:20" x14ac:dyDescent="0.2">
      <c r="A300" s="9">
        <v>44362</v>
      </c>
      <c r="B300" s="4" t="s">
        <v>223</v>
      </c>
      <c r="C300" s="8">
        <v>44348</v>
      </c>
      <c r="D300" s="4" t="s">
        <v>177</v>
      </c>
      <c r="E300" s="14">
        <f>IF(SUMIFS('Daily NSE Equity Futures'!$I:$I,'Daily NSE Equity Futures'!$A:$A,$A300)=0,"",SUMIFS('Daily NSE Equity Futures'!$I:$I,'Daily NSE Equity Futures'!$A:$A,$A300))</f>
        <v>853.01099999999997</v>
      </c>
      <c r="F300" s="6">
        <f>IF(SUMIFS('Daily BSE Equity Futures'!$I:$I,'Daily BSE Equity Futures'!$A:$A,$A300)=0,"",SUMIFS('Daily BSE Equity Futures'!$I:$I,'Daily BSE Equity Futures'!$A:$A,$A300))</f>
        <v>8.6999999999999994E-3</v>
      </c>
      <c r="G300" s="6">
        <f t="shared" si="48"/>
        <v>853.01969999999994</v>
      </c>
      <c r="H300" s="15">
        <f t="shared" si="49"/>
        <v>0.99998980093894674</v>
      </c>
      <c r="I300" s="15">
        <f t="shared" si="50"/>
        <v>1.0199061053337924E-5</v>
      </c>
      <c r="J300" s="20">
        <f t="shared" si="51"/>
        <v>-7.9235462254538036E-2</v>
      </c>
      <c r="K300" s="15">
        <f t="shared" si="52"/>
        <v>4.117647058823529</v>
      </c>
      <c r="L300" s="15">
        <f t="shared" si="53"/>
        <v>-7.922776086855865E-2</v>
      </c>
      <c r="M300" s="15">
        <f t="shared" si="57"/>
        <v>-0.18539789648192884</v>
      </c>
      <c r="N300" s="15">
        <f t="shared" si="58"/>
        <v>-0.62978723404255321</v>
      </c>
      <c r="O300" s="15">
        <f t="shared" si="59"/>
        <v>-0.18540786917933416</v>
      </c>
      <c r="P300" s="18">
        <f>IF(SUMIFS('Daily NSE Equity Futures'!$J:$J,'Daily NSE Equity Futures'!$A:$A,$A300)=0,"",SUMIFS('Daily NSE Equity Futures'!$J:$J,'Daily NSE Equity Futures'!$A:$A,$A300))</f>
        <v>981827</v>
      </c>
      <c r="Q300" s="7">
        <f>IF(SUMIFS('Daily BSE Equity Futures'!$J:$J,'Daily BSE Equity Futures'!$A:$A,$A300)=0,"",SUMIFS('Daily BSE Equity Futures'!$J:$J,'Daily BSE Equity Futures'!$A:$A,$A300))</f>
        <v>7</v>
      </c>
      <c r="R300" s="7">
        <f t="shared" si="54"/>
        <v>981834</v>
      </c>
      <c r="S300" s="19">
        <f t="shared" si="55"/>
        <v>0.99999287048523477</v>
      </c>
      <c r="T300" s="19">
        <f t="shared" si="56"/>
        <v>7.1295147652250789E-6</v>
      </c>
    </row>
    <row r="301" spans="1:20" x14ac:dyDescent="0.2">
      <c r="A301" s="9">
        <v>44363</v>
      </c>
      <c r="B301" s="4" t="s">
        <v>221</v>
      </c>
      <c r="C301" s="8">
        <v>44348</v>
      </c>
      <c r="D301" s="4" t="s">
        <v>177</v>
      </c>
      <c r="E301" s="14">
        <f>IF(SUMIFS('Daily NSE Equity Futures'!$I:$I,'Daily NSE Equity Futures'!$A:$A,$A301)=0,"",SUMIFS('Daily NSE Equity Futures'!$I:$I,'Daily NSE Equity Futures'!$A:$A,$A301))</f>
        <v>876.99459999999999</v>
      </c>
      <c r="F301" s="6">
        <f>IF(SUMIFS('Daily BSE Equity Futures'!$I:$I,'Daily BSE Equity Futures'!$A:$A,$A301)=0,"",SUMIFS('Daily BSE Equity Futures'!$I:$I,'Daily BSE Equity Futures'!$A:$A,$A301))</f>
        <v>1.12E-2</v>
      </c>
      <c r="G301" s="6">
        <f t="shared" si="48"/>
        <v>877.00580000000002</v>
      </c>
      <c r="H301" s="15">
        <f t="shared" si="49"/>
        <v>0.99998722927488048</v>
      </c>
      <c r="I301" s="15">
        <f t="shared" si="50"/>
        <v>1.2770725119491798E-5</v>
      </c>
      <c r="J301" s="20">
        <f t="shared" si="51"/>
        <v>-0.16016869125992617</v>
      </c>
      <c r="K301" s="15">
        <f t="shared" si="52"/>
        <v>13</v>
      </c>
      <c r="L301" s="15">
        <f t="shared" si="53"/>
        <v>-0.16015860927015968</v>
      </c>
      <c r="M301" s="15">
        <f t="shared" si="57"/>
        <v>2.8116401781454137E-2</v>
      </c>
      <c r="N301" s="15">
        <f t="shared" si="58"/>
        <v>0.28735632183908044</v>
      </c>
      <c r="O301" s="15">
        <f t="shared" si="59"/>
        <v>2.8119045785226282E-2</v>
      </c>
      <c r="P301" s="18">
        <f>IF(SUMIFS('Daily NSE Equity Futures'!$J:$J,'Daily NSE Equity Futures'!$A:$A,$A301)=0,"",SUMIFS('Daily NSE Equity Futures'!$J:$J,'Daily NSE Equity Futures'!$A:$A,$A301))</f>
        <v>1000628</v>
      </c>
      <c r="Q301" s="7">
        <f>IF(SUMIFS('Daily BSE Equity Futures'!$J:$J,'Daily BSE Equity Futures'!$A:$A,$A301)=0,"",SUMIFS('Daily BSE Equity Futures'!$J:$J,'Daily BSE Equity Futures'!$A:$A,$A301))</f>
        <v>9</v>
      </c>
      <c r="R301" s="7">
        <f t="shared" si="54"/>
        <v>1000637</v>
      </c>
      <c r="S301" s="19">
        <f t="shared" si="55"/>
        <v>0.9999910057293504</v>
      </c>
      <c r="T301" s="19">
        <f t="shared" si="56"/>
        <v>8.9942706495962072E-6</v>
      </c>
    </row>
    <row r="302" spans="1:20" x14ac:dyDescent="0.2">
      <c r="A302" s="9">
        <v>44364</v>
      </c>
      <c r="B302" s="4" t="s">
        <v>224</v>
      </c>
      <c r="C302" s="8">
        <v>44348</v>
      </c>
      <c r="D302" s="4" t="s">
        <v>177</v>
      </c>
      <c r="E302" s="14">
        <f>IF(SUMIFS('Daily NSE Equity Futures'!$I:$I,'Daily NSE Equity Futures'!$A:$A,$A302)=0,"",SUMIFS('Daily NSE Equity Futures'!$I:$I,'Daily NSE Equity Futures'!$A:$A,$A302))</f>
        <v>1041.4523999999999</v>
      </c>
      <c r="F302" s="6">
        <f>IF(SUMIFS('Daily BSE Equity Futures'!$I:$I,'Daily BSE Equity Futures'!$A:$A,$A302)=0,"",SUMIFS('Daily BSE Equity Futures'!$I:$I,'Daily BSE Equity Futures'!$A:$A,$A302))</f>
        <v>1.9699999999999999E-2</v>
      </c>
      <c r="G302" s="6">
        <f t="shared" si="48"/>
        <v>1041.4721</v>
      </c>
      <c r="H302" s="15">
        <f t="shared" si="49"/>
        <v>0.99998108446688105</v>
      </c>
      <c r="I302" s="15">
        <f t="shared" si="50"/>
        <v>1.8915533118938089E-5</v>
      </c>
      <c r="J302" s="20">
        <f t="shared" si="51"/>
        <v>0.19498859803703095</v>
      </c>
      <c r="K302" s="15">
        <f t="shared" si="52"/>
        <v>-0.9754149507051042</v>
      </c>
      <c r="L302" s="15">
        <f t="shared" si="53"/>
        <v>0.19391348039516321</v>
      </c>
      <c r="M302" s="15">
        <f t="shared" si="57"/>
        <v>0.18752430174598556</v>
      </c>
      <c r="N302" s="15">
        <f t="shared" si="58"/>
        <v>0.7589285714285714</v>
      </c>
      <c r="O302" s="15">
        <f t="shared" si="59"/>
        <v>0.18753159899284588</v>
      </c>
      <c r="P302" s="18">
        <f>IF(SUMIFS('Daily NSE Equity Futures'!$J:$J,'Daily NSE Equity Futures'!$A:$A,$A302)=0,"",SUMIFS('Daily NSE Equity Futures'!$J:$J,'Daily NSE Equity Futures'!$A:$A,$A302))</f>
        <v>1210779</v>
      </c>
      <c r="Q302" s="7">
        <f>IF(SUMIFS('Daily BSE Equity Futures'!$J:$J,'Daily BSE Equity Futures'!$A:$A,$A302)=0,"",SUMIFS('Daily BSE Equity Futures'!$J:$J,'Daily BSE Equity Futures'!$A:$A,$A302))</f>
        <v>16</v>
      </c>
      <c r="R302" s="7">
        <f t="shared" si="54"/>
        <v>1210795</v>
      </c>
      <c r="S302" s="19">
        <f t="shared" si="55"/>
        <v>0.99998678554173082</v>
      </c>
      <c r="T302" s="19">
        <f t="shared" si="56"/>
        <v>1.3214458269153739E-5</v>
      </c>
    </row>
    <row r="303" spans="1:20" x14ac:dyDescent="0.2">
      <c r="A303" s="9">
        <v>44365</v>
      </c>
      <c r="B303" s="4" t="s">
        <v>222</v>
      </c>
      <c r="C303" s="8">
        <v>44348</v>
      </c>
      <c r="D303" s="4" t="s">
        <v>177</v>
      </c>
      <c r="E303" s="14">
        <f>IF(SUMIFS('Daily NSE Equity Futures'!$I:$I,'Daily NSE Equity Futures'!$A:$A,$A303)=0,"",SUMIFS('Daily NSE Equity Futures'!$I:$I,'Daily NSE Equity Futures'!$A:$A,$A303))</f>
        <v>1400.587</v>
      </c>
      <c r="F303" s="6">
        <f>IF(SUMIFS('Daily BSE Equity Futures'!$I:$I,'Daily BSE Equity Futures'!$A:$A,$A303)=0,"",SUMIFS('Daily BSE Equity Futures'!$I:$I,'Daily BSE Equity Futures'!$A:$A,$A303))</f>
        <v>1.35E-2</v>
      </c>
      <c r="G303" s="6">
        <f t="shared" si="48"/>
        <v>1400.6005</v>
      </c>
      <c r="H303" s="15">
        <f t="shared" si="49"/>
        <v>0.99999036127718077</v>
      </c>
      <c r="I303" s="15">
        <f t="shared" si="50"/>
        <v>9.6387228192478863E-6</v>
      </c>
      <c r="J303" s="20">
        <f t="shared" si="51"/>
        <v>0.56366873628246417</v>
      </c>
      <c r="K303" s="15" t="str">
        <f t="shared" si="52"/>
        <v/>
      </c>
      <c r="L303" s="15" t="str">
        <f t="shared" si="53"/>
        <v/>
      </c>
      <c r="M303" s="15">
        <f t="shared" si="57"/>
        <v>0.34484014823913234</v>
      </c>
      <c r="N303" s="15">
        <f t="shared" si="58"/>
        <v>-0.31472081218274106</v>
      </c>
      <c r="O303" s="15">
        <f t="shared" si="59"/>
        <v>0.34482767229194144</v>
      </c>
      <c r="P303" s="18">
        <f>IF(SUMIFS('Daily NSE Equity Futures'!$J:$J,'Daily NSE Equity Futures'!$A:$A,$A303)=0,"",SUMIFS('Daily NSE Equity Futures'!$J:$J,'Daily NSE Equity Futures'!$A:$A,$A303))</f>
        <v>1642532</v>
      </c>
      <c r="Q303" s="7">
        <f>IF(SUMIFS('Daily BSE Equity Futures'!$J:$J,'Daily BSE Equity Futures'!$A:$A,$A303)=0,"",SUMIFS('Daily BSE Equity Futures'!$J:$J,'Daily BSE Equity Futures'!$A:$A,$A303))</f>
        <v>11</v>
      </c>
      <c r="R303" s="7">
        <f t="shared" si="54"/>
        <v>1642543</v>
      </c>
      <c r="S303" s="19">
        <f t="shared" si="55"/>
        <v>0.99999330306725609</v>
      </c>
      <c r="T303" s="19">
        <f t="shared" si="56"/>
        <v>6.6969327439220768E-6</v>
      </c>
    </row>
    <row r="304" spans="1:20" x14ac:dyDescent="0.2">
      <c r="A304" s="9">
        <v>44368</v>
      </c>
      <c r="B304" s="4" t="s">
        <v>225</v>
      </c>
      <c r="C304" s="8">
        <v>44348</v>
      </c>
      <c r="D304" s="4" t="s">
        <v>177</v>
      </c>
      <c r="E304" s="14">
        <f>IF(SUMIFS('Daily NSE Equity Futures'!$I:$I,'Daily NSE Equity Futures'!$A:$A,$A304)=0,"",SUMIFS('Daily NSE Equity Futures'!$I:$I,'Daily NSE Equity Futures'!$A:$A,$A304))</f>
        <v>1503.2247</v>
      </c>
      <c r="F304" s="6">
        <f>IF(SUMIFS('Daily BSE Equity Futures'!$I:$I,'Daily BSE Equity Futures'!$A:$A,$A304)=0,"",SUMIFS('Daily BSE Equity Futures'!$I:$I,'Daily BSE Equity Futures'!$A:$A,$A304))</f>
        <v>1.23E-2</v>
      </c>
      <c r="G304" s="6">
        <f t="shared" si="48"/>
        <v>1503.2370000000001</v>
      </c>
      <c r="H304" s="15">
        <f t="shared" si="49"/>
        <v>0.99999181765749501</v>
      </c>
      <c r="I304" s="15">
        <f t="shared" si="50"/>
        <v>8.1823425048744806E-6</v>
      </c>
      <c r="J304" s="20" t="str">
        <f t="shared" si="51"/>
        <v/>
      </c>
      <c r="K304" s="15" t="str">
        <f t="shared" si="52"/>
        <v/>
      </c>
      <c r="L304" s="15" t="str">
        <f t="shared" si="53"/>
        <v/>
      </c>
      <c r="M304" s="15">
        <f t="shared" si="57"/>
        <v>7.3281916796314794E-2</v>
      </c>
      <c r="N304" s="15">
        <f t="shared" si="58"/>
        <v>-8.8888888888888906E-2</v>
      </c>
      <c r="O304" s="15">
        <f t="shared" si="59"/>
        <v>7.3280353676869359E-2</v>
      </c>
      <c r="P304" s="18">
        <f>IF(SUMIFS('Daily NSE Equity Futures'!$J:$J,'Daily NSE Equity Futures'!$A:$A,$A304)=0,"",SUMIFS('Daily NSE Equity Futures'!$J:$J,'Daily NSE Equity Futures'!$A:$A,$A304))</f>
        <v>1812937</v>
      </c>
      <c r="Q304" s="7">
        <f>IF(SUMIFS('Daily BSE Equity Futures'!$J:$J,'Daily BSE Equity Futures'!$A:$A,$A304)=0,"",SUMIFS('Daily BSE Equity Futures'!$J:$J,'Daily BSE Equity Futures'!$A:$A,$A304))</f>
        <v>10</v>
      </c>
      <c r="R304" s="7">
        <f t="shared" si="54"/>
        <v>1812947</v>
      </c>
      <c r="S304" s="19">
        <f t="shared" si="55"/>
        <v>0.99999448411895109</v>
      </c>
      <c r="T304" s="19">
        <f t="shared" si="56"/>
        <v>5.5158810489220037E-6</v>
      </c>
    </row>
    <row r="305" spans="1:20" x14ac:dyDescent="0.2">
      <c r="A305" s="9">
        <v>44369</v>
      </c>
      <c r="B305" s="4" t="s">
        <v>223</v>
      </c>
      <c r="C305" s="8">
        <v>44348</v>
      </c>
      <c r="D305" s="4" t="s">
        <v>177</v>
      </c>
      <c r="E305" s="14">
        <f>IF(SUMIFS('Daily NSE Equity Futures'!$I:$I,'Daily NSE Equity Futures'!$A:$A,$A305)=0,"",SUMIFS('Daily NSE Equity Futures'!$I:$I,'Daily NSE Equity Futures'!$A:$A,$A305))</f>
        <v>1800.8665000000001</v>
      </c>
      <c r="F305" s="6">
        <f>IF(SUMIFS('Daily BSE Equity Futures'!$I:$I,'Daily BSE Equity Futures'!$A:$A,$A305)=0,"",SUMIFS('Daily BSE Equity Futures'!$I:$I,'Daily BSE Equity Futures'!$A:$A,$A305))</f>
        <v>2.98E-2</v>
      </c>
      <c r="G305" s="6">
        <f t="shared" si="48"/>
        <v>1800.8963000000001</v>
      </c>
      <c r="H305" s="15">
        <f t="shared" si="49"/>
        <v>0.9999834526840885</v>
      </c>
      <c r="I305" s="15">
        <f t="shared" si="50"/>
        <v>1.6547315911526941E-5</v>
      </c>
      <c r="J305" s="20">
        <f t="shared" si="51"/>
        <v>0.26097306443090762</v>
      </c>
      <c r="K305" s="15" t="str">
        <f t="shared" si="52"/>
        <v/>
      </c>
      <c r="L305" s="15" t="str">
        <f t="shared" si="53"/>
        <v/>
      </c>
      <c r="M305" s="15">
        <f t="shared" si="57"/>
        <v>0.19800220153380943</v>
      </c>
      <c r="N305" s="15">
        <f t="shared" si="58"/>
        <v>1.4227642276422765</v>
      </c>
      <c r="O305" s="15">
        <f t="shared" si="59"/>
        <v>0.19801222295619381</v>
      </c>
      <c r="P305" s="18">
        <f>IF(SUMIFS('Daily NSE Equity Futures'!$J:$J,'Daily NSE Equity Futures'!$A:$A,$A305)=0,"",SUMIFS('Daily NSE Equity Futures'!$J:$J,'Daily NSE Equity Futures'!$A:$A,$A305))</f>
        <v>2173141</v>
      </c>
      <c r="Q305" s="7">
        <f>IF(SUMIFS('Daily BSE Equity Futures'!$J:$J,'Daily BSE Equity Futures'!$A:$A,$A305)=0,"",SUMIFS('Daily BSE Equity Futures'!$J:$J,'Daily BSE Equity Futures'!$A:$A,$A305))</f>
        <v>24</v>
      </c>
      <c r="R305" s="7">
        <f t="shared" si="54"/>
        <v>2173165</v>
      </c>
      <c r="S305" s="19">
        <f t="shared" si="55"/>
        <v>0.99998895619982842</v>
      </c>
      <c r="T305" s="19">
        <f t="shared" si="56"/>
        <v>1.1043800171639061E-5</v>
      </c>
    </row>
    <row r="306" spans="1:20" x14ac:dyDescent="0.2">
      <c r="A306" s="9">
        <v>44370</v>
      </c>
      <c r="B306" s="4" t="s">
        <v>221</v>
      </c>
      <c r="C306" s="8">
        <v>44348</v>
      </c>
      <c r="D306" s="4" t="s">
        <v>177</v>
      </c>
      <c r="E306" s="14">
        <f>IF(SUMIFS('Daily NSE Equity Futures'!$I:$I,'Daily NSE Equity Futures'!$A:$A,$A306)=0,"",SUMIFS('Daily NSE Equity Futures'!$I:$I,'Daily NSE Equity Futures'!$A:$A,$A306))</f>
        <v>1738.7759000000001</v>
      </c>
      <c r="F306" s="6">
        <f>IF(SUMIFS('Daily BSE Equity Futures'!$I:$I,'Daily BSE Equity Futures'!$A:$A,$A306)=0,"",SUMIFS('Daily BSE Equity Futures'!$I:$I,'Daily BSE Equity Futures'!$A:$A,$A306))</f>
        <v>5.0799999999999998E-2</v>
      </c>
      <c r="G306" s="6">
        <f t="shared" si="48"/>
        <v>1738.8267000000001</v>
      </c>
      <c r="H306" s="15">
        <f t="shared" si="49"/>
        <v>0.99997078489765545</v>
      </c>
      <c r="I306" s="15">
        <f t="shared" si="50"/>
        <v>2.9215102344586725E-5</v>
      </c>
      <c r="J306" s="20">
        <f t="shared" si="51"/>
        <v>8.77819956571948E-2</v>
      </c>
      <c r="K306" s="15">
        <f t="shared" si="52"/>
        <v>55.444444444444443</v>
      </c>
      <c r="L306" s="15">
        <f t="shared" si="53"/>
        <v>8.7813163763540425E-2</v>
      </c>
      <c r="M306" s="15">
        <f t="shared" si="57"/>
        <v>-3.4478180364841071E-2</v>
      </c>
      <c r="N306" s="15">
        <f t="shared" si="58"/>
        <v>0.70469798657718119</v>
      </c>
      <c r="O306" s="15">
        <f t="shared" si="59"/>
        <v>-3.446594898329236E-2</v>
      </c>
      <c r="P306" s="18">
        <f>IF(SUMIFS('Daily NSE Equity Futures'!$J:$J,'Daily NSE Equity Futures'!$A:$A,$A306)=0,"",SUMIFS('Daily NSE Equity Futures'!$J:$J,'Daily NSE Equity Futures'!$A:$A,$A306))</f>
        <v>2118808</v>
      </c>
      <c r="Q306" s="7">
        <f>IF(SUMIFS('Daily BSE Equity Futures'!$J:$J,'Daily BSE Equity Futures'!$A:$A,$A306)=0,"",SUMIFS('Daily BSE Equity Futures'!$J:$J,'Daily BSE Equity Futures'!$A:$A,$A306))</f>
        <v>41</v>
      </c>
      <c r="R306" s="7">
        <f t="shared" si="54"/>
        <v>2118849</v>
      </c>
      <c r="S306" s="19">
        <f t="shared" si="55"/>
        <v>0.99998064987169921</v>
      </c>
      <c r="T306" s="19">
        <f t="shared" si="56"/>
        <v>1.935012830078972E-5</v>
      </c>
    </row>
    <row r="307" spans="1:20" x14ac:dyDescent="0.2">
      <c r="A307" s="9">
        <v>44371</v>
      </c>
      <c r="B307" s="4" t="s">
        <v>224</v>
      </c>
      <c r="C307" s="8">
        <v>44348</v>
      </c>
      <c r="D307" s="4" t="s">
        <v>177</v>
      </c>
      <c r="E307" s="14">
        <f>IF(SUMIFS('Daily NSE Equity Futures'!$I:$I,'Daily NSE Equity Futures'!$A:$A,$A307)=0,"",SUMIFS('Daily NSE Equity Futures'!$I:$I,'Daily NSE Equity Futures'!$A:$A,$A307))</f>
        <v>1802.5817999999999</v>
      </c>
      <c r="F307" s="6">
        <f>IF(SUMIFS('Daily BSE Equity Futures'!$I:$I,'Daily BSE Equity Futures'!$A:$A,$A307)=0,"",SUMIFS('Daily BSE Equity Futures'!$I:$I,'Daily BSE Equity Futures'!$A:$A,$A307))</f>
        <v>0.1135</v>
      </c>
      <c r="G307" s="6">
        <f t="shared" si="48"/>
        <v>1802.6952999999999</v>
      </c>
      <c r="H307" s="15">
        <f t="shared" si="49"/>
        <v>0.9999370387219626</v>
      </c>
      <c r="I307" s="15">
        <f t="shared" si="50"/>
        <v>6.2961278037392123E-5</v>
      </c>
      <c r="J307" s="20">
        <f t="shared" si="51"/>
        <v>8.647959394934901E-3</v>
      </c>
      <c r="K307" s="15">
        <f t="shared" si="52"/>
        <v>3.4861660079051386</v>
      </c>
      <c r="L307" s="15">
        <f t="shared" si="53"/>
        <v>8.6971892319629429E-3</v>
      </c>
      <c r="M307" s="15">
        <f t="shared" si="57"/>
        <v>3.6695873228976605E-2</v>
      </c>
      <c r="N307" s="15">
        <f t="shared" si="58"/>
        <v>1.234251968503937</v>
      </c>
      <c r="O307" s="15">
        <f t="shared" si="59"/>
        <v>3.6730859952863515E-2</v>
      </c>
      <c r="P307" s="18">
        <f>IF(SUMIFS('Daily NSE Equity Futures'!$J:$J,'Daily NSE Equity Futures'!$A:$A,$A307)=0,"",SUMIFS('Daily NSE Equity Futures'!$J:$J,'Daily NSE Equity Futures'!$A:$A,$A307))</f>
        <v>2254459</v>
      </c>
      <c r="Q307" s="7">
        <f>IF(SUMIFS('Daily BSE Equity Futures'!$J:$J,'Daily BSE Equity Futures'!$A:$A,$A307)=0,"",SUMIFS('Daily BSE Equity Futures'!$J:$J,'Daily BSE Equity Futures'!$A:$A,$A307))</f>
        <v>99</v>
      </c>
      <c r="R307" s="7">
        <f t="shared" si="54"/>
        <v>2254558</v>
      </c>
      <c r="S307" s="19">
        <f t="shared" si="55"/>
        <v>0.99995608895402111</v>
      </c>
      <c r="T307" s="19">
        <f t="shared" si="56"/>
        <v>4.3911045978857054E-5</v>
      </c>
    </row>
    <row r="308" spans="1:20" x14ac:dyDescent="0.2">
      <c r="A308" s="9">
        <v>44372</v>
      </c>
      <c r="B308" s="4" t="s">
        <v>222</v>
      </c>
      <c r="C308" s="8">
        <v>44348</v>
      </c>
      <c r="D308" s="4" t="s">
        <v>177</v>
      </c>
      <c r="E308" s="14">
        <f>IF(SUMIFS('Daily NSE Equity Futures'!$I:$I,'Daily NSE Equity Futures'!$A:$A,$A308)=0,"",SUMIFS('Daily NSE Equity Futures'!$I:$I,'Daily NSE Equity Futures'!$A:$A,$A308))</f>
        <v>819.49009999999998</v>
      </c>
      <c r="F308" s="6">
        <f>IF(SUMIFS('Daily BSE Equity Futures'!$I:$I,'Daily BSE Equity Futures'!$A:$A,$A308)=0,"",SUMIFS('Daily BSE Equity Futures'!$I:$I,'Daily BSE Equity Futures'!$A:$A,$A308))</f>
        <v>0.1062</v>
      </c>
      <c r="G308" s="6">
        <f t="shared" si="48"/>
        <v>819.59629999999993</v>
      </c>
      <c r="H308" s="15">
        <f t="shared" si="49"/>
        <v>0.99987042401240711</v>
      </c>
      <c r="I308" s="15">
        <f t="shared" si="50"/>
        <v>1.2957598759291618E-4</v>
      </c>
      <c r="J308" s="20">
        <f t="shared" si="51"/>
        <v>-0.48250946097168035</v>
      </c>
      <c r="K308" s="15">
        <f t="shared" si="52"/>
        <v>5.5555555555555562</v>
      </c>
      <c r="L308" s="15">
        <f t="shared" si="53"/>
        <v>-0.48244769247100083</v>
      </c>
      <c r="M308" s="15">
        <f t="shared" si="57"/>
        <v>-0.54537979913033618</v>
      </c>
      <c r="N308" s="15">
        <f t="shared" si="58"/>
        <v>-6.4317180616740077E-2</v>
      </c>
      <c r="O308" s="15">
        <f t="shared" si="59"/>
        <v>-0.5453495108130586</v>
      </c>
      <c r="P308" s="18">
        <f>IF(SUMIFS('Daily NSE Equity Futures'!$J:$J,'Daily NSE Equity Futures'!$A:$A,$A308)=0,"",SUMIFS('Daily NSE Equity Futures'!$J:$J,'Daily NSE Equity Futures'!$A:$A,$A308))</f>
        <v>1028734</v>
      </c>
      <c r="Q308" s="7">
        <f>IF(SUMIFS('Daily BSE Equity Futures'!$J:$J,'Daily BSE Equity Futures'!$A:$A,$A308)=0,"",SUMIFS('Daily BSE Equity Futures'!$J:$J,'Daily BSE Equity Futures'!$A:$A,$A308))</f>
        <v>128</v>
      </c>
      <c r="R308" s="7">
        <f t="shared" si="54"/>
        <v>1028862</v>
      </c>
      <c r="S308" s="19">
        <f t="shared" si="55"/>
        <v>0.99987559070118248</v>
      </c>
      <c r="T308" s="19">
        <f t="shared" si="56"/>
        <v>1.244092988175285E-4</v>
      </c>
    </row>
    <row r="309" spans="1:20" x14ac:dyDescent="0.2">
      <c r="A309" s="9">
        <v>44375</v>
      </c>
      <c r="B309" s="4" t="s">
        <v>225</v>
      </c>
      <c r="C309" s="8">
        <v>44348</v>
      </c>
      <c r="D309" s="4" t="s">
        <v>177</v>
      </c>
      <c r="E309" s="14">
        <f>IF(SUMIFS('Daily NSE Equity Futures'!$I:$I,'Daily NSE Equity Futures'!$A:$A,$A309)=0,"",SUMIFS('Daily NSE Equity Futures'!$I:$I,'Daily NSE Equity Futures'!$A:$A,$A309))</f>
        <v>700.54700000000003</v>
      </c>
      <c r="F309" s="6">
        <f>IF(SUMIFS('Daily BSE Equity Futures'!$I:$I,'Daily BSE Equity Futures'!$A:$A,$A309)=0,"",SUMIFS('Daily BSE Equity Futures'!$I:$I,'Daily BSE Equity Futures'!$A:$A,$A309))</f>
        <v>9.1000000000000004E-3</v>
      </c>
      <c r="G309" s="6">
        <f t="shared" si="48"/>
        <v>700.55610000000001</v>
      </c>
      <c r="H309" s="15">
        <f t="shared" si="49"/>
        <v>0.99998701031937343</v>
      </c>
      <c r="I309" s="15">
        <f t="shared" si="50"/>
        <v>1.2989680626576516E-5</v>
      </c>
      <c r="J309" s="20" t="str">
        <f t="shared" si="51"/>
        <v/>
      </c>
      <c r="K309" s="15" t="str">
        <f t="shared" si="52"/>
        <v/>
      </c>
      <c r="L309" s="15" t="str">
        <f t="shared" si="53"/>
        <v/>
      </c>
      <c r="M309" s="15">
        <f t="shared" si="57"/>
        <v>-0.14514281502607529</v>
      </c>
      <c r="N309" s="15">
        <f t="shared" si="58"/>
        <v>-0.9143126177024482</v>
      </c>
      <c r="O309" s="15">
        <f t="shared" si="59"/>
        <v>-0.14524248096288372</v>
      </c>
      <c r="P309" s="18">
        <f>IF(SUMIFS('Daily NSE Equity Futures'!$J:$J,'Daily NSE Equity Futures'!$A:$A,$A309)=0,"",SUMIFS('Daily NSE Equity Futures'!$J:$J,'Daily NSE Equity Futures'!$A:$A,$A309))</f>
        <v>845689</v>
      </c>
      <c r="Q309" s="7">
        <f>IF(SUMIFS('Daily BSE Equity Futures'!$J:$J,'Daily BSE Equity Futures'!$A:$A,$A309)=0,"",SUMIFS('Daily BSE Equity Futures'!$J:$J,'Daily BSE Equity Futures'!$A:$A,$A309))</f>
        <v>11</v>
      </c>
      <c r="R309" s="7">
        <f t="shared" si="54"/>
        <v>845700</v>
      </c>
      <c r="S309" s="19">
        <f t="shared" si="55"/>
        <v>0.99998699302353078</v>
      </c>
      <c r="T309" s="19">
        <f t="shared" si="56"/>
        <v>1.3006976469197115E-5</v>
      </c>
    </row>
    <row r="310" spans="1:20" x14ac:dyDescent="0.2">
      <c r="A310" s="9">
        <v>44376</v>
      </c>
      <c r="B310" s="4" t="s">
        <v>223</v>
      </c>
      <c r="C310" s="8">
        <v>44348</v>
      </c>
      <c r="D310" s="4" t="s">
        <v>177</v>
      </c>
      <c r="E310" s="14">
        <f>IF(SUMIFS('Daily NSE Equity Futures'!$I:$I,'Daily NSE Equity Futures'!$A:$A,$A310)=0,"",SUMIFS('Daily NSE Equity Futures'!$I:$I,'Daily NSE Equity Futures'!$A:$A,$A310))</f>
        <v>718.75450000000001</v>
      </c>
      <c r="F310" s="6">
        <f>IF(SUMIFS('Daily BSE Equity Futures'!$I:$I,'Daily BSE Equity Futures'!$A:$A,$A310)=0,"",SUMIFS('Daily BSE Equity Futures'!$I:$I,'Daily BSE Equity Futures'!$A:$A,$A310))</f>
        <v>1.24E-2</v>
      </c>
      <c r="G310" s="6">
        <f t="shared" si="48"/>
        <v>718.76689999999996</v>
      </c>
      <c r="H310" s="15">
        <f t="shared" si="49"/>
        <v>0.99998274823172861</v>
      </c>
      <c r="I310" s="15">
        <f t="shared" si="50"/>
        <v>1.7251768271466035E-5</v>
      </c>
      <c r="J310" s="20">
        <f t="shared" si="51"/>
        <v>-8.9267103773483347E-2</v>
      </c>
      <c r="K310" s="15" t="str">
        <f t="shared" si="52"/>
        <v/>
      </c>
      <c r="L310" s="15" t="str">
        <f t="shared" si="53"/>
        <v/>
      </c>
      <c r="M310" s="15">
        <f t="shared" si="57"/>
        <v>2.5990404640944931E-2</v>
      </c>
      <c r="N310" s="15">
        <f t="shared" si="58"/>
        <v>0.36263736263736246</v>
      </c>
      <c r="O310" s="15">
        <f t="shared" si="59"/>
        <v>2.5994777577412975E-2</v>
      </c>
      <c r="P310" s="18">
        <f>IF(SUMIFS('Daily NSE Equity Futures'!$J:$J,'Daily NSE Equity Futures'!$A:$A,$A310)=0,"",SUMIFS('Daily NSE Equity Futures'!$J:$J,'Daily NSE Equity Futures'!$A:$A,$A310))</f>
        <v>894144</v>
      </c>
      <c r="Q310" s="7">
        <f>IF(SUMIFS('Daily BSE Equity Futures'!$J:$J,'Daily BSE Equity Futures'!$A:$A,$A310)=0,"",SUMIFS('Daily BSE Equity Futures'!$J:$J,'Daily BSE Equity Futures'!$A:$A,$A310))</f>
        <v>15</v>
      </c>
      <c r="R310" s="7">
        <f t="shared" si="54"/>
        <v>894159</v>
      </c>
      <c r="S310" s="19">
        <f t="shared" si="55"/>
        <v>0.99998322446007926</v>
      </c>
      <c r="T310" s="19">
        <f t="shared" si="56"/>
        <v>1.6775539920752348E-5</v>
      </c>
    </row>
    <row r="311" spans="1:20" x14ac:dyDescent="0.2">
      <c r="A311" s="9">
        <v>44377</v>
      </c>
      <c r="B311" s="4" t="s">
        <v>221</v>
      </c>
      <c r="C311" s="8">
        <v>44348</v>
      </c>
      <c r="D311" s="4" t="s">
        <v>177</v>
      </c>
      <c r="E311" s="14">
        <f>IF(SUMIFS('Daily NSE Equity Futures'!$I:$I,'Daily NSE Equity Futures'!$A:$A,$A311)=0,"",SUMIFS('Daily NSE Equity Futures'!$I:$I,'Daily NSE Equity Futures'!$A:$A,$A311))</f>
        <v>719.08659999999998</v>
      </c>
      <c r="F311" s="6">
        <f>IF(SUMIFS('Daily BSE Equity Futures'!$I:$I,'Daily BSE Equity Futures'!$A:$A,$A311)=0,"",SUMIFS('Daily BSE Equity Futures'!$I:$I,'Daily BSE Equity Futures'!$A:$A,$A311))</f>
        <v>8.3000000000000001E-3</v>
      </c>
      <c r="G311" s="6">
        <f t="shared" si="48"/>
        <v>719.09489999999994</v>
      </c>
      <c r="H311" s="15">
        <f t="shared" si="49"/>
        <v>0.99998845771260514</v>
      </c>
      <c r="I311" s="15">
        <f t="shared" si="50"/>
        <v>1.1542287394890439E-5</v>
      </c>
      <c r="J311" s="20">
        <f t="shared" si="51"/>
        <v>-5.1093829052245354E-2</v>
      </c>
      <c r="K311" s="15">
        <f t="shared" si="52"/>
        <v>0.45614035087719285</v>
      </c>
      <c r="L311" s="15">
        <f t="shared" si="53"/>
        <v>-5.1090013809502843E-2</v>
      </c>
      <c r="M311" s="15">
        <f t="shared" si="57"/>
        <v>4.6204928108273258E-4</v>
      </c>
      <c r="N311" s="15">
        <f t="shared" si="58"/>
        <v>-0.33064516129032251</v>
      </c>
      <c r="O311" s="15">
        <f t="shared" si="59"/>
        <v>4.5633709621295537E-4</v>
      </c>
      <c r="P311" s="18">
        <f>IF(SUMIFS('Daily NSE Equity Futures'!$J:$J,'Daily NSE Equity Futures'!$A:$A,$A311)=0,"",SUMIFS('Daily NSE Equity Futures'!$J:$J,'Daily NSE Equity Futures'!$A:$A,$A311))</f>
        <v>895394</v>
      </c>
      <c r="Q311" s="7">
        <f>IF(SUMIFS('Daily BSE Equity Futures'!$J:$J,'Daily BSE Equity Futures'!$A:$A,$A311)=0,"",SUMIFS('Daily BSE Equity Futures'!$J:$J,'Daily BSE Equity Futures'!$A:$A,$A311))</f>
        <v>10</v>
      </c>
      <c r="R311" s="7">
        <f t="shared" si="54"/>
        <v>895404</v>
      </c>
      <c r="S311" s="19">
        <f t="shared" si="55"/>
        <v>0.99998883185690479</v>
      </c>
      <c r="T311" s="19">
        <f t="shared" si="56"/>
        <v>1.116814309518385E-5</v>
      </c>
    </row>
    <row r="312" spans="1:20" x14ac:dyDescent="0.2">
      <c r="A312" s="9">
        <v>44378</v>
      </c>
      <c r="B312" s="4" t="s">
        <v>224</v>
      </c>
      <c r="C312" s="8">
        <v>44378</v>
      </c>
      <c r="D312" s="4" t="s">
        <v>178</v>
      </c>
      <c r="E312" s="14">
        <f>IF(SUMIFS('Daily NSE Equity Futures'!$I:$I,'Daily NSE Equity Futures'!$A:$A,$A312)=0,"",SUMIFS('Daily NSE Equity Futures'!$I:$I,'Daily NSE Equity Futures'!$A:$A,$A312))</f>
        <v>606.0326</v>
      </c>
      <c r="F312" s="6">
        <f>IF(SUMIFS('Daily BSE Equity Futures'!$I:$I,'Daily BSE Equity Futures'!$A:$A,$A312)=0,"",SUMIFS('Daily BSE Equity Futures'!$I:$I,'Daily BSE Equity Futures'!$A:$A,$A312))</f>
        <v>1.4E-2</v>
      </c>
      <c r="G312" s="6">
        <f t="shared" si="48"/>
        <v>606.04660000000001</v>
      </c>
      <c r="H312" s="15">
        <f t="shared" si="49"/>
        <v>0.99997689946614665</v>
      </c>
      <c r="I312" s="15">
        <f t="shared" si="50"/>
        <v>2.310053385333735E-5</v>
      </c>
      <c r="J312" s="20">
        <f t="shared" si="51"/>
        <v>-0.27597526023466223</v>
      </c>
      <c r="K312" s="15">
        <f t="shared" si="52"/>
        <v>-0.91325898389095417</v>
      </c>
      <c r="L312" s="15">
        <f t="shared" si="53"/>
        <v>-0.27609812010209334</v>
      </c>
      <c r="M312" s="15">
        <f t="shared" si="57"/>
        <v>-0.15721889408035139</v>
      </c>
      <c r="N312" s="15">
        <f t="shared" si="58"/>
        <v>0.68674698795180733</v>
      </c>
      <c r="O312" s="15">
        <f t="shared" si="59"/>
        <v>-0.15720915278358938</v>
      </c>
      <c r="P312" s="18">
        <f>IF(SUMIFS('Daily NSE Equity Futures'!$J:$J,'Daily NSE Equity Futures'!$A:$A,$A312)=0,"",SUMIFS('Daily NSE Equity Futures'!$J:$J,'Daily NSE Equity Futures'!$A:$A,$A312))</f>
        <v>753137</v>
      </c>
      <c r="Q312" s="7">
        <f>IF(SUMIFS('Daily BSE Equity Futures'!$J:$J,'Daily BSE Equity Futures'!$A:$A,$A312)=0,"",SUMIFS('Daily BSE Equity Futures'!$J:$J,'Daily BSE Equity Futures'!$A:$A,$A312))</f>
        <v>17</v>
      </c>
      <c r="R312" s="7">
        <f t="shared" si="54"/>
        <v>753154</v>
      </c>
      <c r="S312" s="19">
        <f t="shared" si="55"/>
        <v>0.99997742825504476</v>
      </c>
      <c r="T312" s="19">
        <f t="shared" si="56"/>
        <v>2.2571744955215002E-5</v>
      </c>
    </row>
    <row r="313" spans="1:20" x14ac:dyDescent="0.2">
      <c r="A313" s="9">
        <v>44379</v>
      </c>
      <c r="B313" s="4" t="s">
        <v>222</v>
      </c>
      <c r="C313" s="8">
        <v>44378</v>
      </c>
      <c r="D313" s="4" t="s">
        <v>178</v>
      </c>
      <c r="E313" s="14">
        <f>IF(SUMIFS('Daily NSE Equity Futures'!$I:$I,'Daily NSE Equity Futures'!$A:$A,$A313)=0,"",SUMIFS('Daily NSE Equity Futures'!$I:$I,'Daily NSE Equity Futures'!$A:$A,$A313))</f>
        <v>655.70569999999998</v>
      </c>
      <c r="F313" s="6">
        <f>IF(SUMIFS('Daily BSE Equity Futures'!$I:$I,'Daily BSE Equity Futures'!$A:$A,$A313)=0,"",SUMIFS('Daily BSE Equity Futures'!$I:$I,'Daily BSE Equity Futures'!$A:$A,$A313))</f>
        <v>2.63E-2</v>
      </c>
      <c r="G313" s="6">
        <f t="shared" si="48"/>
        <v>655.73199999999997</v>
      </c>
      <c r="H313" s="15">
        <f t="shared" si="49"/>
        <v>0.99995989215106174</v>
      </c>
      <c r="I313" s="15">
        <f t="shared" si="50"/>
        <v>4.0107848938285765E-5</v>
      </c>
      <c r="J313" s="20">
        <f t="shared" si="51"/>
        <v>-0.20708341526048246</v>
      </c>
      <c r="K313" s="15">
        <f t="shared" si="52"/>
        <v>-0.74540174249757984</v>
      </c>
      <c r="L313" s="15">
        <f t="shared" si="53"/>
        <v>-0.20715065155687484</v>
      </c>
      <c r="M313" s="15">
        <f t="shared" si="57"/>
        <v>8.1964402575043005E-2</v>
      </c>
      <c r="N313" s="15">
        <f t="shared" si="58"/>
        <v>0.87857142857142856</v>
      </c>
      <c r="O313" s="15">
        <f t="shared" si="59"/>
        <v>8.1982804622614758E-2</v>
      </c>
      <c r="P313" s="18">
        <f>IF(SUMIFS('Daily NSE Equity Futures'!$J:$J,'Daily NSE Equity Futures'!$A:$A,$A313)=0,"",SUMIFS('Daily NSE Equity Futures'!$J:$J,'Daily NSE Equity Futures'!$A:$A,$A313))</f>
        <v>805060</v>
      </c>
      <c r="Q313" s="7">
        <f>IF(SUMIFS('Daily BSE Equity Futures'!$J:$J,'Daily BSE Equity Futures'!$A:$A,$A313)=0,"",SUMIFS('Daily BSE Equity Futures'!$J:$J,'Daily BSE Equity Futures'!$A:$A,$A313))</f>
        <v>32</v>
      </c>
      <c r="R313" s="7">
        <f t="shared" si="54"/>
        <v>805092</v>
      </c>
      <c r="S313" s="19">
        <f t="shared" si="55"/>
        <v>0.99996025298972047</v>
      </c>
      <c r="T313" s="19">
        <f t="shared" si="56"/>
        <v>3.9747010279570534E-5</v>
      </c>
    </row>
    <row r="314" spans="1:20" x14ac:dyDescent="0.2">
      <c r="A314" s="9">
        <v>44382</v>
      </c>
      <c r="B314" s="4" t="s">
        <v>225</v>
      </c>
      <c r="C314" s="8">
        <v>44378</v>
      </c>
      <c r="D314" s="4" t="s">
        <v>178</v>
      </c>
      <c r="E314" s="14">
        <f>IF(SUMIFS('Daily NSE Equity Futures'!$I:$I,'Daily NSE Equity Futures'!$A:$A,$A314)=0,"",SUMIFS('Daily NSE Equity Futures'!$I:$I,'Daily NSE Equity Futures'!$A:$A,$A314))</f>
        <v>673.86220000000003</v>
      </c>
      <c r="F314" s="6">
        <f>IF(SUMIFS('Daily BSE Equity Futures'!$I:$I,'Daily BSE Equity Futures'!$A:$A,$A314)=0,"",SUMIFS('Daily BSE Equity Futures'!$I:$I,'Daily BSE Equity Futures'!$A:$A,$A314))</f>
        <v>5.0000000000000001E-3</v>
      </c>
      <c r="G314" s="6">
        <f t="shared" si="48"/>
        <v>673.86720000000003</v>
      </c>
      <c r="H314" s="15">
        <f t="shared" si="49"/>
        <v>0.99999258014041936</v>
      </c>
      <c r="I314" s="15">
        <f t="shared" si="50"/>
        <v>7.4198595806414083E-6</v>
      </c>
      <c r="J314" s="20" t="str">
        <f t="shared" si="51"/>
        <v/>
      </c>
      <c r="K314" s="15" t="str">
        <f t="shared" si="52"/>
        <v/>
      </c>
      <c r="L314" s="15" t="str">
        <f t="shared" si="53"/>
        <v/>
      </c>
      <c r="M314" s="15">
        <f t="shared" si="57"/>
        <v>2.7690013980357531E-2</v>
      </c>
      <c r="N314" s="15">
        <f t="shared" si="58"/>
        <v>-0.8098859315589354</v>
      </c>
      <c r="O314" s="15">
        <f t="shared" si="59"/>
        <v>2.7656420610859378E-2</v>
      </c>
      <c r="P314" s="18">
        <f>IF(SUMIFS('Daily NSE Equity Futures'!$J:$J,'Daily NSE Equity Futures'!$A:$A,$A314)=0,"",SUMIFS('Daily NSE Equity Futures'!$J:$J,'Daily NSE Equity Futures'!$A:$A,$A314))</f>
        <v>810583</v>
      </c>
      <c r="Q314" s="7">
        <f>IF(SUMIFS('Daily BSE Equity Futures'!$J:$J,'Daily BSE Equity Futures'!$A:$A,$A314)=0,"",SUMIFS('Daily BSE Equity Futures'!$J:$J,'Daily BSE Equity Futures'!$A:$A,$A314))</f>
        <v>6</v>
      </c>
      <c r="R314" s="7">
        <f t="shared" si="54"/>
        <v>810589</v>
      </c>
      <c r="S314" s="19">
        <f t="shared" si="55"/>
        <v>0.99999259797505269</v>
      </c>
      <c r="T314" s="19">
        <f t="shared" si="56"/>
        <v>7.4020249472914136E-6</v>
      </c>
    </row>
    <row r="315" spans="1:20" x14ac:dyDescent="0.2">
      <c r="A315" s="9">
        <v>44383</v>
      </c>
      <c r="B315" s="4" t="s">
        <v>223</v>
      </c>
      <c r="C315" s="8">
        <v>44378</v>
      </c>
      <c r="D315" s="4" t="s">
        <v>178</v>
      </c>
      <c r="E315" s="14">
        <f>IF(SUMIFS('Daily NSE Equity Futures'!$I:$I,'Daily NSE Equity Futures'!$A:$A,$A315)=0,"",SUMIFS('Daily NSE Equity Futures'!$I:$I,'Daily NSE Equity Futures'!$A:$A,$A315))</f>
        <v>870.62869999999998</v>
      </c>
      <c r="F315" s="6">
        <f>IF(SUMIFS('Daily BSE Equity Futures'!$I:$I,'Daily BSE Equity Futures'!$A:$A,$A315)=0,"",SUMIFS('Daily BSE Equity Futures'!$I:$I,'Daily BSE Equity Futures'!$A:$A,$A315))</f>
        <v>1.0800000000000001E-2</v>
      </c>
      <c r="G315" s="6">
        <f t="shared" si="48"/>
        <v>870.6395</v>
      </c>
      <c r="H315" s="15">
        <f t="shared" si="49"/>
        <v>0.99998759532504555</v>
      </c>
      <c r="I315" s="15">
        <f t="shared" si="50"/>
        <v>1.2404674954444406E-5</v>
      </c>
      <c r="J315" s="20">
        <f t="shared" si="51"/>
        <v>0.12442982851525142</v>
      </c>
      <c r="K315" s="15">
        <f t="shared" si="52"/>
        <v>-0.94537177541729889</v>
      </c>
      <c r="L315" s="15">
        <f t="shared" si="53"/>
        <v>0.12415674315604108</v>
      </c>
      <c r="M315" s="15">
        <f t="shared" si="57"/>
        <v>0.29199812661995272</v>
      </c>
      <c r="N315" s="15">
        <f t="shared" si="58"/>
        <v>1.1600000000000001</v>
      </c>
      <c r="O315" s="15">
        <f t="shared" si="59"/>
        <v>0.29200456707196909</v>
      </c>
      <c r="P315" s="18">
        <f>IF(SUMIFS('Daily NSE Equity Futures'!$J:$J,'Daily NSE Equity Futures'!$A:$A,$A315)=0,"",SUMIFS('Daily NSE Equity Futures'!$J:$J,'Daily NSE Equity Futures'!$A:$A,$A315))</f>
        <v>1043650</v>
      </c>
      <c r="Q315" s="7">
        <f>IF(SUMIFS('Daily BSE Equity Futures'!$J:$J,'Daily BSE Equity Futures'!$A:$A,$A315)=0,"",SUMIFS('Daily BSE Equity Futures'!$J:$J,'Daily BSE Equity Futures'!$A:$A,$A315))</f>
        <v>13</v>
      </c>
      <c r="R315" s="7">
        <f t="shared" si="54"/>
        <v>1043663</v>
      </c>
      <c r="S315" s="19">
        <f t="shared" si="55"/>
        <v>0.99998754387192035</v>
      </c>
      <c r="T315" s="19">
        <f t="shared" si="56"/>
        <v>1.2456128079657898E-5</v>
      </c>
    </row>
    <row r="316" spans="1:20" x14ac:dyDescent="0.2">
      <c r="A316" s="9">
        <v>44384</v>
      </c>
      <c r="B316" s="4" t="s">
        <v>221</v>
      </c>
      <c r="C316" s="8">
        <v>44378</v>
      </c>
      <c r="D316" s="4" t="s">
        <v>178</v>
      </c>
      <c r="E316" s="14">
        <f>IF(SUMIFS('Daily NSE Equity Futures'!$I:$I,'Daily NSE Equity Futures'!$A:$A,$A316)=0,"",SUMIFS('Daily NSE Equity Futures'!$I:$I,'Daily NSE Equity Futures'!$A:$A,$A316))</f>
        <v>702.77369999999996</v>
      </c>
      <c r="F316" s="6">
        <f>IF(SUMIFS('Daily BSE Equity Futures'!$I:$I,'Daily BSE Equity Futures'!$A:$A,$A316)=0,"",SUMIFS('Daily BSE Equity Futures'!$I:$I,'Daily BSE Equity Futures'!$A:$A,$A316))</f>
        <v>5.0000000000000001E-3</v>
      </c>
      <c r="G316" s="6">
        <f t="shared" si="48"/>
        <v>702.77869999999996</v>
      </c>
      <c r="H316" s="15">
        <f t="shared" si="49"/>
        <v>0.99999288538483022</v>
      </c>
      <c r="I316" s="15">
        <f t="shared" si="50"/>
        <v>7.1146151697540075E-6</v>
      </c>
      <c r="J316" s="20">
        <f t="shared" si="51"/>
        <v>-0.26204418261036755</v>
      </c>
      <c r="K316" s="15">
        <f t="shared" si="52"/>
        <v>-0.96801023672424824</v>
      </c>
      <c r="L316" s="15">
        <f t="shared" si="53"/>
        <v>-0.26216003003523847</v>
      </c>
      <c r="M316" s="15">
        <f t="shared" si="57"/>
        <v>-0.19279745774519041</v>
      </c>
      <c r="N316" s="15">
        <f t="shared" si="58"/>
        <v>-0.53703703703703698</v>
      </c>
      <c r="O316" s="15">
        <f t="shared" si="59"/>
        <v>-0.19280172792527794</v>
      </c>
      <c r="P316" s="18">
        <f>IF(SUMIFS('Daily NSE Equity Futures'!$J:$J,'Daily NSE Equity Futures'!$A:$A,$A316)=0,"",SUMIFS('Daily NSE Equity Futures'!$J:$J,'Daily NSE Equity Futures'!$A:$A,$A316))</f>
        <v>845305</v>
      </c>
      <c r="Q316" s="7">
        <f>IF(SUMIFS('Daily BSE Equity Futures'!$J:$J,'Daily BSE Equity Futures'!$A:$A,$A316)=0,"",SUMIFS('Daily BSE Equity Futures'!$J:$J,'Daily BSE Equity Futures'!$A:$A,$A316))</f>
        <v>6</v>
      </c>
      <c r="R316" s="7">
        <f t="shared" si="54"/>
        <v>845311</v>
      </c>
      <c r="S316" s="19">
        <f t="shared" si="55"/>
        <v>0.99999290202067637</v>
      </c>
      <c r="T316" s="19">
        <f t="shared" si="56"/>
        <v>7.0979793235862308E-6</v>
      </c>
    </row>
    <row r="317" spans="1:20" x14ac:dyDescent="0.2">
      <c r="A317" s="9">
        <v>44385</v>
      </c>
      <c r="B317" s="4" t="s">
        <v>224</v>
      </c>
      <c r="C317" s="8">
        <v>44378</v>
      </c>
      <c r="D317" s="4" t="s">
        <v>178</v>
      </c>
      <c r="E317" s="14">
        <f>IF(SUMIFS('Daily NSE Equity Futures'!$I:$I,'Daily NSE Equity Futures'!$A:$A,$A317)=0,"",SUMIFS('Daily NSE Equity Futures'!$I:$I,'Daily NSE Equity Futures'!$A:$A,$A317))</f>
        <v>808.1934</v>
      </c>
      <c r="F317" s="6">
        <f>IF(SUMIFS('Daily BSE Equity Futures'!$I:$I,'Daily BSE Equity Futures'!$A:$A,$A317)=0,"",SUMIFS('Daily BSE Equity Futures'!$I:$I,'Daily BSE Equity Futures'!$A:$A,$A317))</f>
        <v>8.3000000000000001E-3</v>
      </c>
      <c r="G317" s="6">
        <f t="shared" si="48"/>
        <v>808.20169999999996</v>
      </c>
      <c r="H317" s="15">
        <f t="shared" si="49"/>
        <v>0.99998973028638771</v>
      </c>
      <c r="I317" s="15">
        <f t="shared" si="50"/>
        <v>1.0269713612332169E-5</v>
      </c>
      <c r="J317" s="20">
        <f t="shared" si="51"/>
        <v>-0.16969619077295017</v>
      </c>
      <c r="K317" s="15">
        <f t="shared" si="52"/>
        <v>-0.91452111225540678</v>
      </c>
      <c r="L317" s="15">
        <f t="shared" si="53"/>
        <v>-0.1697704844474569</v>
      </c>
      <c r="M317" s="15">
        <f t="shared" si="57"/>
        <v>0.15000518659135942</v>
      </c>
      <c r="N317" s="15">
        <f t="shared" si="58"/>
        <v>0.65999999999999992</v>
      </c>
      <c r="O317" s="15">
        <f t="shared" si="59"/>
        <v>0.1500088150081953</v>
      </c>
      <c r="P317" s="18">
        <f>IF(SUMIFS('Daily NSE Equity Futures'!$J:$J,'Daily NSE Equity Futures'!$A:$A,$A317)=0,"",SUMIFS('Daily NSE Equity Futures'!$J:$J,'Daily NSE Equity Futures'!$A:$A,$A317))</f>
        <v>997138</v>
      </c>
      <c r="Q317" s="7">
        <f>IF(SUMIFS('Daily BSE Equity Futures'!$J:$J,'Daily BSE Equity Futures'!$A:$A,$A317)=0,"",SUMIFS('Daily BSE Equity Futures'!$J:$J,'Daily BSE Equity Futures'!$A:$A,$A317))</f>
        <v>10</v>
      </c>
      <c r="R317" s="7">
        <f t="shared" si="54"/>
        <v>997148</v>
      </c>
      <c r="S317" s="19">
        <f t="shared" si="55"/>
        <v>0.99998997139842827</v>
      </c>
      <c r="T317" s="19">
        <f t="shared" si="56"/>
        <v>1.0028601571682438E-5</v>
      </c>
    </row>
    <row r="318" spans="1:20" x14ac:dyDescent="0.2">
      <c r="A318" s="9">
        <v>44386</v>
      </c>
      <c r="B318" s="4" t="s">
        <v>222</v>
      </c>
      <c r="C318" s="8">
        <v>44378</v>
      </c>
      <c r="D318" s="4" t="s">
        <v>178</v>
      </c>
      <c r="E318" s="14">
        <f>IF(SUMIFS('Daily NSE Equity Futures'!$I:$I,'Daily NSE Equity Futures'!$A:$A,$A318)=0,"",SUMIFS('Daily NSE Equity Futures'!$I:$I,'Daily NSE Equity Futures'!$A:$A,$A318))</f>
        <v>728.85709999999995</v>
      </c>
      <c r="F318" s="6">
        <f>IF(SUMIFS('Daily BSE Equity Futures'!$I:$I,'Daily BSE Equity Futures'!$A:$A,$A318)=0,"",SUMIFS('Daily BSE Equity Futures'!$I:$I,'Daily BSE Equity Futures'!$A:$A,$A318))</f>
        <v>1.32E-2</v>
      </c>
      <c r="G318" s="6">
        <f t="shared" si="48"/>
        <v>728.87029999999993</v>
      </c>
      <c r="H318" s="15">
        <f t="shared" si="49"/>
        <v>0.99998188978203673</v>
      </c>
      <c r="I318" s="15">
        <f t="shared" si="50"/>
        <v>1.811021796333312E-5</v>
      </c>
      <c r="J318" s="20">
        <f t="shared" si="51"/>
        <v>-5.6021168957807621E-2</v>
      </c>
      <c r="K318" s="15">
        <f t="shared" si="52"/>
        <v>-0.9233449477351916</v>
      </c>
      <c r="L318" s="15">
        <f t="shared" si="53"/>
        <v>-5.621456047445772E-2</v>
      </c>
      <c r="M318" s="15">
        <f t="shared" si="57"/>
        <v>-9.8164993676018719E-2</v>
      </c>
      <c r="N318" s="15">
        <f t="shared" si="58"/>
        <v>0.59036144578313254</v>
      </c>
      <c r="O318" s="15">
        <f t="shared" si="59"/>
        <v>-9.8157922706670897E-2</v>
      </c>
      <c r="P318" s="18">
        <f>IF(SUMIFS('Daily NSE Equity Futures'!$J:$J,'Daily NSE Equity Futures'!$A:$A,$A318)=0,"",SUMIFS('Daily NSE Equity Futures'!$J:$J,'Daily NSE Equity Futures'!$A:$A,$A318))</f>
        <v>886446</v>
      </c>
      <c r="Q318" s="7">
        <f>IF(SUMIFS('Daily BSE Equity Futures'!$J:$J,'Daily BSE Equity Futures'!$A:$A,$A318)=0,"",SUMIFS('Daily BSE Equity Futures'!$J:$J,'Daily BSE Equity Futures'!$A:$A,$A318))</f>
        <v>16</v>
      </c>
      <c r="R318" s="7">
        <f t="shared" si="54"/>
        <v>886462</v>
      </c>
      <c r="S318" s="19">
        <f t="shared" si="55"/>
        <v>0.99998195072095586</v>
      </c>
      <c r="T318" s="19">
        <f t="shared" si="56"/>
        <v>1.8049279044110182E-5</v>
      </c>
    </row>
    <row r="319" spans="1:20" x14ac:dyDescent="0.2">
      <c r="A319" s="9">
        <v>44389</v>
      </c>
      <c r="B319" s="4" t="s">
        <v>225</v>
      </c>
      <c r="C319" s="8">
        <v>44378</v>
      </c>
      <c r="D319" s="4" t="s">
        <v>178</v>
      </c>
      <c r="E319" s="14">
        <f>IF(SUMIFS('Daily NSE Equity Futures'!$I:$I,'Daily NSE Equity Futures'!$A:$A,$A319)=0,"",SUMIFS('Daily NSE Equity Futures'!$I:$I,'Daily NSE Equity Futures'!$A:$A,$A319))</f>
        <v>691.60289999999998</v>
      </c>
      <c r="F319" s="6">
        <f>IF(SUMIFS('Daily BSE Equity Futures'!$I:$I,'Daily BSE Equity Futures'!$A:$A,$A319)=0,"",SUMIFS('Daily BSE Equity Futures'!$I:$I,'Daily BSE Equity Futures'!$A:$A,$A319))</f>
        <v>1.0699999999999999E-2</v>
      </c>
      <c r="G319" s="6">
        <f t="shared" si="48"/>
        <v>691.61360000000002</v>
      </c>
      <c r="H319" s="15">
        <f t="shared" si="49"/>
        <v>0.99998452893349687</v>
      </c>
      <c r="I319" s="15">
        <f t="shared" si="50"/>
        <v>1.5471066503030013E-5</v>
      </c>
      <c r="J319" s="20" t="str">
        <f t="shared" si="51"/>
        <v/>
      </c>
      <c r="K319" s="15" t="str">
        <f t="shared" si="52"/>
        <v/>
      </c>
      <c r="L319" s="15" t="str">
        <f t="shared" si="53"/>
        <v/>
      </c>
      <c r="M319" s="15">
        <f t="shared" si="57"/>
        <v>-5.1113174310849052E-2</v>
      </c>
      <c r="N319" s="15">
        <f t="shared" si="58"/>
        <v>-0.18939393939393945</v>
      </c>
      <c r="O319" s="15">
        <f t="shared" si="59"/>
        <v>-5.111567860564481E-2</v>
      </c>
      <c r="P319" s="18">
        <f>IF(SUMIFS('Daily NSE Equity Futures'!$J:$J,'Daily NSE Equity Futures'!$A:$A,$A319)=0,"",SUMIFS('Daily NSE Equity Futures'!$J:$J,'Daily NSE Equity Futures'!$A:$A,$A319))</f>
        <v>836607</v>
      </c>
      <c r="Q319" s="7">
        <f>IF(SUMIFS('Daily BSE Equity Futures'!$J:$J,'Daily BSE Equity Futures'!$A:$A,$A319)=0,"",SUMIFS('Daily BSE Equity Futures'!$J:$J,'Daily BSE Equity Futures'!$A:$A,$A319))</f>
        <v>13</v>
      </c>
      <c r="R319" s="7">
        <f t="shared" si="54"/>
        <v>836620</v>
      </c>
      <c r="S319" s="19">
        <f t="shared" si="55"/>
        <v>0.9999844612846932</v>
      </c>
      <c r="T319" s="19">
        <f t="shared" si="56"/>
        <v>1.5538715306829864E-5</v>
      </c>
    </row>
    <row r="320" spans="1:20" x14ac:dyDescent="0.2">
      <c r="A320" s="9">
        <v>44390</v>
      </c>
      <c r="B320" s="4" t="s">
        <v>223</v>
      </c>
      <c r="C320" s="8">
        <v>44378</v>
      </c>
      <c r="D320" s="4" t="s">
        <v>178</v>
      </c>
      <c r="E320" s="14">
        <f>IF(SUMIFS('Daily NSE Equity Futures'!$I:$I,'Daily NSE Equity Futures'!$A:$A,$A320)=0,"",SUMIFS('Daily NSE Equity Futures'!$I:$I,'Daily NSE Equity Futures'!$A:$A,$A320))</f>
        <v>676.64919999999995</v>
      </c>
      <c r="F320" s="6">
        <f>IF(SUMIFS('Daily BSE Equity Futures'!$I:$I,'Daily BSE Equity Futures'!$A:$A,$A320)=0,"",SUMIFS('Daily BSE Equity Futures'!$I:$I,'Daily BSE Equity Futures'!$A:$A,$A320))</f>
        <v>1.66E-2</v>
      </c>
      <c r="G320" s="6">
        <f t="shared" si="48"/>
        <v>676.66579999999999</v>
      </c>
      <c r="H320" s="15">
        <f t="shared" si="49"/>
        <v>0.99997546794887515</v>
      </c>
      <c r="I320" s="15">
        <f t="shared" si="50"/>
        <v>2.4532051124794544E-5</v>
      </c>
      <c r="J320" s="20">
        <f t="shared" si="51"/>
        <v>-0.14190508582734707</v>
      </c>
      <c r="K320" s="15">
        <f t="shared" si="52"/>
        <v>-0.96345222369000438</v>
      </c>
      <c r="L320" s="15">
        <f t="shared" si="53"/>
        <v>-0.14237802064987382</v>
      </c>
      <c r="M320" s="15">
        <f t="shared" si="57"/>
        <v>-2.1621800602629082E-2</v>
      </c>
      <c r="N320" s="15">
        <f t="shared" si="58"/>
        <v>0.55140186915887868</v>
      </c>
      <c r="O320" s="15">
        <f t="shared" si="59"/>
        <v>-2.1612935315326376E-2</v>
      </c>
      <c r="P320" s="18">
        <f>IF(SUMIFS('Daily NSE Equity Futures'!$J:$J,'Daily NSE Equity Futures'!$A:$A,$A320)=0,"",SUMIFS('Daily NSE Equity Futures'!$J:$J,'Daily NSE Equity Futures'!$A:$A,$A320))</f>
        <v>819472</v>
      </c>
      <c r="Q320" s="7">
        <f>IF(SUMIFS('Daily BSE Equity Futures'!$J:$J,'Daily BSE Equity Futures'!$A:$A,$A320)=0,"",SUMIFS('Daily BSE Equity Futures'!$J:$J,'Daily BSE Equity Futures'!$A:$A,$A320))</f>
        <v>20</v>
      </c>
      <c r="R320" s="7">
        <f t="shared" si="54"/>
        <v>819492</v>
      </c>
      <c r="S320" s="19">
        <f t="shared" si="55"/>
        <v>0.9999755946366774</v>
      </c>
      <c r="T320" s="19">
        <f t="shared" si="56"/>
        <v>2.4405363322643785E-5</v>
      </c>
    </row>
    <row r="321" spans="1:20" x14ac:dyDescent="0.2">
      <c r="A321" s="9">
        <v>44391</v>
      </c>
      <c r="B321" s="4" t="s">
        <v>221</v>
      </c>
      <c r="C321" s="8">
        <v>44378</v>
      </c>
      <c r="D321" s="4" t="s">
        <v>178</v>
      </c>
      <c r="E321" s="14">
        <f>IF(SUMIFS('Daily NSE Equity Futures'!$I:$I,'Daily NSE Equity Futures'!$A:$A,$A321)=0,"",SUMIFS('Daily NSE Equity Futures'!$I:$I,'Daily NSE Equity Futures'!$A:$A,$A321))</f>
        <v>651.87570000000005</v>
      </c>
      <c r="F321" s="6">
        <f>IF(SUMIFS('Daily BSE Equity Futures'!$I:$I,'Daily BSE Equity Futures'!$A:$A,$A321)=0,"",SUMIFS('Daily BSE Equity Futures'!$I:$I,'Daily BSE Equity Futures'!$A:$A,$A321))</f>
        <v>4.1999999999999997E-3</v>
      </c>
      <c r="G321" s="6">
        <f t="shared" si="48"/>
        <v>651.87990000000002</v>
      </c>
      <c r="H321" s="15">
        <f t="shared" si="49"/>
        <v>0.99999355709540982</v>
      </c>
      <c r="I321" s="15">
        <f t="shared" si="50"/>
        <v>6.4429045902473748E-6</v>
      </c>
      <c r="J321" s="20">
        <f t="shared" si="51"/>
        <v>-0.28168568505652181</v>
      </c>
      <c r="K321" s="15">
        <f t="shared" si="52"/>
        <v>-0.96199095022624437</v>
      </c>
      <c r="L321" s="15">
        <f t="shared" si="53"/>
        <v>-0.28176851034592632</v>
      </c>
      <c r="M321" s="15">
        <f t="shared" si="57"/>
        <v>-3.6612028803107877E-2</v>
      </c>
      <c r="N321" s="15">
        <f t="shared" si="58"/>
        <v>-0.74698795180722888</v>
      </c>
      <c r="O321" s="15">
        <f t="shared" si="59"/>
        <v>-3.6629455781568954E-2</v>
      </c>
      <c r="P321" s="18">
        <f>IF(SUMIFS('Daily NSE Equity Futures'!$J:$J,'Daily NSE Equity Futures'!$A:$A,$A321)=0,"",SUMIFS('Daily NSE Equity Futures'!$J:$J,'Daily NSE Equity Futures'!$A:$A,$A321))</f>
        <v>784435</v>
      </c>
      <c r="Q321" s="7">
        <f>IF(SUMIFS('Daily BSE Equity Futures'!$J:$J,'Daily BSE Equity Futures'!$A:$A,$A321)=0,"",SUMIFS('Daily BSE Equity Futures'!$J:$J,'Daily BSE Equity Futures'!$A:$A,$A321))</f>
        <v>5</v>
      </c>
      <c r="R321" s="7">
        <f t="shared" si="54"/>
        <v>784440</v>
      </c>
      <c r="S321" s="19">
        <f t="shared" si="55"/>
        <v>0.99999362602620978</v>
      </c>
      <c r="T321" s="19">
        <f t="shared" si="56"/>
        <v>6.3739737902197749E-6</v>
      </c>
    </row>
    <row r="322" spans="1:20" x14ac:dyDescent="0.2">
      <c r="A322" s="9">
        <v>44392</v>
      </c>
      <c r="B322" s="4" t="s">
        <v>224</v>
      </c>
      <c r="C322" s="8">
        <v>44378</v>
      </c>
      <c r="D322" s="4" t="s">
        <v>178</v>
      </c>
      <c r="E322" s="14">
        <f>IF(SUMIFS('Daily NSE Equity Futures'!$I:$I,'Daily NSE Equity Futures'!$A:$A,$A322)=0,"",SUMIFS('Daily NSE Equity Futures'!$I:$I,'Daily NSE Equity Futures'!$A:$A,$A322))</f>
        <v>694.82749999999999</v>
      </c>
      <c r="F322" s="6">
        <f>IF(SUMIFS('Daily BSE Equity Futures'!$I:$I,'Daily BSE Equity Futures'!$A:$A,$A322)=0,"",SUMIFS('Daily BSE Equity Futures'!$I:$I,'Daily BSE Equity Futures'!$A:$A,$A322))</f>
        <v>8.3000000000000001E-3</v>
      </c>
      <c r="G322" s="6">
        <f t="shared" ref="G322:G385" si="60">IF(OR(E322="",F322=""),"",E322+F322)</f>
        <v>694.83579999999995</v>
      </c>
      <c r="H322" s="15">
        <f t="shared" ref="H322:H385" si="61">IF(G322="","",E322/G322)</f>
        <v>0.99998805473177987</v>
      </c>
      <c r="I322" s="15">
        <f t="shared" ref="I322:I385" si="62">IF(G322="","",F322/G322)</f>
        <v>1.1945268220203968E-5</v>
      </c>
      <c r="J322" s="20">
        <f t="shared" ref="J322:J385" si="63">IFERROR(IF(OR(E322="",INDEX(E:E,MATCH(DATE(YEAR($A322)-1,MONTH($A322),DAY($A322)),$A:$A,0))=""),"",E322/INDEX(E:E,MATCH(DATE(YEAR($A322)-1,MONTH($A322),DAY($A322)),$A:$A,0))-1),"")</f>
        <v>-0.34494594132388456</v>
      </c>
      <c r="K322" s="15">
        <f t="shared" ref="K322:K385" si="64">IFERROR(IF(OR(F322="",INDEX(F:F,MATCH(DATE(YEAR($A322)-1,MONTH($A322),DAY($A322)),$A:$A,0))=""),"",F322/INDEX(F:F,MATCH(DATE(YEAR($A322)-1,MONTH($A322),DAY($A322)),$A:$A,0))-1),"")</f>
        <v>-0.97508255779045327</v>
      </c>
      <c r="L322" s="15">
        <f t="shared" ref="L322:L385" si="65">IFERROR(IF(OR(G322="",INDEX(G:G,MATCH(DATE(YEAR($A322)-1,MONTH($A322),DAY($A322)),$A:$A,0))=""),"",G322/INDEX(G:G,MATCH(DATE(YEAR($A322)-1,MONTH($A322),DAY($A322)),$A:$A,0))-1),"")</f>
        <v>-0.34514376266020796</v>
      </c>
      <c r="M322" s="15">
        <f t="shared" si="57"/>
        <v>6.5889555324734284E-2</v>
      </c>
      <c r="N322" s="15">
        <f t="shared" si="58"/>
        <v>0.97619047619047628</v>
      </c>
      <c r="O322" s="15">
        <f t="shared" si="59"/>
        <v>6.5895420306715913E-2</v>
      </c>
      <c r="P322" s="18">
        <f>IF(SUMIFS('Daily NSE Equity Futures'!$J:$J,'Daily NSE Equity Futures'!$A:$A,$A322)=0,"",SUMIFS('Daily NSE Equity Futures'!$J:$J,'Daily NSE Equity Futures'!$A:$A,$A322))</f>
        <v>845715</v>
      </c>
      <c r="Q322" s="7">
        <f>IF(SUMIFS('Daily BSE Equity Futures'!$J:$J,'Daily BSE Equity Futures'!$A:$A,$A322)=0,"",SUMIFS('Daily BSE Equity Futures'!$J:$J,'Daily BSE Equity Futures'!$A:$A,$A322))</f>
        <v>10</v>
      </c>
      <c r="R322" s="7">
        <f t="shared" ref="R322:R385" si="66">IF(OR(P322="",Q322=""),"",P322+Q322)</f>
        <v>845725</v>
      </c>
      <c r="S322" s="19">
        <f t="shared" ref="S322:S385" si="67">IF(R322="","",P322/R322)</f>
        <v>0.99998817582547517</v>
      </c>
      <c r="T322" s="19">
        <f t="shared" ref="T322:T385" si="68">IF(R322="","",Q322/R322)</f>
        <v>1.1824174524815986E-5</v>
      </c>
    </row>
    <row r="323" spans="1:20" x14ac:dyDescent="0.2">
      <c r="A323" s="9">
        <v>44393</v>
      </c>
      <c r="B323" s="4" t="s">
        <v>222</v>
      </c>
      <c r="C323" s="8">
        <v>44378</v>
      </c>
      <c r="D323" s="4" t="s">
        <v>178</v>
      </c>
      <c r="E323" s="14">
        <f>IF(SUMIFS('Daily NSE Equity Futures'!$I:$I,'Daily NSE Equity Futures'!$A:$A,$A323)=0,"",SUMIFS('Daily NSE Equity Futures'!$I:$I,'Daily NSE Equity Futures'!$A:$A,$A323))</f>
        <v>714.75340000000006</v>
      </c>
      <c r="F323" s="6">
        <f>IF(SUMIFS('Daily BSE Equity Futures'!$I:$I,'Daily BSE Equity Futures'!$A:$A,$A323)=0,"",SUMIFS('Daily BSE Equity Futures'!$I:$I,'Daily BSE Equity Futures'!$A:$A,$A323))</f>
        <v>3.3E-3</v>
      </c>
      <c r="G323" s="6">
        <f t="shared" si="60"/>
        <v>714.75670000000002</v>
      </c>
      <c r="H323" s="15">
        <f t="shared" si="61"/>
        <v>0.99999538304432822</v>
      </c>
      <c r="I323" s="15">
        <f t="shared" si="62"/>
        <v>4.6169556717691489E-6</v>
      </c>
      <c r="J323" s="20">
        <f t="shared" si="63"/>
        <v>-0.2511323851249353</v>
      </c>
      <c r="K323" s="15">
        <f t="shared" si="64"/>
        <v>-0.98910531528557277</v>
      </c>
      <c r="L323" s="15">
        <f t="shared" si="65"/>
        <v>-0.25136651170439128</v>
      </c>
      <c r="M323" s="15">
        <f t="shared" ref="M323:M386" si="69">IF(OR(E323="",E322=""),"",E323/E322-1)</f>
        <v>2.8677477503409321E-2</v>
      </c>
      <c r="N323" s="15">
        <f t="shared" ref="N323:N386" si="70">IF(OR(F323="",F322=""),"",F323/F322-1)</f>
        <v>-0.60240963855421681</v>
      </c>
      <c r="O323" s="15">
        <f t="shared" ref="O323:O386" si="71">IF(OR(G323="",G322=""),"",G323/G322-1)</f>
        <v>2.8669938998537647E-2</v>
      </c>
      <c r="P323" s="18">
        <f>IF(SUMIFS('Daily NSE Equity Futures'!$J:$J,'Daily NSE Equity Futures'!$A:$A,$A323)=0,"",SUMIFS('Daily NSE Equity Futures'!$J:$J,'Daily NSE Equity Futures'!$A:$A,$A323))</f>
        <v>879758</v>
      </c>
      <c r="Q323" s="7">
        <f>IF(SUMIFS('Daily BSE Equity Futures'!$J:$J,'Daily BSE Equity Futures'!$A:$A,$A323)=0,"",SUMIFS('Daily BSE Equity Futures'!$J:$J,'Daily BSE Equity Futures'!$A:$A,$A323))</f>
        <v>4</v>
      </c>
      <c r="R323" s="7">
        <f t="shared" si="66"/>
        <v>879762</v>
      </c>
      <c r="S323" s="19">
        <f t="shared" si="67"/>
        <v>0.9999954533157831</v>
      </c>
      <c r="T323" s="19">
        <f t="shared" si="68"/>
        <v>4.5466842168677441E-6</v>
      </c>
    </row>
    <row r="324" spans="1:20" x14ac:dyDescent="0.2">
      <c r="A324" s="9">
        <v>44396</v>
      </c>
      <c r="B324" s="4" t="s">
        <v>225</v>
      </c>
      <c r="C324" s="8">
        <v>44378</v>
      </c>
      <c r="D324" s="4" t="s">
        <v>178</v>
      </c>
      <c r="E324" s="14">
        <f>IF(SUMIFS('Daily NSE Equity Futures'!$I:$I,'Daily NSE Equity Futures'!$A:$A,$A324)=0,"",SUMIFS('Daily NSE Equity Futures'!$I:$I,'Daily NSE Equity Futures'!$A:$A,$A324))</f>
        <v>940.23239999999998</v>
      </c>
      <c r="F324" s="6">
        <f>IF(SUMIFS('Daily BSE Equity Futures'!$I:$I,'Daily BSE Equity Futures'!$A:$A,$A324)=0,"",SUMIFS('Daily BSE Equity Futures'!$I:$I,'Daily BSE Equity Futures'!$A:$A,$A324))</f>
        <v>1.5699999999999999E-2</v>
      </c>
      <c r="G324" s="6">
        <f t="shared" si="60"/>
        <v>940.24810000000002</v>
      </c>
      <c r="H324" s="15">
        <f t="shared" si="61"/>
        <v>0.99998330227947274</v>
      </c>
      <c r="I324" s="15">
        <f t="shared" si="62"/>
        <v>1.6697720527167244E-5</v>
      </c>
      <c r="J324" s="20" t="str">
        <f t="shared" si="63"/>
        <v/>
      </c>
      <c r="K324" s="15" t="str">
        <f t="shared" si="64"/>
        <v/>
      </c>
      <c r="L324" s="15" t="str">
        <f t="shared" si="65"/>
        <v/>
      </c>
      <c r="M324" s="15">
        <f t="shared" si="69"/>
        <v>0.3154640467607428</v>
      </c>
      <c r="N324" s="15">
        <f t="shared" si="70"/>
        <v>3.7575757575757569</v>
      </c>
      <c r="O324" s="15">
        <f t="shared" si="71"/>
        <v>0.31547993883792902</v>
      </c>
      <c r="P324" s="18">
        <f>IF(SUMIFS('Daily NSE Equity Futures'!$J:$J,'Daily NSE Equity Futures'!$A:$A,$A324)=0,"",SUMIFS('Daily NSE Equity Futures'!$J:$J,'Daily NSE Equity Futures'!$A:$A,$A324))</f>
        <v>1134500</v>
      </c>
      <c r="Q324" s="7">
        <f>IF(SUMIFS('Daily BSE Equity Futures'!$J:$J,'Daily BSE Equity Futures'!$A:$A,$A324)=0,"",SUMIFS('Daily BSE Equity Futures'!$J:$J,'Daily BSE Equity Futures'!$A:$A,$A324))</f>
        <v>19</v>
      </c>
      <c r="R324" s="7">
        <f t="shared" si="66"/>
        <v>1134519</v>
      </c>
      <c r="S324" s="19">
        <f t="shared" si="67"/>
        <v>0.99998325281462896</v>
      </c>
      <c r="T324" s="19">
        <f t="shared" si="68"/>
        <v>1.6747185371069149E-5</v>
      </c>
    </row>
    <row r="325" spans="1:20" x14ac:dyDescent="0.2">
      <c r="A325" s="9">
        <v>44397</v>
      </c>
      <c r="B325" s="4" t="s">
        <v>223</v>
      </c>
      <c r="C325" s="8">
        <v>44378</v>
      </c>
      <c r="D325" s="4" t="s">
        <v>178</v>
      </c>
      <c r="E325" s="14">
        <f>IF(SUMIFS('Daily NSE Equity Futures'!$I:$I,'Daily NSE Equity Futures'!$A:$A,$A325)=0,"",SUMIFS('Daily NSE Equity Futures'!$I:$I,'Daily NSE Equity Futures'!$A:$A,$A325))</f>
        <v>978.70550000000003</v>
      </c>
      <c r="F325" s="6">
        <f>IF(SUMIFS('Daily BSE Equity Futures'!$I:$I,'Daily BSE Equity Futures'!$A:$A,$A325)=0,"",SUMIFS('Daily BSE Equity Futures'!$I:$I,'Daily BSE Equity Futures'!$A:$A,$A325))</f>
        <v>1.3100000000000001E-2</v>
      </c>
      <c r="G325" s="6">
        <f t="shared" si="60"/>
        <v>978.71860000000004</v>
      </c>
      <c r="H325" s="15">
        <f t="shared" si="61"/>
        <v>0.99998661515168918</v>
      </c>
      <c r="I325" s="15">
        <f t="shared" si="62"/>
        <v>1.3384848310842361E-5</v>
      </c>
      <c r="J325" s="20">
        <f t="shared" si="63"/>
        <v>0.10503048555017314</v>
      </c>
      <c r="K325" s="15">
        <f t="shared" si="64"/>
        <v>-0.98565484012264559</v>
      </c>
      <c r="L325" s="15">
        <f t="shared" si="65"/>
        <v>0.10390707099554253</v>
      </c>
      <c r="M325" s="15">
        <f t="shared" si="69"/>
        <v>4.0918713288331743E-2</v>
      </c>
      <c r="N325" s="15">
        <f t="shared" si="70"/>
        <v>-0.16560509554140113</v>
      </c>
      <c r="O325" s="15">
        <f t="shared" si="71"/>
        <v>4.091526481148966E-2</v>
      </c>
      <c r="P325" s="18">
        <f>IF(SUMIFS('Daily NSE Equity Futures'!$J:$J,'Daily NSE Equity Futures'!$A:$A,$A325)=0,"",SUMIFS('Daily NSE Equity Futures'!$J:$J,'Daily NSE Equity Futures'!$A:$A,$A325))</f>
        <v>1204631</v>
      </c>
      <c r="Q325" s="7">
        <f>IF(SUMIFS('Daily BSE Equity Futures'!$J:$J,'Daily BSE Equity Futures'!$A:$A,$A325)=0,"",SUMIFS('Daily BSE Equity Futures'!$J:$J,'Daily BSE Equity Futures'!$A:$A,$A325))</f>
        <v>16</v>
      </c>
      <c r="R325" s="7">
        <f t="shared" si="66"/>
        <v>1204647</v>
      </c>
      <c r="S325" s="19">
        <f t="shared" si="67"/>
        <v>0.99998671810082118</v>
      </c>
      <c r="T325" s="19">
        <f t="shared" si="68"/>
        <v>1.3281899178763571E-5</v>
      </c>
    </row>
    <row r="326" spans="1:20" x14ac:dyDescent="0.2">
      <c r="A326" s="9">
        <v>44399</v>
      </c>
      <c r="B326" s="4" t="s">
        <v>224</v>
      </c>
      <c r="C326" s="8">
        <v>44378</v>
      </c>
      <c r="D326" s="4" t="s">
        <v>178</v>
      </c>
      <c r="E326" s="14">
        <f>IF(SUMIFS('Daily NSE Equity Futures'!$I:$I,'Daily NSE Equity Futures'!$A:$A,$A326)=0,"",SUMIFS('Daily NSE Equity Futures'!$I:$I,'Daily NSE Equity Futures'!$A:$A,$A326))</f>
        <v>1073.8497</v>
      </c>
      <c r="F326" s="6">
        <f>IF(SUMIFS('Daily BSE Equity Futures'!$I:$I,'Daily BSE Equity Futures'!$A:$A,$A326)=0,"",SUMIFS('Daily BSE Equity Futures'!$I:$I,'Daily BSE Equity Futures'!$A:$A,$A326))</f>
        <v>3.56E-2</v>
      </c>
      <c r="G326" s="6">
        <f t="shared" si="60"/>
        <v>1073.8852999999999</v>
      </c>
      <c r="H326" s="15">
        <f t="shared" si="61"/>
        <v>0.99996684934601499</v>
      </c>
      <c r="I326" s="15">
        <f t="shared" si="62"/>
        <v>3.3150653985113682E-5</v>
      </c>
      <c r="J326" s="20">
        <f t="shared" si="63"/>
        <v>1.9405301649503492E-2</v>
      </c>
      <c r="K326" s="15">
        <f t="shared" si="64"/>
        <v>-0.86131671211530969</v>
      </c>
      <c r="L326" s="15">
        <f t="shared" si="65"/>
        <v>1.9190734965307321E-2</v>
      </c>
      <c r="M326" s="15">
        <f t="shared" si="69"/>
        <v>9.7214330562155782E-2</v>
      </c>
      <c r="N326" s="15">
        <f t="shared" si="70"/>
        <v>1.717557251908397</v>
      </c>
      <c r="O326" s="15">
        <f t="shared" si="71"/>
        <v>9.7236018606369434E-2</v>
      </c>
      <c r="P326" s="18">
        <f>IF(SUMIFS('Daily NSE Equity Futures'!$J:$J,'Daily NSE Equity Futures'!$A:$A,$A326)=0,"",SUMIFS('Daily NSE Equity Futures'!$J:$J,'Daily NSE Equity Futures'!$A:$A,$A326))</f>
        <v>1304295</v>
      </c>
      <c r="Q326" s="7">
        <f>IF(SUMIFS('Daily BSE Equity Futures'!$J:$J,'Daily BSE Equity Futures'!$A:$A,$A326)=0,"",SUMIFS('Daily BSE Equity Futures'!$J:$J,'Daily BSE Equity Futures'!$A:$A,$A326))</f>
        <v>43</v>
      </c>
      <c r="R326" s="7">
        <f t="shared" si="66"/>
        <v>1304338</v>
      </c>
      <c r="S326" s="19">
        <f t="shared" si="67"/>
        <v>0.99996703308498258</v>
      </c>
      <c r="T326" s="19">
        <f t="shared" si="68"/>
        <v>3.2966915017426462E-5</v>
      </c>
    </row>
    <row r="327" spans="1:20" x14ac:dyDescent="0.2">
      <c r="A327" s="9">
        <v>44400</v>
      </c>
      <c r="B327" s="4" t="s">
        <v>222</v>
      </c>
      <c r="C327" s="8">
        <v>44378</v>
      </c>
      <c r="D327" s="4" t="s">
        <v>178</v>
      </c>
      <c r="E327" s="14">
        <f>IF(SUMIFS('Daily NSE Equity Futures'!$I:$I,'Daily NSE Equity Futures'!$A:$A,$A327)=0,"",SUMIFS('Daily NSE Equity Futures'!$I:$I,'Daily NSE Equity Futures'!$A:$A,$A327))</f>
        <v>1160.7954</v>
      </c>
      <c r="F327" s="6">
        <f>IF(SUMIFS('Daily BSE Equity Futures'!$I:$I,'Daily BSE Equity Futures'!$A:$A,$A327)=0,"",SUMIFS('Daily BSE Equity Futures'!$I:$I,'Daily BSE Equity Futures'!$A:$A,$A327))</f>
        <v>4.1999999999999997E-3</v>
      </c>
      <c r="G327" s="6">
        <f t="shared" si="60"/>
        <v>1160.7996000000001</v>
      </c>
      <c r="H327" s="15">
        <f t="shared" si="61"/>
        <v>0.99999638180440442</v>
      </c>
      <c r="I327" s="15">
        <f t="shared" si="62"/>
        <v>3.6181955955188125E-6</v>
      </c>
      <c r="J327" s="20">
        <f t="shared" si="63"/>
        <v>0.31506934050053492</v>
      </c>
      <c r="K327" s="15">
        <f t="shared" si="64"/>
        <v>-0.97833935018050544</v>
      </c>
      <c r="L327" s="15">
        <f t="shared" si="65"/>
        <v>0.31478527979122917</v>
      </c>
      <c r="M327" s="15">
        <f t="shared" si="69"/>
        <v>8.0966358699918528E-2</v>
      </c>
      <c r="N327" s="15">
        <f t="shared" si="70"/>
        <v>-0.8820224719101124</v>
      </c>
      <c r="O327" s="15">
        <f t="shared" si="71"/>
        <v>8.0934434990403759E-2</v>
      </c>
      <c r="P327" s="18">
        <f>IF(SUMIFS('Daily NSE Equity Futures'!$J:$J,'Daily NSE Equity Futures'!$A:$A,$A327)=0,"",SUMIFS('Daily NSE Equity Futures'!$J:$J,'Daily NSE Equity Futures'!$A:$A,$A327))</f>
        <v>1392478</v>
      </c>
      <c r="Q327" s="7">
        <f>IF(SUMIFS('Daily BSE Equity Futures'!$J:$J,'Daily BSE Equity Futures'!$A:$A,$A327)=0,"",SUMIFS('Daily BSE Equity Futures'!$J:$J,'Daily BSE Equity Futures'!$A:$A,$A327))</f>
        <v>5</v>
      </c>
      <c r="R327" s="7">
        <f t="shared" si="66"/>
        <v>1392483</v>
      </c>
      <c r="S327" s="19">
        <f t="shared" si="67"/>
        <v>0.99999640929189082</v>
      </c>
      <c r="T327" s="19">
        <f t="shared" si="68"/>
        <v>3.5907081091833795E-6</v>
      </c>
    </row>
    <row r="328" spans="1:20" x14ac:dyDescent="0.2">
      <c r="A328" s="9">
        <v>44403</v>
      </c>
      <c r="B328" s="4" t="s">
        <v>225</v>
      </c>
      <c r="C328" s="8">
        <v>44378</v>
      </c>
      <c r="D328" s="4" t="s">
        <v>178</v>
      </c>
      <c r="E328" s="14">
        <f>IF(SUMIFS('Daily NSE Equity Futures'!$I:$I,'Daily NSE Equity Futures'!$A:$A,$A328)=0,"",SUMIFS('Daily NSE Equity Futures'!$I:$I,'Daily NSE Equity Futures'!$A:$A,$A328))</f>
        <v>1508.8291999999999</v>
      </c>
      <c r="F328" s="6">
        <f>IF(SUMIFS('Daily BSE Equity Futures'!$I:$I,'Daily BSE Equity Futures'!$A:$A,$A328)=0,"",SUMIFS('Daily BSE Equity Futures'!$I:$I,'Daily BSE Equity Futures'!$A:$A,$A328))</f>
        <v>0.01</v>
      </c>
      <c r="G328" s="6">
        <f t="shared" si="60"/>
        <v>1508.8391999999999</v>
      </c>
      <c r="H328" s="15">
        <f t="shared" si="61"/>
        <v>0.99999337238852226</v>
      </c>
      <c r="I328" s="15">
        <f t="shared" si="62"/>
        <v>6.6276114777505787E-6</v>
      </c>
      <c r="J328" s="20" t="str">
        <f t="shared" si="63"/>
        <v/>
      </c>
      <c r="K328" s="15" t="str">
        <f t="shared" si="64"/>
        <v/>
      </c>
      <c r="L328" s="15" t="str">
        <f t="shared" si="65"/>
        <v/>
      </c>
      <c r="M328" s="15">
        <f t="shared" si="69"/>
        <v>0.29982355202303523</v>
      </c>
      <c r="N328" s="15">
        <f t="shared" si="70"/>
        <v>1.3809523809523809</v>
      </c>
      <c r="O328" s="15">
        <f t="shared" si="71"/>
        <v>0.29982746375860203</v>
      </c>
      <c r="P328" s="18">
        <f>IF(SUMIFS('Daily NSE Equity Futures'!$J:$J,'Daily NSE Equity Futures'!$A:$A,$A328)=0,"",SUMIFS('Daily NSE Equity Futures'!$J:$J,'Daily NSE Equity Futures'!$A:$A,$A328))</f>
        <v>1858473</v>
      </c>
      <c r="Q328" s="7">
        <f>IF(SUMIFS('Daily BSE Equity Futures'!$J:$J,'Daily BSE Equity Futures'!$A:$A,$A328)=0,"",SUMIFS('Daily BSE Equity Futures'!$J:$J,'Daily BSE Equity Futures'!$A:$A,$A328))</f>
        <v>12</v>
      </c>
      <c r="R328" s="7">
        <f t="shared" si="66"/>
        <v>1858485</v>
      </c>
      <c r="S328" s="19">
        <f t="shared" si="67"/>
        <v>0.99999354312787025</v>
      </c>
      <c r="T328" s="19">
        <f t="shared" si="68"/>
        <v>6.4568721297185609E-6</v>
      </c>
    </row>
    <row r="329" spans="1:20" x14ac:dyDescent="0.2">
      <c r="A329" s="9">
        <v>44404</v>
      </c>
      <c r="B329" s="4" t="s">
        <v>223</v>
      </c>
      <c r="C329" s="8">
        <v>44378</v>
      </c>
      <c r="D329" s="4" t="s">
        <v>178</v>
      </c>
      <c r="E329" s="14">
        <f>IF(SUMIFS('Daily NSE Equity Futures'!$I:$I,'Daily NSE Equity Futures'!$A:$A,$A329)=0,"",SUMIFS('Daily NSE Equity Futures'!$I:$I,'Daily NSE Equity Futures'!$A:$A,$A329))</f>
        <v>1829.0286000000001</v>
      </c>
      <c r="F329" s="6">
        <f>IF(SUMIFS('Daily BSE Equity Futures'!$I:$I,'Daily BSE Equity Futures'!$A:$A,$A329)=0,"",SUMIFS('Daily BSE Equity Futures'!$I:$I,'Daily BSE Equity Futures'!$A:$A,$A329))</f>
        <v>3.3E-3</v>
      </c>
      <c r="G329" s="6">
        <f t="shared" si="60"/>
        <v>1829.0319000000002</v>
      </c>
      <c r="H329" s="15">
        <f t="shared" si="61"/>
        <v>0.99999819576684257</v>
      </c>
      <c r="I329" s="15">
        <f t="shared" si="62"/>
        <v>1.8042331574424698E-6</v>
      </c>
      <c r="J329" s="20">
        <f t="shared" si="63"/>
        <v>0.32237521481031317</v>
      </c>
      <c r="K329" s="15">
        <f t="shared" si="64"/>
        <v>-0.99452645546525131</v>
      </c>
      <c r="L329" s="15">
        <f t="shared" si="65"/>
        <v>0.32180143723344923</v>
      </c>
      <c r="M329" s="15">
        <f t="shared" si="69"/>
        <v>0.21221712835356055</v>
      </c>
      <c r="N329" s="15">
        <f t="shared" si="70"/>
        <v>-0.66999999999999993</v>
      </c>
      <c r="O329" s="15">
        <f t="shared" si="71"/>
        <v>0.21221128136119494</v>
      </c>
      <c r="P329" s="18">
        <f>IF(SUMIFS('Daily NSE Equity Futures'!$J:$J,'Daily NSE Equity Futures'!$A:$A,$A329)=0,"",SUMIFS('Daily NSE Equity Futures'!$J:$J,'Daily NSE Equity Futures'!$A:$A,$A329))</f>
        <v>2275610</v>
      </c>
      <c r="Q329" s="7">
        <f>IF(SUMIFS('Daily BSE Equity Futures'!$J:$J,'Daily BSE Equity Futures'!$A:$A,$A329)=0,"",SUMIFS('Daily BSE Equity Futures'!$J:$J,'Daily BSE Equity Futures'!$A:$A,$A329))</f>
        <v>4</v>
      </c>
      <c r="R329" s="7">
        <f t="shared" si="66"/>
        <v>2275614</v>
      </c>
      <c r="S329" s="19">
        <f t="shared" si="67"/>
        <v>0.99999824223264577</v>
      </c>
      <c r="T329" s="19">
        <f t="shared" si="68"/>
        <v>1.7577673542173672E-6</v>
      </c>
    </row>
    <row r="330" spans="1:20" x14ac:dyDescent="0.2">
      <c r="A330" s="9">
        <v>44405</v>
      </c>
      <c r="B330" s="4" t="s">
        <v>221</v>
      </c>
      <c r="C330" s="8">
        <v>44378</v>
      </c>
      <c r="D330" s="4" t="s">
        <v>178</v>
      </c>
      <c r="E330" s="14">
        <f>IF(SUMIFS('Daily NSE Equity Futures'!$I:$I,'Daily NSE Equity Futures'!$A:$A,$A330)=0,"",SUMIFS('Daily NSE Equity Futures'!$I:$I,'Daily NSE Equity Futures'!$A:$A,$A330))</f>
        <v>1880.2014999999999</v>
      </c>
      <c r="F330" s="6">
        <f>IF(SUMIFS('Daily BSE Equity Futures'!$I:$I,'Daily BSE Equity Futures'!$A:$A,$A330)=0,"",SUMIFS('Daily BSE Equity Futures'!$I:$I,'Daily BSE Equity Futures'!$A:$A,$A330))</f>
        <v>1.4800000000000001E-2</v>
      </c>
      <c r="G330" s="6">
        <f t="shared" si="60"/>
        <v>1880.2162999999998</v>
      </c>
      <c r="H330" s="15">
        <f t="shared" si="61"/>
        <v>0.99999212856520825</v>
      </c>
      <c r="I330" s="15">
        <f t="shared" si="62"/>
        <v>7.8714347918375142E-6</v>
      </c>
      <c r="J330" s="20">
        <f t="shared" si="63"/>
        <v>0.17956552725319908</v>
      </c>
      <c r="K330" s="15">
        <f t="shared" si="64"/>
        <v>-0.89562764456981658</v>
      </c>
      <c r="L330" s="15">
        <f t="shared" si="65"/>
        <v>0.17946988676760656</v>
      </c>
      <c r="M330" s="15">
        <f t="shared" si="69"/>
        <v>2.7978184704164688E-2</v>
      </c>
      <c r="N330" s="15">
        <f t="shared" si="70"/>
        <v>3.4848484848484853</v>
      </c>
      <c r="O330" s="15">
        <f t="shared" si="71"/>
        <v>2.7984421704181139E-2</v>
      </c>
      <c r="P330" s="18">
        <f>IF(SUMIFS('Daily NSE Equity Futures'!$J:$J,'Daily NSE Equity Futures'!$A:$A,$A330)=0,"",SUMIFS('Daily NSE Equity Futures'!$J:$J,'Daily NSE Equity Futures'!$A:$A,$A330))</f>
        <v>2358183</v>
      </c>
      <c r="Q330" s="7">
        <f>IF(SUMIFS('Daily BSE Equity Futures'!$J:$J,'Daily BSE Equity Futures'!$A:$A,$A330)=0,"",SUMIFS('Daily BSE Equity Futures'!$J:$J,'Daily BSE Equity Futures'!$A:$A,$A330))</f>
        <v>18</v>
      </c>
      <c r="R330" s="7">
        <f t="shared" si="66"/>
        <v>2358201</v>
      </c>
      <c r="S330" s="19">
        <f t="shared" si="67"/>
        <v>0.99999236706285854</v>
      </c>
      <c r="T330" s="19">
        <f t="shared" si="68"/>
        <v>7.6329371414904831E-6</v>
      </c>
    </row>
    <row r="331" spans="1:20" x14ac:dyDescent="0.2">
      <c r="A331" s="9">
        <v>44406</v>
      </c>
      <c r="B331" s="4" t="s">
        <v>224</v>
      </c>
      <c r="C331" s="8">
        <v>44378</v>
      </c>
      <c r="D331" s="4" t="s">
        <v>178</v>
      </c>
      <c r="E331" s="14">
        <f>IF(SUMIFS('Daily NSE Equity Futures'!$I:$I,'Daily NSE Equity Futures'!$A:$A,$A331)=0,"",SUMIFS('Daily NSE Equity Futures'!$I:$I,'Daily NSE Equity Futures'!$A:$A,$A331))</f>
        <v>1998.0201999999999</v>
      </c>
      <c r="F331" s="6">
        <f>IF(SUMIFS('Daily BSE Equity Futures'!$I:$I,'Daily BSE Equity Futures'!$A:$A,$A331)=0,"",SUMIFS('Daily BSE Equity Futures'!$I:$I,'Daily BSE Equity Futures'!$A:$A,$A331))</f>
        <v>1.9900000000000001E-2</v>
      </c>
      <c r="G331" s="6">
        <f t="shared" si="60"/>
        <v>1998.0400999999999</v>
      </c>
      <c r="H331" s="15">
        <f t="shared" si="61"/>
        <v>0.9999900402399331</v>
      </c>
      <c r="I331" s="15">
        <f t="shared" si="62"/>
        <v>9.9597600668775368E-6</v>
      </c>
      <c r="J331" s="20">
        <f t="shared" si="63"/>
        <v>0.23734034956431249</v>
      </c>
      <c r="K331" s="15">
        <f t="shared" si="64"/>
        <v>-0.88582903040734362</v>
      </c>
      <c r="L331" s="15">
        <f t="shared" si="65"/>
        <v>0.23721912655321153</v>
      </c>
      <c r="M331" s="15">
        <f t="shared" si="69"/>
        <v>6.2662805023823376E-2</v>
      </c>
      <c r="N331" s="15">
        <f t="shared" si="70"/>
        <v>0.34459459459459452</v>
      </c>
      <c r="O331" s="15">
        <f t="shared" si="71"/>
        <v>6.2665024231520761E-2</v>
      </c>
      <c r="P331" s="18">
        <f>IF(SUMIFS('Daily NSE Equity Futures'!$J:$J,'Daily NSE Equity Futures'!$A:$A,$A331)=0,"",SUMIFS('Daily NSE Equity Futures'!$J:$J,'Daily NSE Equity Futures'!$A:$A,$A331))</f>
        <v>2443872</v>
      </c>
      <c r="Q331" s="7">
        <f>IF(SUMIFS('Daily BSE Equity Futures'!$J:$J,'Daily BSE Equity Futures'!$A:$A,$A331)=0,"",SUMIFS('Daily BSE Equity Futures'!$J:$J,'Daily BSE Equity Futures'!$A:$A,$A331))</f>
        <v>24</v>
      </c>
      <c r="R331" s="7">
        <f t="shared" si="66"/>
        <v>2443896</v>
      </c>
      <c r="S331" s="19">
        <f t="shared" si="67"/>
        <v>0.99999017961484449</v>
      </c>
      <c r="T331" s="19">
        <f t="shared" si="68"/>
        <v>9.8203851555057986E-6</v>
      </c>
    </row>
    <row r="332" spans="1:20" x14ac:dyDescent="0.2">
      <c r="A332" s="9">
        <v>44407</v>
      </c>
      <c r="B332" s="4" t="s">
        <v>222</v>
      </c>
      <c r="C332" s="8">
        <v>44378</v>
      </c>
      <c r="D332" s="4" t="s">
        <v>178</v>
      </c>
      <c r="E332" s="14">
        <f>IF(SUMIFS('Daily NSE Equity Futures'!$I:$I,'Daily NSE Equity Futures'!$A:$A,$A332)=0,"",SUMIFS('Daily NSE Equity Futures'!$I:$I,'Daily NSE Equity Futures'!$A:$A,$A332))</f>
        <v>1011.1745</v>
      </c>
      <c r="F332" s="6">
        <f>IF(SUMIFS('Daily BSE Equity Futures'!$I:$I,'Daily BSE Equity Futures'!$A:$A,$A332)=0,"",SUMIFS('Daily BSE Equity Futures'!$I:$I,'Daily BSE Equity Futures'!$A:$A,$A332))</f>
        <v>3.3E-3</v>
      </c>
      <c r="G332" s="6">
        <f t="shared" si="60"/>
        <v>1011.1777999999999</v>
      </c>
      <c r="H332" s="15">
        <f t="shared" si="61"/>
        <v>0.99999673647898524</v>
      </c>
      <c r="I332" s="15">
        <f t="shared" si="62"/>
        <v>3.2635210148007603E-6</v>
      </c>
      <c r="J332" s="20">
        <f t="shared" si="63"/>
        <v>-0.34385146322477622</v>
      </c>
      <c r="K332" s="15">
        <f t="shared" si="64"/>
        <v>-0.99324185951259469</v>
      </c>
      <c r="L332" s="15">
        <f t="shared" si="65"/>
        <v>-0.34405716169144851</v>
      </c>
      <c r="M332" s="15">
        <f t="shared" si="69"/>
        <v>-0.49391177326435443</v>
      </c>
      <c r="N332" s="15">
        <f t="shared" si="70"/>
        <v>-0.83417085427135684</v>
      </c>
      <c r="O332" s="15">
        <f t="shared" si="71"/>
        <v>-0.49391516216316178</v>
      </c>
      <c r="P332" s="18">
        <f>IF(SUMIFS('Daily NSE Equity Futures'!$J:$J,'Daily NSE Equity Futures'!$A:$A,$A332)=0,"",SUMIFS('Daily NSE Equity Futures'!$J:$J,'Daily NSE Equity Futures'!$A:$A,$A332))</f>
        <v>1216520</v>
      </c>
      <c r="Q332" s="7">
        <f>IF(SUMIFS('Daily BSE Equity Futures'!$J:$J,'Daily BSE Equity Futures'!$A:$A,$A332)=0,"",SUMIFS('Daily BSE Equity Futures'!$J:$J,'Daily BSE Equity Futures'!$A:$A,$A332))</f>
        <v>4</v>
      </c>
      <c r="R332" s="7">
        <f t="shared" si="66"/>
        <v>1216524</v>
      </c>
      <c r="S332" s="19">
        <f t="shared" si="67"/>
        <v>0.99999671194320872</v>
      </c>
      <c r="T332" s="19">
        <f t="shared" si="68"/>
        <v>3.2880567913168996E-6</v>
      </c>
    </row>
    <row r="333" spans="1:20" x14ac:dyDescent="0.2">
      <c r="A333" s="9">
        <v>44410</v>
      </c>
      <c r="B333" s="4" t="s">
        <v>225</v>
      </c>
      <c r="C333" s="8">
        <v>44409</v>
      </c>
      <c r="D333" s="4" t="s">
        <v>178</v>
      </c>
      <c r="E333" s="14">
        <f>IF(SUMIFS('Daily NSE Equity Futures'!$I:$I,'Daily NSE Equity Futures'!$A:$A,$A333)=0,"",SUMIFS('Daily NSE Equity Futures'!$I:$I,'Daily NSE Equity Futures'!$A:$A,$A333))</f>
        <v>751.74490000000003</v>
      </c>
      <c r="F333" s="6">
        <f>IF(SUMIFS('Daily BSE Equity Futures'!$I:$I,'Daily BSE Equity Futures'!$A:$A,$A333)=0,"",SUMIFS('Daily BSE Equity Futures'!$I:$I,'Daily BSE Equity Futures'!$A:$A,$A333))</f>
        <v>3.3E-3</v>
      </c>
      <c r="G333" s="6">
        <f t="shared" si="60"/>
        <v>751.7482</v>
      </c>
      <c r="H333" s="15">
        <f t="shared" si="61"/>
        <v>0.99999561023225603</v>
      </c>
      <c r="I333" s="15">
        <f t="shared" si="62"/>
        <v>4.3897677440398264E-6</v>
      </c>
      <c r="J333" s="20" t="str">
        <f t="shared" si="63"/>
        <v/>
      </c>
      <c r="K333" s="15" t="str">
        <f t="shared" si="64"/>
        <v/>
      </c>
      <c r="L333" s="15" t="str">
        <f t="shared" si="65"/>
        <v/>
      </c>
      <c r="M333" s="15">
        <f t="shared" si="69"/>
        <v>-0.25656264077070767</v>
      </c>
      <c r="N333" s="15">
        <f t="shared" si="70"/>
        <v>0</v>
      </c>
      <c r="O333" s="15">
        <f t="shared" si="71"/>
        <v>-0.25656180347313795</v>
      </c>
      <c r="P333" s="18">
        <f>IF(SUMIFS('Daily NSE Equity Futures'!$J:$J,'Daily NSE Equity Futures'!$A:$A,$A333)=0,"",SUMIFS('Daily NSE Equity Futures'!$J:$J,'Daily NSE Equity Futures'!$A:$A,$A333))</f>
        <v>918317</v>
      </c>
      <c r="Q333" s="7">
        <f>IF(SUMIFS('Daily BSE Equity Futures'!$J:$J,'Daily BSE Equity Futures'!$A:$A,$A333)=0,"",SUMIFS('Daily BSE Equity Futures'!$J:$J,'Daily BSE Equity Futures'!$A:$A,$A333))</f>
        <v>4</v>
      </c>
      <c r="R333" s="7">
        <f t="shared" si="66"/>
        <v>918321</v>
      </c>
      <c r="S333" s="19">
        <f t="shared" si="67"/>
        <v>0.99999564422462295</v>
      </c>
      <c r="T333" s="19">
        <f t="shared" si="68"/>
        <v>4.3557753770195824E-6</v>
      </c>
    </row>
    <row r="334" spans="1:20" x14ac:dyDescent="0.2">
      <c r="A334" s="9">
        <v>44411</v>
      </c>
      <c r="B334" s="4" t="s">
        <v>223</v>
      </c>
      <c r="C334" s="8">
        <v>44409</v>
      </c>
      <c r="D334" s="4" t="s">
        <v>178</v>
      </c>
      <c r="E334" s="14">
        <f>IF(SUMIFS('Daily NSE Equity Futures'!$I:$I,'Daily NSE Equity Futures'!$A:$A,$A334)=0,"",SUMIFS('Daily NSE Equity Futures'!$I:$I,'Daily NSE Equity Futures'!$A:$A,$A334))</f>
        <v>946.7645</v>
      </c>
      <c r="F334" s="6">
        <f>IF(SUMIFS('Daily BSE Equity Futures'!$I:$I,'Daily BSE Equity Futures'!$A:$A,$A334)=0,"",SUMIFS('Daily BSE Equity Futures'!$I:$I,'Daily BSE Equity Futures'!$A:$A,$A334))</f>
        <v>4.1999999999999997E-3</v>
      </c>
      <c r="G334" s="6">
        <f t="shared" si="60"/>
        <v>946.76869999999997</v>
      </c>
      <c r="H334" s="15">
        <f t="shared" si="61"/>
        <v>0.99999556385841659</v>
      </c>
      <c r="I334" s="15">
        <f t="shared" si="62"/>
        <v>4.4361415834722881E-6</v>
      </c>
      <c r="J334" s="20">
        <f t="shared" si="63"/>
        <v>0.11030889158801593</v>
      </c>
      <c r="K334" s="15">
        <f t="shared" si="64"/>
        <v>-0.98440979955456576</v>
      </c>
      <c r="L334" s="15">
        <f t="shared" si="65"/>
        <v>0.10996313951752978</v>
      </c>
      <c r="M334" s="15">
        <f t="shared" si="69"/>
        <v>0.2594225780580619</v>
      </c>
      <c r="N334" s="15">
        <f t="shared" si="70"/>
        <v>0.27272727272727271</v>
      </c>
      <c r="O334" s="15">
        <f t="shared" si="71"/>
        <v>0.25942263646258135</v>
      </c>
      <c r="P334" s="18">
        <f>IF(SUMIFS('Daily NSE Equity Futures'!$J:$J,'Daily NSE Equity Futures'!$A:$A,$A334)=0,"",SUMIFS('Daily NSE Equity Futures'!$J:$J,'Daily NSE Equity Futures'!$A:$A,$A334))</f>
        <v>1136427</v>
      </c>
      <c r="Q334" s="7">
        <f>IF(SUMIFS('Daily BSE Equity Futures'!$J:$J,'Daily BSE Equity Futures'!$A:$A,$A334)=0,"",SUMIFS('Daily BSE Equity Futures'!$J:$J,'Daily BSE Equity Futures'!$A:$A,$A334))</f>
        <v>5</v>
      </c>
      <c r="R334" s="7">
        <f t="shared" si="66"/>
        <v>1136432</v>
      </c>
      <c r="S334" s="19">
        <f t="shared" si="67"/>
        <v>0.99999560026468803</v>
      </c>
      <c r="T334" s="19">
        <f t="shared" si="68"/>
        <v>4.3997353119236347E-6</v>
      </c>
    </row>
    <row r="335" spans="1:20" x14ac:dyDescent="0.2">
      <c r="A335" s="9">
        <v>44412</v>
      </c>
      <c r="B335" s="4" t="s">
        <v>221</v>
      </c>
      <c r="C335" s="8">
        <v>44409</v>
      </c>
      <c r="D335" s="4" t="s">
        <v>178</v>
      </c>
      <c r="E335" s="14">
        <f>IF(SUMIFS('Daily NSE Equity Futures'!$I:$I,'Daily NSE Equity Futures'!$A:$A,$A335)=0,"",SUMIFS('Daily NSE Equity Futures'!$I:$I,'Daily NSE Equity Futures'!$A:$A,$A335))</f>
        <v>1077.0536</v>
      </c>
      <c r="F335" s="6">
        <f>IF(SUMIFS('Daily BSE Equity Futures'!$I:$I,'Daily BSE Equity Futures'!$A:$A,$A335)=0,"",SUMIFS('Daily BSE Equity Futures'!$I:$I,'Daily BSE Equity Futures'!$A:$A,$A335))</f>
        <v>1.1900000000000001E-2</v>
      </c>
      <c r="G335" s="6">
        <f t="shared" si="60"/>
        <v>1077.0654999999999</v>
      </c>
      <c r="H335" s="15">
        <f t="shared" si="61"/>
        <v>0.99998895146116928</v>
      </c>
      <c r="I335" s="15">
        <f t="shared" si="62"/>
        <v>1.1048538830739637E-5</v>
      </c>
      <c r="J335" s="20">
        <f t="shared" si="63"/>
        <v>0.16507161480517052</v>
      </c>
      <c r="K335" s="15">
        <f t="shared" si="64"/>
        <v>-0.92553191489361697</v>
      </c>
      <c r="L335" s="15">
        <f t="shared" si="65"/>
        <v>0.16488312671524552</v>
      </c>
      <c r="M335" s="15">
        <f t="shared" si="69"/>
        <v>0.13761510914276998</v>
      </c>
      <c r="N335" s="15">
        <f t="shared" si="70"/>
        <v>1.8333333333333339</v>
      </c>
      <c r="O335" s="15">
        <f t="shared" si="71"/>
        <v>0.13762263158889798</v>
      </c>
      <c r="P335" s="18">
        <f>IF(SUMIFS('Daily NSE Equity Futures'!$J:$J,'Daily NSE Equity Futures'!$A:$A,$A335)=0,"",SUMIFS('Daily NSE Equity Futures'!$J:$J,'Daily NSE Equity Futures'!$A:$A,$A335))</f>
        <v>1312922</v>
      </c>
      <c r="Q335" s="7">
        <f>IF(SUMIFS('Daily BSE Equity Futures'!$J:$J,'Daily BSE Equity Futures'!$A:$A,$A335)=0,"",SUMIFS('Daily BSE Equity Futures'!$J:$J,'Daily BSE Equity Futures'!$A:$A,$A335))</f>
        <v>14</v>
      </c>
      <c r="R335" s="7">
        <f t="shared" si="66"/>
        <v>1312936</v>
      </c>
      <c r="S335" s="19">
        <f t="shared" si="67"/>
        <v>0.99998933687552172</v>
      </c>
      <c r="T335" s="19">
        <f t="shared" si="68"/>
        <v>1.0663124478268553E-5</v>
      </c>
    </row>
    <row r="336" spans="1:20" x14ac:dyDescent="0.2">
      <c r="A336" s="9">
        <v>44413</v>
      </c>
      <c r="B336" s="4" t="s">
        <v>224</v>
      </c>
      <c r="C336" s="8">
        <v>44409</v>
      </c>
      <c r="D336" s="4" t="s">
        <v>178</v>
      </c>
      <c r="E336" s="14">
        <f>IF(SUMIFS('Daily NSE Equity Futures'!$I:$I,'Daily NSE Equity Futures'!$A:$A,$A336)=0,"",SUMIFS('Daily NSE Equity Futures'!$I:$I,'Daily NSE Equity Futures'!$A:$A,$A336))</f>
        <v>947.1173</v>
      </c>
      <c r="F336" s="6">
        <f>IF(SUMIFS('Daily BSE Equity Futures'!$I:$I,'Daily BSE Equity Futures'!$A:$A,$A336)=0,"",SUMIFS('Daily BSE Equity Futures'!$I:$I,'Daily BSE Equity Futures'!$A:$A,$A336))</f>
        <v>6.7999999999999996E-3</v>
      </c>
      <c r="G336" s="6">
        <f t="shared" si="60"/>
        <v>947.1241</v>
      </c>
      <c r="H336" s="15">
        <f t="shared" si="61"/>
        <v>0.99999282037063575</v>
      </c>
      <c r="I336" s="15">
        <f t="shared" si="62"/>
        <v>7.1796293643040019E-6</v>
      </c>
      <c r="J336" s="20">
        <f t="shared" si="63"/>
        <v>-1.4950205503572733E-2</v>
      </c>
      <c r="K336" s="15">
        <f t="shared" si="64"/>
        <v>-0.97031863814927977</v>
      </c>
      <c r="L336" s="15">
        <f t="shared" si="65"/>
        <v>-1.5177792226414133E-2</v>
      </c>
      <c r="M336" s="15">
        <f t="shared" si="69"/>
        <v>-0.12064051408397869</v>
      </c>
      <c r="N336" s="15">
        <f t="shared" si="70"/>
        <v>-0.4285714285714286</v>
      </c>
      <c r="O336" s="15">
        <f t="shared" si="71"/>
        <v>-0.12064391627064452</v>
      </c>
      <c r="P336" s="18">
        <f>IF(SUMIFS('Daily NSE Equity Futures'!$J:$J,'Daily NSE Equity Futures'!$A:$A,$A336)=0,"",SUMIFS('Daily NSE Equity Futures'!$J:$J,'Daily NSE Equity Futures'!$A:$A,$A336))</f>
        <v>1147116</v>
      </c>
      <c r="Q336" s="7">
        <f>IF(SUMIFS('Daily BSE Equity Futures'!$J:$J,'Daily BSE Equity Futures'!$A:$A,$A336)=0,"",SUMIFS('Daily BSE Equity Futures'!$J:$J,'Daily BSE Equity Futures'!$A:$A,$A336))</f>
        <v>8</v>
      </c>
      <c r="R336" s="7">
        <f t="shared" si="66"/>
        <v>1147124</v>
      </c>
      <c r="S336" s="19">
        <f t="shared" si="67"/>
        <v>0.99999302603728979</v>
      </c>
      <c r="T336" s="19">
        <f t="shared" si="68"/>
        <v>6.9739627102213883E-6</v>
      </c>
    </row>
    <row r="337" spans="1:20" x14ac:dyDescent="0.2">
      <c r="A337" s="9">
        <v>44414</v>
      </c>
      <c r="B337" s="4" t="s">
        <v>222</v>
      </c>
      <c r="C337" s="8">
        <v>44409</v>
      </c>
      <c r="D337" s="4" t="s">
        <v>178</v>
      </c>
      <c r="E337" s="14">
        <f>IF(SUMIFS('Daily NSE Equity Futures'!$I:$I,'Daily NSE Equity Futures'!$A:$A,$A337)=0,"",SUMIFS('Daily NSE Equity Futures'!$I:$I,'Daily NSE Equity Futures'!$A:$A,$A337))</f>
        <v>836.54129999999998</v>
      </c>
      <c r="F337" s="6">
        <f>IF(SUMIFS('Daily BSE Equity Futures'!$I:$I,'Daily BSE Equity Futures'!$A:$A,$A337)=0,"",SUMIFS('Daily BSE Equity Futures'!$I:$I,'Daily BSE Equity Futures'!$A:$A,$A337))</f>
        <v>6.0000000000000001E-3</v>
      </c>
      <c r="G337" s="6">
        <f t="shared" si="60"/>
        <v>836.54729999999995</v>
      </c>
      <c r="H337" s="15">
        <f t="shared" si="61"/>
        <v>0.99999282766198638</v>
      </c>
      <c r="I337" s="15">
        <f t="shared" si="62"/>
        <v>7.1723380136425046E-6</v>
      </c>
      <c r="J337" s="20">
        <f t="shared" si="63"/>
        <v>-9.8546959613126095E-2</v>
      </c>
      <c r="K337" s="15">
        <f t="shared" si="64"/>
        <v>-0.96372430471584036</v>
      </c>
      <c r="L337" s="15">
        <f t="shared" si="65"/>
        <v>-9.8701136391183719E-2</v>
      </c>
      <c r="M337" s="15">
        <f t="shared" si="69"/>
        <v>-0.1167500583085116</v>
      </c>
      <c r="N337" s="15">
        <f t="shared" si="70"/>
        <v>-0.11764705882352933</v>
      </c>
      <c r="O337" s="15">
        <f t="shared" si="71"/>
        <v>-0.1167500647486428</v>
      </c>
      <c r="P337" s="18">
        <f>IF(SUMIFS('Daily NSE Equity Futures'!$J:$J,'Daily NSE Equity Futures'!$A:$A,$A337)=0,"",SUMIFS('Daily NSE Equity Futures'!$J:$J,'Daily NSE Equity Futures'!$A:$A,$A337))</f>
        <v>1003917</v>
      </c>
      <c r="Q337" s="7">
        <f>IF(SUMIFS('Daily BSE Equity Futures'!$J:$J,'Daily BSE Equity Futures'!$A:$A,$A337)=0,"",SUMIFS('Daily BSE Equity Futures'!$J:$J,'Daily BSE Equity Futures'!$A:$A,$A337))</f>
        <v>7</v>
      </c>
      <c r="R337" s="7">
        <f t="shared" si="66"/>
        <v>1003924</v>
      </c>
      <c r="S337" s="19">
        <f t="shared" si="67"/>
        <v>0.99999302736063689</v>
      </c>
      <c r="T337" s="19">
        <f t="shared" si="68"/>
        <v>6.9726393631390427E-6</v>
      </c>
    </row>
    <row r="338" spans="1:20" x14ac:dyDescent="0.2">
      <c r="A338" s="9">
        <v>44417</v>
      </c>
      <c r="B338" s="4" t="s">
        <v>225</v>
      </c>
      <c r="C338" s="8">
        <v>44409</v>
      </c>
      <c r="D338" s="4" t="s">
        <v>178</v>
      </c>
      <c r="E338" s="14">
        <f>IF(SUMIFS('Daily NSE Equity Futures'!$I:$I,'Daily NSE Equity Futures'!$A:$A,$A338)=0,"",SUMIFS('Daily NSE Equity Futures'!$I:$I,'Daily NSE Equity Futures'!$A:$A,$A338))</f>
        <v>757.43949999999995</v>
      </c>
      <c r="F338" s="6">
        <f>IF(SUMIFS('Daily BSE Equity Futures'!$I:$I,'Daily BSE Equity Futures'!$A:$A,$A338)=0,"",SUMIFS('Daily BSE Equity Futures'!$I:$I,'Daily BSE Equity Futures'!$A:$A,$A338))</f>
        <v>6.0000000000000001E-3</v>
      </c>
      <c r="G338" s="6">
        <f t="shared" si="60"/>
        <v>757.44549999999992</v>
      </c>
      <c r="H338" s="15">
        <f t="shared" si="61"/>
        <v>0.9999920786380011</v>
      </c>
      <c r="I338" s="15">
        <f t="shared" si="62"/>
        <v>7.9213619989821064E-6</v>
      </c>
      <c r="J338" s="20" t="str">
        <f t="shared" si="63"/>
        <v/>
      </c>
      <c r="K338" s="15" t="str">
        <f t="shared" si="64"/>
        <v/>
      </c>
      <c r="L338" s="15" t="str">
        <f t="shared" si="65"/>
        <v/>
      </c>
      <c r="M338" s="15">
        <f t="shared" si="69"/>
        <v>-9.4558152717624355E-2</v>
      </c>
      <c r="N338" s="15">
        <f t="shared" si="70"/>
        <v>0</v>
      </c>
      <c r="O338" s="15">
        <f t="shared" si="71"/>
        <v>-9.4557474514591178E-2</v>
      </c>
      <c r="P338" s="18">
        <f>IF(SUMIFS('Daily NSE Equity Futures'!$J:$J,'Daily NSE Equity Futures'!$A:$A,$A338)=0,"",SUMIFS('Daily NSE Equity Futures'!$J:$J,'Daily NSE Equity Futures'!$A:$A,$A338))</f>
        <v>913184</v>
      </c>
      <c r="Q338" s="7">
        <f>IF(SUMIFS('Daily BSE Equity Futures'!$J:$J,'Daily BSE Equity Futures'!$A:$A,$A338)=0,"",SUMIFS('Daily BSE Equity Futures'!$J:$J,'Daily BSE Equity Futures'!$A:$A,$A338))</f>
        <v>7</v>
      </c>
      <c r="R338" s="7">
        <f t="shared" si="66"/>
        <v>913191</v>
      </c>
      <c r="S338" s="19">
        <f t="shared" si="67"/>
        <v>0.99999233457184755</v>
      </c>
      <c r="T338" s="19">
        <f t="shared" si="68"/>
        <v>7.6654281524894571E-6</v>
      </c>
    </row>
    <row r="339" spans="1:20" x14ac:dyDescent="0.2">
      <c r="A339" s="9">
        <v>44418</v>
      </c>
      <c r="B339" s="4" t="s">
        <v>223</v>
      </c>
      <c r="C339" s="8">
        <v>44409</v>
      </c>
      <c r="D339" s="4" t="s">
        <v>178</v>
      </c>
      <c r="E339" s="14">
        <f>IF(SUMIFS('Daily NSE Equity Futures'!$I:$I,'Daily NSE Equity Futures'!$A:$A,$A339)=0,"",SUMIFS('Daily NSE Equity Futures'!$I:$I,'Daily NSE Equity Futures'!$A:$A,$A339))</f>
        <v>849.09839999999997</v>
      </c>
      <c r="F339" s="6">
        <f>IF(SUMIFS('Daily BSE Equity Futures'!$I:$I,'Daily BSE Equity Futures'!$A:$A,$A339)=0,"",SUMIFS('Daily BSE Equity Futures'!$I:$I,'Daily BSE Equity Futures'!$A:$A,$A339))</f>
        <v>4.3E-3</v>
      </c>
      <c r="G339" s="6">
        <f t="shared" si="60"/>
        <v>849.10269999999991</v>
      </c>
      <c r="H339" s="15">
        <f t="shared" si="61"/>
        <v>0.99999493583049504</v>
      </c>
      <c r="I339" s="15">
        <f t="shared" si="62"/>
        <v>5.0641695050551609E-6</v>
      </c>
      <c r="J339" s="20">
        <f t="shared" si="63"/>
        <v>2.0460322093987182E-2</v>
      </c>
      <c r="K339" s="15">
        <f t="shared" si="64"/>
        <v>-0.98691816245816855</v>
      </c>
      <c r="L339" s="15">
        <f t="shared" si="65"/>
        <v>2.0062527435642297E-2</v>
      </c>
      <c r="M339" s="15">
        <f t="shared" si="69"/>
        <v>0.12101151313075165</v>
      </c>
      <c r="N339" s="15">
        <f t="shared" si="70"/>
        <v>-0.28333333333333333</v>
      </c>
      <c r="O339" s="15">
        <f t="shared" si="71"/>
        <v>0.12100831016885039</v>
      </c>
      <c r="P339" s="18">
        <f>IF(SUMIFS('Daily NSE Equity Futures'!$J:$J,'Daily NSE Equity Futures'!$A:$A,$A339)=0,"",SUMIFS('Daily NSE Equity Futures'!$J:$J,'Daily NSE Equity Futures'!$A:$A,$A339))</f>
        <v>1024026</v>
      </c>
      <c r="Q339" s="7">
        <f>IF(SUMIFS('Daily BSE Equity Futures'!$J:$J,'Daily BSE Equity Futures'!$A:$A,$A339)=0,"",SUMIFS('Daily BSE Equity Futures'!$J:$J,'Daily BSE Equity Futures'!$A:$A,$A339))</f>
        <v>5</v>
      </c>
      <c r="R339" s="7">
        <f t="shared" si="66"/>
        <v>1024031</v>
      </c>
      <c r="S339" s="19">
        <f t="shared" si="67"/>
        <v>0.9999951173353151</v>
      </c>
      <c r="T339" s="19">
        <f t="shared" si="68"/>
        <v>4.8826646849558268E-6</v>
      </c>
    </row>
    <row r="340" spans="1:20" x14ac:dyDescent="0.2">
      <c r="A340" s="9">
        <v>44419</v>
      </c>
      <c r="B340" s="4" t="s">
        <v>221</v>
      </c>
      <c r="C340" s="8">
        <v>44409</v>
      </c>
      <c r="D340" s="4" t="s">
        <v>178</v>
      </c>
      <c r="E340" s="14">
        <f>IF(SUMIFS('Daily NSE Equity Futures'!$I:$I,'Daily NSE Equity Futures'!$A:$A,$A340)=0,"",SUMIFS('Daily NSE Equity Futures'!$I:$I,'Daily NSE Equity Futures'!$A:$A,$A340))</f>
        <v>904.38260000000002</v>
      </c>
      <c r="F340" s="6">
        <f>IF(SUMIFS('Daily BSE Equity Futures'!$I:$I,'Daily BSE Equity Futures'!$A:$A,$A340)=0,"",SUMIFS('Daily BSE Equity Futures'!$I:$I,'Daily BSE Equity Futures'!$A:$A,$A340))</f>
        <v>5.1000000000000004E-3</v>
      </c>
      <c r="G340" s="6">
        <f t="shared" si="60"/>
        <v>904.3877</v>
      </c>
      <c r="H340" s="15">
        <f t="shared" si="61"/>
        <v>0.99999436082556192</v>
      </c>
      <c r="I340" s="15">
        <f t="shared" si="62"/>
        <v>5.6391744381309038E-6</v>
      </c>
      <c r="J340" s="20">
        <f t="shared" si="63"/>
        <v>9.9501713354242627E-2</v>
      </c>
      <c r="K340" s="15">
        <f t="shared" si="64"/>
        <v>-0.95233644859813082</v>
      </c>
      <c r="L340" s="15">
        <f t="shared" si="65"/>
        <v>9.9364902699291324E-2</v>
      </c>
      <c r="M340" s="15">
        <f t="shared" si="69"/>
        <v>6.510929710855673E-2</v>
      </c>
      <c r="N340" s="15">
        <f t="shared" si="70"/>
        <v>0.18604651162790709</v>
      </c>
      <c r="O340" s="15">
        <f t="shared" si="71"/>
        <v>6.5109909555110423E-2</v>
      </c>
      <c r="P340" s="18">
        <f>IF(SUMIFS('Daily NSE Equity Futures'!$J:$J,'Daily NSE Equity Futures'!$A:$A,$A340)=0,"",SUMIFS('Daily NSE Equity Futures'!$J:$J,'Daily NSE Equity Futures'!$A:$A,$A340))</f>
        <v>1083421</v>
      </c>
      <c r="Q340" s="7">
        <f>IF(SUMIFS('Daily BSE Equity Futures'!$J:$J,'Daily BSE Equity Futures'!$A:$A,$A340)=0,"",SUMIFS('Daily BSE Equity Futures'!$J:$J,'Daily BSE Equity Futures'!$A:$A,$A340))</f>
        <v>6</v>
      </c>
      <c r="R340" s="7">
        <f t="shared" si="66"/>
        <v>1083427</v>
      </c>
      <c r="S340" s="19">
        <f t="shared" si="67"/>
        <v>0.99999446201728404</v>
      </c>
      <c r="T340" s="19">
        <f t="shared" si="68"/>
        <v>5.5379827159559439E-6</v>
      </c>
    </row>
    <row r="341" spans="1:20" x14ac:dyDescent="0.2">
      <c r="A341" s="9">
        <v>44420</v>
      </c>
      <c r="B341" s="4" t="s">
        <v>224</v>
      </c>
      <c r="C341" s="8">
        <v>44409</v>
      </c>
      <c r="D341" s="4" t="s">
        <v>178</v>
      </c>
      <c r="E341" s="14">
        <f>IF(SUMIFS('Daily NSE Equity Futures'!$I:$I,'Daily NSE Equity Futures'!$A:$A,$A341)=0,"",SUMIFS('Daily NSE Equity Futures'!$I:$I,'Daily NSE Equity Futures'!$A:$A,$A341))</f>
        <v>726.2731</v>
      </c>
      <c r="F341" s="6">
        <f>IF(SUMIFS('Daily BSE Equity Futures'!$I:$I,'Daily BSE Equity Futures'!$A:$A,$A341)=0,"",SUMIFS('Daily BSE Equity Futures'!$I:$I,'Daily BSE Equity Futures'!$A:$A,$A341))</f>
        <v>1.6999999999999999E-3</v>
      </c>
      <c r="G341" s="6">
        <f t="shared" si="60"/>
        <v>726.27480000000003</v>
      </c>
      <c r="H341" s="15">
        <f t="shared" si="61"/>
        <v>0.99999765928819229</v>
      </c>
      <c r="I341" s="15">
        <f t="shared" si="62"/>
        <v>2.3407118077069448E-6</v>
      </c>
      <c r="J341" s="20">
        <f t="shared" si="63"/>
        <v>-8.6299290776929771E-2</v>
      </c>
      <c r="K341" s="15">
        <f t="shared" si="64"/>
        <v>-0.98651863600317213</v>
      </c>
      <c r="L341" s="15">
        <f t="shared" si="65"/>
        <v>-8.6442081022053086E-2</v>
      </c>
      <c r="M341" s="15">
        <f t="shared" si="69"/>
        <v>-0.19694043206934764</v>
      </c>
      <c r="N341" s="15">
        <f t="shared" si="70"/>
        <v>-0.66666666666666674</v>
      </c>
      <c r="O341" s="15">
        <f t="shared" si="71"/>
        <v>-0.19694308093752266</v>
      </c>
      <c r="P341" s="18">
        <f>IF(SUMIFS('Daily NSE Equity Futures'!$J:$J,'Daily NSE Equity Futures'!$A:$A,$A341)=0,"",SUMIFS('Daily NSE Equity Futures'!$J:$J,'Daily NSE Equity Futures'!$A:$A,$A341))</f>
        <v>854435</v>
      </c>
      <c r="Q341" s="7">
        <f>IF(SUMIFS('Daily BSE Equity Futures'!$J:$J,'Daily BSE Equity Futures'!$A:$A,$A341)=0,"",SUMIFS('Daily BSE Equity Futures'!$J:$J,'Daily BSE Equity Futures'!$A:$A,$A341))</f>
        <v>2</v>
      </c>
      <c r="R341" s="7">
        <f t="shared" si="66"/>
        <v>854437</v>
      </c>
      <c r="S341" s="19">
        <f t="shared" si="67"/>
        <v>0.99999765927739548</v>
      </c>
      <c r="T341" s="19">
        <f t="shared" si="68"/>
        <v>2.3407226044752276E-6</v>
      </c>
    </row>
    <row r="342" spans="1:20" x14ac:dyDescent="0.2">
      <c r="A342" s="9">
        <v>44421</v>
      </c>
      <c r="B342" s="4" t="s">
        <v>222</v>
      </c>
      <c r="C342" s="8">
        <v>44409</v>
      </c>
      <c r="D342" s="4" t="s">
        <v>178</v>
      </c>
      <c r="E342" s="14">
        <f>IF(SUMIFS('Daily NSE Equity Futures'!$I:$I,'Daily NSE Equity Futures'!$A:$A,$A342)=0,"",SUMIFS('Daily NSE Equity Futures'!$I:$I,'Daily NSE Equity Futures'!$A:$A,$A342))</f>
        <v>912.67489999999998</v>
      </c>
      <c r="F342" s="6">
        <f>IF(SUMIFS('Daily BSE Equity Futures'!$I:$I,'Daily BSE Equity Futures'!$A:$A,$A342)=0,"",SUMIFS('Daily BSE Equity Futures'!$I:$I,'Daily BSE Equity Futures'!$A:$A,$A342))</f>
        <v>6.8999999999999999E-3</v>
      </c>
      <c r="G342" s="6">
        <f t="shared" si="60"/>
        <v>912.68179999999995</v>
      </c>
      <c r="H342" s="15">
        <f t="shared" si="61"/>
        <v>0.99999243986239239</v>
      </c>
      <c r="I342" s="15">
        <f t="shared" si="62"/>
        <v>7.5601376076525249E-6</v>
      </c>
      <c r="J342" s="20">
        <f t="shared" si="63"/>
        <v>0.1659229184567339</v>
      </c>
      <c r="K342" s="15">
        <f t="shared" si="64"/>
        <v>-0.93378119001919391</v>
      </c>
      <c r="L342" s="15">
        <f t="shared" si="65"/>
        <v>0.16577655269665437</v>
      </c>
      <c r="M342" s="15">
        <f t="shared" si="69"/>
        <v>0.25665524442527188</v>
      </c>
      <c r="N342" s="15">
        <f t="shared" si="70"/>
        <v>3.0588235294117645</v>
      </c>
      <c r="O342" s="15">
        <f t="shared" si="71"/>
        <v>0.25666180349366363</v>
      </c>
      <c r="P342" s="18">
        <f>IF(SUMIFS('Daily NSE Equity Futures'!$J:$J,'Daily NSE Equity Futures'!$A:$A,$A342)=0,"",SUMIFS('Daily NSE Equity Futures'!$J:$J,'Daily NSE Equity Futures'!$A:$A,$A342))</f>
        <v>1068227</v>
      </c>
      <c r="Q342" s="7">
        <f>IF(SUMIFS('Daily BSE Equity Futures'!$J:$J,'Daily BSE Equity Futures'!$A:$A,$A342)=0,"",SUMIFS('Daily BSE Equity Futures'!$J:$J,'Daily BSE Equity Futures'!$A:$A,$A342))</f>
        <v>8</v>
      </c>
      <c r="R342" s="7">
        <f t="shared" si="66"/>
        <v>1068235</v>
      </c>
      <c r="S342" s="19">
        <f t="shared" si="67"/>
        <v>0.99999251101115394</v>
      </c>
      <c r="T342" s="19">
        <f t="shared" si="68"/>
        <v>7.488988846087237E-6</v>
      </c>
    </row>
    <row r="343" spans="1:20" x14ac:dyDescent="0.2">
      <c r="A343" s="9">
        <v>44424</v>
      </c>
      <c r="B343" s="4" t="s">
        <v>225</v>
      </c>
      <c r="C343" s="8">
        <v>44409</v>
      </c>
      <c r="D343" s="4" t="s">
        <v>178</v>
      </c>
      <c r="E343" s="14">
        <f>IF(SUMIFS('Daily NSE Equity Futures'!$I:$I,'Daily NSE Equity Futures'!$A:$A,$A343)=0,"",SUMIFS('Daily NSE Equity Futures'!$I:$I,'Daily NSE Equity Futures'!$A:$A,$A343))</f>
        <v>759.16510000000005</v>
      </c>
      <c r="F343" s="6">
        <f>IF(SUMIFS('Daily BSE Equity Futures'!$I:$I,'Daily BSE Equity Futures'!$A:$A,$A343)=0,"",SUMIFS('Daily BSE Equity Futures'!$I:$I,'Daily BSE Equity Futures'!$A:$A,$A343))</f>
        <v>8.9999999999999998E-4</v>
      </c>
      <c r="G343" s="6">
        <f t="shared" si="60"/>
        <v>759.16600000000005</v>
      </c>
      <c r="H343" s="15">
        <f t="shared" si="61"/>
        <v>0.99999881448853079</v>
      </c>
      <c r="I343" s="15">
        <f t="shared" si="62"/>
        <v>1.1855114691648465E-6</v>
      </c>
      <c r="J343" s="20" t="str">
        <f t="shared" si="63"/>
        <v/>
      </c>
      <c r="K343" s="15" t="str">
        <f t="shared" si="64"/>
        <v/>
      </c>
      <c r="L343" s="15" t="str">
        <f t="shared" si="65"/>
        <v/>
      </c>
      <c r="M343" s="15">
        <f t="shared" si="69"/>
        <v>-0.16819767915168915</v>
      </c>
      <c r="N343" s="15">
        <f t="shared" si="70"/>
        <v>-0.86956521739130432</v>
      </c>
      <c r="O343" s="15">
        <f t="shared" si="71"/>
        <v>-0.1682029815867917</v>
      </c>
      <c r="P343" s="18">
        <f>IF(SUMIFS('Daily NSE Equity Futures'!$J:$J,'Daily NSE Equity Futures'!$A:$A,$A343)=0,"",SUMIFS('Daily NSE Equity Futures'!$J:$J,'Daily NSE Equity Futures'!$A:$A,$A343))</f>
        <v>895264</v>
      </c>
      <c r="Q343" s="7">
        <f>IF(SUMIFS('Daily BSE Equity Futures'!$J:$J,'Daily BSE Equity Futures'!$A:$A,$A343)=0,"",SUMIFS('Daily BSE Equity Futures'!$J:$J,'Daily BSE Equity Futures'!$A:$A,$A343))</f>
        <v>1</v>
      </c>
      <c r="R343" s="7">
        <f t="shared" si="66"/>
        <v>895265</v>
      </c>
      <c r="S343" s="19">
        <f t="shared" si="67"/>
        <v>0.99999888301229245</v>
      </c>
      <c r="T343" s="19">
        <f t="shared" si="68"/>
        <v>1.1169877075502784E-6</v>
      </c>
    </row>
    <row r="344" spans="1:20" x14ac:dyDescent="0.2">
      <c r="A344" s="9">
        <v>44425</v>
      </c>
      <c r="B344" s="4" t="s">
        <v>223</v>
      </c>
      <c r="C344" s="8">
        <v>44409</v>
      </c>
      <c r="D344" s="4" t="s">
        <v>178</v>
      </c>
      <c r="E344" s="14">
        <f>IF(SUMIFS('Daily NSE Equity Futures'!$I:$I,'Daily NSE Equity Futures'!$A:$A,$A344)=0,"",SUMIFS('Daily NSE Equity Futures'!$I:$I,'Daily NSE Equity Futures'!$A:$A,$A344))</f>
        <v>1069.4940999999999</v>
      </c>
      <c r="F344" s="6">
        <f>IF(SUMIFS('Daily BSE Equity Futures'!$I:$I,'Daily BSE Equity Futures'!$A:$A,$A344)=0,"",SUMIFS('Daily BSE Equity Futures'!$I:$I,'Daily BSE Equity Futures'!$A:$A,$A344))</f>
        <v>2.5999999999999999E-3</v>
      </c>
      <c r="G344" s="6">
        <f t="shared" si="60"/>
        <v>1069.4966999999999</v>
      </c>
      <c r="H344" s="15">
        <f t="shared" si="61"/>
        <v>0.99999756894995562</v>
      </c>
      <c r="I344" s="15">
        <f t="shared" si="62"/>
        <v>2.4310500443806887E-6</v>
      </c>
      <c r="J344" s="20">
        <f t="shared" si="63"/>
        <v>0.3201570767228421</v>
      </c>
      <c r="K344" s="15">
        <f t="shared" si="64"/>
        <v>-0.99531109107303872</v>
      </c>
      <c r="L344" s="15">
        <f t="shared" si="65"/>
        <v>0.31925730580306011</v>
      </c>
      <c r="M344" s="15">
        <f t="shared" si="69"/>
        <v>0.40877669429218999</v>
      </c>
      <c r="N344" s="15">
        <f t="shared" si="70"/>
        <v>1.8888888888888888</v>
      </c>
      <c r="O344" s="15">
        <f t="shared" si="71"/>
        <v>0.40877844898217242</v>
      </c>
      <c r="P344" s="18">
        <f>IF(SUMIFS('Daily NSE Equity Futures'!$J:$J,'Daily NSE Equity Futures'!$A:$A,$A344)=0,"",SUMIFS('Daily NSE Equity Futures'!$J:$J,'Daily NSE Equity Futures'!$A:$A,$A344))</f>
        <v>1244107</v>
      </c>
      <c r="Q344" s="7">
        <f>IF(SUMIFS('Daily BSE Equity Futures'!$J:$J,'Daily BSE Equity Futures'!$A:$A,$A344)=0,"",SUMIFS('Daily BSE Equity Futures'!$J:$J,'Daily BSE Equity Futures'!$A:$A,$A344))</f>
        <v>3</v>
      </c>
      <c r="R344" s="7">
        <f t="shared" si="66"/>
        <v>1244110</v>
      </c>
      <c r="S344" s="19">
        <f t="shared" si="67"/>
        <v>0.99999758863766064</v>
      </c>
      <c r="T344" s="19">
        <f t="shared" si="68"/>
        <v>2.4113623393429842E-6</v>
      </c>
    </row>
    <row r="345" spans="1:20" x14ac:dyDescent="0.2">
      <c r="A345" s="9">
        <v>44426</v>
      </c>
      <c r="B345" s="4" t="s">
        <v>221</v>
      </c>
      <c r="C345" s="8">
        <v>44409</v>
      </c>
      <c r="D345" s="4" t="s">
        <v>178</v>
      </c>
      <c r="E345" s="14">
        <f>IF(SUMIFS('Daily NSE Equity Futures'!$I:$I,'Daily NSE Equity Futures'!$A:$A,$A345)=0,"",SUMIFS('Daily NSE Equity Futures'!$I:$I,'Daily NSE Equity Futures'!$A:$A,$A345))</f>
        <v>996.28420000000006</v>
      </c>
      <c r="F345" s="6">
        <f>IF(SUMIFS('Daily BSE Equity Futures'!$I:$I,'Daily BSE Equity Futures'!$A:$A,$A345)=0,"",SUMIFS('Daily BSE Equity Futures'!$I:$I,'Daily BSE Equity Futures'!$A:$A,$A345))</f>
        <v>7.0000000000000001E-3</v>
      </c>
      <c r="G345" s="6">
        <f t="shared" si="60"/>
        <v>996.2912</v>
      </c>
      <c r="H345" s="15">
        <f t="shared" si="61"/>
        <v>0.99999297394175524</v>
      </c>
      <c r="I345" s="15">
        <f t="shared" si="62"/>
        <v>7.0260582448183822E-6</v>
      </c>
      <c r="J345" s="20">
        <f t="shared" si="63"/>
        <v>0.19726097722944869</v>
      </c>
      <c r="K345" s="15">
        <f t="shared" si="64"/>
        <v>-0.96781609195402296</v>
      </c>
      <c r="L345" s="15">
        <f t="shared" si="65"/>
        <v>0.19695653422337167</v>
      </c>
      <c r="M345" s="15">
        <f t="shared" si="69"/>
        <v>-6.8452832044608614E-2</v>
      </c>
      <c r="N345" s="15">
        <f t="shared" si="70"/>
        <v>1.6923076923076925</v>
      </c>
      <c r="O345" s="15">
        <f t="shared" si="71"/>
        <v>-6.8448551547657832E-2</v>
      </c>
      <c r="P345" s="18">
        <f>IF(SUMIFS('Daily NSE Equity Futures'!$J:$J,'Daily NSE Equity Futures'!$A:$A,$A345)=0,"",SUMIFS('Daily NSE Equity Futures'!$J:$J,'Daily NSE Equity Futures'!$A:$A,$A345))</f>
        <v>1167713</v>
      </c>
      <c r="Q345" s="7">
        <f>IF(SUMIFS('Daily BSE Equity Futures'!$J:$J,'Daily BSE Equity Futures'!$A:$A,$A345)=0,"",SUMIFS('Daily BSE Equity Futures'!$J:$J,'Daily BSE Equity Futures'!$A:$A,$A345))</f>
        <v>8</v>
      </c>
      <c r="R345" s="7">
        <f t="shared" si="66"/>
        <v>1167721</v>
      </c>
      <c r="S345" s="19">
        <f t="shared" si="67"/>
        <v>0.99999314904844561</v>
      </c>
      <c r="T345" s="19">
        <f t="shared" si="68"/>
        <v>6.8509515543524525E-6</v>
      </c>
    </row>
    <row r="346" spans="1:20" x14ac:dyDescent="0.2">
      <c r="A346" s="9">
        <v>44428</v>
      </c>
      <c r="B346" s="4" t="s">
        <v>222</v>
      </c>
      <c r="C346" s="8">
        <v>44409</v>
      </c>
      <c r="D346" s="4" t="s">
        <v>178</v>
      </c>
      <c r="E346" s="14">
        <f>IF(SUMIFS('Daily NSE Equity Futures'!$I:$I,'Daily NSE Equity Futures'!$A:$A,$A346)=0,"",SUMIFS('Daily NSE Equity Futures'!$I:$I,'Daily NSE Equity Futures'!$A:$A,$A346))</f>
        <v>1304.9260999999999</v>
      </c>
      <c r="F346" s="6">
        <f>IF(SUMIFS('Daily BSE Equity Futures'!$I:$I,'Daily BSE Equity Futures'!$A:$A,$A346)=0,"",SUMIFS('Daily BSE Equity Futures'!$I:$I,'Daily BSE Equity Futures'!$A:$A,$A346))</f>
        <v>4.3E-3</v>
      </c>
      <c r="G346" s="6">
        <f t="shared" si="60"/>
        <v>1304.9304</v>
      </c>
      <c r="H346" s="15">
        <f t="shared" si="61"/>
        <v>0.99999670480509917</v>
      </c>
      <c r="I346" s="15">
        <f t="shared" si="62"/>
        <v>3.2951949008161662E-6</v>
      </c>
      <c r="J346" s="20">
        <f t="shared" si="63"/>
        <v>0.47975601807196244</v>
      </c>
      <c r="K346" s="15">
        <f t="shared" si="64"/>
        <v>-0.98781524511192975</v>
      </c>
      <c r="L346" s="15">
        <f t="shared" si="65"/>
        <v>0.47916895968975926</v>
      </c>
      <c r="M346" s="15">
        <f t="shared" si="69"/>
        <v>0.30979302893692373</v>
      </c>
      <c r="N346" s="15">
        <f t="shared" si="70"/>
        <v>-0.38571428571428568</v>
      </c>
      <c r="O346" s="15">
        <f t="shared" si="71"/>
        <v>0.30978814226202145</v>
      </c>
      <c r="P346" s="18">
        <f>IF(SUMIFS('Daily NSE Equity Futures'!$J:$J,'Daily NSE Equity Futures'!$A:$A,$A346)=0,"",SUMIFS('Daily NSE Equity Futures'!$J:$J,'Daily NSE Equity Futures'!$A:$A,$A346))</f>
        <v>1567956</v>
      </c>
      <c r="Q346" s="7">
        <f>IF(SUMIFS('Daily BSE Equity Futures'!$J:$J,'Daily BSE Equity Futures'!$A:$A,$A346)=0,"",SUMIFS('Daily BSE Equity Futures'!$J:$J,'Daily BSE Equity Futures'!$A:$A,$A346))</f>
        <v>5</v>
      </c>
      <c r="R346" s="7">
        <f t="shared" si="66"/>
        <v>1567961</v>
      </c>
      <c r="S346" s="19">
        <f t="shared" si="67"/>
        <v>0.99999681114517514</v>
      </c>
      <c r="T346" s="19">
        <f t="shared" si="68"/>
        <v>3.1888548248330155E-6</v>
      </c>
    </row>
    <row r="347" spans="1:20" x14ac:dyDescent="0.2">
      <c r="A347" s="9">
        <v>44431</v>
      </c>
      <c r="B347" s="4" t="s">
        <v>225</v>
      </c>
      <c r="C347" s="8">
        <v>44409</v>
      </c>
      <c r="D347" s="4" t="s">
        <v>178</v>
      </c>
      <c r="E347" s="14">
        <f>IF(SUMIFS('Daily NSE Equity Futures'!$I:$I,'Daily NSE Equity Futures'!$A:$A,$A347)=0,"",SUMIFS('Daily NSE Equity Futures'!$I:$I,'Daily NSE Equity Futures'!$A:$A,$A347))</f>
        <v>1682.9871000000001</v>
      </c>
      <c r="F347" s="6">
        <f>IF(SUMIFS('Daily BSE Equity Futures'!$I:$I,'Daily BSE Equity Futures'!$A:$A,$A347)=0,"",SUMIFS('Daily BSE Equity Futures'!$I:$I,'Daily BSE Equity Futures'!$A:$A,$A347))</f>
        <v>6.1000000000000004E-3</v>
      </c>
      <c r="G347" s="6">
        <f t="shared" si="60"/>
        <v>1682.9932000000001</v>
      </c>
      <c r="H347" s="15">
        <f t="shared" si="61"/>
        <v>0.99999637550526044</v>
      </c>
      <c r="I347" s="15">
        <f t="shared" si="62"/>
        <v>3.6244947394915204E-6</v>
      </c>
      <c r="J347" s="20" t="str">
        <f t="shared" si="63"/>
        <v/>
      </c>
      <c r="K347" s="15" t="str">
        <f t="shared" si="64"/>
        <v/>
      </c>
      <c r="L347" s="15" t="str">
        <f t="shared" si="65"/>
        <v/>
      </c>
      <c r="M347" s="15">
        <f t="shared" si="69"/>
        <v>0.28971832198007252</v>
      </c>
      <c r="N347" s="15">
        <f t="shared" si="70"/>
        <v>0.41860465116279078</v>
      </c>
      <c r="O347" s="15">
        <f t="shared" si="71"/>
        <v>0.28971874668564701</v>
      </c>
      <c r="P347" s="18">
        <f>IF(SUMIFS('Daily NSE Equity Futures'!$J:$J,'Daily NSE Equity Futures'!$A:$A,$A347)=0,"",SUMIFS('Daily NSE Equity Futures'!$J:$J,'Daily NSE Equity Futures'!$A:$A,$A347))</f>
        <v>2054866</v>
      </c>
      <c r="Q347" s="7">
        <f>IF(SUMIFS('Daily BSE Equity Futures'!$J:$J,'Daily BSE Equity Futures'!$A:$A,$A347)=0,"",SUMIFS('Daily BSE Equity Futures'!$J:$J,'Daily BSE Equity Futures'!$A:$A,$A347))</f>
        <v>7</v>
      </c>
      <c r="R347" s="7">
        <f t="shared" si="66"/>
        <v>2054873</v>
      </c>
      <c r="S347" s="19">
        <f t="shared" si="67"/>
        <v>0.99999659346344028</v>
      </c>
      <c r="T347" s="19">
        <f t="shared" si="68"/>
        <v>3.4065365596803306E-6</v>
      </c>
    </row>
    <row r="348" spans="1:20" x14ac:dyDescent="0.2">
      <c r="A348" s="9">
        <v>44432</v>
      </c>
      <c r="B348" s="4" t="s">
        <v>223</v>
      </c>
      <c r="C348" s="8">
        <v>44409</v>
      </c>
      <c r="D348" s="4" t="s">
        <v>178</v>
      </c>
      <c r="E348" s="14">
        <f>IF(SUMIFS('Daily NSE Equity Futures'!$I:$I,'Daily NSE Equity Futures'!$A:$A,$A348)=0,"",SUMIFS('Daily NSE Equity Futures'!$I:$I,'Daily NSE Equity Futures'!$A:$A,$A348))</f>
        <v>1876.3044</v>
      </c>
      <c r="F348" s="6">
        <f>IF(SUMIFS('Daily BSE Equity Futures'!$I:$I,'Daily BSE Equity Futures'!$A:$A,$A348)=0,"",SUMIFS('Daily BSE Equity Futures'!$I:$I,'Daily BSE Equity Futures'!$A:$A,$A348))</f>
        <v>2.5999999999999999E-3</v>
      </c>
      <c r="G348" s="6">
        <f t="shared" si="60"/>
        <v>1876.307</v>
      </c>
      <c r="H348" s="15">
        <f t="shared" si="61"/>
        <v>0.99999861429925907</v>
      </c>
      <c r="I348" s="15">
        <f t="shared" si="62"/>
        <v>1.3857007408702307E-6</v>
      </c>
      <c r="J348" s="20">
        <f t="shared" si="63"/>
        <v>0.46304313974887013</v>
      </c>
      <c r="K348" s="15">
        <f t="shared" si="64"/>
        <v>-0.988256549232159</v>
      </c>
      <c r="L348" s="15">
        <f t="shared" si="65"/>
        <v>0.46279263637159573</v>
      </c>
      <c r="M348" s="15">
        <f t="shared" si="69"/>
        <v>0.11486558631376309</v>
      </c>
      <c r="N348" s="15">
        <f t="shared" si="70"/>
        <v>-0.57377049180327866</v>
      </c>
      <c r="O348" s="15">
        <f t="shared" si="71"/>
        <v>0.11486309035592046</v>
      </c>
      <c r="P348" s="18">
        <f>IF(SUMIFS('Daily NSE Equity Futures'!$J:$J,'Daily NSE Equity Futures'!$A:$A,$A348)=0,"",SUMIFS('Daily NSE Equity Futures'!$J:$J,'Daily NSE Equity Futures'!$A:$A,$A348))</f>
        <v>2290354</v>
      </c>
      <c r="Q348" s="7">
        <f>IF(SUMIFS('Daily BSE Equity Futures'!$J:$J,'Daily BSE Equity Futures'!$A:$A,$A348)=0,"",SUMIFS('Daily BSE Equity Futures'!$J:$J,'Daily BSE Equity Futures'!$A:$A,$A348))</f>
        <v>3</v>
      </c>
      <c r="R348" s="7">
        <f t="shared" si="66"/>
        <v>2290357</v>
      </c>
      <c r="S348" s="19">
        <f t="shared" si="67"/>
        <v>0.99999869016052956</v>
      </c>
      <c r="T348" s="19">
        <f t="shared" si="68"/>
        <v>1.3098394704406343E-6</v>
      </c>
    </row>
    <row r="349" spans="1:20" x14ac:dyDescent="0.2">
      <c r="A349" s="9">
        <v>44433</v>
      </c>
      <c r="B349" s="4" t="s">
        <v>221</v>
      </c>
      <c r="C349" s="8">
        <v>44409</v>
      </c>
      <c r="D349" s="4" t="s">
        <v>178</v>
      </c>
      <c r="E349" s="14">
        <f>IF(SUMIFS('Daily NSE Equity Futures'!$I:$I,'Daily NSE Equity Futures'!$A:$A,$A349)=0,"",SUMIFS('Daily NSE Equity Futures'!$I:$I,'Daily NSE Equity Futures'!$A:$A,$A349))</f>
        <v>1652.9953</v>
      </c>
      <c r="F349" s="6">
        <f>IF(SUMIFS('Daily BSE Equity Futures'!$I:$I,'Daily BSE Equity Futures'!$A:$A,$A349)=0,"",SUMIFS('Daily BSE Equity Futures'!$I:$I,'Daily BSE Equity Futures'!$A:$A,$A349))</f>
        <v>7.9000000000000008E-3</v>
      </c>
      <c r="G349" s="6">
        <f t="shared" si="60"/>
        <v>1653.0032000000001</v>
      </c>
      <c r="H349" s="15">
        <f t="shared" si="61"/>
        <v>0.99999522081989911</v>
      </c>
      <c r="I349" s="15">
        <f t="shared" si="62"/>
        <v>4.7791801008007732E-6</v>
      </c>
      <c r="J349" s="20">
        <f t="shared" si="63"/>
        <v>6.9350452822362296E-2</v>
      </c>
      <c r="K349" s="15">
        <f t="shared" si="64"/>
        <v>-0.92863595302619695</v>
      </c>
      <c r="L349" s="15">
        <f t="shared" si="65"/>
        <v>6.927898844980418E-2</v>
      </c>
      <c r="M349" s="15">
        <f t="shared" si="69"/>
        <v>-0.11901539004012351</v>
      </c>
      <c r="N349" s="15">
        <f t="shared" si="70"/>
        <v>2.0384615384615388</v>
      </c>
      <c r="O349" s="15">
        <f t="shared" si="71"/>
        <v>-0.1190124004227453</v>
      </c>
      <c r="P349" s="18">
        <f>IF(SUMIFS('Daily NSE Equity Futures'!$J:$J,'Daily NSE Equity Futures'!$A:$A,$A349)=0,"",SUMIFS('Daily NSE Equity Futures'!$J:$J,'Daily NSE Equity Futures'!$A:$A,$A349))</f>
        <v>2008644</v>
      </c>
      <c r="Q349" s="7">
        <f>IF(SUMIFS('Daily BSE Equity Futures'!$J:$J,'Daily BSE Equity Futures'!$A:$A,$A349)=0,"",SUMIFS('Daily BSE Equity Futures'!$J:$J,'Daily BSE Equity Futures'!$A:$A,$A349))</f>
        <v>9</v>
      </c>
      <c r="R349" s="7">
        <f t="shared" si="66"/>
        <v>2008653</v>
      </c>
      <c r="S349" s="19">
        <f t="shared" si="67"/>
        <v>0.99999551938537912</v>
      </c>
      <c r="T349" s="19">
        <f t="shared" si="68"/>
        <v>4.4806146208429232E-6</v>
      </c>
    </row>
    <row r="350" spans="1:20" x14ac:dyDescent="0.2">
      <c r="A350" s="9">
        <v>44434</v>
      </c>
      <c r="B350" s="4" t="s">
        <v>224</v>
      </c>
      <c r="C350" s="8">
        <v>44409</v>
      </c>
      <c r="D350" s="4" t="s">
        <v>178</v>
      </c>
      <c r="E350" s="14">
        <f>IF(SUMIFS('Daily NSE Equity Futures'!$I:$I,'Daily NSE Equity Futures'!$A:$A,$A350)=0,"",SUMIFS('Daily NSE Equity Futures'!$I:$I,'Daily NSE Equity Futures'!$A:$A,$A350))</f>
        <v>1663.6102000000001</v>
      </c>
      <c r="F350" s="6">
        <f>IF(SUMIFS('Daily BSE Equity Futures'!$I:$I,'Daily BSE Equity Futures'!$A:$A,$A350)=0,"",SUMIFS('Daily BSE Equity Futures'!$I:$I,'Daily BSE Equity Futures'!$A:$A,$A350))</f>
        <v>6.1000000000000004E-3</v>
      </c>
      <c r="G350" s="6">
        <f t="shared" si="60"/>
        <v>1663.6163000000001</v>
      </c>
      <c r="H350" s="15">
        <f t="shared" si="61"/>
        <v>0.99999633328911242</v>
      </c>
      <c r="I350" s="15">
        <f t="shared" si="62"/>
        <v>3.6667108876007045E-6</v>
      </c>
      <c r="J350" s="20">
        <f t="shared" si="63"/>
        <v>0.19079528618029573</v>
      </c>
      <c r="K350" s="15">
        <f t="shared" si="64"/>
        <v>-0.9644107351225204</v>
      </c>
      <c r="L350" s="15">
        <f t="shared" si="65"/>
        <v>0.19065357552213169</v>
      </c>
      <c r="M350" s="15">
        <f t="shared" si="69"/>
        <v>6.4216153548652954E-3</v>
      </c>
      <c r="N350" s="15">
        <f t="shared" si="70"/>
        <v>-0.22784810126582278</v>
      </c>
      <c r="O350" s="15">
        <f t="shared" si="71"/>
        <v>6.4204957376974292E-3</v>
      </c>
      <c r="P350" s="18">
        <f>IF(SUMIFS('Daily NSE Equity Futures'!$J:$J,'Daily NSE Equity Futures'!$A:$A,$A350)=0,"",SUMIFS('Daily NSE Equity Futures'!$J:$J,'Daily NSE Equity Futures'!$A:$A,$A350))</f>
        <v>2059472</v>
      </c>
      <c r="Q350" s="7">
        <f>IF(SUMIFS('Daily BSE Equity Futures'!$J:$J,'Daily BSE Equity Futures'!$A:$A,$A350)=0,"",SUMIFS('Daily BSE Equity Futures'!$J:$J,'Daily BSE Equity Futures'!$A:$A,$A350))</f>
        <v>7</v>
      </c>
      <c r="R350" s="7">
        <f t="shared" si="66"/>
        <v>2059479</v>
      </c>
      <c r="S350" s="19">
        <f t="shared" si="67"/>
        <v>0.9999966010821183</v>
      </c>
      <c r="T350" s="19">
        <f t="shared" si="68"/>
        <v>3.3989178816584196E-6</v>
      </c>
    </row>
    <row r="351" spans="1:20" x14ac:dyDescent="0.2">
      <c r="A351" s="9">
        <v>44435</v>
      </c>
      <c r="B351" s="4" t="s">
        <v>222</v>
      </c>
      <c r="C351" s="8">
        <v>44409</v>
      </c>
      <c r="D351" s="4" t="s">
        <v>178</v>
      </c>
      <c r="E351" s="14">
        <f>IF(SUMIFS('Daily NSE Equity Futures'!$I:$I,'Daily NSE Equity Futures'!$A:$A,$A351)=0,"",SUMIFS('Daily NSE Equity Futures'!$I:$I,'Daily NSE Equity Futures'!$A:$A,$A351))</f>
        <v>730.20259999999996</v>
      </c>
      <c r="F351" s="6">
        <f>IF(SUMIFS('Daily BSE Equity Futures'!$I:$I,'Daily BSE Equity Futures'!$A:$A,$A351)=0,"",SUMIFS('Daily BSE Equity Futures'!$I:$I,'Daily BSE Equity Futures'!$A:$A,$A351))</f>
        <v>6.1000000000000004E-3</v>
      </c>
      <c r="G351" s="6">
        <f t="shared" si="60"/>
        <v>730.20869999999991</v>
      </c>
      <c r="H351" s="15">
        <f t="shared" si="61"/>
        <v>0.99999164622388104</v>
      </c>
      <c r="I351" s="15">
        <f t="shared" si="62"/>
        <v>8.3537761190739052E-6</v>
      </c>
      <c r="J351" s="20">
        <f t="shared" si="63"/>
        <v>-0.44039770093325725</v>
      </c>
      <c r="K351" s="15">
        <f t="shared" si="64"/>
        <v>-0.97779395704404803</v>
      </c>
      <c r="L351" s="15">
        <f t="shared" si="65"/>
        <v>-0.44051081014938998</v>
      </c>
      <c r="M351" s="15">
        <f t="shared" si="69"/>
        <v>-0.56107350147288115</v>
      </c>
      <c r="N351" s="15">
        <f t="shared" si="70"/>
        <v>0</v>
      </c>
      <c r="O351" s="15">
        <f t="shared" si="71"/>
        <v>-0.56107144417856458</v>
      </c>
      <c r="P351" s="18">
        <f>IF(SUMIFS('Daily NSE Equity Futures'!$J:$J,'Daily NSE Equity Futures'!$A:$A,$A351)=0,"",SUMIFS('Daily NSE Equity Futures'!$J:$J,'Daily NSE Equity Futures'!$A:$A,$A351))</f>
        <v>860906</v>
      </c>
      <c r="Q351" s="7">
        <f>IF(SUMIFS('Daily BSE Equity Futures'!$J:$J,'Daily BSE Equity Futures'!$A:$A,$A351)=0,"",SUMIFS('Daily BSE Equity Futures'!$J:$J,'Daily BSE Equity Futures'!$A:$A,$A351))</f>
        <v>7</v>
      </c>
      <c r="R351" s="7">
        <f t="shared" si="66"/>
        <v>860913</v>
      </c>
      <c r="S351" s="19">
        <f t="shared" si="67"/>
        <v>0.99999186909710969</v>
      </c>
      <c r="T351" s="19">
        <f t="shared" si="68"/>
        <v>8.1309028903036652E-6</v>
      </c>
    </row>
    <row r="352" spans="1:20" x14ac:dyDescent="0.2">
      <c r="A352" s="9">
        <v>44438</v>
      </c>
      <c r="B352" s="4" t="s">
        <v>225</v>
      </c>
      <c r="C352" s="8">
        <v>44409</v>
      </c>
      <c r="D352" s="4" t="s">
        <v>178</v>
      </c>
      <c r="E352" s="14">
        <f>IF(SUMIFS('Daily NSE Equity Futures'!$I:$I,'Daily NSE Equity Futures'!$A:$A,$A352)=0,"",SUMIFS('Daily NSE Equity Futures'!$I:$I,'Daily NSE Equity Futures'!$A:$A,$A352))</f>
        <v>828.74019999999996</v>
      </c>
      <c r="F352" s="6">
        <f>IF(SUMIFS('Daily BSE Equity Futures'!$I:$I,'Daily BSE Equity Futures'!$A:$A,$A352)=0,"",SUMIFS('Daily BSE Equity Futures'!$I:$I,'Daily BSE Equity Futures'!$A:$A,$A352))</f>
        <v>2.7000000000000001E-3</v>
      </c>
      <c r="G352" s="6">
        <f t="shared" si="60"/>
        <v>828.74289999999996</v>
      </c>
      <c r="H352" s="15">
        <f t="shared" si="61"/>
        <v>0.99999674205353672</v>
      </c>
      <c r="I352" s="15">
        <f t="shared" si="62"/>
        <v>3.257946463251752E-6</v>
      </c>
      <c r="J352" s="20" t="str">
        <f t="shared" si="63"/>
        <v/>
      </c>
      <c r="K352" s="15" t="str">
        <f t="shared" si="64"/>
        <v/>
      </c>
      <c r="L352" s="15" t="str">
        <f t="shared" si="65"/>
        <v/>
      </c>
      <c r="M352" s="15">
        <f t="shared" si="69"/>
        <v>0.13494556168383953</v>
      </c>
      <c r="N352" s="15">
        <f t="shared" si="70"/>
        <v>-0.55737704918032782</v>
      </c>
      <c r="O352" s="15">
        <f t="shared" si="71"/>
        <v>0.13493977817574621</v>
      </c>
      <c r="P352" s="18">
        <f>IF(SUMIFS('Daily NSE Equity Futures'!$J:$J,'Daily NSE Equity Futures'!$A:$A,$A352)=0,"",SUMIFS('Daily NSE Equity Futures'!$J:$J,'Daily NSE Equity Futures'!$A:$A,$A352))</f>
        <v>967266</v>
      </c>
      <c r="Q352" s="7">
        <f>IF(SUMIFS('Daily BSE Equity Futures'!$J:$J,'Daily BSE Equity Futures'!$A:$A,$A352)=0,"",SUMIFS('Daily BSE Equity Futures'!$J:$J,'Daily BSE Equity Futures'!$A:$A,$A352))</f>
        <v>3</v>
      </c>
      <c r="R352" s="7">
        <f t="shared" si="66"/>
        <v>967269</v>
      </c>
      <c r="S352" s="19">
        <f t="shared" si="67"/>
        <v>0.9999968984842893</v>
      </c>
      <c r="T352" s="19">
        <f t="shared" si="68"/>
        <v>3.1015157107278329E-6</v>
      </c>
    </row>
    <row r="353" spans="1:20" x14ac:dyDescent="0.2">
      <c r="A353" s="9">
        <v>44439</v>
      </c>
      <c r="B353" s="4" t="s">
        <v>223</v>
      </c>
      <c r="C353" s="8">
        <v>44409</v>
      </c>
      <c r="D353" s="4" t="s">
        <v>178</v>
      </c>
      <c r="E353" s="14">
        <f>IF(SUMIFS('Daily NSE Equity Futures'!$I:$I,'Daily NSE Equity Futures'!$A:$A,$A353)=0,"",SUMIFS('Daily NSE Equity Futures'!$I:$I,'Daily NSE Equity Futures'!$A:$A,$A353))</f>
        <v>1022.364</v>
      </c>
      <c r="F353" s="6">
        <f>IF(SUMIFS('Daily BSE Equity Futures'!$I:$I,'Daily BSE Equity Futures'!$A:$A,$A353)=0,"",SUMIFS('Daily BSE Equity Futures'!$I:$I,'Daily BSE Equity Futures'!$A:$A,$A353))</f>
        <v>3.5999999999999999E-3</v>
      </c>
      <c r="G353" s="6">
        <f t="shared" si="60"/>
        <v>1022.3676</v>
      </c>
      <c r="H353" s="15">
        <f t="shared" si="61"/>
        <v>0.99999647876165088</v>
      </c>
      <c r="I353" s="15">
        <f t="shared" si="62"/>
        <v>3.521238349102612E-6</v>
      </c>
      <c r="J353" s="20">
        <f t="shared" si="63"/>
        <v>-0.30581991095930583</v>
      </c>
      <c r="K353" s="15">
        <f t="shared" si="64"/>
        <v>-0.99523305084745761</v>
      </c>
      <c r="L353" s="15">
        <f t="shared" si="65"/>
        <v>-0.30617324501873067</v>
      </c>
      <c r="M353" s="15">
        <f t="shared" si="69"/>
        <v>0.23363630725286422</v>
      </c>
      <c r="N353" s="15">
        <f t="shared" si="70"/>
        <v>0.33333333333333326</v>
      </c>
      <c r="O353" s="15">
        <f t="shared" si="71"/>
        <v>0.23363663206043772</v>
      </c>
      <c r="P353" s="18">
        <f>IF(SUMIFS('Daily NSE Equity Futures'!$J:$J,'Daily NSE Equity Futures'!$A:$A,$A353)=0,"",SUMIFS('Daily NSE Equity Futures'!$J:$J,'Daily NSE Equity Futures'!$A:$A,$A353))</f>
        <v>1171508</v>
      </c>
      <c r="Q353" s="7">
        <f>IF(SUMIFS('Daily BSE Equity Futures'!$J:$J,'Daily BSE Equity Futures'!$A:$A,$A353)=0,"",SUMIFS('Daily BSE Equity Futures'!$J:$J,'Daily BSE Equity Futures'!$A:$A,$A353))</f>
        <v>4</v>
      </c>
      <c r="R353" s="7">
        <f t="shared" si="66"/>
        <v>1171512</v>
      </c>
      <c r="S353" s="19">
        <f t="shared" si="67"/>
        <v>0.99999658560902493</v>
      </c>
      <c r="T353" s="19">
        <f t="shared" si="68"/>
        <v>3.4143909750817745E-6</v>
      </c>
    </row>
    <row r="354" spans="1:20" x14ac:dyDescent="0.2">
      <c r="A354" s="9">
        <v>44440</v>
      </c>
      <c r="B354" s="4" t="s">
        <v>221</v>
      </c>
      <c r="C354" s="8">
        <v>44440</v>
      </c>
      <c r="D354" s="4" t="s">
        <v>178</v>
      </c>
      <c r="E354" s="14">
        <f>IF(SUMIFS('Daily NSE Equity Futures'!$I:$I,'Daily NSE Equity Futures'!$A:$A,$A354)=0,"",SUMIFS('Daily NSE Equity Futures'!$I:$I,'Daily NSE Equity Futures'!$A:$A,$A354))</f>
        <v>953.66120000000001</v>
      </c>
      <c r="F354" s="6">
        <f>IF(SUMIFS('Daily BSE Equity Futures'!$I:$I,'Daily BSE Equity Futures'!$A:$A,$A354)=0,"",SUMIFS('Daily BSE Equity Futures'!$I:$I,'Daily BSE Equity Futures'!$A:$A,$A354))</f>
        <v>3.5999999999999999E-3</v>
      </c>
      <c r="G354" s="6">
        <f t="shared" si="60"/>
        <v>953.66480000000001</v>
      </c>
      <c r="H354" s="15">
        <f t="shared" si="61"/>
        <v>0.99999622508873143</v>
      </c>
      <c r="I354" s="15">
        <f t="shared" si="62"/>
        <v>3.774911268613458E-6</v>
      </c>
      <c r="J354" s="20">
        <f t="shared" si="63"/>
        <v>-0.14883186991672548</v>
      </c>
      <c r="K354" s="15">
        <f t="shared" si="64"/>
        <v>-0.98465473145780047</v>
      </c>
      <c r="L354" s="15">
        <f t="shared" si="65"/>
        <v>-0.14900684353319493</v>
      </c>
      <c r="M354" s="15">
        <f t="shared" si="69"/>
        <v>-6.7199940529987345E-2</v>
      </c>
      <c r="N354" s="15">
        <f t="shared" si="70"/>
        <v>0</v>
      </c>
      <c r="O354" s="15">
        <f t="shared" si="71"/>
        <v>-6.7199703902979691E-2</v>
      </c>
      <c r="P354" s="18">
        <f>IF(SUMIFS('Daily NSE Equity Futures'!$J:$J,'Daily NSE Equity Futures'!$A:$A,$A354)=0,"",SUMIFS('Daily NSE Equity Futures'!$J:$J,'Daily NSE Equity Futures'!$A:$A,$A354))</f>
        <v>1118651</v>
      </c>
      <c r="Q354" s="7">
        <f>IF(SUMIFS('Daily BSE Equity Futures'!$J:$J,'Daily BSE Equity Futures'!$A:$A,$A354)=0,"",SUMIFS('Daily BSE Equity Futures'!$J:$J,'Daily BSE Equity Futures'!$A:$A,$A354))</f>
        <v>4</v>
      </c>
      <c r="R354" s="7">
        <f t="shared" si="66"/>
        <v>1118655</v>
      </c>
      <c r="S354" s="19">
        <f t="shared" si="67"/>
        <v>0.99999642427736879</v>
      </c>
      <c r="T354" s="19">
        <f t="shared" si="68"/>
        <v>3.5757226311954981E-6</v>
      </c>
    </row>
    <row r="355" spans="1:20" x14ac:dyDescent="0.2">
      <c r="A355" s="9">
        <v>44441</v>
      </c>
      <c r="B355" s="4" t="s">
        <v>224</v>
      </c>
      <c r="C355" s="8">
        <v>44440</v>
      </c>
      <c r="D355" s="4" t="s">
        <v>178</v>
      </c>
      <c r="E355" s="14">
        <f>IF(SUMIFS('Daily NSE Equity Futures'!$I:$I,'Daily NSE Equity Futures'!$A:$A,$A355)=0,"",SUMIFS('Daily NSE Equity Futures'!$I:$I,'Daily NSE Equity Futures'!$A:$A,$A355))</f>
        <v>793.64909999999998</v>
      </c>
      <c r="F355" s="6" t="str">
        <f>IF(SUMIFS('Daily BSE Equity Futures'!$I:$I,'Daily BSE Equity Futures'!$A:$A,$A355)=0,"",SUMIFS('Daily BSE Equity Futures'!$I:$I,'Daily BSE Equity Futures'!$A:$A,$A355))</f>
        <v/>
      </c>
      <c r="G355" s="6" t="str">
        <f t="shared" si="60"/>
        <v/>
      </c>
      <c r="H355" s="15" t="str">
        <f t="shared" si="61"/>
        <v/>
      </c>
      <c r="I355" s="15" t="str">
        <f t="shared" si="62"/>
        <v/>
      </c>
      <c r="J355" s="20">
        <f t="shared" si="63"/>
        <v>-7.4260457316902451E-2</v>
      </c>
      <c r="K355" s="15" t="str">
        <f t="shared" si="64"/>
        <v/>
      </c>
      <c r="L355" s="15" t="str">
        <f t="shared" si="65"/>
        <v/>
      </c>
      <c r="M355" s="15">
        <f t="shared" si="69"/>
        <v>-0.16778715543843037</v>
      </c>
      <c r="N355" s="15" t="str">
        <f t="shared" si="70"/>
        <v/>
      </c>
      <c r="O355" s="15" t="str">
        <f t="shared" si="71"/>
        <v/>
      </c>
      <c r="P355" s="18">
        <f>IF(SUMIFS('Daily NSE Equity Futures'!$J:$J,'Daily NSE Equity Futures'!$A:$A,$A355)=0,"",SUMIFS('Daily NSE Equity Futures'!$J:$J,'Daily NSE Equity Futures'!$A:$A,$A355))</f>
        <v>933807</v>
      </c>
      <c r="Q355" s="7" t="str">
        <f>IF(SUMIFS('Daily BSE Equity Futures'!$J:$J,'Daily BSE Equity Futures'!$A:$A,$A355)=0,"",SUMIFS('Daily BSE Equity Futures'!$J:$J,'Daily BSE Equity Futures'!$A:$A,$A355))</f>
        <v/>
      </c>
      <c r="R355" s="7" t="str">
        <f t="shared" si="66"/>
        <v/>
      </c>
      <c r="S355" s="19" t="str">
        <f t="shared" si="67"/>
        <v/>
      </c>
      <c r="T355" s="19" t="str">
        <f t="shared" si="68"/>
        <v/>
      </c>
    </row>
    <row r="356" spans="1:20" x14ac:dyDescent="0.2">
      <c r="A356" s="9">
        <v>44442</v>
      </c>
      <c r="B356" s="4" t="s">
        <v>222</v>
      </c>
      <c r="C356" s="8">
        <v>44440</v>
      </c>
      <c r="D356" s="4" t="s">
        <v>178</v>
      </c>
      <c r="E356" s="14">
        <f>IF(SUMIFS('Daily NSE Equity Futures'!$I:$I,'Daily NSE Equity Futures'!$A:$A,$A356)=0,"",SUMIFS('Daily NSE Equity Futures'!$I:$I,'Daily NSE Equity Futures'!$A:$A,$A356))</f>
        <v>919.87049999999999</v>
      </c>
      <c r="F356" s="6">
        <f>IF(SUMIFS('Daily BSE Equity Futures'!$I:$I,'Daily BSE Equity Futures'!$A:$A,$A356)=0,"",SUMIFS('Daily BSE Equity Futures'!$I:$I,'Daily BSE Equity Futures'!$A:$A,$A356))</f>
        <v>8.9999999999999998E-4</v>
      </c>
      <c r="G356" s="6">
        <f t="shared" si="60"/>
        <v>919.87139999999999</v>
      </c>
      <c r="H356" s="15">
        <f t="shared" si="61"/>
        <v>0.99999902160236742</v>
      </c>
      <c r="I356" s="15">
        <f t="shared" si="62"/>
        <v>9.7839763253863536E-7</v>
      </c>
      <c r="J356" s="20">
        <f t="shared" si="63"/>
        <v>0.18116134264561912</v>
      </c>
      <c r="K356" s="15">
        <f t="shared" si="64"/>
        <v>-0.99634146341463414</v>
      </c>
      <c r="L356" s="15">
        <f t="shared" si="65"/>
        <v>0.18078951435553003</v>
      </c>
      <c r="M356" s="15">
        <f t="shared" si="69"/>
        <v>0.15903930338987338</v>
      </c>
      <c r="N356" s="15" t="str">
        <f t="shared" si="70"/>
        <v/>
      </c>
      <c r="O356" s="15" t="str">
        <f t="shared" si="71"/>
        <v/>
      </c>
      <c r="P356" s="18">
        <f>IF(SUMIFS('Daily NSE Equity Futures'!$J:$J,'Daily NSE Equity Futures'!$A:$A,$A356)=0,"",SUMIFS('Daily NSE Equity Futures'!$J:$J,'Daily NSE Equity Futures'!$A:$A,$A356))</f>
        <v>1093970</v>
      </c>
      <c r="Q356" s="7">
        <f>IF(SUMIFS('Daily BSE Equity Futures'!$J:$J,'Daily BSE Equity Futures'!$A:$A,$A356)=0,"",SUMIFS('Daily BSE Equity Futures'!$J:$J,'Daily BSE Equity Futures'!$A:$A,$A356))</f>
        <v>1</v>
      </c>
      <c r="R356" s="7">
        <f t="shared" si="66"/>
        <v>1093971</v>
      </c>
      <c r="S356" s="19">
        <f t="shared" si="67"/>
        <v>0.99999908589898634</v>
      </c>
      <c r="T356" s="19">
        <f t="shared" si="68"/>
        <v>9.1410101364661408E-7</v>
      </c>
    </row>
    <row r="357" spans="1:20" x14ac:dyDescent="0.2">
      <c r="A357" s="9">
        <v>44445</v>
      </c>
      <c r="B357" s="4" t="s">
        <v>225</v>
      </c>
      <c r="C357" s="8">
        <v>44440</v>
      </c>
      <c r="D357" s="4" t="s">
        <v>178</v>
      </c>
      <c r="E357" s="14">
        <f>IF(SUMIFS('Daily NSE Equity Futures'!$I:$I,'Daily NSE Equity Futures'!$A:$A,$A357)=0,"",SUMIFS('Daily NSE Equity Futures'!$I:$I,'Daily NSE Equity Futures'!$A:$A,$A357))</f>
        <v>746.92740000000003</v>
      </c>
      <c r="F357" s="6" t="str">
        <f>IF(SUMIFS('Daily BSE Equity Futures'!$I:$I,'Daily BSE Equity Futures'!$A:$A,$A357)=0,"",SUMIFS('Daily BSE Equity Futures'!$I:$I,'Daily BSE Equity Futures'!$A:$A,$A357))</f>
        <v/>
      </c>
      <c r="G357" s="6" t="str">
        <f t="shared" si="60"/>
        <v/>
      </c>
      <c r="H357" s="15" t="str">
        <f t="shared" si="61"/>
        <v/>
      </c>
      <c r="I357" s="15" t="str">
        <f t="shared" si="62"/>
        <v/>
      </c>
      <c r="J357" s="20" t="str">
        <f t="shared" si="63"/>
        <v/>
      </c>
      <c r="K357" s="15" t="str">
        <f t="shared" si="64"/>
        <v/>
      </c>
      <c r="L357" s="15" t="str">
        <f t="shared" si="65"/>
        <v/>
      </c>
      <c r="M357" s="15">
        <f t="shared" si="69"/>
        <v>-0.18800809461766621</v>
      </c>
      <c r="N357" s="15" t="str">
        <f t="shared" si="70"/>
        <v/>
      </c>
      <c r="O357" s="15" t="str">
        <f t="shared" si="71"/>
        <v/>
      </c>
      <c r="P357" s="18">
        <f>IF(SUMIFS('Daily NSE Equity Futures'!$J:$J,'Daily NSE Equity Futures'!$A:$A,$A357)=0,"",SUMIFS('Daily NSE Equity Futures'!$J:$J,'Daily NSE Equity Futures'!$A:$A,$A357))</f>
        <v>866652</v>
      </c>
      <c r="Q357" s="7" t="str">
        <f>IF(SUMIFS('Daily BSE Equity Futures'!$J:$J,'Daily BSE Equity Futures'!$A:$A,$A357)=0,"",SUMIFS('Daily BSE Equity Futures'!$J:$J,'Daily BSE Equity Futures'!$A:$A,$A357))</f>
        <v/>
      </c>
      <c r="R357" s="7" t="str">
        <f t="shared" si="66"/>
        <v/>
      </c>
      <c r="S357" s="19" t="str">
        <f t="shared" si="67"/>
        <v/>
      </c>
      <c r="T357" s="19" t="str">
        <f t="shared" si="68"/>
        <v/>
      </c>
    </row>
    <row r="358" spans="1:20" x14ac:dyDescent="0.2">
      <c r="A358" s="9">
        <v>44446</v>
      </c>
      <c r="B358" s="4" t="s">
        <v>223</v>
      </c>
      <c r="C358" s="8">
        <v>44440</v>
      </c>
      <c r="D358" s="4" t="s">
        <v>178</v>
      </c>
      <c r="E358" s="14">
        <f>IF(SUMIFS('Daily NSE Equity Futures'!$I:$I,'Daily NSE Equity Futures'!$A:$A,$A358)=0,"",SUMIFS('Daily NSE Equity Futures'!$I:$I,'Daily NSE Equity Futures'!$A:$A,$A358))</f>
        <v>886.93259999999998</v>
      </c>
      <c r="F358" s="6" t="str">
        <f>IF(SUMIFS('Daily BSE Equity Futures'!$I:$I,'Daily BSE Equity Futures'!$A:$A,$A358)=0,"",SUMIFS('Daily BSE Equity Futures'!$I:$I,'Daily BSE Equity Futures'!$A:$A,$A358))</f>
        <v/>
      </c>
      <c r="G358" s="6" t="str">
        <f t="shared" si="60"/>
        <v/>
      </c>
      <c r="H358" s="15" t="str">
        <f t="shared" si="61"/>
        <v/>
      </c>
      <c r="I358" s="15" t="str">
        <f t="shared" si="62"/>
        <v/>
      </c>
      <c r="J358" s="20">
        <f t="shared" si="63"/>
        <v>0.21181366272758595</v>
      </c>
      <c r="K358" s="15" t="str">
        <f t="shared" si="64"/>
        <v/>
      </c>
      <c r="L358" s="15" t="str">
        <f t="shared" si="65"/>
        <v/>
      </c>
      <c r="M358" s="15">
        <f t="shared" si="69"/>
        <v>0.18744151037972356</v>
      </c>
      <c r="N358" s="15" t="str">
        <f t="shared" si="70"/>
        <v/>
      </c>
      <c r="O358" s="15" t="str">
        <f t="shared" si="71"/>
        <v/>
      </c>
      <c r="P358" s="18">
        <f>IF(SUMIFS('Daily NSE Equity Futures'!$J:$J,'Daily NSE Equity Futures'!$A:$A,$A358)=0,"",SUMIFS('Daily NSE Equity Futures'!$J:$J,'Daily NSE Equity Futures'!$A:$A,$A358))</f>
        <v>1029633</v>
      </c>
      <c r="Q358" s="7" t="str">
        <f>IF(SUMIFS('Daily BSE Equity Futures'!$J:$J,'Daily BSE Equity Futures'!$A:$A,$A358)=0,"",SUMIFS('Daily BSE Equity Futures'!$J:$J,'Daily BSE Equity Futures'!$A:$A,$A358))</f>
        <v/>
      </c>
      <c r="R358" s="7" t="str">
        <f t="shared" si="66"/>
        <v/>
      </c>
      <c r="S358" s="19" t="str">
        <f t="shared" si="67"/>
        <v/>
      </c>
      <c r="T358" s="19" t="str">
        <f t="shared" si="68"/>
        <v/>
      </c>
    </row>
    <row r="359" spans="1:20" x14ac:dyDescent="0.2">
      <c r="A359" s="9">
        <v>44447</v>
      </c>
      <c r="B359" s="4" t="s">
        <v>221</v>
      </c>
      <c r="C359" s="8">
        <v>44440</v>
      </c>
      <c r="D359" s="4" t="s">
        <v>178</v>
      </c>
      <c r="E359" s="14">
        <f>IF(SUMIFS('Daily NSE Equity Futures'!$I:$I,'Daily NSE Equity Futures'!$A:$A,$A359)=0,"",SUMIFS('Daily NSE Equity Futures'!$I:$I,'Daily NSE Equity Futures'!$A:$A,$A359))</f>
        <v>789.09929999999997</v>
      </c>
      <c r="F359" s="6" t="str">
        <f>IF(SUMIFS('Daily BSE Equity Futures'!$I:$I,'Daily BSE Equity Futures'!$A:$A,$A359)=0,"",SUMIFS('Daily BSE Equity Futures'!$I:$I,'Daily BSE Equity Futures'!$A:$A,$A359))</f>
        <v/>
      </c>
      <c r="G359" s="6" t="str">
        <f t="shared" si="60"/>
        <v/>
      </c>
      <c r="H359" s="15" t="str">
        <f t="shared" si="61"/>
        <v/>
      </c>
      <c r="I359" s="15" t="str">
        <f t="shared" si="62"/>
        <v/>
      </c>
      <c r="J359" s="20">
        <f t="shared" si="63"/>
        <v>-1.0946777082421977E-2</v>
      </c>
      <c r="K359" s="15" t="str">
        <f t="shared" si="64"/>
        <v/>
      </c>
      <c r="L359" s="15" t="str">
        <f t="shared" si="65"/>
        <v/>
      </c>
      <c r="M359" s="15">
        <f t="shared" si="69"/>
        <v>-0.11030522499680362</v>
      </c>
      <c r="N359" s="15" t="str">
        <f t="shared" si="70"/>
        <v/>
      </c>
      <c r="O359" s="15" t="str">
        <f t="shared" si="71"/>
        <v/>
      </c>
      <c r="P359" s="18">
        <f>IF(SUMIFS('Daily NSE Equity Futures'!$J:$J,'Daily NSE Equity Futures'!$A:$A,$A359)=0,"",SUMIFS('Daily NSE Equity Futures'!$J:$J,'Daily NSE Equity Futures'!$A:$A,$A359))</f>
        <v>923782</v>
      </c>
      <c r="Q359" s="7" t="str">
        <f>IF(SUMIFS('Daily BSE Equity Futures'!$J:$J,'Daily BSE Equity Futures'!$A:$A,$A359)=0,"",SUMIFS('Daily BSE Equity Futures'!$J:$J,'Daily BSE Equity Futures'!$A:$A,$A359))</f>
        <v/>
      </c>
      <c r="R359" s="7" t="str">
        <f t="shared" si="66"/>
        <v/>
      </c>
      <c r="S359" s="19" t="str">
        <f t="shared" si="67"/>
        <v/>
      </c>
      <c r="T359" s="19" t="str">
        <f t="shared" si="68"/>
        <v/>
      </c>
    </row>
    <row r="360" spans="1:20" x14ac:dyDescent="0.2">
      <c r="A360" s="9">
        <v>44448</v>
      </c>
      <c r="B360" s="4" t="s">
        <v>224</v>
      </c>
      <c r="C360" s="8">
        <v>44440</v>
      </c>
      <c r="D360" s="4" t="s">
        <v>178</v>
      </c>
      <c r="E360" s="14">
        <f>IF(SUMIFS('Daily NSE Equity Futures'!$I:$I,'Daily NSE Equity Futures'!$A:$A,$A360)=0,"",SUMIFS('Daily NSE Equity Futures'!$I:$I,'Daily NSE Equity Futures'!$A:$A,$A360))</f>
        <v>637.4212</v>
      </c>
      <c r="F360" s="6" t="str">
        <f>IF(SUMIFS('Daily BSE Equity Futures'!$I:$I,'Daily BSE Equity Futures'!$A:$A,$A360)=0,"",SUMIFS('Daily BSE Equity Futures'!$I:$I,'Daily BSE Equity Futures'!$A:$A,$A360))</f>
        <v/>
      </c>
      <c r="G360" s="6" t="str">
        <f t="shared" si="60"/>
        <v/>
      </c>
      <c r="H360" s="15" t="str">
        <f t="shared" si="61"/>
        <v/>
      </c>
      <c r="I360" s="15" t="str">
        <f t="shared" si="62"/>
        <v/>
      </c>
      <c r="J360" s="20">
        <f t="shared" si="63"/>
        <v>-0.28465875238715033</v>
      </c>
      <c r="K360" s="15" t="str">
        <f t="shared" si="64"/>
        <v/>
      </c>
      <c r="L360" s="15" t="str">
        <f t="shared" si="65"/>
        <v/>
      </c>
      <c r="M360" s="15">
        <f t="shared" si="69"/>
        <v>-0.1922167463587916</v>
      </c>
      <c r="N360" s="15" t="str">
        <f t="shared" si="70"/>
        <v/>
      </c>
      <c r="O360" s="15" t="str">
        <f t="shared" si="71"/>
        <v/>
      </c>
      <c r="P360" s="18">
        <f>IF(SUMIFS('Daily NSE Equity Futures'!$J:$J,'Daily NSE Equity Futures'!$A:$A,$A360)=0,"",SUMIFS('Daily NSE Equity Futures'!$J:$J,'Daily NSE Equity Futures'!$A:$A,$A360))</f>
        <v>744789</v>
      </c>
      <c r="Q360" s="7" t="str">
        <f>IF(SUMIFS('Daily BSE Equity Futures'!$J:$J,'Daily BSE Equity Futures'!$A:$A,$A360)=0,"",SUMIFS('Daily BSE Equity Futures'!$J:$J,'Daily BSE Equity Futures'!$A:$A,$A360))</f>
        <v/>
      </c>
      <c r="R360" s="7" t="str">
        <f t="shared" si="66"/>
        <v/>
      </c>
      <c r="S360" s="19" t="str">
        <f t="shared" si="67"/>
        <v/>
      </c>
      <c r="T360" s="19" t="str">
        <f t="shared" si="68"/>
        <v/>
      </c>
    </row>
    <row r="361" spans="1:20" x14ac:dyDescent="0.2">
      <c r="A361" s="9">
        <v>44452</v>
      </c>
      <c r="B361" s="4" t="s">
        <v>225</v>
      </c>
      <c r="C361" s="8">
        <v>44440</v>
      </c>
      <c r="D361" s="4" t="s">
        <v>178</v>
      </c>
      <c r="E361" s="14">
        <f>IF(SUMIFS('Daily NSE Equity Futures'!$I:$I,'Daily NSE Equity Futures'!$A:$A,$A361)=0,"",SUMIFS('Daily NSE Equity Futures'!$I:$I,'Daily NSE Equity Futures'!$A:$A,$A361))</f>
        <v>662.1816</v>
      </c>
      <c r="F361" s="6" t="str">
        <f>IF(SUMIFS('Daily BSE Equity Futures'!$I:$I,'Daily BSE Equity Futures'!$A:$A,$A361)=0,"",SUMIFS('Daily BSE Equity Futures'!$I:$I,'Daily BSE Equity Futures'!$A:$A,$A361))</f>
        <v/>
      </c>
      <c r="G361" s="6" t="str">
        <f t="shared" si="60"/>
        <v/>
      </c>
      <c r="H361" s="15" t="str">
        <f t="shared" si="61"/>
        <v/>
      </c>
      <c r="I361" s="15" t="str">
        <f t="shared" si="62"/>
        <v/>
      </c>
      <c r="J361" s="20" t="str">
        <f t="shared" si="63"/>
        <v/>
      </c>
      <c r="K361" s="15" t="str">
        <f t="shared" si="64"/>
        <v/>
      </c>
      <c r="L361" s="15" t="str">
        <f t="shared" si="65"/>
        <v/>
      </c>
      <c r="M361" s="15">
        <f t="shared" si="69"/>
        <v>3.8844644639996373E-2</v>
      </c>
      <c r="N361" s="15" t="str">
        <f t="shared" si="70"/>
        <v/>
      </c>
      <c r="O361" s="15" t="str">
        <f t="shared" si="71"/>
        <v/>
      </c>
      <c r="P361" s="18">
        <f>IF(SUMIFS('Daily NSE Equity Futures'!$J:$J,'Daily NSE Equity Futures'!$A:$A,$A361)=0,"",SUMIFS('Daily NSE Equity Futures'!$J:$J,'Daily NSE Equity Futures'!$A:$A,$A361))</f>
        <v>760423</v>
      </c>
      <c r="Q361" s="7" t="str">
        <f>IF(SUMIFS('Daily BSE Equity Futures'!$J:$J,'Daily BSE Equity Futures'!$A:$A,$A361)=0,"",SUMIFS('Daily BSE Equity Futures'!$J:$J,'Daily BSE Equity Futures'!$A:$A,$A361))</f>
        <v/>
      </c>
      <c r="R361" s="7" t="str">
        <f t="shared" si="66"/>
        <v/>
      </c>
      <c r="S361" s="19" t="str">
        <f t="shared" si="67"/>
        <v/>
      </c>
      <c r="T361" s="19" t="str">
        <f t="shared" si="68"/>
        <v/>
      </c>
    </row>
    <row r="362" spans="1:20" x14ac:dyDescent="0.2">
      <c r="A362" s="9">
        <v>44453</v>
      </c>
      <c r="B362" s="4" t="s">
        <v>223</v>
      </c>
      <c r="C362" s="8">
        <v>44440</v>
      </c>
      <c r="D362" s="4" t="s">
        <v>178</v>
      </c>
      <c r="E362" s="14">
        <f>IF(SUMIFS('Daily NSE Equity Futures'!$I:$I,'Daily NSE Equity Futures'!$A:$A,$A362)=0,"",SUMIFS('Daily NSE Equity Futures'!$I:$I,'Daily NSE Equity Futures'!$A:$A,$A362))</f>
        <v>771.6671</v>
      </c>
      <c r="F362" s="6" t="str">
        <f>IF(SUMIFS('Daily BSE Equity Futures'!$I:$I,'Daily BSE Equity Futures'!$A:$A,$A362)=0,"",SUMIFS('Daily BSE Equity Futures'!$I:$I,'Daily BSE Equity Futures'!$A:$A,$A362))</f>
        <v/>
      </c>
      <c r="G362" s="6" t="str">
        <f t="shared" si="60"/>
        <v/>
      </c>
      <c r="H362" s="15" t="str">
        <f t="shared" si="61"/>
        <v/>
      </c>
      <c r="I362" s="15" t="str">
        <f t="shared" si="62"/>
        <v/>
      </c>
      <c r="J362" s="20">
        <f t="shared" si="63"/>
        <v>-0.20905536459008112</v>
      </c>
      <c r="K362" s="15" t="str">
        <f t="shared" si="64"/>
        <v/>
      </c>
      <c r="L362" s="15" t="str">
        <f t="shared" si="65"/>
        <v/>
      </c>
      <c r="M362" s="15">
        <f t="shared" si="69"/>
        <v>0.1653405953895426</v>
      </c>
      <c r="N362" s="15" t="str">
        <f t="shared" si="70"/>
        <v/>
      </c>
      <c r="O362" s="15" t="str">
        <f t="shared" si="71"/>
        <v/>
      </c>
      <c r="P362" s="18">
        <f>IF(SUMIFS('Daily NSE Equity Futures'!$J:$J,'Daily NSE Equity Futures'!$A:$A,$A362)=0,"",SUMIFS('Daily NSE Equity Futures'!$J:$J,'Daily NSE Equity Futures'!$A:$A,$A362))</f>
        <v>894479</v>
      </c>
      <c r="Q362" s="7" t="str">
        <f>IF(SUMIFS('Daily BSE Equity Futures'!$J:$J,'Daily BSE Equity Futures'!$A:$A,$A362)=0,"",SUMIFS('Daily BSE Equity Futures'!$J:$J,'Daily BSE Equity Futures'!$A:$A,$A362))</f>
        <v/>
      </c>
      <c r="R362" s="7" t="str">
        <f t="shared" si="66"/>
        <v/>
      </c>
      <c r="S362" s="19" t="str">
        <f t="shared" si="67"/>
        <v/>
      </c>
      <c r="T362" s="19" t="str">
        <f t="shared" si="68"/>
        <v/>
      </c>
    </row>
    <row r="363" spans="1:20" x14ac:dyDescent="0.2">
      <c r="A363" s="9">
        <v>44454</v>
      </c>
      <c r="B363" s="4" t="s">
        <v>221</v>
      </c>
      <c r="C363" s="8">
        <v>44440</v>
      </c>
      <c r="D363" s="4" t="s">
        <v>178</v>
      </c>
      <c r="E363" s="14">
        <f>IF(SUMIFS('Daily NSE Equity Futures'!$I:$I,'Daily NSE Equity Futures'!$A:$A,$A363)=0,"",SUMIFS('Daily NSE Equity Futures'!$I:$I,'Daily NSE Equity Futures'!$A:$A,$A363))</f>
        <v>928.95039999999995</v>
      </c>
      <c r="F363" s="6" t="str">
        <f>IF(SUMIFS('Daily BSE Equity Futures'!$I:$I,'Daily BSE Equity Futures'!$A:$A,$A363)=0,"",SUMIFS('Daily BSE Equity Futures'!$I:$I,'Daily BSE Equity Futures'!$A:$A,$A363))</f>
        <v/>
      </c>
      <c r="G363" s="6" t="str">
        <f t="shared" si="60"/>
        <v/>
      </c>
      <c r="H363" s="15" t="str">
        <f t="shared" si="61"/>
        <v/>
      </c>
      <c r="I363" s="15" t="str">
        <f t="shared" si="62"/>
        <v/>
      </c>
      <c r="J363" s="20">
        <f t="shared" si="63"/>
        <v>5.7246646164015536E-2</v>
      </c>
      <c r="K363" s="15" t="str">
        <f t="shared" si="64"/>
        <v/>
      </c>
      <c r="L363" s="15" t="str">
        <f t="shared" si="65"/>
        <v/>
      </c>
      <c r="M363" s="15">
        <f t="shared" si="69"/>
        <v>0.20382273651423</v>
      </c>
      <c r="N363" s="15" t="str">
        <f t="shared" si="70"/>
        <v/>
      </c>
      <c r="O363" s="15" t="str">
        <f t="shared" si="71"/>
        <v/>
      </c>
      <c r="P363" s="18">
        <f>IF(SUMIFS('Daily NSE Equity Futures'!$J:$J,'Daily NSE Equity Futures'!$A:$A,$A363)=0,"",SUMIFS('Daily NSE Equity Futures'!$J:$J,'Daily NSE Equity Futures'!$A:$A,$A363))</f>
        <v>1044824</v>
      </c>
      <c r="Q363" s="7" t="str">
        <f>IF(SUMIFS('Daily BSE Equity Futures'!$J:$J,'Daily BSE Equity Futures'!$A:$A,$A363)=0,"",SUMIFS('Daily BSE Equity Futures'!$J:$J,'Daily BSE Equity Futures'!$A:$A,$A363))</f>
        <v/>
      </c>
      <c r="R363" s="7" t="str">
        <f t="shared" si="66"/>
        <v/>
      </c>
      <c r="S363" s="19" t="str">
        <f t="shared" si="67"/>
        <v/>
      </c>
      <c r="T363" s="19" t="str">
        <f t="shared" si="68"/>
        <v/>
      </c>
    </row>
    <row r="364" spans="1:20" x14ac:dyDescent="0.2">
      <c r="A364" s="9">
        <v>44455</v>
      </c>
      <c r="B364" s="4" t="s">
        <v>224</v>
      </c>
      <c r="C364" s="8">
        <v>44440</v>
      </c>
      <c r="D364" s="4" t="s">
        <v>178</v>
      </c>
      <c r="E364" s="14">
        <f>IF(SUMIFS('Daily NSE Equity Futures'!$I:$I,'Daily NSE Equity Futures'!$A:$A,$A364)=0,"",SUMIFS('Daily NSE Equity Futures'!$I:$I,'Daily NSE Equity Futures'!$A:$A,$A364))</f>
        <v>1066.3833999999999</v>
      </c>
      <c r="F364" s="6" t="str">
        <f>IF(SUMIFS('Daily BSE Equity Futures'!$I:$I,'Daily BSE Equity Futures'!$A:$A,$A364)=0,"",SUMIFS('Daily BSE Equity Futures'!$I:$I,'Daily BSE Equity Futures'!$A:$A,$A364))</f>
        <v/>
      </c>
      <c r="G364" s="6" t="str">
        <f t="shared" si="60"/>
        <v/>
      </c>
      <c r="H364" s="15" t="str">
        <f t="shared" si="61"/>
        <v/>
      </c>
      <c r="I364" s="15" t="str">
        <f t="shared" si="62"/>
        <v/>
      </c>
      <c r="J364" s="20">
        <f t="shared" si="63"/>
        <v>0.24396485674583812</v>
      </c>
      <c r="K364" s="15" t="str">
        <f t="shared" si="64"/>
        <v/>
      </c>
      <c r="L364" s="15" t="str">
        <f t="shared" si="65"/>
        <v/>
      </c>
      <c r="M364" s="15">
        <f t="shared" si="69"/>
        <v>0.1479443897112267</v>
      </c>
      <c r="N364" s="15" t="str">
        <f t="shared" si="70"/>
        <v/>
      </c>
      <c r="O364" s="15" t="str">
        <f t="shared" si="71"/>
        <v/>
      </c>
      <c r="P364" s="18">
        <f>IF(SUMIFS('Daily NSE Equity Futures'!$J:$J,'Daily NSE Equity Futures'!$A:$A,$A364)=0,"",SUMIFS('Daily NSE Equity Futures'!$J:$J,'Daily NSE Equity Futures'!$A:$A,$A364))</f>
        <v>1229190</v>
      </c>
      <c r="Q364" s="7" t="str">
        <f>IF(SUMIFS('Daily BSE Equity Futures'!$J:$J,'Daily BSE Equity Futures'!$A:$A,$A364)=0,"",SUMIFS('Daily BSE Equity Futures'!$J:$J,'Daily BSE Equity Futures'!$A:$A,$A364))</f>
        <v/>
      </c>
      <c r="R364" s="7" t="str">
        <f t="shared" si="66"/>
        <v/>
      </c>
      <c r="S364" s="19" t="str">
        <f t="shared" si="67"/>
        <v/>
      </c>
      <c r="T364" s="19" t="str">
        <f t="shared" si="68"/>
        <v/>
      </c>
    </row>
    <row r="365" spans="1:20" x14ac:dyDescent="0.2">
      <c r="A365" s="9">
        <v>44456</v>
      </c>
      <c r="B365" s="4" t="s">
        <v>222</v>
      </c>
      <c r="C365" s="8">
        <v>44440</v>
      </c>
      <c r="D365" s="4" t="s">
        <v>178</v>
      </c>
      <c r="E365" s="14">
        <f>IF(SUMIFS('Daily NSE Equity Futures'!$I:$I,'Daily NSE Equity Futures'!$A:$A,$A365)=0,"",SUMIFS('Daily NSE Equity Futures'!$I:$I,'Daily NSE Equity Futures'!$A:$A,$A365))</f>
        <v>1433.3134</v>
      </c>
      <c r="F365" s="6" t="str">
        <f>IF(SUMIFS('Daily BSE Equity Futures'!$I:$I,'Daily BSE Equity Futures'!$A:$A,$A365)=0,"",SUMIFS('Daily BSE Equity Futures'!$I:$I,'Daily BSE Equity Futures'!$A:$A,$A365))</f>
        <v/>
      </c>
      <c r="G365" s="6" t="str">
        <f t="shared" si="60"/>
        <v/>
      </c>
      <c r="H365" s="15" t="str">
        <f t="shared" si="61"/>
        <v/>
      </c>
      <c r="I365" s="15" t="str">
        <f t="shared" si="62"/>
        <v/>
      </c>
      <c r="J365" s="20">
        <f t="shared" si="63"/>
        <v>0.65360710371802577</v>
      </c>
      <c r="K365" s="15" t="str">
        <f t="shared" si="64"/>
        <v/>
      </c>
      <c r="L365" s="15" t="str">
        <f t="shared" si="65"/>
        <v/>
      </c>
      <c r="M365" s="15">
        <f t="shared" si="69"/>
        <v>0.34408825193640502</v>
      </c>
      <c r="N365" s="15" t="str">
        <f t="shared" si="70"/>
        <v/>
      </c>
      <c r="O365" s="15" t="str">
        <f t="shared" si="71"/>
        <v/>
      </c>
      <c r="P365" s="18">
        <f>IF(SUMIFS('Daily NSE Equity Futures'!$J:$J,'Daily NSE Equity Futures'!$A:$A,$A365)=0,"",SUMIFS('Daily NSE Equity Futures'!$J:$J,'Daily NSE Equity Futures'!$A:$A,$A365))</f>
        <v>1616573</v>
      </c>
      <c r="Q365" s="7" t="str">
        <f>IF(SUMIFS('Daily BSE Equity Futures'!$J:$J,'Daily BSE Equity Futures'!$A:$A,$A365)=0,"",SUMIFS('Daily BSE Equity Futures'!$J:$J,'Daily BSE Equity Futures'!$A:$A,$A365))</f>
        <v/>
      </c>
      <c r="R365" s="7" t="str">
        <f t="shared" si="66"/>
        <v/>
      </c>
      <c r="S365" s="19" t="str">
        <f t="shared" si="67"/>
        <v/>
      </c>
      <c r="T365" s="19" t="str">
        <f t="shared" si="68"/>
        <v/>
      </c>
    </row>
    <row r="366" spans="1:20" x14ac:dyDescent="0.2">
      <c r="A366" s="9">
        <v>44459</v>
      </c>
      <c r="B366" s="4" t="s">
        <v>225</v>
      </c>
      <c r="C366" s="8">
        <v>44440</v>
      </c>
      <c r="D366" s="4" t="s">
        <v>178</v>
      </c>
      <c r="E366" s="14">
        <f>IF(SUMIFS('Daily NSE Equity Futures'!$I:$I,'Daily NSE Equity Futures'!$A:$A,$A366)=0,"",SUMIFS('Daily NSE Equity Futures'!$I:$I,'Daily NSE Equity Futures'!$A:$A,$A366))</f>
        <v>1131.1546000000001</v>
      </c>
      <c r="F366" s="6" t="str">
        <f>IF(SUMIFS('Daily BSE Equity Futures'!$I:$I,'Daily BSE Equity Futures'!$A:$A,$A366)=0,"",SUMIFS('Daily BSE Equity Futures'!$I:$I,'Daily BSE Equity Futures'!$A:$A,$A366))</f>
        <v/>
      </c>
      <c r="G366" s="6" t="str">
        <f t="shared" si="60"/>
        <v/>
      </c>
      <c r="H366" s="15" t="str">
        <f t="shared" si="61"/>
        <v/>
      </c>
      <c r="I366" s="15" t="str">
        <f t="shared" si="62"/>
        <v/>
      </c>
      <c r="J366" s="20" t="str">
        <f t="shared" si="63"/>
        <v/>
      </c>
      <c r="K366" s="15" t="str">
        <f t="shared" si="64"/>
        <v/>
      </c>
      <c r="L366" s="15" t="str">
        <f t="shared" si="65"/>
        <v/>
      </c>
      <c r="M366" s="15">
        <f t="shared" si="69"/>
        <v>-0.21081139686547268</v>
      </c>
      <c r="N366" s="15" t="str">
        <f t="shared" si="70"/>
        <v/>
      </c>
      <c r="O366" s="15" t="str">
        <f t="shared" si="71"/>
        <v/>
      </c>
      <c r="P366" s="18">
        <f>IF(SUMIFS('Daily NSE Equity Futures'!$J:$J,'Daily NSE Equity Futures'!$A:$A,$A366)=0,"",SUMIFS('Daily NSE Equity Futures'!$J:$J,'Daily NSE Equity Futures'!$A:$A,$A366))</f>
        <v>1300552</v>
      </c>
      <c r="Q366" s="7" t="str">
        <f>IF(SUMIFS('Daily BSE Equity Futures'!$J:$J,'Daily BSE Equity Futures'!$A:$A,$A366)=0,"",SUMIFS('Daily BSE Equity Futures'!$J:$J,'Daily BSE Equity Futures'!$A:$A,$A366))</f>
        <v/>
      </c>
      <c r="R366" s="7" t="str">
        <f t="shared" si="66"/>
        <v/>
      </c>
      <c r="S366" s="19" t="str">
        <f t="shared" si="67"/>
        <v/>
      </c>
      <c r="T366" s="19" t="str">
        <f t="shared" si="68"/>
        <v/>
      </c>
    </row>
    <row r="367" spans="1:20" x14ac:dyDescent="0.2">
      <c r="A367" s="9">
        <v>44460</v>
      </c>
      <c r="B367" s="4" t="s">
        <v>223</v>
      </c>
      <c r="C367" s="8">
        <v>44440</v>
      </c>
      <c r="D367" s="4" t="s">
        <v>178</v>
      </c>
      <c r="E367" s="14">
        <f>IF(SUMIFS('Daily NSE Equity Futures'!$I:$I,'Daily NSE Equity Futures'!$A:$A,$A367)=0,"",SUMIFS('Daily NSE Equity Futures'!$I:$I,'Daily NSE Equity Futures'!$A:$A,$A367))</f>
        <v>1195.8549</v>
      </c>
      <c r="F367" s="6" t="str">
        <f>IF(SUMIFS('Daily BSE Equity Futures'!$I:$I,'Daily BSE Equity Futures'!$A:$A,$A367)=0,"",SUMIFS('Daily BSE Equity Futures'!$I:$I,'Daily BSE Equity Futures'!$A:$A,$A367))</f>
        <v/>
      </c>
      <c r="G367" s="6" t="str">
        <f t="shared" si="60"/>
        <v/>
      </c>
      <c r="H367" s="15" t="str">
        <f t="shared" si="61"/>
        <v/>
      </c>
      <c r="I367" s="15" t="str">
        <f t="shared" si="62"/>
        <v/>
      </c>
      <c r="J367" s="20">
        <f t="shared" si="63"/>
        <v>-0.22526967741199866</v>
      </c>
      <c r="K367" s="15" t="str">
        <f t="shared" si="64"/>
        <v/>
      </c>
      <c r="L367" s="15" t="str">
        <f t="shared" si="65"/>
        <v/>
      </c>
      <c r="M367" s="15">
        <f t="shared" si="69"/>
        <v>5.7198458990486367E-2</v>
      </c>
      <c r="N367" s="15" t="str">
        <f t="shared" si="70"/>
        <v/>
      </c>
      <c r="O367" s="15" t="str">
        <f t="shared" si="71"/>
        <v/>
      </c>
      <c r="P367" s="18">
        <f>IF(SUMIFS('Daily NSE Equity Futures'!$J:$J,'Daily NSE Equity Futures'!$A:$A,$A367)=0,"",SUMIFS('Daily NSE Equity Futures'!$J:$J,'Daily NSE Equity Futures'!$A:$A,$A367))</f>
        <v>1360434</v>
      </c>
      <c r="Q367" s="7" t="str">
        <f>IF(SUMIFS('Daily BSE Equity Futures'!$J:$J,'Daily BSE Equity Futures'!$A:$A,$A367)=0,"",SUMIFS('Daily BSE Equity Futures'!$J:$J,'Daily BSE Equity Futures'!$A:$A,$A367))</f>
        <v/>
      </c>
      <c r="R367" s="7" t="str">
        <f t="shared" si="66"/>
        <v/>
      </c>
      <c r="S367" s="19" t="str">
        <f t="shared" si="67"/>
        <v/>
      </c>
      <c r="T367" s="19" t="str">
        <f t="shared" si="68"/>
        <v/>
      </c>
    </row>
    <row r="368" spans="1:20" x14ac:dyDescent="0.2">
      <c r="A368" s="9">
        <v>44461</v>
      </c>
      <c r="B368" s="4" t="s">
        <v>221</v>
      </c>
      <c r="C368" s="8">
        <v>44440</v>
      </c>
      <c r="D368" s="4" t="s">
        <v>178</v>
      </c>
      <c r="E368" s="14">
        <f>IF(SUMIFS('Daily NSE Equity Futures'!$I:$I,'Daily NSE Equity Futures'!$A:$A,$A368)=0,"",SUMIFS('Daily NSE Equity Futures'!$I:$I,'Daily NSE Equity Futures'!$A:$A,$A368))</f>
        <v>1168.8340000000001</v>
      </c>
      <c r="F368" s="6" t="str">
        <f>IF(SUMIFS('Daily BSE Equity Futures'!$I:$I,'Daily BSE Equity Futures'!$A:$A,$A368)=0,"",SUMIFS('Daily BSE Equity Futures'!$I:$I,'Daily BSE Equity Futures'!$A:$A,$A368))</f>
        <v/>
      </c>
      <c r="G368" s="6" t="str">
        <f t="shared" si="60"/>
        <v/>
      </c>
      <c r="H368" s="15" t="str">
        <f t="shared" si="61"/>
        <v/>
      </c>
      <c r="I368" s="15" t="str">
        <f t="shared" si="62"/>
        <v/>
      </c>
      <c r="J368" s="20">
        <f t="shared" si="63"/>
        <v>-0.32146535997978853</v>
      </c>
      <c r="K368" s="15" t="str">
        <f t="shared" si="64"/>
        <v/>
      </c>
      <c r="L368" s="15" t="str">
        <f t="shared" si="65"/>
        <v/>
      </c>
      <c r="M368" s="15">
        <f t="shared" si="69"/>
        <v>-2.259546705875437E-2</v>
      </c>
      <c r="N368" s="15" t="str">
        <f t="shared" si="70"/>
        <v/>
      </c>
      <c r="O368" s="15" t="str">
        <f t="shared" si="71"/>
        <v/>
      </c>
      <c r="P368" s="18">
        <f>IF(SUMIFS('Daily NSE Equity Futures'!$J:$J,'Daily NSE Equity Futures'!$A:$A,$A368)=0,"",SUMIFS('Daily NSE Equity Futures'!$J:$J,'Daily NSE Equity Futures'!$A:$A,$A368))</f>
        <v>1303726</v>
      </c>
      <c r="Q368" s="7" t="str">
        <f>IF(SUMIFS('Daily BSE Equity Futures'!$J:$J,'Daily BSE Equity Futures'!$A:$A,$A368)=0,"",SUMIFS('Daily BSE Equity Futures'!$J:$J,'Daily BSE Equity Futures'!$A:$A,$A368))</f>
        <v/>
      </c>
      <c r="R368" s="7" t="str">
        <f t="shared" si="66"/>
        <v/>
      </c>
      <c r="S368" s="19" t="str">
        <f t="shared" si="67"/>
        <v/>
      </c>
      <c r="T368" s="19" t="str">
        <f t="shared" si="68"/>
        <v/>
      </c>
    </row>
    <row r="369" spans="1:20" x14ac:dyDescent="0.2">
      <c r="A369" s="9">
        <v>44462</v>
      </c>
      <c r="B369" s="4" t="s">
        <v>224</v>
      </c>
      <c r="C369" s="8">
        <v>44440</v>
      </c>
      <c r="D369" s="4" t="s">
        <v>178</v>
      </c>
      <c r="E369" s="14">
        <f>IF(SUMIFS('Daily NSE Equity Futures'!$I:$I,'Daily NSE Equity Futures'!$A:$A,$A369)=0,"",SUMIFS('Daily NSE Equity Futures'!$I:$I,'Daily NSE Equity Futures'!$A:$A,$A369))</f>
        <v>1264.5800999999999</v>
      </c>
      <c r="F369" s="6" t="str">
        <f>IF(SUMIFS('Daily BSE Equity Futures'!$I:$I,'Daily BSE Equity Futures'!$A:$A,$A369)=0,"",SUMIFS('Daily BSE Equity Futures'!$I:$I,'Daily BSE Equity Futures'!$A:$A,$A369))</f>
        <v/>
      </c>
      <c r="G369" s="6" t="str">
        <f t="shared" si="60"/>
        <v/>
      </c>
      <c r="H369" s="15" t="str">
        <f t="shared" si="61"/>
        <v/>
      </c>
      <c r="I369" s="15" t="str">
        <f t="shared" si="62"/>
        <v/>
      </c>
      <c r="J369" s="20">
        <f t="shared" si="63"/>
        <v>-0.18857471348299359</v>
      </c>
      <c r="K369" s="15" t="str">
        <f t="shared" si="64"/>
        <v/>
      </c>
      <c r="L369" s="15" t="str">
        <f t="shared" si="65"/>
        <v/>
      </c>
      <c r="M369" s="15">
        <f t="shared" si="69"/>
        <v>8.1915909359241645E-2</v>
      </c>
      <c r="N369" s="15" t="str">
        <f t="shared" si="70"/>
        <v/>
      </c>
      <c r="O369" s="15" t="str">
        <f t="shared" si="71"/>
        <v/>
      </c>
      <c r="P369" s="18">
        <f>IF(SUMIFS('Daily NSE Equity Futures'!$J:$J,'Daily NSE Equity Futures'!$A:$A,$A369)=0,"",SUMIFS('Daily NSE Equity Futures'!$J:$J,'Daily NSE Equity Futures'!$A:$A,$A369))</f>
        <v>1392355</v>
      </c>
      <c r="Q369" s="7" t="str">
        <f>IF(SUMIFS('Daily BSE Equity Futures'!$J:$J,'Daily BSE Equity Futures'!$A:$A,$A369)=0,"",SUMIFS('Daily BSE Equity Futures'!$J:$J,'Daily BSE Equity Futures'!$A:$A,$A369))</f>
        <v/>
      </c>
      <c r="R369" s="7" t="str">
        <f t="shared" si="66"/>
        <v/>
      </c>
      <c r="S369" s="19" t="str">
        <f t="shared" si="67"/>
        <v/>
      </c>
      <c r="T369" s="19" t="str">
        <f t="shared" si="68"/>
        <v/>
      </c>
    </row>
    <row r="370" spans="1:20" x14ac:dyDescent="0.2">
      <c r="A370" s="9">
        <v>44463</v>
      </c>
      <c r="B370" s="4" t="s">
        <v>222</v>
      </c>
      <c r="C370" s="8">
        <v>44440</v>
      </c>
      <c r="D370" s="4" t="s">
        <v>178</v>
      </c>
      <c r="E370" s="14">
        <f>IF(SUMIFS('Daily NSE Equity Futures'!$I:$I,'Daily NSE Equity Futures'!$A:$A,$A370)=0,"",SUMIFS('Daily NSE Equity Futures'!$I:$I,'Daily NSE Equity Futures'!$A:$A,$A370))</f>
        <v>1449.3803</v>
      </c>
      <c r="F370" s="6" t="str">
        <f>IF(SUMIFS('Daily BSE Equity Futures'!$I:$I,'Daily BSE Equity Futures'!$A:$A,$A370)=0,"",SUMIFS('Daily BSE Equity Futures'!$I:$I,'Daily BSE Equity Futures'!$A:$A,$A370))</f>
        <v/>
      </c>
      <c r="G370" s="6" t="str">
        <f t="shared" si="60"/>
        <v/>
      </c>
      <c r="H370" s="15" t="str">
        <f t="shared" si="61"/>
        <v/>
      </c>
      <c r="I370" s="15" t="str">
        <f t="shared" si="62"/>
        <v/>
      </c>
      <c r="J370" s="20">
        <f t="shared" si="63"/>
        <v>-5.3499552407738071E-2</v>
      </c>
      <c r="K370" s="15" t="str">
        <f t="shared" si="64"/>
        <v/>
      </c>
      <c r="L370" s="15" t="str">
        <f t="shared" si="65"/>
        <v/>
      </c>
      <c r="M370" s="15">
        <f t="shared" si="69"/>
        <v>0.1461356224093675</v>
      </c>
      <c r="N370" s="15" t="str">
        <f t="shared" si="70"/>
        <v/>
      </c>
      <c r="O370" s="15" t="str">
        <f t="shared" si="71"/>
        <v/>
      </c>
      <c r="P370" s="18">
        <f>IF(SUMIFS('Daily NSE Equity Futures'!$J:$J,'Daily NSE Equity Futures'!$A:$A,$A370)=0,"",SUMIFS('Daily NSE Equity Futures'!$J:$J,'Daily NSE Equity Futures'!$A:$A,$A370))</f>
        <v>1584293</v>
      </c>
      <c r="Q370" s="7" t="str">
        <f>IF(SUMIFS('Daily BSE Equity Futures'!$J:$J,'Daily BSE Equity Futures'!$A:$A,$A370)=0,"",SUMIFS('Daily BSE Equity Futures'!$J:$J,'Daily BSE Equity Futures'!$A:$A,$A370))</f>
        <v/>
      </c>
      <c r="R370" s="7" t="str">
        <f t="shared" si="66"/>
        <v/>
      </c>
      <c r="S370" s="19" t="str">
        <f t="shared" si="67"/>
        <v/>
      </c>
      <c r="T370" s="19" t="str">
        <f t="shared" si="68"/>
        <v/>
      </c>
    </row>
    <row r="371" spans="1:20" x14ac:dyDescent="0.2">
      <c r="A371" s="9">
        <v>44466</v>
      </c>
      <c r="B371" s="4" t="s">
        <v>225</v>
      </c>
      <c r="C371" s="8">
        <v>44440</v>
      </c>
      <c r="D371" s="4" t="s">
        <v>178</v>
      </c>
      <c r="E371" s="14">
        <f>IF(SUMIFS('Daily NSE Equity Futures'!$I:$I,'Daily NSE Equity Futures'!$A:$A,$A371)=0,"",SUMIFS('Daily NSE Equity Futures'!$I:$I,'Daily NSE Equity Futures'!$A:$A,$A371))</f>
        <v>1670.0032000000001</v>
      </c>
      <c r="F371" s="6" t="str">
        <f>IF(SUMIFS('Daily BSE Equity Futures'!$I:$I,'Daily BSE Equity Futures'!$A:$A,$A371)=0,"",SUMIFS('Daily BSE Equity Futures'!$I:$I,'Daily BSE Equity Futures'!$A:$A,$A371))</f>
        <v/>
      </c>
      <c r="G371" s="6" t="str">
        <f t="shared" si="60"/>
        <v/>
      </c>
      <c r="H371" s="15" t="str">
        <f t="shared" si="61"/>
        <v/>
      </c>
      <c r="I371" s="15" t="str">
        <f t="shared" si="62"/>
        <v/>
      </c>
      <c r="J371" s="20" t="str">
        <f t="shared" si="63"/>
        <v/>
      </c>
      <c r="K371" s="15" t="str">
        <f t="shared" si="64"/>
        <v/>
      </c>
      <c r="L371" s="15" t="str">
        <f t="shared" si="65"/>
        <v/>
      </c>
      <c r="M371" s="15">
        <f t="shared" si="69"/>
        <v>0.15221877929484773</v>
      </c>
      <c r="N371" s="15" t="str">
        <f t="shared" si="70"/>
        <v/>
      </c>
      <c r="O371" s="15" t="str">
        <f t="shared" si="71"/>
        <v/>
      </c>
      <c r="P371" s="18">
        <f>IF(SUMIFS('Daily NSE Equity Futures'!$J:$J,'Daily NSE Equity Futures'!$A:$A,$A371)=0,"",SUMIFS('Daily NSE Equity Futures'!$J:$J,'Daily NSE Equity Futures'!$A:$A,$A371))</f>
        <v>1897621</v>
      </c>
      <c r="Q371" s="7" t="str">
        <f>IF(SUMIFS('Daily BSE Equity Futures'!$J:$J,'Daily BSE Equity Futures'!$A:$A,$A371)=0,"",SUMIFS('Daily BSE Equity Futures'!$J:$J,'Daily BSE Equity Futures'!$A:$A,$A371))</f>
        <v/>
      </c>
      <c r="R371" s="7" t="str">
        <f t="shared" si="66"/>
        <v/>
      </c>
      <c r="S371" s="19" t="str">
        <f t="shared" si="67"/>
        <v/>
      </c>
      <c r="T371" s="19" t="str">
        <f t="shared" si="68"/>
        <v/>
      </c>
    </row>
    <row r="372" spans="1:20" x14ac:dyDescent="0.2">
      <c r="A372" s="9">
        <v>44467</v>
      </c>
      <c r="B372" s="4" t="s">
        <v>223</v>
      </c>
      <c r="C372" s="8">
        <v>44440</v>
      </c>
      <c r="D372" s="4" t="s">
        <v>178</v>
      </c>
      <c r="E372" s="14">
        <f>IF(SUMIFS('Daily NSE Equity Futures'!$I:$I,'Daily NSE Equity Futures'!$A:$A,$A372)=0,"",SUMIFS('Daily NSE Equity Futures'!$I:$I,'Daily NSE Equity Futures'!$A:$A,$A372))</f>
        <v>2292.8845000000001</v>
      </c>
      <c r="F372" s="6" t="str">
        <f>IF(SUMIFS('Daily BSE Equity Futures'!$I:$I,'Daily BSE Equity Futures'!$A:$A,$A372)=0,"",SUMIFS('Daily BSE Equity Futures'!$I:$I,'Daily BSE Equity Futures'!$A:$A,$A372))</f>
        <v/>
      </c>
      <c r="G372" s="6" t="str">
        <f t="shared" si="60"/>
        <v/>
      </c>
      <c r="H372" s="15" t="str">
        <f t="shared" si="61"/>
        <v/>
      </c>
      <c r="I372" s="15" t="str">
        <f t="shared" si="62"/>
        <v/>
      </c>
      <c r="J372" s="20">
        <f t="shared" si="63"/>
        <v>1.7234040202936485</v>
      </c>
      <c r="K372" s="15" t="str">
        <f t="shared" si="64"/>
        <v/>
      </c>
      <c r="L372" s="15" t="str">
        <f t="shared" si="65"/>
        <v/>
      </c>
      <c r="M372" s="15">
        <f t="shared" si="69"/>
        <v>0.37298209967501861</v>
      </c>
      <c r="N372" s="15" t="str">
        <f t="shared" si="70"/>
        <v/>
      </c>
      <c r="O372" s="15" t="str">
        <f t="shared" si="71"/>
        <v/>
      </c>
      <c r="P372" s="18">
        <f>IF(SUMIFS('Daily NSE Equity Futures'!$J:$J,'Daily NSE Equity Futures'!$A:$A,$A372)=0,"",SUMIFS('Daily NSE Equity Futures'!$J:$J,'Daily NSE Equity Futures'!$A:$A,$A372))</f>
        <v>2590635</v>
      </c>
      <c r="Q372" s="7" t="str">
        <f>IF(SUMIFS('Daily BSE Equity Futures'!$J:$J,'Daily BSE Equity Futures'!$A:$A,$A372)=0,"",SUMIFS('Daily BSE Equity Futures'!$J:$J,'Daily BSE Equity Futures'!$A:$A,$A372))</f>
        <v/>
      </c>
      <c r="R372" s="7" t="str">
        <f t="shared" si="66"/>
        <v/>
      </c>
      <c r="S372" s="19" t="str">
        <f t="shared" si="67"/>
        <v/>
      </c>
      <c r="T372" s="19" t="str">
        <f t="shared" si="68"/>
        <v/>
      </c>
    </row>
    <row r="373" spans="1:20" x14ac:dyDescent="0.2">
      <c r="A373" s="9">
        <v>44468</v>
      </c>
      <c r="B373" s="4" t="s">
        <v>221</v>
      </c>
      <c r="C373" s="8">
        <v>44440</v>
      </c>
      <c r="D373" s="4" t="s">
        <v>178</v>
      </c>
      <c r="E373" s="14">
        <f>IF(SUMIFS('Daily NSE Equity Futures'!$I:$I,'Daily NSE Equity Futures'!$A:$A,$A373)=0,"",SUMIFS('Daily NSE Equity Futures'!$I:$I,'Daily NSE Equity Futures'!$A:$A,$A373))</f>
        <v>2282.9648999999999</v>
      </c>
      <c r="F373" s="6" t="str">
        <f>IF(SUMIFS('Daily BSE Equity Futures'!$I:$I,'Daily BSE Equity Futures'!$A:$A,$A373)=0,"",SUMIFS('Daily BSE Equity Futures'!$I:$I,'Daily BSE Equity Futures'!$A:$A,$A373))</f>
        <v/>
      </c>
      <c r="G373" s="6" t="str">
        <f t="shared" si="60"/>
        <v/>
      </c>
      <c r="H373" s="15" t="str">
        <f t="shared" si="61"/>
        <v/>
      </c>
      <c r="I373" s="15" t="str">
        <f t="shared" si="62"/>
        <v/>
      </c>
      <c r="J373" s="20">
        <f t="shared" si="63"/>
        <v>1.5507751157168039</v>
      </c>
      <c r="K373" s="15" t="str">
        <f t="shared" si="64"/>
        <v/>
      </c>
      <c r="L373" s="15" t="str">
        <f t="shared" si="65"/>
        <v/>
      </c>
      <c r="M373" s="15">
        <f t="shared" si="69"/>
        <v>-4.326253677409464E-3</v>
      </c>
      <c r="N373" s="15" t="str">
        <f t="shared" si="70"/>
        <v/>
      </c>
      <c r="O373" s="15" t="str">
        <f t="shared" si="71"/>
        <v/>
      </c>
      <c r="P373" s="18">
        <f>IF(SUMIFS('Daily NSE Equity Futures'!$J:$J,'Daily NSE Equity Futures'!$A:$A,$A373)=0,"",SUMIFS('Daily NSE Equity Futures'!$J:$J,'Daily NSE Equity Futures'!$A:$A,$A373))</f>
        <v>2597907</v>
      </c>
      <c r="Q373" s="7" t="str">
        <f>IF(SUMIFS('Daily BSE Equity Futures'!$J:$J,'Daily BSE Equity Futures'!$A:$A,$A373)=0,"",SUMIFS('Daily BSE Equity Futures'!$J:$J,'Daily BSE Equity Futures'!$A:$A,$A373))</f>
        <v/>
      </c>
      <c r="R373" s="7" t="str">
        <f t="shared" si="66"/>
        <v/>
      </c>
      <c r="S373" s="19" t="str">
        <f t="shared" si="67"/>
        <v/>
      </c>
      <c r="T373" s="19" t="str">
        <f t="shared" si="68"/>
        <v/>
      </c>
    </row>
    <row r="374" spans="1:20" x14ac:dyDescent="0.2">
      <c r="A374" s="9">
        <v>44469</v>
      </c>
      <c r="B374" s="4" t="s">
        <v>224</v>
      </c>
      <c r="C374" s="8">
        <v>44440</v>
      </c>
      <c r="D374" s="4" t="s">
        <v>178</v>
      </c>
      <c r="E374" s="14">
        <f>IF(SUMIFS('Daily NSE Equity Futures'!$I:$I,'Daily NSE Equity Futures'!$A:$A,$A374)=0,"",SUMIFS('Daily NSE Equity Futures'!$I:$I,'Daily NSE Equity Futures'!$A:$A,$A374))</f>
        <v>2167.3159999999998</v>
      </c>
      <c r="F374" s="6" t="str">
        <f>IF(SUMIFS('Daily BSE Equity Futures'!$I:$I,'Daily BSE Equity Futures'!$A:$A,$A374)=0,"",SUMIFS('Daily BSE Equity Futures'!$I:$I,'Daily BSE Equity Futures'!$A:$A,$A374))</f>
        <v/>
      </c>
      <c r="G374" s="6" t="str">
        <f t="shared" si="60"/>
        <v/>
      </c>
      <c r="H374" s="15" t="str">
        <f t="shared" si="61"/>
        <v/>
      </c>
      <c r="I374" s="15" t="str">
        <f t="shared" si="62"/>
        <v/>
      </c>
      <c r="J374" s="20">
        <f t="shared" si="63"/>
        <v>1.5924246449452277</v>
      </c>
      <c r="K374" s="15" t="str">
        <f t="shared" si="64"/>
        <v/>
      </c>
      <c r="L374" s="15" t="str">
        <f t="shared" si="65"/>
        <v/>
      </c>
      <c r="M374" s="15">
        <f t="shared" si="69"/>
        <v>-5.0657327232670135E-2</v>
      </c>
      <c r="N374" s="15" t="str">
        <f t="shared" si="70"/>
        <v/>
      </c>
      <c r="O374" s="15" t="str">
        <f t="shared" si="71"/>
        <v/>
      </c>
      <c r="P374" s="18">
        <f>IF(SUMIFS('Daily NSE Equity Futures'!$J:$J,'Daily NSE Equity Futures'!$A:$A,$A374)=0,"",SUMIFS('Daily NSE Equity Futures'!$J:$J,'Daily NSE Equity Futures'!$A:$A,$A374))</f>
        <v>2462965</v>
      </c>
      <c r="Q374" s="7" t="str">
        <f>IF(SUMIFS('Daily BSE Equity Futures'!$J:$J,'Daily BSE Equity Futures'!$A:$A,$A374)=0,"",SUMIFS('Daily BSE Equity Futures'!$J:$J,'Daily BSE Equity Futures'!$A:$A,$A374))</f>
        <v/>
      </c>
      <c r="R374" s="7" t="str">
        <f t="shared" si="66"/>
        <v/>
      </c>
      <c r="S374" s="19" t="str">
        <f t="shared" si="67"/>
        <v/>
      </c>
      <c r="T374" s="19" t="str">
        <f t="shared" si="68"/>
        <v/>
      </c>
    </row>
    <row r="375" spans="1:20" x14ac:dyDescent="0.2">
      <c r="A375" s="9">
        <v>44470</v>
      </c>
      <c r="B375" s="4" t="s">
        <v>222</v>
      </c>
      <c r="C375" s="8">
        <v>44470</v>
      </c>
      <c r="D375" s="4" t="s">
        <v>179</v>
      </c>
      <c r="E375" s="14">
        <f>IF(SUMIFS('Daily NSE Equity Futures'!$I:$I,'Daily NSE Equity Futures'!$A:$A,$A375)=0,"",SUMIFS('Daily NSE Equity Futures'!$I:$I,'Daily NSE Equity Futures'!$A:$A,$A375))</f>
        <v>946.20060000000001</v>
      </c>
      <c r="F375" s="6" t="str">
        <f>IF(SUMIFS('Daily BSE Equity Futures'!$I:$I,'Daily BSE Equity Futures'!$A:$A,$A375)=0,"",SUMIFS('Daily BSE Equity Futures'!$I:$I,'Daily BSE Equity Futures'!$A:$A,$A375))</f>
        <v/>
      </c>
      <c r="G375" s="6" t="str">
        <f t="shared" si="60"/>
        <v/>
      </c>
      <c r="H375" s="15" t="str">
        <f t="shared" si="61"/>
        <v/>
      </c>
      <c r="I375" s="15" t="str">
        <f t="shared" si="62"/>
        <v/>
      </c>
      <c r="J375" s="20">
        <f t="shared" si="63"/>
        <v>0.17367093820431689</v>
      </c>
      <c r="K375" s="15" t="str">
        <f t="shared" si="64"/>
        <v/>
      </c>
      <c r="L375" s="15" t="str">
        <f t="shared" si="65"/>
        <v/>
      </c>
      <c r="M375" s="15">
        <f t="shared" si="69"/>
        <v>-0.56342286957693288</v>
      </c>
      <c r="N375" s="15" t="str">
        <f t="shared" si="70"/>
        <v/>
      </c>
      <c r="O375" s="15" t="str">
        <f t="shared" si="71"/>
        <v/>
      </c>
      <c r="P375" s="18">
        <f>IF(SUMIFS('Daily NSE Equity Futures'!$J:$J,'Daily NSE Equity Futures'!$A:$A,$A375)=0,"",SUMIFS('Daily NSE Equity Futures'!$J:$J,'Daily NSE Equity Futures'!$A:$A,$A375))</f>
        <v>1078833</v>
      </c>
      <c r="Q375" s="7" t="str">
        <f>IF(SUMIFS('Daily BSE Equity Futures'!$J:$J,'Daily BSE Equity Futures'!$A:$A,$A375)=0,"",SUMIFS('Daily BSE Equity Futures'!$J:$J,'Daily BSE Equity Futures'!$A:$A,$A375))</f>
        <v/>
      </c>
      <c r="R375" s="7" t="str">
        <f t="shared" si="66"/>
        <v/>
      </c>
      <c r="S375" s="19" t="str">
        <f t="shared" si="67"/>
        <v/>
      </c>
      <c r="T375" s="19" t="str">
        <f t="shared" si="68"/>
        <v/>
      </c>
    </row>
    <row r="376" spans="1:20" x14ac:dyDescent="0.2">
      <c r="A376" s="9">
        <v>44473</v>
      </c>
      <c r="B376" s="4" t="s">
        <v>225</v>
      </c>
      <c r="C376" s="8">
        <v>44470</v>
      </c>
      <c r="D376" s="4" t="s">
        <v>179</v>
      </c>
      <c r="E376" s="14">
        <f>IF(SUMIFS('Daily NSE Equity Futures'!$I:$I,'Daily NSE Equity Futures'!$A:$A,$A376)=0,"",SUMIFS('Daily NSE Equity Futures'!$I:$I,'Daily NSE Equity Futures'!$A:$A,$A376))</f>
        <v>918.84249999999997</v>
      </c>
      <c r="F376" s="6" t="str">
        <f>IF(SUMIFS('Daily BSE Equity Futures'!$I:$I,'Daily BSE Equity Futures'!$A:$A,$A376)=0,"",SUMIFS('Daily BSE Equity Futures'!$I:$I,'Daily BSE Equity Futures'!$A:$A,$A376))</f>
        <v/>
      </c>
      <c r="G376" s="6" t="str">
        <f t="shared" si="60"/>
        <v/>
      </c>
      <c r="H376" s="15" t="str">
        <f t="shared" si="61"/>
        <v/>
      </c>
      <c r="I376" s="15" t="str">
        <f t="shared" si="62"/>
        <v/>
      </c>
      <c r="J376" s="20" t="str">
        <f t="shared" si="63"/>
        <v/>
      </c>
      <c r="K376" s="15" t="str">
        <f t="shared" si="64"/>
        <v/>
      </c>
      <c r="L376" s="15" t="str">
        <f t="shared" si="65"/>
        <v/>
      </c>
      <c r="M376" s="15">
        <f t="shared" si="69"/>
        <v>-2.8913636283891653E-2</v>
      </c>
      <c r="N376" s="15" t="str">
        <f t="shared" si="70"/>
        <v/>
      </c>
      <c r="O376" s="15" t="str">
        <f t="shared" si="71"/>
        <v/>
      </c>
      <c r="P376" s="18">
        <f>IF(SUMIFS('Daily NSE Equity Futures'!$J:$J,'Daily NSE Equity Futures'!$A:$A,$A376)=0,"",SUMIFS('Daily NSE Equity Futures'!$J:$J,'Daily NSE Equity Futures'!$A:$A,$A376))</f>
        <v>1014198</v>
      </c>
      <c r="Q376" s="7" t="str">
        <f>IF(SUMIFS('Daily BSE Equity Futures'!$J:$J,'Daily BSE Equity Futures'!$A:$A,$A376)=0,"",SUMIFS('Daily BSE Equity Futures'!$J:$J,'Daily BSE Equity Futures'!$A:$A,$A376))</f>
        <v/>
      </c>
      <c r="R376" s="7" t="str">
        <f t="shared" si="66"/>
        <v/>
      </c>
      <c r="S376" s="19" t="str">
        <f t="shared" si="67"/>
        <v/>
      </c>
      <c r="T376" s="19" t="str">
        <f t="shared" si="68"/>
        <v/>
      </c>
    </row>
    <row r="377" spans="1:20" x14ac:dyDescent="0.2">
      <c r="A377" s="9">
        <v>44474</v>
      </c>
      <c r="B377" s="4" t="s">
        <v>223</v>
      </c>
      <c r="C377" s="8">
        <v>44470</v>
      </c>
      <c r="D377" s="4" t="s">
        <v>179</v>
      </c>
      <c r="E377" s="14">
        <f>IF(SUMIFS('Daily NSE Equity Futures'!$I:$I,'Daily NSE Equity Futures'!$A:$A,$A377)=0,"",SUMIFS('Daily NSE Equity Futures'!$I:$I,'Daily NSE Equity Futures'!$A:$A,$A377))</f>
        <v>947.63</v>
      </c>
      <c r="F377" s="6" t="str">
        <f>IF(SUMIFS('Daily BSE Equity Futures'!$I:$I,'Daily BSE Equity Futures'!$A:$A,$A377)=0,"",SUMIFS('Daily BSE Equity Futures'!$I:$I,'Daily BSE Equity Futures'!$A:$A,$A377))</f>
        <v/>
      </c>
      <c r="G377" s="6" t="str">
        <f t="shared" si="60"/>
        <v/>
      </c>
      <c r="H377" s="15" t="str">
        <f t="shared" si="61"/>
        <v/>
      </c>
      <c r="I377" s="15" t="str">
        <f t="shared" si="62"/>
        <v/>
      </c>
      <c r="J377" s="20">
        <f t="shared" si="63"/>
        <v>9.7564563268609517E-2</v>
      </c>
      <c r="K377" s="15" t="str">
        <f t="shared" si="64"/>
        <v/>
      </c>
      <c r="L377" s="15" t="str">
        <f t="shared" si="65"/>
        <v/>
      </c>
      <c r="M377" s="15">
        <f t="shared" si="69"/>
        <v>3.1330179002386105E-2</v>
      </c>
      <c r="N377" s="15" t="str">
        <f t="shared" si="70"/>
        <v/>
      </c>
      <c r="O377" s="15" t="str">
        <f t="shared" si="71"/>
        <v/>
      </c>
      <c r="P377" s="18">
        <f>IF(SUMIFS('Daily NSE Equity Futures'!$J:$J,'Daily NSE Equity Futures'!$A:$A,$A377)=0,"",SUMIFS('Daily NSE Equity Futures'!$J:$J,'Daily NSE Equity Futures'!$A:$A,$A377))</f>
        <v>1029966</v>
      </c>
      <c r="Q377" s="7" t="str">
        <f>IF(SUMIFS('Daily BSE Equity Futures'!$J:$J,'Daily BSE Equity Futures'!$A:$A,$A377)=0,"",SUMIFS('Daily BSE Equity Futures'!$J:$J,'Daily BSE Equity Futures'!$A:$A,$A377))</f>
        <v/>
      </c>
      <c r="R377" s="7" t="str">
        <f t="shared" si="66"/>
        <v/>
      </c>
      <c r="S377" s="19" t="str">
        <f t="shared" si="67"/>
        <v/>
      </c>
      <c r="T377" s="19" t="str">
        <f t="shared" si="68"/>
        <v/>
      </c>
    </row>
    <row r="378" spans="1:20" x14ac:dyDescent="0.2">
      <c r="A378" s="9">
        <v>44475</v>
      </c>
      <c r="B378" s="4" t="s">
        <v>221</v>
      </c>
      <c r="C378" s="8">
        <v>44470</v>
      </c>
      <c r="D378" s="4" t="s">
        <v>179</v>
      </c>
      <c r="E378" s="14">
        <f>IF(SUMIFS('Daily NSE Equity Futures'!$I:$I,'Daily NSE Equity Futures'!$A:$A,$A378)=0,"",SUMIFS('Daily NSE Equity Futures'!$I:$I,'Daily NSE Equity Futures'!$A:$A,$A378))</f>
        <v>1171.4462000000001</v>
      </c>
      <c r="F378" s="6" t="str">
        <f>IF(SUMIFS('Daily BSE Equity Futures'!$I:$I,'Daily BSE Equity Futures'!$A:$A,$A378)=0,"",SUMIFS('Daily BSE Equity Futures'!$I:$I,'Daily BSE Equity Futures'!$A:$A,$A378))</f>
        <v/>
      </c>
      <c r="G378" s="6" t="str">
        <f t="shared" si="60"/>
        <v/>
      </c>
      <c r="H378" s="15" t="str">
        <f t="shared" si="61"/>
        <v/>
      </c>
      <c r="I378" s="15" t="str">
        <f t="shared" si="62"/>
        <v/>
      </c>
      <c r="J378" s="20">
        <f t="shared" si="63"/>
        <v>0.41473661684045049</v>
      </c>
      <c r="K378" s="15" t="str">
        <f t="shared" si="64"/>
        <v/>
      </c>
      <c r="L378" s="15" t="str">
        <f t="shared" si="65"/>
        <v/>
      </c>
      <c r="M378" s="15">
        <f t="shared" si="69"/>
        <v>0.23618521996981956</v>
      </c>
      <c r="N378" s="15" t="str">
        <f t="shared" si="70"/>
        <v/>
      </c>
      <c r="O378" s="15" t="str">
        <f t="shared" si="71"/>
        <v/>
      </c>
      <c r="P378" s="18">
        <f>IF(SUMIFS('Daily NSE Equity Futures'!$J:$J,'Daily NSE Equity Futures'!$A:$A,$A378)=0,"",SUMIFS('Daily NSE Equity Futures'!$J:$J,'Daily NSE Equity Futures'!$A:$A,$A378))</f>
        <v>1295962</v>
      </c>
      <c r="Q378" s="7" t="str">
        <f>IF(SUMIFS('Daily BSE Equity Futures'!$J:$J,'Daily BSE Equity Futures'!$A:$A,$A378)=0,"",SUMIFS('Daily BSE Equity Futures'!$J:$J,'Daily BSE Equity Futures'!$A:$A,$A378))</f>
        <v/>
      </c>
      <c r="R378" s="7" t="str">
        <f t="shared" si="66"/>
        <v/>
      </c>
      <c r="S378" s="19" t="str">
        <f t="shared" si="67"/>
        <v/>
      </c>
      <c r="T378" s="19" t="str">
        <f t="shared" si="68"/>
        <v/>
      </c>
    </row>
    <row r="379" spans="1:20" x14ac:dyDescent="0.2">
      <c r="A379" s="9">
        <v>44476</v>
      </c>
      <c r="B379" s="4" t="s">
        <v>224</v>
      </c>
      <c r="C379" s="8">
        <v>44470</v>
      </c>
      <c r="D379" s="4" t="s">
        <v>179</v>
      </c>
      <c r="E379" s="14">
        <f>IF(SUMIFS('Daily NSE Equity Futures'!$I:$I,'Daily NSE Equity Futures'!$A:$A,$A379)=0,"",SUMIFS('Daily NSE Equity Futures'!$I:$I,'Daily NSE Equity Futures'!$A:$A,$A379))</f>
        <v>1044.2519</v>
      </c>
      <c r="F379" s="6" t="str">
        <f>IF(SUMIFS('Daily BSE Equity Futures'!$I:$I,'Daily BSE Equity Futures'!$A:$A,$A379)=0,"",SUMIFS('Daily BSE Equity Futures'!$I:$I,'Daily BSE Equity Futures'!$A:$A,$A379))</f>
        <v/>
      </c>
      <c r="G379" s="6" t="str">
        <f t="shared" si="60"/>
        <v/>
      </c>
      <c r="H379" s="15" t="str">
        <f t="shared" si="61"/>
        <v/>
      </c>
      <c r="I379" s="15" t="str">
        <f t="shared" si="62"/>
        <v/>
      </c>
      <c r="J379" s="20">
        <f t="shared" si="63"/>
        <v>0.18420880140256335</v>
      </c>
      <c r="K379" s="15" t="str">
        <f t="shared" si="64"/>
        <v/>
      </c>
      <c r="L379" s="15" t="str">
        <f t="shared" si="65"/>
        <v/>
      </c>
      <c r="M379" s="15">
        <f t="shared" si="69"/>
        <v>-0.10857886602047973</v>
      </c>
      <c r="N379" s="15" t="str">
        <f t="shared" si="70"/>
        <v/>
      </c>
      <c r="O379" s="15" t="str">
        <f t="shared" si="71"/>
        <v/>
      </c>
      <c r="P379" s="18">
        <f>IF(SUMIFS('Daily NSE Equity Futures'!$J:$J,'Daily NSE Equity Futures'!$A:$A,$A379)=0,"",SUMIFS('Daily NSE Equity Futures'!$J:$J,'Daily NSE Equity Futures'!$A:$A,$A379))</f>
        <v>1142838</v>
      </c>
      <c r="Q379" s="7" t="str">
        <f>IF(SUMIFS('Daily BSE Equity Futures'!$J:$J,'Daily BSE Equity Futures'!$A:$A,$A379)=0,"",SUMIFS('Daily BSE Equity Futures'!$J:$J,'Daily BSE Equity Futures'!$A:$A,$A379))</f>
        <v/>
      </c>
      <c r="R379" s="7" t="str">
        <f t="shared" si="66"/>
        <v/>
      </c>
      <c r="S379" s="19" t="str">
        <f t="shared" si="67"/>
        <v/>
      </c>
      <c r="T379" s="19" t="str">
        <f t="shared" si="68"/>
        <v/>
      </c>
    </row>
    <row r="380" spans="1:20" x14ac:dyDescent="0.2">
      <c r="A380" s="9">
        <v>44477</v>
      </c>
      <c r="B380" s="4" t="s">
        <v>222</v>
      </c>
      <c r="C380" s="8">
        <v>44470</v>
      </c>
      <c r="D380" s="4" t="s">
        <v>179</v>
      </c>
      <c r="E380" s="14">
        <f>IF(SUMIFS('Daily NSE Equity Futures'!$I:$I,'Daily NSE Equity Futures'!$A:$A,$A380)=0,"",SUMIFS('Daily NSE Equity Futures'!$I:$I,'Daily NSE Equity Futures'!$A:$A,$A380))</f>
        <v>1064.4808</v>
      </c>
      <c r="F380" s="6" t="str">
        <f>IF(SUMIFS('Daily BSE Equity Futures'!$I:$I,'Daily BSE Equity Futures'!$A:$A,$A380)=0,"",SUMIFS('Daily BSE Equity Futures'!$I:$I,'Daily BSE Equity Futures'!$A:$A,$A380))</f>
        <v/>
      </c>
      <c r="G380" s="6" t="str">
        <f t="shared" si="60"/>
        <v/>
      </c>
      <c r="H380" s="15" t="str">
        <f t="shared" si="61"/>
        <v/>
      </c>
      <c r="I380" s="15" t="str">
        <f t="shared" si="62"/>
        <v/>
      </c>
      <c r="J380" s="20">
        <f t="shared" si="63"/>
        <v>9.7585289431604494E-2</v>
      </c>
      <c r="K380" s="15" t="str">
        <f t="shared" si="64"/>
        <v/>
      </c>
      <c r="L380" s="15" t="str">
        <f t="shared" si="65"/>
        <v/>
      </c>
      <c r="M380" s="15">
        <f t="shared" si="69"/>
        <v>1.9371666932088027E-2</v>
      </c>
      <c r="N380" s="15" t="str">
        <f t="shared" si="70"/>
        <v/>
      </c>
      <c r="O380" s="15" t="str">
        <f t="shared" si="71"/>
        <v/>
      </c>
      <c r="P380" s="18">
        <f>IF(SUMIFS('Daily NSE Equity Futures'!$J:$J,'Daily NSE Equity Futures'!$A:$A,$A380)=0,"",SUMIFS('Daily NSE Equity Futures'!$J:$J,'Daily NSE Equity Futures'!$A:$A,$A380))</f>
        <v>1156132</v>
      </c>
      <c r="Q380" s="7" t="str">
        <f>IF(SUMIFS('Daily BSE Equity Futures'!$J:$J,'Daily BSE Equity Futures'!$A:$A,$A380)=0,"",SUMIFS('Daily BSE Equity Futures'!$J:$J,'Daily BSE Equity Futures'!$A:$A,$A380))</f>
        <v/>
      </c>
      <c r="R380" s="7" t="str">
        <f t="shared" si="66"/>
        <v/>
      </c>
      <c r="S380" s="19" t="str">
        <f t="shared" si="67"/>
        <v/>
      </c>
      <c r="T380" s="19" t="str">
        <f t="shared" si="68"/>
        <v/>
      </c>
    </row>
    <row r="381" spans="1:20" x14ac:dyDescent="0.2">
      <c r="A381" s="9">
        <v>44480</v>
      </c>
      <c r="B381" s="4" t="s">
        <v>225</v>
      </c>
      <c r="C381" s="8">
        <v>44470</v>
      </c>
      <c r="D381" s="4" t="s">
        <v>179</v>
      </c>
      <c r="E381" s="14">
        <f>IF(SUMIFS('Daily NSE Equity Futures'!$I:$I,'Daily NSE Equity Futures'!$A:$A,$A381)=0,"",SUMIFS('Daily NSE Equity Futures'!$I:$I,'Daily NSE Equity Futures'!$A:$A,$A381))</f>
        <v>1091.4102</v>
      </c>
      <c r="F381" s="6" t="str">
        <f>IF(SUMIFS('Daily BSE Equity Futures'!$I:$I,'Daily BSE Equity Futures'!$A:$A,$A381)=0,"",SUMIFS('Daily BSE Equity Futures'!$I:$I,'Daily BSE Equity Futures'!$A:$A,$A381))</f>
        <v/>
      </c>
      <c r="G381" s="6" t="str">
        <f t="shared" si="60"/>
        <v/>
      </c>
      <c r="H381" s="15" t="str">
        <f t="shared" si="61"/>
        <v/>
      </c>
      <c r="I381" s="15" t="str">
        <f t="shared" si="62"/>
        <v/>
      </c>
      <c r="J381" s="20" t="str">
        <f t="shared" si="63"/>
        <v/>
      </c>
      <c r="K381" s="15" t="str">
        <f t="shared" si="64"/>
        <v/>
      </c>
      <c r="L381" s="15" t="str">
        <f t="shared" si="65"/>
        <v/>
      </c>
      <c r="M381" s="15">
        <f t="shared" si="69"/>
        <v>2.5298154743608414E-2</v>
      </c>
      <c r="N381" s="15" t="str">
        <f t="shared" si="70"/>
        <v/>
      </c>
      <c r="O381" s="15" t="str">
        <f t="shared" si="71"/>
        <v/>
      </c>
      <c r="P381" s="18">
        <f>IF(SUMIFS('Daily NSE Equity Futures'!$J:$J,'Daily NSE Equity Futures'!$A:$A,$A381)=0,"",SUMIFS('Daily NSE Equity Futures'!$J:$J,'Daily NSE Equity Futures'!$A:$A,$A381))</f>
        <v>1179664</v>
      </c>
      <c r="Q381" s="7" t="str">
        <f>IF(SUMIFS('Daily BSE Equity Futures'!$J:$J,'Daily BSE Equity Futures'!$A:$A,$A381)=0,"",SUMIFS('Daily BSE Equity Futures'!$J:$J,'Daily BSE Equity Futures'!$A:$A,$A381))</f>
        <v/>
      </c>
      <c r="R381" s="7" t="str">
        <f t="shared" si="66"/>
        <v/>
      </c>
      <c r="S381" s="19" t="str">
        <f t="shared" si="67"/>
        <v/>
      </c>
      <c r="T381" s="19" t="str">
        <f t="shared" si="68"/>
        <v/>
      </c>
    </row>
    <row r="382" spans="1:20" x14ac:dyDescent="0.2">
      <c r="A382" s="9">
        <v>44481</v>
      </c>
      <c r="B382" s="4" t="s">
        <v>223</v>
      </c>
      <c r="C382" s="8">
        <v>44470</v>
      </c>
      <c r="D382" s="4" t="s">
        <v>179</v>
      </c>
      <c r="E382" s="14">
        <f>IF(SUMIFS('Daily NSE Equity Futures'!$I:$I,'Daily NSE Equity Futures'!$A:$A,$A382)=0,"",SUMIFS('Daily NSE Equity Futures'!$I:$I,'Daily NSE Equity Futures'!$A:$A,$A382))</f>
        <v>1021.9977</v>
      </c>
      <c r="F382" s="6" t="str">
        <f>IF(SUMIFS('Daily BSE Equity Futures'!$I:$I,'Daily BSE Equity Futures'!$A:$A,$A382)=0,"",SUMIFS('Daily BSE Equity Futures'!$I:$I,'Daily BSE Equity Futures'!$A:$A,$A382))</f>
        <v/>
      </c>
      <c r="G382" s="6" t="str">
        <f t="shared" si="60"/>
        <v/>
      </c>
      <c r="H382" s="15" t="str">
        <f t="shared" si="61"/>
        <v/>
      </c>
      <c r="I382" s="15" t="str">
        <f t="shared" si="62"/>
        <v/>
      </c>
      <c r="J382" s="20">
        <f t="shared" si="63"/>
        <v>0.29851620684012103</v>
      </c>
      <c r="K382" s="15" t="str">
        <f t="shared" si="64"/>
        <v/>
      </c>
      <c r="L382" s="15" t="str">
        <f t="shared" si="65"/>
        <v/>
      </c>
      <c r="M382" s="15">
        <f t="shared" si="69"/>
        <v>-6.3598910840305556E-2</v>
      </c>
      <c r="N382" s="15" t="str">
        <f t="shared" si="70"/>
        <v/>
      </c>
      <c r="O382" s="15" t="str">
        <f t="shared" si="71"/>
        <v/>
      </c>
      <c r="P382" s="18">
        <f>IF(SUMIFS('Daily NSE Equity Futures'!$J:$J,'Daily NSE Equity Futures'!$A:$A,$A382)=0,"",SUMIFS('Daily NSE Equity Futures'!$J:$J,'Daily NSE Equity Futures'!$A:$A,$A382))</f>
        <v>1108749</v>
      </c>
      <c r="Q382" s="7" t="str">
        <f>IF(SUMIFS('Daily BSE Equity Futures'!$J:$J,'Daily BSE Equity Futures'!$A:$A,$A382)=0,"",SUMIFS('Daily BSE Equity Futures'!$J:$J,'Daily BSE Equity Futures'!$A:$A,$A382))</f>
        <v/>
      </c>
      <c r="R382" s="7" t="str">
        <f t="shared" si="66"/>
        <v/>
      </c>
      <c r="S382" s="19" t="str">
        <f t="shared" si="67"/>
        <v/>
      </c>
      <c r="T382" s="19" t="str">
        <f t="shared" si="68"/>
        <v/>
      </c>
    </row>
    <row r="383" spans="1:20" x14ac:dyDescent="0.2">
      <c r="A383" s="9">
        <v>44482</v>
      </c>
      <c r="B383" s="4" t="s">
        <v>221</v>
      </c>
      <c r="C383" s="8">
        <v>44470</v>
      </c>
      <c r="D383" s="4" t="s">
        <v>179</v>
      </c>
      <c r="E383" s="14">
        <f>IF(SUMIFS('Daily NSE Equity Futures'!$I:$I,'Daily NSE Equity Futures'!$A:$A,$A383)=0,"",SUMIFS('Daily NSE Equity Futures'!$I:$I,'Daily NSE Equity Futures'!$A:$A,$A383))</f>
        <v>1236.06</v>
      </c>
      <c r="F383" s="6" t="str">
        <f>IF(SUMIFS('Daily BSE Equity Futures'!$I:$I,'Daily BSE Equity Futures'!$A:$A,$A383)=0,"",SUMIFS('Daily BSE Equity Futures'!$I:$I,'Daily BSE Equity Futures'!$A:$A,$A383))</f>
        <v/>
      </c>
      <c r="G383" s="6" t="str">
        <f t="shared" si="60"/>
        <v/>
      </c>
      <c r="H383" s="15" t="str">
        <f t="shared" si="61"/>
        <v/>
      </c>
      <c r="I383" s="15" t="str">
        <f t="shared" si="62"/>
        <v/>
      </c>
      <c r="J383" s="20">
        <f t="shared" si="63"/>
        <v>0.5346790838857578</v>
      </c>
      <c r="K383" s="15" t="str">
        <f t="shared" si="64"/>
        <v/>
      </c>
      <c r="L383" s="15" t="str">
        <f t="shared" si="65"/>
        <v/>
      </c>
      <c r="M383" s="15">
        <f t="shared" si="69"/>
        <v>0.20945477665947765</v>
      </c>
      <c r="N383" s="15" t="str">
        <f t="shared" si="70"/>
        <v/>
      </c>
      <c r="O383" s="15" t="str">
        <f t="shared" si="71"/>
        <v/>
      </c>
      <c r="P383" s="18">
        <f>IF(SUMIFS('Daily NSE Equity Futures'!$J:$J,'Daily NSE Equity Futures'!$A:$A,$A383)=0,"",SUMIFS('Daily NSE Equity Futures'!$J:$J,'Daily NSE Equity Futures'!$A:$A,$A383))</f>
        <v>1273096</v>
      </c>
      <c r="Q383" s="7" t="str">
        <f>IF(SUMIFS('Daily BSE Equity Futures'!$J:$J,'Daily BSE Equity Futures'!$A:$A,$A383)=0,"",SUMIFS('Daily BSE Equity Futures'!$J:$J,'Daily BSE Equity Futures'!$A:$A,$A383))</f>
        <v/>
      </c>
      <c r="R383" s="7" t="str">
        <f t="shared" si="66"/>
        <v/>
      </c>
      <c r="S383" s="19" t="str">
        <f t="shared" si="67"/>
        <v/>
      </c>
      <c r="T383" s="19" t="str">
        <f t="shared" si="68"/>
        <v/>
      </c>
    </row>
    <row r="384" spans="1:20" x14ac:dyDescent="0.2">
      <c r="A384" s="9">
        <v>44483</v>
      </c>
      <c r="B384" s="4" t="s">
        <v>224</v>
      </c>
      <c r="C384" s="8">
        <v>44470</v>
      </c>
      <c r="D384" s="4" t="s">
        <v>179</v>
      </c>
      <c r="E384" s="14">
        <f>IF(SUMIFS('Daily NSE Equity Futures'!$I:$I,'Daily NSE Equity Futures'!$A:$A,$A384)=0,"",SUMIFS('Daily NSE Equity Futures'!$I:$I,'Daily NSE Equity Futures'!$A:$A,$A384))</f>
        <v>1405.9499000000001</v>
      </c>
      <c r="F384" s="6" t="str">
        <f>IF(SUMIFS('Daily BSE Equity Futures'!$I:$I,'Daily BSE Equity Futures'!$A:$A,$A384)=0,"",SUMIFS('Daily BSE Equity Futures'!$I:$I,'Daily BSE Equity Futures'!$A:$A,$A384))</f>
        <v/>
      </c>
      <c r="G384" s="6" t="str">
        <f t="shared" si="60"/>
        <v/>
      </c>
      <c r="H384" s="15" t="str">
        <f t="shared" si="61"/>
        <v/>
      </c>
      <c r="I384" s="15" t="str">
        <f t="shared" si="62"/>
        <v/>
      </c>
      <c r="J384" s="20">
        <f t="shared" si="63"/>
        <v>0.61819642704229216</v>
      </c>
      <c r="K384" s="15" t="str">
        <f t="shared" si="64"/>
        <v/>
      </c>
      <c r="L384" s="15" t="str">
        <f t="shared" si="65"/>
        <v/>
      </c>
      <c r="M384" s="15">
        <f t="shared" si="69"/>
        <v>0.13744470333155356</v>
      </c>
      <c r="N384" s="15" t="str">
        <f t="shared" si="70"/>
        <v/>
      </c>
      <c r="O384" s="15" t="str">
        <f t="shared" si="71"/>
        <v/>
      </c>
      <c r="P384" s="18">
        <f>IF(SUMIFS('Daily NSE Equity Futures'!$J:$J,'Daily NSE Equity Futures'!$A:$A,$A384)=0,"",SUMIFS('Daily NSE Equity Futures'!$J:$J,'Daily NSE Equity Futures'!$A:$A,$A384))</f>
        <v>1413440</v>
      </c>
      <c r="Q384" s="7" t="str">
        <f>IF(SUMIFS('Daily BSE Equity Futures'!$J:$J,'Daily BSE Equity Futures'!$A:$A,$A384)=0,"",SUMIFS('Daily BSE Equity Futures'!$J:$J,'Daily BSE Equity Futures'!$A:$A,$A384))</f>
        <v/>
      </c>
      <c r="R384" s="7" t="str">
        <f t="shared" si="66"/>
        <v/>
      </c>
      <c r="S384" s="19" t="str">
        <f t="shared" si="67"/>
        <v/>
      </c>
      <c r="T384" s="19" t="str">
        <f t="shared" si="68"/>
        <v/>
      </c>
    </row>
    <row r="385" spans="1:20" x14ac:dyDescent="0.2">
      <c r="A385" s="9">
        <v>44487</v>
      </c>
      <c r="B385" s="4" t="s">
        <v>225</v>
      </c>
      <c r="C385" s="8">
        <v>44470</v>
      </c>
      <c r="D385" s="4" t="s">
        <v>179</v>
      </c>
      <c r="E385" s="14">
        <f>IF(SUMIFS('Daily NSE Equity Futures'!$I:$I,'Daily NSE Equity Futures'!$A:$A,$A385)=0,"",SUMIFS('Daily NSE Equity Futures'!$I:$I,'Daily NSE Equity Futures'!$A:$A,$A385))</f>
        <v>1430.3005000000001</v>
      </c>
      <c r="F385" s="6" t="str">
        <f>IF(SUMIFS('Daily BSE Equity Futures'!$I:$I,'Daily BSE Equity Futures'!$A:$A,$A385)=0,"",SUMIFS('Daily BSE Equity Futures'!$I:$I,'Daily BSE Equity Futures'!$A:$A,$A385))</f>
        <v/>
      </c>
      <c r="G385" s="6" t="str">
        <f t="shared" si="60"/>
        <v/>
      </c>
      <c r="H385" s="15" t="str">
        <f t="shared" si="61"/>
        <v/>
      </c>
      <c r="I385" s="15" t="str">
        <f t="shared" si="62"/>
        <v/>
      </c>
      <c r="J385" s="20" t="str">
        <f t="shared" si="63"/>
        <v/>
      </c>
      <c r="K385" s="15" t="str">
        <f t="shared" si="64"/>
        <v/>
      </c>
      <c r="L385" s="15" t="str">
        <f t="shared" si="65"/>
        <v/>
      </c>
      <c r="M385" s="15">
        <f t="shared" si="69"/>
        <v>1.7319678318551635E-2</v>
      </c>
      <c r="N385" s="15" t="str">
        <f t="shared" si="70"/>
        <v/>
      </c>
      <c r="O385" s="15" t="str">
        <f t="shared" si="71"/>
        <v/>
      </c>
      <c r="P385" s="18">
        <f>IF(SUMIFS('Daily NSE Equity Futures'!$J:$J,'Daily NSE Equity Futures'!$A:$A,$A385)=0,"",SUMIFS('Daily NSE Equity Futures'!$J:$J,'Daily NSE Equity Futures'!$A:$A,$A385))</f>
        <v>1469227</v>
      </c>
      <c r="Q385" s="7" t="str">
        <f>IF(SUMIFS('Daily BSE Equity Futures'!$J:$J,'Daily BSE Equity Futures'!$A:$A,$A385)=0,"",SUMIFS('Daily BSE Equity Futures'!$J:$J,'Daily BSE Equity Futures'!$A:$A,$A385))</f>
        <v/>
      </c>
      <c r="R385" s="7" t="str">
        <f t="shared" si="66"/>
        <v/>
      </c>
      <c r="S385" s="19" t="str">
        <f t="shared" si="67"/>
        <v/>
      </c>
      <c r="T385" s="19" t="str">
        <f t="shared" si="68"/>
        <v/>
      </c>
    </row>
    <row r="386" spans="1:20" x14ac:dyDescent="0.2">
      <c r="A386" s="9">
        <v>44488</v>
      </c>
      <c r="B386" s="4" t="s">
        <v>223</v>
      </c>
      <c r="C386" s="8">
        <v>44470</v>
      </c>
      <c r="D386" s="4" t="s">
        <v>179</v>
      </c>
      <c r="E386" s="14">
        <f>IF(SUMIFS('Daily NSE Equity Futures'!$I:$I,'Daily NSE Equity Futures'!$A:$A,$A386)=0,"",SUMIFS('Daily NSE Equity Futures'!$I:$I,'Daily NSE Equity Futures'!$A:$A,$A386))</f>
        <v>1657.6957</v>
      </c>
      <c r="F386" s="6" t="str">
        <f>IF(SUMIFS('Daily BSE Equity Futures'!$I:$I,'Daily BSE Equity Futures'!$A:$A,$A386)=0,"",SUMIFS('Daily BSE Equity Futures'!$I:$I,'Daily BSE Equity Futures'!$A:$A,$A386))</f>
        <v/>
      </c>
      <c r="G386" s="6" t="str">
        <f t="shared" ref="G386:G449" si="72">IF(OR(E386="",F386=""),"",E386+F386)</f>
        <v/>
      </c>
      <c r="H386" s="15" t="str">
        <f t="shared" ref="H386:H449" si="73">IF(G386="","",E386/G386)</f>
        <v/>
      </c>
      <c r="I386" s="15" t="str">
        <f t="shared" ref="I386:I449" si="74">IF(G386="","",F386/G386)</f>
        <v/>
      </c>
      <c r="J386" s="20">
        <f t="shared" ref="J386:J449" si="75">IFERROR(IF(OR(E386="",INDEX(E:E,MATCH(DATE(YEAR($A386)-1,MONTH($A386),DAY($A386)),$A:$A,0))=""),"",E386/INDEX(E:E,MATCH(DATE(YEAR($A386)-1,MONTH($A386),DAY($A386)),$A:$A,0))-1),"")</f>
        <v>0.91732576718096981</v>
      </c>
      <c r="K386" s="15" t="str">
        <f t="shared" ref="K386:K449" si="76">IFERROR(IF(OR(F386="",INDEX(F:F,MATCH(DATE(YEAR($A386)-1,MONTH($A386),DAY($A386)),$A:$A,0))=""),"",F386/INDEX(F:F,MATCH(DATE(YEAR($A386)-1,MONTH($A386),DAY($A386)),$A:$A,0))-1),"")</f>
        <v/>
      </c>
      <c r="L386" s="15" t="str">
        <f t="shared" ref="L386:L449" si="77">IFERROR(IF(OR(G386="",INDEX(G:G,MATCH(DATE(YEAR($A386)-1,MONTH($A386),DAY($A386)),$A:$A,0))=""),"",G386/INDEX(G:G,MATCH(DATE(YEAR($A386)-1,MONTH($A386),DAY($A386)),$A:$A,0))-1),"")</f>
        <v/>
      </c>
      <c r="M386" s="15">
        <f t="shared" si="69"/>
        <v>0.1589842134572419</v>
      </c>
      <c r="N386" s="15" t="str">
        <f t="shared" si="70"/>
        <v/>
      </c>
      <c r="O386" s="15" t="str">
        <f t="shared" si="71"/>
        <v/>
      </c>
      <c r="P386" s="18">
        <f>IF(SUMIFS('Daily NSE Equity Futures'!$J:$J,'Daily NSE Equity Futures'!$A:$A,$A386)=0,"",SUMIFS('Daily NSE Equity Futures'!$J:$J,'Daily NSE Equity Futures'!$A:$A,$A386))</f>
        <v>1685624</v>
      </c>
      <c r="Q386" s="7" t="str">
        <f>IF(SUMIFS('Daily BSE Equity Futures'!$J:$J,'Daily BSE Equity Futures'!$A:$A,$A386)=0,"",SUMIFS('Daily BSE Equity Futures'!$J:$J,'Daily BSE Equity Futures'!$A:$A,$A386))</f>
        <v/>
      </c>
      <c r="R386" s="7" t="str">
        <f t="shared" ref="R386:R449" si="78">IF(OR(P386="",Q386=""),"",P386+Q386)</f>
        <v/>
      </c>
      <c r="S386" s="19" t="str">
        <f t="shared" ref="S386:S449" si="79">IF(R386="","",P386/R386)</f>
        <v/>
      </c>
      <c r="T386" s="19" t="str">
        <f t="shared" ref="T386:T449" si="80">IF(R386="","",Q386/R386)</f>
        <v/>
      </c>
    </row>
    <row r="387" spans="1:20" x14ac:dyDescent="0.2">
      <c r="A387" s="9">
        <v>44489</v>
      </c>
      <c r="B387" s="4" t="s">
        <v>221</v>
      </c>
      <c r="C387" s="8">
        <v>44470</v>
      </c>
      <c r="D387" s="4" t="s">
        <v>179</v>
      </c>
      <c r="E387" s="14">
        <f>IF(SUMIFS('Daily NSE Equity Futures'!$I:$I,'Daily NSE Equity Futures'!$A:$A,$A387)=0,"",SUMIFS('Daily NSE Equity Futures'!$I:$I,'Daily NSE Equity Futures'!$A:$A,$A387))</f>
        <v>1498.7412999999999</v>
      </c>
      <c r="F387" s="6" t="str">
        <f>IF(SUMIFS('Daily BSE Equity Futures'!$I:$I,'Daily BSE Equity Futures'!$A:$A,$A387)=0,"",SUMIFS('Daily BSE Equity Futures'!$I:$I,'Daily BSE Equity Futures'!$A:$A,$A387))</f>
        <v/>
      </c>
      <c r="G387" s="6" t="str">
        <f t="shared" si="72"/>
        <v/>
      </c>
      <c r="H387" s="15" t="str">
        <f t="shared" si="73"/>
        <v/>
      </c>
      <c r="I387" s="15" t="str">
        <f t="shared" si="74"/>
        <v/>
      </c>
      <c r="J387" s="20">
        <f t="shared" si="75"/>
        <v>0.88596333049404286</v>
      </c>
      <c r="K387" s="15" t="str">
        <f t="shared" si="76"/>
        <v/>
      </c>
      <c r="L387" s="15" t="str">
        <f t="shared" si="77"/>
        <v/>
      </c>
      <c r="M387" s="15">
        <f t="shared" ref="M387:M450" si="81">IF(OR(E387="",E386=""),"",E387/E386-1)</f>
        <v>-9.5888768970083027E-2</v>
      </c>
      <c r="N387" s="15" t="str">
        <f t="shared" ref="N387:N450" si="82">IF(OR(F387="",F386=""),"",F387/F386-1)</f>
        <v/>
      </c>
      <c r="O387" s="15" t="str">
        <f t="shared" ref="O387:O450" si="83">IF(OR(G387="",G386=""),"",G387/G386-1)</f>
        <v/>
      </c>
      <c r="P387" s="18">
        <f>IF(SUMIFS('Daily NSE Equity Futures'!$J:$J,'Daily NSE Equity Futures'!$A:$A,$A387)=0,"",SUMIFS('Daily NSE Equity Futures'!$J:$J,'Daily NSE Equity Futures'!$A:$A,$A387))</f>
        <v>1581846</v>
      </c>
      <c r="Q387" s="7" t="str">
        <f>IF(SUMIFS('Daily BSE Equity Futures'!$J:$J,'Daily BSE Equity Futures'!$A:$A,$A387)=0,"",SUMIFS('Daily BSE Equity Futures'!$J:$J,'Daily BSE Equity Futures'!$A:$A,$A387))</f>
        <v/>
      </c>
      <c r="R387" s="7" t="str">
        <f t="shared" si="78"/>
        <v/>
      </c>
      <c r="S387" s="19" t="str">
        <f t="shared" si="79"/>
        <v/>
      </c>
      <c r="T387" s="19" t="str">
        <f t="shared" si="80"/>
        <v/>
      </c>
    </row>
    <row r="388" spans="1:20" x14ac:dyDescent="0.2">
      <c r="A388" s="9">
        <v>44490</v>
      </c>
      <c r="B388" s="4" t="s">
        <v>224</v>
      </c>
      <c r="C388" s="8">
        <v>44470</v>
      </c>
      <c r="D388" s="4" t="s">
        <v>179</v>
      </c>
      <c r="E388" s="14">
        <f>IF(SUMIFS('Daily NSE Equity Futures'!$I:$I,'Daily NSE Equity Futures'!$A:$A,$A388)=0,"",SUMIFS('Daily NSE Equity Futures'!$I:$I,'Daily NSE Equity Futures'!$A:$A,$A388))</f>
        <v>1480.3859</v>
      </c>
      <c r="F388" s="6">
        <f>IF(SUMIFS('Daily BSE Equity Futures'!$I:$I,'Daily BSE Equity Futures'!$A:$A,$A388)=0,"",SUMIFS('Daily BSE Equity Futures'!$I:$I,'Daily BSE Equity Futures'!$A:$A,$A388))</f>
        <v>3.8E-3</v>
      </c>
      <c r="G388" s="6">
        <f t="shared" si="72"/>
        <v>1480.3896999999999</v>
      </c>
      <c r="H388" s="15">
        <f t="shared" si="73"/>
        <v>0.99999743310832279</v>
      </c>
      <c r="I388" s="15">
        <f t="shared" si="74"/>
        <v>2.5668916772387702E-6</v>
      </c>
      <c r="J388" s="20">
        <f t="shared" si="75"/>
        <v>0.26485996053811234</v>
      </c>
      <c r="K388" s="15">
        <f t="shared" si="76"/>
        <v>-0.9933809440863961</v>
      </c>
      <c r="L388" s="15">
        <f t="shared" si="77"/>
        <v>0.26424307317391427</v>
      </c>
      <c r="M388" s="15">
        <f t="shared" si="81"/>
        <v>-1.2247210375800011E-2</v>
      </c>
      <c r="N388" s="15" t="str">
        <f t="shared" si="82"/>
        <v/>
      </c>
      <c r="O388" s="15" t="str">
        <f t="shared" si="83"/>
        <v/>
      </c>
      <c r="P388" s="18">
        <f>IF(SUMIFS('Daily NSE Equity Futures'!$J:$J,'Daily NSE Equity Futures'!$A:$A,$A388)=0,"",SUMIFS('Daily NSE Equity Futures'!$J:$J,'Daily NSE Equity Futures'!$A:$A,$A388))</f>
        <v>1608342</v>
      </c>
      <c r="Q388" s="7">
        <f>IF(SUMIFS('Daily BSE Equity Futures'!$J:$J,'Daily BSE Equity Futures'!$A:$A,$A388)=0,"",SUMIFS('Daily BSE Equity Futures'!$J:$J,'Daily BSE Equity Futures'!$A:$A,$A388))</f>
        <v>4</v>
      </c>
      <c r="R388" s="7">
        <f t="shared" si="78"/>
        <v>1608346</v>
      </c>
      <c r="S388" s="19">
        <f t="shared" si="79"/>
        <v>0.99999751297295481</v>
      </c>
      <c r="T388" s="19">
        <f t="shared" si="80"/>
        <v>2.4870270451756029E-6</v>
      </c>
    </row>
    <row r="389" spans="1:20" x14ac:dyDescent="0.2">
      <c r="A389" s="9">
        <v>44491</v>
      </c>
      <c r="B389" s="4" t="s">
        <v>222</v>
      </c>
      <c r="C389" s="8">
        <v>44470</v>
      </c>
      <c r="D389" s="4" t="s">
        <v>179</v>
      </c>
      <c r="E389" s="14">
        <f>IF(SUMIFS('Daily NSE Equity Futures'!$I:$I,'Daily NSE Equity Futures'!$A:$A,$A389)=0,"",SUMIFS('Daily NSE Equity Futures'!$I:$I,'Daily NSE Equity Futures'!$A:$A,$A389))</f>
        <v>1650.3137999999999</v>
      </c>
      <c r="F389" s="6">
        <f>IF(SUMIFS('Daily BSE Equity Futures'!$I:$I,'Daily BSE Equity Futures'!$A:$A,$A389)=0,"",SUMIFS('Daily BSE Equity Futures'!$I:$I,'Daily BSE Equity Futures'!$A:$A,$A389))</f>
        <v>5.7000000000000002E-3</v>
      </c>
      <c r="G389" s="6">
        <f t="shared" si="72"/>
        <v>1650.3194999999998</v>
      </c>
      <c r="H389" s="15">
        <f t="shared" si="73"/>
        <v>0.99999654612334166</v>
      </c>
      <c r="I389" s="15">
        <f t="shared" si="74"/>
        <v>3.4538766584288684E-6</v>
      </c>
      <c r="J389" s="20">
        <f t="shared" si="75"/>
        <v>0.64645516766905065</v>
      </c>
      <c r="K389" s="15">
        <f t="shared" si="76"/>
        <v>-0.99173433874709982</v>
      </c>
      <c r="L389" s="15">
        <f t="shared" si="77"/>
        <v>0.64532888841565739</v>
      </c>
      <c r="M389" s="15">
        <f t="shared" si="81"/>
        <v>0.11478621891764829</v>
      </c>
      <c r="N389" s="15">
        <f t="shared" si="82"/>
        <v>0.5</v>
      </c>
      <c r="O389" s="15">
        <f t="shared" si="83"/>
        <v>0.11478720771969697</v>
      </c>
      <c r="P389" s="18">
        <f>IF(SUMIFS('Daily NSE Equity Futures'!$J:$J,'Daily NSE Equity Futures'!$A:$A,$A389)=0,"",SUMIFS('Daily NSE Equity Futures'!$J:$J,'Daily NSE Equity Futures'!$A:$A,$A389))</f>
        <v>1812028</v>
      </c>
      <c r="Q389" s="7">
        <f>IF(SUMIFS('Daily BSE Equity Futures'!$J:$J,'Daily BSE Equity Futures'!$A:$A,$A389)=0,"",SUMIFS('Daily BSE Equity Futures'!$J:$J,'Daily BSE Equity Futures'!$A:$A,$A389))</f>
        <v>6</v>
      </c>
      <c r="R389" s="7">
        <f t="shared" si="78"/>
        <v>1812034</v>
      </c>
      <c r="S389" s="19">
        <f t="shared" si="79"/>
        <v>0.99999668880385251</v>
      </c>
      <c r="T389" s="19">
        <f t="shared" si="80"/>
        <v>3.3111961475336556E-6</v>
      </c>
    </row>
    <row r="390" spans="1:20" x14ac:dyDescent="0.2">
      <c r="A390" s="9">
        <v>44494</v>
      </c>
      <c r="B390" s="4" t="s">
        <v>225</v>
      </c>
      <c r="C390" s="8">
        <v>44470</v>
      </c>
      <c r="D390" s="4" t="s">
        <v>179</v>
      </c>
      <c r="E390" s="14">
        <f>IF(SUMIFS('Daily NSE Equity Futures'!$I:$I,'Daily NSE Equity Futures'!$A:$A,$A390)=0,"",SUMIFS('Daily NSE Equity Futures'!$I:$I,'Daily NSE Equity Futures'!$A:$A,$A390))</f>
        <v>2289.3636000000001</v>
      </c>
      <c r="F390" s="6">
        <f>IF(SUMIFS('Daily BSE Equity Futures'!$I:$I,'Daily BSE Equity Futures'!$A:$A,$A390)=0,"",SUMIFS('Daily BSE Equity Futures'!$I:$I,'Daily BSE Equity Futures'!$A:$A,$A390))</f>
        <v>5.7000000000000002E-3</v>
      </c>
      <c r="G390" s="6">
        <f t="shared" si="72"/>
        <v>2289.3693000000003</v>
      </c>
      <c r="H390" s="15">
        <f t="shared" si="73"/>
        <v>0.99999751023131123</v>
      </c>
      <c r="I390" s="15">
        <f t="shared" si="74"/>
        <v>2.4897686886951788E-6</v>
      </c>
      <c r="J390" s="20" t="str">
        <f t="shared" si="75"/>
        <v/>
      </c>
      <c r="K390" s="15" t="str">
        <f t="shared" si="76"/>
        <v/>
      </c>
      <c r="L390" s="15" t="str">
        <f t="shared" si="77"/>
        <v/>
      </c>
      <c r="M390" s="15">
        <f t="shared" si="81"/>
        <v>0.38722926512521449</v>
      </c>
      <c r="N390" s="15">
        <f t="shared" si="82"/>
        <v>0</v>
      </c>
      <c r="O390" s="15">
        <f t="shared" si="83"/>
        <v>0.38722792768309433</v>
      </c>
      <c r="P390" s="18">
        <f>IF(SUMIFS('Daily NSE Equity Futures'!$J:$J,'Daily NSE Equity Futures'!$A:$A,$A390)=0,"",SUMIFS('Daily NSE Equity Futures'!$J:$J,'Daily NSE Equity Futures'!$A:$A,$A390))</f>
        <v>2502444</v>
      </c>
      <c r="Q390" s="7">
        <f>IF(SUMIFS('Daily BSE Equity Futures'!$J:$J,'Daily BSE Equity Futures'!$A:$A,$A390)=0,"",SUMIFS('Daily BSE Equity Futures'!$J:$J,'Daily BSE Equity Futures'!$A:$A,$A390))</f>
        <v>6</v>
      </c>
      <c r="R390" s="7">
        <f t="shared" si="78"/>
        <v>2502450</v>
      </c>
      <c r="S390" s="19">
        <f t="shared" si="79"/>
        <v>0.99999760234969726</v>
      </c>
      <c r="T390" s="19">
        <f t="shared" si="80"/>
        <v>2.3976503027033506E-6</v>
      </c>
    </row>
    <row r="391" spans="1:20" x14ac:dyDescent="0.2">
      <c r="A391" s="9">
        <v>44495</v>
      </c>
      <c r="B391" s="4" t="s">
        <v>223</v>
      </c>
      <c r="C391" s="8">
        <v>44470</v>
      </c>
      <c r="D391" s="4" t="s">
        <v>179</v>
      </c>
      <c r="E391" s="14">
        <f>IF(SUMIFS('Daily NSE Equity Futures'!$I:$I,'Daily NSE Equity Futures'!$A:$A,$A391)=0,"",SUMIFS('Daily NSE Equity Futures'!$I:$I,'Daily NSE Equity Futures'!$A:$A,$A391))</f>
        <v>2346.0684999999999</v>
      </c>
      <c r="F391" s="6">
        <f>IF(SUMIFS('Daily BSE Equity Futures'!$I:$I,'Daily BSE Equity Futures'!$A:$A,$A391)=0,"",SUMIFS('Daily BSE Equity Futures'!$I:$I,'Daily BSE Equity Futures'!$A:$A,$A391))</f>
        <v>5.7000000000000002E-3</v>
      </c>
      <c r="G391" s="6">
        <f t="shared" si="72"/>
        <v>2346.0742</v>
      </c>
      <c r="H391" s="15">
        <f t="shared" si="73"/>
        <v>0.99999757040932458</v>
      </c>
      <c r="I391" s="15">
        <f t="shared" si="74"/>
        <v>2.4295906753503364E-6</v>
      </c>
      <c r="J391" s="20">
        <f t="shared" si="75"/>
        <v>0.67884881849633771</v>
      </c>
      <c r="K391" s="15">
        <f t="shared" si="76"/>
        <v>-0.98907627443464929</v>
      </c>
      <c r="L391" s="15">
        <f t="shared" si="77"/>
        <v>0.67822624678573695</v>
      </c>
      <c r="M391" s="15">
        <f t="shared" si="81"/>
        <v>2.4768848425824386E-2</v>
      </c>
      <c r="N391" s="15">
        <f t="shared" si="82"/>
        <v>0</v>
      </c>
      <c r="O391" s="15">
        <f t="shared" si="83"/>
        <v>2.4768786757121131E-2</v>
      </c>
      <c r="P391" s="18">
        <f>IF(SUMIFS('Daily NSE Equity Futures'!$J:$J,'Daily NSE Equity Futures'!$A:$A,$A391)=0,"",SUMIFS('Daily NSE Equity Futures'!$J:$J,'Daily NSE Equity Futures'!$A:$A,$A391))</f>
        <v>2573678</v>
      </c>
      <c r="Q391" s="7">
        <f>IF(SUMIFS('Daily BSE Equity Futures'!$J:$J,'Daily BSE Equity Futures'!$A:$A,$A391)=0,"",SUMIFS('Daily BSE Equity Futures'!$J:$J,'Daily BSE Equity Futures'!$A:$A,$A391))</f>
        <v>6</v>
      </c>
      <c r="R391" s="7">
        <f t="shared" si="78"/>
        <v>2573684</v>
      </c>
      <c r="S391" s="19">
        <f t="shared" si="79"/>
        <v>0.99999766871146578</v>
      </c>
      <c r="T391" s="19">
        <f t="shared" si="80"/>
        <v>2.3312885342567308E-6</v>
      </c>
    </row>
    <row r="392" spans="1:20" x14ac:dyDescent="0.2">
      <c r="A392" s="9">
        <v>44496</v>
      </c>
      <c r="B392" s="4" t="s">
        <v>221</v>
      </c>
      <c r="C392" s="8">
        <v>44470</v>
      </c>
      <c r="D392" s="4" t="s">
        <v>179</v>
      </c>
      <c r="E392" s="14">
        <f>IF(SUMIFS('Daily NSE Equity Futures'!$I:$I,'Daily NSE Equity Futures'!$A:$A,$A392)=0,"",SUMIFS('Daily NSE Equity Futures'!$I:$I,'Daily NSE Equity Futures'!$A:$A,$A392))</f>
        <v>2224.8993999999998</v>
      </c>
      <c r="F392" s="6">
        <f>IF(SUMIFS('Daily BSE Equity Futures'!$I:$I,'Daily BSE Equity Futures'!$A:$A,$A392)=0,"",SUMIFS('Daily BSE Equity Futures'!$I:$I,'Daily BSE Equity Futures'!$A:$A,$A392))</f>
        <v>1.9E-3</v>
      </c>
      <c r="G392" s="6">
        <f t="shared" si="72"/>
        <v>2224.9013</v>
      </c>
      <c r="H392" s="15">
        <f t="shared" si="73"/>
        <v>0.99999914602953388</v>
      </c>
      <c r="I392" s="15">
        <f t="shared" si="74"/>
        <v>8.5397046601572846E-7</v>
      </c>
      <c r="J392" s="20">
        <f t="shared" si="75"/>
        <v>0.31956765331889803</v>
      </c>
      <c r="K392" s="15">
        <f t="shared" si="76"/>
        <v>-0.98870392390011885</v>
      </c>
      <c r="L392" s="15">
        <f t="shared" si="77"/>
        <v>0.31943715591926058</v>
      </c>
      <c r="M392" s="15">
        <f t="shared" si="81"/>
        <v>-5.1647724693460573E-2</v>
      </c>
      <c r="N392" s="15">
        <f t="shared" si="82"/>
        <v>-0.66666666666666674</v>
      </c>
      <c r="O392" s="15">
        <f t="shared" si="83"/>
        <v>-5.164921893774721E-2</v>
      </c>
      <c r="P392" s="18">
        <f>IF(SUMIFS('Daily NSE Equity Futures'!$J:$J,'Daily NSE Equity Futures'!$A:$A,$A392)=0,"",SUMIFS('Daily NSE Equity Futures'!$J:$J,'Daily NSE Equity Futures'!$A:$A,$A392))</f>
        <v>2440453</v>
      </c>
      <c r="Q392" s="7">
        <f>IF(SUMIFS('Daily BSE Equity Futures'!$J:$J,'Daily BSE Equity Futures'!$A:$A,$A392)=0,"",SUMIFS('Daily BSE Equity Futures'!$J:$J,'Daily BSE Equity Futures'!$A:$A,$A392))</f>
        <v>2</v>
      </c>
      <c r="R392" s="7">
        <f t="shared" si="78"/>
        <v>2440455</v>
      </c>
      <c r="S392" s="19">
        <f t="shared" si="79"/>
        <v>0.99999918048068903</v>
      </c>
      <c r="T392" s="19">
        <f t="shared" si="80"/>
        <v>8.1951931094816339E-7</v>
      </c>
    </row>
    <row r="393" spans="1:20" x14ac:dyDescent="0.2">
      <c r="A393" s="9">
        <v>44497</v>
      </c>
      <c r="B393" s="4" t="s">
        <v>224</v>
      </c>
      <c r="C393" s="8">
        <v>44470</v>
      </c>
      <c r="D393" s="4" t="s">
        <v>179</v>
      </c>
      <c r="E393" s="14">
        <f>IF(SUMIFS('Daily NSE Equity Futures'!$I:$I,'Daily NSE Equity Futures'!$A:$A,$A393)=0,"",SUMIFS('Daily NSE Equity Futures'!$I:$I,'Daily NSE Equity Futures'!$A:$A,$A393))</f>
        <v>2572.8177999999998</v>
      </c>
      <c r="F393" s="6" t="str">
        <f>IF(SUMIFS('Daily BSE Equity Futures'!$I:$I,'Daily BSE Equity Futures'!$A:$A,$A393)=0,"",SUMIFS('Daily BSE Equity Futures'!$I:$I,'Daily BSE Equity Futures'!$A:$A,$A393))</f>
        <v/>
      </c>
      <c r="G393" s="6" t="str">
        <f t="shared" si="72"/>
        <v/>
      </c>
      <c r="H393" s="15" t="str">
        <f t="shared" si="73"/>
        <v/>
      </c>
      <c r="I393" s="15" t="str">
        <f t="shared" si="74"/>
        <v/>
      </c>
      <c r="J393" s="20">
        <f t="shared" si="75"/>
        <v>0.50006521343801436</v>
      </c>
      <c r="K393" s="15" t="str">
        <f t="shared" si="76"/>
        <v/>
      </c>
      <c r="L393" s="15" t="str">
        <f t="shared" si="77"/>
        <v/>
      </c>
      <c r="M393" s="15">
        <f t="shared" si="81"/>
        <v>0.15637489047819431</v>
      </c>
      <c r="N393" s="15" t="str">
        <f t="shared" si="82"/>
        <v/>
      </c>
      <c r="O393" s="15" t="str">
        <f t="shared" si="83"/>
        <v/>
      </c>
      <c r="P393" s="18">
        <f>IF(SUMIFS('Daily NSE Equity Futures'!$J:$J,'Daily NSE Equity Futures'!$A:$A,$A393)=0,"",SUMIFS('Daily NSE Equity Futures'!$J:$J,'Daily NSE Equity Futures'!$A:$A,$A393))</f>
        <v>2847268</v>
      </c>
      <c r="Q393" s="7" t="str">
        <f>IF(SUMIFS('Daily BSE Equity Futures'!$J:$J,'Daily BSE Equity Futures'!$A:$A,$A393)=0,"",SUMIFS('Daily BSE Equity Futures'!$J:$J,'Daily BSE Equity Futures'!$A:$A,$A393))</f>
        <v/>
      </c>
      <c r="R393" s="7" t="str">
        <f t="shared" si="78"/>
        <v/>
      </c>
      <c r="S393" s="19" t="str">
        <f t="shared" si="79"/>
        <v/>
      </c>
      <c r="T393" s="19" t="str">
        <f t="shared" si="80"/>
        <v/>
      </c>
    </row>
    <row r="394" spans="1:20" x14ac:dyDescent="0.2">
      <c r="A394" s="9">
        <v>44498</v>
      </c>
      <c r="B394" s="4" t="s">
        <v>222</v>
      </c>
      <c r="C394" s="8">
        <v>44470</v>
      </c>
      <c r="D394" s="4" t="s">
        <v>179</v>
      </c>
      <c r="E394" s="14">
        <f>IF(SUMIFS('Daily NSE Equity Futures'!$I:$I,'Daily NSE Equity Futures'!$A:$A,$A394)=0,"",SUMIFS('Daily NSE Equity Futures'!$I:$I,'Daily NSE Equity Futures'!$A:$A,$A394))</f>
        <v>1335.5265999999999</v>
      </c>
      <c r="F394" s="6" t="str">
        <f>IF(SUMIFS('Daily BSE Equity Futures'!$I:$I,'Daily BSE Equity Futures'!$A:$A,$A394)=0,"",SUMIFS('Daily BSE Equity Futures'!$I:$I,'Daily BSE Equity Futures'!$A:$A,$A394))</f>
        <v/>
      </c>
      <c r="G394" s="6" t="str">
        <f t="shared" si="72"/>
        <v/>
      </c>
      <c r="H394" s="15" t="str">
        <f t="shared" si="73"/>
        <v/>
      </c>
      <c r="I394" s="15" t="str">
        <f t="shared" si="74"/>
        <v/>
      </c>
      <c r="J394" s="20">
        <f t="shared" si="75"/>
        <v>-0.10217960635040491</v>
      </c>
      <c r="K394" s="15" t="str">
        <f t="shared" si="76"/>
        <v/>
      </c>
      <c r="L394" s="15" t="str">
        <f t="shared" si="77"/>
        <v/>
      </c>
      <c r="M394" s="15">
        <f t="shared" si="81"/>
        <v>-0.48090898624846268</v>
      </c>
      <c r="N394" s="15" t="str">
        <f t="shared" si="82"/>
        <v/>
      </c>
      <c r="O394" s="15" t="str">
        <f t="shared" si="83"/>
        <v/>
      </c>
      <c r="P394" s="18">
        <f>IF(SUMIFS('Daily NSE Equity Futures'!$J:$J,'Daily NSE Equity Futures'!$A:$A,$A394)=0,"",SUMIFS('Daily NSE Equity Futures'!$J:$J,'Daily NSE Equity Futures'!$A:$A,$A394))</f>
        <v>1610424</v>
      </c>
      <c r="Q394" s="7" t="str">
        <f>IF(SUMIFS('Daily BSE Equity Futures'!$J:$J,'Daily BSE Equity Futures'!$A:$A,$A394)=0,"",SUMIFS('Daily BSE Equity Futures'!$J:$J,'Daily BSE Equity Futures'!$A:$A,$A394))</f>
        <v/>
      </c>
      <c r="R394" s="7" t="str">
        <f t="shared" si="78"/>
        <v/>
      </c>
      <c r="S394" s="19" t="str">
        <f t="shared" si="79"/>
        <v/>
      </c>
      <c r="T394" s="19" t="str">
        <f t="shared" si="80"/>
        <v/>
      </c>
    </row>
    <row r="395" spans="1:20" x14ac:dyDescent="0.2">
      <c r="A395" s="9">
        <v>44501</v>
      </c>
      <c r="B395" s="4" t="s">
        <v>225</v>
      </c>
      <c r="C395" s="8">
        <v>44501</v>
      </c>
      <c r="D395" s="4" t="s">
        <v>179</v>
      </c>
      <c r="E395" s="14">
        <f>IF(SUMIFS('Daily NSE Equity Futures'!$I:$I,'Daily NSE Equity Futures'!$A:$A,$A395)=0,"",SUMIFS('Daily NSE Equity Futures'!$I:$I,'Daily NSE Equity Futures'!$A:$A,$A395))</f>
        <v>1011.9189</v>
      </c>
      <c r="F395" s="6" t="str">
        <f>IF(SUMIFS('Daily BSE Equity Futures'!$I:$I,'Daily BSE Equity Futures'!$A:$A,$A395)=0,"",SUMIFS('Daily BSE Equity Futures'!$I:$I,'Daily BSE Equity Futures'!$A:$A,$A395))</f>
        <v/>
      </c>
      <c r="G395" s="6" t="str">
        <f t="shared" si="72"/>
        <v/>
      </c>
      <c r="H395" s="15" t="str">
        <f t="shared" si="73"/>
        <v/>
      </c>
      <c r="I395" s="15" t="str">
        <f t="shared" si="74"/>
        <v/>
      </c>
      <c r="J395" s="20" t="str">
        <f t="shared" si="75"/>
        <v/>
      </c>
      <c r="K395" s="15" t="str">
        <f t="shared" si="76"/>
        <v/>
      </c>
      <c r="L395" s="15" t="str">
        <f t="shared" si="77"/>
        <v/>
      </c>
      <c r="M395" s="15">
        <f t="shared" si="81"/>
        <v>-0.24230719178487337</v>
      </c>
      <c r="N395" s="15" t="str">
        <f t="shared" si="82"/>
        <v/>
      </c>
      <c r="O395" s="15" t="str">
        <f t="shared" si="83"/>
        <v/>
      </c>
      <c r="P395" s="18">
        <f>IF(SUMIFS('Daily NSE Equity Futures'!$J:$J,'Daily NSE Equity Futures'!$A:$A,$A395)=0,"",SUMIFS('Daily NSE Equity Futures'!$J:$J,'Daily NSE Equity Futures'!$A:$A,$A395))</f>
        <v>1237756</v>
      </c>
      <c r="Q395" s="7" t="str">
        <f>IF(SUMIFS('Daily BSE Equity Futures'!$J:$J,'Daily BSE Equity Futures'!$A:$A,$A395)=0,"",SUMIFS('Daily BSE Equity Futures'!$J:$J,'Daily BSE Equity Futures'!$A:$A,$A395))</f>
        <v/>
      </c>
      <c r="R395" s="7" t="str">
        <f t="shared" si="78"/>
        <v/>
      </c>
      <c r="S395" s="19" t="str">
        <f t="shared" si="79"/>
        <v/>
      </c>
      <c r="T395" s="19" t="str">
        <f t="shared" si="80"/>
        <v/>
      </c>
    </row>
    <row r="396" spans="1:20" x14ac:dyDescent="0.2">
      <c r="A396" s="9">
        <v>44502</v>
      </c>
      <c r="B396" s="4" t="s">
        <v>223</v>
      </c>
      <c r="C396" s="8">
        <v>44501</v>
      </c>
      <c r="D396" s="4" t="s">
        <v>179</v>
      </c>
      <c r="E396" s="14">
        <f>IF(SUMIFS('Daily NSE Equity Futures'!$I:$I,'Daily NSE Equity Futures'!$A:$A,$A396)=0,"",SUMIFS('Daily NSE Equity Futures'!$I:$I,'Daily NSE Equity Futures'!$A:$A,$A396))</f>
        <v>937.34010000000001</v>
      </c>
      <c r="F396" s="6" t="str">
        <f>IF(SUMIFS('Daily BSE Equity Futures'!$I:$I,'Daily BSE Equity Futures'!$A:$A,$A396)=0,"",SUMIFS('Daily BSE Equity Futures'!$I:$I,'Daily BSE Equity Futures'!$A:$A,$A396))</f>
        <v/>
      </c>
      <c r="G396" s="6" t="str">
        <f t="shared" si="72"/>
        <v/>
      </c>
      <c r="H396" s="15" t="str">
        <f t="shared" si="73"/>
        <v/>
      </c>
      <c r="I396" s="15" t="str">
        <f t="shared" si="74"/>
        <v/>
      </c>
      <c r="J396" s="20">
        <f t="shared" si="75"/>
        <v>-8.6124298352783457E-2</v>
      </c>
      <c r="K396" s="15" t="str">
        <f t="shared" si="76"/>
        <v/>
      </c>
      <c r="L396" s="15" t="str">
        <f t="shared" si="77"/>
        <v/>
      </c>
      <c r="M396" s="15">
        <f t="shared" si="81"/>
        <v>-7.3700372628676125E-2</v>
      </c>
      <c r="N396" s="15" t="str">
        <f t="shared" si="82"/>
        <v/>
      </c>
      <c r="O396" s="15" t="str">
        <f t="shared" si="83"/>
        <v/>
      </c>
      <c r="P396" s="18">
        <f>IF(SUMIFS('Daily NSE Equity Futures'!$J:$J,'Daily NSE Equity Futures'!$A:$A,$A396)=0,"",SUMIFS('Daily NSE Equity Futures'!$J:$J,'Daily NSE Equity Futures'!$A:$A,$A396))</f>
        <v>1133720</v>
      </c>
      <c r="Q396" s="7" t="str">
        <f>IF(SUMIFS('Daily BSE Equity Futures'!$J:$J,'Daily BSE Equity Futures'!$A:$A,$A396)=0,"",SUMIFS('Daily BSE Equity Futures'!$J:$J,'Daily BSE Equity Futures'!$A:$A,$A396))</f>
        <v/>
      </c>
      <c r="R396" s="7" t="str">
        <f t="shared" si="78"/>
        <v/>
      </c>
      <c r="S396" s="19" t="str">
        <f t="shared" si="79"/>
        <v/>
      </c>
      <c r="T396" s="19" t="str">
        <f t="shared" si="80"/>
        <v/>
      </c>
    </row>
    <row r="397" spans="1:20" x14ac:dyDescent="0.2">
      <c r="A397" s="9">
        <v>44503</v>
      </c>
      <c r="B397" s="4" t="s">
        <v>221</v>
      </c>
      <c r="C397" s="8">
        <v>44501</v>
      </c>
      <c r="D397" s="4" t="s">
        <v>179</v>
      </c>
      <c r="E397" s="14">
        <f>IF(SUMIFS('Daily NSE Equity Futures'!$I:$I,'Daily NSE Equity Futures'!$A:$A,$A397)=0,"",SUMIFS('Daily NSE Equity Futures'!$I:$I,'Daily NSE Equity Futures'!$A:$A,$A397))</f>
        <v>1017.6212</v>
      </c>
      <c r="F397" s="6" t="str">
        <f>IF(SUMIFS('Daily BSE Equity Futures'!$I:$I,'Daily BSE Equity Futures'!$A:$A,$A397)=0,"",SUMIFS('Daily BSE Equity Futures'!$I:$I,'Daily BSE Equity Futures'!$A:$A,$A397))</f>
        <v/>
      </c>
      <c r="G397" s="6" t="str">
        <f t="shared" si="72"/>
        <v/>
      </c>
      <c r="H397" s="15" t="str">
        <f t="shared" si="73"/>
        <v/>
      </c>
      <c r="I397" s="15" t="str">
        <f t="shared" si="74"/>
        <v/>
      </c>
      <c r="J397" s="20">
        <f t="shared" si="75"/>
        <v>6.7366677917696682E-2</v>
      </c>
      <c r="K397" s="15" t="str">
        <f t="shared" si="76"/>
        <v/>
      </c>
      <c r="L397" s="15" t="str">
        <f t="shared" si="77"/>
        <v/>
      </c>
      <c r="M397" s="15">
        <f t="shared" si="81"/>
        <v>8.5647781418932256E-2</v>
      </c>
      <c r="N397" s="15" t="str">
        <f t="shared" si="82"/>
        <v/>
      </c>
      <c r="O397" s="15" t="str">
        <f t="shared" si="83"/>
        <v/>
      </c>
      <c r="P397" s="18">
        <f>IF(SUMIFS('Daily NSE Equity Futures'!$J:$J,'Daily NSE Equity Futures'!$A:$A,$A397)=0,"",SUMIFS('Daily NSE Equity Futures'!$J:$J,'Daily NSE Equity Futures'!$A:$A,$A397))</f>
        <v>1209851</v>
      </c>
      <c r="Q397" s="7" t="str">
        <f>IF(SUMIFS('Daily BSE Equity Futures'!$J:$J,'Daily BSE Equity Futures'!$A:$A,$A397)=0,"",SUMIFS('Daily BSE Equity Futures'!$J:$J,'Daily BSE Equity Futures'!$A:$A,$A397))</f>
        <v/>
      </c>
      <c r="R397" s="7" t="str">
        <f t="shared" si="78"/>
        <v/>
      </c>
      <c r="S397" s="19" t="str">
        <f t="shared" si="79"/>
        <v/>
      </c>
      <c r="T397" s="19" t="str">
        <f t="shared" si="80"/>
        <v/>
      </c>
    </row>
    <row r="398" spans="1:20" x14ac:dyDescent="0.2">
      <c r="A398" s="9">
        <v>44504</v>
      </c>
      <c r="B398" s="4" t="s">
        <v>224</v>
      </c>
      <c r="C398" s="8">
        <v>44501</v>
      </c>
      <c r="D398" s="4" t="s">
        <v>179</v>
      </c>
      <c r="E398" s="14">
        <f>IF(SUMIFS('Daily NSE Equity Futures'!$I:$I,'Daily NSE Equity Futures'!$A:$A,$A398)=0,"",SUMIFS('Daily NSE Equity Futures'!$I:$I,'Daily NSE Equity Futures'!$A:$A,$A398))</f>
        <v>155.72810000000001</v>
      </c>
      <c r="F398" s="6" t="str">
        <f>IF(SUMIFS('Daily BSE Equity Futures'!$I:$I,'Daily BSE Equity Futures'!$A:$A,$A398)=0,"",SUMIFS('Daily BSE Equity Futures'!$I:$I,'Daily BSE Equity Futures'!$A:$A,$A398))</f>
        <v/>
      </c>
      <c r="G398" s="6" t="str">
        <f t="shared" si="72"/>
        <v/>
      </c>
      <c r="H398" s="15" t="str">
        <f t="shared" si="73"/>
        <v/>
      </c>
      <c r="I398" s="15" t="str">
        <f t="shared" si="74"/>
        <v/>
      </c>
      <c r="J398" s="20">
        <f t="shared" si="75"/>
        <v>-0.85815429645248431</v>
      </c>
      <c r="K398" s="15" t="str">
        <f t="shared" si="76"/>
        <v/>
      </c>
      <c r="L398" s="15" t="str">
        <f t="shared" si="77"/>
        <v/>
      </c>
      <c r="M398" s="15">
        <f t="shared" si="81"/>
        <v>-0.84696849869086843</v>
      </c>
      <c r="N398" s="15" t="str">
        <f t="shared" si="82"/>
        <v/>
      </c>
      <c r="O398" s="15" t="str">
        <f t="shared" si="83"/>
        <v/>
      </c>
      <c r="P398" s="18">
        <f>IF(SUMIFS('Daily NSE Equity Futures'!$J:$J,'Daily NSE Equity Futures'!$A:$A,$A398)=0,"",SUMIFS('Daily NSE Equity Futures'!$J:$J,'Daily NSE Equity Futures'!$A:$A,$A398))</f>
        <v>185414</v>
      </c>
      <c r="Q398" s="7" t="str">
        <f>IF(SUMIFS('Daily BSE Equity Futures'!$J:$J,'Daily BSE Equity Futures'!$A:$A,$A398)=0,"",SUMIFS('Daily BSE Equity Futures'!$J:$J,'Daily BSE Equity Futures'!$A:$A,$A398))</f>
        <v/>
      </c>
      <c r="R398" s="7" t="str">
        <f t="shared" si="78"/>
        <v/>
      </c>
      <c r="S398" s="19" t="str">
        <f t="shared" si="79"/>
        <v/>
      </c>
      <c r="T398" s="19" t="str">
        <f t="shared" si="80"/>
        <v/>
      </c>
    </row>
    <row r="399" spans="1:20" x14ac:dyDescent="0.2">
      <c r="A399" s="9">
        <v>44508</v>
      </c>
      <c r="B399" s="4" t="s">
        <v>225</v>
      </c>
      <c r="C399" s="8">
        <v>44501</v>
      </c>
      <c r="D399" s="4" t="s">
        <v>179</v>
      </c>
      <c r="E399" s="14">
        <f>IF(SUMIFS('Daily NSE Equity Futures'!$I:$I,'Daily NSE Equity Futures'!$A:$A,$A399)=0,"",SUMIFS('Daily NSE Equity Futures'!$I:$I,'Daily NSE Equity Futures'!$A:$A,$A399))</f>
        <v>1118.5027</v>
      </c>
      <c r="F399" s="6">
        <f>IF(SUMIFS('Daily BSE Equity Futures'!$I:$I,'Daily BSE Equity Futures'!$A:$A,$A399)=0,"",SUMIFS('Daily BSE Equity Futures'!$I:$I,'Daily BSE Equity Futures'!$A:$A,$A399))</f>
        <v>2.8E-3</v>
      </c>
      <c r="G399" s="6">
        <f t="shared" si="72"/>
        <v>1118.5055</v>
      </c>
      <c r="H399" s="15">
        <f t="shared" si="73"/>
        <v>0.99999749665960513</v>
      </c>
      <c r="I399" s="15">
        <f t="shared" si="74"/>
        <v>2.5033403948393639E-6</v>
      </c>
      <c r="J399" s="20" t="str">
        <f t="shared" si="75"/>
        <v/>
      </c>
      <c r="K399" s="15" t="str">
        <f t="shared" si="76"/>
        <v/>
      </c>
      <c r="L399" s="15" t="str">
        <f t="shared" si="77"/>
        <v/>
      </c>
      <c r="M399" s="15">
        <f t="shared" si="81"/>
        <v>6.1824076708057181</v>
      </c>
      <c r="N399" s="15" t="str">
        <f t="shared" si="82"/>
        <v/>
      </c>
      <c r="O399" s="15" t="str">
        <f t="shared" si="83"/>
        <v/>
      </c>
      <c r="P399" s="18">
        <f>IF(SUMIFS('Daily NSE Equity Futures'!$J:$J,'Daily NSE Equity Futures'!$A:$A,$A399)=0,"",SUMIFS('Daily NSE Equity Futures'!$J:$J,'Daily NSE Equity Futures'!$A:$A,$A399))</f>
        <v>1334780</v>
      </c>
      <c r="Q399" s="7">
        <f>IF(SUMIFS('Daily BSE Equity Futures'!$J:$J,'Daily BSE Equity Futures'!$A:$A,$A399)=0,"",SUMIFS('Daily BSE Equity Futures'!$J:$J,'Daily BSE Equity Futures'!$A:$A,$A399))</f>
        <v>3</v>
      </c>
      <c r="R399" s="7">
        <f t="shared" si="78"/>
        <v>1334783</v>
      </c>
      <c r="S399" s="19">
        <f t="shared" si="79"/>
        <v>0.99999775244365563</v>
      </c>
      <c r="T399" s="19">
        <f t="shared" si="80"/>
        <v>2.2475563443645896E-6</v>
      </c>
    </row>
    <row r="400" spans="1:20" x14ac:dyDescent="0.2">
      <c r="A400" s="9">
        <v>44509</v>
      </c>
      <c r="B400" s="4" t="s">
        <v>223</v>
      </c>
      <c r="C400" s="8">
        <v>44501</v>
      </c>
      <c r="D400" s="4" t="s">
        <v>179</v>
      </c>
      <c r="E400" s="14">
        <f>IF(SUMIFS('Daily NSE Equity Futures'!$I:$I,'Daily NSE Equity Futures'!$A:$A,$A400)=0,"",SUMIFS('Daily NSE Equity Futures'!$I:$I,'Daily NSE Equity Futures'!$A:$A,$A400))</f>
        <v>935.51250000000005</v>
      </c>
      <c r="F400" s="6">
        <f>IF(SUMIFS('Daily BSE Equity Futures'!$I:$I,'Daily BSE Equity Futures'!$A:$A,$A400)=0,"",SUMIFS('Daily BSE Equity Futures'!$I:$I,'Daily BSE Equity Futures'!$A:$A,$A400))</f>
        <v>8.9999999999999998E-4</v>
      </c>
      <c r="G400" s="6">
        <f t="shared" si="72"/>
        <v>935.51340000000005</v>
      </c>
      <c r="H400" s="15">
        <f t="shared" si="73"/>
        <v>0.99999903796140177</v>
      </c>
      <c r="I400" s="15">
        <f t="shared" si="74"/>
        <v>9.6203859827128062E-7</v>
      </c>
      <c r="J400" s="20">
        <f t="shared" si="75"/>
        <v>-2.2436327807882184E-2</v>
      </c>
      <c r="K400" s="15">
        <f t="shared" si="76"/>
        <v>-0.99436795994993743</v>
      </c>
      <c r="L400" s="15">
        <f t="shared" si="77"/>
        <v>-2.2598596762136491E-2</v>
      </c>
      <c r="M400" s="15">
        <f t="shared" si="81"/>
        <v>-0.16360282366774792</v>
      </c>
      <c r="N400" s="15">
        <f t="shared" si="82"/>
        <v>-0.6785714285714286</v>
      </c>
      <c r="O400" s="15">
        <f t="shared" si="83"/>
        <v>-0.16360411280945863</v>
      </c>
      <c r="P400" s="18">
        <f>IF(SUMIFS('Daily NSE Equity Futures'!$J:$J,'Daily NSE Equity Futures'!$A:$A,$A400)=0,"",SUMIFS('Daily NSE Equity Futures'!$J:$J,'Daily NSE Equity Futures'!$A:$A,$A400))</f>
        <v>1114553</v>
      </c>
      <c r="Q400" s="7">
        <f>IF(SUMIFS('Daily BSE Equity Futures'!$J:$J,'Daily BSE Equity Futures'!$A:$A,$A400)=0,"",SUMIFS('Daily BSE Equity Futures'!$J:$J,'Daily BSE Equity Futures'!$A:$A,$A400))</f>
        <v>1</v>
      </c>
      <c r="R400" s="7">
        <f t="shared" si="78"/>
        <v>1114554</v>
      </c>
      <c r="S400" s="19">
        <f t="shared" si="79"/>
        <v>0.99999910278012549</v>
      </c>
      <c r="T400" s="19">
        <f t="shared" si="80"/>
        <v>8.9721987449688398E-7</v>
      </c>
    </row>
    <row r="401" spans="1:20" x14ac:dyDescent="0.2">
      <c r="A401" s="9">
        <v>44510</v>
      </c>
      <c r="B401" s="4" t="s">
        <v>221</v>
      </c>
      <c r="C401" s="8">
        <v>44501</v>
      </c>
      <c r="D401" s="4" t="s">
        <v>179</v>
      </c>
      <c r="E401" s="14">
        <f>IF(SUMIFS('Daily NSE Equity Futures'!$I:$I,'Daily NSE Equity Futures'!$A:$A,$A401)=0,"",SUMIFS('Daily NSE Equity Futures'!$I:$I,'Daily NSE Equity Futures'!$A:$A,$A401))</f>
        <v>902.88930000000005</v>
      </c>
      <c r="F401" s="6">
        <f>IF(SUMIFS('Daily BSE Equity Futures'!$I:$I,'Daily BSE Equity Futures'!$A:$A,$A401)=0,"",SUMIFS('Daily BSE Equity Futures'!$I:$I,'Daily BSE Equity Futures'!$A:$A,$A401))</f>
        <v>1.9E-3</v>
      </c>
      <c r="G401" s="6">
        <f t="shared" si="72"/>
        <v>902.89120000000003</v>
      </c>
      <c r="H401" s="15">
        <f t="shared" si="73"/>
        <v>0.99999789564899955</v>
      </c>
      <c r="I401" s="15">
        <f t="shared" si="74"/>
        <v>2.1043510004306166E-6</v>
      </c>
      <c r="J401" s="20">
        <f t="shared" si="75"/>
        <v>-0.31256206639180495</v>
      </c>
      <c r="K401" s="15">
        <f t="shared" si="76"/>
        <v>-0.9879670677644079</v>
      </c>
      <c r="L401" s="15">
        <f t="shared" si="77"/>
        <v>-0.31264325464192999</v>
      </c>
      <c r="M401" s="15">
        <f t="shared" si="81"/>
        <v>-3.4872008658355713E-2</v>
      </c>
      <c r="N401" s="15">
        <f t="shared" si="82"/>
        <v>1.1111111111111112</v>
      </c>
      <c r="O401" s="15">
        <f t="shared" si="83"/>
        <v>-3.4870906178361527E-2</v>
      </c>
      <c r="P401" s="18">
        <f>IF(SUMIFS('Daily NSE Equity Futures'!$J:$J,'Daily NSE Equity Futures'!$A:$A,$A401)=0,"",SUMIFS('Daily NSE Equity Futures'!$J:$J,'Daily NSE Equity Futures'!$A:$A,$A401))</f>
        <v>1107945</v>
      </c>
      <c r="Q401" s="7">
        <f>IF(SUMIFS('Daily BSE Equity Futures'!$J:$J,'Daily BSE Equity Futures'!$A:$A,$A401)=0,"",SUMIFS('Daily BSE Equity Futures'!$J:$J,'Daily BSE Equity Futures'!$A:$A,$A401))</f>
        <v>2</v>
      </c>
      <c r="R401" s="7">
        <f t="shared" si="78"/>
        <v>1107947</v>
      </c>
      <c r="S401" s="19">
        <f t="shared" si="79"/>
        <v>0.99999819485950137</v>
      </c>
      <c r="T401" s="19">
        <f t="shared" si="80"/>
        <v>1.8051404985978571E-6</v>
      </c>
    </row>
    <row r="402" spans="1:20" x14ac:dyDescent="0.2">
      <c r="A402" s="9">
        <v>44511</v>
      </c>
      <c r="B402" s="4" t="s">
        <v>224</v>
      </c>
      <c r="C402" s="8">
        <v>44501</v>
      </c>
      <c r="D402" s="4" t="s">
        <v>179</v>
      </c>
      <c r="E402" s="14">
        <f>IF(SUMIFS('Daily NSE Equity Futures'!$I:$I,'Daily NSE Equity Futures'!$A:$A,$A402)=0,"",SUMIFS('Daily NSE Equity Futures'!$I:$I,'Daily NSE Equity Futures'!$A:$A,$A402))</f>
        <v>885.58659999999998</v>
      </c>
      <c r="F402" s="6">
        <f>IF(SUMIFS('Daily BSE Equity Futures'!$I:$I,'Daily BSE Equity Futures'!$A:$A,$A402)=0,"",SUMIFS('Daily BSE Equity Futures'!$I:$I,'Daily BSE Equity Futures'!$A:$A,$A402))</f>
        <v>1.9E-3</v>
      </c>
      <c r="G402" s="6">
        <f t="shared" si="72"/>
        <v>885.58849999999995</v>
      </c>
      <c r="H402" s="15">
        <f t="shared" si="73"/>
        <v>0.9999978545340189</v>
      </c>
      <c r="I402" s="15">
        <f t="shared" si="74"/>
        <v>2.1454659810961863E-6</v>
      </c>
      <c r="J402" s="20">
        <f t="shared" si="75"/>
        <v>-0.34569241729082711</v>
      </c>
      <c r="K402" s="15">
        <f t="shared" si="76"/>
        <v>-0.99220672682526656</v>
      </c>
      <c r="L402" s="15">
        <f t="shared" si="77"/>
        <v>-0.34580885255628357</v>
      </c>
      <c r="M402" s="15">
        <f t="shared" si="81"/>
        <v>-1.916370035617887E-2</v>
      </c>
      <c r="N402" s="15">
        <f t="shared" si="82"/>
        <v>0</v>
      </c>
      <c r="O402" s="15">
        <f t="shared" si="83"/>
        <v>-1.9163660029026808E-2</v>
      </c>
      <c r="P402" s="18">
        <f>IF(SUMIFS('Daily NSE Equity Futures'!$J:$J,'Daily NSE Equity Futures'!$A:$A,$A402)=0,"",SUMIFS('Daily NSE Equity Futures'!$J:$J,'Daily NSE Equity Futures'!$A:$A,$A402))</f>
        <v>1079766</v>
      </c>
      <c r="Q402" s="7">
        <f>IF(SUMIFS('Daily BSE Equity Futures'!$J:$J,'Daily BSE Equity Futures'!$A:$A,$A402)=0,"",SUMIFS('Daily BSE Equity Futures'!$J:$J,'Daily BSE Equity Futures'!$A:$A,$A402))</f>
        <v>2</v>
      </c>
      <c r="R402" s="7">
        <f t="shared" si="78"/>
        <v>1079768</v>
      </c>
      <c r="S402" s="19">
        <f t="shared" si="79"/>
        <v>0.99999814775025742</v>
      </c>
      <c r="T402" s="19">
        <f t="shared" si="80"/>
        <v>1.8522497425372858E-6</v>
      </c>
    </row>
    <row r="403" spans="1:20" x14ac:dyDescent="0.2">
      <c r="A403" s="9">
        <v>44512</v>
      </c>
      <c r="B403" s="4" t="s">
        <v>222</v>
      </c>
      <c r="C403" s="8">
        <v>44501</v>
      </c>
      <c r="D403" s="4" t="s">
        <v>179</v>
      </c>
      <c r="E403" s="14">
        <f>IF(SUMIFS('Daily NSE Equity Futures'!$I:$I,'Daily NSE Equity Futures'!$A:$A,$A403)=0,"",SUMIFS('Daily NSE Equity Futures'!$I:$I,'Daily NSE Equity Futures'!$A:$A,$A403))</f>
        <v>913.56659999999999</v>
      </c>
      <c r="F403" s="6">
        <f>IF(SUMIFS('Daily BSE Equity Futures'!$I:$I,'Daily BSE Equity Futures'!$A:$A,$A403)=0,"",SUMIFS('Daily BSE Equity Futures'!$I:$I,'Daily BSE Equity Futures'!$A:$A,$A403))</f>
        <v>2.8E-3</v>
      </c>
      <c r="G403" s="6">
        <f t="shared" si="72"/>
        <v>913.56939999999997</v>
      </c>
      <c r="H403" s="15">
        <f t="shared" si="73"/>
        <v>0.99999693509874565</v>
      </c>
      <c r="I403" s="15">
        <f t="shared" si="74"/>
        <v>3.0649012543546228E-6</v>
      </c>
      <c r="J403" s="20">
        <f t="shared" si="75"/>
        <v>-5.1317440727239205E-2</v>
      </c>
      <c r="K403" s="15">
        <f t="shared" si="76"/>
        <v>-0.99046646237657476</v>
      </c>
      <c r="L403" s="15">
        <f t="shared" si="77"/>
        <v>-5.1603783829012206E-2</v>
      </c>
      <c r="M403" s="15">
        <f t="shared" si="81"/>
        <v>3.159487733892985E-2</v>
      </c>
      <c r="N403" s="15">
        <f t="shared" si="82"/>
        <v>0.47368421052631571</v>
      </c>
      <c r="O403" s="15">
        <f t="shared" si="83"/>
        <v>3.1595825826554957E-2</v>
      </c>
      <c r="P403" s="18">
        <f>IF(SUMIFS('Daily NSE Equity Futures'!$J:$J,'Daily NSE Equity Futures'!$A:$A,$A403)=0,"",SUMIFS('Daily NSE Equity Futures'!$J:$J,'Daily NSE Equity Futures'!$A:$A,$A403))</f>
        <v>1134824</v>
      </c>
      <c r="Q403" s="7">
        <f>IF(SUMIFS('Daily BSE Equity Futures'!$J:$J,'Daily BSE Equity Futures'!$A:$A,$A403)=0,"",SUMIFS('Daily BSE Equity Futures'!$J:$J,'Daily BSE Equity Futures'!$A:$A,$A403))</f>
        <v>3</v>
      </c>
      <c r="R403" s="7">
        <f t="shared" si="78"/>
        <v>1134827</v>
      </c>
      <c r="S403" s="19">
        <f t="shared" si="79"/>
        <v>0.99999735642525245</v>
      </c>
      <c r="T403" s="19">
        <f t="shared" si="80"/>
        <v>2.6435747475165816E-6</v>
      </c>
    </row>
    <row r="404" spans="1:20" x14ac:dyDescent="0.2">
      <c r="A404" s="9">
        <v>44515</v>
      </c>
      <c r="B404" s="4" t="s">
        <v>225</v>
      </c>
      <c r="C404" s="8">
        <v>44501</v>
      </c>
      <c r="D404" s="4" t="s">
        <v>179</v>
      </c>
      <c r="E404" s="14">
        <f>IF(SUMIFS('Daily NSE Equity Futures'!$I:$I,'Daily NSE Equity Futures'!$A:$A,$A404)=0,"",SUMIFS('Daily NSE Equity Futures'!$I:$I,'Daily NSE Equity Futures'!$A:$A,$A404))</f>
        <v>816.97739999999999</v>
      </c>
      <c r="F404" s="6">
        <f>IF(SUMIFS('Daily BSE Equity Futures'!$I:$I,'Daily BSE Equity Futures'!$A:$A,$A404)=0,"",SUMIFS('Daily BSE Equity Futures'!$I:$I,'Daily BSE Equity Futures'!$A:$A,$A404))</f>
        <v>3.8E-3</v>
      </c>
      <c r="G404" s="6">
        <f t="shared" si="72"/>
        <v>816.98119999999994</v>
      </c>
      <c r="H404" s="15">
        <f t="shared" si="73"/>
        <v>0.99999534873017892</v>
      </c>
      <c r="I404" s="15">
        <f t="shared" si="74"/>
        <v>4.6512698211415396E-6</v>
      </c>
      <c r="J404" s="20" t="str">
        <f t="shared" si="75"/>
        <v/>
      </c>
      <c r="K404" s="15" t="str">
        <f t="shared" si="76"/>
        <v/>
      </c>
      <c r="L404" s="15" t="str">
        <f t="shared" si="77"/>
        <v/>
      </c>
      <c r="M404" s="15">
        <f t="shared" si="81"/>
        <v>-0.10572759555789368</v>
      </c>
      <c r="N404" s="15">
        <f t="shared" si="82"/>
        <v>0.35714285714285721</v>
      </c>
      <c r="O404" s="15">
        <f t="shared" si="83"/>
        <v>-0.10572617690566255</v>
      </c>
      <c r="P404" s="18">
        <f>IF(SUMIFS('Daily NSE Equity Futures'!$J:$J,'Daily NSE Equity Futures'!$A:$A,$A404)=0,"",SUMIFS('Daily NSE Equity Futures'!$J:$J,'Daily NSE Equity Futures'!$A:$A,$A404))</f>
        <v>1013507</v>
      </c>
      <c r="Q404" s="7">
        <f>IF(SUMIFS('Daily BSE Equity Futures'!$J:$J,'Daily BSE Equity Futures'!$A:$A,$A404)=0,"",SUMIFS('Daily BSE Equity Futures'!$J:$J,'Daily BSE Equity Futures'!$A:$A,$A404))</f>
        <v>4</v>
      </c>
      <c r="R404" s="7">
        <f t="shared" si="78"/>
        <v>1013511</v>
      </c>
      <c r="S404" s="19">
        <f t="shared" si="79"/>
        <v>0.99999605332354558</v>
      </c>
      <c r="T404" s="19">
        <f t="shared" si="80"/>
        <v>3.9466764544242739E-6</v>
      </c>
    </row>
    <row r="405" spans="1:20" x14ac:dyDescent="0.2">
      <c r="A405" s="9">
        <v>44516</v>
      </c>
      <c r="B405" s="4" t="s">
        <v>223</v>
      </c>
      <c r="C405" s="8">
        <v>44501</v>
      </c>
      <c r="D405" s="4" t="s">
        <v>179</v>
      </c>
      <c r="E405" s="14">
        <f>IF(SUMIFS('Daily NSE Equity Futures'!$I:$I,'Daily NSE Equity Futures'!$A:$A,$A405)=0,"",SUMIFS('Daily NSE Equity Futures'!$I:$I,'Daily NSE Equity Futures'!$A:$A,$A405))</f>
        <v>962.20690000000002</v>
      </c>
      <c r="F405" s="6">
        <f>IF(SUMIFS('Daily BSE Equity Futures'!$I:$I,'Daily BSE Equity Futures'!$A:$A,$A405)=0,"",SUMIFS('Daily BSE Equity Futures'!$I:$I,'Daily BSE Equity Futures'!$A:$A,$A405))</f>
        <v>1.9E-3</v>
      </c>
      <c r="G405" s="6">
        <f t="shared" si="72"/>
        <v>962.2088</v>
      </c>
      <c r="H405" s="15">
        <f t="shared" si="73"/>
        <v>0.99999802537661264</v>
      </c>
      <c r="I405" s="15">
        <f t="shared" si="74"/>
        <v>1.9746233873562578E-6</v>
      </c>
      <c r="J405" s="20" t="str">
        <f t="shared" si="75"/>
        <v/>
      </c>
      <c r="K405" s="15" t="str">
        <f t="shared" si="76"/>
        <v/>
      </c>
      <c r="L405" s="15" t="str">
        <f t="shared" si="77"/>
        <v/>
      </c>
      <c r="M405" s="15">
        <f t="shared" si="81"/>
        <v>0.17776440327480292</v>
      </c>
      <c r="N405" s="15">
        <f t="shared" si="82"/>
        <v>-0.5</v>
      </c>
      <c r="O405" s="15">
        <f t="shared" si="83"/>
        <v>0.17776125080968819</v>
      </c>
      <c r="P405" s="18">
        <f>IF(SUMIFS('Daily NSE Equity Futures'!$J:$J,'Daily NSE Equity Futures'!$A:$A,$A405)=0,"",SUMIFS('Daily NSE Equity Futures'!$J:$J,'Daily NSE Equity Futures'!$A:$A,$A405))</f>
        <v>1178923</v>
      </c>
      <c r="Q405" s="7">
        <f>IF(SUMIFS('Daily BSE Equity Futures'!$J:$J,'Daily BSE Equity Futures'!$A:$A,$A405)=0,"",SUMIFS('Daily BSE Equity Futures'!$J:$J,'Daily BSE Equity Futures'!$A:$A,$A405))</f>
        <v>2</v>
      </c>
      <c r="R405" s="7">
        <f t="shared" si="78"/>
        <v>1178925</v>
      </c>
      <c r="S405" s="19">
        <f t="shared" si="79"/>
        <v>0.99999830353924124</v>
      </c>
      <c r="T405" s="19">
        <f t="shared" si="80"/>
        <v>1.6964607587420743E-6</v>
      </c>
    </row>
    <row r="406" spans="1:20" x14ac:dyDescent="0.2">
      <c r="A406" s="9">
        <v>44517</v>
      </c>
      <c r="B406" s="4" t="s">
        <v>221</v>
      </c>
      <c r="C406" s="8">
        <v>44501</v>
      </c>
      <c r="D406" s="4" t="s">
        <v>179</v>
      </c>
      <c r="E406" s="14">
        <f>IF(SUMIFS('Daily NSE Equity Futures'!$I:$I,'Daily NSE Equity Futures'!$A:$A,$A406)=0,"",SUMIFS('Daily NSE Equity Futures'!$I:$I,'Daily NSE Equity Futures'!$A:$A,$A406))</f>
        <v>965.26840000000004</v>
      </c>
      <c r="F406" s="6">
        <f>IF(SUMIFS('Daily BSE Equity Futures'!$I:$I,'Daily BSE Equity Futures'!$A:$A,$A406)=0,"",SUMIFS('Daily BSE Equity Futures'!$I:$I,'Daily BSE Equity Futures'!$A:$A,$A406))</f>
        <v>8.9999999999999998E-4</v>
      </c>
      <c r="G406" s="6">
        <f t="shared" si="72"/>
        <v>965.26930000000004</v>
      </c>
      <c r="H406" s="15">
        <f t="shared" si="73"/>
        <v>0.9999990676177104</v>
      </c>
      <c r="I406" s="15">
        <f t="shared" si="74"/>
        <v>9.3238228958488576E-7</v>
      </c>
      <c r="J406" s="20">
        <f t="shared" si="75"/>
        <v>5.0834146641504541E-2</v>
      </c>
      <c r="K406" s="15">
        <f t="shared" si="76"/>
        <v>-0.99448867115737904</v>
      </c>
      <c r="L406" s="15">
        <f t="shared" si="77"/>
        <v>5.0648346729988525E-2</v>
      </c>
      <c r="M406" s="15">
        <f t="shared" si="81"/>
        <v>3.1817481250653312E-3</v>
      </c>
      <c r="N406" s="15">
        <f t="shared" si="82"/>
        <v>-0.52631578947368429</v>
      </c>
      <c r="O406" s="15">
        <f t="shared" si="83"/>
        <v>3.1807025668442179E-3</v>
      </c>
      <c r="P406" s="18">
        <f>IF(SUMIFS('Daily NSE Equity Futures'!$J:$J,'Daily NSE Equity Futures'!$A:$A,$A406)=0,"",SUMIFS('Daily NSE Equity Futures'!$J:$J,'Daily NSE Equity Futures'!$A:$A,$A406))</f>
        <v>1176925</v>
      </c>
      <c r="Q406" s="7">
        <f>IF(SUMIFS('Daily BSE Equity Futures'!$J:$J,'Daily BSE Equity Futures'!$A:$A,$A406)=0,"",SUMIFS('Daily BSE Equity Futures'!$J:$J,'Daily BSE Equity Futures'!$A:$A,$A406))</f>
        <v>1</v>
      </c>
      <c r="R406" s="7">
        <f t="shared" si="78"/>
        <v>1176926</v>
      </c>
      <c r="S406" s="19">
        <f t="shared" si="79"/>
        <v>0.99999915032890763</v>
      </c>
      <c r="T406" s="19">
        <f t="shared" si="80"/>
        <v>8.4967109232016284E-7</v>
      </c>
    </row>
    <row r="407" spans="1:20" x14ac:dyDescent="0.2">
      <c r="A407" s="9">
        <v>44518</v>
      </c>
      <c r="B407" s="4" t="s">
        <v>224</v>
      </c>
      <c r="C407" s="8">
        <v>44501</v>
      </c>
      <c r="D407" s="4" t="s">
        <v>179</v>
      </c>
      <c r="E407" s="14">
        <f>IF(SUMIFS('Daily NSE Equity Futures'!$I:$I,'Daily NSE Equity Futures'!$A:$A,$A407)=0,"",SUMIFS('Daily NSE Equity Futures'!$I:$I,'Daily NSE Equity Futures'!$A:$A,$A407))</f>
        <v>1411.2307000000001</v>
      </c>
      <c r="F407" s="6">
        <f>IF(SUMIFS('Daily BSE Equity Futures'!$I:$I,'Daily BSE Equity Futures'!$A:$A,$A407)=0,"",SUMIFS('Daily BSE Equity Futures'!$I:$I,'Daily BSE Equity Futures'!$A:$A,$A407))</f>
        <v>2.8E-3</v>
      </c>
      <c r="G407" s="6">
        <f t="shared" si="72"/>
        <v>1411.2335</v>
      </c>
      <c r="H407" s="15">
        <f t="shared" si="73"/>
        <v>0.99999801592011528</v>
      </c>
      <c r="I407" s="15">
        <f t="shared" si="74"/>
        <v>1.9840798847249586E-6</v>
      </c>
      <c r="J407" s="20">
        <f t="shared" si="75"/>
        <v>0.40176778620566145</v>
      </c>
      <c r="K407" s="15">
        <f t="shared" si="76"/>
        <v>-0.98780487804878048</v>
      </c>
      <c r="L407" s="15">
        <f t="shared" si="77"/>
        <v>0.40145095192031066</v>
      </c>
      <c r="M407" s="15">
        <f t="shared" si="81"/>
        <v>0.46200859781590276</v>
      </c>
      <c r="N407" s="15">
        <f t="shared" si="82"/>
        <v>2.1111111111111112</v>
      </c>
      <c r="O407" s="15">
        <f t="shared" si="83"/>
        <v>0.46201013540988001</v>
      </c>
      <c r="P407" s="18">
        <f>IF(SUMIFS('Daily NSE Equity Futures'!$J:$J,'Daily NSE Equity Futures'!$A:$A,$A407)=0,"",SUMIFS('Daily NSE Equity Futures'!$J:$J,'Daily NSE Equity Futures'!$A:$A,$A407))</f>
        <v>1709806</v>
      </c>
      <c r="Q407" s="7">
        <f>IF(SUMIFS('Daily BSE Equity Futures'!$J:$J,'Daily BSE Equity Futures'!$A:$A,$A407)=0,"",SUMIFS('Daily BSE Equity Futures'!$J:$J,'Daily BSE Equity Futures'!$A:$A,$A407))</f>
        <v>3</v>
      </c>
      <c r="R407" s="7">
        <f t="shared" si="78"/>
        <v>1709809</v>
      </c>
      <c r="S407" s="19">
        <f t="shared" si="79"/>
        <v>0.99999824541805549</v>
      </c>
      <c r="T407" s="19">
        <f t="shared" si="80"/>
        <v>1.7545819445329858E-6</v>
      </c>
    </row>
    <row r="408" spans="1:20" x14ac:dyDescent="0.2">
      <c r="A408" s="9">
        <v>44522</v>
      </c>
      <c r="B408" s="4" t="s">
        <v>225</v>
      </c>
      <c r="C408" s="8">
        <v>44501</v>
      </c>
      <c r="D408" s="4" t="s">
        <v>179</v>
      </c>
      <c r="E408" s="14">
        <f>IF(SUMIFS('Daily NSE Equity Futures'!$I:$I,'Daily NSE Equity Futures'!$A:$A,$A408)=0,"",SUMIFS('Daily NSE Equity Futures'!$I:$I,'Daily NSE Equity Futures'!$A:$A,$A408))</f>
        <v>2117.5353</v>
      </c>
      <c r="F408" s="6">
        <f>IF(SUMIFS('Daily BSE Equity Futures'!$I:$I,'Daily BSE Equity Futures'!$A:$A,$A408)=0,"",SUMIFS('Daily BSE Equity Futures'!$I:$I,'Daily BSE Equity Futures'!$A:$A,$A408))</f>
        <v>3.7000000000000002E-3</v>
      </c>
      <c r="G408" s="6">
        <f t="shared" si="72"/>
        <v>2117.5390000000002</v>
      </c>
      <c r="H408" s="15">
        <f t="shared" si="73"/>
        <v>0.99999825268861631</v>
      </c>
      <c r="I408" s="15">
        <f t="shared" si="74"/>
        <v>1.747311383639215E-6</v>
      </c>
      <c r="J408" s="20" t="str">
        <f t="shared" si="75"/>
        <v/>
      </c>
      <c r="K408" s="15" t="str">
        <f t="shared" si="76"/>
        <v/>
      </c>
      <c r="L408" s="15" t="str">
        <f t="shared" si="77"/>
        <v/>
      </c>
      <c r="M408" s="15">
        <f t="shared" si="81"/>
        <v>0.50048840349065538</v>
      </c>
      <c r="N408" s="15">
        <f t="shared" si="82"/>
        <v>0.3214285714285714</v>
      </c>
      <c r="O408" s="15">
        <f t="shared" si="83"/>
        <v>0.5004880482216445</v>
      </c>
      <c r="P408" s="18">
        <f>IF(SUMIFS('Daily NSE Equity Futures'!$J:$J,'Daily NSE Equity Futures'!$A:$A,$A408)=0,"",SUMIFS('Daily NSE Equity Futures'!$J:$J,'Daily NSE Equity Futures'!$A:$A,$A408))</f>
        <v>2715983</v>
      </c>
      <c r="Q408" s="7">
        <f>IF(SUMIFS('Daily BSE Equity Futures'!$J:$J,'Daily BSE Equity Futures'!$A:$A,$A408)=0,"",SUMIFS('Daily BSE Equity Futures'!$J:$J,'Daily BSE Equity Futures'!$A:$A,$A408))</f>
        <v>4</v>
      </c>
      <c r="R408" s="7">
        <f t="shared" si="78"/>
        <v>2715987</v>
      </c>
      <c r="S408" s="19">
        <f t="shared" si="79"/>
        <v>0.99999852723890059</v>
      </c>
      <c r="T408" s="19">
        <f t="shared" si="80"/>
        <v>1.4727610993719778E-6</v>
      </c>
    </row>
    <row r="409" spans="1:20" x14ac:dyDescent="0.2">
      <c r="A409" s="9">
        <v>44523</v>
      </c>
      <c r="B409" s="4" t="s">
        <v>223</v>
      </c>
      <c r="C409" s="8">
        <v>44501</v>
      </c>
      <c r="D409" s="4" t="s">
        <v>179</v>
      </c>
      <c r="E409" s="14">
        <f>IF(SUMIFS('Daily NSE Equity Futures'!$I:$I,'Daily NSE Equity Futures'!$A:$A,$A409)=0,"",SUMIFS('Daily NSE Equity Futures'!$I:$I,'Daily NSE Equity Futures'!$A:$A,$A409))</f>
        <v>2260.9974999999999</v>
      </c>
      <c r="F409" s="6">
        <f>IF(SUMIFS('Daily BSE Equity Futures'!$I:$I,'Daily BSE Equity Futures'!$A:$A,$A409)=0,"",SUMIFS('Daily BSE Equity Futures'!$I:$I,'Daily BSE Equity Futures'!$A:$A,$A409))</f>
        <v>3.5999999999999999E-3</v>
      </c>
      <c r="G409" s="6">
        <f t="shared" si="72"/>
        <v>2261.0011</v>
      </c>
      <c r="H409" s="15">
        <f t="shared" si="73"/>
        <v>0.99999840778494098</v>
      </c>
      <c r="I409" s="15">
        <f t="shared" si="74"/>
        <v>1.5922150590727267E-6</v>
      </c>
      <c r="J409" s="20">
        <f t="shared" si="75"/>
        <v>0.35625775380193492</v>
      </c>
      <c r="K409" s="15">
        <f t="shared" si="76"/>
        <v>-0.99193548387096775</v>
      </c>
      <c r="L409" s="15">
        <f t="shared" si="77"/>
        <v>0.35589684106773856</v>
      </c>
      <c r="M409" s="15">
        <f t="shared" si="81"/>
        <v>6.7749614374787548E-2</v>
      </c>
      <c r="N409" s="15">
        <f t="shared" si="82"/>
        <v>-2.7027027027027084E-2</v>
      </c>
      <c r="O409" s="15">
        <f t="shared" si="83"/>
        <v>6.7749448770483056E-2</v>
      </c>
      <c r="P409" s="18">
        <f>IF(SUMIFS('Daily NSE Equity Futures'!$J:$J,'Daily NSE Equity Futures'!$A:$A,$A409)=0,"",SUMIFS('Daily NSE Equity Futures'!$J:$J,'Daily NSE Equity Futures'!$A:$A,$A409))</f>
        <v>2938775</v>
      </c>
      <c r="Q409" s="7">
        <f>IF(SUMIFS('Daily BSE Equity Futures'!$J:$J,'Daily BSE Equity Futures'!$A:$A,$A409)=0,"",SUMIFS('Daily BSE Equity Futures'!$J:$J,'Daily BSE Equity Futures'!$A:$A,$A409))</f>
        <v>4</v>
      </c>
      <c r="R409" s="7">
        <f t="shared" si="78"/>
        <v>2938779</v>
      </c>
      <c r="S409" s="19">
        <f t="shared" si="79"/>
        <v>0.99999863889050522</v>
      </c>
      <c r="T409" s="19">
        <f t="shared" si="80"/>
        <v>1.3611094947935861E-6</v>
      </c>
    </row>
    <row r="410" spans="1:20" x14ac:dyDescent="0.2">
      <c r="A410" s="9">
        <v>44524</v>
      </c>
      <c r="B410" s="4" t="s">
        <v>221</v>
      </c>
      <c r="C410" s="8">
        <v>44501</v>
      </c>
      <c r="D410" s="4" t="s">
        <v>179</v>
      </c>
      <c r="E410" s="14">
        <f>IF(SUMIFS('Daily NSE Equity Futures'!$I:$I,'Daily NSE Equity Futures'!$A:$A,$A410)=0,"",SUMIFS('Daily NSE Equity Futures'!$I:$I,'Daily NSE Equity Futures'!$A:$A,$A410))</f>
        <v>2097.4486000000002</v>
      </c>
      <c r="F410" s="6">
        <f>IF(SUMIFS('Daily BSE Equity Futures'!$I:$I,'Daily BSE Equity Futures'!$A:$A,$A410)=0,"",SUMIFS('Daily BSE Equity Futures'!$I:$I,'Daily BSE Equity Futures'!$A:$A,$A410))</f>
        <v>1.8E-3</v>
      </c>
      <c r="G410" s="6">
        <f t="shared" si="72"/>
        <v>2097.4504000000002</v>
      </c>
      <c r="H410" s="15">
        <f t="shared" si="73"/>
        <v>0.99999914181522476</v>
      </c>
      <c r="I410" s="15">
        <f t="shared" si="74"/>
        <v>8.5818477519182325E-7</v>
      </c>
      <c r="J410" s="20">
        <f t="shared" si="75"/>
        <v>0.16556774598569479</v>
      </c>
      <c r="K410" s="15">
        <f t="shared" si="76"/>
        <v>-0.9799777530589544</v>
      </c>
      <c r="L410" s="15">
        <f t="shared" si="77"/>
        <v>0.16551051957159335</v>
      </c>
      <c r="M410" s="15">
        <f t="shared" si="81"/>
        <v>-7.233484336006557E-2</v>
      </c>
      <c r="N410" s="15">
        <f t="shared" si="82"/>
        <v>-0.5</v>
      </c>
      <c r="O410" s="15">
        <f t="shared" si="83"/>
        <v>-7.2335524294968145E-2</v>
      </c>
      <c r="P410" s="18">
        <f>IF(SUMIFS('Daily NSE Equity Futures'!$J:$J,'Daily NSE Equity Futures'!$A:$A,$A410)=0,"",SUMIFS('Daily NSE Equity Futures'!$J:$J,'Daily NSE Equity Futures'!$A:$A,$A410))</f>
        <v>2664908</v>
      </c>
      <c r="Q410" s="7">
        <f>IF(SUMIFS('Daily BSE Equity Futures'!$J:$J,'Daily BSE Equity Futures'!$A:$A,$A410)=0,"",SUMIFS('Daily BSE Equity Futures'!$J:$J,'Daily BSE Equity Futures'!$A:$A,$A410))</f>
        <v>2</v>
      </c>
      <c r="R410" s="7">
        <f t="shared" si="78"/>
        <v>2664910</v>
      </c>
      <c r="S410" s="19">
        <f t="shared" si="79"/>
        <v>0.99999924950561181</v>
      </c>
      <c r="T410" s="19">
        <f t="shared" si="80"/>
        <v>7.5049438817821237E-7</v>
      </c>
    </row>
    <row r="411" spans="1:20" x14ac:dyDescent="0.2">
      <c r="A411" s="9">
        <v>44525</v>
      </c>
      <c r="B411" s="4" t="s">
        <v>224</v>
      </c>
      <c r="C411" s="8">
        <v>44501</v>
      </c>
      <c r="D411" s="4" t="s">
        <v>179</v>
      </c>
      <c r="E411" s="14">
        <f>IF(SUMIFS('Daily NSE Equity Futures'!$I:$I,'Daily NSE Equity Futures'!$A:$A,$A411)=0,"",SUMIFS('Daily NSE Equity Futures'!$I:$I,'Daily NSE Equity Futures'!$A:$A,$A411))</f>
        <v>2174.2082999999998</v>
      </c>
      <c r="F411" s="6">
        <f>IF(SUMIFS('Daily BSE Equity Futures'!$I:$I,'Daily BSE Equity Futures'!$A:$A,$A411)=0,"",SUMIFS('Daily BSE Equity Futures'!$I:$I,'Daily BSE Equity Futures'!$A:$A,$A411))</f>
        <v>1.8E-3</v>
      </c>
      <c r="G411" s="6">
        <f t="shared" si="72"/>
        <v>2174.2100999999998</v>
      </c>
      <c r="H411" s="15">
        <f t="shared" si="73"/>
        <v>0.99999917211312739</v>
      </c>
      <c r="I411" s="15">
        <f t="shared" si="74"/>
        <v>8.278868725704108E-7</v>
      </c>
      <c r="J411" s="20">
        <f t="shared" si="75"/>
        <v>5.7201162265268612E-2</v>
      </c>
      <c r="K411" s="15">
        <f t="shared" si="76"/>
        <v>-0.99306625577812013</v>
      </c>
      <c r="L411" s="15">
        <f t="shared" si="77"/>
        <v>5.7068604172722637E-2</v>
      </c>
      <c r="M411" s="15">
        <f t="shared" si="81"/>
        <v>3.6596701344671523E-2</v>
      </c>
      <c r="N411" s="15">
        <f t="shared" si="82"/>
        <v>0</v>
      </c>
      <c r="O411" s="15">
        <f t="shared" si="83"/>
        <v>3.6596669937939641E-2</v>
      </c>
      <c r="P411" s="18">
        <f>IF(SUMIFS('Daily NSE Equity Futures'!$J:$J,'Daily NSE Equity Futures'!$A:$A,$A411)=0,"",SUMIFS('Daily NSE Equity Futures'!$J:$J,'Daily NSE Equity Futures'!$A:$A,$A411))</f>
        <v>2825561</v>
      </c>
      <c r="Q411" s="7">
        <f>IF(SUMIFS('Daily BSE Equity Futures'!$J:$J,'Daily BSE Equity Futures'!$A:$A,$A411)=0,"",SUMIFS('Daily BSE Equity Futures'!$J:$J,'Daily BSE Equity Futures'!$A:$A,$A411))</f>
        <v>2</v>
      </c>
      <c r="R411" s="7">
        <f t="shared" si="78"/>
        <v>2825563</v>
      </c>
      <c r="S411" s="19">
        <f t="shared" si="79"/>
        <v>0.99999929217646177</v>
      </c>
      <c r="T411" s="19">
        <f t="shared" si="80"/>
        <v>7.0782353817628563E-7</v>
      </c>
    </row>
    <row r="412" spans="1:20" x14ac:dyDescent="0.2">
      <c r="A412" s="9">
        <v>44526</v>
      </c>
      <c r="B412" s="4" t="s">
        <v>222</v>
      </c>
      <c r="C412" s="8">
        <v>44501</v>
      </c>
      <c r="D412" s="4" t="s">
        <v>179</v>
      </c>
      <c r="E412" s="14">
        <f>IF(SUMIFS('Daily NSE Equity Futures'!$I:$I,'Daily NSE Equity Futures'!$A:$A,$A412)=0,"",SUMIFS('Daily NSE Equity Futures'!$I:$I,'Daily NSE Equity Futures'!$A:$A,$A412))</f>
        <v>1307.8775000000001</v>
      </c>
      <c r="F412" s="6">
        <f>IF(SUMIFS('Daily BSE Equity Futures'!$I:$I,'Daily BSE Equity Futures'!$A:$A,$A412)=0,"",SUMIFS('Daily BSE Equity Futures'!$I:$I,'Daily BSE Equity Futures'!$A:$A,$A412))</f>
        <v>2.7000000000000001E-3</v>
      </c>
      <c r="G412" s="6">
        <f t="shared" si="72"/>
        <v>1307.8802000000001</v>
      </c>
      <c r="H412" s="15">
        <f t="shared" si="73"/>
        <v>0.9999979355907368</v>
      </c>
      <c r="I412" s="15">
        <f t="shared" si="74"/>
        <v>2.0644092631725748E-6</v>
      </c>
      <c r="J412" s="20">
        <f t="shared" si="75"/>
        <v>-0.22127686355242704</v>
      </c>
      <c r="K412" s="15">
        <f t="shared" si="76"/>
        <v>-0.99327018943170486</v>
      </c>
      <c r="L412" s="15">
        <f t="shared" si="77"/>
        <v>-0.22146123206354407</v>
      </c>
      <c r="M412" s="15">
        <f t="shared" si="81"/>
        <v>-0.39845805022453451</v>
      </c>
      <c r="N412" s="15">
        <f t="shared" si="82"/>
        <v>0.50000000000000022</v>
      </c>
      <c r="O412" s="15">
        <f t="shared" si="83"/>
        <v>-0.39845730640290922</v>
      </c>
      <c r="P412" s="18">
        <f>IF(SUMIFS('Daily NSE Equity Futures'!$J:$J,'Daily NSE Equity Futures'!$A:$A,$A412)=0,"",SUMIFS('Daily NSE Equity Futures'!$J:$J,'Daily NSE Equity Futures'!$A:$A,$A412))</f>
        <v>1668780</v>
      </c>
      <c r="Q412" s="7">
        <f>IF(SUMIFS('Daily BSE Equity Futures'!$J:$J,'Daily BSE Equity Futures'!$A:$A,$A412)=0,"",SUMIFS('Daily BSE Equity Futures'!$J:$J,'Daily BSE Equity Futures'!$A:$A,$A412))</f>
        <v>3</v>
      </c>
      <c r="R412" s="7">
        <f t="shared" si="78"/>
        <v>1668783</v>
      </c>
      <c r="S412" s="19">
        <f t="shared" si="79"/>
        <v>0.99999820228274139</v>
      </c>
      <c r="T412" s="19">
        <f t="shared" si="80"/>
        <v>1.797717258624998E-6</v>
      </c>
    </row>
    <row r="413" spans="1:20" x14ac:dyDescent="0.2">
      <c r="A413" s="9">
        <v>44529</v>
      </c>
      <c r="B413" s="4" t="s">
        <v>225</v>
      </c>
      <c r="C413" s="8">
        <v>44501</v>
      </c>
      <c r="D413" s="4" t="s">
        <v>179</v>
      </c>
      <c r="E413" s="14">
        <f>IF(SUMIFS('Daily NSE Equity Futures'!$I:$I,'Daily NSE Equity Futures'!$A:$A,$A413)=0,"",SUMIFS('Daily NSE Equity Futures'!$I:$I,'Daily NSE Equity Futures'!$A:$A,$A413))</f>
        <v>1074.9956</v>
      </c>
      <c r="F413" s="6">
        <f>IF(SUMIFS('Daily BSE Equity Futures'!$I:$I,'Daily BSE Equity Futures'!$A:$A,$A413)=0,"",SUMIFS('Daily BSE Equity Futures'!$I:$I,'Daily BSE Equity Futures'!$A:$A,$A413))</f>
        <v>3.5999999999999999E-3</v>
      </c>
      <c r="G413" s="6">
        <f t="shared" si="72"/>
        <v>1074.9992</v>
      </c>
      <c r="H413" s="15">
        <f t="shared" si="73"/>
        <v>0.99999665116029857</v>
      </c>
      <c r="I413" s="15">
        <f t="shared" si="74"/>
        <v>3.3488397014621034E-6</v>
      </c>
      <c r="J413" s="20" t="str">
        <f t="shared" si="75"/>
        <v/>
      </c>
      <c r="K413" s="15" t="str">
        <f t="shared" si="76"/>
        <v/>
      </c>
      <c r="L413" s="15" t="str">
        <f t="shared" si="77"/>
        <v/>
      </c>
      <c r="M413" s="15">
        <f t="shared" si="81"/>
        <v>-0.17806094225185465</v>
      </c>
      <c r="N413" s="15">
        <f t="shared" si="82"/>
        <v>0.33333333333333326</v>
      </c>
      <c r="O413" s="15">
        <f t="shared" si="83"/>
        <v>-0.178059886524775</v>
      </c>
      <c r="P413" s="18">
        <f>IF(SUMIFS('Daily NSE Equity Futures'!$J:$J,'Daily NSE Equity Futures'!$A:$A,$A413)=0,"",SUMIFS('Daily NSE Equity Futures'!$J:$J,'Daily NSE Equity Futures'!$A:$A,$A413))</f>
        <v>1386349</v>
      </c>
      <c r="Q413" s="7">
        <f>IF(SUMIFS('Daily BSE Equity Futures'!$J:$J,'Daily BSE Equity Futures'!$A:$A,$A413)=0,"",SUMIFS('Daily BSE Equity Futures'!$J:$J,'Daily BSE Equity Futures'!$A:$A,$A413))</f>
        <v>4</v>
      </c>
      <c r="R413" s="7">
        <f t="shared" si="78"/>
        <v>1386353</v>
      </c>
      <c r="S413" s="19">
        <f t="shared" si="79"/>
        <v>0.99999711473196218</v>
      </c>
      <c r="T413" s="19">
        <f t="shared" si="80"/>
        <v>2.8852680377941261E-6</v>
      </c>
    </row>
    <row r="414" spans="1:20" x14ac:dyDescent="0.2">
      <c r="A414" s="9">
        <v>44530</v>
      </c>
      <c r="B414" s="4" t="s">
        <v>223</v>
      </c>
      <c r="C414" s="8">
        <v>44501</v>
      </c>
      <c r="D414" s="4" t="s">
        <v>179</v>
      </c>
      <c r="E414" s="14">
        <f>IF(SUMIFS('Daily NSE Equity Futures'!$I:$I,'Daily NSE Equity Futures'!$A:$A,$A414)=0,"",SUMIFS('Daily NSE Equity Futures'!$I:$I,'Daily NSE Equity Futures'!$A:$A,$A414))</f>
        <v>1247.7818</v>
      </c>
      <c r="F414" s="6">
        <f>IF(SUMIFS('Daily BSE Equity Futures'!$I:$I,'Daily BSE Equity Futures'!$A:$A,$A414)=0,"",SUMIFS('Daily BSE Equity Futures'!$I:$I,'Daily BSE Equity Futures'!$A:$A,$A414))</f>
        <v>7.1999999999999998E-3</v>
      </c>
      <c r="G414" s="6">
        <f t="shared" si="72"/>
        <v>1247.789</v>
      </c>
      <c r="H414" s="15">
        <f t="shared" si="73"/>
        <v>0.99999422979365904</v>
      </c>
      <c r="I414" s="15">
        <f t="shared" si="74"/>
        <v>5.7702063409759183E-6</v>
      </c>
      <c r="J414" s="20" t="str">
        <f t="shared" si="75"/>
        <v/>
      </c>
      <c r="K414" s="15" t="str">
        <f t="shared" si="76"/>
        <v/>
      </c>
      <c r="L414" s="15" t="str">
        <f t="shared" si="77"/>
        <v/>
      </c>
      <c r="M414" s="15">
        <f t="shared" si="81"/>
        <v>0.16073200671705079</v>
      </c>
      <c r="N414" s="15">
        <f t="shared" si="82"/>
        <v>1</v>
      </c>
      <c r="O414" s="15">
        <f t="shared" si="83"/>
        <v>0.16073481729102679</v>
      </c>
      <c r="P414" s="18">
        <f>IF(SUMIFS('Daily NSE Equity Futures'!$J:$J,'Daily NSE Equity Futures'!$A:$A,$A414)=0,"",SUMIFS('Daily NSE Equity Futures'!$J:$J,'Daily NSE Equity Futures'!$A:$A,$A414))</f>
        <v>1578207</v>
      </c>
      <c r="Q414" s="7">
        <f>IF(SUMIFS('Daily BSE Equity Futures'!$J:$J,'Daily BSE Equity Futures'!$A:$A,$A414)=0,"",SUMIFS('Daily BSE Equity Futures'!$J:$J,'Daily BSE Equity Futures'!$A:$A,$A414))</f>
        <v>8</v>
      </c>
      <c r="R414" s="7">
        <f t="shared" si="78"/>
        <v>1578215</v>
      </c>
      <c r="S414" s="19">
        <f t="shared" si="79"/>
        <v>0.99999493098215386</v>
      </c>
      <c r="T414" s="19">
        <f t="shared" si="80"/>
        <v>5.0690178461109544E-6</v>
      </c>
    </row>
    <row r="415" spans="1:20" x14ac:dyDescent="0.2">
      <c r="A415" s="9">
        <v>44531</v>
      </c>
      <c r="B415" s="4" t="s">
        <v>221</v>
      </c>
      <c r="C415" s="8">
        <v>44531</v>
      </c>
      <c r="D415" s="4" t="s">
        <v>179</v>
      </c>
      <c r="E415" s="14">
        <f>IF(SUMIFS('Daily NSE Equity Futures'!$I:$I,'Daily NSE Equity Futures'!$A:$A,$A415)=0,"",SUMIFS('Daily NSE Equity Futures'!$I:$I,'Daily NSE Equity Futures'!$A:$A,$A415))</f>
        <v>891.90049999999997</v>
      </c>
      <c r="F415" s="6">
        <f>IF(SUMIFS('Daily BSE Equity Futures'!$I:$I,'Daily BSE Equity Futures'!$A:$A,$A415)=0,"",SUMIFS('Daily BSE Equity Futures'!$I:$I,'Daily BSE Equity Futures'!$A:$A,$A415))</f>
        <v>8.9999999999999998E-4</v>
      </c>
      <c r="G415" s="6">
        <f t="shared" si="72"/>
        <v>891.90139999999997</v>
      </c>
      <c r="H415" s="15">
        <f t="shared" si="73"/>
        <v>0.99999899091984834</v>
      </c>
      <c r="I415" s="15">
        <f t="shared" si="74"/>
        <v>1.0090801516849283E-6</v>
      </c>
      <c r="J415" s="20">
        <f t="shared" si="75"/>
        <v>9.644466430421228E-2</v>
      </c>
      <c r="K415" s="15">
        <f t="shared" si="76"/>
        <v>-0.99113300492610834</v>
      </c>
      <c r="L415" s="15">
        <f t="shared" si="77"/>
        <v>9.6308975989531254E-2</v>
      </c>
      <c r="M415" s="15">
        <f t="shared" si="81"/>
        <v>-0.28521116432376237</v>
      </c>
      <c r="N415" s="15">
        <f t="shared" si="82"/>
        <v>-0.875</v>
      </c>
      <c r="O415" s="15">
        <f t="shared" si="83"/>
        <v>-0.28521456752704188</v>
      </c>
      <c r="P415" s="18">
        <f>IF(SUMIFS('Daily NSE Equity Futures'!$J:$J,'Daily NSE Equity Futures'!$A:$A,$A415)=0,"",SUMIFS('Daily NSE Equity Futures'!$J:$J,'Daily NSE Equity Futures'!$A:$A,$A415))</f>
        <v>1125549</v>
      </c>
      <c r="Q415" s="7">
        <f>IF(SUMIFS('Daily BSE Equity Futures'!$J:$J,'Daily BSE Equity Futures'!$A:$A,$A415)=0,"",SUMIFS('Daily BSE Equity Futures'!$J:$J,'Daily BSE Equity Futures'!$A:$A,$A415))</f>
        <v>1</v>
      </c>
      <c r="R415" s="7">
        <f t="shared" si="78"/>
        <v>1125550</v>
      </c>
      <c r="S415" s="19">
        <f t="shared" si="79"/>
        <v>0.99999911154546661</v>
      </c>
      <c r="T415" s="19">
        <f t="shared" si="80"/>
        <v>8.8845453333925636E-7</v>
      </c>
    </row>
    <row r="416" spans="1:20" x14ac:dyDescent="0.2">
      <c r="A416" s="9">
        <v>44532</v>
      </c>
      <c r="B416" s="4" t="s">
        <v>224</v>
      </c>
      <c r="C416" s="8">
        <v>44531</v>
      </c>
      <c r="D416" s="4" t="s">
        <v>179</v>
      </c>
      <c r="E416" s="14">
        <f>IF(SUMIFS('Daily NSE Equity Futures'!$I:$I,'Daily NSE Equity Futures'!$A:$A,$A416)=0,"",SUMIFS('Daily NSE Equity Futures'!$I:$I,'Daily NSE Equity Futures'!$A:$A,$A416))</f>
        <v>788.22810000000004</v>
      </c>
      <c r="F416" s="6">
        <f>IF(SUMIFS('Daily BSE Equity Futures'!$I:$I,'Daily BSE Equity Futures'!$A:$A,$A416)=0,"",SUMIFS('Daily BSE Equity Futures'!$I:$I,'Daily BSE Equity Futures'!$A:$A,$A416))</f>
        <v>1.8E-3</v>
      </c>
      <c r="G416" s="6">
        <f t="shared" si="72"/>
        <v>788.22990000000004</v>
      </c>
      <c r="H416" s="15">
        <f t="shared" si="73"/>
        <v>0.99999771640228319</v>
      </c>
      <c r="I416" s="15">
        <f t="shared" si="74"/>
        <v>2.2835977168590026E-6</v>
      </c>
      <c r="J416" s="20">
        <f t="shared" si="75"/>
        <v>-0.16859855310506078</v>
      </c>
      <c r="K416" s="15">
        <f t="shared" si="76"/>
        <v>-0.99349005424954795</v>
      </c>
      <c r="L416" s="15">
        <f t="shared" si="77"/>
        <v>-0.16883905814753042</v>
      </c>
      <c r="M416" s="15">
        <f t="shared" si="81"/>
        <v>-0.11623762964590778</v>
      </c>
      <c r="N416" s="15">
        <f t="shared" si="82"/>
        <v>1</v>
      </c>
      <c r="O416" s="15">
        <f t="shared" si="83"/>
        <v>-0.1162365032726711</v>
      </c>
      <c r="P416" s="18">
        <f>IF(SUMIFS('Daily NSE Equity Futures'!$J:$J,'Daily NSE Equity Futures'!$A:$A,$A416)=0,"",SUMIFS('Daily NSE Equity Futures'!$J:$J,'Daily NSE Equity Futures'!$A:$A,$A416))</f>
        <v>988082</v>
      </c>
      <c r="Q416" s="7">
        <f>IF(SUMIFS('Daily BSE Equity Futures'!$J:$J,'Daily BSE Equity Futures'!$A:$A,$A416)=0,"",SUMIFS('Daily BSE Equity Futures'!$J:$J,'Daily BSE Equity Futures'!$A:$A,$A416))</f>
        <v>2</v>
      </c>
      <c r="R416" s="7">
        <f t="shared" si="78"/>
        <v>988084</v>
      </c>
      <c r="S416" s="19">
        <f t="shared" si="79"/>
        <v>0.99999797588059314</v>
      </c>
      <c r="T416" s="19">
        <f t="shared" si="80"/>
        <v>2.0241194068520492E-6</v>
      </c>
    </row>
    <row r="417" spans="1:20" x14ac:dyDescent="0.2">
      <c r="A417" s="9">
        <v>44533</v>
      </c>
      <c r="B417" s="4" t="s">
        <v>222</v>
      </c>
      <c r="C417" s="8">
        <v>44531</v>
      </c>
      <c r="D417" s="4" t="s">
        <v>179</v>
      </c>
      <c r="E417" s="14">
        <f>IF(SUMIFS('Daily NSE Equity Futures'!$I:$I,'Daily NSE Equity Futures'!$A:$A,$A417)=0,"",SUMIFS('Daily NSE Equity Futures'!$I:$I,'Daily NSE Equity Futures'!$A:$A,$A417))</f>
        <v>936.63980000000004</v>
      </c>
      <c r="F417" s="6">
        <f>IF(SUMIFS('Daily BSE Equity Futures'!$I:$I,'Daily BSE Equity Futures'!$A:$A,$A417)=0,"",SUMIFS('Daily BSE Equity Futures'!$I:$I,'Daily BSE Equity Futures'!$A:$A,$A417))</f>
        <v>3.5999999999999999E-3</v>
      </c>
      <c r="G417" s="6">
        <f t="shared" si="72"/>
        <v>936.64340000000004</v>
      </c>
      <c r="H417" s="15">
        <f t="shared" si="73"/>
        <v>0.99999615648815765</v>
      </c>
      <c r="I417" s="15">
        <f t="shared" si="74"/>
        <v>3.8435118423938069E-6</v>
      </c>
      <c r="J417" s="20">
        <f t="shared" si="75"/>
        <v>2.4641213046631139E-2</v>
      </c>
      <c r="K417" s="15">
        <f t="shared" si="76"/>
        <v>-0.97721518987341771</v>
      </c>
      <c r="L417" s="15">
        <f t="shared" si="77"/>
        <v>2.4468077310396019E-2</v>
      </c>
      <c r="M417" s="15">
        <f t="shared" si="81"/>
        <v>0.18828521845389679</v>
      </c>
      <c r="N417" s="15">
        <f t="shared" si="82"/>
        <v>1</v>
      </c>
      <c r="O417" s="15">
        <f t="shared" si="83"/>
        <v>0.18828707208391871</v>
      </c>
      <c r="P417" s="18">
        <f>IF(SUMIFS('Daily NSE Equity Futures'!$J:$J,'Daily NSE Equity Futures'!$A:$A,$A417)=0,"",SUMIFS('Daily NSE Equity Futures'!$J:$J,'Daily NSE Equity Futures'!$A:$A,$A417))</f>
        <v>1177815</v>
      </c>
      <c r="Q417" s="7">
        <f>IF(SUMIFS('Daily BSE Equity Futures'!$J:$J,'Daily BSE Equity Futures'!$A:$A,$A417)=0,"",SUMIFS('Daily BSE Equity Futures'!$J:$J,'Daily BSE Equity Futures'!$A:$A,$A417))</f>
        <v>4</v>
      </c>
      <c r="R417" s="7">
        <f t="shared" si="78"/>
        <v>1177819</v>
      </c>
      <c r="S417" s="19">
        <f t="shared" si="79"/>
        <v>0.99999660389244871</v>
      </c>
      <c r="T417" s="19">
        <f t="shared" si="80"/>
        <v>3.3961075513300429E-6</v>
      </c>
    </row>
    <row r="418" spans="1:20" x14ac:dyDescent="0.2">
      <c r="A418" s="9">
        <v>44536</v>
      </c>
      <c r="B418" s="4" t="s">
        <v>225</v>
      </c>
      <c r="C418" s="8">
        <v>44531</v>
      </c>
      <c r="D418" s="4" t="s">
        <v>179</v>
      </c>
      <c r="E418" s="14">
        <f>IF(SUMIFS('Daily NSE Equity Futures'!$I:$I,'Daily NSE Equity Futures'!$A:$A,$A418)=0,"",SUMIFS('Daily NSE Equity Futures'!$I:$I,'Daily NSE Equity Futures'!$A:$A,$A418))</f>
        <v>769.9325</v>
      </c>
      <c r="F418" s="6">
        <f>IF(SUMIFS('Daily BSE Equity Futures'!$I:$I,'Daily BSE Equity Futures'!$A:$A,$A418)=0,"",SUMIFS('Daily BSE Equity Futures'!$I:$I,'Daily BSE Equity Futures'!$A:$A,$A418))</f>
        <v>2.7000000000000001E-3</v>
      </c>
      <c r="G418" s="6">
        <f t="shared" si="72"/>
        <v>769.93520000000001</v>
      </c>
      <c r="H418" s="15">
        <f t="shared" si="73"/>
        <v>0.99999649321137674</v>
      </c>
      <c r="I418" s="15">
        <f t="shared" si="74"/>
        <v>3.5067886232503723E-6</v>
      </c>
      <c r="J418" s="20" t="str">
        <f t="shared" si="75"/>
        <v/>
      </c>
      <c r="K418" s="15" t="str">
        <f t="shared" si="76"/>
        <v/>
      </c>
      <c r="L418" s="15" t="str">
        <f t="shared" si="77"/>
        <v/>
      </c>
      <c r="M418" s="15">
        <f t="shared" si="81"/>
        <v>-0.17798442901956546</v>
      </c>
      <c r="N418" s="15">
        <f t="shared" si="82"/>
        <v>-0.24999999999999989</v>
      </c>
      <c r="O418" s="15">
        <f t="shared" si="83"/>
        <v>-0.17798470581226544</v>
      </c>
      <c r="P418" s="18">
        <f>IF(SUMIFS('Daily NSE Equity Futures'!$J:$J,'Daily NSE Equity Futures'!$A:$A,$A418)=0,"",SUMIFS('Daily NSE Equity Futures'!$J:$J,'Daily NSE Equity Futures'!$A:$A,$A418))</f>
        <v>981521</v>
      </c>
      <c r="Q418" s="7">
        <f>IF(SUMIFS('Daily BSE Equity Futures'!$J:$J,'Daily BSE Equity Futures'!$A:$A,$A418)=0,"",SUMIFS('Daily BSE Equity Futures'!$J:$J,'Daily BSE Equity Futures'!$A:$A,$A418))</f>
        <v>3</v>
      </c>
      <c r="R418" s="7">
        <f t="shared" si="78"/>
        <v>981524</v>
      </c>
      <c r="S418" s="19">
        <f t="shared" si="79"/>
        <v>0.99999694352863511</v>
      </c>
      <c r="T418" s="19">
        <f t="shared" si="80"/>
        <v>3.0564713649386059E-6</v>
      </c>
    </row>
    <row r="419" spans="1:20" x14ac:dyDescent="0.2">
      <c r="A419" s="9">
        <v>44537</v>
      </c>
      <c r="B419" s="4" t="s">
        <v>223</v>
      </c>
      <c r="C419" s="8">
        <v>44531</v>
      </c>
      <c r="D419" s="4" t="s">
        <v>179</v>
      </c>
      <c r="E419" s="14">
        <f>IF(SUMIFS('Daily NSE Equity Futures'!$I:$I,'Daily NSE Equity Futures'!$A:$A,$A419)=0,"",SUMIFS('Daily NSE Equity Futures'!$I:$I,'Daily NSE Equity Futures'!$A:$A,$A419))</f>
        <v>874.41610000000003</v>
      </c>
      <c r="F419" s="6">
        <f>IF(SUMIFS('Daily BSE Equity Futures'!$I:$I,'Daily BSE Equity Futures'!$A:$A,$A419)=0,"",SUMIFS('Daily BSE Equity Futures'!$I:$I,'Daily BSE Equity Futures'!$A:$A,$A419))</f>
        <v>2.7000000000000001E-3</v>
      </c>
      <c r="G419" s="6">
        <f t="shared" si="72"/>
        <v>874.41880000000003</v>
      </c>
      <c r="H419" s="15">
        <f t="shared" si="73"/>
        <v>0.99999691223473242</v>
      </c>
      <c r="I419" s="15">
        <f t="shared" si="74"/>
        <v>3.0877652676269084E-6</v>
      </c>
      <c r="J419" s="20">
        <f t="shared" si="75"/>
        <v>1.3647003235171651E-2</v>
      </c>
      <c r="K419" s="15">
        <f t="shared" si="76"/>
        <v>-0.99112134166392629</v>
      </c>
      <c r="L419" s="15">
        <f t="shared" si="77"/>
        <v>1.3292926095057833E-2</v>
      </c>
      <c r="M419" s="15">
        <f t="shared" si="81"/>
        <v>0.13570488322028229</v>
      </c>
      <c r="N419" s="15">
        <f t="shared" si="82"/>
        <v>0</v>
      </c>
      <c r="O419" s="15">
        <f t="shared" si="83"/>
        <v>0.13570440733194178</v>
      </c>
      <c r="P419" s="18">
        <f>IF(SUMIFS('Daily NSE Equity Futures'!$J:$J,'Daily NSE Equity Futures'!$A:$A,$A419)=0,"",SUMIFS('Daily NSE Equity Futures'!$J:$J,'Daily NSE Equity Futures'!$A:$A,$A419))</f>
        <v>1094776</v>
      </c>
      <c r="Q419" s="7">
        <f>IF(SUMIFS('Daily BSE Equity Futures'!$J:$J,'Daily BSE Equity Futures'!$A:$A,$A419)=0,"",SUMIFS('Daily BSE Equity Futures'!$J:$J,'Daily BSE Equity Futures'!$A:$A,$A419))</f>
        <v>3</v>
      </c>
      <c r="R419" s="7">
        <f t="shared" si="78"/>
        <v>1094779</v>
      </c>
      <c r="S419" s="19">
        <f t="shared" si="79"/>
        <v>0.99999725972091169</v>
      </c>
      <c r="T419" s="19">
        <f t="shared" si="80"/>
        <v>2.7402790882908789E-6</v>
      </c>
    </row>
    <row r="420" spans="1:20" x14ac:dyDescent="0.2">
      <c r="A420" s="9">
        <v>44538</v>
      </c>
      <c r="B420" s="4" t="s">
        <v>221</v>
      </c>
      <c r="C420" s="8">
        <v>44531</v>
      </c>
      <c r="D420" s="4" t="s">
        <v>179</v>
      </c>
      <c r="E420" s="14">
        <f>IF(SUMIFS('Daily NSE Equity Futures'!$I:$I,'Daily NSE Equity Futures'!$A:$A,$A420)=0,"",SUMIFS('Daily NSE Equity Futures'!$I:$I,'Daily NSE Equity Futures'!$A:$A,$A420))</f>
        <v>864.04020000000003</v>
      </c>
      <c r="F420" s="6">
        <f>IF(SUMIFS('Daily BSE Equity Futures'!$I:$I,'Daily BSE Equity Futures'!$A:$A,$A420)=0,"",SUMIFS('Daily BSE Equity Futures'!$I:$I,'Daily BSE Equity Futures'!$A:$A,$A420))</f>
        <v>1.8E-3</v>
      </c>
      <c r="G420" s="6">
        <f t="shared" si="72"/>
        <v>864.04200000000003</v>
      </c>
      <c r="H420" s="15">
        <f t="shared" si="73"/>
        <v>0.99999791676793492</v>
      </c>
      <c r="I420" s="15">
        <f t="shared" si="74"/>
        <v>2.0832320651079459E-6</v>
      </c>
      <c r="J420" s="20">
        <f t="shared" si="75"/>
        <v>-7.5282817584905182E-2</v>
      </c>
      <c r="K420" s="15">
        <f t="shared" si="76"/>
        <v>-0.99207397622192861</v>
      </c>
      <c r="L420" s="15">
        <f t="shared" si="77"/>
        <v>-7.55055877299875E-2</v>
      </c>
      <c r="M420" s="15">
        <f t="shared" si="81"/>
        <v>-1.1866089839837168E-2</v>
      </c>
      <c r="N420" s="15">
        <f t="shared" si="82"/>
        <v>-0.33333333333333337</v>
      </c>
      <c r="O420" s="15">
        <f t="shared" si="83"/>
        <v>-1.1867082455226274E-2</v>
      </c>
      <c r="P420" s="18">
        <f>IF(SUMIFS('Daily NSE Equity Futures'!$J:$J,'Daily NSE Equity Futures'!$A:$A,$A420)=0,"",SUMIFS('Daily NSE Equity Futures'!$J:$J,'Daily NSE Equity Futures'!$A:$A,$A420))</f>
        <v>1076758</v>
      </c>
      <c r="Q420" s="7">
        <f>IF(SUMIFS('Daily BSE Equity Futures'!$J:$J,'Daily BSE Equity Futures'!$A:$A,$A420)=0,"",SUMIFS('Daily BSE Equity Futures'!$J:$J,'Daily BSE Equity Futures'!$A:$A,$A420))</f>
        <v>2</v>
      </c>
      <c r="R420" s="7">
        <f t="shared" si="78"/>
        <v>1076760</v>
      </c>
      <c r="S420" s="19">
        <f t="shared" si="79"/>
        <v>0.99999814257587583</v>
      </c>
      <c r="T420" s="19">
        <f t="shared" si="80"/>
        <v>1.8574241242245254E-6</v>
      </c>
    </row>
    <row r="421" spans="1:20" x14ac:dyDescent="0.2">
      <c r="A421" s="9">
        <v>44539</v>
      </c>
      <c r="B421" s="4" t="s">
        <v>224</v>
      </c>
      <c r="C421" s="8">
        <v>44531</v>
      </c>
      <c r="D421" s="4" t="s">
        <v>179</v>
      </c>
      <c r="E421" s="14">
        <f>IF(SUMIFS('Daily NSE Equity Futures'!$I:$I,'Daily NSE Equity Futures'!$A:$A,$A421)=0,"",SUMIFS('Daily NSE Equity Futures'!$I:$I,'Daily NSE Equity Futures'!$A:$A,$A421))</f>
        <v>820.19179999999994</v>
      </c>
      <c r="F421" s="6">
        <f>IF(SUMIFS('Daily BSE Equity Futures'!$I:$I,'Daily BSE Equity Futures'!$A:$A,$A421)=0,"",SUMIFS('Daily BSE Equity Futures'!$I:$I,'Daily BSE Equity Futures'!$A:$A,$A421))</f>
        <v>2.7000000000000001E-3</v>
      </c>
      <c r="G421" s="6">
        <f t="shared" si="72"/>
        <v>820.19449999999995</v>
      </c>
      <c r="H421" s="15">
        <f t="shared" si="73"/>
        <v>0.99999670809789631</v>
      </c>
      <c r="I421" s="15">
        <f t="shared" si="74"/>
        <v>3.2919021037083282E-6</v>
      </c>
      <c r="J421" s="20">
        <f t="shared" si="75"/>
        <v>-2.1164398765523562E-2</v>
      </c>
      <c r="K421" s="15">
        <f t="shared" si="76"/>
        <v>-0.97929447852760731</v>
      </c>
      <c r="L421" s="15">
        <f t="shared" si="77"/>
        <v>-2.1313482004313933E-2</v>
      </c>
      <c r="M421" s="15">
        <f t="shared" si="81"/>
        <v>-5.0748101766561415E-2</v>
      </c>
      <c r="N421" s="15">
        <f t="shared" si="82"/>
        <v>0.50000000000000022</v>
      </c>
      <c r="O421" s="15">
        <f t="shared" si="83"/>
        <v>-5.074695443045607E-2</v>
      </c>
      <c r="P421" s="18">
        <f>IF(SUMIFS('Daily NSE Equity Futures'!$J:$J,'Daily NSE Equity Futures'!$A:$A,$A421)=0,"",SUMIFS('Daily NSE Equity Futures'!$J:$J,'Daily NSE Equity Futures'!$A:$A,$A421))</f>
        <v>1015277</v>
      </c>
      <c r="Q421" s="7">
        <f>IF(SUMIFS('Daily BSE Equity Futures'!$J:$J,'Daily BSE Equity Futures'!$A:$A,$A421)=0,"",SUMIFS('Daily BSE Equity Futures'!$J:$J,'Daily BSE Equity Futures'!$A:$A,$A421))</f>
        <v>3</v>
      </c>
      <c r="R421" s="7">
        <f t="shared" si="78"/>
        <v>1015280</v>
      </c>
      <c r="S421" s="19">
        <f t="shared" si="79"/>
        <v>0.99999704515010635</v>
      </c>
      <c r="T421" s="19">
        <f t="shared" si="80"/>
        <v>2.9548498936254039E-6</v>
      </c>
    </row>
    <row r="422" spans="1:20" x14ac:dyDescent="0.2">
      <c r="A422" s="9">
        <v>44540</v>
      </c>
      <c r="B422" s="4" t="s">
        <v>222</v>
      </c>
      <c r="C422" s="8">
        <v>44531</v>
      </c>
      <c r="D422" s="4" t="s">
        <v>179</v>
      </c>
      <c r="E422" s="14">
        <f>IF(SUMIFS('Daily NSE Equity Futures'!$I:$I,'Daily NSE Equity Futures'!$A:$A,$A422)=0,"",SUMIFS('Daily NSE Equity Futures'!$I:$I,'Daily NSE Equity Futures'!$A:$A,$A422))</f>
        <v>771.47630000000004</v>
      </c>
      <c r="F422" s="6">
        <f>IF(SUMIFS('Daily BSE Equity Futures'!$I:$I,'Daily BSE Equity Futures'!$A:$A,$A422)=0,"",SUMIFS('Daily BSE Equity Futures'!$I:$I,'Daily BSE Equity Futures'!$A:$A,$A422))</f>
        <v>8.9999999999999998E-4</v>
      </c>
      <c r="G422" s="6">
        <f t="shared" si="72"/>
        <v>771.47720000000004</v>
      </c>
      <c r="H422" s="15">
        <f t="shared" si="73"/>
        <v>0.9999988334068719</v>
      </c>
      <c r="I422" s="15">
        <f t="shared" si="74"/>
        <v>1.1665931280924439E-6</v>
      </c>
      <c r="J422" s="20">
        <f t="shared" si="75"/>
        <v>-0.10654823560149262</v>
      </c>
      <c r="K422" s="15">
        <f t="shared" si="76"/>
        <v>-0.99551122194513719</v>
      </c>
      <c r="L422" s="15">
        <f t="shared" si="77"/>
        <v>-0.10675460521265479</v>
      </c>
      <c r="M422" s="15">
        <f t="shared" si="81"/>
        <v>-5.9395253646768897E-2</v>
      </c>
      <c r="N422" s="15">
        <f t="shared" si="82"/>
        <v>-0.66666666666666674</v>
      </c>
      <c r="O422" s="15">
        <f t="shared" si="83"/>
        <v>-5.9397252724810889E-2</v>
      </c>
      <c r="P422" s="18">
        <f>IF(SUMIFS('Daily NSE Equity Futures'!$J:$J,'Daily NSE Equity Futures'!$A:$A,$A422)=0,"",SUMIFS('Daily NSE Equity Futures'!$J:$J,'Daily NSE Equity Futures'!$A:$A,$A422))</f>
        <v>966218</v>
      </c>
      <c r="Q422" s="7">
        <f>IF(SUMIFS('Daily BSE Equity Futures'!$J:$J,'Daily BSE Equity Futures'!$A:$A,$A422)=0,"",SUMIFS('Daily BSE Equity Futures'!$J:$J,'Daily BSE Equity Futures'!$A:$A,$A422))</f>
        <v>1</v>
      </c>
      <c r="R422" s="7">
        <f t="shared" si="78"/>
        <v>966219</v>
      </c>
      <c r="S422" s="19">
        <f t="shared" si="79"/>
        <v>0.99999896503794683</v>
      </c>
      <c r="T422" s="19">
        <f t="shared" si="80"/>
        <v>1.0349620531163225E-6</v>
      </c>
    </row>
    <row r="423" spans="1:20" x14ac:dyDescent="0.2">
      <c r="A423" s="9">
        <v>44543</v>
      </c>
      <c r="B423" s="4" t="s">
        <v>225</v>
      </c>
      <c r="C423" s="8">
        <v>44531</v>
      </c>
      <c r="D423" s="4" t="s">
        <v>179</v>
      </c>
      <c r="E423" s="14">
        <f>IF(SUMIFS('Daily NSE Equity Futures'!$I:$I,'Daily NSE Equity Futures'!$A:$A,$A423)=0,"",SUMIFS('Daily NSE Equity Futures'!$I:$I,'Daily NSE Equity Futures'!$A:$A,$A423))</f>
        <v>907.10770000000002</v>
      </c>
      <c r="F423" s="6">
        <f>IF(SUMIFS('Daily BSE Equity Futures'!$I:$I,'Daily BSE Equity Futures'!$A:$A,$A423)=0,"",SUMIFS('Daily BSE Equity Futures'!$I:$I,'Daily BSE Equity Futures'!$A:$A,$A423))</f>
        <v>2.8E-3</v>
      </c>
      <c r="G423" s="6">
        <f t="shared" si="72"/>
        <v>907.1105</v>
      </c>
      <c r="H423" s="15">
        <f t="shared" si="73"/>
        <v>0.99999691327572549</v>
      </c>
      <c r="I423" s="15">
        <f t="shared" si="74"/>
        <v>3.0867242744957754E-6</v>
      </c>
      <c r="J423" s="20" t="str">
        <f t="shared" si="75"/>
        <v/>
      </c>
      <c r="K423" s="15" t="str">
        <f t="shared" si="76"/>
        <v/>
      </c>
      <c r="L423" s="15" t="str">
        <f t="shared" si="77"/>
        <v/>
      </c>
      <c r="M423" s="15">
        <f t="shared" si="81"/>
        <v>0.17580760419989572</v>
      </c>
      <c r="N423" s="15">
        <f t="shared" si="82"/>
        <v>2.1111111111111112</v>
      </c>
      <c r="O423" s="15">
        <f t="shared" si="83"/>
        <v>0.17580986191166748</v>
      </c>
      <c r="P423" s="18">
        <f>IF(SUMIFS('Daily NSE Equity Futures'!$J:$J,'Daily NSE Equity Futures'!$A:$A,$A423)=0,"",SUMIFS('Daily NSE Equity Futures'!$J:$J,'Daily NSE Equity Futures'!$A:$A,$A423))</f>
        <v>1117551</v>
      </c>
      <c r="Q423" s="7">
        <f>IF(SUMIFS('Daily BSE Equity Futures'!$J:$J,'Daily BSE Equity Futures'!$A:$A,$A423)=0,"",SUMIFS('Daily BSE Equity Futures'!$J:$J,'Daily BSE Equity Futures'!$A:$A,$A423))</f>
        <v>3</v>
      </c>
      <c r="R423" s="7">
        <f t="shared" si="78"/>
        <v>1117554</v>
      </c>
      <c r="S423" s="19">
        <f t="shared" si="79"/>
        <v>0.99999731556595928</v>
      </c>
      <c r="T423" s="19">
        <f t="shared" si="80"/>
        <v>2.684434040771184E-6</v>
      </c>
    </row>
    <row r="424" spans="1:20" x14ac:dyDescent="0.2">
      <c r="A424" s="9">
        <v>44544</v>
      </c>
      <c r="B424" s="4" t="s">
        <v>223</v>
      </c>
      <c r="C424" s="8">
        <v>44531</v>
      </c>
      <c r="D424" s="4" t="s">
        <v>179</v>
      </c>
      <c r="E424" s="14">
        <f>IF(SUMIFS('Daily NSE Equity Futures'!$I:$I,'Daily NSE Equity Futures'!$A:$A,$A424)=0,"",SUMIFS('Daily NSE Equity Futures'!$I:$I,'Daily NSE Equity Futures'!$A:$A,$A424))</f>
        <v>834.65880000000004</v>
      </c>
      <c r="F424" s="6">
        <f>IF(SUMIFS('Daily BSE Equity Futures'!$I:$I,'Daily BSE Equity Futures'!$A:$A,$A424)=0,"",SUMIFS('Daily BSE Equity Futures'!$I:$I,'Daily BSE Equity Futures'!$A:$A,$A424))</f>
        <v>2.7000000000000001E-3</v>
      </c>
      <c r="G424" s="6">
        <f t="shared" si="72"/>
        <v>834.66150000000005</v>
      </c>
      <c r="H424" s="15">
        <f t="shared" si="73"/>
        <v>0.9999967651556948</v>
      </c>
      <c r="I424" s="15">
        <f t="shared" si="74"/>
        <v>3.2348443051464575E-6</v>
      </c>
      <c r="J424" s="20">
        <f t="shared" si="75"/>
        <v>0.13966384333224835</v>
      </c>
      <c r="K424" s="15">
        <f t="shared" si="76"/>
        <v>-0.99294302143230528</v>
      </c>
      <c r="L424" s="15">
        <f t="shared" si="77"/>
        <v>0.1390724653820361</v>
      </c>
      <c r="M424" s="15">
        <f t="shared" si="81"/>
        <v>-7.9868024491468903E-2</v>
      </c>
      <c r="N424" s="15">
        <f t="shared" si="82"/>
        <v>-3.5714285714285698E-2</v>
      </c>
      <c r="O424" s="15">
        <f t="shared" si="83"/>
        <v>-7.9867888201051507E-2</v>
      </c>
      <c r="P424" s="18">
        <f>IF(SUMIFS('Daily NSE Equity Futures'!$J:$J,'Daily NSE Equity Futures'!$A:$A,$A424)=0,"",SUMIFS('Daily NSE Equity Futures'!$J:$J,'Daily NSE Equity Futures'!$A:$A,$A424))</f>
        <v>1054089</v>
      </c>
      <c r="Q424" s="7">
        <f>IF(SUMIFS('Daily BSE Equity Futures'!$J:$J,'Daily BSE Equity Futures'!$A:$A,$A424)=0,"",SUMIFS('Daily BSE Equity Futures'!$J:$J,'Daily BSE Equity Futures'!$A:$A,$A424))</f>
        <v>3</v>
      </c>
      <c r="R424" s="7">
        <f t="shared" si="78"/>
        <v>1054092</v>
      </c>
      <c r="S424" s="19">
        <f t="shared" si="79"/>
        <v>0.99999715394861166</v>
      </c>
      <c r="T424" s="19">
        <f t="shared" si="80"/>
        <v>2.8460513883038671E-6</v>
      </c>
    </row>
    <row r="425" spans="1:20" x14ac:dyDescent="0.2">
      <c r="A425" s="9">
        <v>44545</v>
      </c>
      <c r="B425" s="4" t="s">
        <v>221</v>
      </c>
      <c r="C425" s="8">
        <v>44531</v>
      </c>
      <c r="D425" s="4" t="s">
        <v>179</v>
      </c>
      <c r="E425" s="14">
        <f>IF(SUMIFS('Daily NSE Equity Futures'!$I:$I,'Daily NSE Equity Futures'!$A:$A,$A425)=0,"",SUMIFS('Daily NSE Equity Futures'!$I:$I,'Daily NSE Equity Futures'!$A:$A,$A425))</f>
        <v>709.73530000000005</v>
      </c>
      <c r="F425" s="6">
        <f>IF(SUMIFS('Daily BSE Equity Futures'!$I:$I,'Daily BSE Equity Futures'!$A:$A,$A425)=0,"",SUMIFS('Daily BSE Equity Futures'!$I:$I,'Daily BSE Equity Futures'!$A:$A,$A425))</f>
        <v>2.7000000000000001E-3</v>
      </c>
      <c r="G425" s="6">
        <f t="shared" si="72"/>
        <v>709.73800000000006</v>
      </c>
      <c r="H425" s="15">
        <f t="shared" si="73"/>
        <v>0.99999619577928756</v>
      </c>
      <c r="I425" s="15">
        <f t="shared" si="74"/>
        <v>3.8042207124319115E-6</v>
      </c>
      <c r="J425" s="20">
        <f t="shared" si="75"/>
        <v>-0.15139356676641302</v>
      </c>
      <c r="K425" s="15">
        <f t="shared" si="76"/>
        <v>-0.98244473342002603</v>
      </c>
      <c r="L425" s="15">
        <f t="shared" si="77"/>
        <v>-0.15154636353018625</v>
      </c>
      <c r="M425" s="15">
        <f t="shared" si="81"/>
        <v>-0.14967014066107009</v>
      </c>
      <c r="N425" s="15">
        <f t="shared" si="82"/>
        <v>0</v>
      </c>
      <c r="O425" s="15">
        <f t="shared" si="83"/>
        <v>-0.14966965650146791</v>
      </c>
      <c r="P425" s="18">
        <f>IF(SUMIFS('Daily NSE Equity Futures'!$J:$J,'Daily NSE Equity Futures'!$A:$A,$A425)=0,"",SUMIFS('Daily NSE Equity Futures'!$J:$J,'Daily NSE Equity Futures'!$A:$A,$A425))</f>
        <v>893180</v>
      </c>
      <c r="Q425" s="7">
        <f>IF(SUMIFS('Daily BSE Equity Futures'!$J:$J,'Daily BSE Equity Futures'!$A:$A,$A425)=0,"",SUMIFS('Daily BSE Equity Futures'!$J:$J,'Daily BSE Equity Futures'!$A:$A,$A425))</f>
        <v>3</v>
      </c>
      <c r="R425" s="7">
        <f t="shared" si="78"/>
        <v>893183</v>
      </c>
      <c r="S425" s="19">
        <f t="shared" si="79"/>
        <v>0.99999664122581822</v>
      </c>
      <c r="T425" s="19">
        <f t="shared" si="80"/>
        <v>3.3587741817746194E-6</v>
      </c>
    </row>
    <row r="426" spans="1:20" x14ac:dyDescent="0.2">
      <c r="A426" s="9">
        <v>44546</v>
      </c>
      <c r="B426" s="4" t="s">
        <v>224</v>
      </c>
      <c r="C426" s="8">
        <v>44531</v>
      </c>
      <c r="D426" s="4" t="s">
        <v>179</v>
      </c>
      <c r="E426" s="14">
        <f>IF(SUMIFS('Daily NSE Equity Futures'!$I:$I,'Daily NSE Equity Futures'!$A:$A,$A426)=0,"",SUMIFS('Daily NSE Equity Futures'!$I:$I,'Daily NSE Equity Futures'!$A:$A,$A426))</f>
        <v>785.31719999999996</v>
      </c>
      <c r="F426" s="6">
        <f>IF(SUMIFS('Daily BSE Equity Futures'!$I:$I,'Daily BSE Equity Futures'!$A:$A,$A426)=0,"",SUMIFS('Daily BSE Equity Futures'!$I:$I,'Daily BSE Equity Futures'!$A:$A,$A426))</f>
        <v>1.8E-3</v>
      </c>
      <c r="G426" s="6">
        <f t="shared" si="72"/>
        <v>785.31899999999996</v>
      </c>
      <c r="H426" s="15">
        <f t="shared" si="73"/>
        <v>0.99999770793779341</v>
      </c>
      <c r="I426" s="15">
        <f t="shared" si="74"/>
        <v>2.2920622065682862E-6</v>
      </c>
      <c r="J426" s="20">
        <f t="shared" si="75"/>
        <v>-7.6398179980919134E-2</v>
      </c>
      <c r="K426" s="15">
        <f t="shared" si="76"/>
        <v>-0.98578199052132698</v>
      </c>
      <c r="L426" s="15">
        <f t="shared" si="77"/>
        <v>-7.6533560425558145E-2</v>
      </c>
      <c r="M426" s="15">
        <f t="shared" si="81"/>
        <v>0.10649308270280478</v>
      </c>
      <c r="N426" s="15">
        <f t="shared" si="82"/>
        <v>-0.33333333333333337</v>
      </c>
      <c r="O426" s="15">
        <f t="shared" si="83"/>
        <v>0.10649140950604297</v>
      </c>
      <c r="P426" s="18">
        <f>IF(SUMIFS('Daily NSE Equity Futures'!$J:$J,'Daily NSE Equity Futures'!$A:$A,$A426)=0,"",SUMIFS('Daily NSE Equity Futures'!$J:$J,'Daily NSE Equity Futures'!$A:$A,$A426))</f>
        <v>988324</v>
      </c>
      <c r="Q426" s="7">
        <f>IF(SUMIFS('Daily BSE Equity Futures'!$J:$J,'Daily BSE Equity Futures'!$A:$A,$A426)=0,"",SUMIFS('Daily BSE Equity Futures'!$J:$J,'Daily BSE Equity Futures'!$A:$A,$A426))</f>
        <v>2</v>
      </c>
      <c r="R426" s="7">
        <f t="shared" si="78"/>
        <v>988326</v>
      </c>
      <c r="S426" s="19">
        <f t="shared" si="79"/>
        <v>0.9999979763762159</v>
      </c>
      <c r="T426" s="19">
        <f t="shared" si="80"/>
        <v>2.0236237840550587E-6</v>
      </c>
    </row>
    <row r="427" spans="1:20" x14ac:dyDescent="0.2">
      <c r="A427" s="9">
        <v>44547</v>
      </c>
      <c r="B427" s="4" t="s">
        <v>222</v>
      </c>
      <c r="C427" s="8">
        <v>44531</v>
      </c>
      <c r="D427" s="4" t="s">
        <v>179</v>
      </c>
      <c r="E427" s="14">
        <f>IF(SUMIFS('Daily NSE Equity Futures'!$I:$I,'Daily NSE Equity Futures'!$A:$A,$A427)=0,"",SUMIFS('Daily NSE Equity Futures'!$I:$I,'Daily NSE Equity Futures'!$A:$A,$A427))</f>
        <v>1064.7720999999999</v>
      </c>
      <c r="F427" s="6">
        <f>IF(SUMIFS('Daily BSE Equity Futures'!$I:$I,'Daily BSE Equity Futures'!$A:$A,$A427)=0,"",SUMIFS('Daily BSE Equity Futures'!$I:$I,'Daily BSE Equity Futures'!$A:$A,$A427))</f>
        <v>2.7000000000000001E-3</v>
      </c>
      <c r="G427" s="6">
        <f t="shared" si="72"/>
        <v>1064.7747999999999</v>
      </c>
      <c r="H427" s="15">
        <f t="shared" si="73"/>
        <v>0.99999746425253488</v>
      </c>
      <c r="I427" s="15">
        <f t="shared" si="74"/>
        <v>2.5357474650977843E-6</v>
      </c>
      <c r="J427" s="20">
        <f t="shared" si="75"/>
        <v>0.36046580564608099</v>
      </c>
      <c r="K427" s="15">
        <f t="shared" si="76"/>
        <v>-0.96202531645569622</v>
      </c>
      <c r="L427" s="15">
        <f t="shared" si="77"/>
        <v>0.36034567498083914</v>
      </c>
      <c r="M427" s="15">
        <f t="shared" si="81"/>
        <v>0.35584971270207744</v>
      </c>
      <c r="N427" s="15">
        <f t="shared" si="82"/>
        <v>0.50000000000000022</v>
      </c>
      <c r="O427" s="15">
        <f t="shared" si="83"/>
        <v>0.35585004310350321</v>
      </c>
      <c r="P427" s="18">
        <f>IF(SUMIFS('Daily NSE Equity Futures'!$J:$J,'Daily NSE Equity Futures'!$A:$A,$A427)=0,"",SUMIFS('Daily NSE Equity Futures'!$J:$J,'Daily NSE Equity Futures'!$A:$A,$A427))</f>
        <v>1395460</v>
      </c>
      <c r="Q427" s="7">
        <f>IF(SUMIFS('Daily BSE Equity Futures'!$J:$J,'Daily BSE Equity Futures'!$A:$A,$A427)=0,"",SUMIFS('Daily BSE Equity Futures'!$J:$J,'Daily BSE Equity Futures'!$A:$A,$A427))</f>
        <v>3</v>
      </c>
      <c r="R427" s="7">
        <f t="shared" si="78"/>
        <v>1395463</v>
      </c>
      <c r="S427" s="19">
        <f t="shared" si="79"/>
        <v>0.99999785017589149</v>
      </c>
      <c r="T427" s="19">
        <f t="shared" si="80"/>
        <v>2.1498241085575183E-6</v>
      </c>
    </row>
    <row r="428" spans="1:20" x14ac:dyDescent="0.2">
      <c r="A428" s="9">
        <v>44550</v>
      </c>
      <c r="B428" s="4" t="s">
        <v>225</v>
      </c>
      <c r="C428" s="8">
        <v>44531</v>
      </c>
      <c r="D428" s="4" t="s">
        <v>179</v>
      </c>
      <c r="E428" s="14">
        <f>IF(SUMIFS('Daily NSE Equity Futures'!$I:$I,'Daily NSE Equity Futures'!$A:$A,$A428)=0,"",SUMIFS('Daily NSE Equity Futures'!$I:$I,'Daily NSE Equity Futures'!$A:$A,$A428))</f>
        <v>1184.6068</v>
      </c>
      <c r="F428" s="6">
        <f>IF(SUMIFS('Daily BSE Equity Futures'!$I:$I,'Daily BSE Equity Futures'!$A:$A,$A428)=0,"",SUMIFS('Daily BSE Equity Futures'!$I:$I,'Daily BSE Equity Futures'!$A:$A,$A428))</f>
        <v>4.4000000000000003E-3</v>
      </c>
      <c r="G428" s="6">
        <f t="shared" si="72"/>
        <v>1184.6112000000001</v>
      </c>
      <c r="H428" s="15">
        <f t="shared" si="73"/>
        <v>0.99999628570116506</v>
      </c>
      <c r="I428" s="15">
        <f t="shared" si="74"/>
        <v>3.7142988349257545E-6</v>
      </c>
      <c r="J428" s="20" t="str">
        <f t="shared" si="75"/>
        <v/>
      </c>
      <c r="K428" s="15" t="str">
        <f t="shared" si="76"/>
        <v/>
      </c>
      <c r="L428" s="15" t="str">
        <f t="shared" si="77"/>
        <v/>
      </c>
      <c r="M428" s="15">
        <f t="shared" si="81"/>
        <v>0.11254492862838927</v>
      </c>
      <c r="N428" s="15">
        <f t="shared" si="82"/>
        <v>0.62962962962962954</v>
      </c>
      <c r="O428" s="15">
        <f t="shared" si="83"/>
        <v>0.1125462398246091</v>
      </c>
      <c r="P428" s="18">
        <f>IF(SUMIFS('Daily NSE Equity Futures'!$J:$J,'Daily NSE Equity Futures'!$A:$A,$A428)=0,"",SUMIFS('Daily NSE Equity Futures'!$J:$J,'Daily NSE Equity Futures'!$A:$A,$A428))</f>
        <v>1575321</v>
      </c>
      <c r="Q428" s="7">
        <f>IF(SUMIFS('Daily BSE Equity Futures'!$J:$J,'Daily BSE Equity Futures'!$A:$A,$A428)=0,"",SUMIFS('Daily BSE Equity Futures'!$J:$J,'Daily BSE Equity Futures'!$A:$A,$A428))</f>
        <v>5</v>
      </c>
      <c r="R428" s="7">
        <f t="shared" si="78"/>
        <v>1575326</v>
      </c>
      <c r="S428" s="19">
        <f t="shared" si="79"/>
        <v>0.99999682605378193</v>
      </c>
      <c r="T428" s="19">
        <f t="shared" si="80"/>
        <v>3.1739462181161231E-6</v>
      </c>
    </row>
    <row r="429" spans="1:20" x14ac:dyDescent="0.2">
      <c r="A429" s="9">
        <v>44551</v>
      </c>
      <c r="B429" s="4" t="s">
        <v>223</v>
      </c>
      <c r="C429" s="8">
        <v>44531</v>
      </c>
      <c r="D429" s="4" t="s">
        <v>179</v>
      </c>
      <c r="E429" s="14">
        <f>IF(SUMIFS('Daily NSE Equity Futures'!$I:$I,'Daily NSE Equity Futures'!$A:$A,$A429)=0,"",SUMIFS('Daily NSE Equity Futures'!$I:$I,'Daily NSE Equity Futures'!$A:$A,$A429))</f>
        <v>957.74450000000002</v>
      </c>
      <c r="F429" s="6">
        <f>IF(SUMIFS('Daily BSE Equity Futures'!$I:$I,'Daily BSE Equity Futures'!$A:$A,$A429)=0,"",SUMIFS('Daily BSE Equity Futures'!$I:$I,'Daily BSE Equity Futures'!$A:$A,$A429))</f>
        <v>4.4000000000000003E-3</v>
      </c>
      <c r="G429" s="6">
        <f t="shared" si="72"/>
        <v>957.74890000000005</v>
      </c>
      <c r="H429" s="15">
        <f t="shared" si="73"/>
        <v>0.99999540589396652</v>
      </c>
      <c r="I429" s="15">
        <f t="shared" si="74"/>
        <v>4.5941060334290128E-6</v>
      </c>
      <c r="J429" s="20">
        <f t="shared" si="75"/>
        <v>-0.34511620382247832</v>
      </c>
      <c r="K429" s="15">
        <f t="shared" si="76"/>
        <v>-0.99019170753455199</v>
      </c>
      <c r="L429" s="15">
        <f t="shared" si="77"/>
        <v>-0.34531401517000249</v>
      </c>
      <c r="M429" s="15">
        <f t="shared" si="81"/>
        <v>-0.19150852417865571</v>
      </c>
      <c r="N429" s="15">
        <f t="shared" si="82"/>
        <v>0</v>
      </c>
      <c r="O429" s="15">
        <f t="shared" si="83"/>
        <v>-0.1915078128587675</v>
      </c>
      <c r="P429" s="18">
        <f>IF(SUMIFS('Daily NSE Equity Futures'!$J:$J,'Daily NSE Equity Futures'!$A:$A,$A429)=0,"",SUMIFS('Daily NSE Equity Futures'!$J:$J,'Daily NSE Equity Futures'!$A:$A,$A429))</f>
        <v>1252547</v>
      </c>
      <c r="Q429" s="7">
        <f>IF(SUMIFS('Daily BSE Equity Futures'!$J:$J,'Daily BSE Equity Futures'!$A:$A,$A429)=0,"",SUMIFS('Daily BSE Equity Futures'!$J:$J,'Daily BSE Equity Futures'!$A:$A,$A429))</f>
        <v>5</v>
      </c>
      <c r="R429" s="7">
        <f t="shared" si="78"/>
        <v>1252552</v>
      </c>
      <c r="S429" s="19">
        <f t="shared" si="79"/>
        <v>0.99999600814976142</v>
      </c>
      <c r="T429" s="19">
        <f t="shared" si="80"/>
        <v>3.9918502385529702E-6</v>
      </c>
    </row>
    <row r="430" spans="1:20" x14ac:dyDescent="0.2">
      <c r="A430" s="9">
        <v>44552</v>
      </c>
      <c r="B430" s="4" t="s">
        <v>221</v>
      </c>
      <c r="C430" s="8">
        <v>44531</v>
      </c>
      <c r="D430" s="4" t="s">
        <v>179</v>
      </c>
      <c r="E430" s="14">
        <f>IF(SUMIFS('Daily NSE Equity Futures'!$I:$I,'Daily NSE Equity Futures'!$A:$A,$A430)=0,"",SUMIFS('Daily NSE Equity Futures'!$I:$I,'Daily NSE Equity Futures'!$A:$A,$A430))</f>
        <v>875.08659999999998</v>
      </c>
      <c r="F430" s="6">
        <f>IF(SUMIFS('Daily BSE Equity Futures'!$I:$I,'Daily BSE Equity Futures'!$A:$A,$A430)=0,"",SUMIFS('Daily BSE Equity Futures'!$I:$I,'Daily BSE Equity Futures'!$A:$A,$A430))</f>
        <v>8.9999999999999998E-4</v>
      </c>
      <c r="G430" s="6">
        <f t="shared" si="72"/>
        <v>875.08749999999998</v>
      </c>
      <c r="H430" s="15">
        <f t="shared" si="73"/>
        <v>0.99999897153141826</v>
      </c>
      <c r="I430" s="15">
        <f t="shared" si="74"/>
        <v>1.0284685817132573E-6</v>
      </c>
      <c r="J430" s="20">
        <f t="shared" si="75"/>
        <v>-0.30303411394017632</v>
      </c>
      <c r="K430" s="15">
        <f t="shared" si="76"/>
        <v>-0.99881376037959668</v>
      </c>
      <c r="L430" s="15">
        <f t="shared" si="77"/>
        <v>-0.30345429835569571</v>
      </c>
      <c r="M430" s="15">
        <f t="shared" si="81"/>
        <v>-8.6304750379668116E-2</v>
      </c>
      <c r="N430" s="15">
        <f t="shared" si="82"/>
        <v>-0.79545454545454541</v>
      </c>
      <c r="O430" s="15">
        <f t="shared" si="83"/>
        <v>-8.6308008289020299E-2</v>
      </c>
      <c r="P430" s="18">
        <f>IF(SUMIFS('Daily NSE Equity Futures'!$J:$J,'Daily NSE Equity Futures'!$A:$A,$A430)=0,"",SUMIFS('Daily NSE Equity Futures'!$J:$J,'Daily NSE Equity Futures'!$A:$A,$A430))</f>
        <v>1133799</v>
      </c>
      <c r="Q430" s="7">
        <f>IF(SUMIFS('Daily BSE Equity Futures'!$J:$J,'Daily BSE Equity Futures'!$A:$A,$A430)=0,"",SUMIFS('Daily BSE Equity Futures'!$J:$J,'Daily BSE Equity Futures'!$A:$A,$A430))</f>
        <v>1</v>
      </c>
      <c r="R430" s="7">
        <f t="shared" si="78"/>
        <v>1133800</v>
      </c>
      <c r="S430" s="19">
        <f t="shared" si="79"/>
        <v>0.99999911801023111</v>
      </c>
      <c r="T430" s="19">
        <f t="shared" si="80"/>
        <v>8.8198976891868053E-7</v>
      </c>
    </row>
    <row r="431" spans="1:20" x14ac:dyDescent="0.2">
      <c r="A431" s="9">
        <v>44553</v>
      </c>
      <c r="B431" s="4" t="s">
        <v>224</v>
      </c>
      <c r="C431" s="8">
        <v>44531</v>
      </c>
      <c r="D431" s="4" t="s">
        <v>179</v>
      </c>
      <c r="E431" s="14">
        <f>IF(SUMIFS('Daily NSE Equity Futures'!$I:$I,'Daily NSE Equity Futures'!$A:$A,$A431)=0,"",SUMIFS('Daily NSE Equity Futures'!$I:$I,'Daily NSE Equity Futures'!$A:$A,$A431))</f>
        <v>921.01509999999996</v>
      </c>
      <c r="F431" s="6">
        <f>IF(SUMIFS('Daily BSE Equity Futures'!$I:$I,'Daily BSE Equity Futures'!$A:$A,$A431)=0,"",SUMIFS('Daily BSE Equity Futures'!$I:$I,'Daily BSE Equity Futures'!$A:$A,$A431))</f>
        <v>8.9999999999999998E-4</v>
      </c>
      <c r="G431" s="6">
        <f t="shared" si="72"/>
        <v>921.01599999999996</v>
      </c>
      <c r="H431" s="15">
        <f t="shared" si="73"/>
        <v>0.9999990228182789</v>
      </c>
      <c r="I431" s="15">
        <f t="shared" si="74"/>
        <v>9.7718172105587751E-7</v>
      </c>
      <c r="J431" s="20">
        <f t="shared" si="75"/>
        <v>-7.3519592073642448E-2</v>
      </c>
      <c r="K431" s="15">
        <f t="shared" si="76"/>
        <v>-0.9949636261891438</v>
      </c>
      <c r="L431" s="15">
        <f t="shared" si="77"/>
        <v>-7.3685201457899696E-2</v>
      </c>
      <c r="M431" s="15">
        <f t="shared" si="81"/>
        <v>5.2484519817810105E-2</v>
      </c>
      <c r="N431" s="15">
        <f t="shared" si="82"/>
        <v>0</v>
      </c>
      <c r="O431" s="15">
        <f t="shared" si="83"/>
        <v>5.2484465839130356E-2</v>
      </c>
      <c r="P431" s="18">
        <f>IF(SUMIFS('Daily NSE Equity Futures'!$J:$J,'Daily NSE Equity Futures'!$A:$A,$A431)=0,"",SUMIFS('Daily NSE Equity Futures'!$J:$J,'Daily NSE Equity Futures'!$A:$A,$A431))</f>
        <v>1217453</v>
      </c>
      <c r="Q431" s="7">
        <f>IF(SUMIFS('Daily BSE Equity Futures'!$J:$J,'Daily BSE Equity Futures'!$A:$A,$A431)=0,"",SUMIFS('Daily BSE Equity Futures'!$J:$J,'Daily BSE Equity Futures'!$A:$A,$A431))</f>
        <v>1</v>
      </c>
      <c r="R431" s="7">
        <f t="shared" si="78"/>
        <v>1217454</v>
      </c>
      <c r="S431" s="19">
        <f t="shared" si="79"/>
        <v>0.99999917861373</v>
      </c>
      <c r="T431" s="19">
        <f t="shared" si="80"/>
        <v>8.2138627003566458E-7</v>
      </c>
    </row>
    <row r="432" spans="1:20" x14ac:dyDescent="0.2">
      <c r="A432" s="9">
        <v>44554</v>
      </c>
      <c r="B432" s="4" t="s">
        <v>222</v>
      </c>
      <c r="C432" s="8">
        <v>44531</v>
      </c>
      <c r="D432" s="4" t="s">
        <v>179</v>
      </c>
      <c r="E432" s="14">
        <f>IF(SUMIFS('Daily NSE Equity Futures'!$I:$I,'Daily NSE Equity Futures'!$A:$A,$A432)=0,"",SUMIFS('Daily NSE Equity Futures'!$I:$I,'Daily NSE Equity Futures'!$A:$A,$A432))</f>
        <v>1075.5328999999999</v>
      </c>
      <c r="F432" s="6">
        <f>IF(SUMIFS('Daily BSE Equity Futures'!$I:$I,'Daily BSE Equity Futures'!$A:$A,$A432)=0,"",SUMIFS('Daily BSE Equity Futures'!$I:$I,'Daily BSE Equity Futures'!$A:$A,$A432))</f>
        <v>1.8E-3</v>
      </c>
      <c r="G432" s="6">
        <f t="shared" si="72"/>
        <v>1075.5346999999999</v>
      </c>
      <c r="H432" s="15">
        <f t="shared" si="73"/>
        <v>0.99999832641382935</v>
      </c>
      <c r="I432" s="15">
        <f t="shared" si="74"/>
        <v>1.6735861706739913E-6</v>
      </c>
      <c r="J432" s="20">
        <f t="shared" si="75"/>
        <v>-4.3567523623515236E-2</v>
      </c>
      <c r="K432" s="15">
        <f t="shared" si="76"/>
        <v>-0.98861480075901331</v>
      </c>
      <c r="L432" s="15">
        <f t="shared" si="77"/>
        <v>-4.3700371606668509E-2</v>
      </c>
      <c r="M432" s="15">
        <f t="shared" si="81"/>
        <v>0.16776901920500542</v>
      </c>
      <c r="N432" s="15">
        <f t="shared" si="82"/>
        <v>1</v>
      </c>
      <c r="O432" s="15">
        <f t="shared" si="83"/>
        <v>0.1677698324459076</v>
      </c>
      <c r="P432" s="18">
        <f>IF(SUMIFS('Daily NSE Equity Futures'!$J:$J,'Daily NSE Equity Futures'!$A:$A,$A432)=0,"",SUMIFS('Daily NSE Equity Futures'!$J:$J,'Daily NSE Equity Futures'!$A:$A,$A432))</f>
        <v>1423927</v>
      </c>
      <c r="Q432" s="7">
        <f>IF(SUMIFS('Daily BSE Equity Futures'!$J:$J,'Daily BSE Equity Futures'!$A:$A,$A432)=0,"",SUMIFS('Daily BSE Equity Futures'!$J:$J,'Daily BSE Equity Futures'!$A:$A,$A432))</f>
        <v>2</v>
      </c>
      <c r="R432" s="7">
        <f t="shared" si="78"/>
        <v>1423929</v>
      </c>
      <c r="S432" s="19">
        <f t="shared" si="79"/>
        <v>0.999998595435587</v>
      </c>
      <c r="T432" s="19">
        <f t="shared" si="80"/>
        <v>1.4045644129728378E-6</v>
      </c>
    </row>
    <row r="433" spans="1:20" x14ac:dyDescent="0.2">
      <c r="A433" s="9">
        <v>44557</v>
      </c>
      <c r="B433" s="4" t="s">
        <v>225</v>
      </c>
      <c r="C433" s="8">
        <v>44531</v>
      </c>
      <c r="D433" s="4" t="s">
        <v>179</v>
      </c>
      <c r="E433" s="14">
        <f>IF(SUMIFS('Daily NSE Equity Futures'!$I:$I,'Daily NSE Equity Futures'!$A:$A,$A433)=0,"",SUMIFS('Daily NSE Equity Futures'!$I:$I,'Daily NSE Equity Futures'!$A:$A,$A433))</f>
        <v>1556.3458000000001</v>
      </c>
      <c r="F433" s="6">
        <f>IF(SUMIFS('Daily BSE Equity Futures'!$I:$I,'Daily BSE Equity Futures'!$A:$A,$A433)=0,"",SUMIFS('Daily BSE Equity Futures'!$I:$I,'Daily BSE Equity Futures'!$A:$A,$A433))</f>
        <v>2.7000000000000001E-3</v>
      </c>
      <c r="G433" s="6">
        <f t="shared" si="72"/>
        <v>1556.3485000000001</v>
      </c>
      <c r="H433" s="15">
        <f t="shared" si="73"/>
        <v>0.99999826517004387</v>
      </c>
      <c r="I433" s="15">
        <f t="shared" si="74"/>
        <v>1.7348299561441412E-6</v>
      </c>
      <c r="J433" s="20" t="str">
        <f t="shared" si="75"/>
        <v/>
      </c>
      <c r="K433" s="15" t="str">
        <f t="shared" si="76"/>
        <v/>
      </c>
      <c r="L433" s="15" t="str">
        <f t="shared" si="77"/>
        <v/>
      </c>
      <c r="M433" s="15">
        <f t="shared" si="81"/>
        <v>0.44704620379348703</v>
      </c>
      <c r="N433" s="15">
        <f t="shared" si="82"/>
        <v>0.50000000000000022</v>
      </c>
      <c r="O433" s="15">
        <f t="shared" si="83"/>
        <v>0.44704629241622817</v>
      </c>
      <c r="P433" s="18">
        <f>IF(SUMIFS('Daily NSE Equity Futures'!$J:$J,'Daily NSE Equity Futures'!$A:$A,$A433)=0,"",SUMIFS('Daily NSE Equity Futures'!$J:$J,'Daily NSE Equity Futures'!$A:$A,$A433))</f>
        <v>2147187</v>
      </c>
      <c r="Q433" s="7">
        <f>IF(SUMIFS('Daily BSE Equity Futures'!$J:$J,'Daily BSE Equity Futures'!$A:$A,$A433)=0,"",SUMIFS('Daily BSE Equity Futures'!$J:$J,'Daily BSE Equity Futures'!$A:$A,$A433))</f>
        <v>3</v>
      </c>
      <c r="R433" s="7">
        <f t="shared" si="78"/>
        <v>2147190</v>
      </c>
      <c r="S433" s="19">
        <f t="shared" si="79"/>
        <v>0.99999860282508768</v>
      </c>
      <c r="T433" s="19">
        <f t="shared" si="80"/>
        <v>1.3971749123272742E-6</v>
      </c>
    </row>
    <row r="434" spans="1:20" x14ac:dyDescent="0.2">
      <c r="A434" s="9">
        <v>44558</v>
      </c>
      <c r="B434" s="4" t="s">
        <v>223</v>
      </c>
      <c r="C434" s="8">
        <v>44531</v>
      </c>
      <c r="D434" s="4" t="s">
        <v>179</v>
      </c>
      <c r="E434" s="14">
        <f>IF(SUMIFS('Daily NSE Equity Futures'!$I:$I,'Daily NSE Equity Futures'!$A:$A,$A434)=0,"",SUMIFS('Daily NSE Equity Futures'!$I:$I,'Daily NSE Equity Futures'!$A:$A,$A434))</f>
        <v>1672.3548000000001</v>
      </c>
      <c r="F434" s="6">
        <f>IF(SUMIFS('Daily BSE Equity Futures'!$I:$I,'Daily BSE Equity Futures'!$A:$A,$A434)=0,"",SUMIFS('Daily BSE Equity Futures'!$I:$I,'Daily BSE Equity Futures'!$A:$A,$A434))</f>
        <v>8.9999999999999998E-4</v>
      </c>
      <c r="G434" s="6">
        <f t="shared" si="72"/>
        <v>1672.3557000000001</v>
      </c>
      <c r="H434" s="15">
        <f t="shared" si="73"/>
        <v>0.99999946183697641</v>
      </c>
      <c r="I434" s="15">
        <f t="shared" si="74"/>
        <v>5.3816302357207854E-7</v>
      </c>
      <c r="J434" s="20">
        <f t="shared" si="75"/>
        <v>0.31079875293613068</v>
      </c>
      <c r="K434" s="15">
        <f t="shared" si="76"/>
        <v>-0.99090909090909096</v>
      </c>
      <c r="L434" s="15">
        <f t="shared" si="77"/>
        <v>0.31069775264713262</v>
      </c>
      <c r="M434" s="15">
        <f t="shared" si="81"/>
        <v>7.4539347232472464E-2</v>
      </c>
      <c r="N434" s="15">
        <f t="shared" si="82"/>
        <v>-0.66666666666666674</v>
      </c>
      <c r="O434" s="15">
        <f t="shared" si="83"/>
        <v>7.453806136607577E-2</v>
      </c>
      <c r="P434" s="18">
        <f>IF(SUMIFS('Daily NSE Equity Futures'!$J:$J,'Daily NSE Equity Futures'!$A:$A,$A434)=0,"",SUMIFS('Daily NSE Equity Futures'!$J:$J,'Daily NSE Equity Futures'!$A:$A,$A434))</f>
        <v>2272469</v>
      </c>
      <c r="Q434" s="7">
        <f>IF(SUMIFS('Daily BSE Equity Futures'!$J:$J,'Daily BSE Equity Futures'!$A:$A,$A434)=0,"",SUMIFS('Daily BSE Equity Futures'!$J:$J,'Daily BSE Equity Futures'!$A:$A,$A434))</f>
        <v>1</v>
      </c>
      <c r="R434" s="7">
        <f t="shared" si="78"/>
        <v>2272470</v>
      </c>
      <c r="S434" s="19">
        <f t="shared" si="79"/>
        <v>0.99999955995018641</v>
      </c>
      <c r="T434" s="19">
        <f t="shared" si="80"/>
        <v>4.4004981363890391E-7</v>
      </c>
    </row>
    <row r="435" spans="1:20" x14ac:dyDescent="0.2">
      <c r="A435" s="9">
        <v>44559</v>
      </c>
      <c r="B435" s="4" t="s">
        <v>221</v>
      </c>
      <c r="C435" s="8">
        <v>44531</v>
      </c>
      <c r="D435" s="4" t="s">
        <v>179</v>
      </c>
      <c r="E435" s="14">
        <f>IF(SUMIFS('Daily NSE Equity Futures'!$I:$I,'Daily NSE Equity Futures'!$A:$A,$A435)=0,"",SUMIFS('Daily NSE Equity Futures'!$I:$I,'Daily NSE Equity Futures'!$A:$A,$A435))</f>
        <v>1575.6388999999999</v>
      </c>
      <c r="F435" s="6">
        <f>IF(SUMIFS('Daily BSE Equity Futures'!$I:$I,'Daily BSE Equity Futures'!$A:$A,$A435)=0,"",SUMIFS('Daily BSE Equity Futures'!$I:$I,'Daily BSE Equity Futures'!$A:$A,$A435))</f>
        <v>8.9999999999999998E-4</v>
      </c>
      <c r="G435" s="6">
        <f t="shared" si="72"/>
        <v>1575.6397999999999</v>
      </c>
      <c r="H435" s="15">
        <f t="shared" si="73"/>
        <v>0.99999942880346127</v>
      </c>
      <c r="I435" s="15">
        <f t="shared" si="74"/>
        <v>5.7119653870129454E-7</v>
      </c>
      <c r="J435" s="20">
        <f t="shared" si="75"/>
        <v>6.2732087511492951E-2</v>
      </c>
      <c r="K435" s="15">
        <f t="shared" si="76"/>
        <v>-0.9799107142857143</v>
      </c>
      <c r="L435" s="15">
        <f t="shared" si="77"/>
        <v>6.2700583377937491E-2</v>
      </c>
      <c r="M435" s="15">
        <f t="shared" si="81"/>
        <v>-5.7832165758127441E-2</v>
      </c>
      <c r="N435" s="15">
        <f t="shared" si="82"/>
        <v>0</v>
      </c>
      <c r="O435" s="15">
        <f t="shared" si="83"/>
        <v>-5.7832134634994259E-2</v>
      </c>
      <c r="P435" s="18">
        <f>IF(SUMIFS('Daily NSE Equity Futures'!$J:$J,'Daily NSE Equity Futures'!$A:$A,$A435)=0,"",SUMIFS('Daily NSE Equity Futures'!$J:$J,'Daily NSE Equity Futures'!$A:$A,$A435))</f>
        <v>2123878</v>
      </c>
      <c r="Q435" s="7">
        <f>IF(SUMIFS('Daily BSE Equity Futures'!$J:$J,'Daily BSE Equity Futures'!$A:$A,$A435)=0,"",SUMIFS('Daily BSE Equity Futures'!$J:$J,'Daily BSE Equity Futures'!$A:$A,$A435))</f>
        <v>1</v>
      </c>
      <c r="R435" s="7">
        <f t="shared" si="78"/>
        <v>2123879</v>
      </c>
      <c r="S435" s="19">
        <f t="shared" si="79"/>
        <v>0.99999952916338453</v>
      </c>
      <c r="T435" s="19">
        <f t="shared" si="80"/>
        <v>4.7083661545690694E-7</v>
      </c>
    </row>
    <row r="436" spans="1:20" x14ac:dyDescent="0.2">
      <c r="A436" s="9">
        <v>44560</v>
      </c>
      <c r="B436" s="4" t="s">
        <v>224</v>
      </c>
      <c r="C436" s="8">
        <v>44531</v>
      </c>
      <c r="D436" s="4" t="s">
        <v>179</v>
      </c>
      <c r="E436" s="14">
        <f>IF(SUMIFS('Daily NSE Equity Futures'!$I:$I,'Daily NSE Equity Futures'!$A:$A,$A436)=0,"",SUMIFS('Daily NSE Equity Futures'!$I:$I,'Daily NSE Equity Futures'!$A:$A,$A436))</f>
        <v>1751.8348000000001</v>
      </c>
      <c r="F436" s="6">
        <f>IF(SUMIFS('Daily BSE Equity Futures'!$I:$I,'Daily BSE Equity Futures'!$A:$A,$A436)=0,"",SUMIFS('Daily BSE Equity Futures'!$I:$I,'Daily BSE Equity Futures'!$A:$A,$A436))</f>
        <v>8.9999999999999998E-4</v>
      </c>
      <c r="G436" s="6">
        <f t="shared" si="72"/>
        <v>1751.8357000000001</v>
      </c>
      <c r="H436" s="15">
        <f t="shared" si="73"/>
        <v>0.99999948625319146</v>
      </c>
      <c r="I436" s="15">
        <f t="shared" si="74"/>
        <v>5.1374680856201294E-7</v>
      </c>
      <c r="J436" s="20">
        <f t="shared" si="75"/>
        <v>0.2168950412407944</v>
      </c>
      <c r="K436" s="15">
        <f t="shared" si="76"/>
        <v>-0.995253164556962</v>
      </c>
      <c r="L436" s="15">
        <f t="shared" si="77"/>
        <v>0.21673541773916583</v>
      </c>
      <c r="M436" s="15">
        <f t="shared" si="81"/>
        <v>0.11182505077781468</v>
      </c>
      <c r="N436" s="15">
        <f t="shared" si="82"/>
        <v>0</v>
      </c>
      <c r="O436" s="15">
        <f t="shared" si="83"/>
        <v>0.11182498690373288</v>
      </c>
      <c r="P436" s="18">
        <f>IF(SUMIFS('Daily NSE Equity Futures'!$J:$J,'Daily NSE Equity Futures'!$A:$A,$A436)=0,"",SUMIFS('Daily NSE Equity Futures'!$J:$J,'Daily NSE Equity Futures'!$A:$A,$A436))</f>
        <v>2375584</v>
      </c>
      <c r="Q436" s="7">
        <f>IF(SUMIFS('Daily BSE Equity Futures'!$J:$J,'Daily BSE Equity Futures'!$A:$A,$A436)=0,"",SUMIFS('Daily BSE Equity Futures'!$J:$J,'Daily BSE Equity Futures'!$A:$A,$A436))</f>
        <v>1</v>
      </c>
      <c r="R436" s="7">
        <f t="shared" si="78"/>
        <v>2375585</v>
      </c>
      <c r="S436" s="19">
        <f t="shared" si="79"/>
        <v>0.99999957905105474</v>
      </c>
      <c r="T436" s="19">
        <f t="shared" si="80"/>
        <v>4.2094894520718056E-7</v>
      </c>
    </row>
    <row r="437" spans="1:20" x14ac:dyDescent="0.2">
      <c r="A437" s="9">
        <v>44561</v>
      </c>
      <c r="B437" s="4" t="s">
        <v>222</v>
      </c>
      <c r="C437" s="8">
        <v>44531</v>
      </c>
      <c r="D437" s="4" t="s">
        <v>179</v>
      </c>
      <c r="E437" s="14">
        <f>IF(SUMIFS('Daily NSE Equity Futures'!$I:$I,'Daily NSE Equity Futures'!$A:$A,$A437)=0,"",SUMIFS('Daily NSE Equity Futures'!$I:$I,'Daily NSE Equity Futures'!$A:$A,$A437))</f>
        <v>663.38819999999998</v>
      </c>
      <c r="F437" s="6">
        <f>IF(SUMIFS('Daily BSE Equity Futures'!$I:$I,'Daily BSE Equity Futures'!$A:$A,$A437)=0,"",SUMIFS('Daily BSE Equity Futures'!$I:$I,'Daily BSE Equity Futures'!$A:$A,$A437))</f>
        <v>8.9999999999999998E-4</v>
      </c>
      <c r="G437" s="6">
        <f t="shared" si="72"/>
        <v>663.38909999999998</v>
      </c>
      <c r="H437" s="15">
        <f t="shared" si="73"/>
        <v>0.99999864333013611</v>
      </c>
      <c r="I437" s="15">
        <f t="shared" si="74"/>
        <v>1.3566698638853126E-6</v>
      </c>
      <c r="J437" s="20">
        <f t="shared" si="75"/>
        <v>-0.54822870358263598</v>
      </c>
      <c r="K437" s="15">
        <f t="shared" si="76"/>
        <v>-0.99531981279251169</v>
      </c>
      <c r="L437" s="15">
        <f t="shared" si="77"/>
        <v>-0.54828724582313737</v>
      </c>
      <c r="M437" s="15">
        <f t="shared" si="81"/>
        <v>-0.62131806035591941</v>
      </c>
      <c r="N437" s="15">
        <f t="shared" si="82"/>
        <v>0</v>
      </c>
      <c r="O437" s="15">
        <f t="shared" si="83"/>
        <v>-0.62131774115574889</v>
      </c>
      <c r="P437" s="18">
        <f>IF(SUMIFS('Daily NSE Equity Futures'!$J:$J,'Daily NSE Equity Futures'!$A:$A,$A437)=0,"",SUMIFS('Daily NSE Equity Futures'!$J:$J,'Daily NSE Equity Futures'!$A:$A,$A437))</f>
        <v>878060</v>
      </c>
      <c r="Q437" s="7">
        <f>IF(SUMIFS('Daily BSE Equity Futures'!$J:$J,'Daily BSE Equity Futures'!$A:$A,$A437)=0,"",SUMIFS('Daily BSE Equity Futures'!$J:$J,'Daily BSE Equity Futures'!$A:$A,$A437))</f>
        <v>1</v>
      </c>
      <c r="R437" s="7">
        <f t="shared" si="78"/>
        <v>878061</v>
      </c>
      <c r="S437" s="19">
        <f t="shared" si="79"/>
        <v>0.99999886112696046</v>
      </c>
      <c r="T437" s="19">
        <f t="shared" si="80"/>
        <v>1.1388730395724214E-6</v>
      </c>
    </row>
    <row r="438" spans="1:20" x14ac:dyDescent="0.2">
      <c r="A438" s="9">
        <v>44564</v>
      </c>
      <c r="B438" s="4" t="s">
        <v>225</v>
      </c>
      <c r="C438" s="8">
        <v>44562</v>
      </c>
      <c r="D438" s="4" t="s">
        <v>180</v>
      </c>
      <c r="E438" s="14">
        <f>IF(SUMIFS('Daily NSE Equity Futures'!$I:$I,'Daily NSE Equity Futures'!$A:$A,$A438)=0,"",SUMIFS('Daily NSE Equity Futures'!$I:$I,'Daily NSE Equity Futures'!$A:$A,$A438))</f>
        <v>782.81809999999996</v>
      </c>
      <c r="F438" s="6">
        <f>IF(SUMIFS('Daily BSE Equity Futures'!$I:$I,'Daily BSE Equity Futures'!$A:$A,$A438)=0,"",SUMIFS('Daily BSE Equity Futures'!$I:$I,'Daily BSE Equity Futures'!$A:$A,$A438))</f>
        <v>1.8E-3</v>
      </c>
      <c r="G438" s="6">
        <f t="shared" si="72"/>
        <v>782.81989999999996</v>
      </c>
      <c r="H438" s="15">
        <f t="shared" si="73"/>
        <v>0.99999770062053861</v>
      </c>
      <c r="I438" s="15">
        <f t="shared" si="74"/>
        <v>2.2993794613550321E-6</v>
      </c>
      <c r="J438" s="20" t="str">
        <f t="shared" si="75"/>
        <v/>
      </c>
      <c r="K438" s="15" t="str">
        <f t="shared" si="76"/>
        <v/>
      </c>
      <c r="L438" s="15" t="str">
        <f t="shared" si="77"/>
        <v/>
      </c>
      <c r="M438" s="15">
        <f t="shared" si="81"/>
        <v>0.18003018443801078</v>
      </c>
      <c r="N438" s="15">
        <f t="shared" si="82"/>
        <v>1</v>
      </c>
      <c r="O438" s="15">
        <f t="shared" si="83"/>
        <v>0.18003129686634889</v>
      </c>
      <c r="P438" s="18">
        <f>IF(SUMIFS('Daily NSE Equity Futures'!$J:$J,'Daily NSE Equity Futures'!$A:$A,$A438)=0,"",SUMIFS('Daily NSE Equity Futures'!$J:$J,'Daily NSE Equity Futures'!$A:$A,$A438))</f>
        <v>995924</v>
      </c>
      <c r="Q438" s="7">
        <f>IF(SUMIFS('Daily BSE Equity Futures'!$J:$J,'Daily BSE Equity Futures'!$A:$A,$A438)=0,"",SUMIFS('Daily BSE Equity Futures'!$J:$J,'Daily BSE Equity Futures'!$A:$A,$A438))</f>
        <v>2</v>
      </c>
      <c r="R438" s="7">
        <f t="shared" si="78"/>
        <v>995926</v>
      </c>
      <c r="S438" s="19">
        <f t="shared" si="79"/>
        <v>0.99999799181866922</v>
      </c>
      <c r="T438" s="19">
        <f t="shared" si="80"/>
        <v>2.0081813307414405E-6</v>
      </c>
    </row>
    <row r="439" spans="1:20" x14ac:dyDescent="0.2">
      <c r="A439" s="9">
        <v>44565</v>
      </c>
      <c r="B439" s="4" t="s">
        <v>223</v>
      </c>
      <c r="C439" s="8">
        <v>44562</v>
      </c>
      <c r="D439" s="4" t="s">
        <v>180</v>
      </c>
      <c r="E439" s="14">
        <f>IF(SUMIFS('Daily NSE Equity Futures'!$I:$I,'Daily NSE Equity Futures'!$A:$A,$A439)=0,"",SUMIFS('Daily NSE Equity Futures'!$I:$I,'Daily NSE Equity Futures'!$A:$A,$A439))</f>
        <v>867.62509999999997</v>
      </c>
      <c r="F439" s="6">
        <f>IF(SUMIFS('Daily BSE Equity Futures'!$I:$I,'Daily BSE Equity Futures'!$A:$A,$A439)=0,"",SUMIFS('Daily BSE Equity Futures'!$I:$I,'Daily BSE Equity Futures'!$A:$A,$A439))</f>
        <v>1.9E-3</v>
      </c>
      <c r="G439" s="6">
        <f t="shared" si="72"/>
        <v>867.62699999999995</v>
      </c>
      <c r="H439" s="15">
        <f t="shared" si="73"/>
        <v>0.99999781011886446</v>
      </c>
      <c r="I439" s="15">
        <f t="shared" si="74"/>
        <v>2.1898811355571002E-6</v>
      </c>
      <c r="J439" s="20">
        <f t="shared" si="75"/>
        <v>-9.8877659459558287E-2</v>
      </c>
      <c r="K439" s="15">
        <f t="shared" si="76"/>
        <v>-0.99606625258799175</v>
      </c>
      <c r="L439" s="15">
        <f t="shared" si="77"/>
        <v>-9.9327506342193783E-2</v>
      </c>
      <c r="M439" s="15">
        <f t="shared" si="81"/>
        <v>0.10833551242619466</v>
      </c>
      <c r="N439" s="15">
        <f t="shared" si="82"/>
        <v>5.555555555555558E-2</v>
      </c>
      <c r="O439" s="15">
        <f t="shared" si="83"/>
        <v>0.10833539106504575</v>
      </c>
      <c r="P439" s="18">
        <f>IF(SUMIFS('Daily NSE Equity Futures'!$J:$J,'Daily NSE Equity Futures'!$A:$A,$A439)=0,"",SUMIFS('Daily NSE Equity Futures'!$J:$J,'Daily NSE Equity Futures'!$A:$A,$A439))</f>
        <v>1093217</v>
      </c>
      <c r="Q439" s="7">
        <f>IF(SUMIFS('Daily BSE Equity Futures'!$J:$J,'Daily BSE Equity Futures'!$A:$A,$A439)=0,"",SUMIFS('Daily BSE Equity Futures'!$J:$J,'Daily BSE Equity Futures'!$A:$A,$A439))</f>
        <v>2</v>
      </c>
      <c r="R439" s="7">
        <f t="shared" si="78"/>
        <v>1093219</v>
      </c>
      <c r="S439" s="19">
        <f t="shared" si="79"/>
        <v>0.99999817054039497</v>
      </c>
      <c r="T439" s="19">
        <f t="shared" si="80"/>
        <v>1.8294596050745551E-6</v>
      </c>
    </row>
    <row r="440" spans="1:20" x14ac:dyDescent="0.2">
      <c r="A440" s="9">
        <v>44566</v>
      </c>
      <c r="B440" s="4" t="s">
        <v>221</v>
      </c>
      <c r="C440" s="8">
        <v>44562</v>
      </c>
      <c r="D440" s="4" t="s">
        <v>180</v>
      </c>
      <c r="E440" s="14">
        <f>IF(SUMIFS('Daily NSE Equity Futures'!$I:$I,'Daily NSE Equity Futures'!$A:$A,$A440)=0,"",SUMIFS('Daily NSE Equity Futures'!$I:$I,'Daily NSE Equity Futures'!$A:$A,$A440))</f>
        <v>973.06809999999996</v>
      </c>
      <c r="F440" s="6">
        <f>IF(SUMIFS('Daily BSE Equity Futures'!$I:$I,'Daily BSE Equity Futures'!$A:$A,$A440)=0,"",SUMIFS('Daily BSE Equity Futures'!$I:$I,'Daily BSE Equity Futures'!$A:$A,$A440))</f>
        <v>1.9E-3</v>
      </c>
      <c r="G440" s="6">
        <f t="shared" si="72"/>
        <v>973.06999999999994</v>
      </c>
      <c r="H440" s="15">
        <f t="shared" si="73"/>
        <v>0.99999804741693821</v>
      </c>
      <c r="I440" s="15">
        <f t="shared" si="74"/>
        <v>1.952583061855776E-6</v>
      </c>
      <c r="J440" s="20">
        <f t="shared" si="75"/>
        <v>1.0302390480191326E-2</v>
      </c>
      <c r="K440" s="15">
        <f t="shared" si="76"/>
        <v>-0.98619186046511631</v>
      </c>
      <c r="L440" s="15">
        <f t="shared" si="77"/>
        <v>1.0160046424570801E-2</v>
      </c>
      <c r="M440" s="15">
        <f t="shared" si="81"/>
        <v>0.12153060117785897</v>
      </c>
      <c r="N440" s="15">
        <f t="shared" si="82"/>
        <v>0</v>
      </c>
      <c r="O440" s="15">
        <f t="shared" si="83"/>
        <v>0.1215303350402881</v>
      </c>
      <c r="P440" s="18">
        <f>IF(SUMIFS('Daily NSE Equity Futures'!$J:$J,'Daily NSE Equity Futures'!$A:$A,$A440)=0,"",SUMIFS('Daily NSE Equity Futures'!$J:$J,'Daily NSE Equity Futures'!$A:$A,$A440))</f>
        <v>1229063</v>
      </c>
      <c r="Q440" s="7">
        <f>IF(SUMIFS('Daily BSE Equity Futures'!$J:$J,'Daily BSE Equity Futures'!$A:$A,$A440)=0,"",SUMIFS('Daily BSE Equity Futures'!$J:$J,'Daily BSE Equity Futures'!$A:$A,$A440))</f>
        <v>2</v>
      </c>
      <c r="R440" s="7">
        <f t="shared" si="78"/>
        <v>1229065</v>
      </c>
      <c r="S440" s="19">
        <f t="shared" si="79"/>
        <v>0.99999837274676273</v>
      </c>
      <c r="T440" s="19">
        <f t="shared" si="80"/>
        <v>1.6272532372169088E-6</v>
      </c>
    </row>
    <row r="441" spans="1:20" x14ac:dyDescent="0.2">
      <c r="A441" s="9">
        <v>44567</v>
      </c>
      <c r="B441" s="4" t="s">
        <v>224</v>
      </c>
      <c r="C441" s="8">
        <v>44562</v>
      </c>
      <c r="D441" s="4" t="s">
        <v>180</v>
      </c>
      <c r="E441" s="14">
        <f>IF(SUMIFS('Daily NSE Equity Futures'!$I:$I,'Daily NSE Equity Futures'!$A:$A,$A441)=0,"",SUMIFS('Daily NSE Equity Futures'!$I:$I,'Daily NSE Equity Futures'!$A:$A,$A441))</f>
        <v>980.30169999999998</v>
      </c>
      <c r="F441" s="6">
        <f>IF(SUMIFS('Daily BSE Equity Futures'!$I:$I,'Daily BSE Equity Futures'!$A:$A,$A441)=0,"",SUMIFS('Daily BSE Equity Futures'!$I:$I,'Daily BSE Equity Futures'!$A:$A,$A441))</f>
        <v>8.9999999999999998E-4</v>
      </c>
      <c r="G441" s="6">
        <f t="shared" si="72"/>
        <v>980.30259999999998</v>
      </c>
      <c r="H441" s="15">
        <f t="shared" si="73"/>
        <v>0.99999908191613485</v>
      </c>
      <c r="I441" s="15">
        <f t="shared" si="74"/>
        <v>9.1808386512491138E-7</v>
      </c>
      <c r="J441" s="20">
        <f t="shared" si="75"/>
        <v>-0.12483205071412251</v>
      </c>
      <c r="K441" s="15">
        <f t="shared" si="76"/>
        <v>-0.99109792284866471</v>
      </c>
      <c r="L441" s="15">
        <f t="shared" si="77"/>
        <v>-0.12491023056050321</v>
      </c>
      <c r="M441" s="15">
        <f t="shared" si="81"/>
        <v>7.4338065341983395E-3</v>
      </c>
      <c r="N441" s="15">
        <f t="shared" si="82"/>
        <v>-0.52631578947368429</v>
      </c>
      <c r="O441" s="15">
        <f t="shared" si="83"/>
        <v>7.4327643437779312E-3</v>
      </c>
      <c r="P441" s="18">
        <f>IF(SUMIFS('Daily NSE Equity Futures'!$J:$J,'Daily NSE Equity Futures'!$A:$A,$A441)=0,"",SUMIFS('Daily NSE Equity Futures'!$J:$J,'Daily NSE Equity Futures'!$A:$A,$A441))</f>
        <v>1228640</v>
      </c>
      <c r="Q441" s="7">
        <f>IF(SUMIFS('Daily BSE Equity Futures'!$J:$J,'Daily BSE Equity Futures'!$A:$A,$A441)=0,"",SUMIFS('Daily BSE Equity Futures'!$J:$J,'Daily BSE Equity Futures'!$A:$A,$A441))</f>
        <v>1</v>
      </c>
      <c r="R441" s="7">
        <f t="shared" si="78"/>
        <v>1228641</v>
      </c>
      <c r="S441" s="19">
        <f t="shared" si="79"/>
        <v>0.99999918609260152</v>
      </c>
      <c r="T441" s="19">
        <f t="shared" si="80"/>
        <v>8.1390739849964313E-7</v>
      </c>
    </row>
    <row r="442" spans="1:20" x14ac:dyDescent="0.2">
      <c r="A442" s="9">
        <v>44568</v>
      </c>
      <c r="B442" s="4" t="s">
        <v>222</v>
      </c>
      <c r="C442" s="8">
        <v>44562</v>
      </c>
      <c r="D442" s="4" t="s">
        <v>180</v>
      </c>
      <c r="E442" s="14">
        <f>IF(SUMIFS('Daily NSE Equity Futures'!$I:$I,'Daily NSE Equity Futures'!$A:$A,$A442)=0,"",SUMIFS('Daily NSE Equity Futures'!$I:$I,'Daily NSE Equity Futures'!$A:$A,$A442))</f>
        <v>991.85940000000005</v>
      </c>
      <c r="F442" s="6">
        <f>IF(SUMIFS('Daily BSE Equity Futures'!$I:$I,'Daily BSE Equity Futures'!$A:$A,$A442)=0,"",SUMIFS('Daily BSE Equity Futures'!$I:$I,'Daily BSE Equity Futures'!$A:$A,$A442))</f>
        <v>1.9E-3</v>
      </c>
      <c r="G442" s="6">
        <f t="shared" si="72"/>
        <v>991.86130000000003</v>
      </c>
      <c r="H442" s="15">
        <f t="shared" si="73"/>
        <v>0.99999808440958426</v>
      </c>
      <c r="I442" s="15">
        <f t="shared" si="74"/>
        <v>1.9155904157163908E-6</v>
      </c>
      <c r="J442" s="20">
        <f t="shared" si="75"/>
        <v>1.942600441313691E-2</v>
      </c>
      <c r="K442" s="15">
        <f t="shared" si="76"/>
        <v>-0.97532467532467537</v>
      </c>
      <c r="L442" s="15">
        <f t="shared" si="77"/>
        <v>1.9347286024551824E-2</v>
      </c>
      <c r="M442" s="15">
        <f t="shared" si="81"/>
        <v>1.1789941810771198E-2</v>
      </c>
      <c r="N442" s="15">
        <f t="shared" si="82"/>
        <v>1.1111111111111112</v>
      </c>
      <c r="O442" s="15">
        <f t="shared" si="83"/>
        <v>1.1790951079799328E-2</v>
      </c>
      <c r="P442" s="18">
        <f>IF(SUMIFS('Daily NSE Equity Futures'!$J:$J,'Daily NSE Equity Futures'!$A:$A,$A442)=0,"",SUMIFS('Daily NSE Equity Futures'!$J:$J,'Daily NSE Equity Futures'!$A:$A,$A442))</f>
        <v>1226573</v>
      </c>
      <c r="Q442" s="7">
        <f>IF(SUMIFS('Daily BSE Equity Futures'!$J:$J,'Daily BSE Equity Futures'!$A:$A,$A442)=0,"",SUMIFS('Daily BSE Equity Futures'!$J:$J,'Daily BSE Equity Futures'!$A:$A,$A442))</f>
        <v>2</v>
      </c>
      <c r="R442" s="7">
        <f t="shared" si="78"/>
        <v>1226575</v>
      </c>
      <c r="S442" s="19">
        <f t="shared" si="79"/>
        <v>0.99999836944336873</v>
      </c>
      <c r="T442" s="19">
        <f t="shared" si="80"/>
        <v>1.6305566312699998E-6</v>
      </c>
    </row>
    <row r="443" spans="1:20" x14ac:dyDescent="0.2">
      <c r="A443" s="9">
        <v>44571</v>
      </c>
      <c r="B443" s="4" t="s">
        <v>225</v>
      </c>
      <c r="C443" s="8">
        <v>44562</v>
      </c>
      <c r="D443" s="4" t="s">
        <v>180</v>
      </c>
      <c r="E443" s="14">
        <f>IF(SUMIFS('Daily NSE Equity Futures'!$I:$I,'Daily NSE Equity Futures'!$A:$A,$A443)=0,"",SUMIFS('Daily NSE Equity Futures'!$I:$I,'Daily NSE Equity Futures'!$A:$A,$A443))</f>
        <v>896.28319999999997</v>
      </c>
      <c r="F443" s="6">
        <f>IF(SUMIFS('Daily BSE Equity Futures'!$I:$I,'Daily BSE Equity Futures'!$A:$A,$A443)=0,"",SUMIFS('Daily BSE Equity Futures'!$I:$I,'Daily BSE Equity Futures'!$A:$A,$A443))</f>
        <v>1.9E-3</v>
      </c>
      <c r="G443" s="6">
        <f t="shared" si="72"/>
        <v>896.28509999999994</v>
      </c>
      <c r="H443" s="15">
        <f t="shared" si="73"/>
        <v>0.99999788013880853</v>
      </c>
      <c r="I443" s="15">
        <f t="shared" si="74"/>
        <v>2.1198611914891816E-6</v>
      </c>
      <c r="J443" s="20" t="str">
        <f t="shared" si="75"/>
        <v/>
      </c>
      <c r="K443" s="15" t="str">
        <f t="shared" si="76"/>
        <v/>
      </c>
      <c r="L443" s="15" t="str">
        <f t="shared" si="77"/>
        <v/>
      </c>
      <c r="M443" s="15">
        <f t="shared" si="81"/>
        <v>-9.6360633372028381E-2</v>
      </c>
      <c r="N443" s="15">
        <f t="shared" si="82"/>
        <v>0</v>
      </c>
      <c r="O443" s="15">
        <f t="shared" si="83"/>
        <v>-9.6360448784522656E-2</v>
      </c>
      <c r="P443" s="18">
        <f>IF(SUMIFS('Daily NSE Equity Futures'!$J:$J,'Daily NSE Equity Futures'!$A:$A,$A443)=0,"",SUMIFS('Daily NSE Equity Futures'!$J:$J,'Daily NSE Equity Futures'!$A:$A,$A443))</f>
        <v>1129705</v>
      </c>
      <c r="Q443" s="7">
        <f>IF(SUMIFS('Daily BSE Equity Futures'!$J:$J,'Daily BSE Equity Futures'!$A:$A,$A443)=0,"",SUMIFS('Daily BSE Equity Futures'!$J:$J,'Daily BSE Equity Futures'!$A:$A,$A443))</f>
        <v>2</v>
      </c>
      <c r="R443" s="7">
        <f t="shared" si="78"/>
        <v>1129707</v>
      </c>
      <c r="S443" s="19">
        <f t="shared" si="79"/>
        <v>0.99999822962945262</v>
      </c>
      <c r="T443" s="19">
        <f t="shared" si="80"/>
        <v>1.7703705474074252E-6</v>
      </c>
    </row>
    <row r="444" spans="1:20" x14ac:dyDescent="0.2">
      <c r="A444" s="9">
        <v>44572</v>
      </c>
      <c r="B444" s="4" t="s">
        <v>223</v>
      </c>
      <c r="C444" s="8">
        <v>44562</v>
      </c>
      <c r="D444" s="4" t="s">
        <v>180</v>
      </c>
      <c r="E444" s="14">
        <f>IF(SUMIFS('Daily NSE Equity Futures'!$I:$I,'Daily NSE Equity Futures'!$A:$A,$A444)=0,"",SUMIFS('Daily NSE Equity Futures'!$I:$I,'Daily NSE Equity Futures'!$A:$A,$A444))</f>
        <v>855.34180000000003</v>
      </c>
      <c r="F444" s="6">
        <f>IF(SUMIFS('Daily BSE Equity Futures'!$I:$I,'Daily BSE Equity Futures'!$A:$A,$A444)=0,"",SUMIFS('Daily BSE Equity Futures'!$I:$I,'Daily BSE Equity Futures'!$A:$A,$A444))</f>
        <v>2.8E-3</v>
      </c>
      <c r="G444" s="6">
        <f t="shared" si="72"/>
        <v>855.34460000000001</v>
      </c>
      <c r="H444" s="15">
        <f t="shared" si="73"/>
        <v>0.99999672646556725</v>
      </c>
      <c r="I444" s="15">
        <f t="shared" si="74"/>
        <v>3.2735344327888431E-6</v>
      </c>
      <c r="J444" s="20">
        <f t="shared" si="75"/>
        <v>-0.16607790594680338</v>
      </c>
      <c r="K444" s="15">
        <f t="shared" si="76"/>
        <v>-0.97433547204399629</v>
      </c>
      <c r="L444" s="15">
        <f t="shared" si="77"/>
        <v>-0.16616386945300743</v>
      </c>
      <c r="M444" s="15">
        <f t="shared" si="81"/>
        <v>-4.5679088930819955E-2</v>
      </c>
      <c r="N444" s="15">
        <f t="shared" si="82"/>
        <v>0.47368421052631571</v>
      </c>
      <c r="O444" s="15">
        <f t="shared" si="83"/>
        <v>-4.5677987952717158E-2</v>
      </c>
      <c r="P444" s="18">
        <f>IF(SUMIFS('Daily NSE Equity Futures'!$J:$J,'Daily NSE Equity Futures'!$A:$A,$A444)=0,"",SUMIFS('Daily NSE Equity Futures'!$J:$J,'Daily NSE Equity Futures'!$A:$A,$A444))</f>
        <v>1076655</v>
      </c>
      <c r="Q444" s="7">
        <f>IF(SUMIFS('Daily BSE Equity Futures'!$J:$J,'Daily BSE Equity Futures'!$A:$A,$A444)=0,"",SUMIFS('Daily BSE Equity Futures'!$J:$J,'Daily BSE Equity Futures'!$A:$A,$A444))</f>
        <v>3</v>
      </c>
      <c r="R444" s="7">
        <f t="shared" si="78"/>
        <v>1076658</v>
      </c>
      <c r="S444" s="19">
        <f t="shared" si="79"/>
        <v>0.99999721359986182</v>
      </c>
      <c r="T444" s="19">
        <f t="shared" si="80"/>
        <v>2.786400138205447E-6</v>
      </c>
    </row>
    <row r="445" spans="1:20" x14ac:dyDescent="0.2">
      <c r="A445" s="9">
        <v>44573</v>
      </c>
      <c r="B445" s="4" t="s">
        <v>221</v>
      </c>
      <c r="C445" s="8">
        <v>44562</v>
      </c>
      <c r="D445" s="4" t="s">
        <v>180</v>
      </c>
      <c r="E445" s="14">
        <f>IF(SUMIFS('Daily NSE Equity Futures'!$I:$I,'Daily NSE Equity Futures'!$A:$A,$A445)=0,"",SUMIFS('Daily NSE Equity Futures'!$I:$I,'Daily NSE Equity Futures'!$A:$A,$A445))</f>
        <v>856.88580000000002</v>
      </c>
      <c r="F445" s="6">
        <f>IF(SUMIFS('Daily BSE Equity Futures'!$I:$I,'Daily BSE Equity Futures'!$A:$A,$A445)=0,"",SUMIFS('Daily BSE Equity Futures'!$I:$I,'Daily BSE Equity Futures'!$A:$A,$A445))</f>
        <v>1E-3</v>
      </c>
      <c r="G445" s="6">
        <f t="shared" si="72"/>
        <v>856.88679999999999</v>
      </c>
      <c r="H445" s="15">
        <f t="shared" si="73"/>
        <v>0.99999883298470704</v>
      </c>
      <c r="I445" s="15">
        <f t="shared" si="74"/>
        <v>1.1670152930352062E-6</v>
      </c>
      <c r="J445" s="20">
        <f t="shared" si="75"/>
        <v>-0.22570289703421853</v>
      </c>
      <c r="K445" s="15">
        <f t="shared" si="76"/>
        <v>-0.99626447515875982</v>
      </c>
      <c r="L445" s="15">
        <f t="shared" si="77"/>
        <v>-0.22588924959606782</v>
      </c>
      <c r="M445" s="15">
        <f t="shared" si="81"/>
        <v>1.8051263249381222E-3</v>
      </c>
      <c r="N445" s="15">
        <f t="shared" si="82"/>
        <v>-0.64285714285714279</v>
      </c>
      <c r="O445" s="15">
        <f t="shared" si="83"/>
        <v>1.8030160008024598E-3</v>
      </c>
      <c r="P445" s="18">
        <f>IF(SUMIFS('Daily NSE Equity Futures'!$J:$J,'Daily NSE Equity Futures'!$A:$A,$A445)=0,"",SUMIFS('Daily NSE Equity Futures'!$J:$J,'Daily NSE Equity Futures'!$A:$A,$A445))</f>
        <v>1086496</v>
      </c>
      <c r="Q445" s="7">
        <f>IF(SUMIFS('Daily BSE Equity Futures'!$J:$J,'Daily BSE Equity Futures'!$A:$A,$A445)=0,"",SUMIFS('Daily BSE Equity Futures'!$J:$J,'Daily BSE Equity Futures'!$A:$A,$A445))</f>
        <v>1</v>
      </c>
      <c r="R445" s="7">
        <f t="shared" si="78"/>
        <v>1086497</v>
      </c>
      <c r="S445" s="19">
        <f t="shared" si="79"/>
        <v>0.99999907961089629</v>
      </c>
      <c r="T445" s="19">
        <f t="shared" si="80"/>
        <v>9.203891036974792E-7</v>
      </c>
    </row>
    <row r="446" spans="1:20" x14ac:dyDescent="0.2">
      <c r="A446" s="9">
        <v>44574</v>
      </c>
      <c r="B446" s="4" t="s">
        <v>224</v>
      </c>
      <c r="C446" s="8">
        <v>44562</v>
      </c>
      <c r="D446" s="4" t="s">
        <v>180</v>
      </c>
      <c r="E446" s="14">
        <f>IF(SUMIFS('Daily NSE Equity Futures'!$I:$I,'Daily NSE Equity Futures'!$A:$A,$A446)=0,"",SUMIFS('Daily NSE Equity Futures'!$I:$I,'Daily NSE Equity Futures'!$A:$A,$A446))</f>
        <v>989.49680000000001</v>
      </c>
      <c r="F446" s="6">
        <f>IF(SUMIFS('Daily BSE Equity Futures'!$I:$I,'Daily BSE Equity Futures'!$A:$A,$A446)=0,"",SUMIFS('Daily BSE Equity Futures'!$I:$I,'Daily BSE Equity Futures'!$A:$A,$A446))</f>
        <v>1.9E-3</v>
      </c>
      <c r="G446" s="6">
        <f t="shared" si="72"/>
        <v>989.49869999999999</v>
      </c>
      <c r="H446" s="15">
        <f t="shared" si="73"/>
        <v>0.99999807983577949</v>
      </c>
      <c r="I446" s="15">
        <f t="shared" si="74"/>
        <v>1.9201642205290416E-6</v>
      </c>
      <c r="J446" s="20">
        <f t="shared" si="75"/>
        <v>-0.24819094173145639</v>
      </c>
      <c r="K446" s="15">
        <f t="shared" si="76"/>
        <v>-0.99458843634292227</v>
      </c>
      <c r="L446" s="15">
        <f t="shared" si="77"/>
        <v>-0.24838999913027326</v>
      </c>
      <c r="M446" s="15">
        <f t="shared" si="81"/>
        <v>0.154759245631098</v>
      </c>
      <c r="N446" s="15">
        <f t="shared" si="82"/>
        <v>0.89999999999999991</v>
      </c>
      <c r="O446" s="15">
        <f t="shared" si="83"/>
        <v>0.15476011533845546</v>
      </c>
      <c r="P446" s="18">
        <f>IF(SUMIFS('Daily NSE Equity Futures'!$J:$J,'Daily NSE Equity Futures'!$A:$A,$A446)=0,"",SUMIFS('Daily NSE Equity Futures'!$J:$J,'Daily NSE Equity Futures'!$A:$A,$A446))</f>
        <v>1254939</v>
      </c>
      <c r="Q446" s="7">
        <f>IF(SUMIFS('Daily BSE Equity Futures'!$J:$J,'Daily BSE Equity Futures'!$A:$A,$A446)=0,"",SUMIFS('Daily BSE Equity Futures'!$J:$J,'Daily BSE Equity Futures'!$A:$A,$A446))</f>
        <v>2</v>
      </c>
      <c r="R446" s="7">
        <f t="shared" si="78"/>
        <v>1254941</v>
      </c>
      <c r="S446" s="19">
        <f t="shared" si="79"/>
        <v>0.99999840629957903</v>
      </c>
      <c r="T446" s="19">
        <f t="shared" si="80"/>
        <v>1.5937004209759661E-6</v>
      </c>
    </row>
    <row r="447" spans="1:20" x14ac:dyDescent="0.2">
      <c r="A447" s="9">
        <v>44575</v>
      </c>
      <c r="B447" s="4" t="s">
        <v>222</v>
      </c>
      <c r="C447" s="8">
        <v>44562</v>
      </c>
      <c r="D447" s="4" t="s">
        <v>180</v>
      </c>
      <c r="E447" s="14">
        <f>IF(SUMIFS('Daily NSE Equity Futures'!$I:$I,'Daily NSE Equity Futures'!$A:$A,$A447)=0,"",SUMIFS('Daily NSE Equity Futures'!$I:$I,'Daily NSE Equity Futures'!$A:$A,$A447))</f>
        <v>927.65219999999999</v>
      </c>
      <c r="F447" s="6">
        <f>IF(SUMIFS('Daily BSE Equity Futures'!$I:$I,'Daily BSE Equity Futures'!$A:$A,$A447)=0,"",SUMIFS('Daily BSE Equity Futures'!$I:$I,'Daily BSE Equity Futures'!$A:$A,$A447))</f>
        <v>2.8999999999999998E-3</v>
      </c>
      <c r="G447" s="6">
        <f t="shared" si="72"/>
        <v>927.65509999999995</v>
      </c>
      <c r="H447" s="15">
        <f t="shared" si="73"/>
        <v>0.99999687383813229</v>
      </c>
      <c r="I447" s="15">
        <f t="shared" si="74"/>
        <v>3.1261618677027702E-6</v>
      </c>
      <c r="J447" s="20">
        <f t="shared" si="75"/>
        <v>2.3244296087027827E-2</v>
      </c>
      <c r="K447" s="15">
        <f t="shared" si="76"/>
        <v>-0.88973384030418257</v>
      </c>
      <c r="L447" s="15">
        <f t="shared" si="77"/>
        <v>2.3217811227085772E-2</v>
      </c>
      <c r="M447" s="15">
        <f t="shared" si="81"/>
        <v>-6.2501061145422643E-2</v>
      </c>
      <c r="N447" s="15">
        <f t="shared" si="82"/>
        <v>0.52631578947368407</v>
      </c>
      <c r="O447" s="15">
        <f t="shared" si="83"/>
        <v>-6.2499930520373614E-2</v>
      </c>
      <c r="P447" s="18">
        <f>IF(SUMIFS('Daily NSE Equity Futures'!$J:$J,'Daily NSE Equity Futures'!$A:$A,$A447)=0,"",SUMIFS('Daily NSE Equity Futures'!$J:$J,'Daily NSE Equity Futures'!$A:$A,$A447))</f>
        <v>1169772</v>
      </c>
      <c r="Q447" s="7">
        <f>IF(SUMIFS('Daily BSE Equity Futures'!$J:$J,'Daily BSE Equity Futures'!$A:$A,$A447)=0,"",SUMIFS('Daily BSE Equity Futures'!$J:$J,'Daily BSE Equity Futures'!$A:$A,$A447))</f>
        <v>3</v>
      </c>
      <c r="R447" s="7">
        <f t="shared" si="78"/>
        <v>1169775</v>
      </c>
      <c r="S447" s="19">
        <f t="shared" si="79"/>
        <v>0.99999743540424446</v>
      </c>
      <c r="T447" s="19">
        <f t="shared" si="80"/>
        <v>2.5645957555940246E-6</v>
      </c>
    </row>
    <row r="448" spans="1:20" x14ac:dyDescent="0.2">
      <c r="A448" s="9">
        <v>44578</v>
      </c>
      <c r="B448" s="4" t="s">
        <v>225</v>
      </c>
      <c r="C448" s="8">
        <v>44562</v>
      </c>
      <c r="D448" s="4" t="s">
        <v>180</v>
      </c>
      <c r="E448" s="14">
        <f>IF(SUMIFS('Daily NSE Equity Futures'!$I:$I,'Daily NSE Equity Futures'!$A:$A,$A448)=0,"",SUMIFS('Daily NSE Equity Futures'!$I:$I,'Daily NSE Equity Futures'!$A:$A,$A448))</f>
        <v>876.24149999999997</v>
      </c>
      <c r="F448" s="6">
        <f>IF(SUMIFS('Daily BSE Equity Futures'!$I:$I,'Daily BSE Equity Futures'!$A:$A,$A448)=0,"",SUMIFS('Daily BSE Equity Futures'!$I:$I,'Daily BSE Equity Futures'!$A:$A,$A448))</f>
        <v>1E-3</v>
      </c>
      <c r="G448" s="6">
        <f t="shared" si="72"/>
        <v>876.24249999999995</v>
      </c>
      <c r="H448" s="15">
        <f t="shared" si="73"/>
        <v>0.9999988587634131</v>
      </c>
      <c r="I448" s="15">
        <f t="shared" si="74"/>
        <v>1.1412365869037396E-6</v>
      </c>
      <c r="J448" s="20" t="str">
        <f t="shared" si="75"/>
        <v/>
      </c>
      <c r="K448" s="15" t="str">
        <f t="shared" si="76"/>
        <v/>
      </c>
      <c r="L448" s="15" t="str">
        <f t="shared" si="77"/>
        <v/>
      </c>
      <c r="M448" s="15">
        <f t="shared" si="81"/>
        <v>-5.5420231849824808E-2</v>
      </c>
      <c r="N448" s="15">
        <f t="shared" si="82"/>
        <v>-0.65517241379310343</v>
      </c>
      <c r="O448" s="15">
        <f t="shared" si="83"/>
        <v>-5.5422106772226032E-2</v>
      </c>
      <c r="P448" s="18">
        <f>IF(SUMIFS('Daily NSE Equity Futures'!$J:$J,'Daily NSE Equity Futures'!$A:$A,$A448)=0,"",SUMIFS('Daily NSE Equity Futures'!$J:$J,'Daily NSE Equity Futures'!$A:$A,$A448))</f>
        <v>1108364</v>
      </c>
      <c r="Q448" s="7">
        <f>IF(SUMIFS('Daily BSE Equity Futures'!$J:$J,'Daily BSE Equity Futures'!$A:$A,$A448)=0,"",SUMIFS('Daily BSE Equity Futures'!$J:$J,'Daily BSE Equity Futures'!$A:$A,$A448))</f>
        <v>1</v>
      </c>
      <c r="R448" s="7">
        <f t="shared" si="78"/>
        <v>1108365</v>
      </c>
      <c r="S448" s="19">
        <f t="shared" si="79"/>
        <v>0.99999909777013885</v>
      </c>
      <c r="T448" s="19">
        <f t="shared" si="80"/>
        <v>9.0222986110171291E-7</v>
      </c>
    </row>
    <row r="449" spans="1:20" x14ac:dyDescent="0.2">
      <c r="A449" s="9">
        <v>44579</v>
      </c>
      <c r="B449" s="4" t="s">
        <v>223</v>
      </c>
      <c r="C449" s="8">
        <v>44562</v>
      </c>
      <c r="D449" s="4" t="s">
        <v>180</v>
      </c>
      <c r="E449" s="14">
        <f>IF(SUMIFS('Daily NSE Equity Futures'!$I:$I,'Daily NSE Equity Futures'!$A:$A,$A449)=0,"",SUMIFS('Daily NSE Equity Futures'!$I:$I,'Daily NSE Equity Futures'!$A:$A,$A449))</f>
        <v>1216.3371</v>
      </c>
      <c r="F449" s="6">
        <f>IF(SUMIFS('Daily BSE Equity Futures'!$I:$I,'Daily BSE Equity Futures'!$A:$A,$A449)=0,"",SUMIFS('Daily BSE Equity Futures'!$I:$I,'Daily BSE Equity Futures'!$A:$A,$A449))</f>
        <v>2.8999999999999998E-3</v>
      </c>
      <c r="G449" s="6">
        <f t="shared" si="72"/>
        <v>1216.3399999999999</v>
      </c>
      <c r="H449" s="15">
        <f t="shared" si="73"/>
        <v>0.99999761579821433</v>
      </c>
      <c r="I449" s="15">
        <f t="shared" si="74"/>
        <v>2.3842017856849235E-6</v>
      </c>
      <c r="J449" s="20">
        <f t="shared" si="75"/>
        <v>5.2035916723643272E-2</v>
      </c>
      <c r="K449" s="15">
        <f t="shared" si="76"/>
        <v>-0.9614873837981408</v>
      </c>
      <c r="L449" s="15">
        <f t="shared" si="77"/>
        <v>5.1969911692092641E-2</v>
      </c>
      <c r="M449" s="15">
        <f t="shared" si="81"/>
        <v>0.38812998471311855</v>
      </c>
      <c r="N449" s="15">
        <f t="shared" si="82"/>
        <v>1.9</v>
      </c>
      <c r="O449" s="15">
        <f t="shared" si="83"/>
        <v>0.38813171011449454</v>
      </c>
      <c r="P449" s="18">
        <f>IF(SUMIFS('Daily NSE Equity Futures'!$J:$J,'Daily NSE Equity Futures'!$A:$A,$A449)=0,"",SUMIFS('Daily NSE Equity Futures'!$J:$J,'Daily NSE Equity Futures'!$A:$A,$A449))</f>
        <v>1507824</v>
      </c>
      <c r="Q449" s="7">
        <f>IF(SUMIFS('Daily BSE Equity Futures'!$J:$J,'Daily BSE Equity Futures'!$A:$A,$A449)=0,"",SUMIFS('Daily BSE Equity Futures'!$J:$J,'Daily BSE Equity Futures'!$A:$A,$A449))</f>
        <v>3</v>
      </c>
      <c r="R449" s="7">
        <f t="shared" si="78"/>
        <v>1507827</v>
      </c>
      <c r="S449" s="19">
        <f t="shared" si="79"/>
        <v>0.99999801038182767</v>
      </c>
      <c r="T449" s="19">
        <f t="shared" si="80"/>
        <v>1.9896181723765394E-6</v>
      </c>
    </row>
    <row r="450" spans="1:20" x14ac:dyDescent="0.2">
      <c r="A450" s="9">
        <v>44580</v>
      </c>
      <c r="B450" s="4" t="s">
        <v>221</v>
      </c>
      <c r="C450" s="8">
        <v>44562</v>
      </c>
      <c r="D450" s="4" t="s">
        <v>180</v>
      </c>
      <c r="E450" s="14">
        <f>IF(SUMIFS('Daily NSE Equity Futures'!$I:$I,'Daily NSE Equity Futures'!$A:$A,$A450)=0,"",SUMIFS('Daily NSE Equity Futures'!$I:$I,'Daily NSE Equity Futures'!$A:$A,$A450))</f>
        <v>1226.9183</v>
      </c>
      <c r="F450" s="6">
        <f>IF(SUMIFS('Daily BSE Equity Futures'!$I:$I,'Daily BSE Equity Futures'!$A:$A,$A450)=0,"",SUMIFS('Daily BSE Equity Futures'!$I:$I,'Daily BSE Equity Futures'!$A:$A,$A450))</f>
        <v>3.8E-3</v>
      </c>
      <c r="G450" s="6">
        <f t="shared" ref="G450:G513" si="84">IF(OR(E450="",F450=""),"",E450+F450)</f>
        <v>1226.9221</v>
      </c>
      <c r="H450" s="15">
        <f t="shared" ref="H450:H513" si="85">IF(G450="","",E450/G450)</f>
        <v>0.99999690281885056</v>
      </c>
      <c r="I450" s="15">
        <f t="shared" ref="I450:I513" si="86">IF(G450="","",F450/G450)</f>
        <v>3.0971811494796615E-6</v>
      </c>
      <c r="J450" s="20">
        <f t="shared" ref="J450:J513" si="87">IFERROR(IF(OR(E450="",INDEX(E:E,MATCH(DATE(YEAR($A450)-1,MONTH($A450),DAY($A450)),$A:$A,0))=""),"",E450/INDEX(E:E,MATCH(DATE(YEAR($A450)-1,MONTH($A450),DAY($A450)),$A:$A,0))-1),"")</f>
        <v>0.22777442710802243</v>
      </c>
      <c r="K450" s="15">
        <f t="shared" ref="K450:K513" si="88">IFERROR(IF(OR(F450="",INDEX(F:F,MATCH(DATE(YEAR($A450)-1,MONTH($A450),DAY($A450)),$A:$A,0))=""),"",F450/INDEX(F:F,MATCH(DATE(YEAR($A450)-1,MONTH($A450),DAY($A450)),$A:$A,0))-1),"")</f>
        <v>-0.88124999999999998</v>
      </c>
      <c r="L450" s="15">
        <f t="shared" ref="L450:L513" si="89">IFERROR(IF(OR(G450="",INDEX(G:G,MATCH(DATE(YEAR($A450)-1,MONTH($A450),DAY($A450)),$A:$A,0))=""),"",G450/INDEX(G:G,MATCH(DATE(YEAR($A450)-1,MONTH($A450),DAY($A450)),$A:$A,0))-1),"")</f>
        <v>0.22773891469994978</v>
      </c>
      <c r="M450" s="15">
        <f t="shared" si="81"/>
        <v>8.6992331319994953E-3</v>
      </c>
      <c r="N450" s="15">
        <f t="shared" si="82"/>
        <v>0.31034482758620707</v>
      </c>
      <c r="O450" s="15">
        <f t="shared" si="83"/>
        <v>8.6999523159643211E-3</v>
      </c>
      <c r="P450" s="18">
        <f>IF(SUMIFS('Daily NSE Equity Futures'!$J:$J,'Daily NSE Equity Futures'!$A:$A,$A450)=0,"",SUMIFS('Daily NSE Equity Futures'!$J:$J,'Daily NSE Equity Futures'!$A:$A,$A450))</f>
        <v>1493913</v>
      </c>
      <c r="Q450" s="7">
        <f>IF(SUMIFS('Daily BSE Equity Futures'!$J:$J,'Daily BSE Equity Futures'!$A:$A,$A450)=0,"",SUMIFS('Daily BSE Equity Futures'!$J:$J,'Daily BSE Equity Futures'!$A:$A,$A450))</f>
        <v>4</v>
      </c>
      <c r="R450" s="7">
        <f t="shared" ref="R450:R513" si="90">IF(OR(P450="",Q450=""),"",P450+Q450)</f>
        <v>1493917</v>
      </c>
      <c r="S450" s="19">
        <f t="shared" ref="S450:S513" si="91">IF(R450="","",P450/R450)</f>
        <v>0.99999732247507722</v>
      </c>
      <c r="T450" s="19">
        <f t="shared" ref="T450:T513" si="92">IF(R450="","",Q450/R450)</f>
        <v>2.6775249227366715E-6</v>
      </c>
    </row>
    <row r="451" spans="1:20" x14ac:dyDescent="0.2">
      <c r="A451" s="9">
        <v>44581</v>
      </c>
      <c r="B451" s="4" t="s">
        <v>224</v>
      </c>
      <c r="C451" s="8">
        <v>44562</v>
      </c>
      <c r="D451" s="4" t="s">
        <v>180</v>
      </c>
      <c r="E451" s="14">
        <f>IF(SUMIFS('Daily NSE Equity Futures'!$I:$I,'Daily NSE Equity Futures'!$A:$A,$A451)=0,"",SUMIFS('Daily NSE Equity Futures'!$I:$I,'Daily NSE Equity Futures'!$A:$A,$A451))</f>
        <v>1203.3088</v>
      </c>
      <c r="F451" s="6">
        <f>IF(SUMIFS('Daily BSE Equity Futures'!$I:$I,'Daily BSE Equity Futures'!$A:$A,$A451)=0,"",SUMIFS('Daily BSE Equity Futures'!$I:$I,'Daily BSE Equity Futures'!$A:$A,$A451))</f>
        <v>6.4999999999999997E-3</v>
      </c>
      <c r="G451" s="6">
        <f t="shared" si="84"/>
        <v>1203.3153</v>
      </c>
      <c r="H451" s="15">
        <f t="shared" si="85"/>
        <v>0.99999459825699888</v>
      </c>
      <c r="I451" s="15">
        <f t="shared" si="86"/>
        <v>5.4017430011901283E-6</v>
      </c>
      <c r="J451" s="20">
        <f t="shared" si="87"/>
        <v>0.23465090713806269</v>
      </c>
      <c r="K451" s="15">
        <f t="shared" si="88"/>
        <v>-0.96396895787139691</v>
      </c>
      <c r="L451" s="15">
        <f t="shared" si="89"/>
        <v>0.23442908508968552</v>
      </c>
      <c r="M451" s="15">
        <f t="shared" ref="M451:M514" si="93">IF(OR(E451="",E450=""),"",E451/E450-1)</f>
        <v>-1.9242927585316871E-2</v>
      </c>
      <c r="N451" s="15">
        <f t="shared" ref="N451:N514" si="94">IF(OR(F451="",F450=""),"",F451/F450-1)</f>
        <v>0.71052631578947367</v>
      </c>
      <c r="O451" s="15">
        <f t="shared" ref="O451:O514" si="95">IF(OR(G451="",G450=""),"",G451/G450-1)</f>
        <v>-1.9240667357772745E-2</v>
      </c>
      <c r="P451" s="18">
        <f>IF(SUMIFS('Daily NSE Equity Futures'!$J:$J,'Daily NSE Equity Futures'!$A:$A,$A451)=0,"",SUMIFS('Daily NSE Equity Futures'!$J:$J,'Daily NSE Equity Futures'!$A:$A,$A451))</f>
        <v>1527166</v>
      </c>
      <c r="Q451" s="7">
        <f>IF(SUMIFS('Daily BSE Equity Futures'!$J:$J,'Daily BSE Equity Futures'!$A:$A,$A451)=0,"",SUMIFS('Daily BSE Equity Futures'!$J:$J,'Daily BSE Equity Futures'!$A:$A,$A451))</f>
        <v>7</v>
      </c>
      <c r="R451" s="7">
        <f t="shared" si="90"/>
        <v>1527173</v>
      </c>
      <c r="S451" s="19">
        <f t="shared" si="91"/>
        <v>0.99999541636736633</v>
      </c>
      <c r="T451" s="19">
        <f t="shared" si="92"/>
        <v>4.5836326336308987E-6</v>
      </c>
    </row>
    <row r="452" spans="1:20" x14ac:dyDescent="0.2">
      <c r="A452" s="9">
        <v>44582</v>
      </c>
      <c r="B452" s="4" t="s">
        <v>222</v>
      </c>
      <c r="C452" s="8">
        <v>44562</v>
      </c>
      <c r="D452" s="4" t="s">
        <v>180</v>
      </c>
      <c r="E452" s="14">
        <f>IF(SUMIFS('Daily NSE Equity Futures'!$I:$I,'Daily NSE Equity Futures'!$A:$A,$A452)=0,"",SUMIFS('Daily NSE Equity Futures'!$I:$I,'Daily NSE Equity Futures'!$A:$A,$A452))</f>
        <v>1771.2737</v>
      </c>
      <c r="F452" s="6">
        <f>IF(SUMIFS('Daily BSE Equity Futures'!$I:$I,'Daily BSE Equity Futures'!$A:$A,$A452)=0,"",SUMIFS('Daily BSE Equity Futures'!$I:$I,'Daily BSE Equity Futures'!$A:$A,$A452))</f>
        <v>4.5999999999999999E-3</v>
      </c>
      <c r="G452" s="6">
        <f t="shared" si="84"/>
        <v>1771.2782999999999</v>
      </c>
      <c r="H452" s="15">
        <f t="shared" si="85"/>
        <v>0.99999740300550177</v>
      </c>
      <c r="I452" s="15">
        <f t="shared" si="86"/>
        <v>2.5969944982671555E-6</v>
      </c>
      <c r="J452" s="20">
        <f t="shared" si="87"/>
        <v>0.31275385281152346</v>
      </c>
      <c r="K452" s="15">
        <f t="shared" si="88"/>
        <v>-0.97139303482587069</v>
      </c>
      <c r="L452" s="15">
        <f t="shared" si="89"/>
        <v>0.3126008333668655</v>
      </c>
      <c r="M452" s="15">
        <f t="shared" si="93"/>
        <v>0.47200261479015193</v>
      </c>
      <c r="N452" s="15">
        <f t="shared" si="94"/>
        <v>-0.29230769230769227</v>
      </c>
      <c r="O452" s="15">
        <f t="shared" si="95"/>
        <v>0.47199848618229989</v>
      </c>
      <c r="P452" s="18">
        <f>IF(SUMIFS('Daily NSE Equity Futures'!$J:$J,'Daily NSE Equity Futures'!$A:$A,$A452)=0,"",SUMIFS('Daily NSE Equity Futures'!$J:$J,'Daily NSE Equity Futures'!$A:$A,$A452))</f>
        <v>2323283</v>
      </c>
      <c r="Q452" s="7">
        <f>IF(SUMIFS('Daily BSE Equity Futures'!$J:$J,'Daily BSE Equity Futures'!$A:$A,$A452)=0,"",SUMIFS('Daily BSE Equity Futures'!$J:$J,'Daily BSE Equity Futures'!$A:$A,$A452))</f>
        <v>5</v>
      </c>
      <c r="R452" s="7">
        <f t="shared" si="90"/>
        <v>2323288</v>
      </c>
      <c r="S452" s="19">
        <f t="shared" si="91"/>
        <v>0.99999784787766299</v>
      </c>
      <c r="T452" s="19">
        <f t="shared" si="92"/>
        <v>2.1521223369638204E-6</v>
      </c>
    </row>
    <row r="453" spans="1:20" x14ac:dyDescent="0.2">
      <c r="A453" s="9">
        <v>44585</v>
      </c>
      <c r="B453" s="4" t="s">
        <v>225</v>
      </c>
      <c r="C453" s="8">
        <v>44562</v>
      </c>
      <c r="D453" s="4" t="s">
        <v>180</v>
      </c>
      <c r="E453" s="14">
        <f>IF(SUMIFS('Daily NSE Equity Futures'!$I:$I,'Daily NSE Equity Futures'!$A:$A,$A453)=0,"",SUMIFS('Daily NSE Equity Futures'!$I:$I,'Daily NSE Equity Futures'!$A:$A,$A453))</f>
        <v>2481.1315</v>
      </c>
      <c r="F453" s="6">
        <f>IF(SUMIFS('Daily BSE Equity Futures'!$I:$I,'Daily BSE Equity Futures'!$A:$A,$A453)=0,"",SUMIFS('Daily BSE Equity Futures'!$I:$I,'Daily BSE Equity Futures'!$A:$A,$A453))</f>
        <v>7.3000000000000001E-3</v>
      </c>
      <c r="G453" s="6">
        <f t="shared" si="84"/>
        <v>2481.1388000000002</v>
      </c>
      <c r="H453" s="15">
        <f t="shared" si="85"/>
        <v>0.99999705780265091</v>
      </c>
      <c r="I453" s="15">
        <f t="shared" si="86"/>
        <v>2.9421973490560058E-6</v>
      </c>
      <c r="J453" s="20" t="str">
        <f t="shared" si="87"/>
        <v/>
      </c>
      <c r="K453" s="15" t="str">
        <f t="shared" si="88"/>
        <v/>
      </c>
      <c r="L453" s="15" t="str">
        <f t="shared" si="89"/>
        <v/>
      </c>
      <c r="M453" s="15">
        <f t="shared" si="93"/>
        <v>0.40076121493815431</v>
      </c>
      <c r="N453" s="15">
        <f t="shared" si="94"/>
        <v>0.58695652173913038</v>
      </c>
      <c r="O453" s="15">
        <f t="shared" si="95"/>
        <v>0.4007616984863418</v>
      </c>
      <c r="P453" s="18">
        <f>IF(SUMIFS('Daily NSE Equity Futures'!$J:$J,'Daily NSE Equity Futures'!$A:$A,$A453)=0,"",SUMIFS('Daily NSE Equity Futures'!$J:$J,'Daily NSE Equity Futures'!$A:$A,$A453))</f>
        <v>3366754</v>
      </c>
      <c r="Q453" s="7">
        <f>IF(SUMIFS('Daily BSE Equity Futures'!$J:$J,'Daily BSE Equity Futures'!$A:$A,$A453)=0,"",SUMIFS('Daily BSE Equity Futures'!$J:$J,'Daily BSE Equity Futures'!$A:$A,$A453))</f>
        <v>8</v>
      </c>
      <c r="R453" s="7">
        <f t="shared" si="90"/>
        <v>3366762</v>
      </c>
      <c r="S453" s="19">
        <f t="shared" si="91"/>
        <v>0.99999762382966184</v>
      </c>
      <c r="T453" s="19">
        <f t="shared" si="92"/>
        <v>2.3761703381468603E-6</v>
      </c>
    </row>
    <row r="454" spans="1:20" x14ac:dyDescent="0.2">
      <c r="A454" s="9">
        <v>44586</v>
      </c>
      <c r="B454" s="4" t="s">
        <v>223</v>
      </c>
      <c r="C454" s="8">
        <v>44562</v>
      </c>
      <c r="D454" s="4" t="s">
        <v>180</v>
      </c>
      <c r="E454" s="14">
        <f>IF(SUMIFS('Daily NSE Equity Futures'!$I:$I,'Daily NSE Equity Futures'!$A:$A,$A454)=0,"",SUMIFS('Daily NSE Equity Futures'!$I:$I,'Daily NSE Equity Futures'!$A:$A,$A454))</f>
        <v>2611.3851</v>
      </c>
      <c r="F454" s="6">
        <f>IF(SUMIFS('Daily BSE Equity Futures'!$I:$I,'Daily BSE Equity Futures'!$A:$A,$A454)=0,"",SUMIFS('Daily BSE Equity Futures'!$I:$I,'Daily BSE Equity Futures'!$A:$A,$A454))</f>
        <v>5.4000000000000003E-3</v>
      </c>
      <c r="G454" s="6">
        <f t="shared" si="84"/>
        <v>2611.3905</v>
      </c>
      <c r="H454" s="15">
        <f t="shared" si="85"/>
        <v>0.99999793213615507</v>
      </c>
      <c r="I454" s="15">
        <f t="shared" si="86"/>
        <v>2.0678638449515689E-6</v>
      </c>
      <c r="J454" s="20">
        <f t="shared" si="87"/>
        <v>0.24130559436341192</v>
      </c>
      <c r="K454" s="15">
        <f t="shared" si="88"/>
        <v>-0.9846982147917257</v>
      </c>
      <c r="L454" s="15">
        <f t="shared" si="89"/>
        <v>0.24109996817632084</v>
      </c>
      <c r="M454" s="15">
        <f t="shared" si="93"/>
        <v>5.2497660845465033E-2</v>
      </c>
      <c r="N454" s="15">
        <f t="shared" si="94"/>
        <v>-0.26027397260273966</v>
      </c>
      <c r="O454" s="15">
        <f t="shared" si="95"/>
        <v>5.2496740609594195E-2</v>
      </c>
      <c r="P454" s="18">
        <f>IF(SUMIFS('Daily NSE Equity Futures'!$J:$J,'Daily NSE Equity Futures'!$A:$A,$A454)=0,"",SUMIFS('Daily NSE Equity Futures'!$J:$J,'Daily NSE Equity Futures'!$A:$A,$A454))</f>
        <v>3541253</v>
      </c>
      <c r="Q454" s="7">
        <f>IF(SUMIFS('Daily BSE Equity Futures'!$J:$J,'Daily BSE Equity Futures'!$A:$A,$A454)=0,"",SUMIFS('Daily BSE Equity Futures'!$J:$J,'Daily BSE Equity Futures'!$A:$A,$A454))</f>
        <v>6</v>
      </c>
      <c r="R454" s="7">
        <f t="shared" si="90"/>
        <v>3541259</v>
      </c>
      <c r="S454" s="19">
        <f t="shared" si="91"/>
        <v>0.99999830568732762</v>
      </c>
      <c r="T454" s="19">
        <f t="shared" si="92"/>
        <v>1.6943126724139635E-6</v>
      </c>
    </row>
    <row r="455" spans="1:20" x14ac:dyDescent="0.2">
      <c r="A455" s="9">
        <v>44588</v>
      </c>
      <c r="B455" s="4" t="s">
        <v>224</v>
      </c>
      <c r="C455" s="8">
        <v>44562</v>
      </c>
      <c r="D455" s="4" t="s">
        <v>180</v>
      </c>
      <c r="E455" s="14">
        <f>IF(SUMIFS('Daily NSE Equity Futures'!$I:$I,'Daily NSE Equity Futures'!$A:$A,$A455)=0,"",SUMIFS('Daily NSE Equity Futures'!$I:$I,'Daily NSE Equity Futures'!$A:$A,$A455))</f>
        <v>2698.0230999999999</v>
      </c>
      <c r="F455" s="6">
        <f>IF(SUMIFS('Daily BSE Equity Futures'!$I:$I,'Daily BSE Equity Futures'!$A:$A,$A455)=0,"",SUMIFS('Daily BSE Equity Futures'!$I:$I,'Daily BSE Equity Futures'!$A:$A,$A455))</f>
        <v>3.5999999999999999E-3</v>
      </c>
      <c r="G455" s="6">
        <f t="shared" si="84"/>
        <v>2698.0266999999999</v>
      </c>
      <c r="H455" s="15">
        <f t="shared" si="85"/>
        <v>0.99999866569148477</v>
      </c>
      <c r="I455" s="15">
        <f t="shared" si="86"/>
        <v>1.3343085151825963E-6</v>
      </c>
      <c r="J455" s="20">
        <f t="shared" si="87"/>
        <v>0.3036128417038122</v>
      </c>
      <c r="K455" s="15">
        <f t="shared" si="88"/>
        <v>-0.85185185185185186</v>
      </c>
      <c r="L455" s="15">
        <f t="shared" si="89"/>
        <v>0.30359927542243459</v>
      </c>
      <c r="M455" s="15">
        <f t="shared" si="93"/>
        <v>3.3177029309082062E-2</v>
      </c>
      <c r="N455" s="15">
        <f t="shared" si="94"/>
        <v>-0.33333333333333337</v>
      </c>
      <c r="O455" s="15">
        <f t="shared" si="95"/>
        <v>3.3176271415554348E-2</v>
      </c>
      <c r="P455" s="18">
        <f>IF(SUMIFS('Daily NSE Equity Futures'!$J:$J,'Daily NSE Equity Futures'!$A:$A,$A455)=0,"",SUMIFS('Daily NSE Equity Futures'!$J:$J,'Daily NSE Equity Futures'!$A:$A,$A455))</f>
        <v>3647283</v>
      </c>
      <c r="Q455" s="7">
        <f>IF(SUMIFS('Daily BSE Equity Futures'!$J:$J,'Daily BSE Equity Futures'!$A:$A,$A455)=0,"",SUMIFS('Daily BSE Equity Futures'!$J:$J,'Daily BSE Equity Futures'!$A:$A,$A455))</f>
        <v>4</v>
      </c>
      <c r="R455" s="7">
        <f t="shared" si="90"/>
        <v>3647287</v>
      </c>
      <c r="S455" s="19">
        <f t="shared" si="91"/>
        <v>0.99999890329442132</v>
      </c>
      <c r="T455" s="19">
        <f t="shared" si="92"/>
        <v>1.0967055786945201E-6</v>
      </c>
    </row>
    <row r="456" spans="1:20" x14ac:dyDescent="0.2">
      <c r="A456" s="9">
        <v>44589</v>
      </c>
      <c r="B456" s="4" t="s">
        <v>222</v>
      </c>
      <c r="C456" s="8">
        <v>44562</v>
      </c>
      <c r="D456" s="4" t="s">
        <v>180</v>
      </c>
      <c r="E456" s="14">
        <f>IF(SUMIFS('Daily NSE Equity Futures'!$I:$I,'Daily NSE Equity Futures'!$A:$A,$A456)=0,"",SUMIFS('Daily NSE Equity Futures'!$I:$I,'Daily NSE Equity Futures'!$A:$A,$A456))</f>
        <v>1254.8108999999999</v>
      </c>
      <c r="F456" s="6">
        <f>IF(SUMIFS('Daily BSE Equity Futures'!$I:$I,'Daily BSE Equity Futures'!$A:$A,$A456)=0,"",SUMIFS('Daily BSE Equity Futures'!$I:$I,'Daily BSE Equity Futures'!$A:$A,$A456))</f>
        <v>3.5999999999999999E-3</v>
      </c>
      <c r="G456" s="6">
        <f t="shared" si="84"/>
        <v>1254.8145</v>
      </c>
      <c r="H456" s="15">
        <f t="shared" si="85"/>
        <v>0.99999713105004762</v>
      </c>
      <c r="I456" s="15">
        <f t="shared" si="86"/>
        <v>2.8689499523634768E-6</v>
      </c>
      <c r="J456" s="20">
        <f t="shared" si="87"/>
        <v>-0.40567931287501136</v>
      </c>
      <c r="K456" s="15">
        <f t="shared" si="88"/>
        <v>-0.98301886792452831</v>
      </c>
      <c r="L456" s="15">
        <f t="shared" si="89"/>
        <v>-0.40573727791416014</v>
      </c>
      <c r="M456" s="15">
        <f t="shared" si="93"/>
        <v>-0.53491469365106625</v>
      </c>
      <c r="N456" s="15">
        <f t="shared" si="94"/>
        <v>0</v>
      </c>
      <c r="O456" s="15">
        <f t="shared" si="95"/>
        <v>-0.53491397990983558</v>
      </c>
      <c r="P456" s="18">
        <f>IF(SUMIFS('Daily NSE Equity Futures'!$J:$J,'Daily NSE Equity Futures'!$A:$A,$A456)=0,"",SUMIFS('Daily NSE Equity Futures'!$J:$J,'Daily NSE Equity Futures'!$A:$A,$A456))</f>
        <v>1618839</v>
      </c>
      <c r="Q456" s="7">
        <f>IF(SUMIFS('Daily BSE Equity Futures'!$J:$J,'Daily BSE Equity Futures'!$A:$A,$A456)=0,"",SUMIFS('Daily BSE Equity Futures'!$J:$J,'Daily BSE Equity Futures'!$A:$A,$A456))</f>
        <v>4</v>
      </c>
      <c r="R456" s="7">
        <f t="shared" si="90"/>
        <v>1618843</v>
      </c>
      <c r="S456" s="19">
        <f t="shared" si="91"/>
        <v>0.99999752909948647</v>
      </c>
      <c r="T456" s="19">
        <f t="shared" si="92"/>
        <v>2.470900513514899E-6</v>
      </c>
    </row>
    <row r="457" spans="1:20" x14ac:dyDescent="0.2">
      <c r="A457" s="9">
        <v>44592</v>
      </c>
      <c r="B457" s="4" t="s">
        <v>225</v>
      </c>
      <c r="C457" s="8">
        <v>44562</v>
      </c>
      <c r="D457" s="4" t="s">
        <v>180</v>
      </c>
      <c r="E457" s="14">
        <f>IF(SUMIFS('Daily NSE Equity Futures'!$I:$I,'Daily NSE Equity Futures'!$A:$A,$A457)=0,"",SUMIFS('Daily NSE Equity Futures'!$I:$I,'Daily NSE Equity Futures'!$A:$A,$A457))</f>
        <v>1009.8816</v>
      </c>
      <c r="F457" s="6">
        <f>IF(SUMIFS('Daily BSE Equity Futures'!$I:$I,'Daily BSE Equity Futures'!$A:$A,$A457)=0,"",SUMIFS('Daily BSE Equity Futures'!$I:$I,'Daily BSE Equity Futures'!$A:$A,$A457))</f>
        <v>1.8E-3</v>
      </c>
      <c r="G457" s="6">
        <f t="shared" si="84"/>
        <v>1009.8834000000001</v>
      </c>
      <c r="H457" s="15">
        <f t="shared" si="85"/>
        <v>0.99999821761601393</v>
      </c>
      <c r="I457" s="15">
        <f t="shared" si="86"/>
        <v>1.7823839861116639E-6</v>
      </c>
      <c r="J457" s="20" t="str">
        <f t="shared" si="87"/>
        <v/>
      </c>
      <c r="K457" s="15" t="str">
        <f t="shared" si="88"/>
        <v/>
      </c>
      <c r="L457" s="15" t="str">
        <f t="shared" si="89"/>
        <v/>
      </c>
      <c r="M457" s="15">
        <f t="shared" si="93"/>
        <v>-0.19519219987649128</v>
      </c>
      <c r="N457" s="15">
        <f t="shared" si="94"/>
        <v>-0.5</v>
      </c>
      <c r="O457" s="15">
        <f t="shared" si="95"/>
        <v>-0.19519307435481492</v>
      </c>
      <c r="P457" s="18">
        <f>IF(SUMIFS('Daily NSE Equity Futures'!$J:$J,'Daily NSE Equity Futures'!$A:$A,$A457)=0,"",SUMIFS('Daily NSE Equity Futures'!$J:$J,'Daily NSE Equity Futures'!$A:$A,$A457))</f>
        <v>1283420</v>
      </c>
      <c r="Q457" s="7">
        <f>IF(SUMIFS('Daily BSE Equity Futures'!$J:$J,'Daily BSE Equity Futures'!$A:$A,$A457)=0,"",SUMIFS('Daily BSE Equity Futures'!$J:$J,'Daily BSE Equity Futures'!$A:$A,$A457))</f>
        <v>2</v>
      </c>
      <c r="R457" s="7">
        <f t="shared" si="90"/>
        <v>1283422</v>
      </c>
      <c r="S457" s="19">
        <f t="shared" si="91"/>
        <v>0.9999984416661083</v>
      </c>
      <c r="T457" s="19">
        <f t="shared" si="92"/>
        <v>1.5583338917363111E-6</v>
      </c>
    </row>
    <row r="458" spans="1:20" x14ac:dyDescent="0.2">
      <c r="A458" s="9">
        <v>44593</v>
      </c>
      <c r="B458" s="4" t="s">
        <v>223</v>
      </c>
      <c r="C458" s="8">
        <v>44593</v>
      </c>
      <c r="D458" s="4" t="s">
        <v>180</v>
      </c>
      <c r="E458" s="14">
        <f>IF(SUMIFS('Daily NSE Equity Futures'!$I:$I,'Daily NSE Equity Futures'!$A:$A,$A458)=0,"",SUMIFS('Daily NSE Equity Futures'!$I:$I,'Daily NSE Equity Futures'!$A:$A,$A458))</f>
        <v>1635.8095000000001</v>
      </c>
      <c r="F458" s="6">
        <f>IF(SUMIFS('Daily BSE Equity Futures'!$I:$I,'Daily BSE Equity Futures'!$A:$A,$A458)=0,"",SUMIFS('Daily BSE Equity Futures'!$I:$I,'Daily BSE Equity Futures'!$A:$A,$A458))</f>
        <v>8.9999999999999998E-4</v>
      </c>
      <c r="G458" s="6">
        <f t="shared" si="84"/>
        <v>1635.8104000000001</v>
      </c>
      <c r="H458" s="15">
        <f t="shared" si="85"/>
        <v>0.99999944981398825</v>
      </c>
      <c r="I458" s="15">
        <f t="shared" si="86"/>
        <v>5.5018601177740399E-7</v>
      </c>
      <c r="J458" s="20">
        <f t="shared" si="87"/>
        <v>-4.9416790544523859E-2</v>
      </c>
      <c r="K458" s="15">
        <f t="shared" si="88"/>
        <v>-0.99428934010152281</v>
      </c>
      <c r="L458" s="15">
        <f t="shared" si="89"/>
        <v>-4.9503316635927885E-2</v>
      </c>
      <c r="M458" s="15">
        <f t="shared" si="93"/>
        <v>0.61980325218322618</v>
      </c>
      <c r="N458" s="15">
        <f t="shared" si="94"/>
        <v>-0.5</v>
      </c>
      <c r="O458" s="15">
        <f t="shared" si="95"/>
        <v>0.61980125626384197</v>
      </c>
      <c r="P458" s="18">
        <f>IF(SUMIFS('Daily NSE Equity Futures'!$J:$J,'Daily NSE Equity Futures'!$A:$A,$A458)=0,"",SUMIFS('Daily NSE Equity Futures'!$J:$J,'Daily NSE Equity Futures'!$A:$A,$A458))</f>
        <v>1992441</v>
      </c>
      <c r="Q458" s="7">
        <f>IF(SUMIFS('Daily BSE Equity Futures'!$J:$J,'Daily BSE Equity Futures'!$A:$A,$A458)=0,"",SUMIFS('Daily BSE Equity Futures'!$J:$J,'Daily BSE Equity Futures'!$A:$A,$A458))</f>
        <v>1</v>
      </c>
      <c r="R458" s="7">
        <f t="shared" si="90"/>
        <v>1992442</v>
      </c>
      <c r="S458" s="19">
        <f t="shared" si="91"/>
        <v>0.99999949810333244</v>
      </c>
      <c r="T458" s="19">
        <f t="shared" si="92"/>
        <v>5.0189666750650706E-7</v>
      </c>
    </row>
    <row r="459" spans="1:20" x14ac:dyDescent="0.2">
      <c r="A459" s="9">
        <v>44594</v>
      </c>
      <c r="B459" s="4" t="s">
        <v>221</v>
      </c>
      <c r="C459" s="8">
        <v>44593</v>
      </c>
      <c r="D459" s="4" t="s">
        <v>180</v>
      </c>
      <c r="E459" s="14">
        <f>IF(SUMIFS('Daily NSE Equity Futures'!$I:$I,'Daily NSE Equity Futures'!$A:$A,$A459)=0,"",SUMIFS('Daily NSE Equity Futures'!$I:$I,'Daily NSE Equity Futures'!$A:$A,$A459))</f>
        <v>1001.8316</v>
      </c>
      <c r="F459" s="6">
        <f>IF(SUMIFS('Daily BSE Equity Futures'!$I:$I,'Daily BSE Equity Futures'!$A:$A,$A459)=0,"",SUMIFS('Daily BSE Equity Futures'!$I:$I,'Daily BSE Equity Futures'!$A:$A,$A459))</f>
        <v>8.9999999999999998E-4</v>
      </c>
      <c r="G459" s="6">
        <f t="shared" si="84"/>
        <v>1001.8325</v>
      </c>
      <c r="H459" s="15">
        <f t="shared" si="85"/>
        <v>0.99999910164623329</v>
      </c>
      <c r="I459" s="15">
        <f t="shared" si="86"/>
        <v>8.9835376672248104E-7</v>
      </c>
      <c r="J459" s="20">
        <f t="shared" si="87"/>
        <v>-0.3788828439994244</v>
      </c>
      <c r="K459" s="15">
        <f t="shared" si="88"/>
        <v>-0.99388171312032636</v>
      </c>
      <c r="L459" s="15">
        <f t="shared" si="89"/>
        <v>-0.37893892634682746</v>
      </c>
      <c r="M459" s="15">
        <f t="shared" si="93"/>
        <v>-0.38756218251575136</v>
      </c>
      <c r="N459" s="15">
        <f t="shared" si="94"/>
        <v>0</v>
      </c>
      <c r="O459" s="15">
        <f t="shared" si="95"/>
        <v>-0.38756196928445985</v>
      </c>
      <c r="P459" s="18">
        <f>IF(SUMIFS('Daily NSE Equity Futures'!$J:$J,'Daily NSE Equity Futures'!$A:$A,$A459)=0,"",SUMIFS('Daily NSE Equity Futures'!$J:$J,'Daily NSE Equity Futures'!$A:$A,$A459))</f>
        <v>1257792</v>
      </c>
      <c r="Q459" s="7">
        <f>IF(SUMIFS('Daily BSE Equity Futures'!$J:$J,'Daily BSE Equity Futures'!$A:$A,$A459)=0,"",SUMIFS('Daily BSE Equity Futures'!$J:$J,'Daily BSE Equity Futures'!$A:$A,$A459))</f>
        <v>1</v>
      </c>
      <c r="R459" s="7">
        <f t="shared" si="90"/>
        <v>1257793</v>
      </c>
      <c r="S459" s="19">
        <f t="shared" si="91"/>
        <v>0.99999920495661843</v>
      </c>
      <c r="T459" s="19">
        <f t="shared" si="92"/>
        <v>7.9504338154211383E-7</v>
      </c>
    </row>
    <row r="460" spans="1:20" x14ac:dyDescent="0.2">
      <c r="A460" s="9">
        <v>44595</v>
      </c>
      <c r="B460" s="4" t="s">
        <v>224</v>
      </c>
      <c r="C460" s="8">
        <v>44593</v>
      </c>
      <c r="D460" s="4" t="s">
        <v>180</v>
      </c>
      <c r="E460" s="14">
        <f>IF(SUMIFS('Daily NSE Equity Futures'!$I:$I,'Daily NSE Equity Futures'!$A:$A,$A460)=0,"",SUMIFS('Daily NSE Equity Futures'!$I:$I,'Daily NSE Equity Futures'!$A:$A,$A460))</f>
        <v>972.79039999999998</v>
      </c>
      <c r="F460" s="6">
        <f>IF(SUMIFS('Daily BSE Equity Futures'!$I:$I,'Daily BSE Equity Futures'!$A:$A,$A460)=0,"",SUMIFS('Daily BSE Equity Futures'!$I:$I,'Daily BSE Equity Futures'!$A:$A,$A460))</f>
        <v>2.8E-3</v>
      </c>
      <c r="G460" s="6">
        <f t="shared" si="84"/>
        <v>972.79319999999996</v>
      </c>
      <c r="H460" s="15">
        <f t="shared" si="85"/>
        <v>0.99999712169040655</v>
      </c>
      <c r="I460" s="15">
        <f t="shared" si="86"/>
        <v>2.8783095934469937E-6</v>
      </c>
      <c r="J460" s="20">
        <f t="shared" si="87"/>
        <v>-0.24478898871605181</v>
      </c>
      <c r="K460" s="15">
        <f t="shared" si="88"/>
        <v>-0.96658711217183768</v>
      </c>
      <c r="L460" s="15">
        <f t="shared" si="89"/>
        <v>-0.24483594357624394</v>
      </c>
      <c r="M460" s="15">
        <f t="shared" si="93"/>
        <v>-2.898810538617469E-2</v>
      </c>
      <c r="N460" s="15">
        <f t="shared" si="94"/>
        <v>2.1111111111111112</v>
      </c>
      <c r="O460" s="15">
        <f t="shared" si="95"/>
        <v>-2.8986182819982442E-2</v>
      </c>
      <c r="P460" s="18">
        <f>IF(SUMIFS('Daily NSE Equity Futures'!$J:$J,'Daily NSE Equity Futures'!$A:$A,$A460)=0,"",SUMIFS('Daily NSE Equity Futures'!$J:$J,'Daily NSE Equity Futures'!$A:$A,$A460))</f>
        <v>1223167</v>
      </c>
      <c r="Q460" s="7">
        <f>IF(SUMIFS('Daily BSE Equity Futures'!$J:$J,'Daily BSE Equity Futures'!$A:$A,$A460)=0,"",SUMIFS('Daily BSE Equity Futures'!$J:$J,'Daily BSE Equity Futures'!$A:$A,$A460))</f>
        <v>3</v>
      </c>
      <c r="R460" s="7">
        <f t="shared" si="90"/>
        <v>1223170</v>
      </c>
      <c r="S460" s="19">
        <f t="shared" si="91"/>
        <v>0.99999754735645907</v>
      </c>
      <c r="T460" s="19">
        <f t="shared" si="92"/>
        <v>2.4526435409632349E-6</v>
      </c>
    </row>
    <row r="461" spans="1:20" x14ac:dyDescent="0.2">
      <c r="A461" s="9">
        <v>44596</v>
      </c>
      <c r="B461" s="4" t="s">
        <v>222</v>
      </c>
      <c r="C461" s="8">
        <v>44593</v>
      </c>
      <c r="D461" s="4" t="s">
        <v>180</v>
      </c>
      <c r="E461" s="14">
        <f>IF(SUMIFS('Daily NSE Equity Futures'!$I:$I,'Daily NSE Equity Futures'!$A:$A,$A461)=0,"",SUMIFS('Daily NSE Equity Futures'!$I:$I,'Daily NSE Equity Futures'!$A:$A,$A461))</f>
        <v>975.00189999999998</v>
      </c>
      <c r="F461" s="6">
        <f>IF(SUMIFS('Daily BSE Equity Futures'!$I:$I,'Daily BSE Equity Futures'!$A:$A,$A461)=0,"",SUMIFS('Daily BSE Equity Futures'!$I:$I,'Daily BSE Equity Futures'!$A:$A,$A461))</f>
        <v>3.7000000000000002E-3</v>
      </c>
      <c r="G461" s="6">
        <f t="shared" si="84"/>
        <v>975.00559999999996</v>
      </c>
      <c r="H461" s="15">
        <f t="shared" si="85"/>
        <v>0.99999620515000121</v>
      </c>
      <c r="I461" s="15">
        <f t="shared" si="86"/>
        <v>3.7948499988102636E-6</v>
      </c>
      <c r="J461" s="20">
        <f t="shared" si="87"/>
        <v>-0.25286935921296883</v>
      </c>
      <c r="K461" s="15">
        <f t="shared" si="88"/>
        <v>-0.92938931297709926</v>
      </c>
      <c r="L461" s="15">
        <f t="shared" si="89"/>
        <v>-0.2528965227015475</v>
      </c>
      <c r="M461" s="15">
        <f t="shared" si="93"/>
        <v>2.2733571383928286E-3</v>
      </c>
      <c r="N461" s="15">
        <f t="shared" si="94"/>
        <v>0.3214285714285714</v>
      </c>
      <c r="O461" s="15">
        <f t="shared" si="95"/>
        <v>2.274275765907996E-3</v>
      </c>
      <c r="P461" s="18">
        <f>IF(SUMIFS('Daily NSE Equity Futures'!$J:$J,'Daily NSE Equity Futures'!$A:$A,$A461)=0,"",SUMIFS('Daily NSE Equity Futures'!$J:$J,'Daily NSE Equity Futures'!$A:$A,$A461))</f>
        <v>1231606</v>
      </c>
      <c r="Q461" s="7">
        <f>IF(SUMIFS('Daily BSE Equity Futures'!$J:$J,'Daily BSE Equity Futures'!$A:$A,$A461)=0,"",SUMIFS('Daily BSE Equity Futures'!$J:$J,'Daily BSE Equity Futures'!$A:$A,$A461))</f>
        <v>4</v>
      </c>
      <c r="R461" s="7">
        <f t="shared" si="90"/>
        <v>1231610</v>
      </c>
      <c r="S461" s="19">
        <f t="shared" si="91"/>
        <v>0.99999675221864059</v>
      </c>
      <c r="T461" s="19">
        <f t="shared" si="92"/>
        <v>3.2477813593588882E-6</v>
      </c>
    </row>
    <row r="462" spans="1:20" x14ac:dyDescent="0.2">
      <c r="A462" s="9">
        <v>44599</v>
      </c>
      <c r="B462" s="4" t="s">
        <v>225</v>
      </c>
      <c r="C462" s="8">
        <v>44593</v>
      </c>
      <c r="D462" s="4" t="s">
        <v>180</v>
      </c>
      <c r="E462" s="14">
        <f>IF(SUMIFS('Daily NSE Equity Futures'!$I:$I,'Daily NSE Equity Futures'!$A:$A,$A462)=0,"",SUMIFS('Daily NSE Equity Futures'!$I:$I,'Daily NSE Equity Futures'!$A:$A,$A462))</f>
        <v>1009.0055</v>
      </c>
      <c r="F462" s="6">
        <f>IF(SUMIFS('Daily BSE Equity Futures'!$I:$I,'Daily BSE Equity Futures'!$A:$A,$A462)=0,"",SUMIFS('Daily BSE Equity Futures'!$I:$I,'Daily BSE Equity Futures'!$A:$A,$A462))</f>
        <v>3.5999999999999999E-3</v>
      </c>
      <c r="G462" s="6">
        <f t="shared" si="84"/>
        <v>1009.0091</v>
      </c>
      <c r="H462" s="15">
        <f t="shared" si="85"/>
        <v>0.9999964321431789</v>
      </c>
      <c r="I462" s="15">
        <f t="shared" si="86"/>
        <v>3.5678568211129118E-6</v>
      </c>
      <c r="J462" s="20" t="str">
        <f t="shared" si="87"/>
        <v/>
      </c>
      <c r="K462" s="15" t="str">
        <f t="shared" si="88"/>
        <v/>
      </c>
      <c r="L462" s="15" t="str">
        <f t="shared" si="89"/>
        <v/>
      </c>
      <c r="M462" s="15">
        <f t="shared" si="93"/>
        <v>3.4875419217131887E-2</v>
      </c>
      <c r="N462" s="15">
        <f t="shared" si="94"/>
        <v>-2.7027027027027084E-2</v>
      </c>
      <c r="O462" s="15">
        <f t="shared" si="95"/>
        <v>3.4875184306633722E-2</v>
      </c>
      <c r="P462" s="18">
        <f>IF(SUMIFS('Daily NSE Equity Futures'!$J:$J,'Daily NSE Equity Futures'!$A:$A,$A462)=0,"",SUMIFS('Daily NSE Equity Futures'!$J:$J,'Daily NSE Equity Futures'!$A:$A,$A462))</f>
        <v>1282183</v>
      </c>
      <c r="Q462" s="7">
        <f>IF(SUMIFS('Daily BSE Equity Futures'!$J:$J,'Daily BSE Equity Futures'!$A:$A,$A462)=0,"",SUMIFS('Daily BSE Equity Futures'!$J:$J,'Daily BSE Equity Futures'!$A:$A,$A462))</f>
        <v>4</v>
      </c>
      <c r="R462" s="7">
        <f t="shared" si="90"/>
        <v>1282187</v>
      </c>
      <c r="S462" s="19">
        <f t="shared" si="91"/>
        <v>0.99999688033024825</v>
      </c>
      <c r="T462" s="19">
        <f t="shared" si="92"/>
        <v>3.1196697517600787E-6</v>
      </c>
    </row>
    <row r="463" spans="1:20" x14ac:dyDescent="0.2">
      <c r="A463" s="9">
        <v>44600</v>
      </c>
      <c r="B463" s="4" t="s">
        <v>223</v>
      </c>
      <c r="C463" s="8">
        <v>44593</v>
      </c>
      <c r="D463" s="4" t="s">
        <v>180</v>
      </c>
      <c r="E463" s="14">
        <f>IF(SUMIFS('Daily NSE Equity Futures'!$I:$I,'Daily NSE Equity Futures'!$A:$A,$A463)=0,"",SUMIFS('Daily NSE Equity Futures'!$I:$I,'Daily NSE Equity Futures'!$A:$A,$A463))</f>
        <v>1117.6116999999999</v>
      </c>
      <c r="F463" s="6">
        <f>IF(SUMIFS('Daily BSE Equity Futures'!$I:$I,'Daily BSE Equity Futures'!$A:$A,$A463)=0,"",SUMIFS('Daily BSE Equity Futures'!$I:$I,'Daily BSE Equity Futures'!$A:$A,$A463))</f>
        <v>6.3E-3</v>
      </c>
      <c r="G463" s="6">
        <f t="shared" si="84"/>
        <v>1117.6179999999999</v>
      </c>
      <c r="H463" s="15">
        <f t="shared" si="85"/>
        <v>0.99999436301133304</v>
      </c>
      <c r="I463" s="15">
        <f t="shared" si="86"/>
        <v>5.6369886669684998E-6</v>
      </c>
      <c r="J463" s="20">
        <f t="shared" si="87"/>
        <v>6.4342316613366091E-3</v>
      </c>
      <c r="K463" s="15">
        <f t="shared" si="88"/>
        <v>-0.90680473372781067</v>
      </c>
      <c r="L463" s="15">
        <f t="shared" si="89"/>
        <v>6.3786413440809486E-3</v>
      </c>
      <c r="M463" s="15">
        <f t="shared" si="93"/>
        <v>0.10763687611217176</v>
      </c>
      <c r="N463" s="15">
        <f t="shared" si="94"/>
        <v>0.75</v>
      </c>
      <c r="O463" s="15">
        <f t="shared" si="95"/>
        <v>0.10763916797182493</v>
      </c>
      <c r="P463" s="18">
        <f>IF(SUMIFS('Daily NSE Equity Futures'!$J:$J,'Daily NSE Equity Futures'!$A:$A,$A463)=0,"",SUMIFS('Daily NSE Equity Futures'!$J:$J,'Daily NSE Equity Futures'!$A:$A,$A463))</f>
        <v>1394115</v>
      </c>
      <c r="Q463" s="7">
        <f>IF(SUMIFS('Daily BSE Equity Futures'!$J:$J,'Daily BSE Equity Futures'!$A:$A,$A463)=0,"",SUMIFS('Daily BSE Equity Futures'!$J:$J,'Daily BSE Equity Futures'!$A:$A,$A463))</f>
        <v>7</v>
      </c>
      <c r="R463" s="7">
        <f t="shared" si="90"/>
        <v>1394122</v>
      </c>
      <c r="S463" s="19">
        <f t="shared" si="91"/>
        <v>0.99999497891863121</v>
      </c>
      <c r="T463" s="19">
        <f t="shared" si="92"/>
        <v>5.0210813687754733E-6</v>
      </c>
    </row>
    <row r="464" spans="1:20" x14ac:dyDescent="0.2">
      <c r="A464" s="9">
        <v>44601</v>
      </c>
      <c r="B464" s="4" t="s">
        <v>221</v>
      </c>
      <c r="C464" s="8">
        <v>44593</v>
      </c>
      <c r="D464" s="4" t="s">
        <v>180</v>
      </c>
      <c r="E464" s="14">
        <f>IF(SUMIFS('Daily NSE Equity Futures'!$I:$I,'Daily NSE Equity Futures'!$A:$A,$A464)=0,"",SUMIFS('Daily NSE Equity Futures'!$I:$I,'Daily NSE Equity Futures'!$A:$A,$A464))</f>
        <v>857.19650000000001</v>
      </c>
      <c r="F464" s="6">
        <f>IF(SUMIFS('Daily BSE Equity Futures'!$I:$I,'Daily BSE Equity Futures'!$A:$A,$A464)=0,"",SUMIFS('Daily BSE Equity Futures'!$I:$I,'Daily BSE Equity Futures'!$A:$A,$A464))</f>
        <v>8.9999999999999998E-4</v>
      </c>
      <c r="G464" s="6">
        <f t="shared" si="84"/>
        <v>857.19740000000002</v>
      </c>
      <c r="H464" s="15">
        <f t="shared" si="85"/>
        <v>0.99999895006681072</v>
      </c>
      <c r="I464" s="15">
        <f t="shared" si="86"/>
        <v>1.0499331892513906E-6</v>
      </c>
      <c r="J464" s="20">
        <f t="shared" si="87"/>
        <v>-0.27717372423002495</v>
      </c>
      <c r="K464" s="15">
        <f t="shared" si="88"/>
        <v>-0.99004424778761058</v>
      </c>
      <c r="L464" s="15">
        <f t="shared" si="89"/>
        <v>-0.27722806171405068</v>
      </c>
      <c r="M464" s="15">
        <f t="shared" si="93"/>
        <v>-0.23301044539888038</v>
      </c>
      <c r="N464" s="15">
        <f t="shared" si="94"/>
        <v>-0.85714285714285721</v>
      </c>
      <c r="O464" s="15">
        <f t="shared" si="95"/>
        <v>-0.23301396362621207</v>
      </c>
      <c r="P464" s="18">
        <f>IF(SUMIFS('Daily NSE Equity Futures'!$J:$J,'Daily NSE Equity Futures'!$A:$A,$A464)=0,"",SUMIFS('Daily NSE Equity Futures'!$J:$J,'Daily NSE Equity Futures'!$A:$A,$A464))</f>
        <v>1084990</v>
      </c>
      <c r="Q464" s="7">
        <f>IF(SUMIFS('Daily BSE Equity Futures'!$J:$J,'Daily BSE Equity Futures'!$A:$A,$A464)=0,"",SUMIFS('Daily BSE Equity Futures'!$J:$J,'Daily BSE Equity Futures'!$A:$A,$A464))</f>
        <v>1</v>
      </c>
      <c r="R464" s="7">
        <f t="shared" si="90"/>
        <v>1084991</v>
      </c>
      <c r="S464" s="19">
        <f t="shared" si="91"/>
        <v>0.99999907833336865</v>
      </c>
      <c r="T464" s="19">
        <f t="shared" si="92"/>
        <v>9.216666313361125E-7</v>
      </c>
    </row>
    <row r="465" spans="1:20" x14ac:dyDescent="0.2">
      <c r="A465" s="9">
        <v>44602</v>
      </c>
      <c r="B465" s="4" t="s">
        <v>224</v>
      </c>
      <c r="C465" s="8">
        <v>44593</v>
      </c>
      <c r="D465" s="4" t="s">
        <v>180</v>
      </c>
      <c r="E465" s="14">
        <f>IF(SUMIFS('Daily NSE Equity Futures'!$I:$I,'Daily NSE Equity Futures'!$A:$A,$A465)=0,"",SUMIFS('Daily NSE Equity Futures'!$I:$I,'Daily NSE Equity Futures'!$A:$A,$A465))</f>
        <v>942.79570000000001</v>
      </c>
      <c r="F465" s="6">
        <f>IF(SUMIFS('Daily BSE Equity Futures'!$I:$I,'Daily BSE Equity Futures'!$A:$A,$A465)=0,"",SUMIFS('Daily BSE Equity Futures'!$I:$I,'Daily BSE Equity Futures'!$A:$A,$A465))</f>
        <v>2.8E-3</v>
      </c>
      <c r="G465" s="6">
        <f t="shared" si="84"/>
        <v>942.79849999999999</v>
      </c>
      <c r="H465" s="15">
        <f t="shared" si="85"/>
        <v>0.99999703011831265</v>
      </c>
      <c r="I465" s="15">
        <f t="shared" si="86"/>
        <v>2.9698816873382807E-6</v>
      </c>
      <c r="J465" s="20">
        <f t="shared" si="87"/>
        <v>-0.24177792146639598</v>
      </c>
      <c r="K465" s="15">
        <f t="shared" si="88"/>
        <v>-0.97651006711409394</v>
      </c>
      <c r="L465" s="15">
        <f t="shared" si="89"/>
        <v>-0.24184834900313923</v>
      </c>
      <c r="M465" s="15">
        <f t="shared" si="93"/>
        <v>9.9859483793972581E-2</v>
      </c>
      <c r="N465" s="15">
        <f t="shared" si="94"/>
        <v>2.1111111111111112</v>
      </c>
      <c r="O465" s="15">
        <f t="shared" si="95"/>
        <v>9.9861595473808018E-2</v>
      </c>
      <c r="P465" s="18">
        <f>IF(SUMIFS('Daily NSE Equity Futures'!$J:$J,'Daily NSE Equity Futures'!$A:$A,$A465)=0,"",SUMIFS('Daily NSE Equity Futures'!$J:$J,'Daily NSE Equity Futures'!$A:$A,$A465))</f>
        <v>1183931</v>
      </c>
      <c r="Q465" s="7">
        <f>IF(SUMIFS('Daily BSE Equity Futures'!$J:$J,'Daily BSE Equity Futures'!$A:$A,$A465)=0,"",SUMIFS('Daily BSE Equity Futures'!$J:$J,'Daily BSE Equity Futures'!$A:$A,$A465))</f>
        <v>3</v>
      </c>
      <c r="R465" s="7">
        <f t="shared" si="90"/>
        <v>1183934</v>
      </c>
      <c r="S465" s="19">
        <f t="shared" si="91"/>
        <v>0.99999746607496698</v>
      </c>
      <c r="T465" s="19">
        <f t="shared" si="92"/>
        <v>2.5339250329832576E-6</v>
      </c>
    </row>
    <row r="466" spans="1:20" x14ac:dyDescent="0.2">
      <c r="A466" s="9">
        <v>44603</v>
      </c>
      <c r="B466" s="4" t="s">
        <v>222</v>
      </c>
      <c r="C466" s="8">
        <v>44593</v>
      </c>
      <c r="D466" s="4" t="s">
        <v>180</v>
      </c>
      <c r="E466" s="14">
        <f>IF(SUMIFS('Daily NSE Equity Futures'!$I:$I,'Daily NSE Equity Futures'!$A:$A,$A466)=0,"",SUMIFS('Daily NSE Equity Futures'!$I:$I,'Daily NSE Equity Futures'!$A:$A,$A466))</f>
        <v>1033.9597000000001</v>
      </c>
      <c r="F466" s="6">
        <f>IF(SUMIFS('Daily BSE Equity Futures'!$I:$I,'Daily BSE Equity Futures'!$A:$A,$A466)=0,"",SUMIFS('Daily BSE Equity Futures'!$I:$I,'Daily BSE Equity Futures'!$A:$A,$A466))</f>
        <v>2.7000000000000001E-3</v>
      </c>
      <c r="G466" s="6">
        <f t="shared" si="84"/>
        <v>1033.9624000000001</v>
      </c>
      <c r="H466" s="15">
        <f t="shared" si="85"/>
        <v>0.99999738868647448</v>
      </c>
      <c r="I466" s="15">
        <f t="shared" si="86"/>
        <v>2.6113135255208504E-6</v>
      </c>
      <c r="J466" s="20">
        <f t="shared" si="87"/>
        <v>8.3838034742660827E-2</v>
      </c>
      <c r="K466" s="15">
        <f t="shared" si="88"/>
        <v>-0.96750902527075811</v>
      </c>
      <c r="L466" s="15">
        <f t="shared" si="89"/>
        <v>8.3746461187573784E-2</v>
      </c>
      <c r="M466" s="15">
        <f t="shared" si="93"/>
        <v>9.6695392225484289E-2</v>
      </c>
      <c r="N466" s="15">
        <f t="shared" si="94"/>
        <v>-3.5714285714285698E-2</v>
      </c>
      <c r="O466" s="15">
        <f t="shared" si="95"/>
        <v>9.6694998984406588E-2</v>
      </c>
      <c r="P466" s="18">
        <f>IF(SUMIFS('Daily NSE Equity Futures'!$J:$J,'Daily NSE Equity Futures'!$A:$A,$A466)=0,"",SUMIFS('Daily NSE Equity Futures'!$J:$J,'Daily NSE Equity Futures'!$A:$A,$A466))</f>
        <v>1326685</v>
      </c>
      <c r="Q466" s="7">
        <f>IF(SUMIFS('Daily BSE Equity Futures'!$J:$J,'Daily BSE Equity Futures'!$A:$A,$A466)=0,"",SUMIFS('Daily BSE Equity Futures'!$J:$J,'Daily BSE Equity Futures'!$A:$A,$A466))</f>
        <v>3</v>
      </c>
      <c r="R466" s="7">
        <f t="shared" si="90"/>
        <v>1326688</v>
      </c>
      <c r="S466" s="19">
        <f t="shared" si="91"/>
        <v>0.99999773872982944</v>
      </c>
      <c r="T466" s="19">
        <f t="shared" si="92"/>
        <v>2.261270170529921E-6</v>
      </c>
    </row>
    <row r="467" spans="1:20" x14ac:dyDescent="0.2">
      <c r="A467" s="9">
        <v>44606</v>
      </c>
      <c r="B467" s="4" t="s">
        <v>225</v>
      </c>
      <c r="C467" s="8">
        <v>44593</v>
      </c>
      <c r="D467" s="4" t="s">
        <v>180</v>
      </c>
      <c r="E467" s="14">
        <f>IF(SUMIFS('Daily NSE Equity Futures'!$I:$I,'Daily NSE Equity Futures'!$A:$A,$A467)=0,"",SUMIFS('Daily NSE Equity Futures'!$I:$I,'Daily NSE Equity Futures'!$A:$A,$A467))</f>
        <v>1169.4291000000001</v>
      </c>
      <c r="F467" s="6">
        <f>IF(SUMIFS('Daily BSE Equity Futures'!$I:$I,'Daily BSE Equity Futures'!$A:$A,$A467)=0,"",SUMIFS('Daily BSE Equity Futures'!$I:$I,'Daily BSE Equity Futures'!$A:$A,$A467))</f>
        <v>1.8E-3</v>
      </c>
      <c r="G467" s="6">
        <f t="shared" si="84"/>
        <v>1169.4309000000001</v>
      </c>
      <c r="H467" s="15">
        <f t="shared" si="85"/>
        <v>0.99999846078977395</v>
      </c>
      <c r="I467" s="15">
        <f t="shared" si="86"/>
        <v>1.5392102261022861E-6</v>
      </c>
      <c r="J467" s="20" t="str">
        <f t="shared" si="87"/>
        <v/>
      </c>
      <c r="K467" s="15" t="str">
        <f t="shared" si="88"/>
        <v/>
      </c>
      <c r="L467" s="15" t="str">
        <f t="shared" si="89"/>
        <v/>
      </c>
      <c r="M467" s="15">
        <f t="shared" si="93"/>
        <v>0.13102000010251835</v>
      </c>
      <c r="N467" s="15">
        <f t="shared" si="94"/>
        <v>-0.33333333333333337</v>
      </c>
      <c r="O467" s="15">
        <f t="shared" si="95"/>
        <v>0.13101878753037832</v>
      </c>
      <c r="P467" s="18">
        <f>IF(SUMIFS('Daily NSE Equity Futures'!$J:$J,'Daily NSE Equity Futures'!$A:$A,$A467)=0,"",SUMIFS('Daily NSE Equity Futures'!$J:$J,'Daily NSE Equity Futures'!$A:$A,$A467))</f>
        <v>1536476</v>
      </c>
      <c r="Q467" s="7">
        <f>IF(SUMIFS('Daily BSE Equity Futures'!$J:$J,'Daily BSE Equity Futures'!$A:$A,$A467)=0,"",SUMIFS('Daily BSE Equity Futures'!$J:$J,'Daily BSE Equity Futures'!$A:$A,$A467))</f>
        <v>2</v>
      </c>
      <c r="R467" s="7">
        <f t="shared" si="90"/>
        <v>1536478</v>
      </c>
      <c r="S467" s="19">
        <f t="shared" si="91"/>
        <v>0.99999869832174626</v>
      </c>
      <c r="T467" s="19">
        <f t="shared" si="92"/>
        <v>1.3016782537725891E-6</v>
      </c>
    </row>
    <row r="468" spans="1:20" x14ac:dyDescent="0.2">
      <c r="A468" s="9">
        <v>44607</v>
      </c>
      <c r="B468" s="4" t="s">
        <v>223</v>
      </c>
      <c r="C468" s="8">
        <v>44593</v>
      </c>
      <c r="D468" s="4" t="s">
        <v>180</v>
      </c>
      <c r="E468" s="14">
        <f>IF(SUMIFS('Daily NSE Equity Futures'!$I:$I,'Daily NSE Equity Futures'!$A:$A,$A468)=0,"",SUMIFS('Daily NSE Equity Futures'!$I:$I,'Daily NSE Equity Futures'!$A:$A,$A468))</f>
        <v>1361.9604999999999</v>
      </c>
      <c r="F468" s="6">
        <f>IF(SUMIFS('Daily BSE Equity Futures'!$I:$I,'Daily BSE Equity Futures'!$A:$A,$A468)=0,"",SUMIFS('Daily BSE Equity Futures'!$I:$I,'Daily BSE Equity Futures'!$A:$A,$A468))</f>
        <v>4.4999999999999997E-3</v>
      </c>
      <c r="G468" s="6">
        <f t="shared" si="84"/>
        <v>1361.9649999999999</v>
      </c>
      <c r="H468" s="15">
        <f t="shared" si="85"/>
        <v>0.99999669595033647</v>
      </c>
      <c r="I468" s="15">
        <f t="shared" si="86"/>
        <v>3.3040496635376092E-6</v>
      </c>
      <c r="J468" s="20">
        <f t="shared" si="87"/>
        <v>0.28420957248536083</v>
      </c>
      <c r="K468" s="15">
        <f t="shared" si="88"/>
        <v>-0.94718309859154926</v>
      </c>
      <c r="L468" s="15">
        <f t="shared" si="89"/>
        <v>0.28411065509240285</v>
      </c>
      <c r="M468" s="15">
        <f t="shared" si="93"/>
        <v>0.16463708659208143</v>
      </c>
      <c r="N468" s="15">
        <f t="shared" si="94"/>
        <v>1.5</v>
      </c>
      <c r="O468" s="15">
        <f t="shared" si="95"/>
        <v>0.16463914199633334</v>
      </c>
      <c r="P468" s="18">
        <f>IF(SUMIFS('Daily NSE Equity Futures'!$J:$J,'Daily NSE Equity Futures'!$A:$A,$A468)=0,"",SUMIFS('Daily NSE Equity Futures'!$J:$J,'Daily NSE Equity Futures'!$A:$A,$A468))</f>
        <v>1767404</v>
      </c>
      <c r="Q468" s="7">
        <f>IF(SUMIFS('Daily BSE Equity Futures'!$J:$J,'Daily BSE Equity Futures'!$A:$A,$A468)=0,"",SUMIFS('Daily BSE Equity Futures'!$J:$J,'Daily BSE Equity Futures'!$A:$A,$A468))</f>
        <v>5</v>
      </c>
      <c r="R468" s="7">
        <f t="shared" si="90"/>
        <v>1767409</v>
      </c>
      <c r="S468" s="19">
        <f t="shared" si="91"/>
        <v>0.99999717100003449</v>
      </c>
      <c r="T468" s="19">
        <f t="shared" si="92"/>
        <v>2.8289999654862004E-6</v>
      </c>
    </row>
    <row r="469" spans="1:20" x14ac:dyDescent="0.2">
      <c r="A469" s="9">
        <v>44608</v>
      </c>
      <c r="B469" s="4" t="s">
        <v>221</v>
      </c>
      <c r="C469" s="8">
        <v>44593</v>
      </c>
      <c r="D469" s="4" t="s">
        <v>180</v>
      </c>
      <c r="E469" s="14">
        <f>IF(SUMIFS('Daily NSE Equity Futures'!$I:$I,'Daily NSE Equity Futures'!$A:$A,$A469)=0,"",SUMIFS('Daily NSE Equity Futures'!$I:$I,'Daily NSE Equity Futures'!$A:$A,$A469))</f>
        <v>1159.0543</v>
      </c>
      <c r="F469" s="6">
        <f>IF(SUMIFS('Daily BSE Equity Futures'!$I:$I,'Daily BSE Equity Futures'!$A:$A,$A469)=0,"",SUMIFS('Daily BSE Equity Futures'!$I:$I,'Daily BSE Equity Futures'!$A:$A,$A469))</f>
        <v>3.5999999999999999E-3</v>
      </c>
      <c r="G469" s="6">
        <f t="shared" si="84"/>
        <v>1159.0579</v>
      </c>
      <c r="H469" s="15">
        <f t="shared" si="85"/>
        <v>0.99999689402919389</v>
      </c>
      <c r="I469" s="15">
        <f t="shared" si="86"/>
        <v>3.1059708061176234E-6</v>
      </c>
      <c r="J469" s="20">
        <f t="shared" si="87"/>
        <v>-7.6802013576507733E-2</v>
      </c>
      <c r="K469" s="15">
        <f t="shared" si="88"/>
        <v>-0.93898305084745759</v>
      </c>
      <c r="L469" s="15">
        <f t="shared" si="89"/>
        <v>-7.6842529070242027E-2</v>
      </c>
      <c r="M469" s="15">
        <f t="shared" si="93"/>
        <v>-0.14898097264935362</v>
      </c>
      <c r="N469" s="15">
        <f t="shared" si="94"/>
        <v>-0.19999999999999996</v>
      </c>
      <c r="O469" s="15">
        <f t="shared" si="95"/>
        <v>-0.14898114121875372</v>
      </c>
      <c r="P469" s="18">
        <f>IF(SUMIFS('Daily NSE Equity Futures'!$J:$J,'Daily NSE Equity Futures'!$A:$A,$A469)=0,"",SUMIFS('Daily NSE Equity Futures'!$J:$J,'Daily NSE Equity Futures'!$A:$A,$A469))</f>
        <v>1473921</v>
      </c>
      <c r="Q469" s="7">
        <f>IF(SUMIFS('Daily BSE Equity Futures'!$J:$J,'Daily BSE Equity Futures'!$A:$A,$A469)=0,"",SUMIFS('Daily BSE Equity Futures'!$J:$J,'Daily BSE Equity Futures'!$A:$A,$A469))</f>
        <v>4</v>
      </c>
      <c r="R469" s="7">
        <f t="shared" si="90"/>
        <v>1473925</v>
      </c>
      <c r="S469" s="19">
        <f t="shared" si="91"/>
        <v>0.99999728615770811</v>
      </c>
      <c r="T469" s="19">
        <f t="shared" si="92"/>
        <v>2.7138422918398153E-6</v>
      </c>
    </row>
    <row r="470" spans="1:20" x14ac:dyDescent="0.2">
      <c r="A470" s="9">
        <v>44609</v>
      </c>
      <c r="B470" s="4" t="s">
        <v>224</v>
      </c>
      <c r="C470" s="8">
        <v>44593</v>
      </c>
      <c r="D470" s="4" t="s">
        <v>180</v>
      </c>
      <c r="E470" s="14">
        <f>IF(SUMIFS('Daily NSE Equity Futures'!$I:$I,'Daily NSE Equity Futures'!$A:$A,$A470)=0,"",SUMIFS('Daily NSE Equity Futures'!$I:$I,'Daily NSE Equity Futures'!$A:$A,$A470))</f>
        <v>1095.4813999999999</v>
      </c>
      <c r="F470" s="6" t="str">
        <f>IF(SUMIFS('Daily BSE Equity Futures'!$I:$I,'Daily BSE Equity Futures'!$A:$A,$A470)=0,"",SUMIFS('Daily BSE Equity Futures'!$I:$I,'Daily BSE Equity Futures'!$A:$A,$A470))</f>
        <v/>
      </c>
      <c r="G470" s="6" t="str">
        <f t="shared" si="84"/>
        <v/>
      </c>
      <c r="H470" s="15" t="str">
        <f t="shared" si="85"/>
        <v/>
      </c>
      <c r="I470" s="15" t="str">
        <f t="shared" si="86"/>
        <v/>
      </c>
      <c r="J470" s="20">
        <f t="shared" si="87"/>
        <v>-8.5533724302477188E-2</v>
      </c>
      <c r="K470" s="15" t="str">
        <f t="shared" si="88"/>
        <v/>
      </c>
      <c r="L470" s="15" t="str">
        <f t="shared" si="89"/>
        <v/>
      </c>
      <c r="M470" s="15">
        <f t="shared" si="93"/>
        <v>-5.4848940209272445E-2</v>
      </c>
      <c r="N470" s="15" t="str">
        <f t="shared" si="94"/>
        <v/>
      </c>
      <c r="O470" s="15" t="str">
        <f t="shared" si="95"/>
        <v/>
      </c>
      <c r="P470" s="18">
        <f>IF(SUMIFS('Daily NSE Equity Futures'!$J:$J,'Daily NSE Equity Futures'!$A:$A,$A470)=0,"",SUMIFS('Daily NSE Equity Futures'!$J:$J,'Daily NSE Equity Futures'!$A:$A,$A470))</f>
        <v>1397881</v>
      </c>
      <c r="Q470" s="7" t="str">
        <f>IF(SUMIFS('Daily BSE Equity Futures'!$J:$J,'Daily BSE Equity Futures'!$A:$A,$A470)=0,"",SUMIFS('Daily BSE Equity Futures'!$J:$J,'Daily BSE Equity Futures'!$A:$A,$A470))</f>
        <v/>
      </c>
      <c r="R470" s="7" t="str">
        <f t="shared" si="90"/>
        <v/>
      </c>
      <c r="S470" s="19" t="str">
        <f t="shared" si="91"/>
        <v/>
      </c>
      <c r="T470" s="19" t="str">
        <f t="shared" si="92"/>
        <v/>
      </c>
    </row>
    <row r="471" spans="1:20" x14ac:dyDescent="0.2">
      <c r="A471" s="9">
        <v>44610</v>
      </c>
      <c r="B471" s="4" t="s">
        <v>222</v>
      </c>
      <c r="C471" s="8">
        <v>44593</v>
      </c>
      <c r="D471" s="4" t="s">
        <v>180</v>
      </c>
      <c r="E471" s="14">
        <f>IF(SUMIFS('Daily NSE Equity Futures'!$I:$I,'Daily NSE Equity Futures'!$A:$A,$A471)=0,"",SUMIFS('Daily NSE Equity Futures'!$I:$I,'Daily NSE Equity Futures'!$A:$A,$A471))</f>
        <v>1110.6985</v>
      </c>
      <c r="F471" s="6">
        <f>IF(SUMIFS('Daily BSE Equity Futures'!$I:$I,'Daily BSE Equity Futures'!$A:$A,$A471)=0,"",SUMIFS('Daily BSE Equity Futures'!$I:$I,'Daily BSE Equity Futures'!$A:$A,$A471))</f>
        <v>1.8E-3</v>
      </c>
      <c r="G471" s="6">
        <f t="shared" si="84"/>
        <v>1110.7003</v>
      </c>
      <c r="H471" s="15">
        <f t="shared" si="85"/>
        <v>0.99999837940081582</v>
      </c>
      <c r="I471" s="15">
        <f t="shared" si="86"/>
        <v>1.6205991841363507E-6</v>
      </c>
      <c r="J471" s="20">
        <f t="shared" si="87"/>
        <v>-0.13497493355372669</v>
      </c>
      <c r="K471" s="15">
        <f t="shared" si="88"/>
        <v>-0.98277511961722486</v>
      </c>
      <c r="L471" s="15">
        <f t="shared" si="89"/>
        <v>-0.13504392686057398</v>
      </c>
      <c r="M471" s="15">
        <f t="shared" si="93"/>
        <v>1.3890788104663487E-2</v>
      </c>
      <c r="N471" s="15" t="str">
        <f t="shared" si="94"/>
        <v/>
      </c>
      <c r="O471" s="15" t="str">
        <f t="shared" si="95"/>
        <v/>
      </c>
      <c r="P471" s="18">
        <f>IF(SUMIFS('Daily NSE Equity Futures'!$J:$J,'Daily NSE Equity Futures'!$A:$A,$A471)=0,"",SUMIFS('Daily NSE Equity Futures'!$J:$J,'Daily NSE Equity Futures'!$A:$A,$A471))</f>
        <v>1471344</v>
      </c>
      <c r="Q471" s="7">
        <f>IF(SUMIFS('Daily BSE Equity Futures'!$J:$J,'Daily BSE Equity Futures'!$A:$A,$A471)=0,"",SUMIFS('Daily BSE Equity Futures'!$J:$J,'Daily BSE Equity Futures'!$A:$A,$A471))</f>
        <v>2</v>
      </c>
      <c r="R471" s="7">
        <f t="shared" si="90"/>
        <v>1471346</v>
      </c>
      <c r="S471" s="19">
        <f t="shared" si="91"/>
        <v>0.99999864070041988</v>
      </c>
      <c r="T471" s="19">
        <f t="shared" si="92"/>
        <v>1.3592995801123598E-6</v>
      </c>
    </row>
    <row r="472" spans="1:20" x14ac:dyDescent="0.2">
      <c r="A472" s="9">
        <v>44613</v>
      </c>
      <c r="B472" s="4" t="s">
        <v>225</v>
      </c>
      <c r="C472" s="8">
        <v>44593</v>
      </c>
      <c r="D472" s="4" t="s">
        <v>180</v>
      </c>
      <c r="E472" s="14">
        <f>IF(SUMIFS('Daily NSE Equity Futures'!$I:$I,'Daily NSE Equity Futures'!$A:$A,$A472)=0,"",SUMIFS('Daily NSE Equity Futures'!$I:$I,'Daily NSE Equity Futures'!$A:$A,$A472))</f>
        <v>1755.3139000000001</v>
      </c>
      <c r="F472" s="6">
        <f>IF(SUMIFS('Daily BSE Equity Futures'!$I:$I,'Daily BSE Equity Futures'!$A:$A,$A472)=0,"",SUMIFS('Daily BSE Equity Futures'!$I:$I,'Daily BSE Equity Futures'!$A:$A,$A472))</f>
        <v>3.5999999999999999E-3</v>
      </c>
      <c r="G472" s="6">
        <f t="shared" si="84"/>
        <v>1755.3175000000001</v>
      </c>
      <c r="H472" s="15">
        <f t="shared" si="85"/>
        <v>0.99999794908898243</v>
      </c>
      <c r="I472" s="15">
        <f t="shared" si="86"/>
        <v>2.0509110175224709E-6</v>
      </c>
      <c r="J472" s="20" t="str">
        <f t="shared" si="87"/>
        <v/>
      </c>
      <c r="K472" s="15" t="str">
        <f t="shared" si="88"/>
        <v/>
      </c>
      <c r="L472" s="15" t="str">
        <f t="shared" si="89"/>
        <v/>
      </c>
      <c r="M472" s="15">
        <f t="shared" si="93"/>
        <v>0.58036938016932593</v>
      </c>
      <c r="N472" s="15">
        <f t="shared" si="94"/>
        <v>1</v>
      </c>
      <c r="O472" s="15">
        <f t="shared" si="95"/>
        <v>0.58037006022236626</v>
      </c>
      <c r="P472" s="18">
        <f>IF(SUMIFS('Daily NSE Equity Futures'!$J:$J,'Daily NSE Equity Futures'!$A:$A,$A472)=0,"",SUMIFS('Daily NSE Equity Futures'!$J:$J,'Daily NSE Equity Futures'!$A:$A,$A472))</f>
        <v>2407621</v>
      </c>
      <c r="Q472" s="7">
        <f>IF(SUMIFS('Daily BSE Equity Futures'!$J:$J,'Daily BSE Equity Futures'!$A:$A,$A472)=0,"",SUMIFS('Daily BSE Equity Futures'!$J:$J,'Daily BSE Equity Futures'!$A:$A,$A472))</f>
        <v>4</v>
      </c>
      <c r="R472" s="7">
        <f t="shared" si="90"/>
        <v>2407625</v>
      </c>
      <c r="S472" s="19">
        <f t="shared" si="91"/>
        <v>0.9999983386117024</v>
      </c>
      <c r="T472" s="19">
        <f t="shared" si="92"/>
        <v>1.6613882975961787E-6</v>
      </c>
    </row>
    <row r="473" spans="1:20" x14ac:dyDescent="0.2">
      <c r="A473" s="9">
        <v>44614</v>
      </c>
      <c r="B473" s="4" t="s">
        <v>223</v>
      </c>
      <c r="C473" s="8">
        <v>44593</v>
      </c>
      <c r="D473" s="4" t="s">
        <v>180</v>
      </c>
      <c r="E473" s="14">
        <f>IF(SUMIFS('Daily NSE Equity Futures'!$I:$I,'Daily NSE Equity Futures'!$A:$A,$A473)=0,"",SUMIFS('Daily NSE Equity Futures'!$I:$I,'Daily NSE Equity Futures'!$A:$A,$A473))</f>
        <v>2270.5956999999999</v>
      </c>
      <c r="F473" s="6">
        <f>IF(SUMIFS('Daily BSE Equity Futures'!$I:$I,'Daily BSE Equity Futures'!$A:$A,$A473)=0,"",SUMIFS('Daily BSE Equity Futures'!$I:$I,'Daily BSE Equity Futures'!$A:$A,$A473))</f>
        <v>4.4000000000000003E-3</v>
      </c>
      <c r="G473" s="6">
        <f t="shared" si="84"/>
        <v>2270.6000999999997</v>
      </c>
      <c r="H473" s="15">
        <f t="shared" si="85"/>
        <v>0.99999806218629173</v>
      </c>
      <c r="I473" s="15">
        <f t="shared" si="86"/>
        <v>1.9378137083672291E-6</v>
      </c>
      <c r="J473" s="20">
        <f t="shared" si="87"/>
        <v>0.17842276123773759</v>
      </c>
      <c r="K473" s="15">
        <f t="shared" si="88"/>
        <v>-0.95996360327570518</v>
      </c>
      <c r="L473" s="15">
        <f t="shared" si="89"/>
        <v>0.17835783444970943</v>
      </c>
      <c r="M473" s="15">
        <f t="shared" si="93"/>
        <v>0.29355535781947584</v>
      </c>
      <c r="N473" s="15">
        <f t="shared" si="94"/>
        <v>0.22222222222222232</v>
      </c>
      <c r="O473" s="15">
        <f t="shared" si="95"/>
        <v>0.29355521152156205</v>
      </c>
      <c r="P473" s="18">
        <f>IF(SUMIFS('Daily NSE Equity Futures'!$J:$J,'Daily NSE Equity Futures'!$A:$A,$A473)=0,"",SUMIFS('Daily NSE Equity Futures'!$J:$J,'Daily NSE Equity Futures'!$A:$A,$A473))</f>
        <v>3168837</v>
      </c>
      <c r="Q473" s="7">
        <f>IF(SUMIFS('Daily BSE Equity Futures'!$J:$J,'Daily BSE Equity Futures'!$A:$A,$A473)=0,"",SUMIFS('Daily BSE Equity Futures'!$J:$J,'Daily BSE Equity Futures'!$A:$A,$A473))</f>
        <v>5</v>
      </c>
      <c r="R473" s="7">
        <f t="shared" si="90"/>
        <v>3168842</v>
      </c>
      <c r="S473" s="19">
        <f t="shared" si="91"/>
        <v>0.99999842213654078</v>
      </c>
      <c r="T473" s="19">
        <f t="shared" si="92"/>
        <v>1.5778634592699793E-6</v>
      </c>
    </row>
    <row r="474" spans="1:20" x14ac:dyDescent="0.2">
      <c r="A474" s="9">
        <v>44615</v>
      </c>
      <c r="B474" s="4" t="s">
        <v>221</v>
      </c>
      <c r="C474" s="8">
        <v>44593</v>
      </c>
      <c r="D474" s="4" t="s">
        <v>180</v>
      </c>
      <c r="E474" s="14">
        <f>IF(SUMIFS('Daily NSE Equity Futures'!$I:$I,'Daily NSE Equity Futures'!$A:$A,$A474)=0,"",SUMIFS('Daily NSE Equity Futures'!$I:$I,'Daily NSE Equity Futures'!$A:$A,$A474))</f>
        <v>1779.6125</v>
      </c>
      <c r="F474" s="6">
        <f>IF(SUMIFS('Daily BSE Equity Futures'!$I:$I,'Daily BSE Equity Futures'!$A:$A,$A474)=0,"",SUMIFS('Daily BSE Equity Futures'!$I:$I,'Daily BSE Equity Futures'!$A:$A,$A474))</f>
        <v>1.8E-3</v>
      </c>
      <c r="G474" s="6">
        <f t="shared" si="84"/>
        <v>1779.6143</v>
      </c>
      <c r="H474" s="15">
        <f t="shared" si="85"/>
        <v>0.99999898854487734</v>
      </c>
      <c r="I474" s="15">
        <f t="shared" si="86"/>
        <v>1.0114551226071852E-6</v>
      </c>
      <c r="J474" s="20">
        <f t="shared" si="87"/>
        <v>-0.13708724575321762</v>
      </c>
      <c r="K474" s="15">
        <f t="shared" si="88"/>
        <v>-0.97952218430034133</v>
      </c>
      <c r="L474" s="15">
        <f t="shared" si="89"/>
        <v>-0.13712315019473731</v>
      </c>
      <c r="M474" s="15">
        <f t="shared" si="93"/>
        <v>-0.21623541346440489</v>
      </c>
      <c r="N474" s="15">
        <f t="shared" si="94"/>
        <v>-0.59090909090909094</v>
      </c>
      <c r="O474" s="15">
        <f t="shared" si="95"/>
        <v>-0.21623613951219323</v>
      </c>
      <c r="P474" s="18">
        <f>IF(SUMIFS('Daily NSE Equity Futures'!$J:$J,'Daily NSE Equity Futures'!$A:$A,$A474)=0,"",SUMIFS('Daily NSE Equity Futures'!$J:$J,'Daily NSE Equity Futures'!$A:$A,$A474))</f>
        <v>2447526</v>
      </c>
      <c r="Q474" s="7">
        <f>IF(SUMIFS('Daily BSE Equity Futures'!$J:$J,'Daily BSE Equity Futures'!$A:$A,$A474)=0,"",SUMIFS('Daily BSE Equity Futures'!$J:$J,'Daily BSE Equity Futures'!$A:$A,$A474))</f>
        <v>2</v>
      </c>
      <c r="R474" s="7">
        <f t="shared" si="90"/>
        <v>2447528</v>
      </c>
      <c r="S474" s="19">
        <f t="shared" si="91"/>
        <v>0.99999918284898071</v>
      </c>
      <c r="T474" s="19">
        <f t="shared" si="92"/>
        <v>8.1715101931418154E-7</v>
      </c>
    </row>
    <row r="475" spans="1:20" x14ac:dyDescent="0.2">
      <c r="A475" s="9">
        <v>44616</v>
      </c>
      <c r="B475" s="4" t="s">
        <v>224</v>
      </c>
      <c r="C475" s="8">
        <v>44593</v>
      </c>
      <c r="D475" s="4" t="s">
        <v>180</v>
      </c>
      <c r="E475" s="14">
        <f>IF(SUMIFS('Daily NSE Equity Futures'!$I:$I,'Daily NSE Equity Futures'!$A:$A,$A475)=0,"",SUMIFS('Daily NSE Equity Futures'!$I:$I,'Daily NSE Equity Futures'!$A:$A,$A475))</f>
        <v>2819.1779000000001</v>
      </c>
      <c r="F475" s="6">
        <f>IF(SUMIFS('Daily BSE Equity Futures'!$I:$I,'Daily BSE Equity Futures'!$A:$A,$A475)=0,"",SUMIFS('Daily BSE Equity Futures'!$I:$I,'Daily BSE Equity Futures'!$A:$A,$A475))</f>
        <v>2.5999999999999999E-3</v>
      </c>
      <c r="G475" s="6">
        <f t="shared" si="84"/>
        <v>2819.1804999999999</v>
      </c>
      <c r="H475" s="15">
        <f t="shared" si="85"/>
        <v>0.99999907774617491</v>
      </c>
      <c r="I475" s="15">
        <f t="shared" si="86"/>
        <v>9.222538251807573E-7</v>
      </c>
      <c r="J475" s="20">
        <f t="shared" si="87"/>
        <v>0.90853043020327262</v>
      </c>
      <c r="K475" s="15">
        <f t="shared" si="88"/>
        <v>-0.96840826245443501</v>
      </c>
      <c r="L475" s="15">
        <f t="shared" si="89"/>
        <v>0.90842586135303938</v>
      </c>
      <c r="M475" s="15">
        <f t="shared" si="93"/>
        <v>0.58415267368598522</v>
      </c>
      <c r="N475" s="15">
        <f t="shared" si="94"/>
        <v>0.44444444444444442</v>
      </c>
      <c r="O475" s="15">
        <f t="shared" si="95"/>
        <v>0.58415253237738085</v>
      </c>
      <c r="P475" s="18">
        <f>IF(SUMIFS('Daily NSE Equity Futures'!$J:$J,'Daily NSE Equity Futures'!$A:$A,$A475)=0,"",SUMIFS('Daily NSE Equity Futures'!$J:$J,'Daily NSE Equity Futures'!$A:$A,$A475))</f>
        <v>3933035</v>
      </c>
      <c r="Q475" s="7">
        <f>IF(SUMIFS('Daily BSE Equity Futures'!$J:$J,'Daily BSE Equity Futures'!$A:$A,$A475)=0,"",SUMIFS('Daily BSE Equity Futures'!$J:$J,'Daily BSE Equity Futures'!$A:$A,$A475))</f>
        <v>3</v>
      </c>
      <c r="R475" s="7">
        <f t="shared" si="90"/>
        <v>3933038</v>
      </c>
      <c r="S475" s="19">
        <f t="shared" si="91"/>
        <v>0.99999923723086326</v>
      </c>
      <c r="T475" s="19">
        <f t="shared" si="92"/>
        <v>7.6276913673348689E-7</v>
      </c>
    </row>
    <row r="476" spans="1:20" x14ac:dyDescent="0.2">
      <c r="A476" s="9">
        <v>44617</v>
      </c>
      <c r="B476" s="4" t="s">
        <v>222</v>
      </c>
      <c r="C476" s="8">
        <v>44593</v>
      </c>
      <c r="D476" s="4" t="s">
        <v>180</v>
      </c>
      <c r="E476" s="14">
        <f>IF(SUMIFS('Daily NSE Equity Futures'!$I:$I,'Daily NSE Equity Futures'!$A:$A,$A476)=0,"",SUMIFS('Daily NSE Equity Futures'!$I:$I,'Daily NSE Equity Futures'!$A:$A,$A476))</f>
        <v>1235.0672</v>
      </c>
      <c r="F476" s="6">
        <f>IF(SUMIFS('Daily BSE Equity Futures'!$I:$I,'Daily BSE Equity Futures'!$A:$A,$A476)=0,"",SUMIFS('Daily BSE Equity Futures'!$I:$I,'Daily BSE Equity Futures'!$A:$A,$A476))</f>
        <v>8.9999999999999998E-4</v>
      </c>
      <c r="G476" s="6">
        <f t="shared" si="84"/>
        <v>1235.0681</v>
      </c>
      <c r="H476" s="15">
        <f t="shared" si="85"/>
        <v>0.9999992712952428</v>
      </c>
      <c r="I476" s="15">
        <f t="shared" si="86"/>
        <v>7.2870475725184704E-7</v>
      </c>
      <c r="J476" s="20">
        <f t="shared" si="87"/>
        <v>-0.46729689275872444</v>
      </c>
      <c r="K476" s="15">
        <f t="shared" si="88"/>
        <v>-0.99463007159904537</v>
      </c>
      <c r="L476" s="15">
        <f t="shared" si="89"/>
        <v>-0.46733501007888922</v>
      </c>
      <c r="M476" s="15">
        <f t="shared" si="93"/>
        <v>-0.56190519229027736</v>
      </c>
      <c r="N476" s="15">
        <f t="shared" si="94"/>
        <v>-0.65384615384615385</v>
      </c>
      <c r="O476" s="15">
        <f t="shared" si="95"/>
        <v>-0.56190527708318072</v>
      </c>
      <c r="P476" s="18">
        <f>IF(SUMIFS('Daily NSE Equity Futures'!$J:$J,'Daily NSE Equity Futures'!$A:$A,$A476)=0,"",SUMIFS('Daily NSE Equity Futures'!$J:$J,'Daily NSE Equity Futures'!$A:$A,$A476))</f>
        <v>1633966</v>
      </c>
      <c r="Q476" s="7">
        <f>IF(SUMIFS('Daily BSE Equity Futures'!$J:$J,'Daily BSE Equity Futures'!$A:$A,$A476)=0,"",SUMIFS('Daily BSE Equity Futures'!$J:$J,'Daily BSE Equity Futures'!$A:$A,$A476))</f>
        <v>1</v>
      </c>
      <c r="R476" s="7">
        <f t="shared" si="90"/>
        <v>1633967</v>
      </c>
      <c r="S476" s="19">
        <f t="shared" si="91"/>
        <v>0.99999938799253596</v>
      </c>
      <c r="T476" s="19">
        <f t="shared" si="92"/>
        <v>6.120074640430315E-7</v>
      </c>
    </row>
    <row r="477" spans="1:20" x14ac:dyDescent="0.2">
      <c r="A477" s="9">
        <v>44620</v>
      </c>
      <c r="B477" s="4" t="s">
        <v>225</v>
      </c>
      <c r="C477" s="8">
        <v>44593</v>
      </c>
      <c r="D477" s="4" t="s">
        <v>180</v>
      </c>
      <c r="E477" s="14">
        <f>IF(SUMIFS('Daily NSE Equity Futures'!$I:$I,'Daily NSE Equity Futures'!$A:$A,$A477)=0,"",SUMIFS('Daily NSE Equity Futures'!$I:$I,'Daily NSE Equity Futures'!$A:$A,$A477))</f>
        <v>1079.0579</v>
      </c>
      <c r="F477" s="6">
        <f>IF(SUMIFS('Daily BSE Equity Futures'!$I:$I,'Daily BSE Equity Futures'!$A:$A,$A477)=0,"",SUMIFS('Daily BSE Equity Futures'!$I:$I,'Daily BSE Equity Futures'!$A:$A,$A477))</f>
        <v>3.5000000000000001E-3</v>
      </c>
      <c r="G477" s="6">
        <f t="shared" si="84"/>
        <v>1079.0614</v>
      </c>
      <c r="H477" s="15">
        <f t="shared" si="85"/>
        <v>0.99999675644036568</v>
      </c>
      <c r="I477" s="15">
        <f t="shared" si="86"/>
        <v>3.2435596343266473E-6</v>
      </c>
      <c r="J477" s="20" t="str">
        <f t="shared" si="87"/>
        <v/>
      </c>
      <c r="K477" s="15" t="str">
        <f t="shared" si="88"/>
        <v/>
      </c>
      <c r="L477" s="15" t="str">
        <f t="shared" si="89"/>
        <v/>
      </c>
      <c r="M477" s="15">
        <f t="shared" si="93"/>
        <v>-0.12631644658687391</v>
      </c>
      <c r="N477" s="15">
        <f t="shared" si="94"/>
        <v>2.8888888888888893</v>
      </c>
      <c r="O477" s="15">
        <f t="shared" si="95"/>
        <v>-0.12631424939240188</v>
      </c>
      <c r="P477" s="18">
        <f>IF(SUMIFS('Daily NSE Equity Futures'!$J:$J,'Daily NSE Equity Futures'!$A:$A,$A477)=0,"",SUMIFS('Daily NSE Equity Futures'!$J:$J,'Daily NSE Equity Futures'!$A:$A,$A477))</f>
        <v>1445155</v>
      </c>
      <c r="Q477" s="7">
        <f>IF(SUMIFS('Daily BSE Equity Futures'!$J:$J,'Daily BSE Equity Futures'!$A:$A,$A477)=0,"",SUMIFS('Daily BSE Equity Futures'!$J:$J,'Daily BSE Equity Futures'!$A:$A,$A477))</f>
        <v>4</v>
      </c>
      <c r="R477" s="7">
        <f t="shared" si="90"/>
        <v>1445159</v>
      </c>
      <c r="S477" s="19">
        <f t="shared" si="91"/>
        <v>0.99999723213847058</v>
      </c>
      <c r="T477" s="19">
        <f t="shared" si="92"/>
        <v>2.7678615294234058E-6</v>
      </c>
    </row>
    <row r="478" spans="1:20" x14ac:dyDescent="0.2">
      <c r="A478" s="9">
        <v>44622</v>
      </c>
      <c r="B478" s="4" t="s">
        <v>221</v>
      </c>
      <c r="C478" s="8">
        <v>44621</v>
      </c>
      <c r="D478" s="4" t="s">
        <v>180</v>
      </c>
      <c r="E478" s="14">
        <f>IF(SUMIFS('Daily NSE Equity Futures'!$I:$I,'Daily NSE Equity Futures'!$A:$A,$A478)=0,"",SUMIFS('Daily NSE Equity Futures'!$I:$I,'Daily NSE Equity Futures'!$A:$A,$A478))</f>
        <v>1206.1356000000001</v>
      </c>
      <c r="F478" s="6">
        <f>IF(SUMIFS('Daily BSE Equity Futures'!$I:$I,'Daily BSE Equity Futures'!$A:$A,$A478)=0,"",SUMIFS('Daily BSE Equity Futures'!$I:$I,'Daily BSE Equity Futures'!$A:$A,$A478))</f>
        <v>1.6999999999999999E-3</v>
      </c>
      <c r="G478" s="6">
        <f t="shared" si="84"/>
        <v>1206.1373000000001</v>
      </c>
      <c r="H478" s="15">
        <f t="shared" si="85"/>
        <v>0.99999859054188933</v>
      </c>
      <c r="I478" s="15">
        <f t="shared" si="86"/>
        <v>1.4094581106147698E-6</v>
      </c>
      <c r="J478" s="20">
        <f t="shared" si="87"/>
        <v>5.2277204261993893E-2</v>
      </c>
      <c r="K478" s="15">
        <f t="shared" si="88"/>
        <v>-0.96897810218978098</v>
      </c>
      <c r="L478" s="15">
        <f t="shared" si="89"/>
        <v>5.2228380847610723E-2</v>
      </c>
      <c r="M478" s="15">
        <f t="shared" si="93"/>
        <v>0.11776726716888875</v>
      </c>
      <c r="N478" s="15">
        <f t="shared" si="94"/>
        <v>-0.51428571428571435</v>
      </c>
      <c r="O478" s="15">
        <f t="shared" si="95"/>
        <v>0.11776521706735132</v>
      </c>
      <c r="P478" s="18">
        <f>IF(SUMIFS('Daily NSE Equity Futures'!$J:$J,'Daily NSE Equity Futures'!$A:$A,$A478)=0,"",SUMIFS('Daily NSE Equity Futures'!$J:$J,'Daily NSE Equity Futures'!$A:$A,$A478))</f>
        <v>1594148</v>
      </c>
      <c r="Q478" s="7">
        <f>IF(SUMIFS('Daily BSE Equity Futures'!$J:$J,'Daily BSE Equity Futures'!$A:$A,$A478)=0,"",SUMIFS('Daily BSE Equity Futures'!$J:$J,'Daily BSE Equity Futures'!$A:$A,$A478))</f>
        <v>2</v>
      </c>
      <c r="R478" s="7">
        <f t="shared" si="90"/>
        <v>1594150</v>
      </c>
      <c r="S478" s="19">
        <f t="shared" si="91"/>
        <v>0.999998745412916</v>
      </c>
      <c r="T478" s="19">
        <f t="shared" si="92"/>
        <v>1.25458708402597E-6</v>
      </c>
    </row>
    <row r="479" spans="1:20" x14ac:dyDescent="0.2">
      <c r="A479" s="9">
        <v>44623</v>
      </c>
      <c r="B479" s="4" t="s">
        <v>224</v>
      </c>
      <c r="C479" s="8">
        <v>44621</v>
      </c>
      <c r="D479" s="4" t="s">
        <v>180</v>
      </c>
      <c r="E479" s="14">
        <f>IF(SUMIFS('Daily NSE Equity Futures'!$I:$I,'Daily NSE Equity Futures'!$A:$A,$A479)=0,"",SUMIFS('Daily NSE Equity Futures'!$I:$I,'Daily NSE Equity Futures'!$A:$A,$A479))</f>
        <v>1046.2483999999999</v>
      </c>
      <c r="F479" s="6" t="str">
        <f>IF(SUMIFS('Daily BSE Equity Futures'!$I:$I,'Daily BSE Equity Futures'!$A:$A,$A479)=0,"",SUMIFS('Daily BSE Equity Futures'!$I:$I,'Daily BSE Equity Futures'!$A:$A,$A479))</f>
        <v/>
      </c>
      <c r="G479" s="6" t="str">
        <f t="shared" si="84"/>
        <v/>
      </c>
      <c r="H479" s="15" t="str">
        <f t="shared" si="85"/>
        <v/>
      </c>
      <c r="I479" s="15" t="str">
        <f t="shared" si="86"/>
        <v/>
      </c>
      <c r="J479" s="20">
        <f t="shared" si="87"/>
        <v>-6.4399880350310745E-2</v>
      </c>
      <c r="K479" s="15" t="str">
        <f t="shared" si="88"/>
        <v/>
      </c>
      <c r="L479" s="15" t="str">
        <f t="shared" si="89"/>
        <v/>
      </c>
      <c r="M479" s="15">
        <f t="shared" si="93"/>
        <v>-0.13256154614787929</v>
      </c>
      <c r="N479" s="15" t="str">
        <f t="shared" si="94"/>
        <v/>
      </c>
      <c r="O479" s="15" t="str">
        <f t="shared" si="95"/>
        <v/>
      </c>
      <c r="P479" s="18">
        <f>IF(SUMIFS('Daily NSE Equity Futures'!$J:$J,'Daily NSE Equity Futures'!$A:$A,$A479)=0,"",SUMIFS('Daily NSE Equity Futures'!$J:$J,'Daily NSE Equity Futures'!$A:$A,$A479))</f>
        <v>1382108</v>
      </c>
      <c r="Q479" s="7" t="str">
        <f>IF(SUMIFS('Daily BSE Equity Futures'!$J:$J,'Daily BSE Equity Futures'!$A:$A,$A479)=0,"",SUMIFS('Daily BSE Equity Futures'!$J:$J,'Daily BSE Equity Futures'!$A:$A,$A479))</f>
        <v/>
      </c>
      <c r="R479" s="7" t="str">
        <f t="shared" si="90"/>
        <v/>
      </c>
      <c r="S479" s="19" t="str">
        <f t="shared" si="91"/>
        <v/>
      </c>
      <c r="T479" s="19" t="str">
        <f t="shared" si="92"/>
        <v/>
      </c>
    </row>
    <row r="480" spans="1:20" x14ac:dyDescent="0.2">
      <c r="A480" s="9">
        <v>44624</v>
      </c>
      <c r="B480" s="4" t="s">
        <v>222</v>
      </c>
      <c r="C480" s="8">
        <v>44621</v>
      </c>
      <c r="D480" s="4" t="s">
        <v>180</v>
      </c>
      <c r="E480" s="14">
        <f>IF(SUMIFS('Daily NSE Equity Futures'!$I:$I,'Daily NSE Equity Futures'!$A:$A,$A480)=0,"",SUMIFS('Daily NSE Equity Futures'!$I:$I,'Daily NSE Equity Futures'!$A:$A,$A480))</f>
        <v>1280.7311</v>
      </c>
      <c r="F480" s="6">
        <f>IF(SUMIFS('Daily BSE Equity Futures'!$I:$I,'Daily BSE Equity Futures'!$A:$A,$A480)=0,"",SUMIFS('Daily BSE Equity Futures'!$I:$I,'Daily BSE Equity Futures'!$A:$A,$A480))</f>
        <v>5.1000000000000004E-3</v>
      </c>
      <c r="G480" s="6">
        <f t="shared" si="84"/>
        <v>1280.7362000000001</v>
      </c>
      <c r="H480" s="15">
        <f t="shared" si="85"/>
        <v>0.99999601791532078</v>
      </c>
      <c r="I480" s="15">
        <f t="shared" si="86"/>
        <v>3.9820846791087814E-6</v>
      </c>
      <c r="J480" s="20">
        <f t="shared" si="87"/>
        <v>1.6001294662175924E-2</v>
      </c>
      <c r="K480" s="15">
        <f t="shared" si="88"/>
        <v>-0.9357682619647355</v>
      </c>
      <c r="L480" s="15">
        <f t="shared" si="89"/>
        <v>1.5941348516733456E-2</v>
      </c>
      <c r="M480" s="15">
        <f t="shared" si="93"/>
        <v>0.22411761872228442</v>
      </c>
      <c r="N480" s="15" t="str">
        <f t="shared" si="94"/>
        <v/>
      </c>
      <c r="O480" s="15" t="str">
        <f t="shared" si="95"/>
        <v/>
      </c>
      <c r="P480" s="18">
        <f>IF(SUMIFS('Daily NSE Equity Futures'!$J:$J,'Daily NSE Equity Futures'!$A:$A,$A480)=0,"",SUMIFS('Daily NSE Equity Futures'!$J:$J,'Daily NSE Equity Futures'!$A:$A,$A480))</f>
        <v>1726893</v>
      </c>
      <c r="Q480" s="7">
        <f>IF(SUMIFS('Daily BSE Equity Futures'!$J:$J,'Daily BSE Equity Futures'!$A:$A,$A480)=0,"",SUMIFS('Daily BSE Equity Futures'!$J:$J,'Daily BSE Equity Futures'!$A:$A,$A480))</f>
        <v>6</v>
      </c>
      <c r="R480" s="7">
        <f t="shared" si="90"/>
        <v>1726899</v>
      </c>
      <c r="S480" s="19">
        <f t="shared" si="91"/>
        <v>0.99999652556403129</v>
      </c>
      <c r="T480" s="19">
        <f t="shared" si="92"/>
        <v>3.4744359687509228E-6</v>
      </c>
    </row>
    <row r="481" spans="1:20" x14ac:dyDescent="0.2">
      <c r="A481" s="9">
        <v>44627</v>
      </c>
      <c r="B481" s="4" t="s">
        <v>225</v>
      </c>
      <c r="C481" s="8">
        <v>44621</v>
      </c>
      <c r="D481" s="4" t="s">
        <v>180</v>
      </c>
      <c r="E481" s="14">
        <f>IF(SUMIFS('Daily NSE Equity Futures'!$I:$I,'Daily NSE Equity Futures'!$A:$A,$A481)=0,"",SUMIFS('Daily NSE Equity Futures'!$I:$I,'Daily NSE Equity Futures'!$A:$A,$A481))</f>
        <v>1348.0111999999999</v>
      </c>
      <c r="F481" s="6" t="str">
        <f>IF(SUMIFS('Daily BSE Equity Futures'!$I:$I,'Daily BSE Equity Futures'!$A:$A,$A481)=0,"",SUMIFS('Daily BSE Equity Futures'!$I:$I,'Daily BSE Equity Futures'!$A:$A,$A481))</f>
        <v/>
      </c>
      <c r="G481" s="6" t="str">
        <f t="shared" si="84"/>
        <v/>
      </c>
      <c r="H481" s="15" t="str">
        <f t="shared" si="85"/>
        <v/>
      </c>
      <c r="I481" s="15" t="str">
        <f t="shared" si="86"/>
        <v/>
      </c>
      <c r="J481" s="20" t="str">
        <f t="shared" si="87"/>
        <v/>
      </c>
      <c r="K481" s="15" t="str">
        <f t="shared" si="88"/>
        <v/>
      </c>
      <c r="L481" s="15" t="str">
        <f t="shared" si="89"/>
        <v/>
      </c>
      <c r="M481" s="15">
        <f t="shared" si="93"/>
        <v>5.2532572996782712E-2</v>
      </c>
      <c r="N481" s="15" t="str">
        <f t="shared" si="94"/>
        <v/>
      </c>
      <c r="O481" s="15" t="str">
        <f t="shared" si="95"/>
        <v/>
      </c>
      <c r="P481" s="18">
        <f>IF(SUMIFS('Daily NSE Equity Futures'!$J:$J,'Daily NSE Equity Futures'!$A:$A,$A481)=0,"",SUMIFS('Daily NSE Equity Futures'!$J:$J,'Daily NSE Equity Futures'!$A:$A,$A481))</f>
        <v>1849641</v>
      </c>
      <c r="Q481" s="7" t="str">
        <f>IF(SUMIFS('Daily BSE Equity Futures'!$J:$J,'Daily BSE Equity Futures'!$A:$A,$A481)=0,"",SUMIFS('Daily BSE Equity Futures'!$J:$J,'Daily BSE Equity Futures'!$A:$A,$A481))</f>
        <v/>
      </c>
      <c r="R481" s="7" t="str">
        <f t="shared" si="90"/>
        <v/>
      </c>
      <c r="S481" s="19" t="str">
        <f t="shared" si="91"/>
        <v/>
      </c>
      <c r="T481" s="19" t="str">
        <f t="shared" si="92"/>
        <v/>
      </c>
    </row>
    <row r="482" spans="1:20" x14ac:dyDescent="0.2">
      <c r="A482" s="9">
        <v>44628</v>
      </c>
      <c r="B482" s="4" t="s">
        <v>223</v>
      </c>
      <c r="C482" s="8">
        <v>44621</v>
      </c>
      <c r="D482" s="4" t="s">
        <v>180</v>
      </c>
      <c r="E482" s="14">
        <f>IF(SUMIFS('Daily NSE Equity Futures'!$I:$I,'Daily NSE Equity Futures'!$A:$A,$A482)=0,"",SUMIFS('Daily NSE Equity Futures'!$I:$I,'Daily NSE Equity Futures'!$A:$A,$A482))</f>
        <v>1338.2917</v>
      </c>
      <c r="F482" s="6">
        <f>IF(SUMIFS('Daily BSE Equity Futures'!$I:$I,'Daily BSE Equity Futures'!$A:$A,$A482)=0,"",SUMIFS('Daily BSE Equity Futures'!$I:$I,'Daily BSE Equity Futures'!$A:$A,$A482))</f>
        <v>3.3E-3</v>
      </c>
      <c r="G482" s="6">
        <f t="shared" si="84"/>
        <v>1338.2950000000001</v>
      </c>
      <c r="H482" s="15">
        <f t="shared" si="85"/>
        <v>0.99999753417594772</v>
      </c>
      <c r="I482" s="15">
        <f t="shared" si="86"/>
        <v>2.4658240522455809E-6</v>
      </c>
      <c r="J482" s="20">
        <f t="shared" si="87"/>
        <v>0.33645247410513646</v>
      </c>
      <c r="K482" s="15">
        <f t="shared" si="88"/>
        <v>-0.94803149606299209</v>
      </c>
      <c r="L482" s="15">
        <f t="shared" si="89"/>
        <v>0.33637102663295648</v>
      </c>
      <c r="M482" s="15">
        <f t="shared" si="93"/>
        <v>-7.2102516655647708E-3</v>
      </c>
      <c r="N482" s="15" t="str">
        <f t="shared" si="94"/>
        <v/>
      </c>
      <c r="O482" s="15" t="str">
        <f t="shared" si="95"/>
        <v/>
      </c>
      <c r="P482" s="18">
        <f>IF(SUMIFS('Daily NSE Equity Futures'!$J:$J,'Daily NSE Equity Futures'!$A:$A,$A482)=0,"",SUMIFS('Daily NSE Equity Futures'!$J:$J,'Daily NSE Equity Futures'!$A:$A,$A482))</f>
        <v>1840741</v>
      </c>
      <c r="Q482" s="7">
        <f>IF(SUMIFS('Daily BSE Equity Futures'!$J:$J,'Daily BSE Equity Futures'!$A:$A,$A482)=0,"",SUMIFS('Daily BSE Equity Futures'!$J:$J,'Daily BSE Equity Futures'!$A:$A,$A482))</f>
        <v>4</v>
      </c>
      <c r="R482" s="7">
        <f t="shared" si="90"/>
        <v>1840745</v>
      </c>
      <c r="S482" s="19">
        <f t="shared" si="91"/>
        <v>0.99999782696679873</v>
      </c>
      <c r="T482" s="19">
        <f t="shared" si="92"/>
        <v>2.1730332012310234E-6</v>
      </c>
    </row>
    <row r="483" spans="1:20" x14ac:dyDescent="0.2">
      <c r="A483" s="9">
        <v>44629</v>
      </c>
      <c r="B483" s="4" t="s">
        <v>221</v>
      </c>
      <c r="C483" s="8">
        <v>44621</v>
      </c>
      <c r="D483" s="4" t="s">
        <v>180</v>
      </c>
      <c r="E483" s="14">
        <f>IF(SUMIFS('Daily NSE Equity Futures'!$I:$I,'Daily NSE Equity Futures'!$A:$A,$A483)=0,"",SUMIFS('Daily NSE Equity Futures'!$I:$I,'Daily NSE Equity Futures'!$A:$A,$A483))</f>
        <v>1187.2170000000001</v>
      </c>
      <c r="F483" s="6">
        <f>IF(SUMIFS('Daily BSE Equity Futures'!$I:$I,'Daily BSE Equity Futures'!$A:$A,$A483)=0,"",SUMIFS('Daily BSE Equity Futures'!$I:$I,'Daily BSE Equity Futures'!$A:$A,$A483))</f>
        <v>3.3999999999999998E-3</v>
      </c>
      <c r="G483" s="6">
        <f t="shared" si="84"/>
        <v>1187.2204000000002</v>
      </c>
      <c r="H483" s="15">
        <f t="shared" si="85"/>
        <v>0.99999713616780839</v>
      </c>
      <c r="I483" s="15">
        <f t="shared" si="86"/>
        <v>2.8638321915627454E-6</v>
      </c>
      <c r="J483" s="20">
        <f t="shared" si="87"/>
        <v>0.11596718246196969</v>
      </c>
      <c r="K483" s="15">
        <f t="shared" si="88"/>
        <v>-0.97264682220434429</v>
      </c>
      <c r="L483" s="15">
        <f t="shared" si="89"/>
        <v>0.1158400033985918</v>
      </c>
      <c r="M483" s="15">
        <f t="shared" si="93"/>
        <v>-0.11288622652296199</v>
      </c>
      <c r="N483" s="15">
        <f t="shared" si="94"/>
        <v>3.0303030303030276E-2</v>
      </c>
      <c r="O483" s="15">
        <f t="shared" si="95"/>
        <v>-0.11288587344344847</v>
      </c>
      <c r="P483" s="18">
        <f>IF(SUMIFS('Daily NSE Equity Futures'!$J:$J,'Daily NSE Equity Futures'!$A:$A,$A483)=0,"",SUMIFS('Daily NSE Equity Futures'!$J:$J,'Daily NSE Equity Futures'!$A:$A,$A483))</f>
        <v>1632738</v>
      </c>
      <c r="Q483" s="7">
        <f>IF(SUMIFS('Daily BSE Equity Futures'!$J:$J,'Daily BSE Equity Futures'!$A:$A,$A483)=0,"",SUMIFS('Daily BSE Equity Futures'!$J:$J,'Daily BSE Equity Futures'!$A:$A,$A483))</f>
        <v>4</v>
      </c>
      <c r="R483" s="7">
        <f t="shared" si="90"/>
        <v>1632742</v>
      </c>
      <c r="S483" s="19">
        <f t="shared" si="91"/>
        <v>0.99999755013345648</v>
      </c>
      <c r="T483" s="19">
        <f t="shared" si="92"/>
        <v>2.4498665435200417E-6</v>
      </c>
    </row>
    <row r="484" spans="1:20" x14ac:dyDescent="0.2">
      <c r="A484" s="9">
        <v>44630</v>
      </c>
      <c r="B484" s="4" t="s">
        <v>224</v>
      </c>
      <c r="C484" s="8">
        <v>44621</v>
      </c>
      <c r="D484" s="4" t="s">
        <v>180</v>
      </c>
      <c r="E484" s="14">
        <f>IF(SUMIFS('Daily NSE Equity Futures'!$I:$I,'Daily NSE Equity Futures'!$A:$A,$A484)=0,"",SUMIFS('Daily NSE Equity Futures'!$I:$I,'Daily NSE Equity Futures'!$A:$A,$A484))</f>
        <v>1418.0252</v>
      </c>
      <c r="F484" s="6">
        <f>IF(SUMIFS('Daily BSE Equity Futures'!$I:$I,'Daily BSE Equity Futures'!$A:$A,$A484)=0,"",SUMIFS('Daily BSE Equity Futures'!$I:$I,'Daily BSE Equity Futures'!$A:$A,$A484))</f>
        <v>1.6999999999999999E-3</v>
      </c>
      <c r="G484" s="6">
        <f t="shared" si="84"/>
        <v>1418.0269000000001</v>
      </c>
      <c r="H484" s="15">
        <f t="shared" si="85"/>
        <v>0.99999880115109241</v>
      </c>
      <c r="I484" s="15">
        <f t="shared" si="86"/>
        <v>1.1988489075912452E-6</v>
      </c>
      <c r="J484" s="20">
        <f t="shared" si="87"/>
        <v>0.7925706472657843</v>
      </c>
      <c r="K484" s="15">
        <f t="shared" si="88"/>
        <v>-0.98098434004474278</v>
      </c>
      <c r="L484" s="15">
        <f t="shared" si="89"/>
        <v>0.79237023447752164</v>
      </c>
      <c r="M484" s="15">
        <f t="shared" si="93"/>
        <v>0.19441113124222431</v>
      </c>
      <c r="N484" s="15">
        <f t="shared" si="94"/>
        <v>-0.5</v>
      </c>
      <c r="O484" s="15">
        <f t="shared" si="95"/>
        <v>0.19440914256527253</v>
      </c>
      <c r="P484" s="18">
        <f>IF(SUMIFS('Daily NSE Equity Futures'!$J:$J,'Daily NSE Equity Futures'!$A:$A,$A484)=0,"",SUMIFS('Daily NSE Equity Futures'!$J:$J,'Daily NSE Equity Futures'!$A:$A,$A484))</f>
        <v>1869281</v>
      </c>
      <c r="Q484" s="7">
        <f>IF(SUMIFS('Daily BSE Equity Futures'!$J:$J,'Daily BSE Equity Futures'!$A:$A,$A484)=0,"",SUMIFS('Daily BSE Equity Futures'!$J:$J,'Daily BSE Equity Futures'!$A:$A,$A484))</f>
        <v>2</v>
      </c>
      <c r="R484" s="7">
        <f t="shared" si="90"/>
        <v>1869283</v>
      </c>
      <c r="S484" s="19">
        <f t="shared" si="91"/>
        <v>0.99999893007104868</v>
      </c>
      <c r="T484" s="19">
        <f t="shared" si="92"/>
        <v>1.0699289513679844E-6</v>
      </c>
    </row>
    <row r="485" spans="1:20" x14ac:dyDescent="0.2">
      <c r="A485" s="9">
        <v>44631</v>
      </c>
      <c r="B485" s="4" t="s">
        <v>222</v>
      </c>
      <c r="C485" s="8">
        <v>44621</v>
      </c>
      <c r="D485" s="4" t="s">
        <v>180</v>
      </c>
      <c r="E485" s="14">
        <f>IF(SUMIFS('Daily NSE Equity Futures'!$I:$I,'Daily NSE Equity Futures'!$A:$A,$A485)=0,"",SUMIFS('Daily NSE Equity Futures'!$I:$I,'Daily NSE Equity Futures'!$A:$A,$A485))</f>
        <v>952.63919999999996</v>
      </c>
      <c r="F485" s="6">
        <f>IF(SUMIFS('Daily BSE Equity Futures'!$I:$I,'Daily BSE Equity Futures'!$A:$A,$A485)=0,"",SUMIFS('Daily BSE Equity Futures'!$I:$I,'Daily BSE Equity Futures'!$A:$A,$A485))</f>
        <v>1.6999999999999999E-3</v>
      </c>
      <c r="G485" s="6">
        <f t="shared" si="84"/>
        <v>952.64089999999999</v>
      </c>
      <c r="H485" s="15">
        <f t="shared" si="85"/>
        <v>0.9999982154870739</v>
      </c>
      <c r="I485" s="15">
        <f t="shared" si="86"/>
        <v>1.7845129261193803E-6</v>
      </c>
      <c r="J485" s="20" t="str">
        <f t="shared" si="87"/>
        <v/>
      </c>
      <c r="K485" s="15" t="str">
        <f t="shared" si="88"/>
        <v/>
      </c>
      <c r="L485" s="15" t="str">
        <f t="shared" si="89"/>
        <v/>
      </c>
      <c r="M485" s="15">
        <f t="shared" si="93"/>
        <v>-0.32819303916460729</v>
      </c>
      <c r="N485" s="15">
        <f t="shared" si="94"/>
        <v>0</v>
      </c>
      <c r="O485" s="15">
        <f t="shared" si="95"/>
        <v>-0.3281926457107408</v>
      </c>
      <c r="P485" s="18">
        <f>IF(SUMIFS('Daily NSE Equity Futures'!$J:$J,'Daily NSE Equity Futures'!$A:$A,$A485)=0,"",SUMIFS('Daily NSE Equity Futures'!$J:$J,'Daily NSE Equity Futures'!$A:$A,$A485))</f>
        <v>1262641</v>
      </c>
      <c r="Q485" s="7">
        <f>IF(SUMIFS('Daily BSE Equity Futures'!$J:$J,'Daily BSE Equity Futures'!$A:$A,$A485)=0,"",SUMIFS('Daily BSE Equity Futures'!$J:$J,'Daily BSE Equity Futures'!$A:$A,$A485))</f>
        <v>2</v>
      </c>
      <c r="R485" s="7">
        <f t="shared" si="90"/>
        <v>1262643</v>
      </c>
      <c r="S485" s="19">
        <f t="shared" si="91"/>
        <v>0.99999841602099726</v>
      </c>
      <c r="T485" s="19">
        <f t="shared" si="92"/>
        <v>1.5839790027743392E-6</v>
      </c>
    </row>
    <row r="486" spans="1:20" x14ac:dyDescent="0.2">
      <c r="A486" s="9">
        <v>44634</v>
      </c>
      <c r="B486" s="4" t="s">
        <v>225</v>
      </c>
      <c r="C486" s="8">
        <v>44621</v>
      </c>
      <c r="D486" s="4" t="s">
        <v>180</v>
      </c>
      <c r="E486" s="14">
        <f>IF(SUMIFS('Daily NSE Equity Futures'!$I:$I,'Daily NSE Equity Futures'!$A:$A,$A486)=0,"",SUMIFS('Daily NSE Equity Futures'!$I:$I,'Daily NSE Equity Futures'!$A:$A,$A486))</f>
        <v>967.24990000000003</v>
      </c>
      <c r="F486" s="6">
        <f>IF(SUMIFS('Daily BSE Equity Futures'!$I:$I,'Daily BSE Equity Futures'!$A:$A,$A486)=0,"",SUMIFS('Daily BSE Equity Futures'!$I:$I,'Daily BSE Equity Futures'!$A:$A,$A486))</f>
        <v>2.5999999999999999E-3</v>
      </c>
      <c r="G486" s="6">
        <f t="shared" si="84"/>
        <v>967.25250000000005</v>
      </c>
      <c r="H486" s="15">
        <f t="shared" si="85"/>
        <v>0.9999973119738641</v>
      </c>
      <c r="I486" s="15">
        <f t="shared" si="86"/>
        <v>2.6880261358848902E-6</v>
      </c>
      <c r="J486" s="20" t="str">
        <f t="shared" si="87"/>
        <v/>
      </c>
      <c r="K486" s="15" t="str">
        <f t="shared" si="88"/>
        <v/>
      </c>
      <c r="L486" s="15" t="str">
        <f t="shared" si="89"/>
        <v/>
      </c>
      <c r="M486" s="15">
        <f t="shared" si="93"/>
        <v>1.5337076198418176E-2</v>
      </c>
      <c r="N486" s="15">
        <f t="shared" si="94"/>
        <v>0.52941176470588247</v>
      </c>
      <c r="O486" s="15">
        <f t="shared" si="95"/>
        <v>1.5337993571344688E-2</v>
      </c>
      <c r="P486" s="18">
        <f>IF(SUMIFS('Daily NSE Equity Futures'!$J:$J,'Daily NSE Equity Futures'!$A:$A,$A486)=0,"",SUMIFS('Daily NSE Equity Futures'!$J:$J,'Daily NSE Equity Futures'!$A:$A,$A486))</f>
        <v>1317257</v>
      </c>
      <c r="Q486" s="7">
        <f>IF(SUMIFS('Daily BSE Equity Futures'!$J:$J,'Daily BSE Equity Futures'!$A:$A,$A486)=0,"",SUMIFS('Daily BSE Equity Futures'!$J:$J,'Daily BSE Equity Futures'!$A:$A,$A486))</f>
        <v>3</v>
      </c>
      <c r="R486" s="7">
        <f t="shared" si="90"/>
        <v>1317260</v>
      </c>
      <c r="S486" s="19">
        <f t="shared" si="91"/>
        <v>0.99999772254528341</v>
      </c>
      <c r="T486" s="19">
        <f t="shared" si="92"/>
        <v>2.277454716608718E-6</v>
      </c>
    </row>
    <row r="487" spans="1:20" x14ac:dyDescent="0.2">
      <c r="A487" s="9">
        <v>44635</v>
      </c>
      <c r="B487" s="4" t="s">
        <v>223</v>
      </c>
      <c r="C487" s="8">
        <v>44621</v>
      </c>
      <c r="D487" s="4" t="s">
        <v>180</v>
      </c>
      <c r="E487" s="14">
        <f>IF(SUMIFS('Daily NSE Equity Futures'!$I:$I,'Daily NSE Equity Futures'!$A:$A,$A487)=0,"",SUMIFS('Daily NSE Equity Futures'!$I:$I,'Daily NSE Equity Futures'!$A:$A,$A487))</f>
        <v>1157.6735000000001</v>
      </c>
      <c r="F487" s="6">
        <f>IF(SUMIFS('Daily BSE Equity Futures'!$I:$I,'Daily BSE Equity Futures'!$A:$A,$A487)=0,"",SUMIFS('Daily BSE Equity Futures'!$I:$I,'Daily BSE Equity Futures'!$A:$A,$A487))</f>
        <v>2.5999999999999999E-3</v>
      </c>
      <c r="G487" s="6">
        <f t="shared" si="84"/>
        <v>1157.6761000000001</v>
      </c>
      <c r="H487" s="15">
        <f t="shared" si="85"/>
        <v>0.99999775412138159</v>
      </c>
      <c r="I487" s="15">
        <f t="shared" si="86"/>
        <v>2.2458786183803912E-6</v>
      </c>
      <c r="J487" s="20">
        <f t="shared" si="87"/>
        <v>0.12577040506782367</v>
      </c>
      <c r="K487" s="15">
        <f t="shared" si="88"/>
        <v>-0.97219251336898393</v>
      </c>
      <c r="L487" s="15">
        <f t="shared" si="89"/>
        <v>0.12567058369611872</v>
      </c>
      <c r="M487" s="15">
        <f t="shared" si="93"/>
        <v>0.19687114984452325</v>
      </c>
      <c r="N487" s="15">
        <f t="shared" si="94"/>
        <v>0</v>
      </c>
      <c r="O487" s="15">
        <f t="shared" si="95"/>
        <v>0.19687062064972705</v>
      </c>
      <c r="P487" s="18">
        <f>IF(SUMIFS('Daily NSE Equity Futures'!$J:$J,'Daily NSE Equity Futures'!$A:$A,$A487)=0,"",SUMIFS('Daily NSE Equity Futures'!$J:$J,'Daily NSE Equity Futures'!$A:$A,$A487))</f>
        <v>1548727</v>
      </c>
      <c r="Q487" s="7">
        <f>IF(SUMIFS('Daily BSE Equity Futures'!$J:$J,'Daily BSE Equity Futures'!$A:$A,$A487)=0,"",SUMIFS('Daily BSE Equity Futures'!$J:$J,'Daily BSE Equity Futures'!$A:$A,$A487))</f>
        <v>3</v>
      </c>
      <c r="R487" s="7">
        <f t="shared" si="90"/>
        <v>1548730</v>
      </c>
      <c r="S487" s="19">
        <f t="shared" si="91"/>
        <v>0.99999806292898052</v>
      </c>
      <c r="T487" s="19">
        <f t="shared" si="92"/>
        <v>1.9370710194804774E-6</v>
      </c>
    </row>
    <row r="488" spans="1:20" x14ac:dyDescent="0.2">
      <c r="A488" s="9">
        <v>44636</v>
      </c>
      <c r="B488" s="4" t="s">
        <v>221</v>
      </c>
      <c r="C488" s="8">
        <v>44621</v>
      </c>
      <c r="D488" s="4" t="s">
        <v>180</v>
      </c>
      <c r="E488" s="14">
        <f>IF(SUMIFS('Daily NSE Equity Futures'!$I:$I,'Daily NSE Equity Futures'!$A:$A,$A488)=0,"",SUMIFS('Daily NSE Equity Futures'!$I:$I,'Daily NSE Equity Futures'!$A:$A,$A488))</f>
        <v>923.6327</v>
      </c>
      <c r="F488" s="6">
        <f>IF(SUMIFS('Daily BSE Equity Futures'!$I:$I,'Daily BSE Equity Futures'!$A:$A,$A488)=0,"",SUMIFS('Daily BSE Equity Futures'!$I:$I,'Daily BSE Equity Futures'!$A:$A,$A488))</f>
        <v>8.9999999999999998E-4</v>
      </c>
      <c r="G488" s="6">
        <f t="shared" si="84"/>
        <v>923.6336</v>
      </c>
      <c r="H488" s="15">
        <f t="shared" si="85"/>
        <v>0.99999902558763565</v>
      </c>
      <c r="I488" s="15">
        <f t="shared" si="86"/>
        <v>9.7441236438345256E-7</v>
      </c>
      <c r="J488" s="20">
        <f t="shared" si="87"/>
        <v>-1.9454674789565196E-3</v>
      </c>
      <c r="K488" s="15">
        <f t="shared" si="88"/>
        <v>-0.96678966789667897</v>
      </c>
      <c r="L488" s="15">
        <f t="shared" si="89"/>
        <v>-1.9737207499577192E-3</v>
      </c>
      <c r="M488" s="15">
        <f t="shared" si="93"/>
        <v>-0.20216477271009492</v>
      </c>
      <c r="N488" s="15">
        <f t="shared" si="94"/>
        <v>-0.65384615384615385</v>
      </c>
      <c r="O488" s="15">
        <f t="shared" si="95"/>
        <v>-0.20216578713165112</v>
      </c>
      <c r="P488" s="18">
        <f>IF(SUMIFS('Daily NSE Equity Futures'!$J:$J,'Daily NSE Equity Futures'!$A:$A,$A488)=0,"",SUMIFS('Daily NSE Equity Futures'!$J:$J,'Daily NSE Equity Futures'!$A:$A,$A488))</f>
        <v>1233370</v>
      </c>
      <c r="Q488" s="7">
        <f>IF(SUMIFS('Daily BSE Equity Futures'!$J:$J,'Daily BSE Equity Futures'!$A:$A,$A488)=0,"",SUMIFS('Daily BSE Equity Futures'!$J:$J,'Daily BSE Equity Futures'!$A:$A,$A488))</f>
        <v>1</v>
      </c>
      <c r="R488" s="7">
        <f t="shared" si="90"/>
        <v>1233371</v>
      </c>
      <c r="S488" s="19">
        <f t="shared" si="91"/>
        <v>0.99999918921395103</v>
      </c>
      <c r="T488" s="19">
        <f t="shared" si="92"/>
        <v>8.1078604896661265E-7</v>
      </c>
    </row>
    <row r="489" spans="1:20" x14ac:dyDescent="0.2">
      <c r="A489" s="9">
        <v>44637</v>
      </c>
      <c r="B489" s="4" t="s">
        <v>224</v>
      </c>
      <c r="C489" s="8">
        <v>44621</v>
      </c>
      <c r="D489" s="4" t="s">
        <v>180</v>
      </c>
      <c r="E489" s="14">
        <f>IF(SUMIFS('Daily NSE Equity Futures'!$I:$I,'Daily NSE Equity Futures'!$A:$A,$A489)=0,"",SUMIFS('Daily NSE Equity Futures'!$I:$I,'Daily NSE Equity Futures'!$A:$A,$A489))</f>
        <v>1214.9448</v>
      </c>
      <c r="F489" s="6">
        <f>IF(SUMIFS('Daily BSE Equity Futures'!$I:$I,'Daily BSE Equity Futures'!$A:$A,$A489)=0,"",SUMIFS('Daily BSE Equity Futures'!$I:$I,'Daily BSE Equity Futures'!$A:$A,$A489))</f>
        <v>1.8E-3</v>
      </c>
      <c r="G489" s="6">
        <f t="shared" si="84"/>
        <v>1214.9466</v>
      </c>
      <c r="H489" s="15">
        <f t="shared" si="85"/>
        <v>0.9999985184534036</v>
      </c>
      <c r="I489" s="15">
        <f t="shared" si="86"/>
        <v>1.4815465963689269E-6</v>
      </c>
      <c r="J489" s="20">
        <f t="shared" si="87"/>
        <v>0.22821206959699358</v>
      </c>
      <c r="K489" s="15">
        <f t="shared" si="88"/>
        <v>-0.95588235294117652</v>
      </c>
      <c r="L489" s="15">
        <f t="shared" si="89"/>
        <v>0.2281632329992751</v>
      </c>
      <c r="M489" s="15">
        <f t="shared" si="93"/>
        <v>0.31539820969959154</v>
      </c>
      <c r="N489" s="15">
        <f t="shared" si="94"/>
        <v>1</v>
      </c>
      <c r="O489" s="15">
        <f t="shared" si="95"/>
        <v>0.31539887678404077</v>
      </c>
      <c r="P489" s="18">
        <f>IF(SUMIFS('Daily NSE Equity Futures'!$J:$J,'Daily NSE Equity Futures'!$A:$A,$A489)=0,"",SUMIFS('Daily NSE Equity Futures'!$J:$J,'Daily NSE Equity Futures'!$A:$A,$A489))</f>
        <v>1598818</v>
      </c>
      <c r="Q489" s="7">
        <f>IF(SUMIFS('Daily BSE Equity Futures'!$J:$J,'Daily BSE Equity Futures'!$A:$A,$A489)=0,"",SUMIFS('Daily BSE Equity Futures'!$J:$J,'Daily BSE Equity Futures'!$A:$A,$A489))</f>
        <v>2</v>
      </c>
      <c r="R489" s="7">
        <f t="shared" si="90"/>
        <v>1598820</v>
      </c>
      <c r="S489" s="19">
        <f t="shared" si="91"/>
        <v>0.99999874907744457</v>
      </c>
      <c r="T489" s="19">
        <f t="shared" si="92"/>
        <v>1.2509225553845961E-6</v>
      </c>
    </row>
    <row r="490" spans="1:20" x14ac:dyDescent="0.2">
      <c r="A490" s="9">
        <v>44641</v>
      </c>
      <c r="B490" s="4" t="s">
        <v>225</v>
      </c>
      <c r="C490" s="8">
        <v>44621</v>
      </c>
      <c r="D490" s="4" t="s">
        <v>180</v>
      </c>
      <c r="E490" s="14">
        <f>IF(SUMIFS('Daily NSE Equity Futures'!$I:$I,'Daily NSE Equity Futures'!$A:$A,$A490)=0,"",SUMIFS('Daily NSE Equity Futures'!$I:$I,'Daily NSE Equity Futures'!$A:$A,$A490))</f>
        <v>968.41340000000002</v>
      </c>
      <c r="F490" s="6" t="str">
        <f>IF(SUMIFS('Daily BSE Equity Futures'!$I:$I,'Daily BSE Equity Futures'!$A:$A,$A490)=0,"",SUMIFS('Daily BSE Equity Futures'!$I:$I,'Daily BSE Equity Futures'!$A:$A,$A490))</f>
        <v/>
      </c>
      <c r="G490" s="6" t="str">
        <f t="shared" si="84"/>
        <v/>
      </c>
      <c r="H490" s="15" t="str">
        <f t="shared" si="85"/>
        <v/>
      </c>
      <c r="I490" s="15" t="str">
        <f t="shared" si="86"/>
        <v/>
      </c>
      <c r="J490" s="20" t="str">
        <f t="shared" si="87"/>
        <v/>
      </c>
      <c r="K490" s="15" t="str">
        <f t="shared" si="88"/>
        <v/>
      </c>
      <c r="L490" s="15" t="str">
        <f t="shared" si="89"/>
        <v/>
      </c>
      <c r="M490" s="15">
        <f t="shared" si="93"/>
        <v>-0.20291572094468813</v>
      </c>
      <c r="N490" s="15" t="str">
        <f t="shared" si="94"/>
        <v/>
      </c>
      <c r="O490" s="15" t="str">
        <f t="shared" si="95"/>
        <v/>
      </c>
      <c r="P490" s="18">
        <f>IF(SUMIFS('Daily NSE Equity Futures'!$J:$J,'Daily NSE Equity Futures'!$A:$A,$A490)=0,"",SUMIFS('Daily NSE Equity Futures'!$J:$J,'Daily NSE Equity Futures'!$A:$A,$A490))</f>
        <v>1275408</v>
      </c>
      <c r="Q490" s="7" t="str">
        <f>IF(SUMIFS('Daily BSE Equity Futures'!$J:$J,'Daily BSE Equity Futures'!$A:$A,$A490)=0,"",SUMIFS('Daily BSE Equity Futures'!$J:$J,'Daily BSE Equity Futures'!$A:$A,$A490))</f>
        <v/>
      </c>
      <c r="R490" s="7" t="str">
        <f t="shared" si="90"/>
        <v/>
      </c>
      <c r="S490" s="19" t="str">
        <f t="shared" si="91"/>
        <v/>
      </c>
      <c r="T490" s="19" t="str">
        <f t="shared" si="92"/>
        <v/>
      </c>
    </row>
    <row r="491" spans="1:20" x14ac:dyDescent="0.2">
      <c r="A491" s="9">
        <v>44642</v>
      </c>
      <c r="B491" s="4" t="s">
        <v>223</v>
      </c>
      <c r="C491" s="8">
        <v>44621</v>
      </c>
      <c r="D491" s="4" t="s">
        <v>180</v>
      </c>
      <c r="E491" s="14">
        <f>IF(SUMIFS('Daily NSE Equity Futures'!$I:$I,'Daily NSE Equity Futures'!$A:$A,$A491)=0,"",SUMIFS('Daily NSE Equity Futures'!$I:$I,'Daily NSE Equity Futures'!$A:$A,$A491))</f>
        <v>1217.1902</v>
      </c>
      <c r="F491" s="6">
        <f>IF(SUMIFS('Daily BSE Equity Futures'!$I:$I,'Daily BSE Equity Futures'!$A:$A,$A491)=0,"",SUMIFS('Daily BSE Equity Futures'!$I:$I,'Daily BSE Equity Futures'!$A:$A,$A491))</f>
        <v>2.7000000000000001E-3</v>
      </c>
      <c r="G491" s="6">
        <f t="shared" si="84"/>
        <v>1217.1929</v>
      </c>
      <c r="H491" s="15">
        <f t="shared" si="85"/>
        <v>0.99999778178134291</v>
      </c>
      <c r="I491" s="15">
        <f t="shared" si="86"/>
        <v>2.2182186570427743E-6</v>
      </c>
      <c r="J491" s="20">
        <f t="shared" si="87"/>
        <v>-0.26248333651540934</v>
      </c>
      <c r="K491" s="15">
        <f t="shared" si="88"/>
        <v>-0.84393063583815031</v>
      </c>
      <c r="L491" s="15">
        <f t="shared" si="89"/>
        <v>-0.26248943139736292</v>
      </c>
      <c r="M491" s="15">
        <f t="shared" si="93"/>
        <v>0.25689111695480471</v>
      </c>
      <c r="N491" s="15" t="str">
        <f t="shared" si="94"/>
        <v/>
      </c>
      <c r="O491" s="15" t="str">
        <f t="shared" si="95"/>
        <v/>
      </c>
      <c r="P491" s="18">
        <f>IF(SUMIFS('Daily NSE Equity Futures'!$J:$J,'Daily NSE Equity Futures'!$A:$A,$A491)=0,"",SUMIFS('Daily NSE Equity Futures'!$J:$J,'Daily NSE Equity Futures'!$A:$A,$A491))</f>
        <v>1600379</v>
      </c>
      <c r="Q491" s="7">
        <f>IF(SUMIFS('Daily BSE Equity Futures'!$J:$J,'Daily BSE Equity Futures'!$A:$A,$A491)=0,"",SUMIFS('Daily BSE Equity Futures'!$J:$J,'Daily BSE Equity Futures'!$A:$A,$A491))</f>
        <v>3</v>
      </c>
      <c r="R491" s="7">
        <f t="shared" si="90"/>
        <v>1600382</v>
      </c>
      <c r="S491" s="19">
        <f t="shared" si="91"/>
        <v>0.9999981254475494</v>
      </c>
      <c r="T491" s="19">
        <f t="shared" si="92"/>
        <v>1.8745524506024186E-6</v>
      </c>
    </row>
    <row r="492" spans="1:20" x14ac:dyDescent="0.2">
      <c r="A492" s="9">
        <v>44643</v>
      </c>
      <c r="B492" s="4" t="s">
        <v>221</v>
      </c>
      <c r="C492" s="8">
        <v>44621</v>
      </c>
      <c r="D492" s="4" t="s">
        <v>180</v>
      </c>
      <c r="E492" s="14">
        <f>IF(SUMIFS('Daily NSE Equity Futures'!$I:$I,'Daily NSE Equity Futures'!$A:$A,$A492)=0,"",SUMIFS('Daily NSE Equity Futures'!$I:$I,'Daily NSE Equity Futures'!$A:$A,$A492))</f>
        <v>1205.4856</v>
      </c>
      <c r="F492" s="6">
        <f>IF(SUMIFS('Daily BSE Equity Futures'!$I:$I,'Daily BSE Equity Futures'!$A:$A,$A492)=0,"",SUMIFS('Daily BSE Equity Futures'!$I:$I,'Daily BSE Equity Futures'!$A:$A,$A492))</f>
        <v>3.5999999999999999E-3</v>
      </c>
      <c r="G492" s="6">
        <f t="shared" si="84"/>
        <v>1205.4892</v>
      </c>
      <c r="H492" s="15">
        <f t="shared" si="85"/>
        <v>0.9999970136605123</v>
      </c>
      <c r="I492" s="15">
        <f t="shared" si="86"/>
        <v>2.9863394877365967E-6</v>
      </c>
      <c r="J492" s="20">
        <f t="shared" si="87"/>
        <v>-0.36307068795157871</v>
      </c>
      <c r="K492" s="15">
        <f t="shared" si="88"/>
        <v>-0.87096774193548387</v>
      </c>
      <c r="L492" s="15">
        <f t="shared" si="89"/>
        <v>-0.36307817486315708</v>
      </c>
      <c r="M492" s="15">
        <f t="shared" si="93"/>
        <v>-9.6160813650980614E-3</v>
      </c>
      <c r="N492" s="15">
        <f t="shared" si="94"/>
        <v>0.33333333333333326</v>
      </c>
      <c r="O492" s="15">
        <f t="shared" si="95"/>
        <v>-9.615320628307944E-3</v>
      </c>
      <c r="P492" s="18">
        <f>IF(SUMIFS('Daily NSE Equity Futures'!$J:$J,'Daily NSE Equity Futures'!$A:$A,$A492)=0,"",SUMIFS('Daily NSE Equity Futures'!$J:$J,'Daily NSE Equity Futures'!$A:$A,$A492))</f>
        <v>1568184</v>
      </c>
      <c r="Q492" s="7">
        <f>IF(SUMIFS('Daily BSE Equity Futures'!$J:$J,'Daily BSE Equity Futures'!$A:$A,$A492)=0,"",SUMIFS('Daily BSE Equity Futures'!$J:$J,'Daily BSE Equity Futures'!$A:$A,$A492))</f>
        <v>4</v>
      </c>
      <c r="R492" s="7">
        <f t="shared" si="90"/>
        <v>1568188</v>
      </c>
      <c r="S492" s="19">
        <f t="shared" si="91"/>
        <v>0.99999744928541734</v>
      </c>
      <c r="T492" s="19">
        <f t="shared" si="92"/>
        <v>2.5507145826903409E-6</v>
      </c>
    </row>
    <row r="493" spans="1:20" x14ac:dyDescent="0.2">
      <c r="A493" s="9">
        <v>44644</v>
      </c>
      <c r="B493" s="4" t="s">
        <v>224</v>
      </c>
      <c r="C493" s="8">
        <v>44621</v>
      </c>
      <c r="D493" s="4" t="s">
        <v>180</v>
      </c>
      <c r="E493" s="14">
        <f>IF(SUMIFS('Daily NSE Equity Futures'!$I:$I,'Daily NSE Equity Futures'!$A:$A,$A493)=0,"",SUMIFS('Daily NSE Equity Futures'!$I:$I,'Daily NSE Equity Futures'!$A:$A,$A493))</f>
        <v>1169.0948000000001</v>
      </c>
      <c r="F493" s="6">
        <f>IF(SUMIFS('Daily BSE Equity Futures'!$I:$I,'Daily BSE Equity Futures'!$A:$A,$A493)=0,"",SUMIFS('Daily BSE Equity Futures'!$I:$I,'Daily BSE Equity Futures'!$A:$A,$A493))</f>
        <v>2.7000000000000001E-3</v>
      </c>
      <c r="G493" s="6">
        <f t="shared" si="84"/>
        <v>1169.0975000000001</v>
      </c>
      <c r="H493" s="15">
        <f t="shared" si="85"/>
        <v>0.99999769052623921</v>
      </c>
      <c r="I493" s="15">
        <f t="shared" si="86"/>
        <v>2.3094737607427951E-6</v>
      </c>
      <c r="J493" s="20">
        <f t="shared" si="87"/>
        <v>-0.31718891541129757</v>
      </c>
      <c r="K493" s="15">
        <f t="shared" si="88"/>
        <v>-0.9509981851179673</v>
      </c>
      <c r="L493" s="15">
        <f t="shared" si="89"/>
        <v>-0.31720931150711229</v>
      </c>
      <c r="M493" s="15">
        <f t="shared" si="93"/>
        <v>-3.018766877016188E-2</v>
      </c>
      <c r="N493" s="15">
        <f t="shared" si="94"/>
        <v>-0.24999999999999989</v>
      </c>
      <c r="O493" s="15">
        <f t="shared" si="95"/>
        <v>-3.0188325204406508E-2</v>
      </c>
      <c r="P493" s="18">
        <f>IF(SUMIFS('Daily NSE Equity Futures'!$J:$J,'Daily NSE Equity Futures'!$A:$A,$A493)=0,"",SUMIFS('Daily NSE Equity Futures'!$J:$J,'Daily NSE Equity Futures'!$A:$A,$A493))</f>
        <v>1501862</v>
      </c>
      <c r="Q493" s="7">
        <f>IF(SUMIFS('Daily BSE Equity Futures'!$J:$J,'Daily BSE Equity Futures'!$A:$A,$A493)=0,"",SUMIFS('Daily BSE Equity Futures'!$J:$J,'Daily BSE Equity Futures'!$A:$A,$A493))</f>
        <v>3</v>
      </c>
      <c r="R493" s="7">
        <f t="shared" si="90"/>
        <v>1501865</v>
      </c>
      <c r="S493" s="19">
        <f t="shared" si="91"/>
        <v>0.99999800248357873</v>
      </c>
      <c r="T493" s="19">
        <f t="shared" si="92"/>
        <v>1.9975164212495796E-6</v>
      </c>
    </row>
    <row r="494" spans="1:20" x14ac:dyDescent="0.2">
      <c r="A494" s="9">
        <v>44645</v>
      </c>
      <c r="B494" s="4" t="s">
        <v>222</v>
      </c>
      <c r="C494" s="8">
        <v>44621</v>
      </c>
      <c r="D494" s="4" t="s">
        <v>180</v>
      </c>
      <c r="E494" s="14">
        <f>IF(SUMIFS('Daily NSE Equity Futures'!$I:$I,'Daily NSE Equity Futures'!$A:$A,$A494)=0,"",SUMIFS('Daily NSE Equity Futures'!$I:$I,'Daily NSE Equity Futures'!$A:$A,$A494))</f>
        <v>1166.4612999999999</v>
      </c>
      <c r="F494" s="6">
        <f>IF(SUMIFS('Daily BSE Equity Futures'!$I:$I,'Daily BSE Equity Futures'!$A:$A,$A494)=0,"",SUMIFS('Daily BSE Equity Futures'!$I:$I,'Daily BSE Equity Futures'!$A:$A,$A494))</f>
        <v>1.8E-3</v>
      </c>
      <c r="G494" s="6">
        <f t="shared" si="84"/>
        <v>1166.4630999999999</v>
      </c>
      <c r="H494" s="15">
        <f t="shared" si="85"/>
        <v>0.99999845687360367</v>
      </c>
      <c r="I494" s="15">
        <f t="shared" si="86"/>
        <v>1.5431263963686465E-6</v>
      </c>
      <c r="J494" s="20">
        <f t="shared" si="87"/>
        <v>-0.45042657311719858</v>
      </c>
      <c r="K494" s="15">
        <f t="shared" si="88"/>
        <v>-0.99120234604105573</v>
      </c>
      <c r="L494" s="15">
        <f t="shared" si="89"/>
        <v>-0.45047869695497156</v>
      </c>
      <c r="M494" s="15">
        <f t="shared" si="93"/>
        <v>-2.2525974796911985E-3</v>
      </c>
      <c r="N494" s="15">
        <f t="shared" si="94"/>
        <v>-0.33333333333333337</v>
      </c>
      <c r="O494" s="15">
        <f t="shared" si="95"/>
        <v>-2.2533621019633632E-3</v>
      </c>
      <c r="P494" s="18">
        <f>IF(SUMIFS('Daily NSE Equity Futures'!$J:$J,'Daily NSE Equity Futures'!$A:$A,$A494)=0,"",SUMIFS('Daily NSE Equity Futures'!$J:$J,'Daily NSE Equity Futures'!$A:$A,$A494))</f>
        <v>1550640</v>
      </c>
      <c r="Q494" s="7">
        <f>IF(SUMIFS('Daily BSE Equity Futures'!$J:$J,'Daily BSE Equity Futures'!$A:$A,$A494)=0,"",SUMIFS('Daily BSE Equity Futures'!$J:$J,'Daily BSE Equity Futures'!$A:$A,$A494))</f>
        <v>2</v>
      </c>
      <c r="R494" s="7">
        <f t="shared" si="90"/>
        <v>1550642</v>
      </c>
      <c r="S494" s="19">
        <f t="shared" si="91"/>
        <v>0.99999871021164133</v>
      </c>
      <c r="T494" s="19">
        <f t="shared" si="92"/>
        <v>1.2897883586282327E-6</v>
      </c>
    </row>
    <row r="495" spans="1:20" x14ac:dyDescent="0.2">
      <c r="A495" s="9">
        <v>44648</v>
      </c>
      <c r="B495" s="4" t="s">
        <v>225</v>
      </c>
      <c r="C495" s="8">
        <v>44621</v>
      </c>
      <c r="D495" s="4" t="s">
        <v>180</v>
      </c>
      <c r="E495" s="14">
        <f>IF(SUMIFS('Daily NSE Equity Futures'!$I:$I,'Daily NSE Equity Futures'!$A:$A,$A495)=0,"",SUMIFS('Daily NSE Equity Futures'!$I:$I,'Daily NSE Equity Futures'!$A:$A,$A495))</f>
        <v>1845.4563000000001</v>
      </c>
      <c r="F495" s="6">
        <f>IF(SUMIFS('Daily BSE Equity Futures'!$I:$I,'Daily BSE Equity Futures'!$A:$A,$A495)=0,"",SUMIFS('Daily BSE Equity Futures'!$I:$I,'Daily BSE Equity Futures'!$A:$A,$A495))</f>
        <v>1.8E-3</v>
      </c>
      <c r="G495" s="6">
        <f t="shared" si="84"/>
        <v>1845.4581000000001</v>
      </c>
      <c r="H495" s="15">
        <f t="shared" si="85"/>
        <v>0.99999902463242052</v>
      </c>
      <c r="I495" s="15">
        <f t="shared" si="86"/>
        <v>9.7536757946441592E-7</v>
      </c>
      <c r="J495" s="20" t="str">
        <f t="shared" si="87"/>
        <v/>
      </c>
      <c r="K495" s="15" t="str">
        <f t="shared" si="88"/>
        <v/>
      </c>
      <c r="L495" s="15" t="str">
        <f t="shared" si="89"/>
        <v/>
      </c>
      <c r="M495" s="15">
        <f t="shared" si="93"/>
        <v>0.5820981801968057</v>
      </c>
      <c r="N495" s="15">
        <f t="shared" si="94"/>
        <v>0</v>
      </c>
      <c r="O495" s="15">
        <f t="shared" si="95"/>
        <v>0.5820972819457384</v>
      </c>
      <c r="P495" s="18">
        <f>IF(SUMIFS('Daily NSE Equity Futures'!$J:$J,'Daily NSE Equity Futures'!$A:$A,$A495)=0,"",SUMIFS('Daily NSE Equity Futures'!$J:$J,'Daily NSE Equity Futures'!$A:$A,$A495))</f>
        <v>2484435</v>
      </c>
      <c r="Q495" s="7">
        <f>IF(SUMIFS('Daily BSE Equity Futures'!$J:$J,'Daily BSE Equity Futures'!$A:$A,$A495)=0,"",SUMIFS('Daily BSE Equity Futures'!$J:$J,'Daily BSE Equity Futures'!$A:$A,$A495))</f>
        <v>2</v>
      </c>
      <c r="R495" s="7">
        <f t="shared" si="90"/>
        <v>2484437</v>
      </c>
      <c r="S495" s="19">
        <f t="shared" si="91"/>
        <v>0.99999919498864331</v>
      </c>
      <c r="T495" s="19">
        <f t="shared" si="92"/>
        <v>8.0501135669771462E-7</v>
      </c>
    </row>
    <row r="496" spans="1:20" x14ac:dyDescent="0.2">
      <c r="A496" s="9">
        <v>44649</v>
      </c>
      <c r="B496" s="4" t="s">
        <v>223</v>
      </c>
      <c r="C496" s="8">
        <v>44621</v>
      </c>
      <c r="D496" s="4" t="s">
        <v>180</v>
      </c>
      <c r="E496" s="14">
        <f>IF(SUMIFS('Daily NSE Equity Futures'!$I:$I,'Daily NSE Equity Futures'!$A:$A,$A496)=0,"",SUMIFS('Daily NSE Equity Futures'!$I:$I,'Daily NSE Equity Futures'!$A:$A,$A496))</f>
        <v>1916.5346</v>
      </c>
      <c r="F496" s="6">
        <f>IF(SUMIFS('Daily BSE Equity Futures'!$I:$I,'Daily BSE Equity Futures'!$A:$A,$A496)=0,"",SUMIFS('Daily BSE Equity Futures'!$I:$I,'Daily BSE Equity Futures'!$A:$A,$A496))</f>
        <v>8.9999999999999998E-4</v>
      </c>
      <c r="G496" s="6">
        <f t="shared" si="84"/>
        <v>1916.5355</v>
      </c>
      <c r="H496" s="15">
        <f t="shared" si="85"/>
        <v>0.99999953040264578</v>
      </c>
      <c r="I496" s="15">
        <f t="shared" si="86"/>
        <v>4.6959735418415153E-7</v>
      </c>
      <c r="J496" s="20" t="str">
        <f t="shared" si="87"/>
        <v/>
      </c>
      <c r="K496" s="15" t="str">
        <f t="shared" si="88"/>
        <v/>
      </c>
      <c r="L496" s="15" t="str">
        <f t="shared" si="89"/>
        <v/>
      </c>
      <c r="M496" s="15">
        <f t="shared" si="93"/>
        <v>3.8515298357376437E-2</v>
      </c>
      <c r="N496" s="15">
        <f t="shared" si="94"/>
        <v>-0.5</v>
      </c>
      <c r="O496" s="15">
        <f t="shared" si="95"/>
        <v>3.8514773107013234E-2</v>
      </c>
      <c r="P496" s="18">
        <f>IF(SUMIFS('Daily NSE Equity Futures'!$J:$J,'Daily NSE Equity Futures'!$A:$A,$A496)=0,"",SUMIFS('Daily NSE Equity Futures'!$J:$J,'Daily NSE Equity Futures'!$A:$A,$A496))</f>
        <v>2625711</v>
      </c>
      <c r="Q496" s="7">
        <f>IF(SUMIFS('Daily BSE Equity Futures'!$J:$J,'Daily BSE Equity Futures'!$A:$A,$A496)=0,"",SUMIFS('Daily BSE Equity Futures'!$J:$J,'Daily BSE Equity Futures'!$A:$A,$A496))</f>
        <v>1</v>
      </c>
      <c r="R496" s="7">
        <f t="shared" si="90"/>
        <v>2625712</v>
      </c>
      <c r="S496" s="19">
        <f t="shared" si="91"/>
        <v>0.99999961915091984</v>
      </c>
      <c r="T496" s="19">
        <f t="shared" si="92"/>
        <v>3.8084908017330159E-7</v>
      </c>
    </row>
    <row r="497" spans="1:20" x14ac:dyDescent="0.2">
      <c r="A497" s="9">
        <v>44650</v>
      </c>
      <c r="B497" s="4" t="s">
        <v>221</v>
      </c>
      <c r="C497" s="8">
        <v>44621</v>
      </c>
      <c r="D497" s="4" t="s">
        <v>180</v>
      </c>
      <c r="E497" s="14">
        <f>IF(SUMIFS('Daily NSE Equity Futures'!$I:$I,'Daily NSE Equity Futures'!$A:$A,$A497)=0,"",SUMIFS('Daily NSE Equity Futures'!$I:$I,'Daily NSE Equity Futures'!$A:$A,$A497))</f>
        <v>2135.1824000000001</v>
      </c>
      <c r="F497" s="6">
        <f>IF(SUMIFS('Daily BSE Equity Futures'!$I:$I,'Daily BSE Equity Futures'!$A:$A,$A497)=0,"",SUMIFS('Daily BSE Equity Futures'!$I:$I,'Daily BSE Equity Futures'!$A:$A,$A497))</f>
        <v>8.9999999999999998E-4</v>
      </c>
      <c r="G497" s="6">
        <f t="shared" si="84"/>
        <v>2135.1833000000001</v>
      </c>
      <c r="H497" s="15">
        <f t="shared" si="85"/>
        <v>0.99999957849052112</v>
      </c>
      <c r="I497" s="15">
        <f t="shared" si="86"/>
        <v>4.2150947883490844E-7</v>
      </c>
      <c r="J497" s="20">
        <f t="shared" si="87"/>
        <v>1.238949186801332</v>
      </c>
      <c r="K497" s="15">
        <f t="shared" si="88"/>
        <v>-0.99629629629629635</v>
      </c>
      <c r="L497" s="15">
        <f t="shared" si="89"/>
        <v>1.2383797702225228</v>
      </c>
      <c r="M497" s="15">
        <f t="shared" si="93"/>
        <v>0.11408497399420825</v>
      </c>
      <c r="N497" s="15">
        <f t="shared" si="94"/>
        <v>0</v>
      </c>
      <c r="O497" s="15">
        <f t="shared" si="95"/>
        <v>0.11408492042020635</v>
      </c>
      <c r="P497" s="18">
        <f>IF(SUMIFS('Daily NSE Equity Futures'!$J:$J,'Daily NSE Equity Futures'!$A:$A,$A497)=0,"",SUMIFS('Daily NSE Equity Futures'!$J:$J,'Daily NSE Equity Futures'!$A:$A,$A497))</f>
        <v>2866330</v>
      </c>
      <c r="Q497" s="7">
        <f>IF(SUMIFS('Daily BSE Equity Futures'!$J:$J,'Daily BSE Equity Futures'!$A:$A,$A497)=0,"",SUMIFS('Daily BSE Equity Futures'!$J:$J,'Daily BSE Equity Futures'!$A:$A,$A497))</f>
        <v>1</v>
      </c>
      <c r="R497" s="7">
        <f t="shared" si="90"/>
        <v>2866331</v>
      </c>
      <c r="S497" s="19">
        <f t="shared" si="91"/>
        <v>0.99999965112193956</v>
      </c>
      <c r="T497" s="19">
        <f t="shared" si="92"/>
        <v>3.4887806048917586E-7</v>
      </c>
    </row>
    <row r="498" spans="1:20" x14ac:dyDescent="0.2">
      <c r="A498" s="9">
        <v>44651</v>
      </c>
      <c r="B498" s="4" t="s">
        <v>224</v>
      </c>
      <c r="C498" s="8">
        <v>44621</v>
      </c>
      <c r="D498" s="4" t="s">
        <v>180</v>
      </c>
      <c r="E498" s="14">
        <f>IF(SUMIFS('Daily NSE Equity Futures'!$I:$I,'Daily NSE Equity Futures'!$A:$A,$A498)=0,"",SUMIFS('Daily NSE Equity Futures'!$I:$I,'Daily NSE Equity Futures'!$A:$A,$A498))</f>
        <v>1997.6812</v>
      </c>
      <c r="F498" s="6">
        <f>IF(SUMIFS('Daily BSE Equity Futures'!$I:$I,'Daily BSE Equity Futures'!$A:$A,$A498)=0,"",SUMIFS('Daily BSE Equity Futures'!$I:$I,'Daily BSE Equity Futures'!$A:$A,$A498))</f>
        <v>1.8E-3</v>
      </c>
      <c r="G498" s="6">
        <f t="shared" si="84"/>
        <v>1997.683</v>
      </c>
      <c r="H498" s="15">
        <f t="shared" si="85"/>
        <v>0.9999990989561407</v>
      </c>
      <c r="I498" s="15">
        <f t="shared" si="86"/>
        <v>9.0104385931101175E-7</v>
      </c>
      <c r="J498" s="20">
        <f t="shared" si="87"/>
        <v>1.3039519889577189</v>
      </c>
      <c r="K498" s="15">
        <f t="shared" si="88"/>
        <v>-0.9860248447204969</v>
      </c>
      <c r="L498" s="15">
        <f t="shared" si="89"/>
        <v>1.3036118709034636</v>
      </c>
      <c r="M498" s="15">
        <f t="shared" si="93"/>
        <v>-6.4397870645617972E-2</v>
      </c>
      <c r="N498" s="15">
        <f t="shared" si="94"/>
        <v>1</v>
      </c>
      <c r="O498" s="15">
        <f t="shared" si="95"/>
        <v>-6.4397421991826298E-2</v>
      </c>
      <c r="P498" s="18">
        <f>IF(SUMIFS('Daily NSE Equity Futures'!$J:$J,'Daily NSE Equity Futures'!$A:$A,$A498)=0,"",SUMIFS('Daily NSE Equity Futures'!$J:$J,'Daily NSE Equity Futures'!$A:$A,$A498))</f>
        <v>2666018</v>
      </c>
      <c r="Q498" s="7">
        <f>IF(SUMIFS('Daily BSE Equity Futures'!$J:$J,'Daily BSE Equity Futures'!$A:$A,$A498)=0,"",SUMIFS('Daily BSE Equity Futures'!$J:$J,'Daily BSE Equity Futures'!$A:$A,$A498))</f>
        <v>2</v>
      </c>
      <c r="R498" s="7">
        <f t="shared" si="90"/>
        <v>2666020</v>
      </c>
      <c r="S498" s="19">
        <f t="shared" si="91"/>
        <v>0.99999924981808086</v>
      </c>
      <c r="T498" s="19">
        <f t="shared" si="92"/>
        <v>7.5018191911538546E-7</v>
      </c>
    </row>
    <row r="499" spans="1:20" x14ac:dyDescent="0.2">
      <c r="A499" s="9">
        <v>44652</v>
      </c>
      <c r="B499" s="4" t="s">
        <v>222</v>
      </c>
      <c r="C499" s="8">
        <v>44652</v>
      </c>
      <c r="D499" s="4" t="s">
        <v>181</v>
      </c>
      <c r="E499" s="14">
        <f>IF(SUMIFS('Daily NSE Equity Futures'!$I:$I,'Daily NSE Equity Futures'!$A:$A,$A499)=0,"",SUMIFS('Daily NSE Equity Futures'!$I:$I,'Daily NSE Equity Futures'!$A:$A,$A499))</f>
        <v>1066.0206000000001</v>
      </c>
      <c r="F499" s="6" t="str">
        <f>IF(SUMIFS('Daily BSE Equity Futures'!$I:$I,'Daily BSE Equity Futures'!$A:$A,$A499)=0,"",SUMIFS('Daily BSE Equity Futures'!$I:$I,'Daily BSE Equity Futures'!$A:$A,$A499))</f>
        <v/>
      </c>
      <c r="G499" s="6" t="str">
        <f t="shared" si="84"/>
        <v/>
      </c>
      <c r="H499" s="15" t="str">
        <f t="shared" si="85"/>
        <v/>
      </c>
      <c r="I499" s="15" t="str">
        <f t="shared" si="86"/>
        <v/>
      </c>
      <c r="J499" s="20">
        <f t="shared" si="87"/>
        <v>9.0694397735000987E-2</v>
      </c>
      <c r="K499" s="15" t="str">
        <f t="shared" si="88"/>
        <v/>
      </c>
      <c r="L499" s="15" t="str">
        <f t="shared" si="89"/>
        <v/>
      </c>
      <c r="M499" s="15">
        <f t="shared" si="93"/>
        <v>-0.46637101054963126</v>
      </c>
      <c r="N499" s="15" t="str">
        <f t="shared" si="94"/>
        <v/>
      </c>
      <c r="O499" s="15" t="str">
        <f t="shared" si="95"/>
        <v/>
      </c>
      <c r="P499" s="18">
        <f>IF(SUMIFS('Daily NSE Equity Futures'!$J:$J,'Daily NSE Equity Futures'!$A:$A,$A499)=0,"",SUMIFS('Daily NSE Equity Futures'!$J:$J,'Daily NSE Equity Futures'!$A:$A,$A499))</f>
        <v>1334490</v>
      </c>
      <c r="Q499" s="7" t="str">
        <f>IF(SUMIFS('Daily BSE Equity Futures'!$J:$J,'Daily BSE Equity Futures'!$A:$A,$A499)=0,"",SUMIFS('Daily BSE Equity Futures'!$J:$J,'Daily BSE Equity Futures'!$A:$A,$A499))</f>
        <v/>
      </c>
      <c r="R499" s="7" t="str">
        <f t="shared" si="90"/>
        <v/>
      </c>
      <c r="S499" s="19" t="str">
        <f t="shared" si="91"/>
        <v/>
      </c>
      <c r="T499" s="19" t="str">
        <f t="shared" si="92"/>
        <v/>
      </c>
    </row>
    <row r="500" spans="1:20" x14ac:dyDescent="0.2">
      <c r="A500" s="9">
        <v>44655</v>
      </c>
      <c r="B500" s="4" t="s">
        <v>225</v>
      </c>
      <c r="C500" s="8">
        <v>44652</v>
      </c>
      <c r="D500" s="4" t="s">
        <v>181</v>
      </c>
      <c r="E500" s="14">
        <f>IF(SUMIFS('Daily NSE Equity Futures'!$I:$I,'Daily NSE Equity Futures'!$A:$A,$A500)=0,"",SUMIFS('Daily NSE Equity Futures'!$I:$I,'Daily NSE Equity Futures'!$A:$A,$A500))</f>
        <v>1461.7632000000001</v>
      </c>
      <c r="F500" s="6" t="str">
        <f>IF(SUMIFS('Daily BSE Equity Futures'!$I:$I,'Daily BSE Equity Futures'!$A:$A,$A500)=0,"",SUMIFS('Daily BSE Equity Futures'!$I:$I,'Daily BSE Equity Futures'!$A:$A,$A500))</f>
        <v/>
      </c>
      <c r="G500" s="6" t="str">
        <f t="shared" si="84"/>
        <v/>
      </c>
      <c r="H500" s="15" t="str">
        <f t="shared" si="85"/>
        <v/>
      </c>
      <c r="I500" s="15" t="str">
        <f t="shared" si="86"/>
        <v/>
      </c>
      <c r="J500" s="20" t="str">
        <f t="shared" si="87"/>
        <v/>
      </c>
      <c r="K500" s="15" t="str">
        <f t="shared" si="88"/>
        <v/>
      </c>
      <c r="L500" s="15" t="str">
        <f t="shared" si="89"/>
        <v/>
      </c>
      <c r="M500" s="15">
        <f t="shared" si="93"/>
        <v>0.37123353901416167</v>
      </c>
      <c r="N500" s="15" t="str">
        <f t="shared" si="94"/>
        <v/>
      </c>
      <c r="O500" s="15" t="str">
        <f t="shared" si="95"/>
        <v/>
      </c>
      <c r="P500" s="18">
        <f>IF(SUMIFS('Daily NSE Equity Futures'!$J:$J,'Daily NSE Equity Futures'!$A:$A,$A500)=0,"",SUMIFS('Daily NSE Equity Futures'!$J:$J,'Daily NSE Equity Futures'!$A:$A,$A500))</f>
        <v>1771196</v>
      </c>
      <c r="Q500" s="7" t="str">
        <f>IF(SUMIFS('Daily BSE Equity Futures'!$J:$J,'Daily BSE Equity Futures'!$A:$A,$A500)=0,"",SUMIFS('Daily BSE Equity Futures'!$J:$J,'Daily BSE Equity Futures'!$A:$A,$A500))</f>
        <v/>
      </c>
      <c r="R500" s="7" t="str">
        <f t="shared" si="90"/>
        <v/>
      </c>
      <c r="S500" s="19" t="str">
        <f t="shared" si="91"/>
        <v/>
      </c>
      <c r="T500" s="19" t="str">
        <f t="shared" si="92"/>
        <v/>
      </c>
    </row>
    <row r="501" spans="1:20" x14ac:dyDescent="0.2">
      <c r="A501" s="9">
        <v>44656</v>
      </c>
      <c r="B501" s="4" t="s">
        <v>223</v>
      </c>
      <c r="C501" s="8">
        <v>44652</v>
      </c>
      <c r="D501" s="4" t="s">
        <v>181</v>
      </c>
      <c r="E501" s="14">
        <f>IF(SUMIFS('Daily NSE Equity Futures'!$I:$I,'Daily NSE Equity Futures'!$A:$A,$A501)=0,"",SUMIFS('Daily NSE Equity Futures'!$I:$I,'Daily NSE Equity Futures'!$A:$A,$A501))</f>
        <v>1157.8079</v>
      </c>
      <c r="F501" s="6">
        <f>IF(SUMIFS('Daily BSE Equity Futures'!$I:$I,'Daily BSE Equity Futures'!$A:$A,$A501)=0,"",SUMIFS('Daily BSE Equity Futures'!$I:$I,'Daily BSE Equity Futures'!$A:$A,$A501))</f>
        <v>1.9E-3</v>
      </c>
      <c r="G501" s="6">
        <f t="shared" si="84"/>
        <v>1157.8098</v>
      </c>
      <c r="H501" s="15">
        <f t="shared" si="85"/>
        <v>0.99999835897053213</v>
      </c>
      <c r="I501" s="15">
        <f t="shared" si="86"/>
        <v>1.6410294678797848E-6</v>
      </c>
      <c r="J501" s="20">
        <f t="shared" si="87"/>
        <v>1.2045603103562064E-2</v>
      </c>
      <c r="K501" s="15">
        <f t="shared" si="88"/>
        <v>-0.98943270300333708</v>
      </c>
      <c r="L501" s="15">
        <f t="shared" si="89"/>
        <v>1.1888231432209295E-2</v>
      </c>
      <c r="M501" s="15">
        <f t="shared" si="93"/>
        <v>-0.20793744157740468</v>
      </c>
      <c r="N501" s="15" t="str">
        <f t="shared" si="94"/>
        <v/>
      </c>
      <c r="O501" s="15" t="str">
        <f t="shared" si="95"/>
        <v/>
      </c>
      <c r="P501" s="18">
        <f>IF(SUMIFS('Daily NSE Equity Futures'!$J:$J,'Daily NSE Equity Futures'!$A:$A,$A501)=0,"",SUMIFS('Daily NSE Equity Futures'!$J:$J,'Daily NSE Equity Futures'!$A:$A,$A501))</f>
        <v>1401319</v>
      </c>
      <c r="Q501" s="7">
        <f>IF(SUMIFS('Daily BSE Equity Futures'!$J:$J,'Daily BSE Equity Futures'!$A:$A,$A501)=0,"",SUMIFS('Daily BSE Equity Futures'!$J:$J,'Daily BSE Equity Futures'!$A:$A,$A501))</f>
        <v>2</v>
      </c>
      <c r="R501" s="7">
        <f t="shared" si="90"/>
        <v>1401321</v>
      </c>
      <c r="S501" s="19">
        <f t="shared" si="91"/>
        <v>0.99999857277525994</v>
      </c>
      <c r="T501" s="19">
        <f t="shared" si="92"/>
        <v>1.4272247400845346E-6</v>
      </c>
    </row>
    <row r="502" spans="1:20" x14ac:dyDescent="0.2">
      <c r="A502" s="9">
        <v>44657</v>
      </c>
      <c r="B502" s="4" t="s">
        <v>221</v>
      </c>
      <c r="C502" s="8">
        <v>44652</v>
      </c>
      <c r="D502" s="4" t="s">
        <v>181</v>
      </c>
      <c r="E502" s="14">
        <f>IF(SUMIFS('Daily NSE Equity Futures'!$I:$I,'Daily NSE Equity Futures'!$A:$A,$A502)=0,"",SUMIFS('Daily NSE Equity Futures'!$I:$I,'Daily NSE Equity Futures'!$A:$A,$A502))</f>
        <v>1132.2775999999999</v>
      </c>
      <c r="F502" s="6">
        <f>IF(SUMIFS('Daily BSE Equity Futures'!$I:$I,'Daily BSE Equity Futures'!$A:$A,$A502)=0,"",SUMIFS('Daily BSE Equity Futures'!$I:$I,'Daily BSE Equity Futures'!$A:$A,$A502))</f>
        <v>8.9999999999999998E-4</v>
      </c>
      <c r="G502" s="6">
        <f t="shared" si="84"/>
        <v>1132.2784999999999</v>
      </c>
      <c r="H502" s="15">
        <f t="shared" si="85"/>
        <v>0.99999920514255103</v>
      </c>
      <c r="I502" s="15">
        <f t="shared" si="86"/>
        <v>7.9485744894034466E-7</v>
      </c>
      <c r="J502" s="20">
        <f t="shared" si="87"/>
        <v>0.18349574537248503</v>
      </c>
      <c r="K502" s="15">
        <f t="shared" si="88"/>
        <v>-0.98872180451127822</v>
      </c>
      <c r="L502" s="15">
        <f t="shared" si="89"/>
        <v>0.18339797918651568</v>
      </c>
      <c r="M502" s="15">
        <f t="shared" si="93"/>
        <v>-2.2050549145501752E-2</v>
      </c>
      <c r="N502" s="15">
        <f t="shared" si="94"/>
        <v>-0.52631578947368429</v>
      </c>
      <c r="O502" s="15">
        <f t="shared" si="95"/>
        <v>-2.2051376659620647E-2</v>
      </c>
      <c r="P502" s="18">
        <f>IF(SUMIFS('Daily NSE Equity Futures'!$J:$J,'Daily NSE Equity Futures'!$A:$A,$A502)=0,"",SUMIFS('Daily NSE Equity Futures'!$J:$J,'Daily NSE Equity Futures'!$A:$A,$A502))</f>
        <v>1353338</v>
      </c>
      <c r="Q502" s="7">
        <f>IF(SUMIFS('Daily BSE Equity Futures'!$J:$J,'Daily BSE Equity Futures'!$A:$A,$A502)=0,"",SUMIFS('Daily BSE Equity Futures'!$J:$J,'Daily BSE Equity Futures'!$A:$A,$A502))</f>
        <v>1</v>
      </c>
      <c r="R502" s="7">
        <f t="shared" si="90"/>
        <v>1353339</v>
      </c>
      <c r="S502" s="19">
        <f t="shared" si="91"/>
        <v>0.99999926108683779</v>
      </c>
      <c r="T502" s="19">
        <f t="shared" si="92"/>
        <v>7.389131621862667E-7</v>
      </c>
    </row>
    <row r="503" spans="1:20" x14ac:dyDescent="0.2">
      <c r="A503" s="9">
        <v>44658</v>
      </c>
      <c r="B503" s="4" t="s">
        <v>224</v>
      </c>
      <c r="C503" s="8">
        <v>44652</v>
      </c>
      <c r="D503" s="4" t="s">
        <v>181</v>
      </c>
      <c r="E503" s="14">
        <f>IF(SUMIFS('Daily NSE Equity Futures'!$I:$I,'Daily NSE Equity Futures'!$A:$A,$A503)=0,"",SUMIFS('Daily NSE Equity Futures'!$I:$I,'Daily NSE Equity Futures'!$A:$A,$A503))</f>
        <v>1166.8434</v>
      </c>
      <c r="F503" s="6">
        <f>IF(SUMIFS('Daily BSE Equity Futures'!$I:$I,'Daily BSE Equity Futures'!$A:$A,$A503)=0,"",SUMIFS('Daily BSE Equity Futures'!$I:$I,'Daily BSE Equity Futures'!$A:$A,$A503))</f>
        <v>3.7000000000000002E-3</v>
      </c>
      <c r="G503" s="6">
        <f t="shared" si="84"/>
        <v>1166.8471</v>
      </c>
      <c r="H503" s="15">
        <f t="shared" si="85"/>
        <v>0.99999682906183684</v>
      </c>
      <c r="I503" s="15">
        <f t="shared" si="86"/>
        <v>3.1709381631920758E-6</v>
      </c>
      <c r="J503" s="20">
        <f t="shared" si="87"/>
        <v>0.13378726538409391</v>
      </c>
      <c r="K503" s="15">
        <f t="shared" si="88"/>
        <v>-0.97220135236664162</v>
      </c>
      <c r="L503" s="15">
        <f t="shared" si="89"/>
        <v>0.13364424710426204</v>
      </c>
      <c r="M503" s="15">
        <f t="shared" si="93"/>
        <v>3.0527672719128374E-2</v>
      </c>
      <c r="N503" s="15">
        <f t="shared" si="94"/>
        <v>3.1111111111111116</v>
      </c>
      <c r="O503" s="15">
        <f t="shared" si="95"/>
        <v>3.0530121343821381E-2</v>
      </c>
      <c r="P503" s="18">
        <f>IF(SUMIFS('Daily NSE Equity Futures'!$J:$J,'Daily NSE Equity Futures'!$A:$A,$A503)=0,"",SUMIFS('Daily NSE Equity Futures'!$J:$J,'Daily NSE Equity Futures'!$A:$A,$A503))</f>
        <v>1414808</v>
      </c>
      <c r="Q503" s="7">
        <f>IF(SUMIFS('Daily BSE Equity Futures'!$J:$J,'Daily BSE Equity Futures'!$A:$A,$A503)=0,"",SUMIFS('Daily BSE Equity Futures'!$J:$J,'Daily BSE Equity Futures'!$A:$A,$A503))</f>
        <v>4</v>
      </c>
      <c r="R503" s="7">
        <f t="shared" si="90"/>
        <v>1414812</v>
      </c>
      <c r="S503" s="19">
        <f t="shared" si="91"/>
        <v>0.99999717276924427</v>
      </c>
      <c r="T503" s="19">
        <f t="shared" si="92"/>
        <v>2.8272307557470535E-6</v>
      </c>
    </row>
    <row r="504" spans="1:20" x14ac:dyDescent="0.2">
      <c r="A504" s="9">
        <v>44659</v>
      </c>
      <c r="B504" s="4" t="s">
        <v>222</v>
      </c>
      <c r="C504" s="8">
        <v>44652</v>
      </c>
      <c r="D504" s="4" t="s">
        <v>181</v>
      </c>
      <c r="E504" s="14">
        <f>IF(SUMIFS('Daily NSE Equity Futures'!$I:$I,'Daily NSE Equity Futures'!$A:$A,$A504)=0,"",SUMIFS('Daily NSE Equity Futures'!$I:$I,'Daily NSE Equity Futures'!$A:$A,$A504))</f>
        <v>1109.5331000000001</v>
      </c>
      <c r="F504" s="6">
        <f>IF(SUMIFS('Daily BSE Equity Futures'!$I:$I,'Daily BSE Equity Futures'!$A:$A,$A504)=0,"",SUMIFS('Daily BSE Equity Futures'!$I:$I,'Daily BSE Equity Futures'!$A:$A,$A504))</f>
        <v>2.8E-3</v>
      </c>
      <c r="G504" s="6">
        <f t="shared" si="84"/>
        <v>1109.5359000000001</v>
      </c>
      <c r="H504" s="15">
        <f t="shared" si="85"/>
        <v>0.99999747642234926</v>
      </c>
      <c r="I504" s="15">
        <f t="shared" si="86"/>
        <v>2.523577650799762E-6</v>
      </c>
      <c r="J504" s="20">
        <f t="shared" si="87"/>
        <v>0.10778324558527363</v>
      </c>
      <c r="K504" s="15">
        <f t="shared" si="88"/>
        <v>-0.97095435684647302</v>
      </c>
      <c r="L504" s="15">
        <f t="shared" si="89"/>
        <v>0.10767942927653262</v>
      </c>
      <c r="M504" s="15">
        <f t="shared" si="93"/>
        <v>-4.9115673962761286E-2</v>
      </c>
      <c r="N504" s="15">
        <f t="shared" si="94"/>
        <v>-0.24324324324324331</v>
      </c>
      <c r="O504" s="15">
        <f t="shared" si="95"/>
        <v>-4.9116289529279267E-2</v>
      </c>
      <c r="P504" s="18">
        <f>IF(SUMIFS('Daily NSE Equity Futures'!$J:$J,'Daily NSE Equity Futures'!$A:$A,$A504)=0,"",SUMIFS('Daily NSE Equity Futures'!$J:$J,'Daily NSE Equity Futures'!$A:$A,$A504))</f>
        <v>1384184</v>
      </c>
      <c r="Q504" s="7">
        <f>IF(SUMIFS('Daily BSE Equity Futures'!$J:$J,'Daily BSE Equity Futures'!$A:$A,$A504)=0,"",SUMIFS('Daily BSE Equity Futures'!$J:$J,'Daily BSE Equity Futures'!$A:$A,$A504))</f>
        <v>3</v>
      </c>
      <c r="R504" s="7">
        <f t="shared" si="90"/>
        <v>1384187</v>
      </c>
      <c r="S504" s="19">
        <f t="shared" si="91"/>
        <v>0.9999978326627833</v>
      </c>
      <c r="T504" s="19">
        <f t="shared" si="92"/>
        <v>2.1673372167199953E-6</v>
      </c>
    </row>
    <row r="505" spans="1:20" x14ac:dyDescent="0.2">
      <c r="A505" s="9">
        <v>44662</v>
      </c>
      <c r="B505" s="4" t="s">
        <v>225</v>
      </c>
      <c r="C505" s="8">
        <v>44652</v>
      </c>
      <c r="D505" s="4" t="s">
        <v>181</v>
      </c>
      <c r="E505" s="14">
        <f>IF(SUMIFS('Daily NSE Equity Futures'!$I:$I,'Daily NSE Equity Futures'!$A:$A,$A505)=0,"",SUMIFS('Daily NSE Equity Futures'!$I:$I,'Daily NSE Equity Futures'!$A:$A,$A505))</f>
        <v>933.05070000000001</v>
      </c>
      <c r="F505" s="6">
        <f>IF(SUMIFS('Daily BSE Equity Futures'!$I:$I,'Daily BSE Equity Futures'!$A:$A,$A505)=0,"",SUMIFS('Daily BSE Equity Futures'!$I:$I,'Daily BSE Equity Futures'!$A:$A,$A505))</f>
        <v>8.9999999999999998E-4</v>
      </c>
      <c r="G505" s="6">
        <f t="shared" si="84"/>
        <v>933.05160000000001</v>
      </c>
      <c r="H505" s="15">
        <f t="shared" si="85"/>
        <v>0.9999990354231213</v>
      </c>
      <c r="I505" s="15">
        <f t="shared" si="86"/>
        <v>9.6457687870638654E-7</v>
      </c>
      <c r="J505" s="20" t="str">
        <f t="shared" si="87"/>
        <v/>
      </c>
      <c r="K505" s="15" t="str">
        <f t="shared" si="88"/>
        <v/>
      </c>
      <c r="L505" s="15" t="str">
        <f t="shared" si="89"/>
        <v/>
      </c>
      <c r="M505" s="15">
        <f t="shared" si="93"/>
        <v>-0.15906005868594641</v>
      </c>
      <c r="N505" s="15">
        <f t="shared" si="94"/>
        <v>-0.6785714285714286</v>
      </c>
      <c r="O505" s="15">
        <f t="shared" si="95"/>
        <v>-0.15906136971322882</v>
      </c>
      <c r="P505" s="18">
        <f>IF(SUMIFS('Daily NSE Equity Futures'!$J:$J,'Daily NSE Equity Futures'!$A:$A,$A505)=0,"",SUMIFS('Daily NSE Equity Futures'!$J:$J,'Daily NSE Equity Futures'!$A:$A,$A505))</f>
        <v>1168837</v>
      </c>
      <c r="Q505" s="7">
        <f>IF(SUMIFS('Daily BSE Equity Futures'!$J:$J,'Daily BSE Equity Futures'!$A:$A,$A505)=0,"",SUMIFS('Daily BSE Equity Futures'!$J:$J,'Daily BSE Equity Futures'!$A:$A,$A505))</f>
        <v>1</v>
      </c>
      <c r="R505" s="7">
        <f t="shared" si="90"/>
        <v>1168838</v>
      </c>
      <c r="S505" s="19">
        <f t="shared" si="91"/>
        <v>0.99999914444944471</v>
      </c>
      <c r="T505" s="19">
        <f t="shared" si="92"/>
        <v>8.5555055533786546E-7</v>
      </c>
    </row>
    <row r="506" spans="1:20" x14ac:dyDescent="0.2">
      <c r="A506" s="9">
        <v>44663</v>
      </c>
      <c r="B506" s="4" t="s">
        <v>223</v>
      </c>
      <c r="C506" s="8">
        <v>44652</v>
      </c>
      <c r="D506" s="4" t="s">
        <v>181</v>
      </c>
      <c r="E506" s="14">
        <f>IF(SUMIFS('Daily NSE Equity Futures'!$I:$I,'Daily NSE Equity Futures'!$A:$A,$A506)=0,"",SUMIFS('Daily NSE Equity Futures'!$I:$I,'Daily NSE Equity Futures'!$A:$A,$A506))</f>
        <v>1071.1086</v>
      </c>
      <c r="F506" s="6">
        <f>IF(SUMIFS('Daily BSE Equity Futures'!$I:$I,'Daily BSE Equity Futures'!$A:$A,$A506)=0,"",SUMIFS('Daily BSE Equity Futures'!$I:$I,'Daily BSE Equity Futures'!$A:$A,$A506))</f>
        <v>8.9999999999999998E-4</v>
      </c>
      <c r="G506" s="6">
        <f t="shared" si="84"/>
        <v>1071.1095</v>
      </c>
      <c r="H506" s="15">
        <f t="shared" si="85"/>
        <v>0.99999915974977349</v>
      </c>
      <c r="I506" s="15">
        <f t="shared" si="86"/>
        <v>8.4025022651745687E-7</v>
      </c>
      <c r="J506" s="20">
        <f t="shared" si="87"/>
        <v>-0.17491626942515059</v>
      </c>
      <c r="K506" s="15">
        <f t="shared" si="88"/>
        <v>-0.98650674662668669</v>
      </c>
      <c r="L506" s="15">
        <f t="shared" si="89"/>
        <v>-0.17495796644155315</v>
      </c>
      <c r="M506" s="15">
        <f t="shared" si="93"/>
        <v>0.14796398523681509</v>
      </c>
      <c r="N506" s="15">
        <f t="shared" si="94"/>
        <v>0</v>
      </c>
      <c r="O506" s="15">
        <f t="shared" si="95"/>
        <v>0.14796384251417605</v>
      </c>
      <c r="P506" s="18">
        <f>IF(SUMIFS('Daily NSE Equity Futures'!$J:$J,'Daily NSE Equity Futures'!$A:$A,$A506)=0,"",SUMIFS('Daily NSE Equity Futures'!$J:$J,'Daily NSE Equity Futures'!$A:$A,$A506))</f>
        <v>1348031</v>
      </c>
      <c r="Q506" s="7">
        <f>IF(SUMIFS('Daily BSE Equity Futures'!$J:$J,'Daily BSE Equity Futures'!$A:$A,$A506)=0,"",SUMIFS('Daily BSE Equity Futures'!$J:$J,'Daily BSE Equity Futures'!$A:$A,$A506))</f>
        <v>1</v>
      </c>
      <c r="R506" s="7">
        <f t="shared" si="90"/>
        <v>1348032</v>
      </c>
      <c r="S506" s="19">
        <f t="shared" si="91"/>
        <v>0.99999925817784741</v>
      </c>
      <c r="T506" s="19">
        <f t="shared" si="92"/>
        <v>7.4182215258984953E-7</v>
      </c>
    </row>
    <row r="507" spans="1:20" x14ac:dyDescent="0.2">
      <c r="A507" s="9">
        <v>44664</v>
      </c>
      <c r="B507" s="4" t="s">
        <v>221</v>
      </c>
      <c r="C507" s="8">
        <v>44652</v>
      </c>
      <c r="D507" s="4" t="s">
        <v>181</v>
      </c>
      <c r="E507" s="14">
        <f>IF(SUMIFS('Daily NSE Equity Futures'!$I:$I,'Daily NSE Equity Futures'!$A:$A,$A507)=0,"",SUMIFS('Daily NSE Equity Futures'!$I:$I,'Daily NSE Equity Futures'!$A:$A,$A507))</f>
        <v>870.70839999999998</v>
      </c>
      <c r="F507" s="6">
        <f>IF(SUMIFS('Daily BSE Equity Futures'!$I:$I,'Daily BSE Equity Futures'!$A:$A,$A507)=0,"",SUMIFS('Daily BSE Equity Futures'!$I:$I,'Daily BSE Equity Futures'!$A:$A,$A507))</f>
        <v>1.8E-3</v>
      </c>
      <c r="G507" s="6">
        <f t="shared" si="84"/>
        <v>870.71019999999999</v>
      </c>
      <c r="H507" s="15">
        <f t="shared" si="85"/>
        <v>0.99999793272204685</v>
      </c>
      <c r="I507" s="15">
        <f t="shared" si="86"/>
        <v>2.0672779531008135E-6</v>
      </c>
      <c r="J507" s="20">
        <f t="shared" si="87"/>
        <v>-0.19295793772943171</v>
      </c>
      <c r="K507" s="15">
        <f t="shared" si="88"/>
        <v>-0.89411764705882357</v>
      </c>
      <c r="L507" s="15">
        <f t="shared" si="89"/>
        <v>-0.19296898569893295</v>
      </c>
      <c r="M507" s="15">
        <f t="shared" si="93"/>
        <v>-0.18709606103433396</v>
      </c>
      <c r="N507" s="15">
        <f t="shared" si="94"/>
        <v>1</v>
      </c>
      <c r="O507" s="15">
        <f t="shared" si="95"/>
        <v>-0.18709506357659977</v>
      </c>
      <c r="P507" s="18">
        <f>IF(SUMIFS('Daily NSE Equity Futures'!$J:$J,'Daily NSE Equity Futures'!$A:$A,$A507)=0,"",SUMIFS('Daily NSE Equity Futures'!$J:$J,'Daily NSE Equity Futures'!$A:$A,$A507))</f>
        <v>1089389</v>
      </c>
      <c r="Q507" s="7">
        <f>IF(SUMIFS('Daily BSE Equity Futures'!$J:$J,'Daily BSE Equity Futures'!$A:$A,$A507)=0,"",SUMIFS('Daily BSE Equity Futures'!$J:$J,'Daily BSE Equity Futures'!$A:$A,$A507))</f>
        <v>2</v>
      </c>
      <c r="R507" s="7">
        <f t="shared" si="90"/>
        <v>1089391</v>
      </c>
      <c r="S507" s="19">
        <f t="shared" si="91"/>
        <v>0.99999816411187537</v>
      </c>
      <c r="T507" s="19">
        <f t="shared" si="92"/>
        <v>1.8358881246494602E-6</v>
      </c>
    </row>
    <row r="508" spans="1:20" x14ac:dyDescent="0.2">
      <c r="A508" s="9">
        <v>44669</v>
      </c>
      <c r="B508" s="4" t="s">
        <v>225</v>
      </c>
      <c r="C508" s="8">
        <v>44652</v>
      </c>
      <c r="D508" s="4" t="s">
        <v>181</v>
      </c>
      <c r="E508" s="14">
        <f>IF(SUMIFS('Daily NSE Equity Futures'!$I:$I,'Daily NSE Equity Futures'!$A:$A,$A508)=0,"",SUMIFS('Daily NSE Equity Futures'!$I:$I,'Daily NSE Equity Futures'!$A:$A,$A508))</f>
        <v>1038.2511999999999</v>
      </c>
      <c r="F508" s="6">
        <f>IF(SUMIFS('Daily BSE Equity Futures'!$I:$I,'Daily BSE Equity Futures'!$A:$A,$A508)=0,"",SUMIFS('Daily BSE Equity Futures'!$I:$I,'Daily BSE Equity Futures'!$A:$A,$A508))</f>
        <v>1.8E-3</v>
      </c>
      <c r="G508" s="6">
        <f t="shared" si="84"/>
        <v>1038.2529999999999</v>
      </c>
      <c r="H508" s="15">
        <f t="shared" si="85"/>
        <v>0.99999826631851774</v>
      </c>
      <c r="I508" s="15">
        <f t="shared" si="86"/>
        <v>1.7336814822591412E-6</v>
      </c>
      <c r="J508" s="20" t="str">
        <f t="shared" si="87"/>
        <v/>
      </c>
      <c r="K508" s="15" t="str">
        <f t="shared" si="88"/>
        <v/>
      </c>
      <c r="L508" s="15" t="str">
        <f t="shared" si="89"/>
        <v/>
      </c>
      <c r="M508" s="15">
        <f t="shared" si="93"/>
        <v>0.19242125147753253</v>
      </c>
      <c r="N508" s="15">
        <f t="shared" si="94"/>
        <v>0</v>
      </c>
      <c r="O508" s="15">
        <f t="shared" si="95"/>
        <v>0.19242085368932149</v>
      </c>
      <c r="P508" s="18">
        <f>IF(SUMIFS('Daily NSE Equity Futures'!$J:$J,'Daily NSE Equity Futures'!$A:$A,$A508)=0,"",SUMIFS('Daily NSE Equity Futures'!$J:$J,'Daily NSE Equity Futures'!$A:$A,$A508))</f>
        <v>1341538</v>
      </c>
      <c r="Q508" s="7">
        <f>IF(SUMIFS('Daily BSE Equity Futures'!$J:$J,'Daily BSE Equity Futures'!$A:$A,$A508)=0,"",SUMIFS('Daily BSE Equity Futures'!$J:$J,'Daily BSE Equity Futures'!$A:$A,$A508))</f>
        <v>2</v>
      </c>
      <c r="R508" s="7">
        <f t="shared" si="90"/>
        <v>1341540</v>
      </c>
      <c r="S508" s="19">
        <f t="shared" si="91"/>
        <v>0.99999850917602162</v>
      </c>
      <c r="T508" s="19">
        <f t="shared" si="92"/>
        <v>1.4908239784128688E-6</v>
      </c>
    </row>
    <row r="509" spans="1:20" x14ac:dyDescent="0.2">
      <c r="A509" s="9">
        <v>44670</v>
      </c>
      <c r="B509" s="4" t="s">
        <v>223</v>
      </c>
      <c r="C509" s="8">
        <v>44652</v>
      </c>
      <c r="D509" s="4" t="s">
        <v>181</v>
      </c>
      <c r="E509" s="14">
        <f>IF(SUMIFS('Daily NSE Equity Futures'!$I:$I,'Daily NSE Equity Futures'!$A:$A,$A509)=0,"",SUMIFS('Daily NSE Equity Futures'!$I:$I,'Daily NSE Equity Futures'!$A:$A,$A509))</f>
        <v>1280.3767</v>
      </c>
      <c r="F509" s="6">
        <f>IF(SUMIFS('Daily BSE Equity Futures'!$I:$I,'Daily BSE Equity Futures'!$A:$A,$A509)=0,"",SUMIFS('Daily BSE Equity Futures'!$I:$I,'Daily BSE Equity Futures'!$A:$A,$A509))</f>
        <v>8.9999999999999998E-4</v>
      </c>
      <c r="G509" s="6">
        <f t="shared" si="84"/>
        <v>1280.3776</v>
      </c>
      <c r="H509" s="15">
        <f t="shared" si="85"/>
        <v>0.99999929708236068</v>
      </c>
      <c r="I509" s="15">
        <f t="shared" si="86"/>
        <v>7.0291763929640754E-7</v>
      </c>
      <c r="J509" s="20">
        <f t="shared" si="87"/>
        <v>0.20378639266019172</v>
      </c>
      <c r="K509" s="15">
        <f t="shared" si="88"/>
        <v>-0.95774647887323949</v>
      </c>
      <c r="L509" s="15">
        <f t="shared" si="89"/>
        <v>0.20376313242622679</v>
      </c>
      <c r="M509" s="15">
        <f t="shared" si="93"/>
        <v>0.23320512415492534</v>
      </c>
      <c r="N509" s="15">
        <f t="shared" si="94"/>
        <v>-0.5</v>
      </c>
      <c r="O509" s="15">
        <f t="shared" si="95"/>
        <v>0.23320385301077873</v>
      </c>
      <c r="P509" s="18">
        <f>IF(SUMIFS('Daily NSE Equity Futures'!$J:$J,'Daily NSE Equity Futures'!$A:$A,$A509)=0,"",SUMIFS('Daily NSE Equity Futures'!$J:$J,'Daily NSE Equity Futures'!$A:$A,$A509))</f>
        <v>1666538</v>
      </c>
      <c r="Q509" s="7">
        <f>IF(SUMIFS('Daily BSE Equity Futures'!$J:$J,'Daily BSE Equity Futures'!$A:$A,$A509)=0,"",SUMIFS('Daily BSE Equity Futures'!$J:$J,'Daily BSE Equity Futures'!$A:$A,$A509))</f>
        <v>1</v>
      </c>
      <c r="R509" s="7">
        <f t="shared" si="90"/>
        <v>1666539</v>
      </c>
      <c r="S509" s="19">
        <f t="shared" si="91"/>
        <v>0.99999939995403653</v>
      </c>
      <c r="T509" s="19">
        <f t="shared" si="92"/>
        <v>6.0004596352080567E-7</v>
      </c>
    </row>
    <row r="510" spans="1:20" x14ac:dyDescent="0.2">
      <c r="A510" s="9">
        <v>44671</v>
      </c>
      <c r="B510" s="4" t="s">
        <v>221</v>
      </c>
      <c r="C510" s="8">
        <v>44652</v>
      </c>
      <c r="D510" s="4" t="s">
        <v>181</v>
      </c>
      <c r="E510" s="14">
        <f>IF(SUMIFS('Daily NSE Equity Futures'!$I:$I,'Daily NSE Equity Futures'!$A:$A,$A510)=0,"",SUMIFS('Daily NSE Equity Futures'!$I:$I,'Daily NSE Equity Futures'!$A:$A,$A510))</f>
        <v>1090.2641000000001</v>
      </c>
      <c r="F510" s="6">
        <f>IF(SUMIFS('Daily BSE Equity Futures'!$I:$I,'Daily BSE Equity Futures'!$A:$A,$A510)=0,"",SUMIFS('Daily BSE Equity Futures'!$I:$I,'Daily BSE Equity Futures'!$A:$A,$A510))</f>
        <v>8.9999999999999998E-4</v>
      </c>
      <c r="G510" s="6">
        <f t="shared" si="84"/>
        <v>1090.2650000000001</v>
      </c>
      <c r="H510" s="15">
        <f t="shared" si="85"/>
        <v>0.99999917451261844</v>
      </c>
      <c r="I510" s="15">
        <f t="shared" si="86"/>
        <v>8.2548738150816539E-7</v>
      </c>
      <c r="J510" s="20">
        <f t="shared" si="87"/>
        <v>6.687499938840813E-2</v>
      </c>
      <c r="K510" s="15">
        <f t="shared" si="88"/>
        <v>-0.97142857142857142</v>
      </c>
      <c r="L510" s="15">
        <f t="shared" si="89"/>
        <v>6.6842995456255716E-2</v>
      </c>
      <c r="M510" s="15">
        <f t="shared" si="93"/>
        <v>-0.14848177102879168</v>
      </c>
      <c r="N510" s="15">
        <f t="shared" si="94"/>
        <v>0</v>
      </c>
      <c r="O510" s="15">
        <f t="shared" si="95"/>
        <v>-0.14848166665833573</v>
      </c>
      <c r="P510" s="18">
        <f>IF(SUMIFS('Daily NSE Equity Futures'!$J:$J,'Daily NSE Equity Futures'!$A:$A,$A510)=0,"",SUMIFS('Daily NSE Equity Futures'!$J:$J,'Daily NSE Equity Futures'!$A:$A,$A510))</f>
        <v>1434040</v>
      </c>
      <c r="Q510" s="7">
        <f>IF(SUMIFS('Daily BSE Equity Futures'!$J:$J,'Daily BSE Equity Futures'!$A:$A,$A510)=0,"",SUMIFS('Daily BSE Equity Futures'!$J:$J,'Daily BSE Equity Futures'!$A:$A,$A510))</f>
        <v>1</v>
      </c>
      <c r="R510" s="7">
        <f t="shared" si="90"/>
        <v>1434041</v>
      </c>
      <c r="S510" s="19">
        <f t="shared" si="91"/>
        <v>0.99999930266986792</v>
      </c>
      <c r="T510" s="19">
        <f t="shared" si="92"/>
        <v>6.9733013212314018E-7</v>
      </c>
    </row>
    <row r="511" spans="1:20" x14ac:dyDescent="0.2">
      <c r="A511" s="9">
        <v>44672</v>
      </c>
      <c r="B511" s="4" t="s">
        <v>224</v>
      </c>
      <c r="C511" s="8">
        <v>44652</v>
      </c>
      <c r="D511" s="4" t="s">
        <v>181</v>
      </c>
      <c r="E511" s="14">
        <f>IF(SUMIFS('Daily NSE Equity Futures'!$I:$I,'Daily NSE Equity Futures'!$A:$A,$A511)=0,"",SUMIFS('Daily NSE Equity Futures'!$I:$I,'Daily NSE Equity Futures'!$A:$A,$A511))</f>
        <v>1123.7545</v>
      </c>
      <c r="F511" s="6">
        <f>IF(SUMIFS('Daily BSE Equity Futures'!$I:$I,'Daily BSE Equity Futures'!$A:$A,$A511)=0,"",SUMIFS('Daily BSE Equity Futures'!$I:$I,'Daily BSE Equity Futures'!$A:$A,$A511))</f>
        <v>1.8E-3</v>
      </c>
      <c r="G511" s="6">
        <f t="shared" si="84"/>
        <v>1123.7563</v>
      </c>
      <c r="H511" s="15">
        <f t="shared" si="85"/>
        <v>0.99999839822922465</v>
      </c>
      <c r="I511" s="15">
        <f t="shared" si="86"/>
        <v>1.6017707753896462E-6</v>
      </c>
      <c r="J511" s="20" t="str">
        <f t="shared" si="87"/>
        <v/>
      </c>
      <c r="K511" s="15" t="str">
        <f t="shared" si="88"/>
        <v/>
      </c>
      <c r="L511" s="15" t="str">
        <f t="shared" si="89"/>
        <v/>
      </c>
      <c r="M511" s="15">
        <f t="shared" si="93"/>
        <v>3.0717694914470739E-2</v>
      </c>
      <c r="N511" s="15">
        <f t="shared" si="94"/>
        <v>1</v>
      </c>
      <c r="O511" s="15">
        <f t="shared" si="95"/>
        <v>3.0718495044782523E-2</v>
      </c>
      <c r="P511" s="18">
        <f>IF(SUMIFS('Daily NSE Equity Futures'!$J:$J,'Daily NSE Equity Futures'!$A:$A,$A511)=0,"",SUMIFS('Daily NSE Equity Futures'!$J:$J,'Daily NSE Equity Futures'!$A:$A,$A511))</f>
        <v>1470911</v>
      </c>
      <c r="Q511" s="7">
        <f>IF(SUMIFS('Daily BSE Equity Futures'!$J:$J,'Daily BSE Equity Futures'!$A:$A,$A511)=0,"",SUMIFS('Daily BSE Equity Futures'!$J:$J,'Daily BSE Equity Futures'!$A:$A,$A511))</f>
        <v>2</v>
      </c>
      <c r="R511" s="7">
        <f t="shared" si="90"/>
        <v>1470913</v>
      </c>
      <c r="S511" s="19">
        <f t="shared" si="91"/>
        <v>0.99999864030027608</v>
      </c>
      <c r="T511" s="19">
        <f t="shared" si="92"/>
        <v>1.3596997239129711E-6</v>
      </c>
    </row>
    <row r="512" spans="1:20" x14ac:dyDescent="0.2">
      <c r="A512" s="9">
        <v>44673</v>
      </c>
      <c r="B512" s="4" t="s">
        <v>222</v>
      </c>
      <c r="C512" s="8">
        <v>44652</v>
      </c>
      <c r="D512" s="4" t="s">
        <v>181</v>
      </c>
      <c r="E512" s="14">
        <f>IF(SUMIFS('Daily NSE Equity Futures'!$I:$I,'Daily NSE Equity Futures'!$A:$A,$A512)=0,"",SUMIFS('Daily NSE Equity Futures'!$I:$I,'Daily NSE Equity Futures'!$A:$A,$A512))</f>
        <v>1314.9792</v>
      </c>
      <c r="F512" s="6">
        <f>IF(SUMIFS('Daily BSE Equity Futures'!$I:$I,'Daily BSE Equity Futures'!$A:$A,$A512)=0,"",SUMIFS('Daily BSE Equity Futures'!$I:$I,'Daily BSE Equity Futures'!$A:$A,$A512))</f>
        <v>8.9999999999999998E-4</v>
      </c>
      <c r="G512" s="6">
        <f t="shared" si="84"/>
        <v>1314.9801</v>
      </c>
      <c r="H512" s="15">
        <f t="shared" si="85"/>
        <v>0.99999931557899624</v>
      </c>
      <c r="I512" s="15">
        <f t="shared" si="86"/>
        <v>6.8442100378553255E-7</v>
      </c>
      <c r="J512" s="20">
        <f t="shared" si="87"/>
        <v>8.7129293381237094E-2</v>
      </c>
      <c r="K512" s="15">
        <f t="shared" si="88"/>
        <v>-0.91089108910891092</v>
      </c>
      <c r="L512" s="15">
        <f t="shared" si="89"/>
        <v>8.7120960034100525E-2</v>
      </c>
      <c r="M512" s="15">
        <f t="shared" si="93"/>
        <v>0.17016590367380058</v>
      </c>
      <c r="N512" s="15">
        <f t="shared" si="94"/>
        <v>-0.5</v>
      </c>
      <c r="O512" s="15">
        <f t="shared" si="95"/>
        <v>0.17016483022164142</v>
      </c>
      <c r="P512" s="18">
        <f>IF(SUMIFS('Daily NSE Equity Futures'!$J:$J,'Daily NSE Equity Futures'!$A:$A,$A512)=0,"",SUMIFS('Daily NSE Equity Futures'!$J:$J,'Daily NSE Equity Futures'!$A:$A,$A512))</f>
        <v>1714919</v>
      </c>
      <c r="Q512" s="7">
        <f>IF(SUMIFS('Daily BSE Equity Futures'!$J:$J,'Daily BSE Equity Futures'!$A:$A,$A512)=0,"",SUMIFS('Daily BSE Equity Futures'!$J:$J,'Daily BSE Equity Futures'!$A:$A,$A512))</f>
        <v>1</v>
      </c>
      <c r="R512" s="7">
        <f t="shared" si="90"/>
        <v>1714920</v>
      </c>
      <c r="S512" s="19">
        <f t="shared" si="91"/>
        <v>0.99999941688242022</v>
      </c>
      <c r="T512" s="19">
        <f t="shared" si="92"/>
        <v>5.8311757982879665E-7</v>
      </c>
    </row>
    <row r="513" spans="1:20" x14ac:dyDescent="0.2">
      <c r="A513" s="9">
        <v>44676</v>
      </c>
      <c r="B513" s="4" t="s">
        <v>225</v>
      </c>
      <c r="C513" s="8">
        <v>44652</v>
      </c>
      <c r="D513" s="4" t="s">
        <v>181</v>
      </c>
      <c r="E513" s="14">
        <f>IF(SUMIFS('Daily NSE Equity Futures'!$I:$I,'Daily NSE Equity Futures'!$A:$A,$A513)=0,"",SUMIFS('Daily NSE Equity Futures'!$I:$I,'Daily NSE Equity Futures'!$A:$A,$A513))</f>
        <v>2041.8237999999999</v>
      </c>
      <c r="F513" s="6">
        <f>IF(SUMIFS('Daily BSE Equity Futures'!$I:$I,'Daily BSE Equity Futures'!$A:$A,$A513)=0,"",SUMIFS('Daily BSE Equity Futures'!$I:$I,'Daily BSE Equity Futures'!$A:$A,$A513))</f>
        <v>1.8E-3</v>
      </c>
      <c r="G513" s="6">
        <f t="shared" si="84"/>
        <v>2041.8255999999999</v>
      </c>
      <c r="H513" s="15">
        <f t="shared" si="85"/>
        <v>0.99999911843597222</v>
      </c>
      <c r="I513" s="15">
        <f t="shared" si="86"/>
        <v>8.8156402779943595E-7</v>
      </c>
      <c r="J513" s="20" t="str">
        <f t="shared" si="87"/>
        <v/>
      </c>
      <c r="K513" s="15" t="str">
        <f t="shared" si="88"/>
        <v/>
      </c>
      <c r="L513" s="15" t="str">
        <f t="shared" si="89"/>
        <v/>
      </c>
      <c r="M513" s="15">
        <f t="shared" si="93"/>
        <v>0.55274227911741858</v>
      </c>
      <c r="N513" s="15">
        <f t="shared" si="94"/>
        <v>1</v>
      </c>
      <c r="O513" s="15">
        <f t="shared" si="95"/>
        <v>0.55274258522999697</v>
      </c>
      <c r="P513" s="18">
        <f>IF(SUMIFS('Daily NSE Equity Futures'!$J:$J,'Daily NSE Equity Futures'!$A:$A,$A513)=0,"",SUMIFS('Daily NSE Equity Futures'!$J:$J,'Daily NSE Equity Futures'!$A:$A,$A513))</f>
        <v>2768804</v>
      </c>
      <c r="Q513" s="7">
        <f>IF(SUMIFS('Daily BSE Equity Futures'!$J:$J,'Daily BSE Equity Futures'!$A:$A,$A513)=0,"",SUMIFS('Daily BSE Equity Futures'!$J:$J,'Daily BSE Equity Futures'!$A:$A,$A513))</f>
        <v>2</v>
      </c>
      <c r="R513" s="7">
        <f t="shared" si="90"/>
        <v>2768806</v>
      </c>
      <c r="S513" s="19">
        <f t="shared" si="91"/>
        <v>0.99999927766697994</v>
      </c>
      <c r="T513" s="19">
        <f t="shared" si="92"/>
        <v>7.2233302008158026E-7</v>
      </c>
    </row>
    <row r="514" spans="1:20" x14ac:dyDescent="0.2">
      <c r="A514" s="9">
        <v>44677</v>
      </c>
      <c r="B514" s="4" t="s">
        <v>223</v>
      </c>
      <c r="C514" s="8">
        <v>44652</v>
      </c>
      <c r="D514" s="4" t="s">
        <v>181</v>
      </c>
      <c r="E514" s="14">
        <f>IF(SUMIFS('Daily NSE Equity Futures'!$I:$I,'Daily NSE Equity Futures'!$A:$A,$A514)=0,"",SUMIFS('Daily NSE Equity Futures'!$I:$I,'Daily NSE Equity Futures'!$A:$A,$A514))</f>
        <v>2049.3825000000002</v>
      </c>
      <c r="F514" s="6">
        <f>IF(SUMIFS('Daily BSE Equity Futures'!$I:$I,'Daily BSE Equity Futures'!$A:$A,$A514)=0,"",SUMIFS('Daily BSE Equity Futures'!$I:$I,'Daily BSE Equity Futures'!$A:$A,$A514))</f>
        <v>8.9999999999999998E-4</v>
      </c>
      <c r="G514" s="6">
        <f t="shared" ref="G514:G577" si="96">IF(OR(E514="",F514=""),"",E514+F514)</f>
        <v>2049.3834000000002</v>
      </c>
      <c r="H514" s="15">
        <f t="shared" ref="H514:H577" si="97">IF(G514="","",E514/G514)</f>
        <v>0.99999956084352004</v>
      </c>
      <c r="I514" s="15">
        <f t="shared" ref="I514:I577" si="98">IF(G514="","",F514/G514)</f>
        <v>4.3915647994416265E-7</v>
      </c>
      <c r="J514" s="20">
        <f t="shared" ref="J514:J577" si="99">IFERROR(IF(OR(E514="",INDEX(E:E,MATCH(DATE(YEAR($A514)-1,MONTH($A514),DAY($A514)),$A:$A,0))=""),"",E514/INDEX(E:E,MATCH(DATE(YEAR($A514)-1,MONTH($A514),DAY($A514)),$A:$A,0))-1),"")</f>
        <v>0.31486591993569712</v>
      </c>
      <c r="K514" s="15">
        <f t="shared" ref="K514:K577" si="100">IFERROR(IF(OR(F514="",INDEX(F:F,MATCH(DATE(YEAR($A514)-1,MONTH($A514),DAY($A514)),$A:$A,0))=""),"",F514/INDEX(F:F,MATCH(DATE(YEAR($A514)-1,MONTH($A514),DAY($A514)),$A:$A,0))-1),"")</f>
        <v>-0.99667651403249635</v>
      </c>
      <c r="L514" s="15">
        <f t="shared" ref="L514:L577" si="101">IFERROR(IF(OR(G514="",INDEX(G:G,MATCH(DATE(YEAR($A514)-1,MONTH($A514),DAY($A514)),$A:$A,0))=""),"",G514/INDEX(G:G,MATCH(DATE(YEAR($A514)-1,MONTH($A514),DAY($A514)),$A:$A,0))-1),"")</f>
        <v>0.31463808831316786</v>
      </c>
      <c r="M514" s="15">
        <f t="shared" si="93"/>
        <v>3.701935495119768E-3</v>
      </c>
      <c r="N514" s="15">
        <f t="shared" si="94"/>
        <v>-0.5</v>
      </c>
      <c r="O514" s="15">
        <f t="shared" si="95"/>
        <v>3.7014914496127371E-3</v>
      </c>
      <c r="P514" s="18">
        <f>IF(SUMIFS('Daily NSE Equity Futures'!$J:$J,'Daily NSE Equity Futures'!$A:$A,$A514)=0,"",SUMIFS('Daily NSE Equity Futures'!$J:$J,'Daily NSE Equity Futures'!$A:$A,$A514))</f>
        <v>2760812</v>
      </c>
      <c r="Q514" s="7">
        <f>IF(SUMIFS('Daily BSE Equity Futures'!$J:$J,'Daily BSE Equity Futures'!$A:$A,$A514)=0,"",SUMIFS('Daily BSE Equity Futures'!$J:$J,'Daily BSE Equity Futures'!$A:$A,$A514))</f>
        <v>1</v>
      </c>
      <c r="R514" s="7">
        <f t="shared" ref="R514:R577" si="102">IF(OR(P514="",Q514=""),"",P514+Q514)</f>
        <v>2760813</v>
      </c>
      <c r="S514" s="19">
        <f t="shared" ref="S514:S577" si="103">IF(R514="","",P514/R514)</f>
        <v>0.9999996377878545</v>
      </c>
      <c r="T514" s="19">
        <f t="shared" ref="T514:T577" si="104">IF(R514="","",Q514/R514)</f>
        <v>3.6221214548033498E-7</v>
      </c>
    </row>
    <row r="515" spans="1:20" x14ac:dyDescent="0.2">
      <c r="A515" s="9">
        <v>44678</v>
      </c>
      <c r="B515" s="4" t="s">
        <v>221</v>
      </c>
      <c r="C515" s="8">
        <v>44652</v>
      </c>
      <c r="D515" s="4" t="s">
        <v>181</v>
      </c>
      <c r="E515" s="14">
        <f>IF(SUMIFS('Daily NSE Equity Futures'!$I:$I,'Daily NSE Equity Futures'!$A:$A,$A515)=0,"",SUMIFS('Daily NSE Equity Futures'!$I:$I,'Daily NSE Equity Futures'!$A:$A,$A515))</f>
        <v>2039.6665</v>
      </c>
      <c r="F515" s="6">
        <f>IF(SUMIFS('Daily BSE Equity Futures'!$I:$I,'Daily BSE Equity Futures'!$A:$A,$A515)=0,"",SUMIFS('Daily BSE Equity Futures'!$I:$I,'Daily BSE Equity Futures'!$A:$A,$A515))</f>
        <v>8.9999999999999998E-4</v>
      </c>
      <c r="G515" s="6">
        <f t="shared" si="96"/>
        <v>2039.6674</v>
      </c>
      <c r="H515" s="15">
        <f t="shared" si="97"/>
        <v>0.99999955875158864</v>
      </c>
      <c r="I515" s="15">
        <f t="shared" si="98"/>
        <v>4.4124841138314997E-7</v>
      </c>
      <c r="J515" s="20">
        <f t="shared" si="99"/>
        <v>0.21491848142523717</v>
      </c>
      <c r="K515" s="15">
        <f t="shared" si="100"/>
        <v>-0.99589603283173733</v>
      </c>
      <c r="L515" s="15">
        <f t="shared" si="101"/>
        <v>0.21476033932597693</v>
      </c>
      <c r="M515" s="15">
        <f t="shared" ref="M515:M578" si="105">IF(OR(E515="",E514=""),"",E515/E514-1)</f>
        <v>-4.7409402588340921E-3</v>
      </c>
      <c r="N515" s="15">
        <f t="shared" ref="N515:N578" si="106">IF(OR(F515="",F514=""),"",F515/F514-1)</f>
        <v>0</v>
      </c>
      <c r="O515" s="15">
        <f t="shared" ref="O515:O578" si="107">IF(OR(G515="",G514=""),"",G515/G514-1)</f>
        <v>-4.7409381768195313E-3</v>
      </c>
      <c r="P515" s="18">
        <f>IF(SUMIFS('Daily NSE Equity Futures'!$J:$J,'Daily NSE Equity Futures'!$A:$A,$A515)=0,"",SUMIFS('Daily NSE Equity Futures'!$J:$J,'Daily NSE Equity Futures'!$A:$A,$A515))</f>
        <v>2757946</v>
      </c>
      <c r="Q515" s="7">
        <f>IF(SUMIFS('Daily BSE Equity Futures'!$J:$J,'Daily BSE Equity Futures'!$A:$A,$A515)=0,"",SUMIFS('Daily BSE Equity Futures'!$J:$J,'Daily BSE Equity Futures'!$A:$A,$A515))</f>
        <v>1</v>
      </c>
      <c r="R515" s="7">
        <f t="shared" si="102"/>
        <v>2757947</v>
      </c>
      <c r="S515" s="19">
        <f t="shared" si="103"/>
        <v>0.99999963741145137</v>
      </c>
      <c r="T515" s="19">
        <f t="shared" si="104"/>
        <v>3.6258854865593865E-7</v>
      </c>
    </row>
    <row r="516" spans="1:20" x14ac:dyDescent="0.2">
      <c r="A516" s="9">
        <v>44679</v>
      </c>
      <c r="B516" s="4" t="s">
        <v>224</v>
      </c>
      <c r="C516" s="8">
        <v>44652</v>
      </c>
      <c r="D516" s="4" t="s">
        <v>181</v>
      </c>
      <c r="E516" s="14">
        <f>IF(SUMIFS('Daily NSE Equity Futures'!$I:$I,'Daily NSE Equity Futures'!$A:$A,$A516)=0,"",SUMIFS('Daily NSE Equity Futures'!$I:$I,'Daily NSE Equity Futures'!$A:$A,$A516))</f>
        <v>2098.8984</v>
      </c>
      <c r="F516" s="6">
        <f>IF(SUMIFS('Daily BSE Equity Futures'!$I:$I,'Daily BSE Equity Futures'!$A:$A,$A516)=0,"",SUMIFS('Daily BSE Equity Futures'!$I:$I,'Daily BSE Equity Futures'!$A:$A,$A516))</f>
        <v>2.7000000000000001E-3</v>
      </c>
      <c r="G516" s="6">
        <f t="shared" si="96"/>
        <v>2098.9011</v>
      </c>
      <c r="H516" s="15">
        <f t="shared" si="97"/>
        <v>0.99999871361256609</v>
      </c>
      <c r="I516" s="15">
        <f t="shared" si="98"/>
        <v>1.2863874338814726E-6</v>
      </c>
      <c r="J516" s="20">
        <f t="shared" si="99"/>
        <v>0.1695005350208536</v>
      </c>
      <c r="K516" s="15">
        <f t="shared" si="100"/>
        <v>-0.89925373134328357</v>
      </c>
      <c r="L516" s="15">
        <f t="shared" si="101"/>
        <v>0.16948457567161324</v>
      </c>
      <c r="M516" s="15">
        <f t="shared" si="105"/>
        <v>2.9039992567412298E-2</v>
      </c>
      <c r="N516" s="15">
        <f t="shared" si="106"/>
        <v>2.0000000000000004</v>
      </c>
      <c r="O516" s="15">
        <f t="shared" si="107"/>
        <v>2.9040862250384603E-2</v>
      </c>
      <c r="P516" s="18">
        <f>IF(SUMIFS('Daily NSE Equity Futures'!$J:$J,'Daily NSE Equity Futures'!$A:$A,$A516)=0,"",SUMIFS('Daily NSE Equity Futures'!$J:$J,'Daily NSE Equity Futures'!$A:$A,$A516))</f>
        <v>2841311</v>
      </c>
      <c r="Q516" s="7">
        <f>IF(SUMIFS('Daily BSE Equity Futures'!$J:$J,'Daily BSE Equity Futures'!$A:$A,$A516)=0,"",SUMIFS('Daily BSE Equity Futures'!$J:$J,'Daily BSE Equity Futures'!$A:$A,$A516))</f>
        <v>3</v>
      </c>
      <c r="R516" s="7">
        <f t="shared" si="102"/>
        <v>2841314</v>
      </c>
      <c r="S516" s="19">
        <f t="shared" si="103"/>
        <v>0.99999894415048807</v>
      </c>
      <c r="T516" s="19">
        <f t="shared" si="104"/>
        <v>1.0558495118807707E-6</v>
      </c>
    </row>
    <row r="517" spans="1:20" x14ac:dyDescent="0.2">
      <c r="A517" s="9">
        <v>44680</v>
      </c>
      <c r="B517" s="4" t="s">
        <v>222</v>
      </c>
      <c r="C517" s="8">
        <v>44652</v>
      </c>
      <c r="D517" s="4" t="s">
        <v>181</v>
      </c>
      <c r="E517" s="14">
        <f>IF(SUMIFS('Daily NSE Equity Futures'!$I:$I,'Daily NSE Equity Futures'!$A:$A,$A517)=0,"",SUMIFS('Daily NSE Equity Futures'!$I:$I,'Daily NSE Equity Futures'!$A:$A,$A517))</f>
        <v>1111.4083000000001</v>
      </c>
      <c r="F517" s="6">
        <f>IF(SUMIFS('Daily BSE Equity Futures'!$I:$I,'Daily BSE Equity Futures'!$A:$A,$A517)=0,"",SUMIFS('Daily BSE Equity Futures'!$I:$I,'Daily BSE Equity Futures'!$A:$A,$A517))</f>
        <v>3.5999999999999999E-3</v>
      </c>
      <c r="G517" s="6">
        <f t="shared" si="96"/>
        <v>1111.4119000000001</v>
      </c>
      <c r="H517" s="15">
        <f t="shared" si="97"/>
        <v>0.99999676087686307</v>
      </c>
      <c r="I517" s="15">
        <f t="shared" si="98"/>
        <v>3.2391231369755889E-6</v>
      </c>
      <c r="J517" s="20">
        <f t="shared" si="99"/>
        <v>-0.4297874473420541</v>
      </c>
      <c r="K517" s="15">
        <f t="shared" si="100"/>
        <v>-0.97180892717306189</v>
      </c>
      <c r="L517" s="15">
        <f t="shared" si="101"/>
        <v>-0.42982295663951076</v>
      </c>
      <c r="M517" s="15">
        <f t="shared" si="105"/>
        <v>-0.47048018141325942</v>
      </c>
      <c r="N517" s="15">
        <f t="shared" si="106"/>
        <v>0.33333333333333326</v>
      </c>
      <c r="O517" s="15">
        <f t="shared" si="107"/>
        <v>-0.47047914739765484</v>
      </c>
      <c r="P517" s="18">
        <f>IF(SUMIFS('Daily NSE Equity Futures'!$J:$J,'Daily NSE Equity Futures'!$A:$A,$A517)=0,"",SUMIFS('Daily NSE Equity Futures'!$J:$J,'Daily NSE Equity Futures'!$A:$A,$A517))</f>
        <v>1475263</v>
      </c>
      <c r="Q517" s="7">
        <f>IF(SUMIFS('Daily BSE Equity Futures'!$J:$J,'Daily BSE Equity Futures'!$A:$A,$A517)=0,"",SUMIFS('Daily BSE Equity Futures'!$J:$J,'Daily BSE Equity Futures'!$A:$A,$A517))</f>
        <v>4</v>
      </c>
      <c r="R517" s="7">
        <f t="shared" si="102"/>
        <v>1475267</v>
      </c>
      <c r="S517" s="19">
        <f t="shared" si="103"/>
        <v>0.99999728862639781</v>
      </c>
      <c r="T517" s="19">
        <f t="shared" si="104"/>
        <v>2.7113736022021776E-6</v>
      </c>
    </row>
    <row r="518" spans="1:20" x14ac:dyDescent="0.2">
      <c r="A518" s="9">
        <v>44683</v>
      </c>
      <c r="B518" s="4" t="s">
        <v>225</v>
      </c>
      <c r="C518" s="8">
        <v>44682</v>
      </c>
      <c r="D518" s="4" t="s">
        <v>181</v>
      </c>
      <c r="E518" s="14">
        <f>IF(SUMIFS('Daily NSE Equity Futures'!$I:$I,'Daily NSE Equity Futures'!$A:$A,$A518)=0,"",SUMIFS('Daily NSE Equity Futures'!$I:$I,'Daily NSE Equity Futures'!$A:$A,$A518))</f>
        <v>837.01829999999995</v>
      </c>
      <c r="F518" s="6" t="str">
        <f>IF(SUMIFS('Daily BSE Equity Futures'!$I:$I,'Daily BSE Equity Futures'!$A:$A,$A518)=0,"",SUMIFS('Daily BSE Equity Futures'!$I:$I,'Daily BSE Equity Futures'!$A:$A,$A518))</f>
        <v/>
      </c>
      <c r="G518" s="6" t="str">
        <f t="shared" si="96"/>
        <v/>
      </c>
      <c r="H518" s="15" t="str">
        <f t="shared" si="97"/>
        <v/>
      </c>
      <c r="I518" s="15" t="str">
        <f t="shared" si="98"/>
        <v/>
      </c>
      <c r="J518" s="20" t="str">
        <f t="shared" si="99"/>
        <v/>
      </c>
      <c r="K518" s="15" t="str">
        <f t="shared" si="100"/>
        <v/>
      </c>
      <c r="L518" s="15" t="str">
        <f t="shared" si="101"/>
        <v/>
      </c>
      <c r="M518" s="15">
        <f t="shared" si="105"/>
        <v>-0.24688496567823015</v>
      </c>
      <c r="N518" s="15" t="str">
        <f t="shared" si="106"/>
        <v/>
      </c>
      <c r="O518" s="15" t="str">
        <f t="shared" si="107"/>
        <v/>
      </c>
      <c r="P518" s="18">
        <f>IF(SUMIFS('Daily NSE Equity Futures'!$J:$J,'Daily NSE Equity Futures'!$A:$A,$A518)=0,"",SUMIFS('Daily NSE Equity Futures'!$J:$J,'Daily NSE Equity Futures'!$A:$A,$A518))</f>
        <v>1139764</v>
      </c>
      <c r="Q518" s="7" t="str">
        <f>IF(SUMIFS('Daily BSE Equity Futures'!$J:$J,'Daily BSE Equity Futures'!$A:$A,$A518)=0,"",SUMIFS('Daily BSE Equity Futures'!$J:$J,'Daily BSE Equity Futures'!$A:$A,$A518))</f>
        <v/>
      </c>
      <c r="R518" s="7" t="str">
        <f t="shared" si="102"/>
        <v/>
      </c>
      <c r="S518" s="19" t="str">
        <f t="shared" si="103"/>
        <v/>
      </c>
      <c r="T518" s="19" t="str">
        <f t="shared" si="104"/>
        <v/>
      </c>
    </row>
    <row r="519" spans="1:20" x14ac:dyDescent="0.2">
      <c r="A519" s="9">
        <v>44685</v>
      </c>
      <c r="B519" s="4" t="s">
        <v>221</v>
      </c>
      <c r="C519" s="8">
        <v>44682</v>
      </c>
      <c r="D519" s="4" t="s">
        <v>181</v>
      </c>
      <c r="E519" s="14">
        <f>IF(SUMIFS('Daily NSE Equity Futures'!$I:$I,'Daily NSE Equity Futures'!$A:$A,$A519)=0,"",SUMIFS('Daily NSE Equity Futures'!$I:$I,'Daily NSE Equity Futures'!$A:$A,$A519))</f>
        <v>1158.9177999999999</v>
      </c>
      <c r="F519" s="6">
        <f>IF(SUMIFS('Daily BSE Equity Futures'!$I:$I,'Daily BSE Equity Futures'!$A:$A,$A519)=0,"",SUMIFS('Daily BSE Equity Futures'!$I:$I,'Daily BSE Equity Futures'!$A:$A,$A519))</f>
        <v>8.9999999999999998E-4</v>
      </c>
      <c r="G519" s="6">
        <f t="shared" si="96"/>
        <v>1158.9186999999999</v>
      </c>
      <c r="H519" s="15">
        <f t="shared" si="97"/>
        <v>0.99999922341403236</v>
      </c>
      <c r="I519" s="15">
        <f t="shared" si="98"/>
        <v>7.7658596759203212E-7</v>
      </c>
      <c r="J519" s="20">
        <f t="shared" si="99"/>
        <v>0.11722659049063777</v>
      </c>
      <c r="K519" s="15">
        <f t="shared" si="100"/>
        <v>-0.99826355392629751</v>
      </c>
      <c r="L519" s="15">
        <f t="shared" si="101"/>
        <v>0.11666950912235552</v>
      </c>
      <c r="M519" s="15">
        <f t="shared" si="105"/>
        <v>0.38457880789464216</v>
      </c>
      <c r="N519" s="15" t="str">
        <f t="shared" si="106"/>
        <v/>
      </c>
      <c r="O519" s="15" t="str">
        <f t="shared" si="107"/>
        <v/>
      </c>
      <c r="P519" s="18">
        <f>IF(SUMIFS('Daily NSE Equity Futures'!$J:$J,'Daily NSE Equity Futures'!$A:$A,$A519)=0,"",SUMIFS('Daily NSE Equity Futures'!$J:$J,'Daily NSE Equity Futures'!$A:$A,$A519))</f>
        <v>1556647</v>
      </c>
      <c r="Q519" s="7">
        <f>IF(SUMIFS('Daily BSE Equity Futures'!$J:$J,'Daily BSE Equity Futures'!$A:$A,$A519)=0,"",SUMIFS('Daily BSE Equity Futures'!$J:$J,'Daily BSE Equity Futures'!$A:$A,$A519))</f>
        <v>1</v>
      </c>
      <c r="R519" s="7">
        <f t="shared" si="102"/>
        <v>1556648</v>
      </c>
      <c r="S519" s="19">
        <f t="shared" si="103"/>
        <v>0.99999935759400971</v>
      </c>
      <c r="T519" s="19">
        <f t="shared" si="104"/>
        <v>6.4240599030737842E-7</v>
      </c>
    </row>
    <row r="520" spans="1:20" x14ac:dyDescent="0.2">
      <c r="A520" s="9">
        <v>44686</v>
      </c>
      <c r="B520" s="4" t="s">
        <v>224</v>
      </c>
      <c r="C520" s="8">
        <v>44682</v>
      </c>
      <c r="D520" s="4" t="s">
        <v>181</v>
      </c>
      <c r="E520" s="14">
        <f>IF(SUMIFS('Daily NSE Equity Futures'!$I:$I,'Daily NSE Equity Futures'!$A:$A,$A520)=0,"",SUMIFS('Daily NSE Equity Futures'!$I:$I,'Daily NSE Equity Futures'!$A:$A,$A520))</f>
        <v>995.07629999999995</v>
      </c>
      <c r="F520" s="6">
        <f>IF(SUMIFS('Daily BSE Equity Futures'!$I:$I,'Daily BSE Equity Futures'!$A:$A,$A520)=0,"",SUMIFS('Daily BSE Equity Futures'!$I:$I,'Daily BSE Equity Futures'!$A:$A,$A520))</f>
        <v>1.8E-3</v>
      </c>
      <c r="G520" s="6">
        <f t="shared" si="96"/>
        <v>995.07809999999995</v>
      </c>
      <c r="H520" s="15">
        <f t="shared" si="97"/>
        <v>0.99999819109675914</v>
      </c>
      <c r="I520" s="15">
        <f t="shared" si="98"/>
        <v>1.8089032408611948E-6</v>
      </c>
      <c r="J520" s="20">
        <f t="shared" si="99"/>
        <v>1.1855700713796713E-2</v>
      </c>
      <c r="K520" s="15">
        <f t="shared" si="100"/>
        <v>-0.982791586998088</v>
      </c>
      <c r="L520" s="15">
        <f t="shared" si="101"/>
        <v>1.1749917490390116E-2</v>
      </c>
      <c r="M520" s="15">
        <f t="shared" si="105"/>
        <v>-0.14137456513309232</v>
      </c>
      <c r="N520" s="15">
        <f t="shared" si="106"/>
        <v>1</v>
      </c>
      <c r="O520" s="15">
        <f t="shared" si="107"/>
        <v>-0.14137367875762119</v>
      </c>
      <c r="P520" s="18">
        <f>IF(SUMIFS('Daily NSE Equity Futures'!$J:$J,'Daily NSE Equity Futures'!$A:$A,$A520)=0,"",SUMIFS('Daily NSE Equity Futures'!$J:$J,'Daily NSE Equity Futures'!$A:$A,$A520))</f>
        <v>1351891</v>
      </c>
      <c r="Q520" s="7">
        <f>IF(SUMIFS('Daily BSE Equity Futures'!$J:$J,'Daily BSE Equity Futures'!$A:$A,$A520)=0,"",SUMIFS('Daily BSE Equity Futures'!$J:$J,'Daily BSE Equity Futures'!$A:$A,$A520))</f>
        <v>2</v>
      </c>
      <c r="R520" s="7">
        <f t="shared" si="102"/>
        <v>1351893</v>
      </c>
      <c r="S520" s="19">
        <f t="shared" si="103"/>
        <v>0.99999852059297589</v>
      </c>
      <c r="T520" s="19">
        <f t="shared" si="104"/>
        <v>1.4794070240766095E-6</v>
      </c>
    </row>
    <row r="521" spans="1:20" x14ac:dyDescent="0.2">
      <c r="A521" s="9">
        <v>44687</v>
      </c>
      <c r="B521" s="4" t="s">
        <v>222</v>
      </c>
      <c r="C521" s="8">
        <v>44682</v>
      </c>
      <c r="D521" s="4" t="s">
        <v>181</v>
      </c>
      <c r="E521" s="14">
        <f>IF(SUMIFS('Daily NSE Equity Futures'!$I:$I,'Daily NSE Equity Futures'!$A:$A,$A521)=0,"",SUMIFS('Daily NSE Equity Futures'!$I:$I,'Daily NSE Equity Futures'!$A:$A,$A521))</f>
        <v>1057.1406999999999</v>
      </c>
      <c r="F521" s="6">
        <f>IF(SUMIFS('Daily BSE Equity Futures'!$I:$I,'Daily BSE Equity Futures'!$A:$A,$A521)=0,"",SUMIFS('Daily BSE Equity Futures'!$I:$I,'Daily BSE Equity Futures'!$A:$A,$A521))</f>
        <v>8.9999999999999998E-4</v>
      </c>
      <c r="G521" s="6">
        <f t="shared" si="96"/>
        <v>1057.1415999999999</v>
      </c>
      <c r="H521" s="15">
        <f t="shared" si="97"/>
        <v>0.99999914864763628</v>
      </c>
      <c r="I521" s="15">
        <f t="shared" si="98"/>
        <v>8.5135236377037859E-7</v>
      </c>
      <c r="J521" s="20">
        <f t="shared" si="99"/>
        <v>0.15115444770506992</v>
      </c>
      <c r="K521" s="15">
        <f t="shared" si="100"/>
        <v>-0.99003322259136217</v>
      </c>
      <c r="L521" s="15">
        <f t="shared" si="101"/>
        <v>0.15104224510496911</v>
      </c>
      <c r="M521" s="15">
        <f t="shared" si="105"/>
        <v>6.2371498547397763E-2</v>
      </c>
      <c r="N521" s="15">
        <f t="shared" si="106"/>
        <v>-0.5</v>
      </c>
      <c r="O521" s="15">
        <f t="shared" si="107"/>
        <v>6.2370481271771583E-2</v>
      </c>
      <c r="P521" s="18">
        <f>IF(SUMIFS('Daily NSE Equity Futures'!$J:$J,'Daily NSE Equity Futures'!$A:$A,$A521)=0,"",SUMIFS('Daily NSE Equity Futures'!$J:$J,'Daily NSE Equity Futures'!$A:$A,$A521))</f>
        <v>1496410</v>
      </c>
      <c r="Q521" s="7">
        <f>IF(SUMIFS('Daily BSE Equity Futures'!$J:$J,'Daily BSE Equity Futures'!$A:$A,$A521)=0,"",SUMIFS('Daily BSE Equity Futures'!$J:$J,'Daily BSE Equity Futures'!$A:$A,$A521))</f>
        <v>1</v>
      </c>
      <c r="R521" s="7">
        <f t="shared" si="102"/>
        <v>1496411</v>
      </c>
      <c r="S521" s="19">
        <f t="shared" si="103"/>
        <v>0.99999933173439648</v>
      </c>
      <c r="T521" s="19">
        <f t="shared" si="104"/>
        <v>6.682656035006425E-7</v>
      </c>
    </row>
    <row r="522" spans="1:20" x14ac:dyDescent="0.2">
      <c r="A522" s="9">
        <v>44690</v>
      </c>
      <c r="B522" s="4" t="s">
        <v>225</v>
      </c>
      <c r="C522" s="8">
        <v>44682</v>
      </c>
      <c r="D522" s="4" t="s">
        <v>181</v>
      </c>
      <c r="E522" s="14">
        <f>IF(SUMIFS('Daily NSE Equity Futures'!$I:$I,'Daily NSE Equity Futures'!$A:$A,$A522)=0,"",SUMIFS('Daily NSE Equity Futures'!$I:$I,'Daily NSE Equity Futures'!$A:$A,$A522))</f>
        <v>998.99239999999998</v>
      </c>
      <c r="F522" s="6" t="str">
        <f>IF(SUMIFS('Daily BSE Equity Futures'!$I:$I,'Daily BSE Equity Futures'!$A:$A,$A522)=0,"",SUMIFS('Daily BSE Equity Futures'!$I:$I,'Daily BSE Equity Futures'!$A:$A,$A522))</f>
        <v/>
      </c>
      <c r="G522" s="6" t="str">
        <f t="shared" si="96"/>
        <v/>
      </c>
      <c r="H522" s="15" t="str">
        <f t="shared" si="97"/>
        <v/>
      </c>
      <c r="I522" s="15" t="str">
        <f t="shared" si="98"/>
        <v/>
      </c>
      <c r="J522" s="20" t="str">
        <f t="shared" si="99"/>
        <v/>
      </c>
      <c r="K522" s="15" t="str">
        <f t="shared" si="100"/>
        <v/>
      </c>
      <c r="L522" s="15" t="str">
        <f t="shared" si="101"/>
        <v/>
      </c>
      <c r="M522" s="15">
        <f t="shared" si="105"/>
        <v>-5.5005260889113394E-2</v>
      </c>
      <c r="N522" s="15" t="str">
        <f t="shared" si="106"/>
        <v/>
      </c>
      <c r="O522" s="15" t="str">
        <f t="shared" si="107"/>
        <v/>
      </c>
      <c r="P522" s="18">
        <f>IF(SUMIFS('Daily NSE Equity Futures'!$J:$J,'Daily NSE Equity Futures'!$A:$A,$A522)=0,"",SUMIFS('Daily NSE Equity Futures'!$J:$J,'Daily NSE Equity Futures'!$A:$A,$A522))</f>
        <v>1413474</v>
      </c>
      <c r="Q522" s="7" t="str">
        <f>IF(SUMIFS('Daily BSE Equity Futures'!$J:$J,'Daily BSE Equity Futures'!$A:$A,$A522)=0,"",SUMIFS('Daily BSE Equity Futures'!$J:$J,'Daily BSE Equity Futures'!$A:$A,$A522))</f>
        <v/>
      </c>
      <c r="R522" s="7" t="str">
        <f t="shared" si="102"/>
        <v/>
      </c>
      <c r="S522" s="19" t="str">
        <f t="shared" si="103"/>
        <v/>
      </c>
      <c r="T522" s="19" t="str">
        <f t="shared" si="104"/>
        <v/>
      </c>
    </row>
    <row r="523" spans="1:20" x14ac:dyDescent="0.2">
      <c r="A523" s="9">
        <v>44691</v>
      </c>
      <c r="B523" s="4" t="s">
        <v>223</v>
      </c>
      <c r="C523" s="8">
        <v>44682</v>
      </c>
      <c r="D523" s="4" t="s">
        <v>181</v>
      </c>
      <c r="E523" s="14">
        <f>IF(SUMIFS('Daily NSE Equity Futures'!$I:$I,'Daily NSE Equity Futures'!$A:$A,$A523)=0,"",SUMIFS('Daily NSE Equity Futures'!$I:$I,'Daily NSE Equity Futures'!$A:$A,$A523))</f>
        <v>977.36580000000004</v>
      </c>
      <c r="F523" s="6">
        <f>IF(SUMIFS('Daily BSE Equity Futures'!$I:$I,'Daily BSE Equity Futures'!$A:$A,$A523)=0,"",SUMIFS('Daily BSE Equity Futures'!$I:$I,'Daily BSE Equity Futures'!$A:$A,$A523))</f>
        <v>1.4500000000000001E-2</v>
      </c>
      <c r="G523" s="6">
        <f t="shared" si="96"/>
        <v>977.38030000000003</v>
      </c>
      <c r="H523" s="15">
        <f t="shared" si="97"/>
        <v>0.9999851644237151</v>
      </c>
      <c r="I523" s="15">
        <f t="shared" si="98"/>
        <v>1.4835576284891358E-5</v>
      </c>
      <c r="J523" s="20">
        <f t="shared" si="99"/>
        <v>0.12347701981487846</v>
      </c>
      <c r="K523" s="15">
        <f t="shared" si="100"/>
        <v>0.12403100775193798</v>
      </c>
      <c r="L523" s="15">
        <f t="shared" si="101"/>
        <v>0.12347702802955829</v>
      </c>
      <c r="M523" s="15">
        <f t="shared" si="105"/>
        <v>-2.1648412940879158E-2</v>
      </c>
      <c r="N523" s="15" t="str">
        <f t="shared" si="106"/>
        <v/>
      </c>
      <c r="O523" s="15" t="str">
        <f t="shared" si="107"/>
        <v/>
      </c>
      <c r="P523" s="18">
        <f>IF(SUMIFS('Daily NSE Equity Futures'!$J:$J,'Daily NSE Equity Futures'!$A:$A,$A523)=0,"",SUMIFS('Daily NSE Equity Futures'!$J:$J,'Daily NSE Equity Futures'!$A:$A,$A523))</f>
        <v>1391089</v>
      </c>
      <c r="Q523" s="7">
        <f>IF(SUMIFS('Daily BSE Equity Futures'!$J:$J,'Daily BSE Equity Futures'!$A:$A,$A523)=0,"",SUMIFS('Daily BSE Equity Futures'!$J:$J,'Daily BSE Equity Futures'!$A:$A,$A523))</f>
        <v>17</v>
      </c>
      <c r="R523" s="7">
        <f t="shared" si="102"/>
        <v>1391106</v>
      </c>
      <c r="S523" s="19">
        <f t="shared" si="103"/>
        <v>0.99998777950781603</v>
      </c>
      <c r="T523" s="19">
        <f t="shared" si="104"/>
        <v>1.2220492183916969E-5</v>
      </c>
    </row>
    <row r="524" spans="1:20" x14ac:dyDescent="0.2">
      <c r="A524" s="9">
        <v>44692</v>
      </c>
      <c r="B524" s="4" t="s">
        <v>221</v>
      </c>
      <c r="C524" s="8">
        <v>44682</v>
      </c>
      <c r="D524" s="4" t="s">
        <v>181</v>
      </c>
      <c r="E524" s="14">
        <f>IF(SUMIFS('Daily NSE Equity Futures'!$I:$I,'Daily NSE Equity Futures'!$A:$A,$A524)=0,"",SUMIFS('Daily NSE Equity Futures'!$I:$I,'Daily NSE Equity Futures'!$A:$A,$A524))</f>
        <v>1098.4835</v>
      </c>
      <c r="F524" s="6">
        <f>IF(SUMIFS('Daily BSE Equity Futures'!$I:$I,'Daily BSE Equity Futures'!$A:$A,$A524)=0,"",SUMIFS('Daily BSE Equity Futures'!$I:$I,'Daily BSE Equity Futures'!$A:$A,$A524))</f>
        <v>9.2999999999999992E-3</v>
      </c>
      <c r="G524" s="6">
        <f t="shared" si="96"/>
        <v>1098.4928</v>
      </c>
      <c r="H524" s="15">
        <f t="shared" si="97"/>
        <v>0.99999153385438677</v>
      </c>
      <c r="I524" s="15">
        <f t="shared" si="98"/>
        <v>8.4661456133349256E-6</v>
      </c>
      <c r="J524" s="20">
        <f t="shared" si="99"/>
        <v>0.1125046182041507</v>
      </c>
      <c r="K524" s="15">
        <f t="shared" si="100"/>
        <v>-0.33571428571428574</v>
      </c>
      <c r="L524" s="15">
        <f t="shared" si="101"/>
        <v>0.11249826313424971</v>
      </c>
      <c r="M524" s="15">
        <f t="shared" si="105"/>
        <v>0.12392258865616124</v>
      </c>
      <c r="N524" s="15">
        <f t="shared" si="106"/>
        <v>-0.35862068965517246</v>
      </c>
      <c r="O524" s="15">
        <f t="shared" si="107"/>
        <v>0.12391542984854498</v>
      </c>
      <c r="P524" s="18">
        <f>IF(SUMIFS('Daily NSE Equity Futures'!$J:$J,'Daily NSE Equity Futures'!$A:$A,$A524)=0,"",SUMIFS('Daily NSE Equity Futures'!$J:$J,'Daily NSE Equity Futures'!$A:$A,$A524))</f>
        <v>1596917</v>
      </c>
      <c r="Q524" s="7">
        <f>IF(SUMIFS('Daily BSE Equity Futures'!$J:$J,'Daily BSE Equity Futures'!$A:$A,$A524)=0,"",SUMIFS('Daily BSE Equity Futures'!$J:$J,'Daily BSE Equity Futures'!$A:$A,$A524))</f>
        <v>11</v>
      </c>
      <c r="R524" s="7">
        <f t="shared" si="102"/>
        <v>1596928</v>
      </c>
      <c r="S524" s="19">
        <f t="shared" si="103"/>
        <v>0.99999311177460726</v>
      </c>
      <c r="T524" s="19">
        <f t="shared" si="104"/>
        <v>6.8882253927540882E-6</v>
      </c>
    </row>
    <row r="525" spans="1:20" x14ac:dyDescent="0.2">
      <c r="A525" s="9">
        <v>44693</v>
      </c>
      <c r="B525" s="4" t="s">
        <v>224</v>
      </c>
      <c r="C525" s="8">
        <v>44682</v>
      </c>
      <c r="D525" s="4" t="s">
        <v>181</v>
      </c>
      <c r="E525" s="14">
        <f>IF(SUMIFS('Daily NSE Equity Futures'!$I:$I,'Daily NSE Equity Futures'!$A:$A,$A525)=0,"",SUMIFS('Daily NSE Equity Futures'!$I:$I,'Daily NSE Equity Futures'!$A:$A,$A525))</f>
        <v>1086.5905</v>
      </c>
      <c r="F525" s="6">
        <f>IF(SUMIFS('Daily BSE Equity Futures'!$I:$I,'Daily BSE Equity Futures'!$A:$A,$A525)=0,"",SUMIFS('Daily BSE Equity Futures'!$I:$I,'Daily BSE Equity Futures'!$A:$A,$A525))</f>
        <v>3.3E-3</v>
      </c>
      <c r="G525" s="6">
        <f t="shared" si="96"/>
        <v>1086.5938000000001</v>
      </c>
      <c r="H525" s="15">
        <f t="shared" si="97"/>
        <v>0.9999969629865364</v>
      </c>
      <c r="I525" s="15">
        <f t="shared" si="98"/>
        <v>3.037013463540837E-6</v>
      </c>
      <c r="J525" s="20">
        <f t="shared" si="99"/>
        <v>-2.3356947281576668E-2</v>
      </c>
      <c r="K525" s="15">
        <f t="shared" si="100"/>
        <v>-0.81034482758620685</v>
      </c>
      <c r="L525" s="15">
        <f t="shared" si="101"/>
        <v>-2.3369255082467899E-2</v>
      </c>
      <c r="M525" s="15">
        <f t="shared" si="105"/>
        <v>-1.0826744325244775E-2</v>
      </c>
      <c r="N525" s="15">
        <f t="shared" si="106"/>
        <v>-0.64516129032258063</v>
      </c>
      <c r="O525" s="15">
        <f t="shared" si="107"/>
        <v>-1.0832114693878681E-2</v>
      </c>
      <c r="P525" s="18">
        <f>IF(SUMIFS('Daily NSE Equity Futures'!$J:$J,'Daily NSE Equity Futures'!$A:$A,$A525)=0,"",SUMIFS('Daily NSE Equity Futures'!$J:$J,'Daily NSE Equity Futures'!$A:$A,$A525))</f>
        <v>1586703</v>
      </c>
      <c r="Q525" s="7">
        <f>IF(SUMIFS('Daily BSE Equity Futures'!$J:$J,'Daily BSE Equity Futures'!$A:$A,$A525)=0,"",SUMIFS('Daily BSE Equity Futures'!$J:$J,'Daily BSE Equity Futures'!$A:$A,$A525))</f>
        <v>4</v>
      </c>
      <c r="R525" s="7">
        <f t="shared" si="102"/>
        <v>1586707</v>
      </c>
      <c r="S525" s="19">
        <f t="shared" si="103"/>
        <v>0.99999747905567948</v>
      </c>
      <c r="T525" s="19">
        <f t="shared" si="104"/>
        <v>2.5209443205330286E-6</v>
      </c>
    </row>
    <row r="526" spans="1:20" x14ac:dyDescent="0.2">
      <c r="A526" s="9">
        <v>44694</v>
      </c>
      <c r="B526" s="4" t="s">
        <v>222</v>
      </c>
      <c r="C526" s="8">
        <v>44682</v>
      </c>
      <c r="D526" s="4" t="s">
        <v>181</v>
      </c>
      <c r="E526" s="14">
        <f>IF(SUMIFS('Daily NSE Equity Futures'!$I:$I,'Daily NSE Equity Futures'!$A:$A,$A526)=0,"",SUMIFS('Daily NSE Equity Futures'!$I:$I,'Daily NSE Equity Futures'!$A:$A,$A526))</f>
        <v>1191.3117999999999</v>
      </c>
      <c r="F526" s="6">
        <f>IF(SUMIFS('Daily BSE Equity Futures'!$I:$I,'Daily BSE Equity Futures'!$A:$A,$A526)=0,"",SUMIFS('Daily BSE Equity Futures'!$I:$I,'Daily BSE Equity Futures'!$A:$A,$A526))</f>
        <v>5.8999999999999999E-3</v>
      </c>
      <c r="G526" s="6">
        <f t="shared" si="96"/>
        <v>1191.3177000000001</v>
      </c>
      <c r="H526" s="15">
        <f t="shared" si="97"/>
        <v>0.99999504750076318</v>
      </c>
      <c r="I526" s="15">
        <f t="shared" si="98"/>
        <v>4.952499236769503E-6</v>
      </c>
      <c r="J526" s="20" t="str">
        <f t="shared" si="99"/>
        <v/>
      </c>
      <c r="K526" s="15" t="str">
        <f t="shared" si="100"/>
        <v/>
      </c>
      <c r="L526" s="15" t="str">
        <f t="shared" si="101"/>
        <v/>
      </c>
      <c r="M526" s="15">
        <f t="shared" si="105"/>
        <v>9.6376049670966024E-2</v>
      </c>
      <c r="N526" s="15">
        <f t="shared" si="106"/>
        <v>0.78787878787878785</v>
      </c>
      <c r="O526" s="15">
        <f t="shared" si="107"/>
        <v>9.6378149774092092E-2</v>
      </c>
      <c r="P526" s="18">
        <f>IF(SUMIFS('Daily NSE Equity Futures'!$J:$J,'Daily NSE Equity Futures'!$A:$A,$A526)=0,"",SUMIFS('Daily NSE Equity Futures'!$J:$J,'Daily NSE Equity Futures'!$A:$A,$A526))</f>
        <v>1746158</v>
      </c>
      <c r="Q526" s="7">
        <f>IF(SUMIFS('Daily BSE Equity Futures'!$J:$J,'Daily BSE Equity Futures'!$A:$A,$A526)=0,"",SUMIFS('Daily BSE Equity Futures'!$J:$J,'Daily BSE Equity Futures'!$A:$A,$A526))</f>
        <v>7</v>
      </c>
      <c r="R526" s="7">
        <f t="shared" si="102"/>
        <v>1746165</v>
      </c>
      <c r="S526" s="19">
        <f t="shared" si="103"/>
        <v>0.99999599121503413</v>
      </c>
      <c r="T526" s="19">
        <f t="shared" si="104"/>
        <v>4.0087849659110111E-6</v>
      </c>
    </row>
    <row r="527" spans="1:20" x14ac:dyDescent="0.2">
      <c r="A527" s="9">
        <v>44697</v>
      </c>
      <c r="B527" s="4" t="s">
        <v>225</v>
      </c>
      <c r="C527" s="8">
        <v>44682</v>
      </c>
      <c r="D527" s="4" t="s">
        <v>181</v>
      </c>
      <c r="E527" s="14">
        <f>IF(SUMIFS('Daily NSE Equity Futures'!$I:$I,'Daily NSE Equity Futures'!$A:$A,$A527)=0,"",SUMIFS('Daily NSE Equity Futures'!$I:$I,'Daily NSE Equity Futures'!$A:$A,$A527))</f>
        <v>918.47270000000003</v>
      </c>
      <c r="F527" s="6">
        <f>IF(SUMIFS('Daily BSE Equity Futures'!$I:$I,'Daily BSE Equity Futures'!$A:$A,$A527)=0,"",SUMIFS('Daily BSE Equity Futures'!$I:$I,'Daily BSE Equity Futures'!$A:$A,$A527))</f>
        <v>2.5000000000000001E-3</v>
      </c>
      <c r="G527" s="6">
        <f t="shared" si="96"/>
        <v>918.47520000000009</v>
      </c>
      <c r="H527" s="15">
        <f t="shared" si="97"/>
        <v>0.99999727809743799</v>
      </c>
      <c r="I527" s="15">
        <f t="shared" si="98"/>
        <v>2.7219025619853424E-6</v>
      </c>
      <c r="J527" s="20" t="str">
        <f t="shared" si="99"/>
        <v/>
      </c>
      <c r="K527" s="15" t="str">
        <f t="shared" si="100"/>
        <v/>
      </c>
      <c r="L527" s="15" t="str">
        <f t="shared" si="101"/>
        <v/>
      </c>
      <c r="M527" s="15">
        <f t="shared" si="105"/>
        <v>-0.22902408924347084</v>
      </c>
      <c r="N527" s="15">
        <f t="shared" si="106"/>
        <v>-0.57627118644067798</v>
      </c>
      <c r="O527" s="15">
        <f t="shared" si="107"/>
        <v>-0.22902580898445479</v>
      </c>
      <c r="P527" s="18">
        <f>IF(SUMIFS('Daily NSE Equity Futures'!$J:$J,'Daily NSE Equity Futures'!$A:$A,$A527)=0,"",SUMIFS('Daily NSE Equity Futures'!$J:$J,'Daily NSE Equity Futures'!$A:$A,$A527))</f>
        <v>1357684</v>
      </c>
      <c r="Q527" s="7">
        <f>IF(SUMIFS('Daily BSE Equity Futures'!$J:$J,'Daily BSE Equity Futures'!$A:$A,$A527)=0,"",SUMIFS('Daily BSE Equity Futures'!$J:$J,'Daily BSE Equity Futures'!$A:$A,$A527))</f>
        <v>3</v>
      </c>
      <c r="R527" s="7">
        <f t="shared" si="102"/>
        <v>1357687</v>
      </c>
      <c r="S527" s="19">
        <f t="shared" si="103"/>
        <v>0.99999779035963365</v>
      </c>
      <c r="T527" s="19">
        <f t="shared" si="104"/>
        <v>2.2096403662994491E-6</v>
      </c>
    </row>
    <row r="528" spans="1:20" x14ac:dyDescent="0.2">
      <c r="A528" s="9">
        <v>44698</v>
      </c>
      <c r="B528" s="4" t="s">
        <v>223</v>
      </c>
      <c r="C528" s="8">
        <v>44682</v>
      </c>
      <c r="D528" s="4" t="s">
        <v>181</v>
      </c>
      <c r="E528" s="14">
        <f>IF(SUMIFS('Daily NSE Equity Futures'!$I:$I,'Daily NSE Equity Futures'!$A:$A,$A528)=0,"",SUMIFS('Daily NSE Equity Futures'!$I:$I,'Daily NSE Equity Futures'!$A:$A,$A528))</f>
        <v>992.12350000000004</v>
      </c>
      <c r="F528" s="6">
        <f>IF(SUMIFS('Daily BSE Equity Futures'!$I:$I,'Daily BSE Equity Futures'!$A:$A,$A528)=0,"",SUMIFS('Daily BSE Equity Futures'!$I:$I,'Daily BSE Equity Futures'!$A:$A,$A528))</f>
        <v>5.0000000000000001E-3</v>
      </c>
      <c r="G528" s="6">
        <f t="shared" si="96"/>
        <v>992.12850000000003</v>
      </c>
      <c r="H528" s="15">
        <f t="shared" si="97"/>
        <v>0.99999496033023949</v>
      </c>
      <c r="I528" s="15">
        <f t="shared" si="98"/>
        <v>5.0396697605199323E-6</v>
      </c>
      <c r="J528" s="20">
        <f t="shared" si="99"/>
        <v>-5.908789927120639E-2</v>
      </c>
      <c r="K528" s="15">
        <f t="shared" si="100"/>
        <v>-0.84076433121019112</v>
      </c>
      <c r="L528" s="15">
        <f t="shared" si="101"/>
        <v>-5.9111176273553889E-2</v>
      </c>
      <c r="M528" s="15">
        <f t="shared" si="105"/>
        <v>8.0188338749752619E-2</v>
      </c>
      <c r="N528" s="15">
        <f t="shared" si="106"/>
        <v>1</v>
      </c>
      <c r="O528" s="15">
        <f t="shared" si="107"/>
        <v>8.0190842387469985E-2</v>
      </c>
      <c r="P528" s="18">
        <f>IF(SUMIFS('Daily NSE Equity Futures'!$J:$J,'Daily NSE Equity Futures'!$A:$A,$A528)=0,"",SUMIFS('Daily NSE Equity Futures'!$J:$J,'Daily NSE Equity Futures'!$A:$A,$A528))</f>
        <v>1458701</v>
      </c>
      <c r="Q528" s="7">
        <f>IF(SUMIFS('Daily BSE Equity Futures'!$J:$J,'Daily BSE Equity Futures'!$A:$A,$A528)=0,"",SUMIFS('Daily BSE Equity Futures'!$J:$J,'Daily BSE Equity Futures'!$A:$A,$A528))</f>
        <v>6</v>
      </c>
      <c r="R528" s="7">
        <f t="shared" si="102"/>
        <v>1458707</v>
      </c>
      <c r="S528" s="19">
        <f t="shared" si="103"/>
        <v>0.99999588676821327</v>
      </c>
      <c r="T528" s="19">
        <f t="shared" si="104"/>
        <v>4.1132317867810327E-6</v>
      </c>
    </row>
    <row r="529" spans="1:20" x14ac:dyDescent="0.2">
      <c r="A529" s="9">
        <v>44699</v>
      </c>
      <c r="B529" s="4" t="s">
        <v>221</v>
      </c>
      <c r="C529" s="8">
        <v>44682</v>
      </c>
      <c r="D529" s="4" t="s">
        <v>181</v>
      </c>
      <c r="E529" s="14">
        <f>IF(SUMIFS('Daily NSE Equity Futures'!$I:$I,'Daily NSE Equity Futures'!$A:$A,$A529)=0,"",SUMIFS('Daily NSE Equity Futures'!$I:$I,'Daily NSE Equity Futures'!$A:$A,$A529))</f>
        <v>1019.2805</v>
      </c>
      <c r="F529" s="6">
        <f>IF(SUMIFS('Daily BSE Equity Futures'!$I:$I,'Daily BSE Equity Futures'!$A:$A,$A529)=0,"",SUMIFS('Daily BSE Equity Futures'!$I:$I,'Daily BSE Equity Futures'!$A:$A,$A529))</f>
        <v>1.6999999999999999E-3</v>
      </c>
      <c r="G529" s="6">
        <f t="shared" si="96"/>
        <v>1019.2822</v>
      </c>
      <c r="H529" s="15">
        <f t="shared" si="97"/>
        <v>0.99999833215963152</v>
      </c>
      <c r="I529" s="15">
        <f t="shared" si="98"/>
        <v>1.6678403684475212E-6</v>
      </c>
      <c r="J529" s="20">
        <f t="shared" si="99"/>
        <v>-5.0195779146958275E-2</v>
      </c>
      <c r="K529" s="15">
        <f t="shared" si="100"/>
        <v>-0.91052631578947363</v>
      </c>
      <c r="L529" s="15">
        <f t="shared" si="101"/>
        <v>-5.0211010961015323E-2</v>
      </c>
      <c r="M529" s="15">
        <f t="shared" si="105"/>
        <v>2.7372600286153848E-2</v>
      </c>
      <c r="N529" s="15">
        <f t="shared" si="106"/>
        <v>-0.66</v>
      </c>
      <c r="O529" s="15">
        <f t="shared" si="107"/>
        <v>2.7369136155245943E-2</v>
      </c>
      <c r="P529" s="18">
        <f>IF(SUMIFS('Daily NSE Equity Futures'!$J:$J,'Daily NSE Equity Futures'!$A:$A,$A529)=0,"",SUMIFS('Daily NSE Equity Futures'!$J:$J,'Daily NSE Equity Futures'!$A:$A,$A529))</f>
        <v>1487457</v>
      </c>
      <c r="Q529" s="7">
        <f>IF(SUMIFS('Daily BSE Equity Futures'!$J:$J,'Daily BSE Equity Futures'!$A:$A,$A529)=0,"",SUMIFS('Daily BSE Equity Futures'!$J:$J,'Daily BSE Equity Futures'!$A:$A,$A529))</f>
        <v>2</v>
      </c>
      <c r="R529" s="7">
        <f t="shared" si="102"/>
        <v>1487459</v>
      </c>
      <c r="S529" s="19">
        <f t="shared" si="103"/>
        <v>0.99999865542512434</v>
      </c>
      <c r="T529" s="19">
        <f t="shared" si="104"/>
        <v>1.3445748756772456E-6</v>
      </c>
    </row>
    <row r="530" spans="1:20" x14ac:dyDescent="0.2">
      <c r="A530" s="9">
        <v>44700</v>
      </c>
      <c r="B530" s="4" t="s">
        <v>224</v>
      </c>
      <c r="C530" s="8">
        <v>44682</v>
      </c>
      <c r="D530" s="4" t="s">
        <v>181</v>
      </c>
      <c r="E530" s="14">
        <f>IF(SUMIFS('Daily NSE Equity Futures'!$I:$I,'Daily NSE Equity Futures'!$A:$A,$A530)=0,"",SUMIFS('Daily NSE Equity Futures'!$I:$I,'Daily NSE Equity Futures'!$A:$A,$A530))</f>
        <v>1082.3209999999999</v>
      </c>
      <c r="F530" s="6">
        <f>IF(SUMIFS('Daily BSE Equity Futures'!$I:$I,'Daily BSE Equity Futures'!$A:$A,$A530)=0,"",SUMIFS('Daily BSE Equity Futures'!$I:$I,'Daily BSE Equity Futures'!$A:$A,$A530))</f>
        <v>2.5000000000000001E-3</v>
      </c>
      <c r="G530" s="6">
        <f t="shared" si="96"/>
        <v>1082.3235</v>
      </c>
      <c r="H530" s="15">
        <f t="shared" si="97"/>
        <v>0.99999769015456097</v>
      </c>
      <c r="I530" s="15">
        <f t="shared" si="98"/>
        <v>2.3098454390022947E-6</v>
      </c>
      <c r="J530" s="20">
        <f t="shared" si="99"/>
        <v>0.19674303795004988</v>
      </c>
      <c r="K530" s="15">
        <f t="shared" si="100"/>
        <v>-0.98048399687743948</v>
      </c>
      <c r="L530" s="15">
        <f t="shared" si="101"/>
        <v>0.19657631604229842</v>
      </c>
      <c r="M530" s="15">
        <f t="shared" si="105"/>
        <v>6.1848038886253454E-2</v>
      </c>
      <c r="N530" s="15">
        <f t="shared" si="106"/>
        <v>0.47058823529411775</v>
      </c>
      <c r="O530" s="15">
        <f t="shared" si="107"/>
        <v>6.1848720599653406E-2</v>
      </c>
      <c r="P530" s="18">
        <f>IF(SUMIFS('Daily NSE Equity Futures'!$J:$J,'Daily NSE Equity Futures'!$A:$A,$A530)=0,"",SUMIFS('Daily NSE Equity Futures'!$J:$J,'Daily NSE Equity Futures'!$A:$A,$A530))</f>
        <v>1622889</v>
      </c>
      <c r="Q530" s="7">
        <f>IF(SUMIFS('Daily BSE Equity Futures'!$J:$J,'Daily BSE Equity Futures'!$A:$A,$A530)=0,"",SUMIFS('Daily BSE Equity Futures'!$J:$J,'Daily BSE Equity Futures'!$A:$A,$A530))</f>
        <v>3</v>
      </c>
      <c r="R530" s="7">
        <f t="shared" si="102"/>
        <v>1622892</v>
      </c>
      <c r="S530" s="19">
        <f t="shared" si="103"/>
        <v>0.99999815144815551</v>
      </c>
      <c r="T530" s="19">
        <f t="shared" si="104"/>
        <v>1.8485518444850305E-6</v>
      </c>
    </row>
    <row r="531" spans="1:20" x14ac:dyDescent="0.2">
      <c r="A531" s="9">
        <v>44701</v>
      </c>
      <c r="B531" s="4" t="s">
        <v>222</v>
      </c>
      <c r="C531" s="8">
        <v>44682</v>
      </c>
      <c r="D531" s="4" t="s">
        <v>181</v>
      </c>
      <c r="E531" s="14">
        <f>IF(SUMIFS('Daily NSE Equity Futures'!$I:$I,'Daily NSE Equity Futures'!$A:$A,$A531)=0,"",SUMIFS('Daily NSE Equity Futures'!$I:$I,'Daily NSE Equity Futures'!$A:$A,$A531))</f>
        <v>1257.4568999999999</v>
      </c>
      <c r="F531" s="6">
        <f>IF(SUMIFS('Daily BSE Equity Futures'!$I:$I,'Daily BSE Equity Futures'!$A:$A,$A531)=0,"",SUMIFS('Daily BSE Equity Futures'!$I:$I,'Daily BSE Equity Futures'!$A:$A,$A531))</f>
        <v>2.5000000000000001E-3</v>
      </c>
      <c r="G531" s="6">
        <f t="shared" si="96"/>
        <v>1257.4594</v>
      </c>
      <c r="H531" s="15">
        <f t="shared" si="97"/>
        <v>0.99999801186423987</v>
      </c>
      <c r="I531" s="15">
        <f t="shared" si="98"/>
        <v>1.9881357600889539E-6</v>
      </c>
      <c r="J531" s="20">
        <f t="shared" si="99"/>
        <v>0.29020924884469723</v>
      </c>
      <c r="K531" s="15">
        <f t="shared" si="100"/>
        <v>-0.9932009790590155</v>
      </c>
      <c r="L531" s="15">
        <f t="shared" si="101"/>
        <v>0.28972522991184246</v>
      </c>
      <c r="M531" s="15">
        <f t="shared" si="105"/>
        <v>0.16181511769613643</v>
      </c>
      <c r="N531" s="15">
        <f t="shared" si="106"/>
        <v>0</v>
      </c>
      <c r="O531" s="15">
        <f t="shared" si="107"/>
        <v>0.1618147439282247</v>
      </c>
      <c r="P531" s="18">
        <f>IF(SUMIFS('Daily NSE Equity Futures'!$J:$J,'Daily NSE Equity Futures'!$A:$A,$A531)=0,"",SUMIFS('Daily NSE Equity Futures'!$J:$J,'Daily NSE Equity Futures'!$A:$A,$A531))</f>
        <v>1867900</v>
      </c>
      <c r="Q531" s="7">
        <f>IF(SUMIFS('Daily BSE Equity Futures'!$J:$J,'Daily BSE Equity Futures'!$A:$A,$A531)=0,"",SUMIFS('Daily BSE Equity Futures'!$J:$J,'Daily BSE Equity Futures'!$A:$A,$A531))</f>
        <v>3</v>
      </c>
      <c r="R531" s="7">
        <f t="shared" si="102"/>
        <v>1867903</v>
      </c>
      <c r="S531" s="19">
        <f t="shared" si="103"/>
        <v>0.99999839392088352</v>
      </c>
      <c r="T531" s="19">
        <f t="shared" si="104"/>
        <v>1.6060791165279995E-6</v>
      </c>
    </row>
    <row r="532" spans="1:20" x14ac:dyDescent="0.2">
      <c r="A532" s="9">
        <v>44704</v>
      </c>
      <c r="B532" s="4" t="s">
        <v>225</v>
      </c>
      <c r="C532" s="8">
        <v>44682</v>
      </c>
      <c r="D532" s="4" t="s">
        <v>181</v>
      </c>
      <c r="E532" s="14">
        <f>IF(SUMIFS('Daily NSE Equity Futures'!$I:$I,'Daily NSE Equity Futures'!$A:$A,$A532)=0,"",SUMIFS('Daily NSE Equity Futures'!$I:$I,'Daily NSE Equity Futures'!$A:$A,$A532))</f>
        <v>1855.3006</v>
      </c>
      <c r="F532" s="6">
        <f>IF(SUMIFS('Daily BSE Equity Futures'!$I:$I,'Daily BSE Equity Futures'!$A:$A,$A532)=0,"",SUMIFS('Daily BSE Equity Futures'!$I:$I,'Daily BSE Equity Futures'!$A:$A,$A532))</f>
        <v>6.7999999999999996E-3</v>
      </c>
      <c r="G532" s="6">
        <f t="shared" si="96"/>
        <v>1855.3074000000001</v>
      </c>
      <c r="H532" s="15">
        <f t="shared" si="97"/>
        <v>0.99999633483917538</v>
      </c>
      <c r="I532" s="15">
        <f t="shared" si="98"/>
        <v>3.66516082456201E-6</v>
      </c>
      <c r="J532" s="20" t="str">
        <f t="shared" si="99"/>
        <v/>
      </c>
      <c r="K532" s="15" t="str">
        <f t="shared" si="100"/>
        <v/>
      </c>
      <c r="L532" s="15" t="str">
        <f t="shared" si="101"/>
        <v/>
      </c>
      <c r="M532" s="15">
        <f t="shared" si="105"/>
        <v>0.47543872080227967</v>
      </c>
      <c r="N532" s="15">
        <f t="shared" si="106"/>
        <v>1.7199999999999998</v>
      </c>
      <c r="O532" s="15">
        <f t="shared" si="107"/>
        <v>0.47544119515906447</v>
      </c>
      <c r="P532" s="18">
        <f>IF(SUMIFS('Daily NSE Equity Futures'!$J:$J,'Daily NSE Equity Futures'!$A:$A,$A532)=0,"",SUMIFS('Daily NSE Equity Futures'!$J:$J,'Daily NSE Equity Futures'!$A:$A,$A532))</f>
        <v>2834164</v>
      </c>
      <c r="Q532" s="7">
        <f>IF(SUMIFS('Daily BSE Equity Futures'!$J:$J,'Daily BSE Equity Futures'!$A:$A,$A532)=0,"",SUMIFS('Daily BSE Equity Futures'!$J:$J,'Daily BSE Equity Futures'!$A:$A,$A532))</f>
        <v>8</v>
      </c>
      <c r="R532" s="7">
        <f t="shared" si="102"/>
        <v>2834172</v>
      </c>
      <c r="S532" s="19">
        <f t="shared" si="103"/>
        <v>0.9999971773061056</v>
      </c>
      <c r="T532" s="19">
        <f t="shared" si="104"/>
        <v>2.8226938943719717E-6</v>
      </c>
    </row>
    <row r="533" spans="1:20" x14ac:dyDescent="0.2">
      <c r="A533" s="9">
        <v>44705</v>
      </c>
      <c r="B533" s="4" t="s">
        <v>223</v>
      </c>
      <c r="C533" s="8">
        <v>44682</v>
      </c>
      <c r="D533" s="4" t="s">
        <v>181</v>
      </c>
      <c r="E533" s="14">
        <f>IF(SUMIFS('Daily NSE Equity Futures'!$I:$I,'Daily NSE Equity Futures'!$A:$A,$A533)=0,"",SUMIFS('Daily NSE Equity Futures'!$I:$I,'Daily NSE Equity Futures'!$A:$A,$A533))</f>
        <v>2025.6873000000001</v>
      </c>
      <c r="F533" s="6">
        <f>IF(SUMIFS('Daily BSE Equity Futures'!$I:$I,'Daily BSE Equity Futures'!$A:$A,$A533)=0,"",SUMIFS('Daily BSE Equity Futures'!$I:$I,'Daily BSE Equity Futures'!$A:$A,$A533))</f>
        <v>2.5000000000000001E-3</v>
      </c>
      <c r="G533" s="6">
        <f t="shared" si="96"/>
        <v>2025.6898000000001</v>
      </c>
      <c r="H533" s="15">
        <f t="shared" si="97"/>
        <v>0.99999876585250114</v>
      </c>
      <c r="I533" s="15">
        <f t="shared" si="98"/>
        <v>1.2341474987927569E-6</v>
      </c>
      <c r="J533" s="20">
        <f t="shared" si="99"/>
        <v>0.15366902880699507</v>
      </c>
      <c r="K533" s="15">
        <f t="shared" si="100"/>
        <v>-0.58333333333333326</v>
      </c>
      <c r="L533" s="15">
        <f t="shared" si="101"/>
        <v>0.15366651039096713</v>
      </c>
      <c r="M533" s="15">
        <f t="shared" si="105"/>
        <v>9.1837786286491863E-2</v>
      </c>
      <c r="N533" s="15">
        <f t="shared" si="106"/>
        <v>-0.63235294117647056</v>
      </c>
      <c r="O533" s="15">
        <f t="shared" si="107"/>
        <v>9.1835132011008014E-2</v>
      </c>
      <c r="P533" s="18">
        <f>IF(SUMIFS('Daily NSE Equity Futures'!$J:$J,'Daily NSE Equity Futures'!$A:$A,$A533)=0,"",SUMIFS('Daily NSE Equity Futures'!$J:$J,'Daily NSE Equity Futures'!$A:$A,$A533))</f>
        <v>3144483</v>
      </c>
      <c r="Q533" s="7">
        <f>IF(SUMIFS('Daily BSE Equity Futures'!$J:$J,'Daily BSE Equity Futures'!$A:$A,$A533)=0,"",SUMIFS('Daily BSE Equity Futures'!$J:$J,'Daily BSE Equity Futures'!$A:$A,$A533))</f>
        <v>3</v>
      </c>
      <c r="R533" s="7">
        <f t="shared" si="102"/>
        <v>3144486</v>
      </c>
      <c r="S533" s="19">
        <f t="shared" si="103"/>
        <v>0.99999904594900402</v>
      </c>
      <c r="T533" s="19">
        <f t="shared" si="104"/>
        <v>9.5405099593383467E-7</v>
      </c>
    </row>
    <row r="534" spans="1:20" x14ac:dyDescent="0.2">
      <c r="A534" s="9">
        <v>44706</v>
      </c>
      <c r="B534" s="4" t="s">
        <v>221</v>
      </c>
      <c r="C534" s="8">
        <v>44682</v>
      </c>
      <c r="D534" s="4" t="s">
        <v>181</v>
      </c>
      <c r="E534" s="14">
        <f>IF(SUMIFS('Daily NSE Equity Futures'!$I:$I,'Daily NSE Equity Futures'!$A:$A,$A534)=0,"",SUMIFS('Daily NSE Equity Futures'!$I:$I,'Daily NSE Equity Futures'!$A:$A,$A534))</f>
        <v>1956.8922</v>
      </c>
      <c r="F534" s="6">
        <f>IF(SUMIFS('Daily BSE Equity Futures'!$I:$I,'Daily BSE Equity Futures'!$A:$A,$A534)=0,"",SUMIFS('Daily BSE Equity Futures'!$I:$I,'Daily BSE Equity Futures'!$A:$A,$A534))</f>
        <v>2.5000000000000001E-3</v>
      </c>
      <c r="G534" s="6">
        <f t="shared" si="96"/>
        <v>1956.8947000000001</v>
      </c>
      <c r="H534" s="15">
        <f t="shared" si="97"/>
        <v>0.9999987224657515</v>
      </c>
      <c r="I534" s="15">
        <f t="shared" si="98"/>
        <v>1.2775342485213947E-6</v>
      </c>
      <c r="J534" s="20">
        <f t="shared" si="99"/>
        <v>6.8308294399621605E-2</v>
      </c>
      <c r="K534" s="15">
        <f t="shared" si="100"/>
        <v>-0.86910994764397909</v>
      </c>
      <c r="L534" s="15">
        <f t="shared" si="101"/>
        <v>6.8298519958440718E-2</v>
      </c>
      <c r="M534" s="15">
        <f t="shared" si="105"/>
        <v>-3.39613621510092E-2</v>
      </c>
      <c r="N534" s="15">
        <f t="shared" si="106"/>
        <v>0</v>
      </c>
      <c r="O534" s="15">
        <f t="shared" si="107"/>
        <v>-3.396132023767906E-2</v>
      </c>
      <c r="P534" s="18">
        <f>IF(SUMIFS('Daily NSE Equity Futures'!$J:$J,'Daily NSE Equity Futures'!$A:$A,$A534)=0,"",SUMIFS('Daily NSE Equity Futures'!$J:$J,'Daily NSE Equity Futures'!$A:$A,$A534))</f>
        <v>3049263</v>
      </c>
      <c r="Q534" s="7">
        <f>IF(SUMIFS('Daily BSE Equity Futures'!$J:$J,'Daily BSE Equity Futures'!$A:$A,$A534)=0,"",SUMIFS('Daily BSE Equity Futures'!$J:$J,'Daily BSE Equity Futures'!$A:$A,$A534))</f>
        <v>3</v>
      </c>
      <c r="R534" s="7">
        <f t="shared" si="102"/>
        <v>3049266</v>
      </c>
      <c r="S534" s="19">
        <f t="shared" si="103"/>
        <v>0.99999901615667508</v>
      </c>
      <c r="T534" s="19">
        <f t="shared" si="104"/>
        <v>9.838433249181935E-7</v>
      </c>
    </row>
    <row r="535" spans="1:20" x14ac:dyDescent="0.2">
      <c r="A535" s="9">
        <v>44707</v>
      </c>
      <c r="B535" s="4" t="s">
        <v>224</v>
      </c>
      <c r="C535" s="8">
        <v>44682</v>
      </c>
      <c r="D535" s="4" t="s">
        <v>181</v>
      </c>
      <c r="E535" s="14">
        <f>IF(SUMIFS('Daily NSE Equity Futures'!$I:$I,'Daily NSE Equity Futures'!$A:$A,$A535)=0,"",SUMIFS('Daily NSE Equity Futures'!$I:$I,'Daily NSE Equity Futures'!$A:$A,$A535))</f>
        <v>2232.1284999999998</v>
      </c>
      <c r="F535" s="6">
        <f>IF(SUMIFS('Daily BSE Equity Futures'!$I:$I,'Daily BSE Equity Futures'!$A:$A,$A535)=0,"",SUMIFS('Daily BSE Equity Futures'!$I:$I,'Daily BSE Equity Futures'!$A:$A,$A535))</f>
        <v>3.3999999999999998E-3</v>
      </c>
      <c r="G535" s="6">
        <f t="shared" si="96"/>
        <v>2232.1318999999999</v>
      </c>
      <c r="H535" s="15">
        <f t="shared" si="97"/>
        <v>0.99999847679252285</v>
      </c>
      <c r="I535" s="15">
        <f t="shared" si="98"/>
        <v>1.5232074771208638E-6</v>
      </c>
      <c r="J535" s="20">
        <f t="shared" si="99"/>
        <v>0.30066405216388148</v>
      </c>
      <c r="K535" s="15">
        <f t="shared" si="100"/>
        <v>-0.95284327323162277</v>
      </c>
      <c r="L535" s="15">
        <f t="shared" si="101"/>
        <v>0.30061139107434753</v>
      </c>
      <c r="M535" s="15">
        <f t="shared" si="105"/>
        <v>0.14064969955933182</v>
      </c>
      <c r="N535" s="15">
        <f t="shared" si="106"/>
        <v>0.35999999999999988</v>
      </c>
      <c r="O535" s="15">
        <f t="shared" si="107"/>
        <v>0.14064997978685301</v>
      </c>
      <c r="P535" s="18">
        <f>IF(SUMIFS('Daily NSE Equity Futures'!$J:$J,'Daily NSE Equity Futures'!$A:$A,$A535)=0,"",SUMIFS('Daily NSE Equity Futures'!$J:$J,'Daily NSE Equity Futures'!$A:$A,$A535))</f>
        <v>3450518</v>
      </c>
      <c r="Q535" s="7">
        <f>IF(SUMIFS('Daily BSE Equity Futures'!$J:$J,'Daily BSE Equity Futures'!$A:$A,$A535)=0,"",SUMIFS('Daily BSE Equity Futures'!$J:$J,'Daily BSE Equity Futures'!$A:$A,$A535))</f>
        <v>4</v>
      </c>
      <c r="R535" s="7">
        <f t="shared" si="102"/>
        <v>3450522</v>
      </c>
      <c r="S535" s="19">
        <f t="shared" si="103"/>
        <v>0.99999884075510892</v>
      </c>
      <c r="T535" s="19">
        <f t="shared" si="104"/>
        <v>1.1592448910628595E-6</v>
      </c>
    </row>
    <row r="536" spans="1:20" x14ac:dyDescent="0.2">
      <c r="A536" s="9">
        <v>44708</v>
      </c>
      <c r="B536" s="4" t="s">
        <v>222</v>
      </c>
      <c r="C536" s="8">
        <v>44682</v>
      </c>
      <c r="D536" s="4" t="s">
        <v>181</v>
      </c>
      <c r="E536" s="14">
        <f>IF(SUMIFS('Daily NSE Equity Futures'!$I:$I,'Daily NSE Equity Futures'!$A:$A,$A536)=0,"",SUMIFS('Daily NSE Equity Futures'!$I:$I,'Daily NSE Equity Futures'!$A:$A,$A536))</f>
        <v>842.45849999999996</v>
      </c>
      <c r="F536" s="6">
        <f>IF(SUMIFS('Daily BSE Equity Futures'!$I:$I,'Daily BSE Equity Futures'!$A:$A,$A536)=0,"",SUMIFS('Daily BSE Equity Futures'!$I:$I,'Daily BSE Equity Futures'!$A:$A,$A536))</f>
        <v>3.3999999999999998E-3</v>
      </c>
      <c r="G536" s="6">
        <f t="shared" si="96"/>
        <v>842.46190000000001</v>
      </c>
      <c r="H536" s="15">
        <f t="shared" si="97"/>
        <v>0.99999596420918258</v>
      </c>
      <c r="I536" s="15">
        <f t="shared" si="98"/>
        <v>4.0357908173651529E-6</v>
      </c>
      <c r="J536" s="20">
        <f t="shared" si="99"/>
        <v>-0.58163676823735155</v>
      </c>
      <c r="K536" s="15">
        <f t="shared" si="100"/>
        <v>-0.98679611650485433</v>
      </c>
      <c r="L536" s="15">
        <f t="shared" si="101"/>
        <v>-0.58168857095672166</v>
      </c>
      <c r="M536" s="15">
        <f t="shared" si="105"/>
        <v>-0.6225761644098895</v>
      </c>
      <c r="N536" s="15">
        <f t="shared" si="106"/>
        <v>0</v>
      </c>
      <c r="O536" s="15">
        <f t="shared" si="107"/>
        <v>-0.62257521609722077</v>
      </c>
      <c r="P536" s="18">
        <f>IF(SUMIFS('Daily NSE Equity Futures'!$J:$J,'Daily NSE Equity Futures'!$A:$A,$A536)=0,"",SUMIFS('Daily NSE Equity Futures'!$J:$J,'Daily NSE Equity Futures'!$A:$A,$A536))</f>
        <v>1252728</v>
      </c>
      <c r="Q536" s="7">
        <f>IF(SUMIFS('Daily BSE Equity Futures'!$J:$J,'Daily BSE Equity Futures'!$A:$A,$A536)=0,"",SUMIFS('Daily BSE Equity Futures'!$J:$J,'Daily BSE Equity Futures'!$A:$A,$A536))</f>
        <v>4</v>
      </c>
      <c r="R536" s="7">
        <f t="shared" si="102"/>
        <v>1252732</v>
      </c>
      <c r="S536" s="19">
        <f t="shared" si="103"/>
        <v>0.99999680697866744</v>
      </c>
      <c r="T536" s="19">
        <f t="shared" si="104"/>
        <v>3.1930213325755229E-6</v>
      </c>
    </row>
    <row r="537" spans="1:20" x14ac:dyDescent="0.2">
      <c r="A537" s="9">
        <v>44711</v>
      </c>
      <c r="B537" s="4" t="s">
        <v>225</v>
      </c>
      <c r="C537" s="8">
        <v>44682</v>
      </c>
      <c r="D537" s="4" t="s">
        <v>181</v>
      </c>
      <c r="E537" s="14">
        <f>IF(SUMIFS('Daily NSE Equity Futures'!$I:$I,'Daily NSE Equity Futures'!$A:$A,$A537)=0,"",SUMIFS('Daily NSE Equity Futures'!$I:$I,'Daily NSE Equity Futures'!$A:$A,$A537))</f>
        <v>854.89179999999999</v>
      </c>
      <c r="F537" s="6">
        <f>IF(SUMIFS('Daily BSE Equity Futures'!$I:$I,'Daily BSE Equity Futures'!$A:$A,$A537)=0,"",SUMIFS('Daily BSE Equity Futures'!$I:$I,'Daily BSE Equity Futures'!$A:$A,$A537))</f>
        <v>2.5999999999999999E-3</v>
      </c>
      <c r="G537" s="6">
        <f t="shared" si="96"/>
        <v>854.89440000000002</v>
      </c>
      <c r="H537" s="15">
        <f t="shared" si="97"/>
        <v>0.99999695868869887</v>
      </c>
      <c r="I537" s="15">
        <f t="shared" si="98"/>
        <v>3.0413113011384795E-6</v>
      </c>
      <c r="J537" s="20" t="str">
        <f t="shared" si="99"/>
        <v/>
      </c>
      <c r="K537" s="15" t="str">
        <f t="shared" si="100"/>
        <v/>
      </c>
      <c r="L537" s="15" t="str">
        <f t="shared" si="101"/>
        <v/>
      </c>
      <c r="M537" s="15">
        <f t="shared" si="105"/>
        <v>1.4758353082080733E-2</v>
      </c>
      <c r="N537" s="15">
        <f t="shared" si="106"/>
        <v>-0.23529411764705876</v>
      </c>
      <c r="O537" s="15">
        <f t="shared" si="107"/>
        <v>1.4757343922615407E-2</v>
      </c>
      <c r="P537" s="18">
        <f>IF(SUMIFS('Daily NSE Equity Futures'!$J:$J,'Daily NSE Equity Futures'!$A:$A,$A537)=0,"",SUMIFS('Daily NSE Equity Futures'!$J:$J,'Daily NSE Equity Futures'!$A:$A,$A537))</f>
        <v>1268936</v>
      </c>
      <c r="Q537" s="7">
        <f>IF(SUMIFS('Daily BSE Equity Futures'!$J:$J,'Daily BSE Equity Futures'!$A:$A,$A537)=0,"",SUMIFS('Daily BSE Equity Futures'!$J:$J,'Daily BSE Equity Futures'!$A:$A,$A537))</f>
        <v>3</v>
      </c>
      <c r="R537" s="7">
        <f t="shared" si="102"/>
        <v>1268939</v>
      </c>
      <c r="S537" s="19">
        <f t="shared" si="103"/>
        <v>0.99999763582016155</v>
      </c>
      <c r="T537" s="19">
        <f t="shared" si="104"/>
        <v>2.36417983843195E-6</v>
      </c>
    </row>
    <row r="538" spans="1:20" x14ac:dyDescent="0.2">
      <c r="A538" s="9">
        <v>44712</v>
      </c>
      <c r="B538" s="4" t="s">
        <v>223</v>
      </c>
      <c r="C538" s="8">
        <v>44682</v>
      </c>
      <c r="D538" s="4" t="s">
        <v>181</v>
      </c>
      <c r="E538" s="14">
        <f>IF(SUMIFS('Daily NSE Equity Futures'!$I:$I,'Daily NSE Equity Futures'!$A:$A,$A538)=0,"",SUMIFS('Daily NSE Equity Futures'!$I:$I,'Daily NSE Equity Futures'!$A:$A,$A538))</f>
        <v>1074.7089000000001</v>
      </c>
      <c r="F538" s="6">
        <f>IF(SUMIFS('Daily BSE Equity Futures'!$I:$I,'Daily BSE Equity Futures'!$A:$A,$A538)=0,"",SUMIFS('Daily BSE Equity Futures'!$I:$I,'Daily BSE Equity Futures'!$A:$A,$A538))</f>
        <v>1.6999999999999999E-3</v>
      </c>
      <c r="G538" s="6">
        <f t="shared" si="96"/>
        <v>1074.7106000000001</v>
      </c>
      <c r="H538" s="15">
        <f t="shared" si="97"/>
        <v>0.99999841817881019</v>
      </c>
      <c r="I538" s="15">
        <f t="shared" si="98"/>
        <v>1.5818211898161232E-6</v>
      </c>
      <c r="J538" s="20">
        <f t="shared" si="99"/>
        <v>0.17893151536366414</v>
      </c>
      <c r="K538" s="15">
        <f t="shared" si="100"/>
        <v>-0.98578595317725748</v>
      </c>
      <c r="L538" s="15">
        <f t="shared" si="101"/>
        <v>0.17877872620981594</v>
      </c>
      <c r="M538" s="15">
        <f t="shared" si="105"/>
        <v>0.25712856293626873</v>
      </c>
      <c r="N538" s="15">
        <f t="shared" si="106"/>
        <v>-0.34615384615384615</v>
      </c>
      <c r="O538" s="15">
        <f t="shared" si="107"/>
        <v>0.25712672816666027</v>
      </c>
      <c r="P538" s="18">
        <f>IF(SUMIFS('Daily NSE Equity Futures'!$J:$J,'Daily NSE Equity Futures'!$A:$A,$A538)=0,"",SUMIFS('Daily NSE Equity Futures'!$J:$J,'Daily NSE Equity Futures'!$A:$A,$A538))</f>
        <v>1589157</v>
      </c>
      <c r="Q538" s="7">
        <f>IF(SUMIFS('Daily BSE Equity Futures'!$J:$J,'Daily BSE Equity Futures'!$A:$A,$A538)=0,"",SUMIFS('Daily BSE Equity Futures'!$J:$J,'Daily BSE Equity Futures'!$A:$A,$A538))</f>
        <v>2</v>
      </c>
      <c r="R538" s="7">
        <f t="shared" si="102"/>
        <v>1589159</v>
      </c>
      <c r="S538" s="19">
        <f t="shared" si="103"/>
        <v>0.99999874147269086</v>
      </c>
      <c r="T538" s="19">
        <f t="shared" si="104"/>
        <v>1.2585273090987119E-6</v>
      </c>
    </row>
    <row r="539" spans="1:20" x14ac:dyDescent="0.2">
      <c r="A539" s="9">
        <v>44713</v>
      </c>
      <c r="B539" s="4" t="s">
        <v>221</v>
      </c>
      <c r="C539" s="8">
        <v>44713</v>
      </c>
      <c r="D539" s="4" t="s">
        <v>181</v>
      </c>
      <c r="E539" s="14">
        <f>IF(SUMIFS('Daily NSE Equity Futures'!$I:$I,'Daily NSE Equity Futures'!$A:$A,$A539)=0,"",SUMIFS('Daily NSE Equity Futures'!$I:$I,'Daily NSE Equity Futures'!$A:$A,$A539))</f>
        <v>839.00340000000006</v>
      </c>
      <c r="F539" s="6">
        <f>IF(SUMIFS('Daily BSE Equity Futures'!$I:$I,'Daily BSE Equity Futures'!$A:$A,$A539)=0,"",SUMIFS('Daily BSE Equity Futures'!$I:$I,'Daily BSE Equity Futures'!$A:$A,$A539))</f>
        <v>1.6999999999999999E-3</v>
      </c>
      <c r="G539" s="6">
        <f t="shared" si="96"/>
        <v>839.00510000000008</v>
      </c>
      <c r="H539" s="15">
        <f t="shared" si="97"/>
        <v>0.99999797379062416</v>
      </c>
      <c r="I539" s="15">
        <f t="shared" si="98"/>
        <v>2.026209375842888E-6</v>
      </c>
      <c r="J539" s="20">
        <f t="shared" si="99"/>
        <v>-6.9018412055885214E-2</v>
      </c>
      <c r="K539" s="15">
        <f t="shared" si="100"/>
        <v>-0.82653061224489799</v>
      </c>
      <c r="L539" s="15">
        <f t="shared" si="101"/>
        <v>-6.9026649421756958E-2</v>
      </c>
      <c r="M539" s="15">
        <f t="shared" si="105"/>
        <v>-0.21932032013506175</v>
      </c>
      <c r="N539" s="15">
        <f t="shared" si="106"/>
        <v>0</v>
      </c>
      <c r="O539" s="15">
        <f t="shared" si="107"/>
        <v>-0.21931997320953189</v>
      </c>
      <c r="P539" s="18">
        <f>IF(SUMIFS('Daily NSE Equity Futures'!$J:$J,'Daily NSE Equity Futures'!$A:$A,$A539)=0,"",SUMIFS('Daily NSE Equity Futures'!$J:$J,'Daily NSE Equity Futures'!$A:$A,$A539))</f>
        <v>1204397</v>
      </c>
      <c r="Q539" s="7">
        <f>IF(SUMIFS('Daily BSE Equity Futures'!$J:$J,'Daily BSE Equity Futures'!$A:$A,$A539)=0,"",SUMIFS('Daily BSE Equity Futures'!$J:$J,'Daily BSE Equity Futures'!$A:$A,$A539))</f>
        <v>2</v>
      </c>
      <c r="R539" s="7">
        <f t="shared" si="102"/>
        <v>1204399</v>
      </c>
      <c r="S539" s="19">
        <f t="shared" si="103"/>
        <v>0.99999833942074012</v>
      </c>
      <c r="T539" s="19">
        <f t="shared" si="104"/>
        <v>1.6605792598632181E-6</v>
      </c>
    </row>
    <row r="540" spans="1:20" x14ac:dyDescent="0.2">
      <c r="A540" s="9">
        <v>44714</v>
      </c>
      <c r="B540" s="4" t="s">
        <v>224</v>
      </c>
      <c r="C540" s="8">
        <v>44713</v>
      </c>
      <c r="D540" s="4" t="s">
        <v>181</v>
      </c>
      <c r="E540" s="14">
        <f>IF(SUMIFS('Daily NSE Equity Futures'!$I:$I,'Daily NSE Equity Futures'!$A:$A,$A540)=0,"",SUMIFS('Daily NSE Equity Futures'!$I:$I,'Daily NSE Equity Futures'!$A:$A,$A540))</f>
        <v>794.16240000000005</v>
      </c>
      <c r="F540" s="6">
        <f>IF(SUMIFS('Daily BSE Equity Futures'!$I:$I,'Daily BSE Equity Futures'!$A:$A,$A540)=0,"",SUMIFS('Daily BSE Equity Futures'!$I:$I,'Daily BSE Equity Futures'!$A:$A,$A540))</f>
        <v>1.6999999999999999E-3</v>
      </c>
      <c r="G540" s="6">
        <f t="shared" si="96"/>
        <v>794.16410000000008</v>
      </c>
      <c r="H540" s="15">
        <f t="shared" si="97"/>
        <v>0.99999785938447727</v>
      </c>
      <c r="I540" s="15">
        <f t="shared" si="98"/>
        <v>2.1406155226608704E-6</v>
      </c>
      <c r="J540" s="20">
        <f t="shared" si="99"/>
        <v>-0.14532894017492848</v>
      </c>
      <c r="K540" s="15">
        <f t="shared" si="100"/>
        <v>-0.82653061224489799</v>
      </c>
      <c r="L540" s="15">
        <f t="shared" si="101"/>
        <v>-0.14533612451493849</v>
      </c>
      <c r="M540" s="15">
        <f t="shared" si="105"/>
        <v>-5.3445552187273648E-2</v>
      </c>
      <c r="N540" s="15">
        <f t="shared" si="106"/>
        <v>0</v>
      </c>
      <c r="O540" s="15">
        <f t="shared" si="107"/>
        <v>-5.3445443895394629E-2</v>
      </c>
      <c r="P540" s="18">
        <f>IF(SUMIFS('Daily NSE Equity Futures'!$J:$J,'Daily NSE Equity Futures'!$A:$A,$A540)=0,"",SUMIFS('Daily NSE Equity Futures'!$J:$J,'Daily NSE Equity Futures'!$A:$A,$A540))</f>
        <v>1132960</v>
      </c>
      <c r="Q540" s="7">
        <f>IF(SUMIFS('Daily BSE Equity Futures'!$J:$J,'Daily BSE Equity Futures'!$A:$A,$A540)=0,"",SUMIFS('Daily BSE Equity Futures'!$J:$J,'Daily BSE Equity Futures'!$A:$A,$A540))</f>
        <v>2</v>
      </c>
      <c r="R540" s="7">
        <f t="shared" si="102"/>
        <v>1132962</v>
      </c>
      <c r="S540" s="19">
        <f t="shared" si="103"/>
        <v>0.99999823471572746</v>
      </c>
      <c r="T540" s="19">
        <f t="shared" si="104"/>
        <v>1.7652842725528306E-6</v>
      </c>
    </row>
    <row r="541" spans="1:20" x14ac:dyDescent="0.2">
      <c r="A541" s="9">
        <v>44715</v>
      </c>
      <c r="B541" s="4" t="s">
        <v>222</v>
      </c>
      <c r="C541" s="8">
        <v>44713</v>
      </c>
      <c r="D541" s="4" t="s">
        <v>181</v>
      </c>
      <c r="E541" s="14">
        <f>IF(SUMIFS('Daily NSE Equity Futures'!$I:$I,'Daily NSE Equity Futures'!$A:$A,$A541)=0,"",SUMIFS('Daily NSE Equity Futures'!$I:$I,'Daily NSE Equity Futures'!$A:$A,$A541))</f>
        <v>894.86800000000005</v>
      </c>
      <c r="F541" s="6">
        <f>IF(SUMIFS('Daily BSE Equity Futures'!$I:$I,'Daily BSE Equity Futures'!$A:$A,$A541)=0,"",SUMIFS('Daily BSE Equity Futures'!$I:$I,'Daily BSE Equity Futures'!$A:$A,$A541))</f>
        <v>1.41E-2</v>
      </c>
      <c r="G541" s="6">
        <f t="shared" si="96"/>
        <v>894.88210000000004</v>
      </c>
      <c r="H541" s="15">
        <f t="shared" si="97"/>
        <v>0.99998424373445394</v>
      </c>
      <c r="I541" s="15">
        <f t="shared" si="98"/>
        <v>1.5756265546042322E-5</v>
      </c>
      <c r="J541" s="20">
        <f t="shared" si="99"/>
        <v>-1.0077678881565633E-2</v>
      </c>
      <c r="K541" s="15">
        <f t="shared" si="100"/>
        <v>-0.69146608315098468</v>
      </c>
      <c r="L541" s="15">
        <f t="shared" si="101"/>
        <v>-1.0112124272848022E-2</v>
      </c>
      <c r="M541" s="15">
        <f t="shared" si="105"/>
        <v>0.12680731296268877</v>
      </c>
      <c r="N541" s="15">
        <f t="shared" si="106"/>
        <v>7.2941176470588243</v>
      </c>
      <c r="O541" s="15">
        <f t="shared" si="107"/>
        <v>0.12682265541844551</v>
      </c>
      <c r="P541" s="18">
        <f>IF(SUMIFS('Daily NSE Equity Futures'!$J:$J,'Daily NSE Equity Futures'!$A:$A,$A541)=0,"",SUMIFS('Daily NSE Equity Futures'!$J:$J,'Daily NSE Equity Futures'!$A:$A,$A541))</f>
        <v>1297346</v>
      </c>
      <c r="Q541" s="7">
        <f>IF(SUMIFS('Daily BSE Equity Futures'!$J:$J,'Daily BSE Equity Futures'!$A:$A,$A541)=0,"",SUMIFS('Daily BSE Equity Futures'!$J:$J,'Daily BSE Equity Futures'!$A:$A,$A541))</f>
        <v>16</v>
      </c>
      <c r="R541" s="7">
        <f t="shared" si="102"/>
        <v>1297362</v>
      </c>
      <c r="S541" s="19">
        <f t="shared" si="103"/>
        <v>0.99998766728176103</v>
      </c>
      <c r="T541" s="19">
        <f t="shared" si="104"/>
        <v>1.2332718239011163E-5</v>
      </c>
    </row>
    <row r="542" spans="1:20" x14ac:dyDescent="0.2">
      <c r="A542" s="9">
        <v>44718</v>
      </c>
      <c r="B542" s="4" t="s">
        <v>225</v>
      </c>
      <c r="C542" s="8">
        <v>44713</v>
      </c>
      <c r="D542" s="4" t="s">
        <v>181</v>
      </c>
      <c r="E542" s="14">
        <f>IF(SUMIFS('Daily NSE Equity Futures'!$I:$I,'Daily NSE Equity Futures'!$A:$A,$A542)=0,"",SUMIFS('Daily NSE Equity Futures'!$I:$I,'Daily NSE Equity Futures'!$A:$A,$A542))</f>
        <v>712.94140000000004</v>
      </c>
      <c r="F542" s="6">
        <f>IF(SUMIFS('Daily BSE Equity Futures'!$I:$I,'Daily BSE Equity Futures'!$A:$A,$A542)=0,"",SUMIFS('Daily BSE Equity Futures'!$I:$I,'Daily BSE Equity Futures'!$A:$A,$A542))</f>
        <v>1.6999999999999999E-3</v>
      </c>
      <c r="G542" s="6">
        <f t="shared" si="96"/>
        <v>712.94310000000007</v>
      </c>
      <c r="H542" s="15">
        <f t="shared" si="97"/>
        <v>0.99999761551798449</v>
      </c>
      <c r="I542" s="15">
        <f t="shared" si="98"/>
        <v>2.3844820154651891E-6</v>
      </c>
      <c r="J542" s="20" t="str">
        <f t="shared" si="99"/>
        <v/>
      </c>
      <c r="K542" s="15" t="str">
        <f t="shared" si="100"/>
        <v/>
      </c>
      <c r="L542" s="15" t="str">
        <f t="shared" si="101"/>
        <v/>
      </c>
      <c r="M542" s="15">
        <f t="shared" si="105"/>
        <v>-0.20329992803407881</v>
      </c>
      <c r="N542" s="15">
        <f t="shared" si="106"/>
        <v>-0.87943262411347523</v>
      </c>
      <c r="O542" s="15">
        <f t="shared" si="107"/>
        <v>-0.20331058136038249</v>
      </c>
      <c r="P542" s="18">
        <f>IF(SUMIFS('Daily NSE Equity Futures'!$J:$J,'Daily NSE Equity Futures'!$A:$A,$A542)=0,"",SUMIFS('Daily NSE Equity Futures'!$J:$J,'Daily NSE Equity Futures'!$A:$A,$A542))</f>
        <v>1040697</v>
      </c>
      <c r="Q542" s="7">
        <f>IF(SUMIFS('Daily BSE Equity Futures'!$J:$J,'Daily BSE Equity Futures'!$A:$A,$A542)=0,"",SUMIFS('Daily BSE Equity Futures'!$J:$J,'Daily BSE Equity Futures'!$A:$A,$A542))</f>
        <v>2</v>
      </c>
      <c r="R542" s="7">
        <f t="shared" si="102"/>
        <v>1040699</v>
      </c>
      <c r="S542" s="19">
        <f t="shared" si="103"/>
        <v>0.99999807821473841</v>
      </c>
      <c r="T542" s="19">
        <f t="shared" si="104"/>
        <v>1.92178526163665E-6</v>
      </c>
    </row>
    <row r="543" spans="1:20" x14ac:dyDescent="0.2">
      <c r="A543" s="9">
        <v>44719</v>
      </c>
      <c r="B543" s="4" t="s">
        <v>223</v>
      </c>
      <c r="C543" s="8">
        <v>44713</v>
      </c>
      <c r="D543" s="4" t="s">
        <v>181</v>
      </c>
      <c r="E543" s="14">
        <f>IF(SUMIFS('Daily NSE Equity Futures'!$I:$I,'Daily NSE Equity Futures'!$A:$A,$A543)=0,"",SUMIFS('Daily NSE Equity Futures'!$I:$I,'Daily NSE Equity Futures'!$A:$A,$A543))</f>
        <v>724.31290000000001</v>
      </c>
      <c r="F543" s="6">
        <f>IF(SUMIFS('Daily BSE Equity Futures'!$I:$I,'Daily BSE Equity Futures'!$A:$A,$A543)=0,"",SUMIFS('Daily BSE Equity Futures'!$I:$I,'Daily BSE Equity Futures'!$A:$A,$A543))</f>
        <v>6.0000000000000001E-3</v>
      </c>
      <c r="G543" s="6">
        <f t="shared" si="96"/>
        <v>724.31889999999999</v>
      </c>
      <c r="H543" s="15">
        <f t="shared" si="97"/>
        <v>0.99999171635587591</v>
      </c>
      <c r="I543" s="15">
        <f t="shared" si="98"/>
        <v>8.283644124155811E-6</v>
      </c>
      <c r="J543" s="20">
        <f t="shared" si="99"/>
        <v>-0.18280043875038732</v>
      </c>
      <c r="K543" s="15">
        <f t="shared" si="100"/>
        <v>-0.39393939393939392</v>
      </c>
      <c r="L543" s="15">
        <f t="shared" si="101"/>
        <v>-0.18280279705888902</v>
      </c>
      <c r="M543" s="15">
        <f t="shared" si="105"/>
        <v>1.5950118761513865E-2</v>
      </c>
      <c r="N543" s="15">
        <f t="shared" si="106"/>
        <v>2.5294117647058827</v>
      </c>
      <c r="O543" s="15">
        <f t="shared" si="107"/>
        <v>1.5956112065605099E-2</v>
      </c>
      <c r="P543" s="18">
        <f>IF(SUMIFS('Daily NSE Equity Futures'!$J:$J,'Daily NSE Equity Futures'!$A:$A,$A543)=0,"",SUMIFS('Daily NSE Equity Futures'!$J:$J,'Daily NSE Equity Futures'!$A:$A,$A543))</f>
        <v>1027062</v>
      </c>
      <c r="Q543" s="7">
        <f>IF(SUMIFS('Daily BSE Equity Futures'!$J:$J,'Daily BSE Equity Futures'!$A:$A,$A543)=0,"",SUMIFS('Daily BSE Equity Futures'!$J:$J,'Daily BSE Equity Futures'!$A:$A,$A543))</f>
        <v>7</v>
      </c>
      <c r="R543" s="7">
        <f t="shared" si="102"/>
        <v>1027069</v>
      </c>
      <c r="S543" s="19">
        <f t="shared" si="103"/>
        <v>0.99999318448906549</v>
      </c>
      <c r="T543" s="19">
        <f t="shared" si="104"/>
        <v>6.8155109345136504E-6</v>
      </c>
    </row>
    <row r="544" spans="1:20" x14ac:dyDescent="0.2">
      <c r="A544" s="9">
        <v>44720</v>
      </c>
      <c r="B544" s="4" t="s">
        <v>221</v>
      </c>
      <c r="C544" s="8">
        <v>44713</v>
      </c>
      <c r="D544" s="4" t="s">
        <v>181</v>
      </c>
      <c r="E544" s="14">
        <f>IF(SUMIFS('Daily NSE Equity Futures'!$I:$I,'Daily NSE Equity Futures'!$A:$A,$A544)=0,"",SUMIFS('Daily NSE Equity Futures'!$I:$I,'Daily NSE Equity Futures'!$A:$A,$A544))</f>
        <v>880.22850000000005</v>
      </c>
      <c r="F544" s="6">
        <f>IF(SUMIFS('Daily BSE Equity Futures'!$I:$I,'Daily BSE Equity Futures'!$A:$A,$A544)=0,"",SUMIFS('Daily BSE Equity Futures'!$I:$I,'Daily BSE Equity Futures'!$A:$A,$A544))</f>
        <v>3.3999999999999998E-3</v>
      </c>
      <c r="G544" s="6">
        <f t="shared" si="96"/>
        <v>880.23190000000011</v>
      </c>
      <c r="H544" s="15">
        <f t="shared" si="97"/>
        <v>0.99999613738152404</v>
      </c>
      <c r="I544" s="15">
        <f t="shared" si="98"/>
        <v>3.8626184758811848E-6</v>
      </c>
      <c r="J544" s="20">
        <f t="shared" si="99"/>
        <v>1.795636783833876E-2</v>
      </c>
      <c r="K544" s="15">
        <f t="shared" si="100"/>
        <v>-0.65656565656565657</v>
      </c>
      <c r="L544" s="15">
        <f t="shared" si="101"/>
        <v>1.7948645299617372E-2</v>
      </c>
      <c r="M544" s="15">
        <f t="shared" si="105"/>
        <v>0.21526000710466442</v>
      </c>
      <c r="N544" s="15">
        <f t="shared" si="106"/>
        <v>-0.43333333333333335</v>
      </c>
      <c r="O544" s="15">
        <f t="shared" si="107"/>
        <v>0.21525463438825088</v>
      </c>
      <c r="P544" s="18">
        <f>IF(SUMIFS('Daily NSE Equity Futures'!$J:$J,'Daily NSE Equity Futures'!$A:$A,$A544)=0,"",SUMIFS('Daily NSE Equity Futures'!$J:$J,'Daily NSE Equity Futures'!$A:$A,$A544))</f>
        <v>1231825</v>
      </c>
      <c r="Q544" s="7">
        <f>IF(SUMIFS('Daily BSE Equity Futures'!$J:$J,'Daily BSE Equity Futures'!$A:$A,$A544)=0,"",SUMIFS('Daily BSE Equity Futures'!$J:$J,'Daily BSE Equity Futures'!$A:$A,$A544))</f>
        <v>4</v>
      </c>
      <c r="R544" s="7">
        <f t="shared" si="102"/>
        <v>1231829</v>
      </c>
      <c r="S544" s="19">
        <f t="shared" si="103"/>
        <v>0.99999675279604561</v>
      </c>
      <c r="T544" s="19">
        <f t="shared" si="104"/>
        <v>3.2472039544449758E-6</v>
      </c>
    </row>
    <row r="545" spans="1:20" x14ac:dyDescent="0.2">
      <c r="A545" s="9">
        <v>44721</v>
      </c>
      <c r="B545" s="4" t="s">
        <v>224</v>
      </c>
      <c r="C545" s="8">
        <v>44713</v>
      </c>
      <c r="D545" s="4" t="s">
        <v>181</v>
      </c>
      <c r="E545" s="14">
        <f>IF(SUMIFS('Daily NSE Equity Futures'!$I:$I,'Daily NSE Equity Futures'!$A:$A,$A545)=0,"",SUMIFS('Daily NSE Equity Futures'!$I:$I,'Daily NSE Equity Futures'!$A:$A,$A545))</f>
        <v>754.08249999999998</v>
      </c>
      <c r="F545" s="6">
        <f>IF(SUMIFS('Daily BSE Equity Futures'!$I:$I,'Daily BSE Equity Futures'!$A:$A,$A545)=0,"",SUMIFS('Daily BSE Equity Futures'!$I:$I,'Daily BSE Equity Futures'!$A:$A,$A545))</f>
        <v>1.03E-2</v>
      </c>
      <c r="G545" s="6">
        <f t="shared" si="96"/>
        <v>754.09280000000001</v>
      </c>
      <c r="H545" s="15">
        <f t="shared" si="97"/>
        <v>0.99998634120362906</v>
      </c>
      <c r="I545" s="15">
        <f t="shared" si="98"/>
        <v>1.3658796370950632E-5</v>
      </c>
      <c r="J545" s="20">
        <f t="shared" si="99"/>
        <v>-0.37030678320005317</v>
      </c>
      <c r="K545" s="15">
        <f t="shared" si="100"/>
        <v>-0.89812067260138473</v>
      </c>
      <c r="L545" s="15">
        <f t="shared" si="101"/>
        <v>-0.37035133912460894</v>
      </c>
      <c r="M545" s="15">
        <f t="shared" si="105"/>
        <v>-0.14331051539458228</v>
      </c>
      <c r="N545" s="15">
        <f t="shared" si="106"/>
        <v>2.0294117647058827</v>
      </c>
      <c r="O545" s="15">
        <f t="shared" si="107"/>
        <v>-0.14330212299736023</v>
      </c>
      <c r="P545" s="18">
        <f>IF(SUMIFS('Daily NSE Equity Futures'!$J:$J,'Daily NSE Equity Futures'!$A:$A,$A545)=0,"",SUMIFS('Daily NSE Equity Futures'!$J:$J,'Daily NSE Equity Futures'!$A:$A,$A545))</f>
        <v>1084024</v>
      </c>
      <c r="Q545" s="7">
        <f>IF(SUMIFS('Daily BSE Equity Futures'!$J:$J,'Daily BSE Equity Futures'!$A:$A,$A545)=0,"",SUMIFS('Daily BSE Equity Futures'!$J:$J,'Daily BSE Equity Futures'!$A:$A,$A545))</f>
        <v>12</v>
      </c>
      <c r="R545" s="7">
        <f t="shared" si="102"/>
        <v>1084036</v>
      </c>
      <c r="S545" s="19">
        <f t="shared" si="103"/>
        <v>0.9999889302569287</v>
      </c>
      <c r="T545" s="19">
        <f t="shared" si="104"/>
        <v>1.1069743071263316E-5</v>
      </c>
    </row>
    <row r="546" spans="1:20" x14ac:dyDescent="0.2">
      <c r="A546" s="9">
        <v>44722</v>
      </c>
      <c r="B546" s="4" t="s">
        <v>222</v>
      </c>
      <c r="C546" s="8">
        <v>44713</v>
      </c>
      <c r="D546" s="4" t="s">
        <v>181</v>
      </c>
      <c r="E546" s="14">
        <f>IF(SUMIFS('Daily NSE Equity Futures'!$I:$I,'Daily NSE Equity Futures'!$A:$A,$A546)=0,"",SUMIFS('Daily NSE Equity Futures'!$I:$I,'Daily NSE Equity Futures'!$A:$A,$A546))</f>
        <v>779.02840000000003</v>
      </c>
      <c r="F546" s="6">
        <f>IF(SUMIFS('Daily BSE Equity Futures'!$I:$I,'Daily BSE Equity Futures'!$A:$A,$A546)=0,"",SUMIFS('Daily BSE Equity Futures'!$I:$I,'Daily BSE Equity Futures'!$A:$A,$A546))</f>
        <v>1.6999999999999999E-3</v>
      </c>
      <c r="G546" s="6">
        <f t="shared" si="96"/>
        <v>779.03010000000006</v>
      </c>
      <c r="H546" s="15">
        <f t="shared" si="97"/>
        <v>0.99999781779933783</v>
      </c>
      <c r="I546" s="15">
        <f t="shared" si="98"/>
        <v>2.1822006620796805E-6</v>
      </c>
      <c r="J546" s="20">
        <f t="shared" si="99"/>
        <v>-9.7682030801626407E-2</v>
      </c>
      <c r="K546" s="15">
        <f t="shared" si="100"/>
        <v>-0.93461538461538463</v>
      </c>
      <c r="L546" s="15">
        <f t="shared" si="101"/>
        <v>-9.7707234104653762E-2</v>
      </c>
      <c r="M546" s="15">
        <f t="shared" si="105"/>
        <v>3.3081128391124315E-2</v>
      </c>
      <c r="N546" s="15">
        <f t="shared" si="106"/>
        <v>-0.83495145631067968</v>
      </c>
      <c r="O546" s="15">
        <f t="shared" si="107"/>
        <v>3.3069272110806569E-2</v>
      </c>
      <c r="P546" s="18">
        <f>IF(SUMIFS('Daily NSE Equity Futures'!$J:$J,'Daily NSE Equity Futures'!$A:$A,$A546)=0,"",SUMIFS('Daily NSE Equity Futures'!$J:$J,'Daily NSE Equity Futures'!$A:$A,$A546))</f>
        <v>1124755</v>
      </c>
      <c r="Q546" s="7">
        <f>IF(SUMIFS('Daily BSE Equity Futures'!$J:$J,'Daily BSE Equity Futures'!$A:$A,$A546)=0,"",SUMIFS('Daily BSE Equity Futures'!$J:$J,'Daily BSE Equity Futures'!$A:$A,$A546))</f>
        <v>2</v>
      </c>
      <c r="R546" s="7">
        <f t="shared" si="102"/>
        <v>1124757</v>
      </c>
      <c r="S546" s="19">
        <f t="shared" si="103"/>
        <v>0.99999822183813925</v>
      </c>
      <c r="T546" s="19">
        <f t="shared" si="104"/>
        <v>1.7781618607396975E-6</v>
      </c>
    </row>
    <row r="547" spans="1:20" x14ac:dyDescent="0.2">
      <c r="A547" s="9">
        <v>44725</v>
      </c>
      <c r="B547" s="4" t="s">
        <v>225</v>
      </c>
      <c r="C547" s="8">
        <v>44713</v>
      </c>
      <c r="D547" s="4" t="s">
        <v>181</v>
      </c>
      <c r="E547" s="14">
        <f>IF(SUMIFS('Daily NSE Equity Futures'!$I:$I,'Daily NSE Equity Futures'!$A:$A,$A547)=0,"",SUMIFS('Daily NSE Equity Futures'!$I:$I,'Daily NSE Equity Futures'!$A:$A,$A547))</f>
        <v>870.34280000000001</v>
      </c>
      <c r="F547" s="6" t="str">
        <f>IF(SUMIFS('Daily BSE Equity Futures'!$I:$I,'Daily BSE Equity Futures'!$A:$A,$A547)=0,"",SUMIFS('Daily BSE Equity Futures'!$I:$I,'Daily BSE Equity Futures'!$A:$A,$A547))</f>
        <v/>
      </c>
      <c r="G547" s="6" t="str">
        <f t="shared" si="96"/>
        <v/>
      </c>
      <c r="H547" s="15" t="str">
        <f t="shared" si="97"/>
        <v/>
      </c>
      <c r="I547" s="15" t="str">
        <f t="shared" si="98"/>
        <v/>
      </c>
      <c r="J547" s="20" t="str">
        <f t="shared" si="99"/>
        <v/>
      </c>
      <c r="K547" s="15" t="str">
        <f t="shared" si="100"/>
        <v/>
      </c>
      <c r="L547" s="15" t="str">
        <f t="shared" si="101"/>
        <v/>
      </c>
      <c r="M547" s="15">
        <f t="shared" si="105"/>
        <v>0.11721575233970927</v>
      </c>
      <c r="N547" s="15" t="str">
        <f t="shared" si="106"/>
        <v/>
      </c>
      <c r="O547" s="15" t="str">
        <f t="shared" si="107"/>
        <v/>
      </c>
      <c r="P547" s="18">
        <f>IF(SUMIFS('Daily NSE Equity Futures'!$J:$J,'Daily NSE Equity Futures'!$A:$A,$A547)=0,"",SUMIFS('Daily NSE Equity Futures'!$J:$J,'Daily NSE Equity Futures'!$A:$A,$A547))</f>
        <v>1307217</v>
      </c>
      <c r="Q547" s="7" t="str">
        <f>IF(SUMIFS('Daily BSE Equity Futures'!$J:$J,'Daily BSE Equity Futures'!$A:$A,$A547)=0,"",SUMIFS('Daily BSE Equity Futures'!$J:$J,'Daily BSE Equity Futures'!$A:$A,$A547))</f>
        <v/>
      </c>
      <c r="R547" s="7" t="str">
        <f t="shared" si="102"/>
        <v/>
      </c>
      <c r="S547" s="19" t="str">
        <f t="shared" si="103"/>
        <v/>
      </c>
      <c r="T547" s="19" t="str">
        <f t="shared" si="104"/>
        <v/>
      </c>
    </row>
    <row r="548" spans="1:20" x14ac:dyDescent="0.2">
      <c r="A548" s="9">
        <v>44726</v>
      </c>
      <c r="B548" s="4" t="s">
        <v>223</v>
      </c>
      <c r="C548" s="8">
        <v>44713</v>
      </c>
      <c r="D548" s="4" t="s">
        <v>181</v>
      </c>
      <c r="E548" s="14">
        <f>IF(SUMIFS('Daily NSE Equity Futures'!$I:$I,'Daily NSE Equity Futures'!$A:$A,$A548)=0,"",SUMIFS('Daily NSE Equity Futures'!$I:$I,'Daily NSE Equity Futures'!$A:$A,$A548))</f>
        <v>835.15470000000005</v>
      </c>
      <c r="F548" s="6">
        <f>IF(SUMIFS('Daily BSE Equity Futures'!$I:$I,'Daily BSE Equity Futures'!$A:$A,$A548)=0,"",SUMIFS('Daily BSE Equity Futures'!$I:$I,'Daily BSE Equity Futures'!$A:$A,$A548))</f>
        <v>3.3E-3</v>
      </c>
      <c r="G548" s="6">
        <f t="shared" si="96"/>
        <v>835.15800000000002</v>
      </c>
      <c r="H548" s="15">
        <f t="shared" si="97"/>
        <v>0.99999604865187186</v>
      </c>
      <c r="I548" s="15">
        <f t="shared" si="98"/>
        <v>3.9513481281386278E-6</v>
      </c>
      <c r="J548" s="20">
        <f t="shared" si="99"/>
        <v>-0.20245017311265179</v>
      </c>
      <c r="K548" s="15">
        <f t="shared" si="100"/>
        <v>-0.8595744680851064</v>
      </c>
      <c r="L548" s="15">
        <f t="shared" si="101"/>
        <v>-0.20246491987005022</v>
      </c>
      <c r="M548" s="15">
        <f t="shared" si="105"/>
        <v>-4.0430161540946807E-2</v>
      </c>
      <c r="N548" s="15" t="str">
        <f t="shared" si="106"/>
        <v/>
      </c>
      <c r="O548" s="15" t="str">
        <f t="shared" si="107"/>
        <v/>
      </c>
      <c r="P548" s="18">
        <f>IF(SUMIFS('Daily NSE Equity Futures'!$J:$J,'Daily NSE Equity Futures'!$A:$A,$A548)=0,"",SUMIFS('Daily NSE Equity Futures'!$J:$J,'Daily NSE Equity Futures'!$A:$A,$A548))</f>
        <v>1236297</v>
      </c>
      <c r="Q548" s="7">
        <f>IF(SUMIFS('Daily BSE Equity Futures'!$J:$J,'Daily BSE Equity Futures'!$A:$A,$A548)=0,"",SUMIFS('Daily BSE Equity Futures'!$J:$J,'Daily BSE Equity Futures'!$A:$A,$A548))</f>
        <v>4</v>
      </c>
      <c r="R548" s="7">
        <f t="shared" si="102"/>
        <v>1236301</v>
      </c>
      <c r="S548" s="19">
        <f t="shared" si="103"/>
        <v>0.99999676454196829</v>
      </c>
      <c r="T548" s="19">
        <f t="shared" si="104"/>
        <v>3.2354580316605744E-6</v>
      </c>
    </row>
    <row r="549" spans="1:20" x14ac:dyDescent="0.2">
      <c r="A549" s="9">
        <v>44727</v>
      </c>
      <c r="B549" s="4" t="s">
        <v>221</v>
      </c>
      <c r="C549" s="8">
        <v>44713</v>
      </c>
      <c r="D549" s="4" t="s">
        <v>181</v>
      </c>
      <c r="E549" s="14">
        <f>IF(SUMIFS('Daily NSE Equity Futures'!$I:$I,'Daily NSE Equity Futures'!$A:$A,$A549)=0,"",SUMIFS('Daily NSE Equity Futures'!$I:$I,'Daily NSE Equity Futures'!$A:$A,$A549))</f>
        <v>607.24159999999995</v>
      </c>
      <c r="F549" s="6">
        <f>IF(SUMIFS('Daily BSE Equity Futures'!$I:$I,'Daily BSE Equity Futures'!$A:$A,$A549)=0,"",SUMIFS('Daily BSE Equity Futures'!$I:$I,'Daily BSE Equity Futures'!$A:$A,$A549))</f>
        <v>8.0000000000000004E-4</v>
      </c>
      <c r="G549" s="6">
        <f t="shared" si="96"/>
        <v>607.24239999999998</v>
      </c>
      <c r="H549" s="15">
        <f t="shared" si="97"/>
        <v>0.99999868256893787</v>
      </c>
      <c r="I549" s="15">
        <f t="shared" si="98"/>
        <v>1.3174310621260966E-6</v>
      </c>
      <c r="J549" s="20">
        <f t="shared" si="99"/>
        <v>-0.28811984839585891</v>
      </c>
      <c r="K549" s="15">
        <f t="shared" si="100"/>
        <v>-0.90804597701149425</v>
      </c>
      <c r="L549" s="15">
        <f t="shared" si="101"/>
        <v>-0.28812617106029315</v>
      </c>
      <c r="M549" s="15">
        <f t="shared" si="105"/>
        <v>-0.2728992604603675</v>
      </c>
      <c r="N549" s="15">
        <f t="shared" si="106"/>
        <v>-0.75757575757575757</v>
      </c>
      <c r="O549" s="15">
        <f t="shared" si="107"/>
        <v>-0.27290117558593707</v>
      </c>
      <c r="P549" s="18">
        <f>IF(SUMIFS('Daily NSE Equity Futures'!$J:$J,'Daily NSE Equity Futures'!$A:$A,$A549)=0,"",SUMIFS('Daily NSE Equity Futures'!$J:$J,'Daily NSE Equity Futures'!$A:$A,$A549))</f>
        <v>903907</v>
      </c>
      <c r="Q549" s="7">
        <f>IF(SUMIFS('Daily BSE Equity Futures'!$J:$J,'Daily BSE Equity Futures'!$A:$A,$A549)=0,"",SUMIFS('Daily BSE Equity Futures'!$J:$J,'Daily BSE Equity Futures'!$A:$A,$A549))</f>
        <v>1</v>
      </c>
      <c r="R549" s="7">
        <f t="shared" si="102"/>
        <v>903908</v>
      </c>
      <c r="S549" s="19">
        <f t="shared" si="103"/>
        <v>0.99999889369272099</v>
      </c>
      <c r="T549" s="19">
        <f t="shared" si="104"/>
        <v>1.1063072790593733E-6</v>
      </c>
    </row>
    <row r="550" spans="1:20" x14ac:dyDescent="0.2">
      <c r="A550" s="9">
        <v>44728</v>
      </c>
      <c r="B550" s="4" t="s">
        <v>224</v>
      </c>
      <c r="C550" s="8">
        <v>44713</v>
      </c>
      <c r="D550" s="4" t="s">
        <v>181</v>
      </c>
      <c r="E550" s="14">
        <f>IF(SUMIFS('Daily NSE Equity Futures'!$I:$I,'Daily NSE Equity Futures'!$A:$A,$A550)=0,"",SUMIFS('Daily NSE Equity Futures'!$I:$I,'Daily NSE Equity Futures'!$A:$A,$A550))</f>
        <v>1103.6687999999999</v>
      </c>
      <c r="F550" s="6">
        <f>IF(SUMIFS('Daily BSE Equity Futures'!$I:$I,'Daily BSE Equity Futures'!$A:$A,$A550)=0,"",SUMIFS('Daily BSE Equity Futures'!$I:$I,'Daily BSE Equity Futures'!$A:$A,$A550))</f>
        <v>4.8999999999999998E-3</v>
      </c>
      <c r="G550" s="6">
        <f t="shared" si="96"/>
        <v>1103.6736999999998</v>
      </c>
      <c r="H550" s="15">
        <f t="shared" si="97"/>
        <v>0.99999556028199288</v>
      </c>
      <c r="I550" s="15">
        <f t="shared" si="98"/>
        <v>4.4397180072334794E-6</v>
      </c>
      <c r="J550" s="20">
        <f t="shared" si="99"/>
        <v>0.25846704187232161</v>
      </c>
      <c r="K550" s="15">
        <f t="shared" si="100"/>
        <v>-0.5625</v>
      </c>
      <c r="L550" s="15">
        <f t="shared" si="101"/>
        <v>0.25845655752789742</v>
      </c>
      <c r="M550" s="15">
        <f t="shared" si="105"/>
        <v>0.81751184372085173</v>
      </c>
      <c r="N550" s="15">
        <f t="shared" si="106"/>
        <v>5.1249999999999991</v>
      </c>
      <c r="O550" s="15">
        <f t="shared" si="107"/>
        <v>0.81751751853954846</v>
      </c>
      <c r="P550" s="18">
        <f>IF(SUMIFS('Daily NSE Equity Futures'!$J:$J,'Daily NSE Equity Futures'!$A:$A,$A550)=0,"",SUMIFS('Daily NSE Equity Futures'!$J:$J,'Daily NSE Equity Futures'!$A:$A,$A550))</f>
        <v>1642100</v>
      </c>
      <c r="Q550" s="7">
        <f>IF(SUMIFS('Daily BSE Equity Futures'!$J:$J,'Daily BSE Equity Futures'!$A:$A,$A550)=0,"",SUMIFS('Daily BSE Equity Futures'!$J:$J,'Daily BSE Equity Futures'!$A:$A,$A550))</f>
        <v>6</v>
      </c>
      <c r="R550" s="7">
        <f t="shared" si="102"/>
        <v>1642106</v>
      </c>
      <c r="S550" s="19">
        <f t="shared" si="103"/>
        <v>0.99999634615548572</v>
      </c>
      <c r="T550" s="19">
        <f t="shared" si="104"/>
        <v>3.6538445143005383E-6</v>
      </c>
    </row>
    <row r="551" spans="1:20" x14ac:dyDescent="0.2">
      <c r="A551" s="9">
        <v>44729</v>
      </c>
      <c r="B551" s="4" t="s">
        <v>222</v>
      </c>
      <c r="C551" s="8">
        <v>44713</v>
      </c>
      <c r="D551" s="4" t="s">
        <v>181</v>
      </c>
      <c r="E551" s="14">
        <f>IF(SUMIFS('Daily NSE Equity Futures'!$I:$I,'Daily NSE Equity Futures'!$A:$A,$A551)=0,"",SUMIFS('Daily NSE Equity Futures'!$I:$I,'Daily NSE Equity Futures'!$A:$A,$A551))</f>
        <v>1086.4665</v>
      </c>
      <c r="F551" s="6">
        <f>IF(SUMIFS('Daily BSE Equity Futures'!$I:$I,'Daily BSE Equity Futures'!$A:$A,$A551)=0,"",SUMIFS('Daily BSE Equity Futures'!$I:$I,'Daily BSE Equity Futures'!$A:$A,$A551))</f>
        <v>3.2000000000000002E-3</v>
      </c>
      <c r="G551" s="6">
        <f t="shared" si="96"/>
        <v>1086.4697000000001</v>
      </c>
      <c r="H551" s="15">
        <f t="shared" si="97"/>
        <v>0.9999970546808622</v>
      </c>
      <c r="I551" s="15">
        <f t="shared" si="98"/>
        <v>2.9453191377541408E-6</v>
      </c>
      <c r="J551" s="20">
        <f t="shared" si="99"/>
        <v>4.3222426680278536E-2</v>
      </c>
      <c r="K551" s="15">
        <f t="shared" si="100"/>
        <v>-0.8375634517766497</v>
      </c>
      <c r="L551" s="15">
        <f t="shared" si="101"/>
        <v>4.3205766145823832E-2</v>
      </c>
      <c r="M551" s="15">
        <f t="shared" si="105"/>
        <v>-1.5586469419086479E-2</v>
      </c>
      <c r="N551" s="15">
        <f t="shared" si="106"/>
        <v>-0.34693877551020402</v>
      </c>
      <c r="O551" s="15">
        <f t="shared" si="107"/>
        <v>-1.5587940529886435E-2</v>
      </c>
      <c r="P551" s="18">
        <f>IF(SUMIFS('Daily NSE Equity Futures'!$J:$J,'Daily NSE Equity Futures'!$A:$A,$A551)=0,"",SUMIFS('Daily NSE Equity Futures'!$J:$J,'Daily NSE Equity Futures'!$A:$A,$A551))</f>
        <v>1676025</v>
      </c>
      <c r="Q551" s="7">
        <f>IF(SUMIFS('Daily BSE Equity Futures'!$J:$J,'Daily BSE Equity Futures'!$A:$A,$A551)=0,"",SUMIFS('Daily BSE Equity Futures'!$J:$J,'Daily BSE Equity Futures'!$A:$A,$A551))</f>
        <v>4</v>
      </c>
      <c r="R551" s="7">
        <f t="shared" si="102"/>
        <v>1676029</v>
      </c>
      <c r="S551" s="19">
        <f t="shared" si="103"/>
        <v>0.99999761340645066</v>
      </c>
      <c r="T551" s="19">
        <f t="shared" si="104"/>
        <v>2.3865935493956249E-6</v>
      </c>
    </row>
    <row r="552" spans="1:20" x14ac:dyDescent="0.2">
      <c r="A552" s="9">
        <v>44732</v>
      </c>
      <c r="B552" s="4" t="s">
        <v>225</v>
      </c>
      <c r="C552" s="8">
        <v>44713</v>
      </c>
      <c r="D552" s="4" t="s">
        <v>181</v>
      </c>
      <c r="E552" s="14">
        <f>IF(SUMIFS('Daily NSE Equity Futures'!$I:$I,'Daily NSE Equity Futures'!$A:$A,$A552)=0,"",SUMIFS('Daily NSE Equity Futures'!$I:$I,'Daily NSE Equity Futures'!$A:$A,$A552))</f>
        <v>925.25519999999995</v>
      </c>
      <c r="F552" s="6">
        <f>IF(SUMIFS('Daily BSE Equity Futures'!$I:$I,'Daily BSE Equity Futures'!$A:$A,$A552)=0,"",SUMIFS('Daily BSE Equity Futures'!$I:$I,'Daily BSE Equity Futures'!$A:$A,$A552))</f>
        <v>8.0000000000000004E-4</v>
      </c>
      <c r="G552" s="6">
        <f t="shared" si="96"/>
        <v>925.25599999999997</v>
      </c>
      <c r="H552" s="15">
        <f t="shared" si="97"/>
        <v>0.99999913537442608</v>
      </c>
      <c r="I552" s="15">
        <f t="shared" si="98"/>
        <v>8.6462557389522474E-7</v>
      </c>
      <c r="J552" s="20" t="str">
        <f t="shared" si="99"/>
        <v/>
      </c>
      <c r="K552" s="15" t="str">
        <f t="shared" si="100"/>
        <v/>
      </c>
      <c r="L552" s="15" t="str">
        <f t="shared" si="101"/>
        <v/>
      </c>
      <c r="M552" s="15">
        <f t="shared" si="105"/>
        <v>-0.14838128925282101</v>
      </c>
      <c r="N552" s="15">
        <f t="shared" si="106"/>
        <v>-0.75</v>
      </c>
      <c r="O552" s="15">
        <f t="shared" si="107"/>
        <v>-0.14838306121192346</v>
      </c>
      <c r="P552" s="18">
        <f>IF(SUMIFS('Daily NSE Equity Futures'!$J:$J,'Daily NSE Equity Futures'!$A:$A,$A552)=0,"",SUMIFS('Daily NSE Equity Futures'!$J:$J,'Daily NSE Equity Futures'!$A:$A,$A552))</f>
        <v>1471267</v>
      </c>
      <c r="Q552" s="7">
        <f>IF(SUMIFS('Daily BSE Equity Futures'!$J:$J,'Daily BSE Equity Futures'!$A:$A,$A552)=0,"",SUMIFS('Daily BSE Equity Futures'!$J:$J,'Daily BSE Equity Futures'!$A:$A,$A552))</f>
        <v>1</v>
      </c>
      <c r="R552" s="7">
        <f t="shared" si="102"/>
        <v>1471268</v>
      </c>
      <c r="S552" s="19">
        <f t="shared" si="103"/>
        <v>0.99999932031417793</v>
      </c>
      <c r="T552" s="19">
        <f t="shared" si="104"/>
        <v>6.7968582202562683E-7</v>
      </c>
    </row>
    <row r="553" spans="1:20" x14ac:dyDescent="0.2">
      <c r="A553" s="9">
        <v>44733</v>
      </c>
      <c r="B553" s="4" t="s">
        <v>223</v>
      </c>
      <c r="C553" s="8">
        <v>44713</v>
      </c>
      <c r="D553" s="4" t="s">
        <v>181</v>
      </c>
      <c r="E553" s="14">
        <f>IF(SUMIFS('Daily NSE Equity Futures'!$I:$I,'Daily NSE Equity Futures'!$A:$A,$A553)=0,"",SUMIFS('Daily NSE Equity Futures'!$I:$I,'Daily NSE Equity Futures'!$A:$A,$A553))</f>
        <v>993.61519999999996</v>
      </c>
      <c r="F553" s="6">
        <f>IF(SUMIFS('Daily BSE Equity Futures'!$I:$I,'Daily BSE Equity Futures'!$A:$A,$A553)=0,"",SUMIFS('Daily BSE Equity Futures'!$I:$I,'Daily BSE Equity Futures'!$A:$A,$A553))</f>
        <v>3.3E-3</v>
      </c>
      <c r="G553" s="6">
        <f t="shared" si="96"/>
        <v>993.61849999999993</v>
      </c>
      <c r="H553" s="15">
        <f t="shared" si="97"/>
        <v>0.99999667880579923</v>
      </c>
      <c r="I553" s="15">
        <f t="shared" si="98"/>
        <v>3.3211942007923568E-6</v>
      </c>
      <c r="J553" s="20">
        <f t="shared" si="99"/>
        <v>-0.33901086111743639</v>
      </c>
      <c r="K553" s="15">
        <f t="shared" si="100"/>
        <v>-0.73170731707317072</v>
      </c>
      <c r="L553" s="15">
        <f t="shared" si="101"/>
        <v>-0.33901407429433961</v>
      </c>
      <c r="M553" s="15">
        <f t="shared" si="105"/>
        <v>7.3882319169889632E-2</v>
      </c>
      <c r="N553" s="15">
        <f t="shared" si="106"/>
        <v>3.125</v>
      </c>
      <c r="O553" s="15">
        <f t="shared" si="107"/>
        <v>7.3884957244265248E-2</v>
      </c>
      <c r="P553" s="18">
        <f>IF(SUMIFS('Daily NSE Equity Futures'!$J:$J,'Daily NSE Equity Futures'!$A:$A,$A553)=0,"",SUMIFS('Daily NSE Equity Futures'!$J:$J,'Daily NSE Equity Futures'!$A:$A,$A553))</f>
        <v>1529684</v>
      </c>
      <c r="Q553" s="7">
        <f>IF(SUMIFS('Daily BSE Equity Futures'!$J:$J,'Daily BSE Equity Futures'!$A:$A,$A553)=0,"",SUMIFS('Daily BSE Equity Futures'!$J:$J,'Daily BSE Equity Futures'!$A:$A,$A553))</f>
        <v>4</v>
      </c>
      <c r="R553" s="7">
        <f t="shared" si="102"/>
        <v>1529688</v>
      </c>
      <c r="S553" s="19">
        <f t="shared" si="103"/>
        <v>0.99999738508767799</v>
      </c>
      <c r="T553" s="19">
        <f t="shared" si="104"/>
        <v>2.6149123219898438E-6</v>
      </c>
    </row>
    <row r="554" spans="1:20" x14ac:dyDescent="0.2">
      <c r="A554" s="9">
        <v>44734</v>
      </c>
      <c r="B554" s="4" t="s">
        <v>221</v>
      </c>
      <c r="C554" s="8">
        <v>44713</v>
      </c>
      <c r="D554" s="4" t="s">
        <v>181</v>
      </c>
      <c r="E554" s="14">
        <f>IF(SUMIFS('Daily NSE Equity Futures'!$I:$I,'Daily NSE Equity Futures'!$A:$A,$A554)=0,"",SUMIFS('Daily NSE Equity Futures'!$I:$I,'Daily NSE Equity Futures'!$A:$A,$A554))</f>
        <v>892.26949999999999</v>
      </c>
      <c r="F554" s="6">
        <f>IF(SUMIFS('Daily BSE Equity Futures'!$I:$I,'Daily BSE Equity Futures'!$A:$A,$A554)=0,"",SUMIFS('Daily BSE Equity Futures'!$I:$I,'Daily BSE Equity Futures'!$A:$A,$A554))</f>
        <v>1.6000000000000001E-3</v>
      </c>
      <c r="G554" s="6">
        <f t="shared" si="96"/>
        <v>892.27110000000005</v>
      </c>
      <c r="H554" s="15">
        <f t="shared" si="97"/>
        <v>0.99999820682301599</v>
      </c>
      <c r="I554" s="15">
        <f t="shared" si="98"/>
        <v>1.793176983990628E-6</v>
      </c>
      <c r="J554" s="20">
        <f t="shared" si="99"/>
        <v>-0.50453323441798714</v>
      </c>
      <c r="K554" s="15">
        <f t="shared" si="100"/>
        <v>-0.94630872483221473</v>
      </c>
      <c r="L554" s="15">
        <f t="shared" si="101"/>
        <v>-0.50454054461658893</v>
      </c>
      <c r="M554" s="15">
        <f t="shared" si="105"/>
        <v>-0.10199692999865539</v>
      </c>
      <c r="N554" s="15">
        <f t="shared" si="106"/>
        <v>-0.51515151515151514</v>
      </c>
      <c r="O554" s="15">
        <f t="shared" si="107"/>
        <v>-0.10199830216526751</v>
      </c>
      <c r="P554" s="18">
        <f>IF(SUMIFS('Daily NSE Equity Futures'!$J:$J,'Daily NSE Equity Futures'!$A:$A,$A554)=0,"",SUMIFS('Daily NSE Equity Futures'!$J:$J,'Daily NSE Equity Futures'!$A:$A,$A554))</f>
        <v>1387155</v>
      </c>
      <c r="Q554" s="7">
        <f>IF(SUMIFS('Daily BSE Equity Futures'!$J:$J,'Daily BSE Equity Futures'!$A:$A,$A554)=0,"",SUMIFS('Daily BSE Equity Futures'!$J:$J,'Daily BSE Equity Futures'!$A:$A,$A554))</f>
        <v>2</v>
      </c>
      <c r="R554" s="7">
        <f t="shared" si="102"/>
        <v>1387157</v>
      </c>
      <c r="S554" s="19">
        <f t="shared" si="103"/>
        <v>0.99999855820213579</v>
      </c>
      <c r="T554" s="19">
        <f t="shared" si="104"/>
        <v>1.4417978642648236E-6</v>
      </c>
    </row>
    <row r="555" spans="1:20" x14ac:dyDescent="0.2">
      <c r="A555" s="9">
        <v>44735</v>
      </c>
      <c r="B555" s="4" t="s">
        <v>224</v>
      </c>
      <c r="C555" s="8">
        <v>44713</v>
      </c>
      <c r="D555" s="4" t="s">
        <v>181</v>
      </c>
      <c r="E555" s="14">
        <f>IF(SUMIFS('Daily NSE Equity Futures'!$I:$I,'Daily NSE Equity Futures'!$A:$A,$A555)=0,"",SUMIFS('Daily NSE Equity Futures'!$I:$I,'Daily NSE Equity Futures'!$A:$A,$A555))</f>
        <v>1223.4822999999999</v>
      </c>
      <c r="F555" s="6">
        <f>IF(SUMIFS('Daily BSE Equity Futures'!$I:$I,'Daily BSE Equity Futures'!$A:$A,$A555)=0,"",SUMIFS('Daily BSE Equity Futures'!$I:$I,'Daily BSE Equity Futures'!$A:$A,$A555))</f>
        <v>7.3000000000000001E-3</v>
      </c>
      <c r="G555" s="6">
        <f t="shared" si="96"/>
        <v>1223.4895999999999</v>
      </c>
      <c r="H555" s="15">
        <f t="shared" si="97"/>
        <v>0.99999403345970417</v>
      </c>
      <c r="I555" s="15">
        <f t="shared" si="98"/>
        <v>5.96654029588809E-6</v>
      </c>
      <c r="J555" s="20">
        <f t="shared" si="99"/>
        <v>-0.29635423403326455</v>
      </c>
      <c r="K555" s="15">
        <f t="shared" si="100"/>
        <v>-0.85629921259842523</v>
      </c>
      <c r="L555" s="15">
        <f t="shared" si="101"/>
        <v>-0.29637059288312062</v>
      </c>
      <c r="M555" s="15">
        <f t="shared" si="105"/>
        <v>0.37120264673397441</v>
      </c>
      <c r="N555" s="15">
        <f t="shared" si="106"/>
        <v>3.5625</v>
      </c>
      <c r="O555" s="15">
        <f t="shared" si="107"/>
        <v>0.37120836929493728</v>
      </c>
      <c r="P555" s="18">
        <f>IF(SUMIFS('Daily NSE Equity Futures'!$J:$J,'Daily NSE Equity Futures'!$A:$A,$A555)=0,"",SUMIFS('Daily NSE Equity Futures'!$J:$J,'Daily NSE Equity Futures'!$A:$A,$A555))</f>
        <v>1815138</v>
      </c>
      <c r="Q555" s="7">
        <f>IF(SUMIFS('Daily BSE Equity Futures'!$J:$J,'Daily BSE Equity Futures'!$A:$A,$A555)=0,"",SUMIFS('Daily BSE Equity Futures'!$J:$J,'Daily BSE Equity Futures'!$A:$A,$A555))</f>
        <v>9</v>
      </c>
      <c r="R555" s="7">
        <f t="shared" si="102"/>
        <v>1815147</v>
      </c>
      <c r="S555" s="19">
        <f t="shared" si="103"/>
        <v>0.99999504172389342</v>
      </c>
      <c r="T555" s="19">
        <f t="shared" si="104"/>
        <v>4.9582761065632701E-6</v>
      </c>
    </row>
    <row r="556" spans="1:20" x14ac:dyDescent="0.2">
      <c r="A556" s="9">
        <v>44736</v>
      </c>
      <c r="B556" s="4" t="s">
        <v>222</v>
      </c>
      <c r="C556" s="8">
        <v>44713</v>
      </c>
      <c r="D556" s="4" t="s">
        <v>181</v>
      </c>
      <c r="E556" s="14">
        <f>IF(SUMIFS('Daily NSE Equity Futures'!$I:$I,'Daily NSE Equity Futures'!$A:$A,$A556)=0,"",SUMIFS('Daily NSE Equity Futures'!$I:$I,'Daily NSE Equity Futures'!$A:$A,$A556))</f>
        <v>1064.2384999999999</v>
      </c>
      <c r="F556" s="6">
        <f>IF(SUMIFS('Daily BSE Equity Futures'!$I:$I,'Daily BSE Equity Futures'!$A:$A,$A556)=0,"",SUMIFS('Daily BSE Equity Futures'!$I:$I,'Daily BSE Equity Futures'!$A:$A,$A556))</f>
        <v>1.6000000000000001E-3</v>
      </c>
      <c r="G556" s="6">
        <f t="shared" si="96"/>
        <v>1064.2401</v>
      </c>
      <c r="H556" s="15">
        <f t="shared" si="97"/>
        <v>0.99999849657986006</v>
      </c>
      <c r="I556" s="15">
        <f t="shared" si="98"/>
        <v>1.503420139872572E-6</v>
      </c>
      <c r="J556" s="20">
        <f t="shared" si="99"/>
        <v>-0.40960321467796912</v>
      </c>
      <c r="K556" s="15">
        <f t="shared" si="100"/>
        <v>-0.98590308370044055</v>
      </c>
      <c r="L556" s="15">
        <f t="shared" si="101"/>
        <v>-0.40963949925425547</v>
      </c>
      <c r="M556" s="15">
        <f t="shared" si="105"/>
        <v>-0.13015619433154035</v>
      </c>
      <c r="N556" s="15">
        <f t="shared" si="106"/>
        <v>-0.78082191780821919</v>
      </c>
      <c r="O556" s="15">
        <f t="shared" si="107"/>
        <v>-0.13016007655479855</v>
      </c>
      <c r="P556" s="18">
        <f>IF(SUMIFS('Daily NSE Equity Futures'!$J:$J,'Daily NSE Equity Futures'!$A:$A,$A556)=0,"",SUMIFS('Daily NSE Equity Futures'!$J:$J,'Daily NSE Equity Futures'!$A:$A,$A556))</f>
        <v>1631284</v>
      </c>
      <c r="Q556" s="7">
        <f>IF(SUMIFS('Daily BSE Equity Futures'!$J:$J,'Daily BSE Equity Futures'!$A:$A,$A556)=0,"",SUMIFS('Daily BSE Equity Futures'!$J:$J,'Daily BSE Equity Futures'!$A:$A,$A556))</f>
        <v>2</v>
      </c>
      <c r="R556" s="7">
        <f t="shared" si="102"/>
        <v>1631286</v>
      </c>
      <c r="S556" s="19">
        <f t="shared" si="103"/>
        <v>0.9999987739734173</v>
      </c>
      <c r="T556" s="19">
        <f t="shared" si="104"/>
        <v>1.2260265827083663E-6</v>
      </c>
    </row>
    <row r="557" spans="1:20" x14ac:dyDescent="0.2">
      <c r="A557" s="9">
        <v>44739</v>
      </c>
      <c r="B557" s="4" t="s">
        <v>225</v>
      </c>
      <c r="C557" s="8">
        <v>44713</v>
      </c>
      <c r="D557" s="4" t="s">
        <v>181</v>
      </c>
      <c r="E557" s="14">
        <f>IF(SUMIFS('Daily NSE Equity Futures'!$I:$I,'Daily NSE Equity Futures'!$A:$A,$A557)=0,"",SUMIFS('Daily NSE Equity Futures'!$I:$I,'Daily NSE Equity Futures'!$A:$A,$A557))</f>
        <v>1722.7583</v>
      </c>
      <c r="F557" s="6">
        <f>IF(SUMIFS('Daily BSE Equity Futures'!$I:$I,'Daily BSE Equity Futures'!$A:$A,$A557)=0,"",SUMIFS('Daily BSE Equity Futures'!$I:$I,'Daily BSE Equity Futures'!$A:$A,$A557))</f>
        <v>8.0000000000000004E-4</v>
      </c>
      <c r="G557" s="6">
        <f t="shared" si="96"/>
        <v>1722.7591</v>
      </c>
      <c r="H557" s="15">
        <f t="shared" si="97"/>
        <v>0.99999953562863197</v>
      </c>
      <c r="I557" s="15">
        <f t="shared" si="98"/>
        <v>4.6437136799915906E-7</v>
      </c>
      <c r="J557" s="20" t="str">
        <f t="shared" si="99"/>
        <v/>
      </c>
      <c r="K557" s="15" t="str">
        <f t="shared" si="100"/>
        <v/>
      </c>
      <c r="L557" s="15" t="str">
        <f t="shared" si="101"/>
        <v/>
      </c>
      <c r="M557" s="15">
        <f t="shared" si="105"/>
        <v>0.61877088641314892</v>
      </c>
      <c r="N557" s="15">
        <f t="shared" si="106"/>
        <v>-0.5</v>
      </c>
      <c r="O557" s="15">
        <f t="shared" si="107"/>
        <v>0.61876920443046646</v>
      </c>
      <c r="P557" s="18">
        <f>IF(SUMIFS('Daily NSE Equity Futures'!$J:$J,'Daily NSE Equity Futures'!$A:$A,$A557)=0,"",SUMIFS('Daily NSE Equity Futures'!$J:$J,'Daily NSE Equity Futures'!$A:$A,$A557))</f>
        <v>2693035</v>
      </c>
      <c r="Q557" s="7">
        <f>IF(SUMIFS('Daily BSE Equity Futures'!$J:$J,'Daily BSE Equity Futures'!$A:$A,$A557)=0,"",SUMIFS('Daily BSE Equity Futures'!$J:$J,'Daily BSE Equity Futures'!$A:$A,$A557))</f>
        <v>1</v>
      </c>
      <c r="R557" s="7">
        <f t="shared" si="102"/>
        <v>2693036</v>
      </c>
      <c r="S557" s="19">
        <f t="shared" si="103"/>
        <v>0.99999962867187808</v>
      </c>
      <c r="T557" s="19">
        <f t="shared" si="104"/>
        <v>3.7132812186691899E-7</v>
      </c>
    </row>
    <row r="558" spans="1:20" x14ac:dyDescent="0.2">
      <c r="A558" s="9">
        <v>44740</v>
      </c>
      <c r="B558" s="4" t="s">
        <v>223</v>
      </c>
      <c r="C558" s="8">
        <v>44713</v>
      </c>
      <c r="D558" s="4" t="s">
        <v>181</v>
      </c>
      <c r="E558" s="14">
        <f>IF(SUMIFS('Daily NSE Equity Futures'!$I:$I,'Daily NSE Equity Futures'!$A:$A,$A558)=0,"",SUMIFS('Daily NSE Equity Futures'!$I:$I,'Daily NSE Equity Futures'!$A:$A,$A558))</f>
        <v>1824.5453</v>
      </c>
      <c r="F558" s="6">
        <f>IF(SUMIFS('Daily BSE Equity Futures'!$I:$I,'Daily BSE Equity Futures'!$A:$A,$A558)=0,"",SUMIFS('Daily BSE Equity Futures'!$I:$I,'Daily BSE Equity Futures'!$A:$A,$A558))</f>
        <v>8.0000000000000004E-4</v>
      </c>
      <c r="G558" s="6">
        <f t="shared" si="96"/>
        <v>1824.5461</v>
      </c>
      <c r="H558" s="15">
        <f t="shared" si="97"/>
        <v>0.99999956153478387</v>
      </c>
      <c r="I558" s="15">
        <f t="shared" si="98"/>
        <v>4.3846521608853844E-7</v>
      </c>
      <c r="J558" s="20">
        <f t="shared" si="99"/>
        <v>1.6044580877514285</v>
      </c>
      <c r="K558" s="15">
        <f t="shared" si="100"/>
        <v>-0.91208791208791207</v>
      </c>
      <c r="L558" s="15">
        <f t="shared" si="101"/>
        <v>1.6044253986226087</v>
      </c>
      <c r="M558" s="15">
        <f t="shared" si="105"/>
        <v>5.9083737979959361E-2</v>
      </c>
      <c r="N558" s="15">
        <f t="shared" si="106"/>
        <v>0</v>
      </c>
      <c r="O558" s="15">
        <f t="shared" si="107"/>
        <v>5.9083710543162971E-2</v>
      </c>
      <c r="P558" s="18">
        <f>IF(SUMIFS('Daily NSE Equity Futures'!$J:$J,'Daily NSE Equity Futures'!$A:$A,$A558)=0,"",SUMIFS('Daily NSE Equity Futures'!$J:$J,'Daily NSE Equity Futures'!$A:$A,$A558))</f>
        <v>2893690</v>
      </c>
      <c r="Q558" s="7">
        <f>IF(SUMIFS('Daily BSE Equity Futures'!$J:$J,'Daily BSE Equity Futures'!$A:$A,$A558)=0,"",SUMIFS('Daily BSE Equity Futures'!$J:$J,'Daily BSE Equity Futures'!$A:$A,$A558))</f>
        <v>1</v>
      </c>
      <c r="R558" s="7">
        <f t="shared" si="102"/>
        <v>2893691</v>
      </c>
      <c r="S558" s="19">
        <f t="shared" si="103"/>
        <v>0.9999996544205999</v>
      </c>
      <c r="T558" s="19">
        <f t="shared" si="104"/>
        <v>3.4557940015018878E-7</v>
      </c>
    </row>
    <row r="559" spans="1:20" x14ac:dyDescent="0.2">
      <c r="A559" s="9">
        <v>44741</v>
      </c>
      <c r="B559" s="4" t="s">
        <v>221</v>
      </c>
      <c r="C559" s="8">
        <v>44713</v>
      </c>
      <c r="D559" s="4" t="s">
        <v>181</v>
      </c>
      <c r="E559" s="14">
        <f>IF(SUMIFS('Daily NSE Equity Futures'!$I:$I,'Daily NSE Equity Futures'!$A:$A,$A559)=0,"",SUMIFS('Daily NSE Equity Futures'!$I:$I,'Daily NSE Equity Futures'!$A:$A,$A559))</f>
        <v>1780.4855</v>
      </c>
      <c r="F559" s="6">
        <f>IF(SUMIFS('Daily BSE Equity Futures'!$I:$I,'Daily BSE Equity Futures'!$A:$A,$A559)=0,"",SUMIFS('Daily BSE Equity Futures'!$I:$I,'Daily BSE Equity Futures'!$A:$A,$A559))</f>
        <v>2.5000000000000001E-3</v>
      </c>
      <c r="G559" s="6">
        <f t="shared" si="96"/>
        <v>1780.4880000000001</v>
      </c>
      <c r="H559" s="15">
        <f t="shared" si="97"/>
        <v>0.99999859589056483</v>
      </c>
      <c r="I559" s="15">
        <f t="shared" si="98"/>
        <v>1.4041094351660892E-6</v>
      </c>
      <c r="J559" s="20">
        <f t="shared" si="99"/>
        <v>1.4771817080797405</v>
      </c>
      <c r="K559" s="15">
        <f t="shared" si="100"/>
        <v>-0.79838709677419351</v>
      </c>
      <c r="L559" s="15">
        <f t="shared" si="101"/>
        <v>1.4771424504940338</v>
      </c>
      <c r="M559" s="15">
        <f t="shared" si="105"/>
        <v>-2.4148372747993752E-2</v>
      </c>
      <c r="N559" s="15">
        <f t="shared" si="106"/>
        <v>2.125</v>
      </c>
      <c r="O559" s="15">
        <f t="shared" si="107"/>
        <v>-2.4147430421188054E-2</v>
      </c>
      <c r="P559" s="18">
        <f>IF(SUMIFS('Daily NSE Equity Futures'!$J:$J,'Daily NSE Equity Futures'!$A:$A,$A559)=0,"",SUMIFS('Daily NSE Equity Futures'!$J:$J,'Daily NSE Equity Futures'!$A:$A,$A559))</f>
        <v>2797389</v>
      </c>
      <c r="Q559" s="7">
        <f>IF(SUMIFS('Daily BSE Equity Futures'!$J:$J,'Daily BSE Equity Futures'!$A:$A,$A559)=0,"",SUMIFS('Daily BSE Equity Futures'!$J:$J,'Daily BSE Equity Futures'!$A:$A,$A559))</f>
        <v>3</v>
      </c>
      <c r="R559" s="7">
        <f t="shared" si="102"/>
        <v>2797392</v>
      </c>
      <c r="S559" s="19">
        <f t="shared" si="103"/>
        <v>0.99999892757253894</v>
      </c>
      <c r="T559" s="19">
        <f t="shared" si="104"/>
        <v>1.0724274610065375E-6</v>
      </c>
    </row>
    <row r="560" spans="1:20" x14ac:dyDescent="0.2">
      <c r="A560" s="9">
        <v>44742</v>
      </c>
      <c r="B560" s="4" t="s">
        <v>224</v>
      </c>
      <c r="C560" s="8">
        <v>44713</v>
      </c>
      <c r="D560" s="4" t="s">
        <v>181</v>
      </c>
      <c r="E560" s="14">
        <f>IF(SUMIFS('Daily NSE Equity Futures'!$I:$I,'Daily NSE Equity Futures'!$A:$A,$A560)=0,"",SUMIFS('Daily NSE Equity Futures'!$I:$I,'Daily NSE Equity Futures'!$A:$A,$A560))</f>
        <v>1927.9635000000001</v>
      </c>
      <c r="F560" s="6">
        <f>IF(SUMIFS('Daily BSE Equity Futures'!$I:$I,'Daily BSE Equity Futures'!$A:$A,$A560)=0,"",SUMIFS('Daily BSE Equity Futures'!$I:$I,'Daily BSE Equity Futures'!$A:$A,$A560))</f>
        <v>4.1000000000000003E-3</v>
      </c>
      <c r="G560" s="6">
        <f t="shared" si="96"/>
        <v>1927.9676000000002</v>
      </c>
      <c r="H560" s="15">
        <f t="shared" si="97"/>
        <v>0.99999787340824597</v>
      </c>
      <c r="I560" s="15">
        <f t="shared" si="98"/>
        <v>2.1265917539278151E-6</v>
      </c>
      <c r="J560" s="20">
        <f t="shared" si="99"/>
        <v>1.6811283926025045</v>
      </c>
      <c r="K560" s="15">
        <f t="shared" si="100"/>
        <v>-0.50602409638554213</v>
      </c>
      <c r="L560" s="15">
        <f t="shared" si="101"/>
        <v>1.6811031478599006</v>
      </c>
      <c r="M560" s="15">
        <f t="shared" si="105"/>
        <v>8.283021681445879E-2</v>
      </c>
      <c r="N560" s="15">
        <f t="shared" si="106"/>
        <v>0.64000000000000012</v>
      </c>
      <c r="O560" s="15">
        <f t="shared" si="107"/>
        <v>8.2830999141808359E-2</v>
      </c>
      <c r="P560" s="18">
        <f>IF(SUMIFS('Daily NSE Equity Futures'!$J:$J,'Daily NSE Equity Futures'!$A:$A,$A560)=0,"",SUMIFS('Daily NSE Equity Futures'!$J:$J,'Daily NSE Equity Futures'!$A:$A,$A560))</f>
        <v>2991023</v>
      </c>
      <c r="Q560" s="7">
        <f>IF(SUMIFS('Daily BSE Equity Futures'!$J:$J,'Daily BSE Equity Futures'!$A:$A,$A560)=0,"",SUMIFS('Daily BSE Equity Futures'!$J:$J,'Daily BSE Equity Futures'!$A:$A,$A560))</f>
        <v>5</v>
      </c>
      <c r="R560" s="7">
        <f t="shared" si="102"/>
        <v>2991028</v>
      </c>
      <c r="S560" s="19">
        <f t="shared" si="103"/>
        <v>0.99999832833393731</v>
      </c>
      <c r="T560" s="19">
        <f t="shared" si="104"/>
        <v>1.671666062637996E-6</v>
      </c>
    </row>
    <row r="561" spans="1:20" x14ac:dyDescent="0.2">
      <c r="A561" s="9">
        <v>44743</v>
      </c>
      <c r="B561" s="4" t="s">
        <v>222</v>
      </c>
      <c r="C561" s="8">
        <v>44743</v>
      </c>
      <c r="D561" s="4" t="s">
        <v>182</v>
      </c>
      <c r="E561" s="14">
        <f>IF(SUMIFS('Daily NSE Equity Futures'!$I:$I,'Daily NSE Equity Futures'!$A:$A,$A561)=0,"",SUMIFS('Daily NSE Equity Futures'!$I:$I,'Daily NSE Equity Futures'!$A:$A,$A561))</f>
        <v>1007.4906999999999</v>
      </c>
      <c r="F561" s="6">
        <f>IF(SUMIFS('Daily BSE Equity Futures'!$I:$I,'Daily BSE Equity Futures'!$A:$A,$A561)=0,"",SUMIFS('Daily BSE Equity Futures'!$I:$I,'Daily BSE Equity Futures'!$A:$A,$A561))</f>
        <v>1.6000000000000001E-3</v>
      </c>
      <c r="G561" s="6">
        <f t="shared" si="96"/>
        <v>1007.4923</v>
      </c>
      <c r="H561" s="15">
        <f t="shared" si="97"/>
        <v>0.99999841189853256</v>
      </c>
      <c r="I561" s="15">
        <f t="shared" si="98"/>
        <v>1.5881014673759791E-6</v>
      </c>
      <c r="J561" s="20">
        <f t="shared" si="99"/>
        <v>0.66243647618956469</v>
      </c>
      <c r="K561" s="15">
        <f t="shared" si="100"/>
        <v>-0.88571428571428568</v>
      </c>
      <c r="L561" s="15">
        <f t="shared" si="101"/>
        <v>0.66240071308047921</v>
      </c>
      <c r="M561" s="15">
        <f t="shared" si="105"/>
        <v>-0.47743268998609156</v>
      </c>
      <c r="N561" s="15">
        <f t="shared" si="106"/>
        <v>-0.6097560975609756</v>
      </c>
      <c r="O561" s="15">
        <f t="shared" si="107"/>
        <v>-0.47743297138395902</v>
      </c>
      <c r="P561" s="18">
        <f>IF(SUMIFS('Daily NSE Equity Futures'!$J:$J,'Daily NSE Equity Futures'!$A:$A,$A561)=0,"",SUMIFS('Daily NSE Equity Futures'!$J:$J,'Daily NSE Equity Futures'!$A:$A,$A561))</f>
        <v>1496696</v>
      </c>
      <c r="Q561" s="7">
        <f>IF(SUMIFS('Daily BSE Equity Futures'!$J:$J,'Daily BSE Equity Futures'!$A:$A,$A561)=0,"",SUMIFS('Daily BSE Equity Futures'!$J:$J,'Daily BSE Equity Futures'!$A:$A,$A561))</f>
        <v>2</v>
      </c>
      <c r="R561" s="7">
        <f t="shared" si="102"/>
        <v>1496698</v>
      </c>
      <c r="S561" s="19">
        <f t="shared" si="103"/>
        <v>0.99999866372508017</v>
      </c>
      <c r="T561" s="19">
        <f t="shared" si="104"/>
        <v>1.3362749198569117E-6</v>
      </c>
    </row>
    <row r="562" spans="1:20" x14ac:dyDescent="0.2">
      <c r="A562" s="9">
        <v>44746</v>
      </c>
      <c r="B562" s="4" t="s">
        <v>225</v>
      </c>
      <c r="C562" s="8">
        <v>44743</v>
      </c>
      <c r="D562" s="4" t="s">
        <v>182</v>
      </c>
      <c r="E562" s="14">
        <f>IF(SUMIFS('Daily NSE Equity Futures'!$I:$I,'Daily NSE Equity Futures'!$A:$A,$A562)=0,"",SUMIFS('Daily NSE Equity Futures'!$I:$I,'Daily NSE Equity Futures'!$A:$A,$A562))</f>
        <v>726.18079999999998</v>
      </c>
      <c r="F562" s="6">
        <f>IF(SUMIFS('Daily BSE Equity Futures'!$I:$I,'Daily BSE Equity Futures'!$A:$A,$A562)=0,"",SUMIFS('Daily BSE Equity Futures'!$I:$I,'Daily BSE Equity Futures'!$A:$A,$A562))</f>
        <v>8.0000000000000004E-4</v>
      </c>
      <c r="G562" s="6">
        <f t="shared" si="96"/>
        <v>726.1816</v>
      </c>
      <c r="H562" s="15">
        <f t="shared" si="97"/>
        <v>0.99999889834719025</v>
      </c>
      <c r="I562" s="15">
        <f t="shared" si="98"/>
        <v>1.1016528097104086E-6</v>
      </c>
      <c r="J562" s="20" t="str">
        <f t="shared" si="99"/>
        <v/>
      </c>
      <c r="K562" s="15" t="str">
        <f t="shared" si="100"/>
        <v/>
      </c>
      <c r="L562" s="15" t="str">
        <f t="shared" si="101"/>
        <v/>
      </c>
      <c r="M562" s="15">
        <f t="shared" si="105"/>
        <v>-0.27921835903795433</v>
      </c>
      <c r="N562" s="15">
        <f t="shared" si="106"/>
        <v>-0.5</v>
      </c>
      <c r="O562" s="15">
        <f t="shared" si="107"/>
        <v>-0.27921870966160234</v>
      </c>
      <c r="P562" s="18">
        <f>IF(SUMIFS('Daily NSE Equity Futures'!$J:$J,'Daily NSE Equity Futures'!$A:$A,$A562)=0,"",SUMIFS('Daily NSE Equity Futures'!$J:$J,'Daily NSE Equity Futures'!$A:$A,$A562))</f>
        <v>1067209</v>
      </c>
      <c r="Q562" s="7">
        <f>IF(SUMIFS('Daily BSE Equity Futures'!$J:$J,'Daily BSE Equity Futures'!$A:$A,$A562)=0,"",SUMIFS('Daily BSE Equity Futures'!$J:$J,'Daily BSE Equity Futures'!$A:$A,$A562))</f>
        <v>1</v>
      </c>
      <c r="R562" s="7">
        <f t="shared" si="102"/>
        <v>1067210</v>
      </c>
      <c r="S562" s="19">
        <f t="shared" si="103"/>
        <v>0.9999990629772959</v>
      </c>
      <c r="T562" s="19">
        <f t="shared" si="104"/>
        <v>9.370227040601194E-7</v>
      </c>
    </row>
    <row r="563" spans="1:20" x14ac:dyDescent="0.2">
      <c r="A563" s="9">
        <v>44747</v>
      </c>
      <c r="B563" s="4" t="s">
        <v>223</v>
      </c>
      <c r="C563" s="8">
        <v>44743</v>
      </c>
      <c r="D563" s="4" t="s">
        <v>182</v>
      </c>
      <c r="E563" s="14">
        <f>IF(SUMIFS('Daily NSE Equity Futures'!$I:$I,'Daily NSE Equity Futures'!$A:$A,$A563)=0,"",SUMIFS('Daily NSE Equity Futures'!$I:$I,'Daily NSE Equity Futures'!$A:$A,$A563))</f>
        <v>846.36559999999997</v>
      </c>
      <c r="F563" s="6">
        <f>IF(SUMIFS('Daily BSE Equity Futures'!$I:$I,'Daily BSE Equity Futures'!$A:$A,$A563)=0,"",SUMIFS('Daily BSE Equity Futures'!$I:$I,'Daily BSE Equity Futures'!$A:$A,$A563))</f>
        <v>2.5000000000000001E-3</v>
      </c>
      <c r="G563" s="6">
        <f t="shared" si="96"/>
        <v>846.36810000000003</v>
      </c>
      <c r="H563" s="15">
        <f t="shared" si="97"/>
        <v>0.99999704620247376</v>
      </c>
      <c r="I563" s="15">
        <f t="shared" si="98"/>
        <v>2.9537975261591263E-6</v>
      </c>
      <c r="J563" s="20">
        <f t="shared" si="99"/>
        <v>0.25599210046208243</v>
      </c>
      <c r="K563" s="15">
        <f t="shared" si="100"/>
        <v>-0.5</v>
      </c>
      <c r="L563" s="15">
        <f t="shared" si="101"/>
        <v>0.25598649110685301</v>
      </c>
      <c r="M563" s="15">
        <f t="shared" si="105"/>
        <v>0.16550258558199271</v>
      </c>
      <c r="N563" s="15">
        <f t="shared" si="106"/>
        <v>2.125</v>
      </c>
      <c r="O563" s="15">
        <f t="shared" si="107"/>
        <v>0.16550474426782502</v>
      </c>
      <c r="P563" s="18">
        <f>IF(SUMIFS('Daily NSE Equity Futures'!$J:$J,'Daily NSE Equity Futures'!$A:$A,$A563)=0,"",SUMIFS('Daily NSE Equity Futures'!$J:$J,'Daily NSE Equity Futures'!$A:$A,$A563))</f>
        <v>1228098</v>
      </c>
      <c r="Q563" s="7">
        <f>IF(SUMIFS('Daily BSE Equity Futures'!$J:$J,'Daily BSE Equity Futures'!$A:$A,$A563)=0,"",SUMIFS('Daily BSE Equity Futures'!$J:$J,'Daily BSE Equity Futures'!$A:$A,$A563))</f>
        <v>3</v>
      </c>
      <c r="R563" s="7">
        <f t="shared" si="102"/>
        <v>1228101</v>
      </c>
      <c r="S563" s="19">
        <f t="shared" si="103"/>
        <v>0.99999755720417127</v>
      </c>
      <c r="T563" s="19">
        <f t="shared" si="104"/>
        <v>2.4427958286818431E-6</v>
      </c>
    </row>
    <row r="564" spans="1:20" x14ac:dyDescent="0.2">
      <c r="A564" s="9">
        <v>44748</v>
      </c>
      <c r="B564" s="4" t="s">
        <v>221</v>
      </c>
      <c r="C564" s="8">
        <v>44743</v>
      </c>
      <c r="D564" s="4" t="s">
        <v>182</v>
      </c>
      <c r="E564" s="14">
        <f>IF(SUMIFS('Daily NSE Equity Futures'!$I:$I,'Daily NSE Equity Futures'!$A:$A,$A564)=0,"",SUMIFS('Daily NSE Equity Futures'!$I:$I,'Daily NSE Equity Futures'!$A:$A,$A564))</f>
        <v>965.15309999999999</v>
      </c>
      <c r="F564" s="6">
        <f>IF(SUMIFS('Daily BSE Equity Futures'!$I:$I,'Daily BSE Equity Futures'!$A:$A,$A564)=0,"",SUMIFS('Daily BSE Equity Futures'!$I:$I,'Daily BSE Equity Futures'!$A:$A,$A564))</f>
        <v>2.5000000000000001E-3</v>
      </c>
      <c r="G564" s="6">
        <f t="shared" si="96"/>
        <v>965.15560000000005</v>
      </c>
      <c r="H564" s="15">
        <f t="shared" si="97"/>
        <v>0.9999974097440868</v>
      </c>
      <c r="I564" s="15">
        <f t="shared" si="98"/>
        <v>2.5902559131398088E-6</v>
      </c>
      <c r="J564" s="20">
        <f t="shared" si="99"/>
        <v>0.1085702780071458</v>
      </c>
      <c r="K564" s="15">
        <f t="shared" si="100"/>
        <v>-0.76851851851851849</v>
      </c>
      <c r="L564" s="15">
        <f t="shared" si="101"/>
        <v>0.1085593980057189</v>
      </c>
      <c r="M564" s="15">
        <f t="shared" si="105"/>
        <v>0.14035010402124093</v>
      </c>
      <c r="N564" s="15">
        <f t="shared" si="106"/>
        <v>0</v>
      </c>
      <c r="O564" s="15">
        <f t="shared" si="107"/>
        <v>0.14034968945545101</v>
      </c>
      <c r="P564" s="18">
        <f>IF(SUMIFS('Daily NSE Equity Futures'!$J:$J,'Daily NSE Equity Futures'!$A:$A,$A564)=0,"",SUMIFS('Daily NSE Equity Futures'!$J:$J,'Daily NSE Equity Futures'!$A:$A,$A564))</f>
        <v>1385901</v>
      </c>
      <c r="Q564" s="7">
        <f>IF(SUMIFS('Daily BSE Equity Futures'!$J:$J,'Daily BSE Equity Futures'!$A:$A,$A564)=0,"",SUMIFS('Daily BSE Equity Futures'!$J:$J,'Daily BSE Equity Futures'!$A:$A,$A564))</f>
        <v>3</v>
      </c>
      <c r="R564" s="7">
        <f t="shared" si="102"/>
        <v>1385904</v>
      </c>
      <c r="S564" s="19">
        <f t="shared" si="103"/>
        <v>0.99999783534790287</v>
      </c>
      <c r="T564" s="19">
        <f t="shared" si="104"/>
        <v>2.1646520971149517E-6</v>
      </c>
    </row>
    <row r="565" spans="1:20" x14ac:dyDescent="0.2">
      <c r="A565" s="9">
        <v>44749</v>
      </c>
      <c r="B565" s="4" t="s">
        <v>224</v>
      </c>
      <c r="C565" s="8">
        <v>44743</v>
      </c>
      <c r="D565" s="4" t="s">
        <v>182</v>
      </c>
      <c r="E565" s="14">
        <f>IF(SUMIFS('Daily NSE Equity Futures'!$I:$I,'Daily NSE Equity Futures'!$A:$A,$A565)=0,"",SUMIFS('Daily NSE Equity Futures'!$I:$I,'Daily NSE Equity Futures'!$A:$A,$A565))</f>
        <v>863.17700000000002</v>
      </c>
      <c r="F565" s="6">
        <f>IF(SUMIFS('Daily BSE Equity Futures'!$I:$I,'Daily BSE Equity Futures'!$A:$A,$A565)=0,"",SUMIFS('Daily BSE Equity Futures'!$I:$I,'Daily BSE Equity Futures'!$A:$A,$A565))</f>
        <v>1.6999999999999999E-3</v>
      </c>
      <c r="G565" s="6">
        <f t="shared" si="96"/>
        <v>863.17870000000005</v>
      </c>
      <c r="H565" s="15">
        <f t="shared" si="97"/>
        <v>0.99999803053527614</v>
      </c>
      <c r="I565" s="15">
        <f t="shared" si="98"/>
        <v>1.9694647238167481E-6</v>
      </c>
      <c r="J565" s="20">
        <f t="shared" si="99"/>
        <v>0.22824317415406981</v>
      </c>
      <c r="K565" s="15">
        <f t="shared" si="100"/>
        <v>-0.66</v>
      </c>
      <c r="L565" s="15">
        <f t="shared" si="101"/>
        <v>0.22823685464570875</v>
      </c>
      <c r="M565" s="15">
        <f t="shared" si="105"/>
        <v>-0.10565795209070972</v>
      </c>
      <c r="N565" s="15">
        <f t="shared" si="106"/>
        <v>-0.32000000000000006</v>
      </c>
      <c r="O565" s="15">
        <f t="shared" si="107"/>
        <v>-0.10565850729146675</v>
      </c>
      <c r="P565" s="18">
        <f>IF(SUMIFS('Daily NSE Equity Futures'!$J:$J,'Daily NSE Equity Futures'!$A:$A,$A565)=0,"",SUMIFS('Daily NSE Equity Futures'!$J:$J,'Daily NSE Equity Futures'!$A:$A,$A565))</f>
        <v>1251481</v>
      </c>
      <c r="Q565" s="7">
        <f>IF(SUMIFS('Daily BSE Equity Futures'!$J:$J,'Daily BSE Equity Futures'!$A:$A,$A565)=0,"",SUMIFS('Daily BSE Equity Futures'!$J:$J,'Daily BSE Equity Futures'!$A:$A,$A565))</f>
        <v>2</v>
      </c>
      <c r="R565" s="7">
        <f t="shared" si="102"/>
        <v>1251483</v>
      </c>
      <c r="S565" s="19">
        <f t="shared" si="103"/>
        <v>0.99999840189599065</v>
      </c>
      <c r="T565" s="19">
        <f t="shared" si="104"/>
        <v>1.598104009403244E-6</v>
      </c>
    </row>
    <row r="566" spans="1:20" x14ac:dyDescent="0.2">
      <c r="A566" s="9">
        <v>44750</v>
      </c>
      <c r="B566" s="4" t="s">
        <v>222</v>
      </c>
      <c r="C566" s="8">
        <v>44743</v>
      </c>
      <c r="D566" s="4" t="s">
        <v>182</v>
      </c>
      <c r="E566" s="14">
        <f>IF(SUMIFS('Daily NSE Equity Futures'!$I:$I,'Daily NSE Equity Futures'!$A:$A,$A566)=0,"",SUMIFS('Daily NSE Equity Futures'!$I:$I,'Daily NSE Equity Futures'!$A:$A,$A566))</f>
        <v>758.43949999999995</v>
      </c>
      <c r="F566" s="6">
        <f>IF(SUMIFS('Daily BSE Equity Futures'!$I:$I,'Daily BSE Equity Futures'!$A:$A,$A566)=0,"",SUMIFS('Daily BSE Equity Futures'!$I:$I,'Daily BSE Equity Futures'!$A:$A,$A566))</f>
        <v>8.9999999999999998E-4</v>
      </c>
      <c r="G566" s="6">
        <f t="shared" si="96"/>
        <v>758.44039999999995</v>
      </c>
      <c r="H566" s="15">
        <f t="shared" si="97"/>
        <v>0.99999881335435192</v>
      </c>
      <c r="I566" s="15">
        <f t="shared" si="98"/>
        <v>1.1866456480957503E-6</v>
      </c>
      <c r="J566" s="20">
        <f t="shared" si="99"/>
        <v>-6.1561873680235468E-2</v>
      </c>
      <c r="K566" s="15">
        <f t="shared" si="100"/>
        <v>-0.89156626506024095</v>
      </c>
      <c r="L566" s="15">
        <f t="shared" si="101"/>
        <v>-6.1570397587631942E-2</v>
      </c>
      <c r="M566" s="15">
        <f t="shared" si="105"/>
        <v>-0.1213395398626238</v>
      </c>
      <c r="N566" s="15">
        <f t="shared" si="106"/>
        <v>-0.47058823529411764</v>
      </c>
      <c r="O566" s="15">
        <f t="shared" si="107"/>
        <v>-0.12134022769560937</v>
      </c>
      <c r="P566" s="18">
        <f>IF(SUMIFS('Daily NSE Equity Futures'!$J:$J,'Daily NSE Equity Futures'!$A:$A,$A566)=0,"",SUMIFS('Daily NSE Equity Futures'!$J:$J,'Daily NSE Equity Futures'!$A:$A,$A566))</f>
        <v>1104509</v>
      </c>
      <c r="Q566" s="7">
        <f>IF(SUMIFS('Daily BSE Equity Futures'!$J:$J,'Daily BSE Equity Futures'!$A:$A,$A566)=0,"",SUMIFS('Daily BSE Equity Futures'!$J:$J,'Daily BSE Equity Futures'!$A:$A,$A566))</f>
        <v>1</v>
      </c>
      <c r="R566" s="7">
        <f t="shared" si="102"/>
        <v>1104510</v>
      </c>
      <c r="S566" s="19">
        <f t="shared" si="103"/>
        <v>0.99999909462114422</v>
      </c>
      <c r="T566" s="19">
        <f t="shared" si="104"/>
        <v>9.053788557822021E-7</v>
      </c>
    </row>
    <row r="567" spans="1:20" x14ac:dyDescent="0.2">
      <c r="A567" s="9">
        <v>44753</v>
      </c>
      <c r="B567" s="4" t="s">
        <v>225</v>
      </c>
      <c r="C567" s="8">
        <v>44743</v>
      </c>
      <c r="D567" s="4" t="s">
        <v>182</v>
      </c>
      <c r="E567" s="14">
        <f>IF(SUMIFS('Daily NSE Equity Futures'!$I:$I,'Daily NSE Equity Futures'!$A:$A,$A567)=0,"",SUMIFS('Daily NSE Equity Futures'!$I:$I,'Daily NSE Equity Futures'!$A:$A,$A567))</f>
        <v>849.03880000000004</v>
      </c>
      <c r="F567" s="6">
        <f>IF(SUMIFS('Daily BSE Equity Futures'!$I:$I,'Daily BSE Equity Futures'!$A:$A,$A567)=0,"",SUMIFS('Daily BSE Equity Futures'!$I:$I,'Daily BSE Equity Futures'!$A:$A,$A567))</f>
        <v>2.5000000000000001E-3</v>
      </c>
      <c r="G567" s="6">
        <f t="shared" si="96"/>
        <v>849.04130000000009</v>
      </c>
      <c r="H567" s="15">
        <f t="shared" si="97"/>
        <v>0.99999705550248252</v>
      </c>
      <c r="I567" s="15">
        <f t="shared" si="98"/>
        <v>2.9444975173763631E-6</v>
      </c>
      <c r="J567" s="20" t="str">
        <f t="shared" si="99"/>
        <v/>
      </c>
      <c r="K567" s="15" t="str">
        <f t="shared" si="100"/>
        <v/>
      </c>
      <c r="L567" s="15" t="str">
        <f t="shared" si="101"/>
        <v/>
      </c>
      <c r="M567" s="15">
        <f t="shared" si="105"/>
        <v>0.11945488071230481</v>
      </c>
      <c r="N567" s="15">
        <f t="shared" si="106"/>
        <v>1.7777777777777781</v>
      </c>
      <c r="O567" s="15">
        <f t="shared" si="107"/>
        <v>0.11945684855395378</v>
      </c>
      <c r="P567" s="18">
        <f>IF(SUMIFS('Daily NSE Equity Futures'!$J:$J,'Daily NSE Equity Futures'!$A:$A,$A567)=0,"",SUMIFS('Daily NSE Equity Futures'!$J:$J,'Daily NSE Equity Futures'!$A:$A,$A567))</f>
        <v>1250633</v>
      </c>
      <c r="Q567" s="7">
        <f>IF(SUMIFS('Daily BSE Equity Futures'!$J:$J,'Daily BSE Equity Futures'!$A:$A,$A567)=0,"",SUMIFS('Daily BSE Equity Futures'!$J:$J,'Daily BSE Equity Futures'!$A:$A,$A567))</f>
        <v>3</v>
      </c>
      <c r="R567" s="7">
        <f t="shared" si="102"/>
        <v>1250636</v>
      </c>
      <c r="S567" s="19">
        <f t="shared" si="103"/>
        <v>0.99999760122049897</v>
      </c>
      <c r="T567" s="19">
        <f t="shared" si="104"/>
        <v>2.3987795009898965E-6</v>
      </c>
    </row>
    <row r="568" spans="1:20" x14ac:dyDescent="0.2">
      <c r="A568" s="9">
        <v>44754</v>
      </c>
      <c r="B568" s="4" t="s">
        <v>223</v>
      </c>
      <c r="C568" s="8">
        <v>44743</v>
      </c>
      <c r="D568" s="4" t="s">
        <v>182</v>
      </c>
      <c r="E568" s="14">
        <f>IF(SUMIFS('Daily NSE Equity Futures'!$I:$I,'Daily NSE Equity Futures'!$A:$A,$A568)=0,"",SUMIFS('Daily NSE Equity Futures'!$I:$I,'Daily NSE Equity Futures'!$A:$A,$A568))</f>
        <v>755.79830000000004</v>
      </c>
      <c r="F568" s="6">
        <f>IF(SUMIFS('Daily BSE Equity Futures'!$I:$I,'Daily BSE Equity Futures'!$A:$A,$A568)=0,"",SUMIFS('Daily BSE Equity Futures'!$I:$I,'Daily BSE Equity Futures'!$A:$A,$A568))</f>
        <v>1.6999999999999999E-3</v>
      </c>
      <c r="G568" s="6">
        <f t="shared" si="96"/>
        <v>755.80000000000007</v>
      </c>
      <c r="H568" s="15">
        <f t="shared" si="97"/>
        <v>0.99999775072770569</v>
      </c>
      <c r="I568" s="15">
        <f t="shared" si="98"/>
        <v>2.2492722942577397E-6</v>
      </c>
      <c r="J568" s="20">
        <f t="shared" si="99"/>
        <v>9.2821183948187613E-2</v>
      </c>
      <c r="K568" s="15">
        <f t="shared" si="100"/>
        <v>-0.84112149532710279</v>
      </c>
      <c r="L568" s="15">
        <f t="shared" si="101"/>
        <v>9.2806734858886575E-2</v>
      </c>
      <c r="M568" s="15">
        <f t="shared" si="105"/>
        <v>-0.10981889166902614</v>
      </c>
      <c r="N568" s="15">
        <f t="shared" si="106"/>
        <v>-0.32000000000000006</v>
      </c>
      <c r="O568" s="15">
        <f t="shared" si="107"/>
        <v>-0.10981951054677785</v>
      </c>
      <c r="P568" s="18">
        <f>IF(SUMIFS('Daily NSE Equity Futures'!$J:$J,'Daily NSE Equity Futures'!$A:$A,$A568)=0,"",SUMIFS('Daily NSE Equity Futures'!$J:$J,'Daily NSE Equity Futures'!$A:$A,$A568))</f>
        <v>1094704</v>
      </c>
      <c r="Q568" s="7">
        <f>IF(SUMIFS('Daily BSE Equity Futures'!$J:$J,'Daily BSE Equity Futures'!$A:$A,$A568)=0,"",SUMIFS('Daily BSE Equity Futures'!$J:$J,'Daily BSE Equity Futures'!$A:$A,$A568))</f>
        <v>2</v>
      </c>
      <c r="R568" s="7">
        <f t="shared" si="102"/>
        <v>1094706</v>
      </c>
      <c r="S568" s="19">
        <f t="shared" si="103"/>
        <v>0.99999817302545158</v>
      </c>
      <c r="T568" s="19">
        <f t="shared" si="104"/>
        <v>1.8269745484175659E-6</v>
      </c>
    </row>
    <row r="569" spans="1:20" x14ac:dyDescent="0.2">
      <c r="A569" s="9">
        <v>44755</v>
      </c>
      <c r="B569" s="4" t="s">
        <v>221</v>
      </c>
      <c r="C569" s="8">
        <v>44743</v>
      </c>
      <c r="D569" s="4" t="s">
        <v>182</v>
      </c>
      <c r="E569" s="14">
        <f>IF(SUMIFS('Daily NSE Equity Futures'!$I:$I,'Daily NSE Equity Futures'!$A:$A,$A569)=0,"",SUMIFS('Daily NSE Equity Futures'!$I:$I,'Daily NSE Equity Futures'!$A:$A,$A569))</f>
        <v>804.96069999999997</v>
      </c>
      <c r="F569" s="6">
        <f>IF(SUMIFS('Daily BSE Equity Futures'!$I:$I,'Daily BSE Equity Futures'!$A:$A,$A569)=0,"",SUMIFS('Daily BSE Equity Futures'!$I:$I,'Daily BSE Equity Futures'!$A:$A,$A569))</f>
        <v>2.5000000000000001E-3</v>
      </c>
      <c r="G569" s="6">
        <f t="shared" si="96"/>
        <v>804.96320000000003</v>
      </c>
      <c r="H569" s="15">
        <f t="shared" si="97"/>
        <v>0.99999689426796146</v>
      </c>
      <c r="I569" s="15">
        <f t="shared" si="98"/>
        <v>3.1057320384335582E-6</v>
      </c>
      <c r="J569" s="20">
        <f t="shared" si="99"/>
        <v>0.18962780122994305</v>
      </c>
      <c r="K569" s="15">
        <f t="shared" si="100"/>
        <v>-0.8493975903614458</v>
      </c>
      <c r="L569" s="15">
        <f t="shared" si="101"/>
        <v>0.18960231180591669</v>
      </c>
      <c r="M569" s="15">
        <f t="shared" si="105"/>
        <v>6.5046984096153615E-2</v>
      </c>
      <c r="N569" s="15">
        <f t="shared" si="106"/>
        <v>0.47058823529411775</v>
      </c>
      <c r="O569" s="15">
        <f t="shared" si="107"/>
        <v>6.50478962688541E-2</v>
      </c>
      <c r="P569" s="18">
        <f>IF(SUMIFS('Daily NSE Equity Futures'!$J:$J,'Daily NSE Equity Futures'!$A:$A,$A569)=0,"",SUMIFS('Daily NSE Equity Futures'!$J:$J,'Daily NSE Equity Futures'!$A:$A,$A569))</f>
        <v>1153540</v>
      </c>
      <c r="Q569" s="7">
        <f>IF(SUMIFS('Daily BSE Equity Futures'!$J:$J,'Daily BSE Equity Futures'!$A:$A,$A569)=0,"",SUMIFS('Daily BSE Equity Futures'!$J:$J,'Daily BSE Equity Futures'!$A:$A,$A569))</f>
        <v>3</v>
      </c>
      <c r="R569" s="7">
        <f t="shared" si="102"/>
        <v>1153543</v>
      </c>
      <c r="S569" s="19">
        <f t="shared" si="103"/>
        <v>0.99999739931671383</v>
      </c>
      <c r="T569" s="19">
        <f t="shared" si="104"/>
        <v>2.6006832861887245E-6</v>
      </c>
    </row>
    <row r="570" spans="1:20" x14ac:dyDescent="0.2">
      <c r="A570" s="9">
        <v>44756</v>
      </c>
      <c r="B570" s="4" t="s">
        <v>224</v>
      </c>
      <c r="C570" s="8">
        <v>44743</v>
      </c>
      <c r="D570" s="4" t="s">
        <v>182</v>
      </c>
      <c r="E570" s="14">
        <f>IF(SUMIFS('Daily NSE Equity Futures'!$I:$I,'Daily NSE Equity Futures'!$A:$A,$A570)=0,"",SUMIFS('Daily NSE Equity Futures'!$I:$I,'Daily NSE Equity Futures'!$A:$A,$A570))</f>
        <v>829.78970000000004</v>
      </c>
      <c r="F570" s="6">
        <f>IF(SUMIFS('Daily BSE Equity Futures'!$I:$I,'Daily BSE Equity Futures'!$A:$A,$A570)=0,"",SUMIFS('Daily BSE Equity Futures'!$I:$I,'Daily BSE Equity Futures'!$A:$A,$A570))</f>
        <v>3.3999999999999998E-3</v>
      </c>
      <c r="G570" s="6">
        <f t="shared" si="96"/>
        <v>829.79310000000009</v>
      </c>
      <c r="H570" s="15">
        <f t="shared" si="97"/>
        <v>0.99999590259306803</v>
      </c>
      <c r="I570" s="15">
        <f t="shared" si="98"/>
        <v>4.0974069319207398E-6</v>
      </c>
      <c r="J570" s="20">
        <f t="shared" si="99"/>
        <v>0.27292626493056882</v>
      </c>
      <c r="K570" s="15">
        <f t="shared" si="100"/>
        <v>-0.19047619047619047</v>
      </c>
      <c r="L570" s="15">
        <f t="shared" si="101"/>
        <v>0.27292327927276183</v>
      </c>
      <c r="M570" s="15">
        <f t="shared" si="105"/>
        <v>3.0844984109162255E-2</v>
      </c>
      <c r="N570" s="15">
        <f t="shared" si="106"/>
        <v>0.35999999999999988</v>
      </c>
      <c r="O570" s="15">
        <f t="shared" si="107"/>
        <v>3.0846006376440638E-2</v>
      </c>
      <c r="P570" s="18">
        <f>IF(SUMIFS('Daily NSE Equity Futures'!$J:$J,'Daily NSE Equity Futures'!$A:$A,$A570)=0,"",SUMIFS('Daily NSE Equity Futures'!$J:$J,'Daily NSE Equity Futures'!$A:$A,$A570))</f>
        <v>1210650</v>
      </c>
      <c r="Q570" s="7">
        <f>IF(SUMIFS('Daily BSE Equity Futures'!$J:$J,'Daily BSE Equity Futures'!$A:$A,$A570)=0,"",SUMIFS('Daily BSE Equity Futures'!$J:$J,'Daily BSE Equity Futures'!$A:$A,$A570))</f>
        <v>4</v>
      </c>
      <c r="R570" s="7">
        <f t="shared" si="102"/>
        <v>1210654</v>
      </c>
      <c r="S570" s="19">
        <f t="shared" si="103"/>
        <v>0.99999669600067398</v>
      </c>
      <c r="T570" s="19">
        <f t="shared" si="104"/>
        <v>3.3039993259841375E-6</v>
      </c>
    </row>
    <row r="571" spans="1:20" x14ac:dyDescent="0.2">
      <c r="A571" s="9">
        <v>44757</v>
      </c>
      <c r="B571" s="4" t="s">
        <v>222</v>
      </c>
      <c r="C571" s="8">
        <v>44743</v>
      </c>
      <c r="D571" s="4" t="s">
        <v>182</v>
      </c>
      <c r="E571" s="14">
        <f>IF(SUMIFS('Daily NSE Equity Futures'!$I:$I,'Daily NSE Equity Futures'!$A:$A,$A571)=0,"",SUMIFS('Daily NSE Equity Futures'!$I:$I,'Daily NSE Equity Futures'!$A:$A,$A571))</f>
        <v>775.57929999999999</v>
      </c>
      <c r="F571" s="6">
        <f>IF(SUMIFS('Daily BSE Equity Futures'!$I:$I,'Daily BSE Equity Futures'!$A:$A,$A571)=0,"",SUMIFS('Daily BSE Equity Futures'!$I:$I,'Daily BSE Equity Futures'!$A:$A,$A571))</f>
        <v>3.3999999999999998E-3</v>
      </c>
      <c r="G571" s="6">
        <f t="shared" si="96"/>
        <v>775.58270000000005</v>
      </c>
      <c r="H571" s="15">
        <f t="shared" si="97"/>
        <v>0.99999561619927824</v>
      </c>
      <c r="I571" s="15">
        <f t="shared" si="98"/>
        <v>4.3838007217025332E-6</v>
      </c>
      <c r="J571" s="20">
        <f t="shared" si="99"/>
        <v>0.11621848588318695</v>
      </c>
      <c r="K571" s="15">
        <f t="shared" si="100"/>
        <v>-0.59036144578313254</v>
      </c>
      <c r="L571" s="15">
        <f t="shared" si="101"/>
        <v>0.11621004559638415</v>
      </c>
      <c r="M571" s="15">
        <f t="shared" si="105"/>
        <v>-6.5330287903067497E-2</v>
      </c>
      <c r="N571" s="15">
        <f t="shared" si="106"/>
        <v>0</v>
      </c>
      <c r="O571" s="15">
        <f t="shared" si="107"/>
        <v>-6.5330020218293039E-2</v>
      </c>
      <c r="P571" s="18">
        <f>IF(SUMIFS('Daily NSE Equity Futures'!$J:$J,'Daily NSE Equity Futures'!$A:$A,$A571)=0,"",SUMIFS('Daily NSE Equity Futures'!$J:$J,'Daily NSE Equity Futures'!$A:$A,$A571))</f>
        <v>1131073</v>
      </c>
      <c r="Q571" s="7">
        <f>IF(SUMIFS('Daily BSE Equity Futures'!$J:$J,'Daily BSE Equity Futures'!$A:$A,$A571)=0,"",SUMIFS('Daily BSE Equity Futures'!$J:$J,'Daily BSE Equity Futures'!$A:$A,$A571))</f>
        <v>4</v>
      </c>
      <c r="R571" s="7">
        <f t="shared" si="102"/>
        <v>1131077</v>
      </c>
      <c r="S571" s="19">
        <f t="shared" si="103"/>
        <v>0.99999646354757454</v>
      </c>
      <c r="T571" s="19">
        <f t="shared" si="104"/>
        <v>3.5364524254316904E-6</v>
      </c>
    </row>
    <row r="572" spans="1:20" x14ac:dyDescent="0.2">
      <c r="A572" s="9">
        <v>44760</v>
      </c>
      <c r="B572" s="4" t="s">
        <v>225</v>
      </c>
      <c r="C572" s="8">
        <v>44743</v>
      </c>
      <c r="D572" s="4" t="s">
        <v>182</v>
      </c>
      <c r="E572" s="14">
        <f>IF(SUMIFS('Daily NSE Equity Futures'!$I:$I,'Daily NSE Equity Futures'!$A:$A,$A572)=0,"",SUMIFS('Daily NSE Equity Futures'!$I:$I,'Daily NSE Equity Futures'!$A:$A,$A572))</f>
        <v>886.96540000000005</v>
      </c>
      <c r="F572" s="6">
        <f>IF(SUMIFS('Daily BSE Equity Futures'!$I:$I,'Daily BSE Equity Futures'!$A:$A,$A572)=0,"",SUMIFS('Daily BSE Equity Futures'!$I:$I,'Daily BSE Equity Futures'!$A:$A,$A572))</f>
        <v>1.6999999999999999E-3</v>
      </c>
      <c r="G572" s="6">
        <f t="shared" si="96"/>
        <v>886.96710000000007</v>
      </c>
      <c r="H572" s="15">
        <f t="shared" si="97"/>
        <v>0.99999808335619211</v>
      </c>
      <c r="I572" s="15">
        <f t="shared" si="98"/>
        <v>1.9166438078706637E-6</v>
      </c>
      <c r="J572" s="20" t="str">
        <f t="shared" si="99"/>
        <v/>
      </c>
      <c r="K572" s="15" t="str">
        <f t="shared" si="100"/>
        <v/>
      </c>
      <c r="L572" s="15" t="str">
        <f t="shared" si="101"/>
        <v/>
      </c>
      <c r="M572" s="15">
        <f t="shared" si="105"/>
        <v>0.14361664887136638</v>
      </c>
      <c r="N572" s="15">
        <f t="shared" si="106"/>
        <v>-0.5</v>
      </c>
      <c r="O572" s="15">
        <f t="shared" si="107"/>
        <v>0.14361382738423645</v>
      </c>
      <c r="P572" s="18">
        <f>IF(SUMIFS('Daily NSE Equity Futures'!$J:$J,'Daily NSE Equity Futures'!$A:$A,$A572)=0,"",SUMIFS('Daily NSE Equity Futures'!$J:$J,'Daily NSE Equity Futures'!$A:$A,$A572))</f>
        <v>1294058</v>
      </c>
      <c r="Q572" s="7">
        <f>IF(SUMIFS('Daily BSE Equity Futures'!$J:$J,'Daily BSE Equity Futures'!$A:$A,$A572)=0,"",SUMIFS('Daily BSE Equity Futures'!$J:$J,'Daily BSE Equity Futures'!$A:$A,$A572))</f>
        <v>2</v>
      </c>
      <c r="R572" s="7">
        <f t="shared" si="102"/>
        <v>1294060</v>
      </c>
      <c r="S572" s="19">
        <f t="shared" si="103"/>
        <v>0.99999845447660851</v>
      </c>
      <c r="T572" s="19">
        <f t="shared" si="104"/>
        <v>1.5455233914965304E-6</v>
      </c>
    </row>
    <row r="573" spans="1:20" x14ac:dyDescent="0.2">
      <c r="A573" s="9">
        <v>44761</v>
      </c>
      <c r="B573" s="4" t="s">
        <v>223</v>
      </c>
      <c r="C573" s="8">
        <v>44743</v>
      </c>
      <c r="D573" s="4" t="s">
        <v>182</v>
      </c>
      <c r="E573" s="14">
        <f>IF(SUMIFS('Daily NSE Equity Futures'!$I:$I,'Daily NSE Equity Futures'!$A:$A,$A573)=0,"",SUMIFS('Daily NSE Equity Futures'!$I:$I,'Daily NSE Equity Futures'!$A:$A,$A573))</f>
        <v>931.0059</v>
      </c>
      <c r="F573" s="6">
        <f>IF(SUMIFS('Daily BSE Equity Futures'!$I:$I,'Daily BSE Equity Futures'!$A:$A,$A573)=0,"",SUMIFS('Daily BSE Equity Futures'!$I:$I,'Daily BSE Equity Futures'!$A:$A,$A573))</f>
        <v>1.6999999999999999E-3</v>
      </c>
      <c r="G573" s="6">
        <f t="shared" si="96"/>
        <v>931.00760000000002</v>
      </c>
      <c r="H573" s="15">
        <f t="shared" si="97"/>
        <v>0.99999817402135061</v>
      </c>
      <c r="I573" s="15">
        <f t="shared" si="98"/>
        <v>1.8259786493687053E-6</v>
      </c>
      <c r="J573" s="20">
        <f t="shared" si="99"/>
        <v>-9.8129994243976171E-3</v>
      </c>
      <c r="K573" s="15">
        <f t="shared" si="100"/>
        <v>-0.89171974522292996</v>
      </c>
      <c r="L573" s="15">
        <f t="shared" si="101"/>
        <v>-9.8277252567700035E-3</v>
      </c>
      <c r="M573" s="15">
        <f t="shared" si="105"/>
        <v>4.9653007885087641E-2</v>
      </c>
      <c r="N573" s="15">
        <f t="shared" si="106"/>
        <v>0</v>
      </c>
      <c r="O573" s="15">
        <f t="shared" si="107"/>
        <v>4.9652912717957465E-2</v>
      </c>
      <c r="P573" s="18">
        <f>IF(SUMIFS('Daily NSE Equity Futures'!$J:$J,'Daily NSE Equity Futures'!$A:$A,$A573)=0,"",SUMIFS('Daily NSE Equity Futures'!$J:$J,'Daily NSE Equity Futures'!$A:$A,$A573))</f>
        <v>1318127</v>
      </c>
      <c r="Q573" s="7">
        <f>IF(SUMIFS('Daily BSE Equity Futures'!$J:$J,'Daily BSE Equity Futures'!$A:$A,$A573)=0,"",SUMIFS('Daily BSE Equity Futures'!$J:$J,'Daily BSE Equity Futures'!$A:$A,$A573))</f>
        <v>2</v>
      </c>
      <c r="R573" s="7">
        <f t="shared" si="102"/>
        <v>1318129</v>
      </c>
      <c r="S573" s="19">
        <f t="shared" si="103"/>
        <v>0.99999848269782399</v>
      </c>
      <c r="T573" s="19">
        <f t="shared" si="104"/>
        <v>1.5173021760389158E-6</v>
      </c>
    </row>
    <row r="574" spans="1:20" x14ac:dyDescent="0.2">
      <c r="A574" s="9">
        <v>44762</v>
      </c>
      <c r="B574" s="4" t="s">
        <v>221</v>
      </c>
      <c r="C574" s="8">
        <v>44743</v>
      </c>
      <c r="D574" s="4" t="s">
        <v>182</v>
      </c>
      <c r="E574" s="14">
        <f>IF(SUMIFS('Daily NSE Equity Futures'!$I:$I,'Daily NSE Equity Futures'!$A:$A,$A574)=0,"",SUMIFS('Daily NSE Equity Futures'!$I:$I,'Daily NSE Equity Futures'!$A:$A,$A574))</f>
        <v>1082.4594999999999</v>
      </c>
      <c r="F574" s="6">
        <f>IF(SUMIFS('Daily BSE Equity Futures'!$I:$I,'Daily BSE Equity Futures'!$A:$A,$A574)=0,"",SUMIFS('Daily BSE Equity Futures'!$I:$I,'Daily BSE Equity Futures'!$A:$A,$A574))</f>
        <v>3.5000000000000001E-3</v>
      </c>
      <c r="G574" s="6">
        <f t="shared" si="96"/>
        <v>1082.463</v>
      </c>
      <c r="H574" s="15">
        <f t="shared" si="97"/>
        <v>0.99999676663313197</v>
      </c>
      <c r="I574" s="15">
        <f t="shared" si="98"/>
        <v>3.23336686796685E-6</v>
      </c>
      <c r="J574" s="20">
        <f t="shared" si="99"/>
        <v>0.10601146105748849</v>
      </c>
      <c r="K574" s="15">
        <f t="shared" si="100"/>
        <v>-0.73282442748091603</v>
      </c>
      <c r="L574" s="15">
        <f t="shared" si="101"/>
        <v>0.10600023336636277</v>
      </c>
      <c r="M574" s="15">
        <f t="shared" si="105"/>
        <v>0.16267737938073212</v>
      </c>
      <c r="N574" s="15">
        <f t="shared" si="106"/>
        <v>1.0588235294117649</v>
      </c>
      <c r="O574" s="15">
        <f t="shared" si="107"/>
        <v>0.16267901572446886</v>
      </c>
      <c r="P574" s="18">
        <f>IF(SUMIFS('Daily NSE Equity Futures'!$J:$J,'Daily NSE Equity Futures'!$A:$A,$A574)=0,"",SUMIFS('Daily NSE Equity Futures'!$J:$J,'Daily NSE Equity Futures'!$A:$A,$A574))</f>
        <v>1561424</v>
      </c>
      <c r="Q574" s="7">
        <f>IF(SUMIFS('Daily BSE Equity Futures'!$J:$J,'Daily BSE Equity Futures'!$A:$A,$A574)=0,"",SUMIFS('Daily BSE Equity Futures'!$J:$J,'Daily BSE Equity Futures'!$A:$A,$A574))</f>
        <v>4</v>
      </c>
      <c r="R574" s="7">
        <f t="shared" si="102"/>
        <v>1561428</v>
      </c>
      <c r="S574" s="19">
        <f t="shared" si="103"/>
        <v>0.99999743824242937</v>
      </c>
      <c r="T574" s="19">
        <f t="shared" si="104"/>
        <v>2.5617575706340607E-6</v>
      </c>
    </row>
    <row r="575" spans="1:20" x14ac:dyDescent="0.2">
      <c r="A575" s="9">
        <v>44763</v>
      </c>
      <c r="B575" s="4" t="s">
        <v>224</v>
      </c>
      <c r="C575" s="8">
        <v>44743</v>
      </c>
      <c r="D575" s="4" t="s">
        <v>182</v>
      </c>
      <c r="E575" s="14">
        <f>IF(SUMIFS('Daily NSE Equity Futures'!$I:$I,'Daily NSE Equity Futures'!$A:$A,$A575)=0,"",SUMIFS('Daily NSE Equity Futures'!$I:$I,'Daily NSE Equity Futures'!$A:$A,$A575))</f>
        <v>1070.6460999999999</v>
      </c>
      <c r="F575" s="6">
        <f>IF(SUMIFS('Daily BSE Equity Futures'!$I:$I,'Daily BSE Equity Futures'!$A:$A,$A575)=0,"",SUMIFS('Daily BSE Equity Futures'!$I:$I,'Daily BSE Equity Futures'!$A:$A,$A575))</f>
        <v>6.1000000000000004E-3</v>
      </c>
      <c r="G575" s="6">
        <f t="shared" si="96"/>
        <v>1070.6522</v>
      </c>
      <c r="H575" s="15">
        <f t="shared" si="97"/>
        <v>0.99999430253820987</v>
      </c>
      <c r="I575" s="15">
        <f t="shared" si="98"/>
        <v>5.6974617901126069E-6</v>
      </c>
      <c r="J575" s="20" t="str">
        <f t="shared" si="99"/>
        <v/>
      </c>
      <c r="K575" s="15" t="str">
        <f t="shared" si="100"/>
        <v/>
      </c>
      <c r="L575" s="15" t="str">
        <f t="shared" si="101"/>
        <v/>
      </c>
      <c r="M575" s="15">
        <f t="shared" si="105"/>
        <v>-1.091347990386704E-2</v>
      </c>
      <c r="N575" s="15">
        <f t="shared" si="106"/>
        <v>0.74285714285714288</v>
      </c>
      <c r="O575" s="15">
        <f t="shared" si="107"/>
        <v>-1.0911042686909345E-2</v>
      </c>
      <c r="P575" s="18">
        <f>IF(SUMIFS('Daily NSE Equity Futures'!$J:$J,'Daily NSE Equity Futures'!$A:$A,$A575)=0,"",SUMIFS('Daily NSE Equity Futures'!$J:$J,'Daily NSE Equity Futures'!$A:$A,$A575))</f>
        <v>1541056</v>
      </c>
      <c r="Q575" s="7">
        <f>IF(SUMIFS('Daily BSE Equity Futures'!$J:$J,'Daily BSE Equity Futures'!$A:$A,$A575)=0,"",SUMIFS('Daily BSE Equity Futures'!$J:$J,'Daily BSE Equity Futures'!$A:$A,$A575))</f>
        <v>7</v>
      </c>
      <c r="R575" s="7">
        <f t="shared" si="102"/>
        <v>1541063</v>
      </c>
      <c r="S575" s="19">
        <f t="shared" si="103"/>
        <v>0.99999545768083464</v>
      </c>
      <c r="T575" s="19">
        <f t="shared" si="104"/>
        <v>4.5423191654072548E-6</v>
      </c>
    </row>
    <row r="576" spans="1:20" x14ac:dyDescent="0.2">
      <c r="A576" s="9">
        <v>44764</v>
      </c>
      <c r="B576" s="4" t="s">
        <v>222</v>
      </c>
      <c r="C576" s="8">
        <v>44743</v>
      </c>
      <c r="D576" s="4" t="s">
        <v>182</v>
      </c>
      <c r="E576" s="14">
        <f>IF(SUMIFS('Daily NSE Equity Futures'!$I:$I,'Daily NSE Equity Futures'!$A:$A,$A576)=0,"",SUMIFS('Daily NSE Equity Futures'!$I:$I,'Daily NSE Equity Futures'!$A:$A,$A576))</f>
        <v>1217.8471</v>
      </c>
      <c r="F576" s="6">
        <f>IF(SUMIFS('Daily BSE Equity Futures'!$I:$I,'Daily BSE Equity Futures'!$A:$A,$A576)=0,"",SUMIFS('Daily BSE Equity Futures'!$I:$I,'Daily BSE Equity Futures'!$A:$A,$A576))</f>
        <v>4.4000000000000003E-3</v>
      </c>
      <c r="G576" s="6">
        <f t="shared" si="96"/>
        <v>1217.8515</v>
      </c>
      <c r="H576" s="15">
        <f t="shared" si="97"/>
        <v>0.99999638708003391</v>
      </c>
      <c r="I576" s="15">
        <f t="shared" si="98"/>
        <v>3.6129199660221304E-6</v>
      </c>
      <c r="J576" s="20">
        <f t="shared" si="99"/>
        <v>0.13409455718058116</v>
      </c>
      <c r="K576" s="15">
        <f t="shared" si="100"/>
        <v>-0.8764044943820225</v>
      </c>
      <c r="L576" s="15">
        <f t="shared" si="101"/>
        <v>0.13406105847617078</v>
      </c>
      <c r="M576" s="15">
        <f t="shared" si="105"/>
        <v>0.13748800840912789</v>
      </c>
      <c r="N576" s="15">
        <f t="shared" si="106"/>
        <v>-0.27868852459016391</v>
      </c>
      <c r="O576" s="15">
        <f t="shared" si="107"/>
        <v>0.13748563725923324</v>
      </c>
      <c r="P576" s="18">
        <f>IF(SUMIFS('Daily NSE Equity Futures'!$J:$J,'Daily NSE Equity Futures'!$A:$A,$A576)=0,"",SUMIFS('Daily NSE Equity Futures'!$J:$J,'Daily NSE Equity Futures'!$A:$A,$A576))</f>
        <v>1718283</v>
      </c>
      <c r="Q576" s="7">
        <f>IF(SUMIFS('Daily BSE Equity Futures'!$J:$J,'Daily BSE Equity Futures'!$A:$A,$A576)=0,"",SUMIFS('Daily BSE Equity Futures'!$J:$J,'Daily BSE Equity Futures'!$A:$A,$A576))</f>
        <v>5</v>
      </c>
      <c r="R576" s="7">
        <f t="shared" si="102"/>
        <v>1718288</v>
      </c>
      <c r="S576" s="19">
        <f t="shared" si="103"/>
        <v>0.99999709012691707</v>
      </c>
      <c r="T576" s="19">
        <f t="shared" si="104"/>
        <v>2.9098730829756128E-6</v>
      </c>
    </row>
    <row r="577" spans="1:20" x14ac:dyDescent="0.2">
      <c r="A577" s="9">
        <v>44767</v>
      </c>
      <c r="B577" s="4" t="s">
        <v>225</v>
      </c>
      <c r="C577" s="8">
        <v>44743</v>
      </c>
      <c r="D577" s="4" t="s">
        <v>182</v>
      </c>
      <c r="E577" s="14">
        <f>IF(SUMIFS('Daily NSE Equity Futures'!$I:$I,'Daily NSE Equity Futures'!$A:$A,$A577)=0,"",SUMIFS('Daily NSE Equity Futures'!$I:$I,'Daily NSE Equity Futures'!$A:$A,$A577))</f>
        <v>1761.2987000000001</v>
      </c>
      <c r="F577" s="6">
        <f>IF(SUMIFS('Daily BSE Equity Futures'!$I:$I,'Daily BSE Equity Futures'!$A:$A,$A577)=0,"",SUMIFS('Daily BSE Equity Futures'!$I:$I,'Daily BSE Equity Futures'!$A:$A,$A577))</f>
        <v>4.4000000000000003E-3</v>
      </c>
      <c r="G577" s="6">
        <f t="shared" si="96"/>
        <v>1761.3031000000001</v>
      </c>
      <c r="H577" s="15">
        <f t="shared" si="97"/>
        <v>0.99999750184962488</v>
      </c>
      <c r="I577" s="15">
        <f t="shared" si="98"/>
        <v>2.498150375139861E-6</v>
      </c>
      <c r="J577" s="20" t="str">
        <f t="shared" si="99"/>
        <v/>
      </c>
      <c r="K577" s="15" t="str">
        <f t="shared" si="100"/>
        <v/>
      </c>
      <c r="L577" s="15" t="str">
        <f t="shared" si="101"/>
        <v/>
      </c>
      <c r="M577" s="15">
        <f t="shared" si="105"/>
        <v>0.44623959772946886</v>
      </c>
      <c r="N577" s="15">
        <f t="shared" si="106"/>
        <v>0</v>
      </c>
      <c r="O577" s="15">
        <f t="shared" si="107"/>
        <v>0.44623798550151639</v>
      </c>
      <c r="P577" s="18">
        <f>IF(SUMIFS('Daily NSE Equity Futures'!$J:$J,'Daily NSE Equity Futures'!$A:$A,$A577)=0,"",SUMIFS('Daily NSE Equity Futures'!$J:$J,'Daily NSE Equity Futures'!$A:$A,$A577))</f>
        <v>2545203</v>
      </c>
      <c r="Q577" s="7">
        <f>IF(SUMIFS('Daily BSE Equity Futures'!$J:$J,'Daily BSE Equity Futures'!$A:$A,$A577)=0,"",SUMIFS('Daily BSE Equity Futures'!$J:$J,'Daily BSE Equity Futures'!$A:$A,$A577))</f>
        <v>5</v>
      </c>
      <c r="R577" s="7">
        <f t="shared" si="102"/>
        <v>2545208</v>
      </c>
      <c r="S577" s="19">
        <f t="shared" si="103"/>
        <v>0.99999803552401223</v>
      </c>
      <c r="T577" s="19">
        <f t="shared" si="104"/>
        <v>1.9644759878171058E-6</v>
      </c>
    </row>
    <row r="578" spans="1:20" x14ac:dyDescent="0.2">
      <c r="A578" s="9">
        <v>44768</v>
      </c>
      <c r="B578" s="4" t="s">
        <v>223</v>
      </c>
      <c r="C578" s="8">
        <v>44743</v>
      </c>
      <c r="D578" s="4" t="s">
        <v>182</v>
      </c>
      <c r="E578" s="14">
        <f>IF(SUMIFS('Daily NSE Equity Futures'!$I:$I,'Daily NSE Equity Futures'!$A:$A,$A578)=0,"",SUMIFS('Daily NSE Equity Futures'!$I:$I,'Daily NSE Equity Futures'!$A:$A,$A578))</f>
        <v>1898.857</v>
      </c>
      <c r="F578" s="6">
        <f>IF(SUMIFS('Daily BSE Equity Futures'!$I:$I,'Daily BSE Equity Futures'!$A:$A,$A578)=0,"",SUMIFS('Daily BSE Equity Futures'!$I:$I,'Daily BSE Equity Futures'!$A:$A,$A578))</f>
        <v>1.6999999999999999E-3</v>
      </c>
      <c r="G578" s="6">
        <f t="shared" ref="G578:G641" si="108">IF(OR(E578="",F578=""),"",E578+F578)</f>
        <v>1898.8587</v>
      </c>
      <c r="H578" s="15">
        <f t="shared" ref="H578:H641" si="109">IF(G578="","",E578/G578)</f>
        <v>0.99999910472538056</v>
      </c>
      <c r="I578" s="15">
        <f t="shared" ref="I578:I641" si="110">IF(G578="","",F578/G578)</f>
        <v>8.9527461943324165E-7</v>
      </c>
      <c r="J578" s="20">
        <f t="shared" ref="J578:J641" si="111">IFERROR(IF(OR(E578="",INDEX(E:E,MATCH(DATE(YEAR($A578)-1,MONTH($A578),DAY($A578)),$A:$A,0))=""),"",E578/INDEX(E:E,MATCH(DATE(YEAR($A578)-1,MONTH($A578),DAY($A578)),$A:$A,0))-1),"")</f>
        <v>0.25849698560976964</v>
      </c>
      <c r="K578" s="15">
        <f t="shared" ref="K578:K641" si="112">IFERROR(IF(OR(F578="",INDEX(F:F,MATCH(DATE(YEAR($A578)-1,MONTH($A578),DAY($A578)),$A:$A,0))=""),"",F578/INDEX(F:F,MATCH(DATE(YEAR($A578)-1,MONTH($A578),DAY($A578)),$A:$A,0))-1),"")</f>
        <v>-0.83000000000000007</v>
      </c>
      <c r="L578" s="15">
        <f t="shared" ref="L578:L641" si="113">IFERROR(IF(OR(G578="",INDEX(G:G,MATCH(DATE(YEAR($A578)-1,MONTH($A578),DAY($A578)),$A:$A,0))=""),"",G578/INDEX(G:G,MATCH(DATE(YEAR($A578)-1,MONTH($A578),DAY($A578)),$A:$A,0))-1),"")</f>
        <v>0.25848977147465435</v>
      </c>
      <c r="M578" s="15">
        <f t="shared" si="105"/>
        <v>7.810049482237158E-2</v>
      </c>
      <c r="N578" s="15">
        <f t="shared" si="106"/>
        <v>-0.61363636363636376</v>
      </c>
      <c r="O578" s="15">
        <f t="shared" si="107"/>
        <v>7.8098766759679084E-2</v>
      </c>
      <c r="P578" s="18">
        <f>IF(SUMIFS('Daily NSE Equity Futures'!$J:$J,'Daily NSE Equity Futures'!$A:$A,$A578)=0,"",SUMIFS('Daily NSE Equity Futures'!$J:$J,'Daily NSE Equity Futures'!$A:$A,$A578))</f>
        <v>2805307</v>
      </c>
      <c r="Q578" s="7">
        <f>IF(SUMIFS('Daily BSE Equity Futures'!$J:$J,'Daily BSE Equity Futures'!$A:$A,$A578)=0,"",SUMIFS('Daily BSE Equity Futures'!$J:$J,'Daily BSE Equity Futures'!$A:$A,$A578))</f>
        <v>2</v>
      </c>
      <c r="R578" s="7">
        <f t="shared" ref="R578:R641" si="114">IF(OR(P578="",Q578=""),"",P578+Q578)</f>
        <v>2805309</v>
      </c>
      <c r="S578" s="19">
        <f t="shared" ref="S578:S641" si="115">IF(R578="","",P578/R578)</f>
        <v>0.99999928706605934</v>
      </c>
      <c r="T578" s="19">
        <f t="shared" ref="T578:T641" si="116">IF(R578="","",Q578/R578)</f>
        <v>7.1293394061046392E-7</v>
      </c>
    </row>
    <row r="579" spans="1:20" x14ac:dyDescent="0.2">
      <c r="A579" s="9">
        <v>44769</v>
      </c>
      <c r="B579" s="4" t="s">
        <v>221</v>
      </c>
      <c r="C579" s="8">
        <v>44743</v>
      </c>
      <c r="D579" s="4" t="s">
        <v>182</v>
      </c>
      <c r="E579" s="14">
        <f>IF(SUMIFS('Daily NSE Equity Futures'!$I:$I,'Daily NSE Equity Futures'!$A:$A,$A579)=0,"",SUMIFS('Daily NSE Equity Futures'!$I:$I,'Daily NSE Equity Futures'!$A:$A,$A579))</f>
        <v>1796.8588</v>
      </c>
      <c r="F579" s="6">
        <f>IF(SUMIFS('Daily BSE Equity Futures'!$I:$I,'Daily BSE Equity Futures'!$A:$A,$A579)=0,"",SUMIFS('Daily BSE Equity Futures'!$I:$I,'Daily BSE Equity Futures'!$A:$A,$A579))</f>
        <v>1.6999999999999999E-3</v>
      </c>
      <c r="G579" s="6">
        <f t="shared" si="108"/>
        <v>1796.8605</v>
      </c>
      <c r="H579" s="15">
        <f t="shared" si="109"/>
        <v>0.99999905390540889</v>
      </c>
      <c r="I579" s="15">
        <f t="shared" si="110"/>
        <v>9.4609459109374368E-7</v>
      </c>
      <c r="J579" s="20">
        <f t="shared" si="111"/>
        <v>-1.7588461984684223E-2</v>
      </c>
      <c r="K579" s="15">
        <f t="shared" si="112"/>
        <v>-0.48484848484848486</v>
      </c>
      <c r="L579" s="15">
        <f t="shared" si="113"/>
        <v>-1.7589305030710656E-2</v>
      </c>
      <c r="M579" s="15">
        <f t="shared" ref="M579:M642" si="117">IF(OR(E579="",E578=""),"",E579/E578-1)</f>
        <v>-5.371557731835519E-2</v>
      </c>
      <c r="N579" s="15">
        <f t="shared" ref="N579:N642" si="118">IF(OR(F579="",F578=""),"",F579/F578-1)</f>
        <v>0</v>
      </c>
      <c r="O579" s="15">
        <f t="shared" ref="O579:O642" si="119">IF(OR(G579="",G578=""),"",G579/G578-1)</f>
        <v>-5.371552922816214E-2</v>
      </c>
      <c r="P579" s="18">
        <f>IF(SUMIFS('Daily NSE Equity Futures'!$J:$J,'Daily NSE Equity Futures'!$A:$A,$A579)=0,"",SUMIFS('Daily NSE Equity Futures'!$J:$J,'Daily NSE Equity Futures'!$A:$A,$A579))</f>
        <v>2600881</v>
      </c>
      <c r="Q579" s="7">
        <f>IF(SUMIFS('Daily BSE Equity Futures'!$J:$J,'Daily BSE Equity Futures'!$A:$A,$A579)=0,"",SUMIFS('Daily BSE Equity Futures'!$J:$J,'Daily BSE Equity Futures'!$A:$A,$A579))</f>
        <v>2</v>
      </c>
      <c r="R579" s="7">
        <f t="shared" si="114"/>
        <v>2600883</v>
      </c>
      <c r="S579" s="19">
        <f t="shared" si="115"/>
        <v>0.99999923103038468</v>
      </c>
      <c r="T579" s="19">
        <f t="shared" si="116"/>
        <v>7.6896961531910512E-7</v>
      </c>
    </row>
    <row r="580" spans="1:20" x14ac:dyDescent="0.2">
      <c r="A580" s="9">
        <v>44770</v>
      </c>
      <c r="B580" s="4" t="s">
        <v>224</v>
      </c>
      <c r="C580" s="8">
        <v>44743</v>
      </c>
      <c r="D580" s="4" t="s">
        <v>182</v>
      </c>
      <c r="E580" s="14">
        <f>IF(SUMIFS('Daily NSE Equity Futures'!$I:$I,'Daily NSE Equity Futures'!$A:$A,$A580)=0,"",SUMIFS('Daily NSE Equity Futures'!$I:$I,'Daily NSE Equity Futures'!$A:$A,$A580))</f>
        <v>2127.2820999999999</v>
      </c>
      <c r="F580" s="6">
        <f>IF(SUMIFS('Daily BSE Equity Futures'!$I:$I,'Daily BSE Equity Futures'!$A:$A,$A580)=0,"",SUMIFS('Daily BSE Equity Futures'!$I:$I,'Daily BSE Equity Futures'!$A:$A,$A580))</f>
        <v>3.5000000000000001E-3</v>
      </c>
      <c r="G580" s="6">
        <f t="shared" si="108"/>
        <v>2127.2855999999997</v>
      </c>
      <c r="H580" s="15">
        <f t="shared" si="109"/>
        <v>0.99999835471081089</v>
      </c>
      <c r="I580" s="15">
        <f t="shared" si="110"/>
        <v>1.6452891891902059E-6</v>
      </c>
      <c r="J580" s="20">
        <f t="shared" si="111"/>
        <v>0.13141176623888451</v>
      </c>
      <c r="K580" s="15">
        <f t="shared" si="112"/>
        <v>-0.76351351351351349</v>
      </c>
      <c r="L580" s="15">
        <f t="shared" si="113"/>
        <v>0.13140472189290131</v>
      </c>
      <c r="M580" s="15">
        <f t="shared" si="117"/>
        <v>0.18388940744815341</v>
      </c>
      <c r="N580" s="15">
        <f t="shared" si="118"/>
        <v>1.0588235294117649</v>
      </c>
      <c r="O580" s="15">
        <f t="shared" si="119"/>
        <v>0.1838902352185936</v>
      </c>
      <c r="P580" s="18">
        <f>IF(SUMIFS('Daily NSE Equity Futures'!$J:$J,'Daily NSE Equity Futures'!$A:$A,$A580)=0,"",SUMIFS('Daily NSE Equity Futures'!$J:$J,'Daily NSE Equity Futures'!$A:$A,$A580))</f>
        <v>3025445</v>
      </c>
      <c r="Q580" s="7">
        <f>IF(SUMIFS('Daily BSE Equity Futures'!$J:$J,'Daily BSE Equity Futures'!$A:$A,$A580)=0,"",SUMIFS('Daily BSE Equity Futures'!$J:$J,'Daily BSE Equity Futures'!$A:$A,$A580))</f>
        <v>4</v>
      </c>
      <c r="R580" s="7">
        <f t="shared" si="114"/>
        <v>3025449</v>
      </c>
      <c r="S580" s="19">
        <f t="shared" si="115"/>
        <v>0.99999867788219199</v>
      </c>
      <c r="T580" s="19">
        <f t="shared" si="116"/>
        <v>1.3221178079683379E-6</v>
      </c>
    </row>
    <row r="581" spans="1:20" x14ac:dyDescent="0.2">
      <c r="A581" s="9">
        <v>44771</v>
      </c>
      <c r="B581" s="4" t="s">
        <v>222</v>
      </c>
      <c r="C581" s="8">
        <v>44743</v>
      </c>
      <c r="D581" s="4" t="s">
        <v>182</v>
      </c>
      <c r="E581" s="14">
        <f>IF(SUMIFS('Daily NSE Equity Futures'!$I:$I,'Daily NSE Equity Futures'!$A:$A,$A581)=0,"",SUMIFS('Daily NSE Equity Futures'!$I:$I,'Daily NSE Equity Futures'!$A:$A,$A581))</f>
        <v>1042.4205999999999</v>
      </c>
      <c r="F581" s="6">
        <f>IF(SUMIFS('Daily BSE Equity Futures'!$I:$I,'Daily BSE Equity Futures'!$A:$A,$A581)=0,"",SUMIFS('Daily BSE Equity Futures'!$I:$I,'Daily BSE Equity Futures'!$A:$A,$A581))</f>
        <v>1.8E-3</v>
      </c>
      <c r="G581" s="6">
        <f t="shared" si="108"/>
        <v>1042.4223999999999</v>
      </c>
      <c r="H581" s="15">
        <f t="shared" si="109"/>
        <v>0.99999827325276203</v>
      </c>
      <c r="I581" s="15">
        <f t="shared" si="110"/>
        <v>1.7267472379718626E-6</v>
      </c>
      <c r="J581" s="20">
        <f t="shared" si="111"/>
        <v>-0.47827324268293181</v>
      </c>
      <c r="K581" s="15">
        <f t="shared" si="112"/>
        <v>-0.90954773869346739</v>
      </c>
      <c r="L581" s="15">
        <f t="shared" si="113"/>
        <v>-0.47827753807343509</v>
      </c>
      <c r="M581" s="15">
        <f t="shared" si="117"/>
        <v>-0.5099753812623159</v>
      </c>
      <c r="N581" s="15">
        <f t="shared" si="118"/>
        <v>-0.48571428571428577</v>
      </c>
      <c r="O581" s="15">
        <f t="shared" si="119"/>
        <v>-0.50997534134579769</v>
      </c>
      <c r="P581" s="18">
        <f>IF(SUMIFS('Daily NSE Equity Futures'!$J:$J,'Daily NSE Equity Futures'!$A:$A,$A581)=0,"",SUMIFS('Daily NSE Equity Futures'!$J:$J,'Daily NSE Equity Futures'!$A:$A,$A581))</f>
        <v>1440442</v>
      </c>
      <c r="Q581" s="7">
        <f>IF(SUMIFS('Daily BSE Equity Futures'!$J:$J,'Daily BSE Equity Futures'!$A:$A,$A581)=0,"",SUMIFS('Daily BSE Equity Futures'!$J:$J,'Daily BSE Equity Futures'!$A:$A,$A581))</f>
        <v>2</v>
      </c>
      <c r="R581" s="7">
        <f t="shared" si="114"/>
        <v>1440444</v>
      </c>
      <c r="S581" s="19">
        <f t="shared" si="115"/>
        <v>0.99999861153921987</v>
      </c>
      <c r="T581" s="19">
        <f t="shared" si="116"/>
        <v>1.3884607801483432E-6</v>
      </c>
    </row>
    <row r="582" spans="1:20" x14ac:dyDescent="0.2">
      <c r="A582" s="9">
        <v>44774</v>
      </c>
      <c r="B582" s="4" t="s">
        <v>225</v>
      </c>
      <c r="C582" s="8">
        <v>44774</v>
      </c>
      <c r="D582" s="4" t="s">
        <v>182</v>
      </c>
      <c r="E582" s="14">
        <f>IF(SUMIFS('Daily NSE Equity Futures'!$I:$I,'Daily NSE Equity Futures'!$A:$A,$A582)=0,"",SUMIFS('Daily NSE Equity Futures'!$I:$I,'Daily NSE Equity Futures'!$A:$A,$A582))</f>
        <v>915.38250000000005</v>
      </c>
      <c r="F582" s="6">
        <f>IF(SUMIFS('Daily BSE Equity Futures'!$I:$I,'Daily BSE Equity Futures'!$A:$A,$A582)=0,"",SUMIFS('Daily BSE Equity Futures'!$I:$I,'Daily BSE Equity Futures'!$A:$A,$A582))</f>
        <v>8.9999999999999998E-4</v>
      </c>
      <c r="G582" s="6">
        <f t="shared" si="108"/>
        <v>915.38340000000005</v>
      </c>
      <c r="H582" s="15">
        <f t="shared" si="109"/>
        <v>0.99999901680541725</v>
      </c>
      <c r="I582" s="15">
        <f t="shared" si="110"/>
        <v>9.8319458272894173E-7</v>
      </c>
      <c r="J582" s="20" t="str">
        <f t="shared" si="111"/>
        <v/>
      </c>
      <c r="K582" s="15" t="str">
        <f t="shared" si="112"/>
        <v/>
      </c>
      <c r="L582" s="15" t="str">
        <f t="shared" si="113"/>
        <v/>
      </c>
      <c r="M582" s="15">
        <f t="shared" si="117"/>
        <v>-0.12186837059820177</v>
      </c>
      <c r="N582" s="15">
        <f t="shared" si="118"/>
        <v>-0.5</v>
      </c>
      <c r="O582" s="15">
        <f t="shared" si="119"/>
        <v>-0.12186902353594842</v>
      </c>
      <c r="P582" s="18">
        <f>IF(SUMIFS('Daily NSE Equity Futures'!$J:$J,'Daily NSE Equity Futures'!$A:$A,$A582)=0,"",SUMIFS('Daily NSE Equity Futures'!$J:$J,'Daily NSE Equity Futures'!$A:$A,$A582))</f>
        <v>1222021</v>
      </c>
      <c r="Q582" s="7">
        <f>IF(SUMIFS('Daily BSE Equity Futures'!$J:$J,'Daily BSE Equity Futures'!$A:$A,$A582)=0,"",SUMIFS('Daily BSE Equity Futures'!$J:$J,'Daily BSE Equity Futures'!$A:$A,$A582))</f>
        <v>1</v>
      </c>
      <c r="R582" s="7">
        <f t="shared" si="114"/>
        <v>1222022</v>
      </c>
      <c r="S582" s="19">
        <f t="shared" si="115"/>
        <v>0.99999918168412683</v>
      </c>
      <c r="T582" s="19">
        <f t="shared" si="116"/>
        <v>8.1831587320031879E-7</v>
      </c>
    </row>
    <row r="583" spans="1:20" x14ac:dyDescent="0.2">
      <c r="A583" s="9">
        <v>44775</v>
      </c>
      <c r="B583" s="4" t="s">
        <v>223</v>
      </c>
      <c r="C583" s="8">
        <v>44774</v>
      </c>
      <c r="D583" s="4" t="s">
        <v>182</v>
      </c>
      <c r="E583" s="14">
        <f>IF(SUMIFS('Daily NSE Equity Futures'!$I:$I,'Daily NSE Equity Futures'!$A:$A,$A583)=0,"",SUMIFS('Daily NSE Equity Futures'!$I:$I,'Daily NSE Equity Futures'!$A:$A,$A583))</f>
        <v>1017.9833</v>
      </c>
      <c r="F583" s="6" t="str">
        <f>IF(SUMIFS('Daily BSE Equity Futures'!$I:$I,'Daily BSE Equity Futures'!$A:$A,$A583)=0,"",SUMIFS('Daily BSE Equity Futures'!$I:$I,'Daily BSE Equity Futures'!$A:$A,$A583))</f>
        <v/>
      </c>
      <c r="G583" s="6" t="str">
        <f t="shared" si="108"/>
        <v/>
      </c>
      <c r="H583" s="15" t="str">
        <f t="shared" si="109"/>
        <v/>
      </c>
      <c r="I583" s="15" t="str">
        <f t="shared" si="110"/>
        <v/>
      </c>
      <c r="J583" s="20">
        <f t="shared" si="111"/>
        <v>0.35416056696892784</v>
      </c>
      <c r="K583" s="15" t="str">
        <f t="shared" si="112"/>
        <v/>
      </c>
      <c r="L583" s="15" t="str">
        <f t="shared" si="113"/>
        <v/>
      </c>
      <c r="M583" s="15">
        <f t="shared" si="117"/>
        <v>0.11208516658336798</v>
      </c>
      <c r="N583" s="15" t="str">
        <f t="shared" si="118"/>
        <v/>
      </c>
      <c r="O583" s="15" t="str">
        <f t="shared" si="119"/>
        <v/>
      </c>
      <c r="P583" s="18">
        <f>IF(SUMIFS('Daily NSE Equity Futures'!$J:$J,'Daily NSE Equity Futures'!$A:$A,$A583)=0,"",SUMIFS('Daily NSE Equity Futures'!$J:$J,'Daily NSE Equity Futures'!$A:$A,$A583))</f>
        <v>1331774</v>
      </c>
      <c r="Q583" s="7" t="str">
        <f>IF(SUMIFS('Daily BSE Equity Futures'!$J:$J,'Daily BSE Equity Futures'!$A:$A,$A583)=0,"",SUMIFS('Daily BSE Equity Futures'!$J:$J,'Daily BSE Equity Futures'!$A:$A,$A583))</f>
        <v/>
      </c>
      <c r="R583" s="7" t="str">
        <f t="shared" si="114"/>
        <v/>
      </c>
      <c r="S583" s="19" t="str">
        <f t="shared" si="115"/>
        <v/>
      </c>
      <c r="T583" s="19" t="str">
        <f t="shared" si="116"/>
        <v/>
      </c>
    </row>
    <row r="584" spans="1:20" x14ac:dyDescent="0.2">
      <c r="A584" s="9">
        <v>44776</v>
      </c>
      <c r="B584" s="4" t="s">
        <v>221</v>
      </c>
      <c r="C584" s="8">
        <v>44774</v>
      </c>
      <c r="D584" s="4" t="s">
        <v>182</v>
      </c>
      <c r="E584" s="14">
        <f>IF(SUMIFS('Daily NSE Equity Futures'!$I:$I,'Daily NSE Equity Futures'!$A:$A,$A584)=0,"",SUMIFS('Daily NSE Equity Futures'!$I:$I,'Daily NSE Equity Futures'!$A:$A,$A584))</f>
        <v>908.16139999999996</v>
      </c>
      <c r="F584" s="6">
        <f>IF(SUMIFS('Daily BSE Equity Futures'!$I:$I,'Daily BSE Equity Futures'!$A:$A,$A584)=0,"",SUMIFS('Daily BSE Equity Futures'!$I:$I,'Daily BSE Equity Futures'!$A:$A,$A584))</f>
        <v>8.9999999999999998E-4</v>
      </c>
      <c r="G584" s="6">
        <f t="shared" si="108"/>
        <v>908.16229999999996</v>
      </c>
      <c r="H584" s="15">
        <f t="shared" si="109"/>
        <v>0.99999900898771066</v>
      </c>
      <c r="I584" s="15">
        <f t="shared" si="110"/>
        <v>9.9101228932317496E-7</v>
      </c>
      <c r="J584" s="20">
        <f t="shared" si="111"/>
        <v>-4.0773708773406692E-2</v>
      </c>
      <c r="K584" s="15">
        <f t="shared" si="112"/>
        <v>-0.7857142857142857</v>
      </c>
      <c r="L584" s="15">
        <f t="shared" si="113"/>
        <v>-4.0777013435277287E-2</v>
      </c>
      <c r="M584" s="15">
        <f t="shared" si="117"/>
        <v>-0.10788182870976371</v>
      </c>
      <c r="N584" s="15" t="str">
        <f t="shared" si="118"/>
        <v/>
      </c>
      <c r="O584" s="15" t="str">
        <f t="shared" si="119"/>
        <v/>
      </c>
      <c r="P584" s="18">
        <f>IF(SUMIFS('Daily NSE Equity Futures'!$J:$J,'Daily NSE Equity Futures'!$A:$A,$A584)=0,"",SUMIFS('Daily NSE Equity Futures'!$J:$J,'Daily NSE Equity Futures'!$A:$A,$A584))</f>
        <v>1220204</v>
      </c>
      <c r="Q584" s="7">
        <f>IF(SUMIFS('Daily BSE Equity Futures'!$J:$J,'Daily BSE Equity Futures'!$A:$A,$A584)=0,"",SUMIFS('Daily BSE Equity Futures'!$J:$J,'Daily BSE Equity Futures'!$A:$A,$A584))</f>
        <v>1</v>
      </c>
      <c r="R584" s="7">
        <f t="shared" si="114"/>
        <v>1220205</v>
      </c>
      <c r="S584" s="19">
        <f t="shared" si="115"/>
        <v>0.99999918046557745</v>
      </c>
      <c r="T584" s="19">
        <f t="shared" si="116"/>
        <v>8.1953442249458082E-7</v>
      </c>
    </row>
    <row r="585" spans="1:20" x14ac:dyDescent="0.2">
      <c r="A585" s="9">
        <v>44777</v>
      </c>
      <c r="B585" s="4" t="s">
        <v>224</v>
      </c>
      <c r="C585" s="8">
        <v>44774</v>
      </c>
      <c r="D585" s="4" t="s">
        <v>182</v>
      </c>
      <c r="E585" s="14">
        <f>IF(SUMIFS('Daily NSE Equity Futures'!$I:$I,'Daily NSE Equity Futures'!$A:$A,$A585)=0,"",SUMIFS('Daily NSE Equity Futures'!$I:$I,'Daily NSE Equity Futures'!$A:$A,$A585))</f>
        <v>1154.6379999999999</v>
      </c>
      <c r="F585" s="6">
        <f>IF(SUMIFS('Daily BSE Equity Futures'!$I:$I,'Daily BSE Equity Futures'!$A:$A,$A585)=0,"",SUMIFS('Daily BSE Equity Futures'!$I:$I,'Daily BSE Equity Futures'!$A:$A,$A585))</f>
        <v>2.7000000000000001E-3</v>
      </c>
      <c r="G585" s="6">
        <f t="shared" si="108"/>
        <v>1154.6406999999999</v>
      </c>
      <c r="H585" s="15">
        <f t="shared" si="109"/>
        <v>0.99999766161023074</v>
      </c>
      <c r="I585" s="15">
        <f t="shared" si="110"/>
        <v>2.3383897692156533E-6</v>
      </c>
      <c r="J585" s="20">
        <f t="shared" si="111"/>
        <v>7.2033926630949541E-2</v>
      </c>
      <c r="K585" s="15">
        <f t="shared" si="112"/>
        <v>-0.77310924369747902</v>
      </c>
      <c r="L585" s="15">
        <f t="shared" si="113"/>
        <v>7.2024589033814479E-2</v>
      </c>
      <c r="M585" s="15">
        <f t="shared" si="117"/>
        <v>0.27140175744091311</v>
      </c>
      <c r="N585" s="15">
        <f t="shared" si="118"/>
        <v>2.0000000000000004</v>
      </c>
      <c r="O585" s="15">
        <f t="shared" si="119"/>
        <v>0.27140347050301461</v>
      </c>
      <c r="P585" s="18">
        <f>IF(SUMIFS('Daily NSE Equity Futures'!$J:$J,'Daily NSE Equity Futures'!$A:$A,$A585)=0,"",SUMIFS('Daily NSE Equity Futures'!$J:$J,'Daily NSE Equity Futures'!$A:$A,$A585))</f>
        <v>1533468</v>
      </c>
      <c r="Q585" s="7">
        <f>IF(SUMIFS('Daily BSE Equity Futures'!$J:$J,'Daily BSE Equity Futures'!$A:$A,$A585)=0,"",SUMIFS('Daily BSE Equity Futures'!$J:$J,'Daily BSE Equity Futures'!$A:$A,$A585))</f>
        <v>3</v>
      </c>
      <c r="R585" s="7">
        <f t="shared" si="114"/>
        <v>1533471</v>
      </c>
      <c r="S585" s="19">
        <f t="shared" si="115"/>
        <v>0.99999804365390677</v>
      </c>
      <c r="T585" s="19">
        <f t="shared" si="116"/>
        <v>1.9563460932746691E-6</v>
      </c>
    </row>
    <row r="586" spans="1:20" x14ac:dyDescent="0.2">
      <c r="A586" s="9">
        <v>44778</v>
      </c>
      <c r="B586" s="4" t="s">
        <v>222</v>
      </c>
      <c r="C586" s="8">
        <v>44774</v>
      </c>
      <c r="D586" s="4" t="s">
        <v>182</v>
      </c>
      <c r="E586" s="14">
        <f>IF(SUMIFS('Daily NSE Equity Futures'!$I:$I,'Daily NSE Equity Futures'!$A:$A,$A586)=0,"",SUMIFS('Daily NSE Equity Futures'!$I:$I,'Daily NSE Equity Futures'!$A:$A,$A586))</f>
        <v>940.02009999999996</v>
      </c>
      <c r="F586" s="6">
        <f>IF(SUMIFS('Daily BSE Equity Futures'!$I:$I,'Daily BSE Equity Futures'!$A:$A,$A586)=0,"",SUMIFS('Daily BSE Equity Futures'!$I:$I,'Daily BSE Equity Futures'!$A:$A,$A586))</f>
        <v>1.8E-3</v>
      </c>
      <c r="G586" s="6">
        <f t="shared" si="108"/>
        <v>940.02189999999996</v>
      </c>
      <c r="H586" s="15">
        <f t="shared" si="109"/>
        <v>0.99999808515099486</v>
      </c>
      <c r="I586" s="15">
        <f t="shared" si="110"/>
        <v>1.9148490051136041E-6</v>
      </c>
      <c r="J586" s="20">
        <f t="shared" si="111"/>
        <v>-7.4934752010126227E-3</v>
      </c>
      <c r="K586" s="15">
        <f t="shared" si="112"/>
        <v>-0.73529411764705888</v>
      </c>
      <c r="L586" s="15">
        <f t="shared" si="113"/>
        <v>-7.4987005398764461E-3</v>
      </c>
      <c r="M586" s="15">
        <f t="shared" si="117"/>
        <v>-0.18587462044381009</v>
      </c>
      <c r="N586" s="15">
        <f t="shared" si="118"/>
        <v>-0.33333333333333337</v>
      </c>
      <c r="O586" s="15">
        <f t="shared" si="119"/>
        <v>-0.18587496525975566</v>
      </c>
      <c r="P586" s="18">
        <f>IF(SUMIFS('Daily NSE Equity Futures'!$J:$J,'Daily NSE Equity Futures'!$A:$A,$A586)=0,"",SUMIFS('Daily NSE Equity Futures'!$J:$J,'Daily NSE Equity Futures'!$A:$A,$A586))</f>
        <v>1247540</v>
      </c>
      <c r="Q586" s="7">
        <f>IF(SUMIFS('Daily BSE Equity Futures'!$J:$J,'Daily BSE Equity Futures'!$A:$A,$A586)=0,"",SUMIFS('Daily BSE Equity Futures'!$J:$J,'Daily BSE Equity Futures'!$A:$A,$A586))</f>
        <v>2</v>
      </c>
      <c r="R586" s="7">
        <f t="shared" si="114"/>
        <v>1247542</v>
      </c>
      <c r="S586" s="19">
        <f t="shared" si="115"/>
        <v>0.99999839684756109</v>
      </c>
      <c r="T586" s="19">
        <f t="shared" si="116"/>
        <v>1.6031524389559631E-6</v>
      </c>
    </row>
    <row r="587" spans="1:20" x14ac:dyDescent="0.2">
      <c r="A587" s="9">
        <v>44781</v>
      </c>
      <c r="B587" s="4" t="s">
        <v>225</v>
      </c>
      <c r="C587" s="8">
        <v>44774</v>
      </c>
      <c r="D587" s="4" t="s">
        <v>182</v>
      </c>
      <c r="E587" s="14">
        <f>IF(SUMIFS('Daily NSE Equity Futures'!$I:$I,'Daily NSE Equity Futures'!$A:$A,$A587)=0,"",SUMIFS('Daily NSE Equity Futures'!$I:$I,'Daily NSE Equity Futures'!$A:$A,$A587))</f>
        <v>823.92219999999998</v>
      </c>
      <c r="F587" s="6">
        <f>IF(SUMIFS('Daily BSE Equity Futures'!$I:$I,'Daily BSE Equity Futures'!$A:$A,$A587)=0,"",SUMIFS('Daily BSE Equity Futures'!$I:$I,'Daily BSE Equity Futures'!$A:$A,$A587))</f>
        <v>1.8E-3</v>
      </c>
      <c r="G587" s="6">
        <f t="shared" si="108"/>
        <v>823.92399999999998</v>
      </c>
      <c r="H587" s="15">
        <f t="shared" si="109"/>
        <v>0.99999781533248211</v>
      </c>
      <c r="I587" s="15">
        <f t="shared" si="110"/>
        <v>2.1846675178778627E-6</v>
      </c>
      <c r="J587" s="20" t="str">
        <f t="shared" si="111"/>
        <v/>
      </c>
      <c r="K587" s="15" t="str">
        <f t="shared" si="112"/>
        <v/>
      </c>
      <c r="L587" s="15" t="str">
        <f t="shared" si="113"/>
        <v/>
      </c>
      <c r="M587" s="15">
        <f t="shared" si="117"/>
        <v>-0.1235057633342096</v>
      </c>
      <c r="N587" s="15">
        <f t="shared" si="118"/>
        <v>0</v>
      </c>
      <c r="O587" s="15">
        <f t="shared" si="119"/>
        <v>-0.12350552683932148</v>
      </c>
      <c r="P587" s="18">
        <f>IF(SUMIFS('Daily NSE Equity Futures'!$J:$J,'Daily NSE Equity Futures'!$A:$A,$A587)=0,"",SUMIFS('Daily NSE Equity Futures'!$J:$J,'Daily NSE Equity Futures'!$A:$A,$A587))</f>
        <v>1060765</v>
      </c>
      <c r="Q587" s="7">
        <f>IF(SUMIFS('Daily BSE Equity Futures'!$J:$J,'Daily BSE Equity Futures'!$A:$A,$A587)=0,"",SUMIFS('Daily BSE Equity Futures'!$J:$J,'Daily BSE Equity Futures'!$A:$A,$A587))</f>
        <v>2</v>
      </c>
      <c r="R587" s="7">
        <f t="shared" si="114"/>
        <v>1060767</v>
      </c>
      <c r="S587" s="19">
        <f t="shared" si="115"/>
        <v>0.99999811457181453</v>
      </c>
      <c r="T587" s="19">
        <f t="shared" si="116"/>
        <v>1.8854281854544872E-6</v>
      </c>
    </row>
    <row r="588" spans="1:20" x14ac:dyDescent="0.2">
      <c r="A588" s="9">
        <v>44783</v>
      </c>
      <c r="B588" s="4" t="s">
        <v>221</v>
      </c>
      <c r="C588" s="8">
        <v>44774</v>
      </c>
      <c r="D588" s="4" t="s">
        <v>182</v>
      </c>
      <c r="E588" s="14">
        <f>IF(SUMIFS('Daily NSE Equity Futures'!$I:$I,'Daily NSE Equity Futures'!$A:$A,$A588)=0,"",SUMIFS('Daily NSE Equity Futures'!$I:$I,'Daily NSE Equity Futures'!$A:$A,$A588))</f>
        <v>820.70439999999996</v>
      </c>
      <c r="F588" s="6">
        <f>IF(SUMIFS('Daily BSE Equity Futures'!$I:$I,'Daily BSE Equity Futures'!$A:$A,$A588)=0,"",SUMIFS('Daily BSE Equity Futures'!$I:$I,'Daily BSE Equity Futures'!$A:$A,$A588))</f>
        <v>2.8E-3</v>
      </c>
      <c r="G588" s="6">
        <f t="shared" si="108"/>
        <v>820.70719999999994</v>
      </c>
      <c r="H588" s="15">
        <f t="shared" si="109"/>
        <v>0.99999658830822979</v>
      </c>
      <c r="I588" s="15">
        <f t="shared" si="110"/>
        <v>3.4116917702196351E-6</v>
      </c>
      <c r="J588" s="20">
        <f t="shared" si="111"/>
        <v>-3.3440176073821326E-2</v>
      </c>
      <c r="K588" s="15">
        <f t="shared" si="112"/>
        <v>-0.34883720930232553</v>
      </c>
      <c r="L588" s="15">
        <f t="shared" si="113"/>
        <v>-3.3441773297859023E-2</v>
      </c>
      <c r="M588" s="15">
        <f t="shared" si="117"/>
        <v>-3.9054658316040047E-3</v>
      </c>
      <c r="N588" s="15">
        <f t="shared" si="118"/>
        <v>0.55555555555555558</v>
      </c>
      <c r="O588" s="15">
        <f t="shared" si="119"/>
        <v>-3.9042435952830745E-3</v>
      </c>
      <c r="P588" s="18">
        <f>IF(SUMIFS('Daily NSE Equity Futures'!$J:$J,'Daily NSE Equity Futures'!$A:$A,$A588)=0,"",SUMIFS('Daily NSE Equity Futures'!$J:$J,'Daily NSE Equity Futures'!$A:$A,$A588))</f>
        <v>1084646</v>
      </c>
      <c r="Q588" s="7">
        <f>IF(SUMIFS('Daily BSE Equity Futures'!$J:$J,'Daily BSE Equity Futures'!$A:$A,$A588)=0,"",SUMIFS('Daily BSE Equity Futures'!$J:$J,'Daily BSE Equity Futures'!$A:$A,$A588))</f>
        <v>3</v>
      </c>
      <c r="R588" s="7">
        <f t="shared" si="114"/>
        <v>1084649</v>
      </c>
      <c r="S588" s="19">
        <f t="shared" si="115"/>
        <v>0.99999723412827557</v>
      </c>
      <c r="T588" s="19">
        <f t="shared" si="116"/>
        <v>2.7658717244011658E-6</v>
      </c>
    </row>
    <row r="589" spans="1:20" x14ac:dyDescent="0.2">
      <c r="A589" s="9">
        <v>44784</v>
      </c>
      <c r="B589" s="4" t="s">
        <v>224</v>
      </c>
      <c r="C589" s="8">
        <v>44774</v>
      </c>
      <c r="D589" s="4" t="s">
        <v>182</v>
      </c>
      <c r="E589" s="14">
        <f>IF(SUMIFS('Daily NSE Equity Futures'!$I:$I,'Daily NSE Equity Futures'!$A:$A,$A589)=0,"",SUMIFS('Daily NSE Equity Futures'!$I:$I,'Daily NSE Equity Futures'!$A:$A,$A589))</f>
        <v>871.4932</v>
      </c>
      <c r="F589" s="6">
        <f>IF(SUMIFS('Daily BSE Equity Futures'!$I:$I,'Daily BSE Equity Futures'!$A:$A,$A589)=0,"",SUMIFS('Daily BSE Equity Futures'!$I:$I,'Daily BSE Equity Futures'!$A:$A,$A589))</f>
        <v>1.9E-3</v>
      </c>
      <c r="G589" s="6">
        <f t="shared" si="108"/>
        <v>871.49509999999998</v>
      </c>
      <c r="H589" s="15">
        <f t="shared" si="109"/>
        <v>0.99999781983857394</v>
      </c>
      <c r="I589" s="15">
        <f t="shared" si="110"/>
        <v>2.180161426036704E-6</v>
      </c>
      <c r="J589" s="20">
        <f t="shared" si="111"/>
        <v>-3.6366688169365502E-2</v>
      </c>
      <c r="K589" s="15">
        <f t="shared" si="112"/>
        <v>-0.62745098039215685</v>
      </c>
      <c r="L589" s="15">
        <f t="shared" si="113"/>
        <v>-3.6370021396797014E-2</v>
      </c>
      <c r="M589" s="15">
        <f t="shared" si="117"/>
        <v>6.1884400765976233E-2</v>
      </c>
      <c r="N589" s="15">
        <f t="shared" si="118"/>
        <v>-0.3214285714285714</v>
      </c>
      <c r="O589" s="15">
        <f t="shared" si="119"/>
        <v>6.1883093020263624E-2</v>
      </c>
      <c r="P589" s="18">
        <f>IF(SUMIFS('Daily NSE Equity Futures'!$J:$J,'Daily NSE Equity Futures'!$A:$A,$A589)=0,"",SUMIFS('Daily NSE Equity Futures'!$J:$J,'Daily NSE Equity Futures'!$A:$A,$A589))</f>
        <v>1136073</v>
      </c>
      <c r="Q589" s="7">
        <f>IF(SUMIFS('Daily BSE Equity Futures'!$J:$J,'Daily BSE Equity Futures'!$A:$A,$A589)=0,"",SUMIFS('Daily BSE Equity Futures'!$J:$J,'Daily BSE Equity Futures'!$A:$A,$A589))</f>
        <v>2</v>
      </c>
      <c r="R589" s="7">
        <f t="shared" si="114"/>
        <v>1136075</v>
      </c>
      <c r="S589" s="19">
        <f t="shared" si="115"/>
        <v>0.99999823955284639</v>
      </c>
      <c r="T589" s="19">
        <f t="shared" si="116"/>
        <v>1.7604471535770085E-6</v>
      </c>
    </row>
    <row r="590" spans="1:20" x14ac:dyDescent="0.2">
      <c r="A590" s="9">
        <v>44785</v>
      </c>
      <c r="B590" s="4" t="s">
        <v>222</v>
      </c>
      <c r="C590" s="8">
        <v>44774</v>
      </c>
      <c r="D590" s="4" t="s">
        <v>182</v>
      </c>
      <c r="E590" s="14">
        <f>IF(SUMIFS('Daily NSE Equity Futures'!$I:$I,'Daily NSE Equity Futures'!$A:$A,$A590)=0,"",SUMIFS('Daily NSE Equity Futures'!$I:$I,'Daily NSE Equity Futures'!$A:$A,$A590))</f>
        <v>873.20820000000003</v>
      </c>
      <c r="F590" s="6">
        <f>IF(SUMIFS('Daily BSE Equity Futures'!$I:$I,'Daily BSE Equity Futures'!$A:$A,$A590)=0,"",SUMIFS('Daily BSE Equity Futures'!$I:$I,'Daily BSE Equity Futures'!$A:$A,$A590))</f>
        <v>8.9999999999999998E-4</v>
      </c>
      <c r="G590" s="6">
        <f t="shared" si="108"/>
        <v>873.20910000000003</v>
      </c>
      <c r="H590" s="15">
        <f t="shared" si="109"/>
        <v>0.99999896931903254</v>
      </c>
      <c r="I590" s="15">
        <f t="shared" si="110"/>
        <v>1.0306809674796104E-6</v>
      </c>
      <c r="J590" s="20">
        <f t="shared" si="111"/>
        <v>0.20231384034463074</v>
      </c>
      <c r="K590" s="15">
        <f t="shared" si="112"/>
        <v>-0.47058823529411764</v>
      </c>
      <c r="L590" s="15">
        <f t="shared" si="113"/>
        <v>0.20231226527479684</v>
      </c>
      <c r="M590" s="15">
        <f t="shared" si="117"/>
        <v>1.9678868406547423E-3</v>
      </c>
      <c r="N590" s="15">
        <f t="shared" si="118"/>
        <v>-0.52631578947368429</v>
      </c>
      <c r="O590" s="15">
        <f t="shared" si="119"/>
        <v>1.9667350969616582E-3</v>
      </c>
      <c r="P590" s="18">
        <f>IF(SUMIFS('Daily NSE Equity Futures'!$J:$J,'Daily NSE Equity Futures'!$A:$A,$A590)=0,"",SUMIFS('Daily NSE Equity Futures'!$J:$J,'Daily NSE Equity Futures'!$A:$A,$A590))</f>
        <v>1170070</v>
      </c>
      <c r="Q590" s="7">
        <f>IF(SUMIFS('Daily BSE Equity Futures'!$J:$J,'Daily BSE Equity Futures'!$A:$A,$A590)=0,"",SUMIFS('Daily BSE Equity Futures'!$J:$J,'Daily BSE Equity Futures'!$A:$A,$A590))</f>
        <v>1</v>
      </c>
      <c r="R590" s="7">
        <f t="shared" si="114"/>
        <v>1170071</v>
      </c>
      <c r="S590" s="19">
        <f t="shared" si="115"/>
        <v>0.99999914535100864</v>
      </c>
      <c r="T590" s="19">
        <f t="shared" si="116"/>
        <v>8.5464899138599279E-7</v>
      </c>
    </row>
    <row r="591" spans="1:20" x14ac:dyDescent="0.2">
      <c r="A591" s="9">
        <v>44789</v>
      </c>
      <c r="B591" s="4" t="s">
        <v>223</v>
      </c>
      <c r="C591" s="8">
        <v>44774</v>
      </c>
      <c r="D591" s="4" t="s">
        <v>182</v>
      </c>
      <c r="E591" s="14">
        <f>IF(SUMIFS('Daily NSE Equity Futures'!$I:$I,'Daily NSE Equity Futures'!$A:$A,$A591)=0,"",SUMIFS('Daily NSE Equity Futures'!$I:$I,'Daily NSE Equity Futures'!$A:$A,$A591))</f>
        <v>918.71180000000004</v>
      </c>
      <c r="F591" s="6">
        <f>IF(SUMIFS('Daily BSE Equity Futures'!$I:$I,'Daily BSE Equity Futures'!$A:$A,$A591)=0,"",SUMIFS('Daily BSE Equity Futures'!$I:$I,'Daily BSE Equity Futures'!$A:$A,$A591))</f>
        <v>8.9999999999999998E-4</v>
      </c>
      <c r="G591" s="6">
        <f t="shared" si="108"/>
        <v>918.71270000000004</v>
      </c>
      <c r="H591" s="15">
        <f t="shared" si="109"/>
        <v>0.9999990203683915</v>
      </c>
      <c r="I591" s="15">
        <f t="shared" si="110"/>
        <v>9.7963160844516452E-7</v>
      </c>
      <c r="J591" s="20">
        <f t="shared" si="111"/>
        <v>0.21016074105619453</v>
      </c>
      <c r="K591" s="15">
        <f t="shared" si="112"/>
        <v>0</v>
      </c>
      <c r="L591" s="15">
        <f t="shared" si="113"/>
        <v>0.21016049190822561</v>
      </c>
      <c r="M591" s="15">
        <f t="shared" si="117"/>
        <v>5.2110825344974909E-2</v>
      </c>
      <c r="N591" s="15">
        <f t="shared" si="118"/>
        <v>0</v>
      </c>
      <c r="O591" s="15">
        <f t="shared" si="119"/>
        <v>5.2110771635339059E-2</v>
      </c>
      <c r="P591" s="18">
        <f>IF(SUMIFS('Daily NSE Equity Futures'!$J:$J,'Daily NSE Equity Futures'!$A:$A,$A591)=0,"",SUMIFS('Daily NSE Equity Futures'!$J:$J,'Daily NSE Equity Futures'!$A:$A,$A591))</f>
        <v>1215750</v>
      </c>
      <c r="Q591" s="7">
        <f>IF(SUMIFS('Daily BSE Equity Futures'!$J:$J,'Daily BSE Equity Futures'!$A:$A,$A591)=0,"",SUMIFS('Daily BSE Equity Futures'!$J:$J,'Daily BSE Equity Futures'!$A:$A,$A591))</f>
        <v>1</v>
      </c>
      <c r="R591" s="7">
        <f t="shared" si="114"/>
        <v>1215751</v>
      </c>
      <c r="S591" s="19">
        <f t="shared" si="115"/>
        <v>0.99999917746314826</v>
      </c>
      <c r="T591" s="19">
        <f t="shared" si="116"/>
        <v>8.2253685170729857E-7</v>
      </c>
    </row>
    <row r="592" spans="1:20" x14ac:dyDescent="0.2">
      <c r="A592" s="9">
        <v>44790</v>
      </c>
      <c r="B592" s="4" t="s">
        <v>221</v>
      </c>
      <c r="C592" s="8">
        <v>44774</v>
      </c>
      <c r="D592" s="4" t="s">
        <v>182</v>
      </c>
      <c r="E592" s="14">
        <f>IF(SUMIFS('Daily NSE Equity Futures'!$I:$I,'Daily NSE Equity Futures'!$A:$A,$A592)=0,"",SUMIFS('Daily NSE Equity Futures'!$I:$I,'Daily NSE Equity Futures'!$A:$A,$A592))</f>
        <v>917.48810000000003</v>
      </c>
      <c r="F592" s="6">
        <f>IF(SUMIFS('Daily BSE Equity Futures'!$I:$I,'Daily BSE Equity Futures'!$A:$A,$A592)=0,"",SUMIFS('Daily BSE Equity Futures'!$I:$I,'Daily BSE Equity Futures'!$A:$A,$A592))</f>
        <v>8.9999999999999998E-4</v>
      </c>
      <c r="G592" s="6">
        <f t="shared" si="108"/>
        <v>917.48900000000003</v>
      </c>
      <c r="H592" s="15">
        <f t="shared" si="109"/>
        <v>0.99999901906180888</v>
      </c>
      <c r="I592" s="15">
        <f t="shared" si="110"/>
        <v>9.8093819108457978E-7</v>
      </c>
      <c r="J592" s="20">
        <f t="shared" si="111"/>
        <v>-0.14212888130939649</v>
      </c>
      <c r="K592" s="15">
        <f t="shared" si="112"/>
        <v>-0.65384615384615385</v>
      </c>
      <c r="L592" s="15">
        <f t="shared" si="113"/>
        <v>-0.14213012531969471</v>
      </c>
      <c r="M592" s="15">
        <f t="shared" si="117"/>
        <v>-1.3319737484595029E-3</v>
      </c>
      <c r="N592" s="15">
        <f t="shared" si="118"/>
        <v>0</v>
      </c>
      <c r="O592" s="15">
        <f t="shared" si="119"/>
        <v>-1.3319724436159364E-3</v>
      </c>
      <c r="P592" s="18">
        <f>IF(SUMIFS('Daily NSE Equity Futures'!$J:$J,'Daily NSE Equity Futures'!$A:$A,$A592)=0,"",SUMIFS('Daily NSE Equity Futures'!$J:$J,'Daily NSE Equity Futures'!$A:$A,$A592))</f>
        <v>1224393</v>
      </c>
      <c r="Q592" s="7">
        <f>IF(SUMIFS('Daily BSE Equity Futures'!$J:$J,'Daily BSE Equity Futures'!$A:$A,$A592)=0,"",SUMIFS('Daily BSE Equity Futures'!$J:$J,'Daily BSE Equity Futures'!$A:$A,$A592))</f>
        <v>1</v>
      </c>
      <c r="R592" s="7">
        <f t="shared" si="114"/>
        <v>1224394</v>
      </c>
      <c r="S592" s="19">
        <f t="shared" si="115"/>
        <v>0.99999918326943782</v>
      </c>
      <c r="T592" s="19">
        <f t="shared" si="116"/>
        <v>8.1673056222098439E-7</v>
      </c>
    </row>
    <row r="593" spans="1:20" x14ac:dyDescent="0.2">
      <c r="A593" s="9">
        <v>44791</v>
      </c>
      <c r="B593" s="4" t="s">
        <v>224</v>
      </c>
      <c r="C593" s="8">
        <v>44774</v>
      </c>
      <c r="D593" s="4" t="s">
        <v>182</v>
      </c>
      <c r="E593" s="14">
        <f>IF(SUMIFS('Daily NSE Equity Futures'!$I:$I,'Daily NSE Equity Futures'!$A:$A,$A593)=0,"",SUMIFS('Daily NSE Equity Futures'!$I:$I,'Daily NSE Equity Futures'!$A:$A,$A593))</f>
        <v>1065.6389999999999</v>
      </c>
      <c r="F593" s="6" t="str">
        <f>IF(SUMIFS('Daily BSE Equity Futures'!$I:$I,'Daily BSE Equity Futures'!$A:$A,$A593)=0,"",SUMIFS('Daily BSE Equity Futures'!$I:$I,'Daily BSE Equity Futures'!$A:$A,$A593))</f>
        <v/>
      </c>
      <c r="G593" s="6" t="str">
        <f t="shared" si="108"/>
        <v/>
      </c>
      <c r="H593" s="15" t="str">
        <f t="shared" si="109"/>
        <v/>
      </c>
      <c r="I593" s="15" t="str">
        <f t="shared" si="110"/>
        <v/>
      </c>
      <c r="J593" s="20">
        <f t="shared" si="111"/>
        <v>6.9613469730825717E-2</v>
      </c>
      <c r="K593" s="15" t="str">
        <f t="shared" si="112"/>
        <v/>
      </c>
      <c r="L593" s="15" t="str">
        <f t="shared" si="113"/>
        <v/>
      </c>
      <c r="M593" s="15">
        <f t="shared" si="117"/>
        <v>0.1614744649004165</v>
      </c>
      <c r="N593" s="15" t="str">
        <f t="shared" si="118"/>
        <v/>
      </c>
      <c r="O593" s="15" t="str">
        <f t="shared" si="119"/>
        <v/>
      </c>
      <c r="P593" s="18">
        <f>IF(SUMIFS('Daily NSE Equity Futures'!$J:$J,'Daily NSE Equity Futures'!$A:$A,$A593)=0,"",SUMIFS('Daily NSE Equity Futures'!$J:$J,'Daily NSE Equity Futures'!$A:$A,$A593))</f>
        <v>1359943</v>
      </c>
      <c r="Q593" s="7" t="str">
        <f>IF(SUMIFS('Daily BSE Equity Futures'!$J:$J,'Daily BSE Equity Futures'!$A:$A,$A593)=0,"",SUMIFS('Daily BSE Equity Futures'!$J:$J,'Daily BSE Equity Futures'!$A:$A,$A593))</f>
        <v/>
      </c>
      <c r="R593" s="7" t="str">
        <f t="shared" si="114"/>
        <v/>
      </c>
      <c r="S593" s="19" t="str">
        <f t="shared" si="115"/>
        <v/>
      </c>
      <c r="T593" s="19" t="str">
        <f t="shared" si="116"/>
        <v/>
      </c>
    </row>
    <row r="594" spans="1:20" x14ac:dyDescent="0.2">
      <c r="A594" s="9">
        <v>44792</v>
      </c>
      <c r="B594" s="4" t="s">
        <v>222</v>
      </c>
      <c r="C594" s="8">
        <v>44774</v>
      </c>
      <c r="D594" s="4" t="s">
        <v>182</v>
      </c>
      <c r="E594" s="14">
        <f>IF(SUMIFS('Daily NSE Equity Futures'!$I:$I,'Daily NSE Equity Futures'!$A:$A,$A594)=0,"",SUMIFS('Daily NSE Equity Futures'!$I:$I,'Daily NSE Equity Futures'!$A:$A,$A594))</f>
        <v>1512.317</v>
      </c>
      <c r="F594" s="6" t="str">
        <f>IF(SUMIFS('Daily BSE Equity Futures'!$I:$I,'Daily BSE Equity Futures'!$A:$A,$A594)=0,"",SUMIFS('Daily BSE Equity Futures'!$I:$I,'Daily BSE Equity Futures'!$A:$A,$A594))</f>
        <v/>
      </c>
      <c r="G594" s="6" t="str">
        <f t="shared" si="108"/>
        <v/>
      </c>
      <c r="H594" s="15" t="str">
        <f t="shared" si="109"/>
        <v/>
      </c>
      <c r="I594" s="15" t="str">
        <f t="shared" si="110"/>
        <v/>
      </c>
      <c r="J594" s="20" t="str">
        <f t="shared" si="111"/>
        <v/>
      </c>
      <c r="K594" s="15" t="str">
        <f t="shared" si="112"/>
        <v/>
      </c>
      <c r="L594" s="15" t="str">
        <f t="shared" si="113"/>
        <v/>
      </c>
      <c r="M594" s="15">
        <f t="shared" si="117"/>
        <v>0.41916446376305694</v>
      </c>
      <c r="N594" s="15" t="str">
        <f t="shared" si="118"/>
        <v/>
      </c>
      <c r="O594" s="15" t="str">
        <f t="shared" si="119"/>
        <v/>
      </c>
      <c r="P594" s="18">
        <f>IF(SUMIFS('Daily NSE Equity Futures'!$J:$J,'Daily NSE Equity Futures'!$A:$A,$A594)=0,"",SUMIFS('Daily NSE Equity Futures'!$J:$J,'Daily NSE Equity Futures'!$A:$A,$A594))</f>
        <v>1926894</v>
      </c>
      <c r="Q594" s="7" t="str">
        <f>IF(SUMIFS('Daily BSE Equity Futures'!$J:$J,'Daily BSE Equity Futures'!$A:$A,$A594)=0,"",SUMIFS('Daily BSE Equity Futures'!$J:$J,'Daily BSE Equity Futures'!$A:$A,$A594))</f>
        <v/>
      </c>
      <c r="R594" s="7" t="str">
        <f t="shared" si="114"/>
        <v/>
      </c>
      <c r="S594" s="19" t="str">
        <f t="shared" si="115"/>
        <v/>
      </c>
      <c r="T594" s="19" t="str">
        <f t="shared" si="116"/>
        <v/>
      </c>
    </row>
    <row r="595" spans="1:20" x14ac:dyDescent="0.2">
      <c r="A595" s="9">
        <v>44795</v>
      </c>
      <c r="B595" s="4" t="s">
        <v>225</v>
      </c>
      <c r="C595" s="8">
        <v>44774</v>
      </c>
      <c r="D595" s="4" t="s">
        <v>182</v>
      </c>
      <c r="E595" s="14">
        <f>IF(SUMIFS('Daily NSE Equity Futures'!$I:$I,'Daily NSE Equity Futures'!$A:$A,$A595)=0,"",SUMIFS('Daily NSE Equity Futures'!$I:$I,'Daily NSE Equity Futures'!$A:$A,$A595))</f>
        <v>1967.0254</v>
      </c>
      <c r="F595" s="6">
        <f>IF(SUMIFS('Daily BSE Equity Futures'!$I:$I,'Daily BSE Equity Futures'!$A:$A,$A595)=0,"",SUMIFS('Daily BSE Equity Futures'!$I:$I,'Daily BSE Equity Futures'!$A:$A,$A595))</f>
        <v>1.9E-3</v>
      </c>
      <c r="G595" s="6">
        <f t="shared" si="108"/>
        <v>1967.0273</v>
      </c>
      <c r="H595" s="15">
        <f t="shared" si="109"/>
        <v>0.99999903407542945</v>
      </c>
      <c r="I595" s="15">
        <f t="shared" si="110"/>
        <v>9.6592457054358119E-7</v>
      </c>
      <c r="J595" s="20" t="str">
        <f t="shared" si="111"/>
        <v/>
      </c>
      <c r="K595" s="15" t="str">
        <f t="shared" si="112"/>
        <v/>
      </c>
      <c r="L595" s="15" t="str">
        <f t="shared" si="113"/>
        <v/>
      </c>
      <c r="M595" s="15">
        <f t="shared" si="117"/>
        <v>0.30067003148149496</v>
      </c>
      <c r="N595" s="15" t="str">
        <f t="shared" si="118"/>
        <v/>
      </c>
      <c r="O595" s="15" t="str">
        <f t="shared" si="119"/>
        <v/>
      </c>
      <c r="P595" s="18">
        <f>IF(SUMIFS('Daily NSE Equity Futures'!$J:$J,'Daily NSE Equity Futures'!$A:$A,$A595)=0,"",SUMIFS('Daily NSE Equity Futures'!$J:$J,'Daily NSE Equity Futures'!$A:$A,$A595))</f>
        <v>2639176</v>
      </c>
      <c r="Q595" s="7">
        <f>IF(SUMIFS('Daily BSE Equity Futures'!$J:$J,'Daily BSE Equity Futures'!$A:$A,$A595)=0,"",SUMIFS('Daily BSE Equity Futures'!$J:$J,'Daily BSE Equity Futures'!$A:$A,$A595))</f>
        <v>2</v>
      </c>
      <c r="R595" s="7">
        <f t="shared" si="114"/>
        <v>2639178</v>
      </c>
      <c r="S595" s="19">
        <f t="shared" si="115"/>
        <v>0.9999992421882874</v>
      </c>
      <c r="T595" s="19">
        <f t="shared" si="116"/>
        <v>7.5781171258626739E-7</v>
      </c>
    </row>
    <row r="596" spans="1:20" x14ac:dyDescent="0.2">
      <c r="A596" s="9">
        <v>44796</v>
      </c>
      <c r="B596" s="4" t="s">
        <v>223</v>
      </c>
      <c r="C596" s="8">
        <v>44774</v>
      </c>
      <c r="D596" s="4" t="s">
        <v>182</v>
      </c>
      <c r="E596" s="14">
        <f>IF(SUMIFS('Daily NSE Equity Futures'!$I:$I,'Daily NSE Equity Futures'!$A:$A,$A596)=0,"",SUMIFS('Daily NSE Equity Futures'!$I:$I,'Daily NSE Equity Futures'!$A:$A,$A596))</f>
        <v>2226.9722999999999</v>
      </c>
      <c r="F596" s="6">
        <f>IF(SUMIFS('Daily BSE Equity Futures'!$I:$I,'Daily BSE Equity Futures'!$A:$A,$A596)=0,"",SUMIFS('Daily BSE Equity Futures'!$I:$I,'Daily BSE Equity Futures'!$A:$A,$A596))</f>
        <v>3.7000000000000002E-3</v>
      </c>
      <c r="G596" s="6">
        <f t="shared" si="108"/>
        <v>2226.9760000000001</v>
      </c>
      <c r="H596" s="15">
        <f t="shared" si="109"/>
        <v>0.99999833855416487</v>
      </c>
      <c r="I596" s="15">
        <f t="shared" si="110"/>
        <v>1.6614458350696191E-6</v>
      </c>
      <c r="J596" s="20">
        <f t="shared" si="111"/>
        <v>0.32322600690165704</v>
      </c>
      <c r="K596" s="15">
        <f t="shared" si="112"/>
        <v>-0.39344262295081966</v>
      </c>
      <c r="L596" s="15">
        <f t="shared" si="113"/>
        <v>0.3232234093399784</v>
      </c>
      <c r="M596" s="15">
        <f t="shared" si="117"/>
        <v>0.13215228435789395</v>
      </c>
      <c r="N596" s="15">
        <f t="shared" si="118"/>
        <v>0.94736842105263164</v>
      </c>
      <c r="O596" s="15">
        <f t="shared" si="119"/>
        <v>0.13215307179519065</v>
      </c>
      <c r="P596" s="18">
        <f>IF(SUMIFS('Daily NSE Equity Futures'!$J:$J,'Daily NSE Equity Futures'!$A:$A,$A596)=0,"",SUMIFS('Daily NSE Equity Futures'!$J:$J,'Daily NSE Equity Futures'!$A:$A,$A596))</f>
        <v>2996498</v>
      </c>
      <c r="Q596" s="7">
        <f>IF(SUMIFS('Daily BSE Equity Futures'!$J:$J,'Daily BSE Equity Futures'!$A:$A,$A596)=0,"",SUMIFS('Daily BSE Equity Futures'!$J:$J,'Daily BSE Equity Futures'!$A:$A,$A596))</f>
        <v>4</v>
      </c>
      <c r="R596" s="7">
        <f t="shared" si="114"/>
        <v>2996502</v>
      </c>
      <c r="S596" s="19">
        <f t="shared" si="115"/>
        <v>0.99999866511018509</v>
      </c>
      <c r="T596" s="19">
        <f t="shared" si="116"/>
        <v>1.3348898148574572E-6</v>
      </c>
    </row>
    <row r="597" spans="1:20" x14ac:dyDescent="0.2">
      <c r="A597" s="9">
        <v>44797</v>
      </c>
      <c r="B597" s="4" t="s">
        <v>221</v>
      </c>
      <c r="C597" s="8">
        <v>44774</v>
      </c>
      <c r="D597" s="4" t="s">
        <v>182</v>
      </c>
      <c r="E597" s="14">
        <f>IF(SUMIFS('Daily NSE Equity Futures'!$I:$I,'Daily NSE Equity Futures'!$A:$A,$A597)=0,"",SUMIFS('Daily NSE Equity Futures'!$I:$I,'Daily NSE Equity Futures'!$A:$A,$A597))</f>
        <v>1955.1949</v>
      </c>
      <c r="F597" s="6">
        <f>IF(SUMIFS('Daily BSE Equity Futures'!$I:$I,'Daily BSE Equity Futures'!$A:$A,$A597)=0,"",SUMIFS('Daily BSE Equity Futures'!$I:$I,'Daily BSE Equity Futures'!$A:$A,$A597))</f>
        <v>2.8E-3</v>
      </c>
      <c r="G597" s="6">
        <f t="shared" si="108"/>
        <v>1955.1976999999999</v>
      </c>
      <c r="H597" s="15">
        <f t="shared" si="109"/>
        <v>0.99999856791975561</v>
      </c>
      <c r="I597" s="15">
        <f t="shared" si="110"/>
        <v>1.4320802443660812E-6</v>
      </c>
      <c r="J597" s="20">
        <f t="shared" si="111"/>
        <v>4.204568299258904E-2</v>
      </c>
      <c r="K597" s="15">
        <f t="shared" si="112"/>
        <v>7.6923076923076872E-2</v>
      </c>
      <c r="L597" s="15">
        <f t="shared" si="113"/>
        <v>4.2045731322219559E-2</v>
      </c>
      <c r="M597" s="15">
        <f t="shared" si="117"/>
        <v>-0.12203896743574227</v>
      </c>
      <c r="N597" s="15">
        <f t="shared" si="118"/>
        <v>-0.24324324324324331</v>
      </c>
      <c r="O597" s="15">
        <f t="shared" si="119"/>
        <v>-0.12203916881008159</v>
      </c>
      <c r="P597" s="18">
        <f>IF(SUMIFS('Daily NSE Equity Futures'!$J:$J,'Daily NSE Equity Futures'!$A:$A,$A597)=0,"",SUMIFS('Daily NSE Equity Futures'!$J:$J,'Daily NSE Equity Futures'!$A:$A,$A597))</f>
        <v>2614399</v>
      </c>
      <c r="Q597" s="7">
        <f>IF(SUMIFS('Daily BSE Equity Futures'!$J:$J,'Daily BSE Equity Futures'!$A:$A,$A597)=0,"",SUMIFS('Daily BSE Equity Futures'!$J:$J,'Daily BSE Equity Futures'!$A:$A,$A597))</f>
        <v>3</v>
      </c>
      <c r="R597" s="7">
        <f t="shared" si="114"/>
        <v>2614402</v>
      </c>
      <c r="S597" s="19">
        <f t="shared" si="115"/>
        <v>0.99999885251005771</v>
      </c>
      <c r="T597" s="19">
        <f t="shared" si="116"/>
        <v>1.1474899422506561E-6</v>
      </c>
    </row>
    <row r="598" spans="1:20" x14ac:dyDescent="0.2">
      <c r="A598" s="9">
        <v>44798</v>
      </c>
      <c r="B598" s="4" t="s">
        <v>224</v>
      </c>
      <c r="C598" s="8">
        <v>44774</v>
      </c>
      <c r="D598" s="4" t="s">
        <v>182</v>
      </c>
      <c r="E598" s="14">
        <f>IF(SUMIFS('Daily NSE Equity Futures'!$I:$I,'Daily NSE Equity Futures'!$A:$A,$A598)=0,"",SUMIFS('Daily NSE Equity Futures'!$I:$I,'Daily NSE Equity Futures'!$A:$A,$A598))</f>
        <v>2072.7543000000001</v>
      </c>
      <c r="F598" s="6">
        <f>IF(SUMIFS('Daily BSE Equity Futures'!$I:$I,'Daily BSE Equity Futures'!$A:$A,$A598)=0,"",SUMIFS('Daily BSE Equity Futures'!$I:$I,'Daily BSE Equity Futures'!$A:$A,$A598))</f>
        <v>8.9999999999999998E-4</v>
      </c>
      <c r="G598" s="6">
        <f t="shared" si="108"/>
        <v>2072.7552000000001</v>
      </c>
      <c r="H598" s="15">
        <f t="shared" si="109"/>
        <v>0.99999956579532401</v>
      </c>
      <c r="I598" s="15">
        <f t="shared" si="110"/>
        <v>4.3420467597910256E-7</v>
      </c>
      <c r="J598" s="20">
        <f t="shared" si="111"/>
        <v>0.25393841107715187</v>
      </c>
      <c r="K598" s="15">
        <f t="shared" si="112"/>
        <v>-0.88607594936708867</v>
      </c>
      <c r="L598" s="15">
        <f t="shared" si="113"/>
        <v>0.25393296274320587</v>
      </c>
      <c r="M598" s="15">
        <f t="shared" si="117"/>
        <v>6.012669120607872E-2</v>
      </c>
      <c r="N598" s="15">
        <f t="shared" si="118"/>
        <v>-0.6785714285714286</v>
      </c>
      <c r="O598" s="15">
        <f t="shared" si="119"/>
        <v>6.0125633331094885E-2</v>
      </c>
      <c r="P598" s="18">
        <f>IF(SUMIFS('Daily NSE Equity Futures'!$J:$J,'Daily NSE Equity Futures'!$A:$A,$A598)=0,"",SUMIFS('Daily NSE Equity Futures'!$J:$J,'Daily NSE Equity Futures'!$A:$A,$A598))</f>
        <v>2755305</v>
      </c>
      <c r="Q598" s="7">
        <f>IF(SUMIFS('Daily BSE Equity Futures'!$J:$J,'Daily BSE Equity Futures'!$A:$A,$A598)=0,"",SUMIFS('Daily BSE Equity Futures'!$J:$J,'Daily BSE Equity Futures'!$A:$A,$A598))</f>
        <v>1</v>
      </c>
      <c r="R598" s="7">
        <f t="shared" si="114"/>
        <v>2755306</v>
      </c>
      <c r="S598" s="19">
        <f t="shared" si="115"/>
        <v>0.99999963706390504</v>
      </c>
      <c r="T598" s="19">
        <f t="shared" si="116"/>
        <v>3.6293609493827545E-7</v>
      </c>
    </row>
    <row r="599" spans="1:20" x14ac:dyDescent="0.2">
      <c r="A599" s="9">
        <v>44799</v>
      </c>
      <c r="B599" s="4" t="s">
        <v>222</v>
      </c>
      <c r="C599" s="8">
        <v>44774</v>
      </c>
      <c r="D599" s="4" t="s">
        <v>182</v>
      </c>
      <c r="E599" s="14">
        <f>IF(SUMIFS('Daily NSE Equity Futures'!$I:$I,'Daily NSE Equity Futures'!$A:$A,$A599)=0,"",SUMIFS('Daily NSE Equity Futures'!$I:$I,'Daily NSE Equity Futures'!$A:$A,$A599))</f>
        <v>915.15219999999999</v>
      </c>
      <c r="F599" s="6">
        <f>IF(SUMIFS('Daily BSE Equity Futures'!$I:$I,'Daily BSE Equity Futures'!$A:$A,$A599)=0,"",SUMIFS('Daily BSE Equity Futures'!$I:$I,'Daily BSE Equity Futures'!$A:$A,$A599))</f>
        <v>1.9E-3</v>
      </c>
      <c r="G599" s="6">
        <f t="shared" si="108"/>
        <v>915.15409999999997</v>
      </c>
      <c r="H599" s="15">
        <f t="shared" si="109"/>
        <v>0.99999792384692376</v>
      </c>
      <c r="I599" s="15">
        <f t="shared" si="110"/>
        <v>2.0761530762961123E-6</v>
      </c>
      <c r="J599" s="20">
        <f t="shared" si="111"/>
        <v>-0.44989986235958401</v>
      </c>
      <c r="K599" s="15">
        <f t="shared" si="112"/>
        <v>-0.68852459016393452</v>
      </c>
      <c r="L599" s="15">
        <f t="shared" si="113"/>
        <v>-0.4499007373274716</v>
      </c>
      <c r="M599" s="15">
        <f t="shared" si="117"/>
        <v>-0.55848495887814587</v>
      </c>
      <c r="N599" s="15">
        <f t="shared" si="118"/>
        <v>1.1111111111111112</v>
      </c>
      <c r="O599" s="15">
        <f t="shared" si="119"/>
        <v>-0.5584842339317253</v>
      </c>
      <c r="P599" s="18">
        <f>IF(SUMIFS('Daily NSE Equity Futures'!$J:$J,'Daily NSE Equity Futures'!$A:$A,$A599)=0,"",SUMIFS('Daily NSE Equity Futures'!$J:$J,'Daily NSE Equity Futures'!$A:$A,$A599))</f>
        <v>1151268</v>
      </c>
      <c r="Q599" s="7">
        <f>IF(SUMIFS('Daily BSE Equity Futures'!$J:$J,'Daily BSE Equity Futures'!$A:$A,$A599)=0,"",SUMIFS('Daily BSE Equity Futures'!$J:$J,'Daily BSE Equity Futures'!$A:$A,$A599))</f>
        <v>2</v>
      </c>
      <c r="R599" s="7">
        <f t="shared" si="114"/>
        <v>1151270</v>
      </c>
      <c r="S599" s="19">
        <f t="shared" si="115"/>
        <v>0.99999826278805148</v>
      </c>
      <c r="T599" s="19">
        <f t="shared" si="116"/>
        <v>1.737211948543782E-6</v>
      </c>
    </row>
    <row r="600" spans="1:20" x14ac:dyDescent="0.2">
      <c r="A600" s="9">
        <v>44802</v>
      </c>
      <c r="B600" s="4" t="s">
        <v>225</v>
      </c>
      <c r="C600" s="8">
        <v>44774</v>
      </c>
      <c r="D600" s="4" t="s">
        <v>182</v>
      </c>
      <c r="E600" s="14">
        <f>IF(SUMIFS('Daily NSE Equity Futures'!$I:$I,'Daily NSE Equity Futures'!$A:$A,$A600)=0,"",SUMIFS('Daily NSE Equity Futures'!$I:$I,'Daily NSE Equity Futures'!$A:$A,$A600))</f>
        <v>904.68179999999995</v>
      </c>
      <c r="F600" s="6">
        <f>IF(SUMIFS('Daily BSE Equity Futures'!$I:$I,'Daily BSE Equity Futures'!$A:$A,$A600)=0,"",SUMIFS('Daily BSE Equity Futures'!$I:$I,'Daily BSE Equity Futures'!$A:$A,$A600))</f>
        <v>1.8E-3</v>
      </c>
      <c r="G600" s="6">
        <f t="shared" si="108"/>
        <v>904.68359999999996</v>
      </c>
      <c r="H600" s="15">
        <f t="shared" si="109"/>
        <v>0.99999801035411717</v>
      </c>
      <c r="I600" s="15">
        <f t="shared" si="110"/>
        <v>1.9896458828257747E-6</v>
      </c>
      <c r="J600" s="20" t="str">
        <f t="shared" si="111"/>
        <v/>
      </c>
      <c r="K600" s="15" t="str">
        <f t="shared" si="112"/>
        <v/>
      </c>
      <c r="L600" s="15" t="str">
        <f t="shared" si="113"/>
        <v/>
      </c>
      <c r="M600" s="15">
        <f t="shared" si="117"/>
        <v>-1.1441157000988467E-2</v>
      </c>
      <c r="N600" s="15">
        <f t="shared" si="118"/>
        <v>-5.2631578947368474E-2</v>
      </c>
      <c r="O600" s="15">
        <f t="shared" si="119"/>
        <v>-1.1441242518609673E-2</v>
      </c>
      <c r="P600" s="18">
        <f>IF(SUMIFS('Daily NSE Equity Futures'!$J:$J,'Daily NSE Equity Futures'!$A:$A,$A600)=0,"",SUMIFS('Daily NSE Equity Futures'!$J:$J,'Daily NSE Equity Futures'!$A:$A,$A600))</f>
        <v>1181723</v>
      </c>
      <c r="Q600" s="7">
        <f>IF(SUMIFS('Daily BSE Equity Futures'!$J:$J,'Daily BSE Equity Futures'!$A:$A,$A600)=0,"",SUMIFS('Daily BSE Equity Futures'!$J:$J,'Daily BSE Equity Futures'!$A:$A,$A600))</f>
        <v>2</v>
      </c>
      <c r="R600" s="7">
        <f t="shared" si="114"/>
        <v>1181725</v>
      </c>
      <c r="S600" s="19">
        <f t="shared" si="115"/>
        <v>0.99999830755886521</v>
      </c>
      <c r="T600" s="19">
        <f t="shared" si="116"/>
        <v>1.6924411347817809E-6</v>
      </c>
    </row>
    <row r="601" spans="1:20" x14ac:dyDescent="0.2">
      <c r="A601" s="9">
        <v>44803</v>
      </c>
      <c r="B601" s="4" t="s">
        <v>223</v>
      </c>
      <c r="C601" s="8">
        <v>44774</v>
      </c>
      <c r="D601" s="4" t="s">
        <v>182</v>
      </c>
      <c r="E601" s="14">
        <f>IF(SUMIFS('Daily NSE Equity Futures'!$I:$I,'Daily NSE Equity Futures'!$A:$A,$A601)=0,"",SUMIFS('Daily NSE Equity Futures'!$I:$I,'Daily NSE Equity Futures'!$A:$A,$A601))</f>
        <v>1046.3558</v>
      </c>
      <c r="F601" s="6">
        <f>IF(SUMIFS('Daily BSE Equity Futures'!$I:$I,'Daily BSE Equity Futures'!$A:$A,$A601)=0,"",SUMIFS('Daily BSE Equity Futures'!$I:$I,'Daily BSE Equity Futures'!$A:$A,$A601))</f>
        <v>3.7000000000000002E-3</v>
      </c>
      <c r="G601" s="6">
        <f t="shared" si="108"/>
        <v>1046.3595</v>
      </c>
      <c r="H601" s="15">
        <f t="shared" si="109"/>
        <v>0.99999646393041786</v>
      </c>
      <c r="I601" s="15">
        <f t="shared" si="110"/>
        <v>3.5360695822038219E-6</v>
      </c>
      <c r="J601" s="20">
        <f t="shared" si="111"/>
        <v>0.26258603118323465</v>
      </c>
      <c r="K601" s="15">
        <f t="shared" si="112"/>
        <v>0.37037037037037046</v>
      </c>
      <c r="L601" s="15">
        <f t="shared" si="113"/>
        <v>0.26258638233884124</v>
      </c>
      <c r="M601" s="15">
        <f t="shared" si="117"/>
        <v>0.15660091758229266</v>
      </c>
      <c r="N601" s="15">
        <f t="shared" si="118"/>
        <v>1.0555555555555558</v>
      </c>
      <c r="O601" s="15">
        <f t="shared" si="119"/>
        <v>0.15660270618368677</v>
      </c>
      <c r="P601" s="18">
        <f>IF(SUMIFS('Daily NSE Equity Futures'!$J:$J,'Daily NSE Equity Futures'!$A:$A,$A601)=0,"",SUMIFS('Daily NSE Equity Futures'!$J:$J,'Daily NSE Equity Futures'!$A:$A,$A601))</f>
        <v>1325925</v>
      </c>
      <c r="Q601" s="7">
        <f>IF(SUMIFS('Daily BSE Equity Futures'!$J:$J,'Daily BSE Equity Futures'!$A:$A,$A601)=0,"",SUMIFS('Daily BSE Equity Futures'!$J:$J,'Daily BSE Equity Futures'!$A:$A,$A601))</f>
        <v>4</v>
      </c>
      <c r="R601" s="7">
        <f t="shared" si="114"/>
        <v>1325929</v>
      </c>
      <c r="S601" s="19">
        <f t="shared" si="115"/>
        <v>0.99999698324721764</v>
      </c>
      <c r="T601" s="19">
        <f t="shared" si="116"/>
        <v>3.0167527823888005E-6</v>
      </c>
    </row>
    <row r="602" spans="1:20" x14ac:dyDescent="0.2">
      <c r="A602" s="9">
        <v>44805</v>
      </c>
      <c r="B602" s="4" t="s">
        <v>224</v>
      </c>
      <c r="C602" s="8">
        <v>44805</v>
      </c>
      <c r="D602" s="4" t="s">
        <v>182</v>
      </c>
      <c r="E602" s="14">
        <f>IF(SUMIFS('Daily NSE Equity Futures'!$I:$I,'Daily NSE Equity Futures'!$A:$A,$A602)=0,"",SUMIFS('Daily NSE Equity Futures'!$I:$I,'Daily NSE Equity Futures'!$A:$A,$A602))</f>
        <v>1198.2551000000001</v>
      </c>
      <c r="F602" s="6">
        <f>IF(SUMIFS('Daily BSE Equity Futures'!$I:$I,'Daily BSE Equity Futures'!$A:$A,$A602)=0,"",SUMIFS('Daily BSE Equity Futures'!$I:$I,'Daily BSE Equity Futures'!$A:$A,$A602))</f>
        <v>4.5999999999999999E-3</v>
      </c>
      <c r="G602" s="6">
        <f t="shared" si="108"/>
        <v>1198.2597000000001</v>
      </c>
      <c r="H602" s="15">
        <f t="shared" si="109"/>
        <v>0.9999961610993009</v>
      </c>
      <c r="I602" s="15">
        <f t="shared" si="110"/>
        <v>3.8389006990721629E-6</v>
      </c>
      <c r="J602" s="20">
        <f t="shared" si="111"/>
        <v>0.25647882078037787</v>
      </c>
      <c r="K602" s="15">
        <f t="shared" si="112"/>
        <v>0.2777777777777779</v>
      </c>
      <c r="L602" s="15">
        <f t="shared" si="113"/>
        <v>0.25647890118205052</v>
      </c>
      <c r="M602" s="15">
        <f t="shared" si="117"/>
        <v>0.1451698361111966</v>
      </c>
      <c r="N602" s="15">
        <f t="shared" si="118"/>
        <v>0.2432432432432432</v>
      </c>
      <c r="O602" s="15">
        <f t="shared" si="119"/>
        <v>0.14517018290558847</v>
      </c>
      <c r="P602" s="18">
        <f>IF(SUMIFS('Daily NSE Equity Futures'!$J:$J,'Daily NSE Equity Futures'!$A:$A,$A602)=0,"",SUMIFS('Daily NSE Equity Futures'!$J:$J,'Daily NSE Equity Futures'!$A:$A,$A602))</f>
        <v>1484708</v>
      </c>
      <c r="Q602" s="7">
        <f>IF(SUMIFS('Daily BSE Equity Futures'!$J:$J,'Daily BSE Equity Futures'!$A:$A,$A602)=0,"",SUMIFS('Daily BSE Equity Futures'!$J:$J,'Daily BSE Equity Futures'!$A:$A,$A602))</f>
        <v>5</v>
      </c>
      <c r="R602" s="7">
        <f t="shared" si="114"/>
        <v>1484713</v>
      </c>
      <c r="S602" s="19">
        <f t="shared" si="115"/>
        <v>0.99999663234577996</v>
      </c>
      <c r="T602" s="19">
        <f t="shared" si="116"/>
        <v>3.3676542200411797E-6</v>
      </c>
    </row>
    <row r="603" spans="1:20" x14ac:dyDescent="0.2">
      <c r="A603" s="9">
        <v>44806</v>
      </c>
      <c r="B603" s="4" t="s">
        <v>222</v>
      </c>
      <c r="C603" s="8">
        <v>44805</v>
      </c>
      <c r="D603" s="4" t="s">
        <v>182</v>
      </c>
      <c r="E603" s="14">
        <f>IF(SUMIFS('Daily NSE Equity Futures'!$I:$I,'Daily NSE Equity Futures'!$A:$A,$A603)=0,"",SUMIFS('Daily NSE Equity Futures'!$I:$I,'Daily NSE Equity Futures'!$A:$A,$A603))</f>
        <v>924.05640000000005</v>
      </c>
      <c r="F603" s="6">
        <f>IF(SUMIFS('Daily BSE Equity Futures'!$I:$I,'Daily BSE Equity Futures'!$A:$A,$A603)=0,"",SUMIFS('Daily BSE Equity Futures'!$I:$I,'Daily BSE Equity Futures'!$A:$A,$A603))</f>
        <v>2.8E-3</v>
      </c>
      <c r="G603" s="6">
        <f t="shared" si="108"/>
        <v>924.05920000000003</v>
      </c>
      <c r="H603" s="15">
        <f t="shared" si="109"/>
        <v>0.99999696989110654</v>
      </c>
      <c r="I603" s="15">
        <f t="shared" si="110"/>
        <v>3.0301088934561768E-6</v>
      </c>
      <c r="J603" s="20">
        <f t="shared" si="111"/>
        <v>0.16431354864511283</v>
      </c>
      <c r="K603" s="15" t="str">
        <f t="shared" si="112"/>
        <v/>
      </c>
      <c r="L603" s="15" t="str">
        <f t="shared" si="113"/>
        <v/>
      </c>
      <c r="M603" s="15">
        <f t="shared" si="117"/>
        <v>-0.2288316569651988</v>
      </c>
      <c r="N603" s="15">
        <f t="shared" si="118"/>
        <v>-0.39130434782608692</v>
      </c>
      <c r="O603" s="15">
        <f t="shared" si="119"/>
        <v>-0.22883228068172534</v>
      </c>
      <c r="P603" s="18">
        <f>IF(SUMIFS('Daily NSE Equity Futures'!$J:$J,'Daily NSE Equity Futures'!$A:$A,$A603)=0,"",SUMIFS('Daily NSE Equity Futures'!$J:$J,'Daily NSE Equity Futures'!$A:$A,$A603))</f>
        <v>1140816</v>
      </c>
      <c r="Q603" s="7">
        <f>IF(SUMIFS('Daily BSE Equity Futures'!$J:$J,'Daily BSE Equity Futures'!$A:$A,$A603)=0,"",SUMIFS('Daily BSE Equity Futures'!$J:$J,'Daily BSE Equity Futures'!$A:$A,$A603))</f>
        <v>3</v>
      </c>
      <c r="R603" s="7">
        <f t="shared" si="114"/>
        <v>1140819</v>
      </c>
      <c r="S603" s="19">
        <f t="shared" si="115"/>
        <v>0.99999737031027713</v>
      </c>
      <c r="T603" s="19">
        <f t="shared" si="116"/>
        <v>2.6296897229095937E-6</v>
      </c>
    </row>
    <row r="604" spans="1:20" x14ac:dyDescent="0.2">
      <c r="A604" s="9">
        <v>44809</v>
      </c>
      <c r="B604" s="4" t="s">
        <v>225</v>
      </c>
      <c r="C604" s="8">
        <v>44805</v>
      </c>
      <c r="D604" s="4" t="s">
        <v>182</v>
      </c>
      <c r="E604" s="14">
        <f>IF(SUMIFS('Daily NSE Equity Futures'!$I:$I,'Daily NSE Equity Futures'!$A:$A,$A604)=0,"",SUMIFS('Daily NSE Equity Futures'!$I:$I,'Daily NSE Equity Futures'!$A:$A,$A604))</f>
        <v>752.32140000000004</v>
      </c>
      <c r="F604" s="6">
        <f>IF(SUMIFS('Daily BSE Equity Futures'!$I:$I,'Daily BSE Equity Futures'!$A:$A,$A604)=0,"",SUMIFS('Daily BSE Equity Futures'!$I:$I,'Daily BSE Equity Futures'!$A:$A,$A604))</f>
        <v>8.9999999999999998E-4</v>
      </c>
      <c r="G604" s="6">
        <f t="shared" si="108"/>
        <v>752.32230000000004</v>
      </c>
      <c r="H604" s="15">
        <f t="shared" si="109"/>
        <v>0.99999880370421024</v>
      </c>
      <c r="I604" s="15">
        <f t="shared" si="110"/>
        <v>1.1962957897167211E-6</v>
      </c>
      <c r="J604" s="20" t="str">
        <f t="shared" si="111"/>
        <v/>
      </c>
      <c r="K604" s="15" t="str">
        <f t="shared" si="112"/>
        <v/>
      </c>
      <c r="L604" s="15" t="str">
        <f t="shared" si="113"/>
        <v/>
      </c>
      <c r="M604" s="15">
        <f t="shared" si="117"/>
        <v>-0.18584904557773751</v>
      </c>
      <c r="N604" s="15">
        <f t="shared" si="118"/>
        <v>-0.6785714285714286</v>
      </c>
      <c r="O604" s="15">
        <f t="shared" si="119"/>
        <v>-0.18585053858021217</v>
      </c>
      <c r="P604" s="18">
        <f>IF(SUMIFS('Daily NSE Equity Futures'!$J:$J,'Daily NSE Equity Futures'!$A:$A,$A604)=0,"",SUMIFS('Daily NSE Equity Futures'!$J:$J,'Daily NSE Equity Futures'!$A:$A,$A604))</f>
        <v>935025</v>
      </c>
      <c r="Q604" s="7">
        <f>IF(SUMIFS('Daily BSE Equity Futures'!$J:$J,'Daily BSE Equity Futures'!$A:$A,$A604)=0,"",SUMIFS('Daily BSE Equity Futures'!$J:$J,'Daily BSE Equity Futures'!$A:$A,$A604))</f>
        <v>1</v>
      </c>
      <c r="R604" s="7">
        <f t="shared" si="114"/>
        <v>935026</v>
      </c>
      <c r="S604" s="19">
        <f t="shared" si="115"/>
        <v>0.99999893051102318</v>
      </c>
      <c r="T604" s="19">
        <f t="shared" si="116"/>
        <v>1.0694889767771164E-6</v>
      </c>
    </row>
    <row r="605" spans="1:20" x14ac:dyDescent="0.2">
      <c r="A605" s="9">
        <v>44810</v>
      </c>
      <c r="B605" s="4" t="s">
        <v>223</v>
      </c>
      <c r="C605" s="8">
        <v>44805</v>
      </c>
      <c r="D605" s="4" t="s">
        <v>182</v>
      </c>
      <c r="E605" s="14">
        <f>IF(SUMIFS('Daily NSE Equity Futures'!$I:$I,'Daily NSE Equity Futures'!$A:$A,$A605)=0,"",SUMIFS('Daily NSE Equity Futures'!$I:$I,'Daily NSE Equity Futures'!$A:$A,$A605))</f>
        <v>883.2627</v>
      </c>
      <c r="F605" s="6">
        <f>IF(SUMIFS('Daily BSE Equity Futures'!$I:$I,'Daily BSE Equity Futures'!$A:$A,$A605)=0,"",SUMIFS('Daily BSE Equity Futures'!$I:$I,'Daily BSE Equity Futures'!$A:$A,$A605))</f>
        <v>1.9E-3</v>
      </c>
      <c r="G605" s="6">
        <f t="shared" si="108"/>
        <v>883.26459999999997</v>
      </c>
      <c r="H605" s="15">
        <f t="shared" si="109"/>
        <v>0.99999784888922305</v>
      </c>
      <c r="I605" s="15">
        <f t="shared" si="110"/>
        <v>2.151110776997063E-6</v>
      </c>
      <c r="J605" s="20">
        <f t="shared" si="111"/>
        <v>0.1825281814537798</v>
      </c>
      <c r="K605" s="15" t="str">
        <f t="shared" si="112"/>
        <v/>
      </c>
      <c r="L605" s="15" t="str">
        <f t="shared" si="113"/>
        <v/>
      </c>
      <c r="M605" s="15">
        <f t="shared" si="117"/>
        <v>0.17404968142604993</v>
      </c>
      <c r="N605" s="15">
        <f t="shared" si="118"/>
        <v>1.1111111111111112</v>
      </c>
      <c r="O605" s="15">
        <f t="shared" si="119"/>
        <v>0.17405080242869309</v>
      </c>
      <c r="P605" s="18">
        <f>IF(SUMIFS('Daily NSE Equity Futures'!$J:$J,'Daily NSE Equity Futures'!$A:$A,$A605)=0,"",SUMIFS('Daily NSE Equity Futures'!$J:$J,'Daily NSE Equity Futures'!$A:$A,$A605))</f>
        <v>1099866</v>
      </c>
      <c r="Q605" s="7">
        <f>IF(SUMIFS('Daily BSE Equity Futures'!$J:$J,'Daily BSE Equity Futures'!$A:$A,$A605)=0,"",SUMIFS('Daily BSE Equity Futures'!$J:$J,'Daily BSE Equity Futures'!$A:$A,$A605))</f>
        <v>2</v>
      </c>
      <c r="R605" s="7">
        <f t="shared" si="114"/>
        <v>1099868</v>
      </c>
      <c r="S605" s="19">
        <f t="shared" si="115"/>
        <v>0.99999818159997378</v>
      </c>
      <c r="T605" s="19">
        <f t="shared" si="116"/>
        <v>1.8184000261849604E-6</v>
      </c>
    </row>
    <row r="606" spans="1:20" x14ac:dyDescent="0.2">
      <c r="A606" s="9">
        <v>44811</v>
      </c>
      <c r="B606" s="4" t="s">
        <v>221</v>
      </c>
      <c r="C606" s="8">
        <v>44805</v>
      </c>
      <c r="D606" s="4" t="s">
        <v>182</v>
      </c>
      <c r="E606" s="14">
        <f>IF(SUMIFS('Daily NSE Equity Futures'!$I:$I,'Daily NSE Equity Futures'!$A:$A,$A606)=0,"",SUMIFS('Daily NSE Equity Futures'!$I:$I,'Daily NSE Equity Futures'!$A:$A,$A606))</f>
        <v>892.06799999999998</v>
      </c>
      <c r="F606" s="6">
        <f>IF(SUMIFS('Daily BSE Equity Futures'!$I:$I,'Daily BSE Equity Futures'!$A:$A,$A606)=0,"",SUMIFS('Daily BSE Equity Futures'!$I:$I,'Daily BSE Equity Futures'!$A:$A,$A606))</f>
        <v>1.9E-3</v>
      </c>
      <c r="G606" s="6">
        <f t="shared" si="108"/>
        <v>892.06989999999996</v>
      </c>
      <c r="H606" s="15">
        <f t="shared" si="109"/>
        <v>0.99999787012206109</v>
      </c>
      <c r="I606" s="15">
        <f t="shared" si="110"/>
        <v>2.1298779389372965E-6</v>
      </c>
      <c r="J606" s="20">
        <f t="shared" si="111"/>
        <v>5.7900679262437027E-3</v>
      </c>
      <c r="K606" s="15" t="str">
        <f t="shared" si="112"/>
        <v/>
      </c>
      <c r="L606" s="15" t="str">
        <f t="shared" si="113"/>
        <v/>
      </c>
      <c r="M606" s="15">
        <f t="shared" si="117"/>
        <v>9.9690612996563566E-3</v>
      </c>
      <c r="N606" s="15">
        <f t="shared" si="118"/>
        <v>0</v>
      </c>
      <c r="O606" s="15">
        <f t="shared" si="119"/>
        <v>9.9690398551011139E-3</v>
      </c>
      <c r="P606" s="18">
        <f>IF(SUMIFS('Daily NSE Equity Futures'!$J:$J,'Daily NSE Equity Futures'!$A:$A,$A606)=0,"",SUMIFS('Daily NSE Equity Futures'!$J:$J,'Daily NSE Equity Futures'!$A:$A,$A606))</f>
        <v>1136533</v>
      </c>
      <c r="Q606" s="7">
        <f>IF(SUMIFS('Daily BSE Equity Futures'!$J:$J,'Daily BSE Equity Futures'!$A:$A,$A606)=0,"",SUMIFS('Daily BSE Equity Futures'!$J:$J,'Daily BSE Equity Futures'!$A:$A,$A606))</f>
        <v>2</v>
      </c>
      <c r="R606" s="7">
        <f t="shared" si="114"/>
        <v>1136535</v>
      </c>
      <c r="S606" s="19">
        <f t="shared" si="115"/>
        <v>0.99999824026536799</v>
      </c>
      <c r="T606" s="19">
        <f t="shared" si="116"/>
        <v>1.7597346320174918E-6</v>
      </c>
    </row>
    <row r="607" spans="1:20" x14ac:dyDescent="0.2">
      <c r="A607" s="9">
        <v>44812</v>
      </c>
      <c r="B607" s="4" t="s">
        <v>224</v>
      </c>
      <c r="C607" s="8">
        <v>44805</v>
      </c>
      <c r="D607" s="4" t="s">
        <v>182</v>
      </c>
      <c r="E607" s="14">
        <f>IF(SUMIFS('Daily NSE Equity Futures'!$I:$I,'Daily NSE Equity Futures'!$A:$A,$A607)=0,"",SUMIFS('Daily NSE Equity Futures'!$I:$I,'Daily NSE Equity Futures'!$A:$A,$A607))</f>
        <v>918.23779999999999</v>
      </c>
      <c r="F607" s="6">
        <f>IF(SUMIFS('Daily BSE Equity Futures'!$I:$I,'Daily BSE Equity Futures'!$A:$A,$A607)=0,"",SUMIFS('Daily BSE Equity Futures'!$I:$I,'Daily BSE Equity Futures'!$A:$A,$A607))</f>
        <v>1.9E-3</v>
      </c>
      <c r="G607" s="6">
        <f t="shared" si="108"/>
        <v>918.23969999999997</v>
      </c>
      <c r="H607" s="15">
        <f t="shared" si="109"/>
        <v>0.99999793082350941</v>
      </c>
      <c r="I607" s="15">
        <f t="shared" si="110"/>
        <v>2.0691764906265762E-6</v>
      </c>
      <c r="J607" s="20">
        <f t="shared" si="111"/>
        <v>0.16365304087837873</v>
      </c>
      <c r="K607" s="15" t="str">
        <f t="shared" si="112"/>
        <v/>
      </c>
      <c r="L607" s="15" t="str">
        <f t="shared" si="113"/>
        <v/>
      </c>
      <c r="M607" s="15">
        <f t="shared" si="117"/>
        <v>2.9336104422532872E-2</v>
      </c>
      <c r="N607" s="15">
        <f t="shared" si="118"/>
        <v>0</v>
      </c>
      <c r="O607" s="15">
        <f t="shared" si="119"/>
        <v>2.9336041940211111E-2</v>
      </c>
      <c r="P607" s="18">
        <f>IF(SUMIFS('Daily NSE Equity Futures'!$J:$J,'Daily NSE Equity Futures'!$A:$A,$A607)=0,"",SUMIFS('Daily NSE Equity Futures'!$J:$J,'Daily NSE Equity Futures'!$A:$A,$A607))</f>
        <v>1155800</v>
      </c>
      <c r="Q607" s="7">
        <f>IF(SUMIFS('Daily BSE Equity Futures'!$J:$J,'Daily BSE Equity Futures'!$A:$A,$A607)=0,"",SUMIFS('Daily BSE Equity Futures'!$J:$J,'Daily BSE Equity Futures'!$A:$A,$A607))</f>
        <v>2</v>
      </c>
      <c r="R607" s="7">
        <f t="shared" si="114"/>
        <v>1155802</v>
      </c>
      <c r="S607" s="19">
        <f t="shared" si="115"/>
        <v>0.99999826959981031</v>
      </c>
      <c r="T607" s="19">
        <f t="shared" si="116"/>
        <v>1.7304001896518608E-6</v>
      </c>
    </row>
    <row r="608" spans="1:20" x14ac:dyDescent="0.2">
      <c r="A608" s="9">
        <v>44813</v>
      </c>
      <c r="B608" s="4" t="s">
        <v>222</v>
      </c>
      <c r="C608" s="8">
        <v>44805</v>
      </c>
      <c r="D608" s="4" t="s">
        <v>182</v>
      </c>
      <c r="E608" s="14">
        <f>IF(SUMIFS('Daily NSE Equity Futures'!$I:$I,'Daily NSE Equity Futures'!$A:$A,$A608)=0,"",SUMIFS('Daily NSE Equity Futures'!$I:$I,'Daily NSE Equity Futures'!$A:$A,$A608))</f>
        <v>948.11300000000006</v>
      </c>
      <c r="F608" s="6">
        <f>IF(SUMIFS('Daily BSE Equity Futures'!$I:$I,'Daily BSE Equity Futures'!$A:$A,$A608)=0,"",SUMIFS('Daily BSE Equity Futures'!$I:$I,'Daily BSE Equity Futures'!$A:$A,$A608))</f>
        <v>1.9E-3</v>
      </c>
      <c r="G608" s="6">
        <f t="shared" si="108"/>
        <v>948.11490000000003</v>
      </c>
      <c r="H608" s="15">
        <f t="shared" si="109"/>
        <v>0.99999799602347772</v>
      </c>
      <c r="I608" s="15">
        <f t="shared" si="110"/>
        <v>2.0039765222548446E-6</v>
      </c>
      <c r="J608" s="20">
        <f t="shared" si="111"/>
        <v>0.48741993520140214</v>
      </c>
      <c r="K608" s="15" t="str">
        <f t="shared" si="112"/>
        <v/>
      </c>
      <c r="L608" s="15" t="str">
        <f t="shared" si="113"/>
        <v/>
      </c>
      <c r="M608" s="15">
        <f t="shared" si="117"/>
        <v>3.2535362843916893E-2</v>
      </c>
      <c r="N608" s="15">
        <f t="shared" si="118"/>
        <v>0</v>
      </c>
      <c r="O608" s="15">
        <f t="shared" si="119"/>
        <v>3.2535295522509111E-2</v>
      </c>
      <c r="P608" s="18">
        <f>IF(SUMIFS('Daily NSE Equity Futures'!$J:$J,'Daily NSE Equity Futures'!$A:$A,$A608)=0,"",SUMIFS('Daily NSE Equity Futures'!$J:$J,'Daily NSE Equity Futures'!$A:$A,$A608))</f>
        <v>1210838</v>
      </c>
      <c r="Q608" s="7">
        <f>IF(SUMIFS('Daily BSE Equity Futures'!$J:$J,'Daily BSE Equity Futures'!$A:$A,$A608)=0,"",SUMIFS('Daily BSE Equity Futures'!$J:$J,'Daily BSE Equity Futures'!$A:$A,$A608))</f>
        <v>2</v>
      </c>
      <c r="R608" s="7">
        <f t="shared" si="114"/>
        <v>1210840</v>
      </c>
      <c r="S608" s="19">
        <f t="shared" si="115"/>
        <v>0.99999834825410461</v>
      </c>
      <c r="T608" s="19">
        <f t="shared" si="116"/>
        <v>1.65174589541145E-6</v>
      </c>
    </row>
    <row r="609" spans="1:20" x14ac:dyDescent="0.2">
      <c r="A609" s="9">
        <v>44816</v>
      </c>
      <c r="B609" s="4" t="s">
        <v>225</v>
      </c>
      <c r="C609" s="8">
        <v>44805</v>
      </c>
      <c r="D609" s="4" t="s">
        <v>182</v>
      </c>
      <c r="E609" s="14">
        <f>IF(SUMIFS('Daily NSE Equity Futures'!$I:$I,'Daily NSE Equity Futures'!$A:$A,$A609)=0,"",SUMIFS('Daily NSE Equity Futures'!$I:$I,'Daily NSE Equity Futures'!$A:$A,$A609))</f>
        <v>822.20140000000004</v>
      </c>
      <c r="F609" s="6">
        <f>IF(SUMIFS('Daily BSE Equity Futures'!$I:$I,'Daily BSE Equity Futures'!$A:$A,$A609)=0,"",SUMIFS('Daily BSE Equity Futures'!$I:$I,'Daily BSE Equity Futures'!$A:$A,$A609))</f>
        <v>8.9999999999999998E-4</v>
      </c>
      <c r="G609" s="6">
        <f t="shared" si="108"/>
        <v>822.20230000000004</v>
      </c>
      <c r="H609" s="15">
        <f t="shared" si="109"/>
        <v>0.99999890537888303</v>
      </c>
      <c r="I609" s="15">
        <f t="shared" si="110"/>
        <v>1.0946211169684151E-6</v>
      </c>
      <c r="J609" s="20" t="str">
        <f t="shared" si="111"/>
        <v/>
      </c>
      <c r="K609" s="15" t="str">
        <f t="shared" si="112"/>
        <v/>
      </c>
      <c r="L609" s="15" t="str">
        <f t="shared" si="113"/>
        <v/>
      </c>
      <c r="M609" s="15">
        <f t="shared" si="117"/>
        <v>-0.13280231364826767</v>
      </c>
      <c r="N609" s="15">
        <f t="shared" si="118"/>
        <v>-0.52631578947368429</v>
      </c>
      <c r="O609" s="15">
        <f t="shared" si="119"/>
        <v>-0.13280310224003444</v>
      </c>
      <c r="P609" s="18">
        <f>IF(SUMIFS('Daily NSE Equity Futures'!$J:$J,'Daily NSE Equity Futures'!$A:$A,$A609)=0,"",SUMIFS('Daily NSE Equity Futures'!$J:$J,'Daily NSE Equity Futures'!$A:$A,$A609))</f>
        <v>1049165</v>
      </c>
      <c r="Q609" s="7">
        <f>IF(SUMIFS('Daily BSE Equity Futures'!$J:$J,'Daily BSE Equity Futures'!$A:$A,$A609)=0,"",SUMIFS('Daily BSE Equity Futures'!$J:$J,'Daily BSE Equity Futures'!$A:$A,$A609))</f>
        <v>1</v>
      </c>
      <c r="R609" s="7">
        <f t="shared" si="114"/>
        <v>1049166</v>
      </c>
      <c r="S609" s="19">
        <f t="shared" si="115"/>
        <v>0.99999904686198371</v>
      </c>
      <c r="T609" s="19">
        <f t="shared" si="116"/>
        <v>9.5313801629103499E-7</v>
      </c>
    </row>
    <row r="610" spans="1:20" x14ac:dyDescent="0.2">
      <c r="A610" s="9">
        <v>44817</v>
      </c>
      <c r="B610" s="4" t="s">
        <v>223</v>
      </c>
      <c r="C610" s="8">
        <v>44805</v>
      </c>
      <c r="D610" s="4" t="s">
        <v>182</v>
      </c>
      <c r="E610" s="14">
        <f>IF(SUMIFS('Daily NSE Equity Futures'!$I:$I,'Daily NSE Equity Futures'!$A:$A,$A610)=0,"",SUMIFS('Daily NSE Equity Futures'!$I:$I,'Daily NSE Equity Futures'!$A:$A,$A610))</f>
        <v>855.34590000000003</v>
      </c>
      <c r="F610" s="6">
        <f>IF(SUMIFS('Daily BSE Equity Futures'!$I:$I,'Daily BSE Equity Futures'!$A:$A,$A610)=0,"",SUMIFS('Daily BSE Equity Futures'!$I:$I,'Daily BSE Equity Futures'!$A:$A,$A610))</f>
        <v>1E-3</v>
      </c>
      <c r="G610" s="6">
        <f t="shared" si="108"/>
        <v>855.34690000000001</v>
      </c>
      <c r="H610" s="15">
        <f t="shared" si="109"/>
        <v>0.99999883088370345</v>
      </c>
      <c r="I610" s="15">
        <f t="shared" si="110"/>
        <v>1.1691162965575721E-6</v>
      </c>
      <c r="J610" s="20">
        <f t="shared" si="111"/>
        <v>0.29170895113968731</v>
      </c>
      <c r="K610" s="15" t="str">
        <f t="shared" si="112"/>
        <v/>
      </c>
      <c r="L610" s="15" t="str">
        <f t="shared" si="113"/>
        <v/>
      </c>
      <c r="M610" s="15">
        <f t="shared" si="117"/>
        <v>4.0311899249989125E-2</v>
      </c>
      <c r="N610" s="15">
        <f t="shared" si="118"/>
        <v>0.11111111111111116</v>
      </c>
      <c r="O610" s="15">
        <f t="shared" si="119"/>
        <v>4.0311976748301337E-2</v>
      </c>
      <c r="P610" s="18">
        <f>IF(SUMIFS('Daily NSE Equity Futures'!$J:$J,'Daily NSE Equity Futures'!$A:$A,$A610)=0,"",SUMIFS('Daily NSE Equity Futures'!$J:$J,'Daily NSE Equity Futures'!$A:$A,$A610))</f>
        <v>1066811</v>
      </c>
      <c r="Q610" s="7">
        <f>IF(SUMIFS('Daily BSE Equity Futures'!$J:$J,'Daily BSE Equity Futures'!$A:$A,$A610)=0,"",SUMIFS('Daily BSE Equity Futures'!$J:$J,'Daily BSE Equity Futures'!$A:$A,$A610))</f>
        <v>1</v>
      </c>
      <c r="R610" s="7">
        <f t="shared" si="114"/>
        <v>1066812</v>
      </c>
      <c r="S610" s="19">
        <f t="shared" si="115"/>
        <v>0.99999906262771698</v>
      </c>
      <c r="T610" s="19">
        <f t="shared" si="116"/>
        <v>9.3737228302643765E-7</v>
      </c>
    </row>
    <row r="611" spans="1:20" x14ac:dyDescent="0.2">
      <c r="A611" s="9">
        <v>44818</v>
      </c>
      <c r="B611" s="4" t="s">
        <v>221</v>
      </c>
      <c r="C611" s="8">
        <v>44805</v>
      </c>
      <c r="D611" s="4" t="s">
        <v>182</v>
      </c>
      <c r="E611" s="14">
        <f>IF(SUMIFS('Daily NSE Equity Futures'!$I:$I,'Daily NSE Equity Futures'!$A:$A,$A611)=0,"",SUMIFS('Daily NSE Equity Futures'!$I:$I,'Daily NSE Equity Futures'!$A:$A,$A611))</f>
        <v>1287.1274000000001</v>
      </c>
      <c r="F611" s="6">
        <f>IF(SUMIFS('Daily BSE Equity Futures'!$I:$I,'Daily BSE Equity Futures'!$A:$A,$A611)=0,"",SUMIFS('Daily BSE Equity Futures'!$I:$I,'Daily BSE Equity Futures'!$A:$A,$A611))</f>
        <v>2.8E-3</v>
      </c>
      <c r="G611" s="6">
        <f t="shared" si="108"/>
        <v>1287.1302000000001</v>
      </c>
      <c r="H611" s="15">
        <f t="shared" si="109"/>
        <v>0.99999782461789799</v>
      </c>
      <c r="I611" s="15">
        <f t="shared" si="110"/>
        <v>2.1753821019816021E-6</v>
      </c>
      <c r="J611" s="20">
        <f t="shared" si="111"/>
        <v>0.66798273504209282</v>
      </c>
      <c r="K611" s="15" t="str">
        <f t="shared" si="112"/>
        <v/>
      </c>
      <c r="L611" s="15" t="str">
        <f t="shared" si="113"/>
        <v/>
      </c>
      <c r="M611" s="15">
        <f t="shared" si="117"/>
        <v>0.50480337837592959</v>
      </c>
      <c r="N611" s="15">
        <f t="shared" si="118"/>
        <v>1.7999999999999998</v>
      </c>
      <c r="O611" s="15">
        <f t="shared" si="119"/>
        <v>0.50480489261140726</v>
      </c>
      <c r="P611" s="18">
        <f>IF(SUMIFS('Daily NSE Equity Futures'!$J:$J,'Daily NSE Equity Futures'!$A:$A,$A611)=0,"",SUMIFS('Daily NSE Equity Futures'!$J:$J,'Daily NSE Equity Futures'!$A:$A,$A611))</f>
        <v>1622644</v>
      </c>
      <c r="Q611" s="7">
        <f>IF(SUMIFS('Daily BSE Equity Futures'!$J:$J,'Daily BSE Equity Futures'!$A:$A,$A611)=0,"",SUMIFS('Daily BSE Equity Futures'!$J:$J,'Daily BSE Equity Futures'!$A:$A,$A611))</f>
        <v>3</v>
      </c>
      <c r="R611" s="7">
        <f t="shared" si="114"/>
        <v>1622647</v>
      </c>
      <c r="S611" s="19">
        <f t="shared" si="115"/>
        <v>0.99999815116904667</v>
      </c>
      <c r="T611" s="19">
        <f t="shared" si="116"/>
        <v>1.8488309533743322E-6</v>
      </c>
    </row>
    <row r="612" spans="1:20" x14ac:dyDescent="0.2">
      <c r="A612" s="9">
        <v>44819</v>
      </c>
      <c r="B612" s="4" t="s">
        <v>224</v>
      </c>
      <c r="C612" s="8">
        <v>44805</v>
      </c>
      <c r="D612" s="4" t="s">
        <v>182</v>
      </c>
      <c r="E612" s="14">
        <f>IF(SUMIFS('Daily NSE Equity Futures'!$I:$I,'Daily NSE Equity Futures'!$A:$A,$A612)=0,"",SUMIFS('Daily NSE Equity Futures'!$I:$I,'Daily NSE Equity Futures'!$A:$A,$A612))</f>
        <v>1180.5933</v>
      </c>
      <c r="F612" s="6">
        <f>IF(SUMIFS('Daily BSE Equity Futures'!$I:$I,'Daily BSE Equity Futures'!$A:$A,$A612)=0,"",SUMIFS('Daily BSE Equity Futures'!$I:$I,'Daily BSE Equity Futures'!$A:$A,$A612))</f>
        <v>1.9E-3</v>
      </c>
      <c r="G612" s="6">
        <f t="shared" si="108"/>
        <v>1180.5952</v>
      </c>
      <c r="H612" s="15">
        <f t="shared" si="109"/>
        <v>0.99999839064227947</v>
      </c>
      <c r="I612" s="15">
        <f t="shared" si="110"/>
        <v>1.6093577205802632E-6</v>
      </c>
      <c r="J612" s="20">
        <f t="shared" si="111"/>
        <v>0.27088948990172135</v>
      </c>
      <c r="K612" s="15" t="str">
        <f t="shared" si="112"/>
        <v/>
      </c>
      <c r="L612" s="15" t="str">
        <f t="shared" si="113"/>
        <v/>
      </c>
      <c r="M612" s="15">
        <f t="shared" si="117"/>
        <v>-8.276888519349368E-2</v>
      </c>
      <c r="N612" s="15">
        <f t="shared" si="118"/>
        <v>-0.3214285714285714</v>
      </c>
      <c r="O612" s="15">
        <f t="shared" si="119"/>
        <v>-8.2769404369503641E-2</v>
      </c>
      <c r="P612" s="18">
        <f>IF(SUMIFS('Daily NSE Equity Futures'!$J:$J,'Daily NSE Equity Futures'!$A:$A,$A612)=0,"",SUMIFS('Daily NSE Equity Futures'!$J:$J,'Daily NSE Equity Futures'!$A:$A,$A612))</f>
        <v>1442648</v>
      </c>
      <c r="Q612" s="7">
        <f>IF(SUMIFS('Daily BSE Equity Futures'!$J:$J,'Daily BSE Equity Futures'!$A:$A,$A612)=0,"",SUMIFS('Daily BSE Equity Futures'!$J:$J,'Daily BSE Equity Futures'!$A:$A,$A612))</f>
        <v>2</v>
      </c>
      <c r="R612" s="7">
        <f t="shared" si="114"/>
        <v>1442650</v>
      </c>
      <c r="S612" s="19">
        <f t="shared" si="115"/>
        <v>0.99999861366235743</v>
      </c>
      <c r="T612" s="19">
        <f t="shared" si="116"/>
        <v>1.3863376425328389E-6</v>
      </c>
    </row>
    <row r="613" spans="1:20" x14ac:dyDescent="0.2">
      <c r="A613" s="9">
        <v>44820</v>
      </c>
      <c r="B613" s="4" t="s">
        <v>222</v>
      </c>
      <c r="C613" s="8">
        <v>44805</v>
      </c>
      <c r="D613" s="4" t="s">
        <v>182</v>
      </c>
      <c r="E613" s="14">
        <f>IF(SUMIFS('Daily NSE Equity Futures'!$I:$I,'Daily NSE Equity Futures'!$A:$A,$A613)=0,"",SUMIFS('Daily NSE Equity Futures'!$I:$I,'Daily NSE Equity Futures'!$A:$A,$A613))</f>
        <v>1457.5485000000001</v>
      </c>
      <c r="F613" s="6">
        <f>IF(SUMIFS('Daily BSE Equity Futures'!$I:$I,'Daily BSE Equity Futures'!$A:$A,$A613)=0,"",SUMIFS('Daily BSE Equity Futures'!$I:$I,'Daily BSE Equity Futures'!$A:$A,$A613))</f>
        <v>6.4999999999999997E-3</v>
      </c>
      <c r="G613" s="6">
        <f t="shared" si="108"/>
        <v>1457.5550000000001</v>
      </c>
      <c r="H613" s="15">
        <f t="shared" si="109"/>
        <v>0.99999554047703176</v>
      </c>
      <c r="I613" s="15">
        <f t="shared" si="110"/>
        <v>4.4595229682584871E-6</v>
      </c>
      <c r="J613" s="20">
        <f t="shared" si="111"/>
        <v>0.36681469347703666</v>
      </c>
      <c r="K613" s="15" t="str">
        <f t="shared" si="112"/>
        <v/>
      </c>
      <c r="L613" s="15" t="str">
        <f t="shared" si="113"/>
        <v/>
      </c>
      <c r="M613" s="15">
        <f t="shared" si="117"/>
        <v>0.23458984563100604</v>
      </c>
      <c r="N613" s="15">
        <f t="shared" si="118"/>
        <v>2.4210526315789473</v>
      </c>
      <c r="O613" s="15">
        <f t="shared" si="119"/>
        <v>0.23459336443177148</v>
      </c>
      <c r="P613" s="18">
        <f>IF(SUMIFS('Daily NSE Equity Futures'!$J:$J,'Daily NSE Equity Futures'!$A:$A,$A613)=0,"",SUMIFS('Daily NSE Equity Futures'!$J:$J,'Daily NSE Equity Futures'!$A:$A,$A613))</f>
        <v>1845516</v>
      </c>
      <c r="Q613" s="7">
        <f>IF(SUMIFS('Daily BSE Equity Futures'!$J:$J,'Daily BSE Equity Futures'!$A:$A,$A613)=0,"",SUMIFS('Daily BSE Equity Futures'!$J:$J,'Daily BSE Equity Futures'!$A:$A,$A613))</f>
        <v>7</v>
      </c>
      <c r="R613" s="7">
        <f t="shared" si="114"/>
        <v>1845523</v>
      </c>
      <c r="S613" s="19">
        <f t="shared" si="115"/>
        <v>0.99999620703724634</v>
      </c>
      <c r="T613" s="19">
        <f t="shared" si="116"/>
        <v>3.7929627536476111E-6</v>
      </c>
    </row>
    <row r="614" spans="1:20" x14ac:dyDescent="0.2">
      <c r="A614" s="9">
        <v>44823</v>
      </c>
      <c r="B614" s="4" t="s">
        <v>225</v>
      </c>
      <c r="C614" s="8">
        <v>44805</v>
      </c>
      <c r="D614" s="4" t="s">
        <v>182</v>
      </c>
      <c r="E614" s="14">
        <f>IF(SUMIFS('Daily NSE Equity Futures'!$I:$I,'Daily NSE Equity Futures'!$A:$A,$A614)=0,"",SUMIFS('Daily NSE Equity Futures'!$I:$I,'Daily NSE Equity Futures'!$A:$A,$A614))</f>
        <v>1016.5258</v>
      </c>
      <c r="F614" s="6">
        <f>IF(SUMIFS('Daily BSE Equity Futures'!$I:$I,'Daily BSE Equity Futures'!$A:$A,$A614)=0,"",SUMIFS('Daily BSE Equity Futures'!$I:$I,'Daily BSE Equity Futures'!$A:$A,$A614))</f>
        <v>1.9E-3</v>
      </c>
      <c r="G614" s="6">
        <f t="shared" si="108"/>
        <v>1016.5277</v>
      </c>
      <c r="H614" s="15">
        <f t="shared" si="109"/>
        <v>0.99999813089205536</v>
      </c>
      <c r="I614" s="15">
        <f t="shared" si="110"/>
        <v>1.8691079446236439E-6</v>
      </c>
      <c r="J614" s="20" t="str">
        <f t="shared" si="111"/>
        <v/>
      </c>
      <c r="K614" s="15" t="str">
        <f t="shared" si="112"/>
        <v/>
      </c>
      <c r="L614" s="15" t="str">
        <f t="shared" si="113"/>
        <v/>
      </c>
      <c r="M614" s="15">
        <f t="shared" si="117"/>
        <v>-0.30257840476663389</v>
      </c>
      <c r="N614" s="15">
        <f t="shared" si="118"/>
        <v>-0.70769230769230762</v>
      </c>
      <c r="O614" s="15">
        <f t="shared" si="119"/>
        <v>-0.30258021138138869</v>
      </c>
      <c r="P614" s="18">
        <f>IF(SUMIFS('Daily NSE Equity Futures'!$J:$J,'Daily NSE Equity Futures'!$A:$A,$A614)=0,"",SUMIFS('Daily NSE Equity Futures'!$J:$J,'Daily NSE Equity Futures'!$A:$A,$A614))</f>
        <v>1268791</v>
      </c>
      <c r="Q614" s="7">
        <f>IF(SUMIFS('Daily BSE Equity Futures'!$J:$J,'Daily BSE Equity Futures'!$A:$A,$A614)=0,"",SUMIFS('Daily BSE Equity Futures'!$J:$J,'Daily BSE Equity Futures'!$A:$A,$A614))</f>
        <v>2</v>
      </c>
      <c r="R614" s="7">
        <f t="shared" si="114"/>
        <v>1268793</v>
      </c>
      <c r="S614" s="19">
        <f t="shared" si="115"/>
        <v>0.99999842369874359</v>
      </c>
      <c r="T614" s="19">
        <f t="shared" si="116"/>
        <v>1.5763012563909165E-6</v>
      </c>
    </row>
    <row r="615" spans="1:20" x14ac:dyDescent="0.2">
      <c r="A615" s="9">
        <v>44824</v>
      </c>
      <c r="B615" s="4" t="s">
        <v>223</v>
      </c>
      <c r="C615" s="8">
        <v>44805</v>
      </c>
      <c r="D615" s="4" t="s">
        <v>182</v>
      </c>
      <c r="E615" s="14">
        <f>IF(SUMIFS('Daily NSE Equity Futures'!$I:$I,'Daily NSE Equity Futures'!$A:$A,$A615)=0,"",SUMIFS('Daily NSE Equity Futures'!$I:$I,'Daily NSE Equity Futures'!$A:$A,$A615))</f>
        <v>1031.3820000000001</v>
      </c>
      <c r="F615" s="6">
        <f>IF(SUMIFS('Daily BSE Equity Futures'!$I:$I,'Daily BSE Equity Futures'!$A:$A,$A615)=0,"",SUMIFS('Daily BSE Equity Futures'!$I:$I,'Daily BSE Equity Futures'!$A:$A,$A615))</f>
        <v>5.7000000000000002E-3</v>
      </c>
      <c r="G615" s="6">
        <f t="shared" si="108"/>
        <v>1031.3877</v>
      </c>
      <c r="H615" s="15">
        <f t="shared" si="109"/>
        <v>0.99999447346521586</v>
      </c>
      <c r="I615" s="15">
        <f t="shared" si="110"/>
        <v>5.5265347841553665E-6</v>
      </c>
      <c r="J615" s="20">
        <f t="shared" si="111"/>
        <v>-8.8204211873425642E-2</v>
      </c>
      <c r="K615" s="15" t="str">
        <f t="shared" si="112"/>
        <v/>
      </c>
      <c r="L615" s="15" t="str">
        <f t="shared" si="113"/>
        <v/>
      </c>
      <c r="M615" s="15">
        <f t="shared" si="117"/>
        <v>1.4614680709530425E-2</v>
      </c>
      <c r="N615" s="15">
        <f t="shared" si="118"/>
        <v>2</v>
      </c>
      <c r="O615" s="15">
        <f t="shared" si="119"/>
        <v>1.4618391609003911E-2</v>
      </c>
      <c r="P615" s="18">
        <f>IF(SUMIFS('Daily NSE Equity Futures'!$J:$J,'Daily NSE Equity Futures'!$A:$A,$A615)=0,"",SUMIFS('Daily NSE Equity Futures'!$J:$J,'Daily NSE Equity Futures'!$A:$A,$A615))</f>
        <v>1288789</v>
      </c>
      <c r="Q615" s="7">
        <f>IF(SUMIFS('Daily BSE Equity Futures'!$J:$J,'Daily BSE Equity Futures'!$A:$A,$A615)=0,"",SUMIFS('Daily BSE Equity Futures'!$J:$J,'Daily BSE Equity Futures'!$A:$A,$A615))</f>
        <v>6</v>
      </c>
      <c r="R615" s="7">
        <f t="shared" si="114"/>
        <v>1288795</v>
      </c>
      <c r="S615" s="19">
        <f t="shared" si="115"/>
        <v>0.99999534448845628</v>
      </c>
      <c r="T615" s="19">
        <f t="shared" si="116"/>
        <v>4.6555115437288318E-6</v>
      </c>
    </row>
    <row r="616" spans="1:20" x14ac:dyDescent="0.2">
      <c r="A616" s="9">
        <v>44825</v>
      </c>
      <c r="B616" s="4" t="s">
        <v>221</v>
      </c>
      <c r="C616" s="8">
        <v>44805</v>
      </c>
      <c r="D616" s="4" t="s">
        <v>182</v>
      </c>
      <c r="E616" s="14">
        <f>IF(SUMIFS('Daily NSE Equity Futures'!$I:$I,'Daily NSE Equity Futures'!$A:$A,$A616)=0,"",SUMIFS('Daily NSE Equity Futures'!$I:$I,'Daily NSE Equity Futures'!$A:$A,$A616))</f>
        <v>1049.0048999999999</v>
      </c>
      <c r="F616" s="6">
        <f>IF(SUMIFS('Daily BSE Equity Futures'!$I:$I,'Daily BSE Equity Futures'!$A:$A,$A616)=0,"",SUMIFS('Daily BSE Equity Futures'!$I:$I,'Daily BSE Equity Futures'!$A:$A,$A616))</f>
        <v>1.9E-3</v>
      </c>
      <c r="G616" s="6">
        <f t="shared" si="108"/>
        <v>1049.0067999999999</v>
      </c>
      <c r="H616" s="15">
        <f t="shared" si="109"/>
        <v>0.99999818876293278</v>
      </c>
      <c r="I616" s="15">
        <f t="shared" si="110"/>
        <v>1.8112370672906983E-6</v>
      </c>
      <c r="J616" s="20">
        <f t="shared" si="111"/>
        <v>-0.12279917906428295</v>
      </c>
      <c r="K616" s="15" t="str">
        <f t="shared" si="112"/>
        <v/>
      </c>
      <c r="L616" s="15" t="str">
        <f t="shared" si="113"/>
        <v/>
      </c>
      <c r="M616" s="15">
        <f t="shared" si="117"/>
        <v>1.7086685631511722E-2</v>
      </c>
      <c r="N616" s="15">
        <f t="shared" si="118"/>
        <v>-0.66666666666666674</v>
      </c>
      <c r="O616" s="15">
        <f t="shared" si="119"/>
        <v>1.7082906844826606E-2</v>
      </c>
      <c r="P616" s="18">
        <f>IF(SUMIFS('Daily NSE Equity Futures'!$J:$J,'Daily NSE Equity Futures'!$A:$A,$A616)=0,"",SUMIFS('Daily NSE Equity Futures'!$J:$J,'Daily NSE Equity Futures'!$A:$A,$A616))</f>
        <v>1279606</v>
      </c>
      <c r="Q616" s="7">
        <f>IF(SUMIFS('Daily BSE Equity Futures'!$J:$J,'Daily BSE Equity Futures'!$A:$A,$A616)=0,"",SUMIFS('Daily BSE Equity Futures'!$J:$J,'Daily BSE Equity Futures'!$A:$A,$A616))</f>
        <v>2</v>
      </c>
      <c r="R616" s="7">
        <f t="shared" si="114"/>
        <v>1279608</v>
      </c>
      <c r="S616" s="19">
        <f t="shared" si="115"/>
        <v>0.99999843702133784</v>
      </c>
      <c r="T616" s="19">
        <f t="shared" si="116"/>
        <v>1.5629786622153035E-6</v>
      </c>
    </row>
    <row r="617" spans="1:20" x14ac:dyDescent="0.2">
      <c r="A617" s="9">
        <v>44826</v>
      </c>
      <c r="B617" s="4" t="s">
        <v>224</v>
      </c>
      <c r="C617" s="8">
        <v>44805</v>
      </c>
      <c r="D617" s="4" t="s">
        <v>182</v>
      </c>
      <c r="E617" s="14">
        <f>IF(SUMIFS('Daily NSE Equity Futures'!$I:$I,'Daily NSE Equity Futures'!$A:$A,$A617)=0,"",SUMIFS('Daily NSE Equity Futures'!$I:$I,'Daily NSE Equity Futures'!$A:$A,$A617))</f>
        <v>1245.5141000000001</v>
      </c>
      <c r="F617" s="6">
        <f>IF(SUMIFS('Daily BSE Equity Futures'!$I:$I,'Daily BSE Equity Futures'!$A:$A,$A617)=0,"",SUMIFS('Daily BSE Equity Futures'!$I:$I,'Daily BSE Equity Futures'!$A:$A,$A617))</f>
        <v>2.8E-3</v>
      </c>
      <c r="G617" s="6">
        <f t="shared" si="108"/>
        <v>1245.5169000000001</v>
      </c>
      <c r="H617" s="15">
        <f t="shared" si="109"/>
        <v>0.9999977519373684</v>
      </c>
      <c r="I617" s="15">
        <f t="shared" si="110"/>
        <v>2.2480626316672216E-6</v>
      </c>
      <c r="J617" s="20">
        <f t="shared" si="111"/>
        <v>6.5603926648266642E-2</v>
      </c>
      <c r="K617" s="15" t="str">
        <f t="shared" si="112"/>
        <v/>
      </c>
      <c r="L617" s="15" t="str">
        <f t="shared" si="113"/>
        <v/>
      </c>
      <c r="M617" s="15">
        <f t="shared" si="117"/>
        <v>0.18732915356258117</v>
      </c>
      <c r="N617" s="15">
        <f t="shared" si="118"/>
        <v>0.47368421052631571</v>
      </c>
      <c r="O617" s="15">
        <f t="shared" si="119"/>
        <v>0.18732967221947483</v>
      </c>
      <c r="P617" s="18">
        <f>IF(SUMIFS('Daily NSE Equity Futures'!$J:$J,'Daily NSE Equity Futures'!$A:$A,$A617)=0,"",SUMIFS('Daily NSE Equity Futures'!$J:$J,'Daily NSE Equity Futures'!$A:$A,$A617))</f>
        <v>1540825</v>
      </c>
      <c r="Q617" s="7">
        <f>IF(SUMIFS('Daily BSE Equity Futures'!$J:$J,'Daily BSE Equity Futures'!$A:$A,$A617)=0,"",SUMIFS('Daily BSE Equity Futures'!$J:$J,'Daily BSE Equity Futures'!$A:$A,$A617))</f>
        <v>3</v>
      </c>
      <c r="R617" s="7">
        <f t="shared" si="114"/>
        <v>1540828</v>
      </c>
      <c r="S617" s="19">
        <f t="shared" si="115"/>
        <v>0.99999805299488331</v>
      </c>
      <c r="T617" s="19">
        <f t="shared" si="116"/>
        <v>1.9470051167294466E-6</v>
      </c>
    </row>
    <row r="618" spans="1:20" x14ac:dyDescent="0.2">
      <c r="A618" s="9">
        <v>44827</v>
      </c>
      <c r="B618" s="4" t="s">
        <v>222</v>
      </c>
      <c r="C618" s="8">
        <v>44805</v>
      </c>
      <c r="D618" s="4" t="s">
        <v>182</v>
      </c>
      <c r="E618" s="14">
        <f>IF(SUMIFS('Daily NSE Equity Futures'!$I:$I,'Daily NSE Equity Futures'!$A:$A,$A618)=0,"",SUMIFS('Daily NSE Equity Futures'!$I:$I,'Daily NSE Equity Futures'!$A:$A,$A618))</f>
        <v>1449.8136999999999</v>
      </c>
      <c r="F618" s="6">
        <f>IF(SUMIFS('Daily BSE Equity Futures'!$I:$I,'Daily BSE Equity Futures'!$A:$A,$A618)=0,"",SUMIFS('Daily BSE Equity Futures'!$I:$I,'Daily BSE Equity Futures'!$A:$A,$A618))</f>
        <v>7.3000000000000001E-3</v>
      </c>
      <c r="G618" s="6">
        <f t="shared" si="108"/>
        <v>1449.8209999999999</v>
      </c>
      <c r="H618" s="15">
        <f t="shared" si="109"/>
        <v>0.99999496489566642</v>
      </c>
      <c r="I618" s="15">
        <f t="shared" si="110"/>
        <v>5.035104333569455E-6</v>
      </c>
      <c r="J618" s="20">
        <f t="shared" si="111"/>
        <v>0.14647834486720135</v>
      </c>
      <c r="K618" s="15" t="str">
        <f t="shared" si="112"/>
        <v/>
      </c>
      <c r="L618" s="15" t="str">
        <f t="shared" si="113"/>
        <v/>
      </c>
      <c r="M618" s="15">
        <f t="shared" si="117"/>
        <v>0.16402833175473464</v>
      </c>
      <c r="N618" s="15">
        <f t="shared" si="118"/>
        <v>1.6071428571428572</v>
      </c>
      <c r="O618" s="15">
        <f t="shared" si="119"/>
        <v>0.16403157596657247</v>
      </c>
      <c r="P618" s="18">
        <f>IF(SUMIFS('Daily NSE Equity Futures'!$J:$J,'Daily NSE Equity Futures'!$A:$A,$A618)=0,"",SUMIFS('Daily NSE Equity Futures'!$J:$J,'Daily NSE Equity Futures'!$A:$A,$A618))</f>
        <v>1858474</v>
      </c>
      <c r="Q618" s="7">
        <f>IF(SUMIFS('Daily BSE Equity Futures'!$J:$J,'Daily BSE Equity Futures'!$A:$A,$A618)=0,"",SUMIFS('Daily BSE Equity Futures'!$J:$J,'Daily BSE Equity Futures'!$A:$A,$A618))</f>
        <v>8</v>
      </c>
      <c r="R618" s="7">
        <f t="shared" si="114"/>
        <v>1858482</v>
      </c>
      <c r="S618" s="19">
        <f t="shared" si="115"/>
        <v>0.99999569541163169</v>
      </c>
      <c r="T618" s="19">
        <f t="shared" si="116"/>
        <v>4.3045883683565403E-6</v>
      </c>
    </row>
    <row r="619" spans="1:20" x14ac:dyDescent="0.2">
      <c r="A619" s="9">
        <v>44830</v>
      </c>
      <c r="B619" s="4" t="s">
        <v>225</v>
      </c>
      <c r="C619" s="8">
        <v>44805</v>
      </c>
      <c r="D619" s="4" t="s">
        <v>182</v>
      </c>
      <c r="E619" s="14">
        <f>IF(SUMIFS('Daily NSE Equity Futures'!$I:$I,'Daily NSE Equity Futures'!$A:$A,$A619)=0,"",SUMIFS('Daily NSE Equity Futures'!$I:$I,'Daily NSE Equity Futures'!$A:$A,$A619))</f>
        <v>2129.7062000000001</v>
      </c>
      <c r="F619" s="6">
        <f>IF(SUMIFS('Daily BSE Equity Futures'!$I:$I,'Daily BSE Equity Futures'!$A:$A,$A619)=0,"",SUMIFS('Daily BSE Equity Futures'!$I:$I,'Daily BSE Equity Futures'!$A:$A,$A619))</f>
        <v>3.5999999999999999E-3</v>
      </c>
      <c r="G619" s="6">
        <f t="shared" si="108"/>
        <v>2129.7098000000001</v>
      </c>
      <c r="H619" s="15">
        <f t="shared" si="109"/>
        <v>0.99999830962885172</v>
      </c>
      <c r="I619" s="15">
        <f t="shared" si="110"/>
        <v>1.6903711482193488E-6</v>
      </c>
      <c r="J619" s="20" t="str">
        <f t="shared" si="111"/>
        <v/>
      </c>
      <c r="K619" s="15" t="str">
        <f t="shared" si="112"/>
        <v/>
      </c>
      <c r="L619" s="15" t="str">
        <f t="shared" si="113"/>
        <v/>
      </c>
      <c r="M619" s="15">
        <f t="shared" si="117"/>
        <v>0.46895163150962094</v>
      </c>
      <c r="N619" s="15">
        <f t="shared" si="118"/>
        <v>-0.50684931506849318</v>
      </c>
      <c r="O619" s="15">
        <f t="shared" si="119"/>
        <v>0.46894671825004619</v>
      </c>
      <c r="P619" s="18">
        <f>IF(SUMIFS('Daily NSE Equity Futures'!$J:$J,'Daily NSE Equity Futures'!$A:$A,$A619)=0,"",SUMIFS('Daily NSE Equity Futures'!$J:$J,'Daily NSE Equity Futures'!$A:$A,$A619))</f>
        <v>2915387</v>
      </c>
      <c r="Q619" s="7">
        <f>IF(SUMIFS('Daily BSE Equity Futures'!$J:$J,'Daily BSE Equity Futures'!$A:$A,$A619)=0,"",SUMIFS('Daily BSE Equity Futures'!$J:$J,'Daily BSE Equity Futures'!$A:$A,$A619))</f>
        <v>4</v>
      </c>
      <c r="R619" s="7">
        <f t="shared" si="114"/>
        <v>2915391</v>
      </c>
      <c r="S619" s="19">
        <f t="shared" si="115"/>
        <v>0.99999862797134242</v>
      </c>
      <c r="T619" s="19">
        <f t="shared" si="116"/>
        <v>1.3720286575625705E-6</v>
      </c>
    </row>
    <row r="620" spans="1:20" x14ac:dyDescent="0.2">
      <c r="A620" s="9">
        <v>44831</v>
      </c>
      <c r="B620" s="4" t="s">
        <v>223</v>
      </c>
      <c r="C620" s="8">
        <v>44805</v>
      </c>
      <c r="D620" s="4" t="s">
        <v>182</v>
      </c>
      <c r="E620" s="14">
        <f>IF(SUMIFS('Daily NSE Equity Futures'!$I:$I,'Daily NSE Equity Futures'!$A:$A,$A620)=0,"",SUMIFS('Daily NSE Equity Futures'!$I:$I,'Daily NSE Equity Futures'!$A:$A,$A620))</f>
        <v>2175.9520000000002</v>
      </c>
      <c r="F620" s="6">
        <f>IF(SUMIFS('Daily BSE Equity Futures'!$I:$I,'Daily BSE Equity Futures'!$A:$A,$A620)=0,"",SUMIFS('Daily BSE Equity Futures'!$I:$I,'Daily BSE Equity Futures'!$A:$A,$A620))</f>
        <v>3.5999999999999999E-3</v>
      </c>
      <c r="G620" s="6">
        <f t="shared" si="108"/>
        <v>2175.9556000000002</v>
      </c>
      <c r="H620" s="15">
        <f t="shared" si="109"/>
        <v>0.99999834555447731</v>
      </c>
      <c r="I620" s="15">
        <f t="shared" si="110"/>
        <v>1.6544455226935694E-6</v>
      </c>
      <c r="J620" s="20">
        <f t="shared" si="111"/>
        <v>0.30296277276594452</v>
      </c>
      <c r="K620" s="15" t="str">
        <f t="shared" si="112"/>
        <v/>
      </c>
      <c r="L620" s="15" t="str">
        <f t="shared" si="113"/>
        <v/>
      </c>
      <c r="M620" s="15">
        <f t="shared" si="117"/>
        <v>2.1714638385332385E-2</v>
      </c>
      <c r="N620" s="15">
        <f t="shared" si="118"/>
        <v>0</v>
      </c>
      <c r="O620" s="15">
        <f t="shared" si="119"/>
        <v>2.1714601679533985E-2</v>
      </c>
      <c r="P620" s="18">
        <f>IF(SUMIFS('Daily NSE Equity Futures'!$J:$J,'Daily NSE Equity Futures'!$A:$A,$A620)=0,"",SUMIFS('Daily NSE Equity Futures'!$J:$J,'Daily NSE Equity Futures'!$A:$A,$A620))</f>
        <v>2967611</v>
      </c>
      <c r="Q620" s="7">
        <f>IF(SUMIFS('Daily BSE Equity Futures'!$J:$J,'Daily BSE Equity Futures'!$A:$A,$A620)=0,"",SUMIFS('Daily BSE Equity Futures'!$J:$J,'Daily BSE Equity Futures'!$A:$A,$A620))</f>
        <v>4</v>
      </c>
      <c r="R620" s="7">
        <f t="shared" si="114"/>
        <v>2967615</v>
      </c>
      <c r="S620" s="19">
        <f t="shared" si="115"/>
        <v>0.99999865211626171</v>
      </c>
      <c r="T620" s="19">
        <f t="shared" si="116"/>
        <v>1.347883738288154E-6</v>
      </c>
    </row>
    <row r="621" spans="1:20" x14ac:dyDescent="0.2">
      <c r="A621" s="9">
        <v>44832</v>
      </c>
      <c r="B621" s="4" t="s">
        <v>221</v>
      </c>
      <c r="C621" s="8">
        <v>44805</v>
      </c>
      <c r="D621" s="4" t="s">
        <v>182</v>
      </c>
      <c r="E621" s="14">
        <f>IF(SUMIFS('Daily NSE Equity Futures'!$I:$I,'Daily NSE Equity Futures'!$A:$A,$A621)=0,"",SUMIFS('Daily NSE Equity Futures'!$I:$I,'Daily NSE Equity Futures'!$A:$A,$A621))</f>
        <v>2146.0857000000001</v>
      </c>
      <c r="F621" s="6">
        <f>IF(SUMIFS('Daily BSE Equity Futures'!$I:$I,'Daily BSE Equity Futures'!$A:$A,$A621)=0,"",SUMIFS('Daily BSE Equity Futures'!$I:$I,'Daily BSE Equity Futures'!$A:$A,$A621))</f>
        <v>8.8999999999999999E-3</v>
      </c>
      <c r="G621" s="6">
        <f t="shared" si="108"/>
        <v>2146.0945999999999</v>
      </c>
      <c r="H621" s="15">
        <f t="shared" si="109"/>
        <v>0.99999585293211224</v>
      </c>
      <c r="I621" s="15">
        <f t="shared" si="110"/>
        <v>4.1470678878740945E-6</v>
      </c>
      <c r="J621" s="20">
        <f t="shared" si="111"/>
        <v>-6.4023634858188516E-2</v>
      </c>
      <c r="K621" s="15" t="str">
        <f t="shared" si="112"/>
        <v/>
      </c>
      <c r="L621" s="15" t="str">
        <f t="shared" si="113"/>
        <v/>
      </c>
      <c r="M621" s="15">
        <f t="shared" si="117"/>
        <v>-1.3725624462304409E-2</v>
      </c>
      <c r="N621" s="15">
        <f t="shared" si="118"/>
        <v>1.4722222222222223</v>
      </c>
      <c r="O621" s="15">
        <f t="shared" si="119"/>
        <v>-1.3723166042542534E-2</v>
      </c>
      <c r="P621" s="18">
        <f>IF(SUMIFS('Daily NSE Equity Futures'!$J:$J,'Daily NSE Equity Futures'!$A:$A,$A621)=0,"",SUMIFS('Daily NSE Equity Futures'!$J:$J,'Daily NSE Equity Futures'!$A:$A,$A621))</f>
        <v>2953532</v>
      </c>
      <c r="Q621" s="7">
        <f>IF(SUMIFS('Daily BSE Equity Futures'!$J:$J,'Daily BSE Equity Futures'!$A:$A,$A621)=0,"",SUMIFS('Daily BSE Equity Futures'!$J:$J,'Daily BSE Equity Futures'!$A:$A,$A621))</f>
        <v>10</v>
      </c>
      <c r="R621" s="7">
        <f t="shared" si="114"/>
        <v>2953542</v>
      </c>
      <c r="S621" s="19">
        <f t="shared" si="115"/>
        <v>0.99999661423470532</v>
      </c>
      <c r="T621" s="19">
        <f t="shared" si="116"/>
        <v>3.3857652946868539E-6</v>
      </c>
    </row>
    <row r="622" spans="1:20" x14ac:dyDescent="0.2">
      <c r="A622" s="9">
        <v>44833</v>
      </c>
      <c r="B622" s="4" t="s">
        <v>224</v>
      </c>
      <c r="C622" s="8">
        <v>44805</v>
      </c>
      <c r="D622" s="4" t="s">
        <v>182</v>
      </c>
      <c r="E622" s="14">
        <f>IF(SUMIFS('Daily NSE Equity Futures'!$I:$I,'Daily NSE Equity Futures'!$A:$A,$A622)=0,"",SUMIFS('Daily NSE Equity Futures'!$I:$I,'Daily NSE Equity Futures'!$A:$A,$A622))</f>
        <v>2254.9650000000001</v>
      </c>
      <c r="F622" s="6">
        <f>IF(SUMIFS('Daily BSE Equity Futures'!$I:$I,'Daily BSE Equity Futures'!$A:$A,$A622)=0,"",SUMIFS('Daily BSE Equity Futures'!$I:$I,'Daily BSE Equity Futures'!$A:$A,$A622))</f>
        <v>2.7000000000000001E-3</v>
      </c>
      <c r="G622" s="6">
        <f t="shared" si="108"/>
        <v>2254.9677000000001</v>
      </c>
      <c r="H622" s="15">
        <f t="shared" si="109"/>
        <v>0.9999988026436033</v>
      </c>
      <c r="I622" s="15">
        <f t="shared" si="110"/>
        <v>1.1973563967235539E-6</v>
      </c>
      <c r="J622" s="20">
        <f t="shared" si="111"/>
        <v>-1.2264708931792989E-2</v>
      </c>
      <c r="K622" s="15" t="str">
        <f t="shared" si="112"/>
        <v/>
      </c>
      <c r="L622" s="15" t="str">
        <f t="shared" si="113"/>
        <v/>
      </c>
      <c r="M622" s="15">
        <f t="shared" si="117"/>
        <v>5.0733901260327174E-2</v>
      </c>
      <c r="N622" s="15">
        <f t="shared" si="118"/>
        <v>-0.69662921348314599</v>
      </c>
      <c r="O622" s="15">
        <f t="shared" si="119"/>
        <v>5.073080189475343E-2</v>
      </c>
      <c r="P622" s="18">
        <f>IF(SUMIFS('Daily NSE Equity Futures'!$J:$J,'Daily NSE Equity Futures'!$A:$A,$A622)=0,"",SUMIFS('Daily NSE Equity Futures'!$J:$J,'Daily NSE Equity Futures'!$A:$A,$A622))</f>
        <v>3108585</v>
      </c>
      <c r="Q622" s="7">
        <f>IF(SUMIFS('Daily BSE Equity Futures'!$J:$J,'Daily BSE Equity Futures'!$A:$A,$A622)=0,"",SUMIFS('Daily BSE Equity Futures'!$J:$J,'Daily BSE Equity Futures'!$A:$A,$A622))</f>
        <v>3</v>
      </c>
      <c r="R622" s="7">
        <f t="shared" si="114"/>
        <v>3108588</v>
      </c>
      <c r="S622" s="19">
        <f t="shared" si="115"/>
        <v>0.99999903493161524</v>
      </c>
      <c r="T622" s="19">
        <f t="shared" si="116"/>
        <v>9.6506838474574301E-7</v>
      </c>
    </row>
    <row r="623" spans="1:20" x14ac:dyDescent="0.2">
      <c r="A623" s="9">
        <v>44834</v>
      </c>
      <c r="B623" s="4" t="s">
        <v>222</v>
      </c>
      <c r="C623" s="8">
        <v>44805</v>
      </c>
      <c r="D623" s="4" t="s">
        <v>182</v>
      </c>
      <c r="E623" s="14">
        <f>IF(SUMIFS('Daily NSE Equity Futures'!$I:$I,'Daily NSE Equity Futures'!$A:$A,$A623)=0,"",SUMIFS('Daily NSE Equity Futures'!$I:$I,'Daily NSE Equity Futures'!$A:$A,$A623))</f>
        <v>1246.1523999999999</v>
      </c>
      <c r="F623" s="6">
        <f>IF(SUMIFS('Daily BSE Equity Futures'!$I:$I,'Daily BSE Equity Futures'!$A:$A,$A623)=0,"",SUMIFS('Daily BSE Equity Futures'!$I:$I,'Daily BSE Equity Futures'!$A:$A,$A623))</f>
        <v>4.4999999999999997E-3</v>
      </c>
      <c r="G623" s="6">
        <f t="shared" si="108"/>
        <v>1246.1569</v>
      </c>
      <c r="H623" s="15">
        <f t="shared" si="109"/>
        <v>0.99999638889773834</v>
      </c>
      <c r="I623" s="15">
        <f t="shared" si="110"/>
        <v>3.6111022616814944E-6</v>
      </c>
      <c r="J623" s="20">
        <f t="shared" si="111"/>
        <v>-0.42502505402996149</v>
      </c>
      <c r="K623" s="15" t="str">
        <f t="shared" si="112"/>
        <v/>
      </c>
      <c r="L623" s="15" t="str">
        <f t="shared" si="113"/>
        <v/>
      </c>
      <c r="M623" s="15">
        <f t="shared" si="117"/>
        <v>-0.44737395037173533</v>
      </c>
      <c r="N623" s="15">
        <f t="shared" si="118"/>
        <v>0.66666666666666652</v>
      </c>
      <c r="O623" s="15">
        <f t="shared" si="119"/>
        <v>-0.44737261646807625</v>
      </c>
      <c r="P623" s="18">
        <f>IF(SUMIFS('Daily NSE Equity Futures'!$J:$J,'Daily NSE Equity Futures'!$A:$A,$A623)=0,"",SUMIFS('Daily NSE Equity Futures'!$J:$J,'Daily NSE Equity Futures'!$A:$A,$A623))</f>
        <v>1595168</v>
      </c>
      <c r="Q623" s="7">
        <f>IF(SUMIFS('Daily BSE Equity Futures'!$J:$J,'Daily BSE Equity Futures'!$A:$A,$A623)=0,"",SUMIFS('Daily BSE Equity Futures'!$J:$J,'Daily BSE Equity Futures'!$A:$A,$A623))</f>
        <v>5</v>
      </c>
      <c r="R623" s="7">
        <f t="shared" si="114"/>
        <v>1595173</v>
      </c>
      <c r="S623" s="19">
        <f t="shared" si="115"/>
        <v>0.99999686554373723</v>
      </c>
      <c r="T623" s="19">
        <f t="shared" si="116"/>
        <v>3.1344562627376464E-6</v>
      </c>
    </row>
    <row r="624" spans="1:20" x14ac:dyDescent="0.2">
      <c r="A624" s="9">
        <v>44837</v>
      </c>
      <c r="B624" s="4" t="s">
        <v>225</v>
      </c>
      <c r="C624" s="8">
        <v>44835</v>
      </c>
      <c r="D624" s="4" t="s">
        <v>183</v>
      </c>
      <c r="E624" s="14">
        <f>IF(SUMIFS('Daily NSE Equity Futures'!$I:$I,'Daily NSE Equity Futures'!$A:$A,$A624)=0,"",SUMIFS('Daily NSE Equity Futures'!$I:$I,'Daily NSE Equity Futures'!$A:$A,$A624))</f>
        <v>1030.3072999999999</v>
      </c>
      <c r="F624" s="6">
        <f>IF(SUMIFS('Daily BSE Equity Futures'!$I:$I,'Daily BSE Equity Futures'!$A:$A,$A624)=0,"",SUMIFS('Daily BSE Equity Futures'!$I:$I,'Daily BSE Equity Futures'!$A:$A,$A624))</f>
        <v>3.5999999999999999E-3</v>
      </c>
      <c r="G624" s="6">
        <f t="shared" si="108"/>
        <v>1030.3108999999999</v>
      </c>
      <c r="H624" s="15">
        <f t="shared" si="109"/>
        <v>0.99999650590904166</v>
      </c>
      <c r="I624" s="15">
        <f t="shared" si="110"/>
        <v>3.4940909583699443E-6</v>
      </c>
      <c r="J624" s="20" t="str">
        <f t="shared" si="111"/>
        <v/>
      </c>
      <c r="K624" s="15" t="str">
        <f t="shared" si="112"/>
        <v/>
      </c>
      <c r="L624" s="15" t="str">
        <f t="shared" si="113"/>
        <v/>
      </c>
      <c r="M624" s="15">
        <f t="shared" si="117"/>
        <v>-0.17320923187244197</v>
      </c>
      <c r="N624" s="15">
        <f t="shared" si="118"/>
        <v>-0.19999999999999996</v>
      </c>
      <c r="O624" s="15">
        <f t="shared" si="119"/>
        <v>-0.17320932861664529</v>
      </c>
      <c r="P624" s="18">
        <f>IF(SUMIFS('Daily NSE Equity Futures'!$J:$J,'Daily NSE Equity Futures'!$A:$A,$A624)=0,"",SUMIFS('Daily NSE Equity Futures'!$J:$J,'Daily NSE Equity Futures'!$A:$A,$A624))</f>
        <v>1300776</v>
      </c>
      <c r="Q624" s="7">
        <f>IF(SUMIFS('Daily BSE Equity Futures'!$J:$J,'Daily BSE Equity Futures'!$A:$A,$A624)=0,"",SUMIFS('Daily BSE Equity Futures'!$J:$J,'Daily BSE Equity Futures'!$A:$A,$A624))</f>
        <v>4</v>
      </c>
      <c r="R624" s="7">
        <f t="shared" si="114"/>
        <v>1300780</v>
      </c>
      <c r="S624" s="19">
        <f t="shared" si="115"/>
        <v>0.9999969249219699</v>
      </c>
      <c r="T624" s="19">
        <f t="shared" si="116"/>
        <v>3.075078030105014E-6</v>
      </c>
    </row>
    <row r="625" spans="1:20" x14ac:dyDescent="0.2">
      <c r="A625" s="9">
        <v>44838</v>
      </c>
      <c r="B625" s="4" t="s">
        <v>223</v>
      </c>
      <c r="C625" s="8">
        <v>44835</v>
      </c>
      <c r="D625" s="4" t="s">
        <v>183</v>
      </c>
      <c r="E625" s="14">
        <f>IF(SUMIFS('Daily NSE Equity Futures'!$I:$I,'Daily NSE Equity Futures'!$A:$A,$A625)=0,"",SUMIFS('Daily NSE Equity Futures'!$I:$I,'Daily NSE Equity Futures'!$A:$A,$A625))</f>
        <v>984.3854</v>
      </c>
      <c r="F625" s="6">
        <f>IF(SUMIFS('Daily BSE Equity Futures'!$I:$I,'Daily BSE Equity Futures'!$A:$A,$A625)=0,"",SUMIFS('Daily BSE Equity Futures'!$I:$I,'Daily BSE Equity Futures'!$A:$A,$A625))</f>
        <v>1.8E-3</v>
      </c>
      <c r="G625" s="6">
        <f t="shared" si="108"/>
        <v>984.38720000000001</v>
      </c>
      <c r="H625" s="15">
        <f t="shared" si="109"/>
        <v>0.99999817145123382</v>
      </c>
      <c r="I625" s="15">
        <f t="shared" si="110"/>
        <v>1.8285487661765613E-6</v>
      </c>
      <c r="J625" s="20">
        <f t="shared" si="111"/>
        <v>7.1332029156248256E-2</v>
      </c>
      <c r="K625" s="15" t="str">
        <f t="shared" si="112"/>
        <v/>
      </c>
      <c r="L625" s="15" t="str">
        <f t="shared" si="113"/>
        <v/>
      </c>
      <c r="M625" s="15">
        <f t="shared" si="117"/>
        <v>-4.4571071174590249E-2</v>
      </c>
      <c r="N625" s="15">
        <f t="shared" si="118"/>
        <v>-0.5</v>
      </c>
      <c r="O625" s="15">
        <f t="shared" si="119"/>
        <v>-4.4572662484692716E-2</v>
      </c>
      <c r="P625" s="18">
        <f>IF(SUMIFS('Daily NSE Equity Futures'!$J:$J,'Daily NSE Equity Futures'!$A:$A,$A625)=0,"",SUMIFS('Daily NSE Equity Futures'!$J:$J,'Daily NSE Equity Futures'!$A:$A,$A625))</f>
        <v>1254299</v>
      </c>
      <c r="Q625" s="7">
        <f>IF(SUMIFS('Daily BSE Equity Futures'!$J:$J,'Daily BSE Equity Futures'!$A:$A,$A625)=0,"",SUMIFS('Daily BSE Equity Futures'!$J:$J,'Daily BSE Equity Futures'!$A:$A,$A625))</f>
        <v>2</v>
      </c>
      <c r="R625" s="7">
        <f t="shared" si="114"/>
        <v>1254301</v>
      </c>
      <c r="S625" s="19">
        <f t="shared" si="115"/>
        <v>0.9999984054864024</v>
      </c>
      <c r="T625" s="19">
        <f t="shared" si="116"/>
        <v>1.5945135976133321E-6</v>
      </c>
    </row>
    <row r="626" spans="1:20" x14ac:dyDescent="0.2">
      <c r="A626" s="9">
        <v>44840</v>
      </c>
      <c r="B626" s="4" t="s">
        <v>224</v>
      </c>
      <c r="C626" s="8">
        <v>44835</v>
      </c>
      <c r="D626" s="4" t="s">
        <v>183</v>
      </c>
      <c r="E626" s="14">
        <f>IF(SUMIFS('Daily NSE Equity Futures'!$I:$I,'Daily NSE Equity Futures'!$A:$A,$A626)=0,"",SUMIFS('Daily NSE Equity Futures'!$I:$I,'Daily NSE Equity Futures'!$A:$A,$A626))</f>
        <v>880.51379999999995</v>
      </c>
      <c r="F626" s="6">
        <f>IF(SUMIFS('Daily BSE Equity Futures'!$I:$I,'Daily BSE Equity Futures'!$A:$A,$A626)=0,"",SUMIFS('Daily BSE Equity Futures'!$I:$I,'Daily BSE Equity Futures'!$A:$A,$A626))</f>
        <v>8.9999999999999998E-4</v>
      </c>
      <c r="G626" s="6">
        <f t="shared" si="108"/>
        <v>880.51469999999995</v>
      </c>
      <c r="H626" s="15">
        <f t="shared" si="109"/>
        <v>0.9999989778705568</v>
      </c>
      <c r="I626" s="15">
        <f t="shared" si="110"/>
        <v>1.0221294431541006E-6</v>
      </c>
      <c r="J626" s="20">
        <f t="shared" si="111"/>
        <v>-0.24835318941663742</v>
      </c>
      <c r="K626" s="15" t="str">
        <f t="shared" si="112"/>
        <v/>
      </c>
      <c r="L626" s="15" t="str">
        <f t="shared" si="113"/>
        <v/>
      </c>
      <c r="M626" s="15">
        <f t="shared" si="117"/>
        <v>-0.10551924073640273</v>
      </c>
      <c r="N626" s="15">
        <f t="shared" si="118"/>
        <v>-0.5</v>
      </c>
      <c r="O626" s="15">
        <f t="shared" si="119"/>
        <v>-0.10551996206370828</v>
      </c>
      <c r="P626" s="18">
        <f>IF(SUMIFS('Daily NSE Equity Futures'!$J:$J,'Daily NSE Equity Futures'!$A:$A,$A626)=0,"",SUMIFS('Daily NSE Equity Futures'!$J:$J,'Daily NSE Equity Futures'!$A:$A,$A626))</f>
        <v>1134074</v>
      </c>
      <c r="Q626" s="7">
        <f>IF(SUMIFS('Daily BSE Equity Futures'!$J:$J,'Daily BSE Equity Futures'!$A:$A,$A626)=0,"",SUMIFS('Daily BSE Equity Futures'!$J:$J,'Daily BSE Equity Futures'!$A:$A,$A626))</f>
        <v>1</v>
      </c>
      <c r="R626" s="7">
        <f t="shared" si="114"/>
        <v>1134075</v>
      </c>
      <c r="S626" s="19">
        <f t="shared" si="115"/>
        <v>0.99999911822410337</v>
      </c>
      <c r="T626" s="19">
        <f t="shared" si="116"/>
        <v>8.817758966558649E-7</v>
      </c>
    </row>
    <row r="627" spans="1:20" x14ac:dyDescent="0.2">
      <c r="A627" s="9">
        <v>44841</v>
      </c>
      <c r="B627" s="4" t="s">
        <v>222</v>
      </c>
      <c r="C627" s="8">
        <v>44835</v>
      </c>
      <c r="D627" s="4" t="s">
        <v>183</v>
      </c>
      <c r="E627" s="14">
        <f>IF(SUMIFS('Daily NSE Equity Futures'!$I:$I,'Daily NSE Equity Futures'!$A:$A,$A627)=0,"",SUMIFS('Daily NSE Equity Futures'!$I:$I,'Daily NSE Equity Futures'!$A:$A,$A627))</f>
        <v>807.71190000000001</v>
      </c>
      <c r="F627" s="6">
        <f>IF(SUMIFS('Daily BSE Equity Futures'!$I:$I,'Daily BSE Equity Futures'!$A:$A,$A627)=0,"",SUMIFS('Daily BSE Equity Futures'!$I:$I,'Daily BSE Equity Futures'!$A:$A,$A627))</f>
        <v>8.9999999999999998E-4</v>
      </c>
      <c r="G627" s="6">
        <f t="shared" si="108"/>
        <v>807.71280000000002</v>
      </c>
      <c r="H627" s="15">
        <f t="shared" si="109"/>
        <v>0.99999888574255602</v>
      </c>
      <c r="I627" s="15">
        <f t="shared" si="110"/>
        <v>1.1142574439825641E-6</v>
      </c>
      <c r="J627" s="20">
        <f t="shared" si="111"/>
        <v>-0.22651622659245341</v>
      </c>
      <c r="K627" s="15" t="str">
        <f t="shared" si="112"/>
        <v/>
      </c>
      <c r="L627" s="15" t="str">
        <f t="shared" si="113"/>
        <v/>
      </c>
      <c r="M627" s="15">
        <f t="shared" si="117"/>
        <v>-8.2681157297023522E-2</v>
      </c>
      <c r="N627" s="15">
        <f t="shared" si="118"/>
        <v>0</v>
      </c>
      <c r="O627" s="15">
        <f t="shared" si="119"/>
        <v>-8.2681072786178311E-2</v>
      </c>
      <c r="P627" s="18">
        <f>IF(SUMIFS('Daily NSE Equity Futures'!$J:$J,'Daily NSE Equity Futures'!$A:$A,$A627)=0,"",SUMIFS('Daily NSE Equity Futures'!$J:$J,'Daily NSE Equity Futures'!$A:$A,$A627))</f>
        <v>1017515</v>
      </c>
      <c r="Q627" s="7">
        <f>IF(SUMIFS('Daily BSE Equity Futures'!$J:$J,'Daily BSE Equity Futures'!$A:$A,$A627)=0,"",SUMIFS('Daily BSE Equity Futures'!$J:$J,'Daily BSE Equity Futures'!$A:$A,$A627))</f>
        <v>1</v>
      </c>
      <c r="R627" s="7">
        <f t="shared" si="114"/>
        <v>1017516</v>
      </c>
      <c r="S627" s="19">
        <f t="shared" si="115"/>
        <v>0.99999901721447138</v>
      </c>
      <c r="T627" s="19">
        <f t="shared" si="116"/>
        <v>9.8278552867964733E-7</v>
      </c>
    </row>
    <row r="628" spans="1:20" x14ac:dyDescent="0.2">
      <c r="A628" s="9">
        <v>44844</v>
      </c>
      <c r="B628" s="4" t="s">
        <v>225</v>
      </c>
      <c r="C628" s="8">
        <v>44835</v>
      </c>
      <c r="D628" s="4" t="s">
        <v>183</v>
      </c>
      <c r="E628" s="14">
        <f>IF(SUMIFS('Daily NSE Equity Futures'!$I:$I,'Daily NSE Equity Futures'!$A:$A,$A628)=0,"",SUMIFS('Daily NSE Equity Futures'!$I:$I,'Daily NSE Equity Futures'!$A:$A,$A628))</f>
        <v>952.85619999999994</v>
      </c>
      <c r="F628" s="6">
        <f>IF(SUMIFS('Daily BSE Equity Futures'!$I:$I,'Daily BSE Equity Futures'!$A:$A,$A628)=0,"",SUMIFS('Daily BSE Equity Futures'!$I:$I,'Daily BSE Equity Futures'!$A:$A,$A628))</f>
        <v>2.7000000000000001E-3</v>
      </c>
      <c r="G628" s="6">
        <f t="shared" si="108"/>
        <v>952.85889999999995</v>
      </c>
      <c r="H628" s="15">
        <f t="shared" si="109"/>
        <v>0.99999716642201697</v>
      </c>
      <c r="I628" s="15">
        <f t="shared" si="110"/>
        <v>2.8335779830570931E-6</v>
      </c>
      <c r="J628" s="20" t="str">
        <f t="shared" si="111"/>
        <v/>
      </c>
      <c r="K628" s="15" t="str">
        <f t="shared" si="112"/>
        <v/>
      </c>
      <c r="L628" s="15" t="str">
        <f t="shared" si="113"/>
        <v/>
      </c>
      <c r="M628" s="15">
        <f t="shared" si="117"/>
        <v>0.17969810770399675</v>
      </c>
      <c r="N628" s="15">
        <f t="shared" si="118"/>
        <v>2.0000000000000004</v>
      </c>
      <c r="O628" s="15">
        <f t="shared" si="119"/>
        <v>0.17970013598893053</v>
      </c>
      <c r="P628" s="18">
        <f>IF(SUMIFS('Daily NSE Equity Futures'!$J:$J,'Daily NSE Equity Futures'!$A:$A,$A628)=0,"",SUMIFS('Daily NSE Equity Futures'!$J:$J,'Daily NSE Equity Futures'!$A:$A,$A628))</f>
        <v>1229970</v>
      </c>
      <c r="Q628" s="7">
        <f>IF(SUMIFS('Daily BSE Equity Futures'!$J:$J,'Daily BSE Equity Futures'!$A:$A,$A628)=0,"",SUMIFS('Daily BSE Equity Futures'!$J:$J,'Daily BSE Equity Futures'!$A:$A,$A628))</f>
        <v>3</v>
      </c>
      <c r="R628" s="7">
        <f t="shared" si="114"/>
        <v>1229973</v>
      </c>
      <c r="S628" s="19">
        <f t="shared" si="115"/>
        <v>0.99999756092206904</v>
      </c>
      <c r="T628" s="19">
        <f t="shared" si="116"/>
        <v>2.4390779309789726E-6</v>
      </c>
    </row>
    <row r="629" spans="1:20" x14ac:dyDescent="0.2">
      <c r="A629" s="9">
        <v>44845</v>
      </c>
      <c r="B629" s="4" t="s">
        <v>223</v>
      </c>
      <c r="C629" s="8">
        <v>44835</v>
      </c>
      <c r="D629" s="4" t="s">
        <v>183</v>
      </c>
      <c r="E629" s="14">
        <f>IF(SUMIFS('Daily NSE Equity Futures'!$I:$I,'Daily NSE Equity Futures'!$A:$A,$A629)=0,"",SUMIFS('Daily NSE Equity Futures'!$I:$I,'Daily NSE Equity Futures'!$A:$A,$A629))</f>
        <v>945.16970000000003</v>
      </c>
      <c r="F629" s="6">
        <f>IF(SUMIFS('Daily BSE Equity Futures'!$I:$I,'Daily BSE Equity Futures'!$A:$A,$A629)=0,"",SUMIFS('Daily BSE Equity Futures'!$I:$I,'Daily BSE Equity Futures'!$A:$A,$A629))</f>
        <v>2.7000000000000001E-3</v>
      </c>
      <c r="G629" s="6">
        <f t="shared" si="108"/>
        <v>945.17240000000004</v>
      </c>
      <c r="H629" s="15">
        <f t="shared" si="109"/>
        <v>0.99999714337828738</v>
      </c>
      <c r="I629" s="15">
        <f t="shared" si="110"/>
        <v>2.8566217126103134E-6</v>
      </c>
      <c r="J629" s="20">
        <f t="shared" si="111"/>
        <v>-0.13399224233015228</v>
      </c>
      <c r="K629" s="15" t="str">
        <f t="shared" si="112"/>
        <v/>
      </c>
      <c r="L629" s="15" t="str">
        <f t="shared" si="113"/>
        <v/>
      </c>
      <c r="M629" s="15">
        <f t="shared" si="117"/>
        <v>-8.0667995863383801E-3</v>
      </c>
      <c r="N629" s="15">
        <f t="shared" si="118"/>
        <v>0</v>
      </c>
      <c r="O629" s="15">
        <f t="shared" si="119"/>
        <v>-8.0667767284325897E-3</v>
      </c>
      <c r="P629" s="18">
        <f>IF(SUMIFS('Daily NSE Equity Futures'!$J:$J,'Daily NSE Equity Futures'!$A:$A,$A629)=0,"",SUMIFS('Daily NSE Equity Futures'!$J:$J,'Daily NSE Equity Futures'!$A:$A,$A629))</f>
        <v>1265355</v>
      </c>
      <c r="Q629" s="7">
        <f>IF(SUMIFS('Daily BSE Equity Futures'!$J:$J,'Daily BSE Equity Futures'!$A:$A,$A629)=0,"",SUMIFS('Daily BSE Equity Futures'!$J:$J,'Daily BSE Equity Futures'!$A:$A,$A629))</f>
        <v>3</v>
      </c>
      <c r="R629" s="7">
        <f t="shared" si="114"/>
        <v>1265358</v>
      </c>
      <c r="S629" s="19">
        <f t="shared" si="115"/>
        <v>0.99999762912946377</v>
      </c>
      <c r="T629" s="19">
        <f t="shared" si="116"/>
        <v>2.3708705362434977E-6</v>
      </c>
    </row>
    <row r="630" spans="1:20" x14ac:dyDescent="0.2">
      <c r="A630" s="9">
        <v>44846</v>
      </c>
      <c r="B630" s="4" t="s">
        <v>221</v>
      </c>
      <c r="C630" s="8">
        <v>44835</v>
      </c>
      <c r="D630" s="4" t="s">
        <v>183</v>
      </c>
      <c r="E630" s="14">
        <f>IF(SUMIFS('Daily NSE Equity Futures'!$I:$I,'Daily NSE Equity Futures'!$A:$A,$A630)=0,"",SUMIFS('Daily NSE Equity Futures'!$I:$I,'Daily NSE Equity Futures'!$A:$A,$A630))</f>
        <v>896.38739999999996</v>
      </c>
      <c r="F630" s="6">
        <f>IF(SUMIFS('Daily BSE Equity Futures'!$I:$I,'Daily BSE Equity Futures'!$A:$A,$A630)=0,"",SUMIFS('Daily BSE Equity Futures'!$I:$I,'Daily BSE Equity Futures'!$A:$A,$A630))</f>
        <v>1.8E-3</v>
      </c>
      <c r="G630" s="6">
        <f t="shared" si="108"/>
        <v>896.38919999999996</v>
      </c>
      <c r="H630" s="15">
        <f t="shared" si="109"/>
        <v>0.999997991943678</v>
      </c>
      <c r="I630" s="15">
        <f t="shared" si="110"/>
        <v>2.0080563219637187E-6</v>
      </c>
      <c r="J630" s="20">
        <f t="shared" si="111"/>
        <v>-0.1229066366783409</v>
      </c>
      <c r="K630" s="15" t="str">
        <f t="shared" si="112"/>
        <v/>
      </c>
      <c r="L630" s="15" t="str">
        <f t="shared" si="113"/>
        <v/>
      </c>
      <c r="M630" s="15">
        <f t="shared" si="117"/>
        <v>-5.161221312955766E-2</v>
      </c>
      <c r="N630" s="15">
        <f t="shared" si="118"/>
        <v>-0.33333333333333337</v>
      </c>
      <c r="O630" s="15">
        <f t="shared" si="119"/>
        <v>-5.1613017900226543E-2</v>
      </c>
      <c r="P630" s="18">
        <f>IF(SUMIFS('Daily NSE Equity Futures'!$J:$J,'Daily NSE Equity Futures'!$A:$A,$A630)=0,"",SUMIFS('Daily NSE Equity Futures'!$J:$J,'Daily NSE Equity Futures'!$A:$A,$A630))</f>
        <v>1156341</v>
      </c>
      <c r="Q630" s="7">
        <f>IF(SUMIFS('Daily BSE Equity Futures'!$J:$J,'Daily BSE Equity Futures'!$A:$A,$A630)=0,"",SUMIFS('Daily BSE Equity Futures'!$J:$J,'Daily BSE Equity Futures'!$A:$A,$A630))</f>
        <v>2</v>
      </c>
      <c r="R630" s="7">
        <f t="shared" si="114"/>
        <v>1156343</v>
      </c>
      <c r="S630" s="19">
        <f t="shared" si="115"/>
        <v>0.99999827040938549</v>
      </c>
      <c r="T630" s="19">
        <f t="shared" si="116"/>
        <v>1.7295906145494893E-6</v>
      </c>
    </row>
    <row r="631" spans="1:20" x14ac:dyDescent="0.2">
      <c r="A631" s="9">
        <v>44847</v>
      </c>
      <c r="B631" s="4" t="s">
        <v>224</v>
      </c>
      <c r="C631" s="8">
        <v>44835</v>
      </c>
      <c r="D631" s="4" t="s">
        <v>183</v>
      </c>
      <c r="E631" s="14">
        <f>IF(SUMIFS('Daily NSE Equity Futures'!$I:$I,'Daily NSE Equity Futures'!$A:$A,$A631)=0,"",SUMIFS('Daily NSE Equity Futures'!$I:$I,'Daily NSE Equity Futures'!$A:$A,$A631))</f>
        <v>899.85929999999996</v>
      </c>
      <c r="F631" s="6">
        <f>IF(SUMIFS('Daily BSE Equity Futures'!$I:$I,'Daily BSE Equity Futures'!$A:$A,$A631)=0,"",SUMIFS('Daily BSE Equity Futures'!$I:$I,'Daily BSE Equity Futures'!$A:$A,$A631))</f>
        <v>2.7000000000000001E-3</v>
      </c>
      <c r="G631" s="6">
        <f t="shared" si="108"/>
        <v>899.86199999999997</v>
      </c>
      <c r="H631" s="15">
        <f t="shared" si="109"/>
        <v>0.99999699953992949</v>
      </c>
      <c r="I631" s="15">
        <f t="shared" si="110"/>
        <v>3.0004600705441502E-6</v>
      </c>
      <c r="J631" s="20">
        <f t="shared" si="111"/>
        <v>-0.27199383525071597</v>
      </c>
      <c r="K631" s="15" t="str">
        <f t="shared" si="112"/>
        <v/>
      </c>
      <c r="L631" s="15" t="str">
        <f t="shared" si="113"/>
        <v/>
      </c>
      <c r="M631" s="15">
        <f t="shared" si="117"/>
        <v>3.8732137466457317E-3</v>
      </c>
      <c r="N631" s="15">
        <f t="shared" si="118"/>
        <v>0.50000000000000022</v>
      </c>
      <c r="O631" s="15">
        <f t="shared" si="119"/>
        <v>3.8742099971753596E-3</v>
      </c>
      <c r="P631" s="18">
        <f>IF(SUMIFS('Daily NSE Equity Futures'!$J:$J,'Daily NSE Equity Futures'!$A:$A,$A631)=0,"",SUMIFS('Daily NSE Equity Futures'!$J:$J,'Daily NSE Equity Futures'!$A:$A,$A631))</f>
        <v>1176075</v>
      </c>
      <c r="Q631" s="7">
        <f>IF(SUMIFS('Daily BSE Equity Futures'!$J:$J,'Daily BSE Equity Futures'!$A:$A,$A631)=0,"",SUMIFS('Daily BSE Equity Futures'!$J:$J,'Daily BSE Equity Futures'!$A:$A,$A631))</f>
        <v>3</v>
      </c>
      <c r="R631" s="7">
        <f t="shared" si="114"/>
        <v>1176078</v>
      </c>
      <c r="S631" s="19">
        <f t="shared" si="115"/>
        <v>0.99999744914878097</v>
      </c>
      <c r="T631" s="19">
        <f t="shared" si="116"/>
        <v>2.5508512190517975E-6</v>
      </c>
    </row>
    <row r="632" spans="1:20" x14ac:dyDescent="0.2">
      <c r="A632" s="9">
        <v>44848</v>
      </c>
      <c r="B632" s="4" t="s">
        <v>222</v>
      </c>
      <c r="C632" s="8">
        <v>44835</v>
      </c>
      <c r="D632" s="4" t="s">
        <v>183</v>
      </c>
      <c r="E632" s="14">
        <f>IF(SUMIFS('Daily NSE Equity Futures'!$I:$I,'Daily NSE Equity Futures'!$A:$A,$A632)=0,"",SUMIFS('Daily NSE Equity Futures'!$I:$I,'Daily NSE Equity Futures'!$A:$A,$A632))</f>
        <v>1068.8884</v>
      </c>
      <c r="F632" s="6">
        <f>IF(SUMIFS('Daily BSE Equity Futures'!$I:$I,'Daily BSE Equity Futures'!$A:$A,$A632)=0,"",SUMIFS('Daily BSE Equity Futures'!$I:$I,'Daily BSE Equity Futures'!$A:$A,$A632))</f>
        <v>1.8E-3</v>
      </c>
      <c r="G632" s="6">
        <f t="shared" si="108"/>
        <v>1068.8902</v>
      </c>
      <c r="H632" s="15">
        <f t="shared" si="109"/>
        <v>0.99999831601038158</v>
      </c>
      <c r="I632" s="15">
        <f t="shared" si="110"/>
        <v>1.6839896183911125E-6</v>
      </c>
      <c r="J632" s="20">
        <f t="shared" si="111"/>
        <v>-0.23973933921827517</v>
      </c>
      <c r="K632" s="15" t="str">
        <f t="shared" si="112"/>
        <v/>
      </c>
      <c r="L632" s="15" t="str">
        <f t="shared" si="113"/>
        <v/>
      </c>
      <c r="M632" s="15">
        <f t="shared" si="117"/>
        <v>0.18783947668263257</v>
      </c>
      <c r="N632" s="15">
        <f t="shared" si="118"/>
        <v>-0.33333333333333337</v>
      </c>
      <c r="O632" s="15">
        <f t="shared" si="119"/>
        <v>0.18783791292442631</v>
      </c>
      <c r="P632" s="18">
        <f>IF(SUMIFS('Daily NSE Equity Futures'!$J:$J,'Daily NSE Equity Futures'!$A:$A,$A632)=0,"",SUMIFS('Daily NSE Equity Futures'!$J:$J,'Daily NSE Equity Futures'!$A:$A,$A632))</f>
        <v>1397319</v>
      </c>
      <c r="Q632" s="7">
        <f>IF(SUMIFS('Daily BSE Equity Futures'!$J:$J,'Daily BSE Equity Futures'!$A:$A,$A632)=0,"",SUMIFS('Daily BSE Equity Futures'!$J:$J,'Daily BSE Equity Futures'!$A:$A,$A632))</f>
        <v>2</v>
      </c>
      <c r="R632" s="7">
        <f t="shared" si="114"/>
        <v>1397321</v>
      </c>
      <c r="S632" s="19">
        <f t="shared" si="115"/>
        <v>0.99999856868965686</v>
      </c>
      <c r="T632" s="19">
        <f t="shared" si="116"/>
        <v>1.4313103431494982E-6</v>
      </c>
    </row>
    <row r="633" spans="1:20" x14ac:dyDescent="0.2">
      <c r="A633" s="9">
        <v>44851</v>
      </c>
      <c r="B633" s="4" t="s">
        <v>225</v>
      </c>
      <c r="C633" s="8">
        <v>44835</v>
      </c>
      <c r="D633" s="4" t="s">
        <v>183</v>
      </c>
      <c r="E633" s="14">
        <f>IF(SUMIFS('Daily NSE Equity Futures'!$I:$I,'Daily NSE Equity Futures'!$A:$A,$A633)=0,"",SUMIFS('Daily NSE Equity Futures'!$I:$I,'Daily NSE Equity Futures'!$A:$A,$A633))</f>
        <v>963.1771</v>
      </c>
      <c r="F633" s="6">
        <f>IF(SUMIFS('Daily BSE Equity Futures'!$I:$I,'Daily BSE Equity Futures'!$A:$A,$A633)=0,"",SUMIFS('Daily BSE Equity Futures'!$I:$I,'Daily BSE Equity Futures'!$A:$A,$A633))</f>
        <v>8.9999999999999998E-4</v>
      </c>
      <c r="G633" s="6">
        <f t="shared" si="108"/>
        <v>963.178</v>
      </c>
      <c r="H633" s="15">
        <f t="shared" si="109"/>
        <v>0.99999906559327556</v>
      </c>
      <c r="I633" s="15">
        <f t="shared" si="110"/>
        <v>9.3440672440608066E-7</v>
      </c>
      <c r="J633" s="20" t="str">
        <f t="shared" si="111"/>
        <v/>
      </c>
      <c r="K633" s="15" t="str">
        <f t="shared" si="112"/>
        <v/>
      </c>
      <c r="L633" s="15" t="str">
        <f t="shared" si="113"/>
        <v/>
      </c>
      <c r="M633" s="15">
        <f t="shared" si="117"/>
        <v>-9.8898350847478556E-2</v>
      </c>
      <c r="N633" s="15">
        <f t="shared" si="118"/>
        <v>-0.5</v>
      </c>
      <c r="O633" s="15">
        <f t="shared" si="119"/>
        <v>-9.8899026298491677E-2</v>
      </c>
      <c r="P633" s="18">
        <f>IF(SUMIFS('Daily NSE Equity Futures'!$J:$J,'Daily NSE Equity Futures'!$A:$A,$A633)=0,"",SUMIFS('Daily NSE Equity Futures'!$J:$J,'Daily NSE Equity Futures'!$A:$A,$A633))</f>
        <v>1242905</v>
      </c>
      <c r="Q633" s="7">
        <f>IF(SUMIFS('Daily BSE Equity Futures'!$J:$J,'Daily BSE Equity Futures'!$A:$A,$A633)=0,"",SUMIFS('Daily BSE Equity Futures'!$J:$J,'Daily BSE Equity Futures'!$A:$A,$A633))</f>
        <v>1</v>
      </c>
      <c r="R633" s="7">
        <f t="shared" si="114"/>
        <v>1242906</v>
      </c>
      <c r="S633" s="19">
        <f t="shared" si="115"/>
        <v>0.99999919543392657</v>
      </c>
      <c r="T633" s="19">
        <f t="shared" si="116"/>
        <v>8.0456607337964414E-7</v>
      </c>
    </row>
    <row r="634" spans="1:20" x14ac:dyDescent="0.2">
      <c r="A634" s="9">
        <v>44852</v>
      </c>
      <c r="B634" s="4" t="s">
        <v>223</v>
      </c>
      <c r="C634" s="8">
        <v>44835</v>
      </c>
      <c r="D634" s="4" t="s">
        <v>183</v>
      </c>
      <c r="E634" s="14">
        <f>IF(SUMIFS('Daily NSE Equity Futures'!$I:$I,'Daily NSE Equity Futures'!$A:$A,$A634)=0,"",SUMIFS('Daily NSE Equity Futures'!$I:$I,'Daily NSE Equity Futures'!$A:$A,$A634))</f>
        <v>1120.1035999999999</v>
      </c>
      <c r="F634" s="6">
        <f>IF(SUMIFS('Daily BSE Equity Futures'!$I:$I,'Daily BSE Equity Futures'!$A:$A,$A634)=0,"",SUMIFS('Daily BSE Equity Futures'!$I:$I,'Daily BSE Equity Futures'!$A:$A,$A634))</f>
        <v>8.9999999999999998E-4</v>
      </c>
      <c r="G634" s="6">
        <f t="shared" si="108"/>
        <v>1120.1044999999999</v>
      </c>
      <c r="H634" s="15">
        <f t="shared" si="109"/>
        <v>0.99999919650354052</v>
      </c>
      <c r="I634" s="15">
        <f t="shared" si="110"/>
        <v>8.034964594821287E-7</v>
      </c>
      <c r="J634" s="20">
        <f t="shared" si="111"/>
        <v>-0.21687533493835742</v>
      </c>
      <c r="K634" s="15" t="str">
        <f t="shared" si="112"/>
        <v/>
      </c>
      <c r="L634" s="15" t="str">
        <f t="shared" si="113"/>
        <v/>
      </c>
      <c r="M634" s="15">
        <f t="shared" si="117"/>
        <v>0.16292590428073916</v>
      </c>
      <c r="N634" s="15">
        <f t="shared" si="118"/>
        <v>0</v>
      </c>
      <c r="O634" s="15">
        <f t="shared" si="119"/>
        <v>0.1629257520416787</v>
      </c>
      <c r="P634" s="18">
        <f>IF(SUMIFS('Daily NSE Equity Futures'!$J:$J,'Daily NSE Equity Futures'!$A:$A,$A634)=0,"",SUMIFS('Daily NSE Equity Futures'!$J:$J,'Daily NSE Equity Futures'!$A:$A,$A634))</f>
        <v>1422518</v>
      </c>
      <c r="Q634" s="7">
        <f>IF(SUMIFS('Daily BSE Equity Futures'!$J:$J,'Daily BSE Equity Futures'!$A:$A,$A634)=0,"",SUMIFS('Daily BSE Equity Futures'!$J:$J,'Daily BSE Equity Futures'!$A:$A,$A634))</f>
        <v>1</v>
      </c>
      <c r="R634" s="7">
        <f t="shared" si="114"/>
        <v>1422519</v>
      </c>
      <c r="S634" s="19">
        <f t="shared" si="115"/>
        <v>0.99999929702169177</v>
      </c>
      <c r="T634" s="19">
        <f t="shared" si="116"/>
        <v>7.0297830819834395E-7</v>
      </c>
    </row>
    <row r="635" spans="1:20" x14ac:dyDescent="0.2">
      <c r="A635" s="9">
        <v>44853</v>
      </c>
      <c r="B635" s="4" t="s">
        <v>221</v>
      </c>
      <c r="C635" s="8">
        <v>44835</v>
      </c>
      <c r="D635" s="4" t="s">
        <v>183</v>
      </c>
      <c r="E635" s="14">
        <f>IF(SUMIFS('Daily NSE Equity Futures'!$I:$I,'Daily NSE Equity Futures'!$A:$A,$A635)=0,"",SUMIFS('Daily NSE Equity Futures'!$I:$I,'Daily NSE Equity Futures'!$A:$A,$A635))</f>
        <v>1179.0736999999999</v>
      </c>
      <c r="F635" s="6">
        <f>IF(SUMIFS('Daily BSE Equity Futures'!$I:$I,'Daily BSE Equity Futures'!$A:$A,$A635)=0,"",SUMIFS('Daily BSE Equity Futures'!$I:$I,'Daily BSE Equity Futures'!$A:$A,$A635))</f>
        <v>1.8E-3</v>
      </c>
      <c r="G635" s="6">
        <f t="shared" si="108"/>
        <v>1179.0754999999999</v>
      </c>
      <c r="H635" s="15">
        <f t="shared" si="109"/>
        <v>0.99999847338020342</v>
      </c>
      <c r="I635" s="15">
        <f t="shared" si="110"/>
        <v>1.526619796611837E-6</v>
      </c>
      <c r="J635" s="20">
        <f t="shared" si="111"/>
        <v>-0.2887272977784765</v>
      </c>
      <c r="K635" s="15" t="str">
        <f t="shared" si="112"/>
        <v/>
      </c>
      <c r="L635" s="15" t="str">
        <f t="shared" si="113"/>
        <v/>
      </c>
      <c r="M635" s="15">
        <f t="shared" si="117"/>
        <v>5.2647005152023363E-2</v>
      </c>
      <c r="N635" s="15">
        <f t="shared" si="118"/>
        <v>1</v>
      </c>
      <c r="O635" s="15">
        <f t="shared" si="119"/>
        <v>5.2647766346800795E-2</v>
      </c>
      <c r="P635" s="18">
        <f>IF(SUMIFS('Daily NSE Equity Futures'!$J:$J,'Daily NSE Equity Futures'!$A:$A,$A635)=0,"",SUMIFS('Daily NSE Equity Futures'!$J:$J,'Daily NSE Equity Futures'!$A:$A,$A635))</f>
        <v>1509454</v>
      </c>
      <c r="Q635" s="7">
        <f>IF(SUMIFS('Daily BSE Equity Futures'!$J:$J,'Daily BSE Equity Futures'!$A:$A,$A635)=0,"",SUMIFS('Daily BSE Equity Futures'!$J:$J,'Daily BSE Equity Futures'!$A:$A,$A635))</f>
        <v>2</v>
      </c>
      <c r="R635" s="7">
        <f t="shared" si="114"/>
        <v>1509456</v>
      </c>
      <c r="S635" s="19">
        <f t="shared" si="115"/>
        <v>0.9999986750193447</v>
      </c>
      <c r="T635" s="19">
        <f t="shared" si="116"/>
        <v>1.3249806552824328E-6</v>
      </c>
    </row>
    <row r="636" spans="1:20" x14ac:dyDescent="0.2">
      <c r="A636" s="9">
        <v>44854</v>
      </c>
      <c r="B636" s="4" t="s">
        <v>224</v>
      </c>
      <c r="C636" s="8">
        <v>44835</v>
      </c>
      <c r="D636" s="4" t="s">
        <v>183</v>
      </c>
      <c r="E636" s="14">
        <f>IF(SUMIFS('Daily NSE Equity Futures'!$I:$I,'Daily NSE Equity Futures'!$A:$A,$A636)=0,"",SUMIFS('Daily NSE Equity Futures'!$I:$I,'Daily NSE Equity Futures'!$A:$A,$A636))</f>
        <v>1654.0996</v>
      </c>
      <c r="F636" s="6">
        <f>IF(SUMIFS('Daily BSE Equity Futures'!$I:$I,'Daily BSE Equity Futures'!$A:$A,$A636)=0,"",SUMIFS('Daily BSE Equity Futures'!$I:$I,'Daily BSE Equity Futures'!$A:$A,$A636))</f>
        <v>1.8E-3</v>
      </c>
      <c r="G636" s="6">
        <f t="shared" si="108"/>
        <v>1654.1014</v>
      </c>
      <c r="H636" s="15">
        <f t="shared" si="109"/>
        <v>0.99999891179585487</v>
      </c>
      <c r="I636" s="15">
        <f t="shared" si="110"/>
        <v>1.0882041451630474E-6</v>
      </c>
      <c r="J636" s="20">
        <f t="shared" si="111"/>
        <v>0.10365918387649686</v>
      </c>
      <c r="K636" s="15" t="str">
        <f t="shared" si="112"/>
        <v/>
      </c>
      <c r="L636" s="15" t="str">
        <f t="shared" si="113"/>
        <v/>
      </c>
      <c r="M636" s="15">
        <f t="shared" si="117"/>
        <v>0.40288058329178256</v>
      </c>
      <c r="N636" s="15">
        <f t="shared" si="118"/>
        <v>0</v>
      </c>
      <c r="O636" s="15">
        <f t="shared" si="119"/>
        <v>0.40287996824630823</v>
      </c>
      <c r="P636" s="18">
        <f>IF(SUMIFS('Daily NSE Equity Futures'!$J:$J,'Daily NSE Equity Futures'!$A:$A,$A636)=0,"",SUMIFS('Daily NSE Equity Futures'!$J:$J,'Daily NSE Equity Futures'!$A:$A,$A636))</f>
        <v>2214064</v>
      </c>
      <c r="Q636" s="7">
        <f>IF(SUMIFS('Daily BSE Equity Futures'!$J:$J,'Daily BSE Equity Futures'!$A:$A,$A636)=0,"",SUMIFS('Daily BSE Equity Futures'!$J:$J,'Daily BSE Equity Futures'!$A:$A,$A636))</f>
        <v>2</v>
      </c>
      <c r="R636" s="7">
        <f t="shared" si="114"/>
        <v>2214066</v>
      </c>
      <c r="S636" s="19">
        <f t="shared" si="115"/>
        <v>0.99999909668456133</v>
      </c>
      <c r="T636" s="19">
        <f t="shared" si="116"/>
        <v>9.0331543865449356E-7</v>
      </c>
    </row>
    <row r="637" spans="1:20" x14ac:dyDescent="0.2">
      <c r="A637" s="9">
        <v>44855</v>
      </c>
      <c r="B637" s="4" t="s">
        <v>222</v>
      </c>
      <c r="C637" s="8">
        <v>44835</v>
      </c>
      <c r="D637" s="4" t="s">
        <v>183</v>
      </c>
      <c r="E637" s="14">
        <f>IF(SUMIFS('Daily NSE Equity Futures'!$I:$I,'Daily NSE Equity Futures'!$A:$A,$A637)=0,"",SUMIFS('Daily NSE Equity Futures'!$I:$I,'Daily NSE Equity Futures'!$A:$A,$A637))</f>
        <v>2150.2689</v>
      </c>
      <c r="F637" s="6">
        <f>IF(SUMIFS('Daily BSE Equity Futures'!$I:$I,'Daily BSE Equity Futures'!$A:$A,$A637)=0,"",SUMIFS('Daily BSE Equity Futures'!$I:$I,'Daily BSE Equity Futures'!$A:$A,$A637))</f>
        <v>8.9999999999999998E-4</v>
      </c>
      <c r="G637" s="6">
        <f t="shared" si="108"/>
        <v>2150.2698</v>
      </c>
      <c r="H637" s="15">
        <f t="shared" si="109"/>
        <v>0.99999958144787227</v>
      </c>
      <c r="I637" s="15">
        <f t="shared" si="110"/>
        <v>4.1855212773764482E-7</v>
      </c>
      <c r="J637" s="20">
        <f t="shared" si="111"/>
        <v>0.45250566085505151</v>
      </c>
      <c r="K637" s="15">
        <f t="shared" si="112"/>
        <v>-0.76315789473684215</v>
      </c>
      <c r="L637" s="15">
        <f t="shared" si="113"/>
        <v>0.45250254037838822</v>
      </c>
      <c r="M637" s="15">
        <f t="shared" si="117"/>
        <v>0.29996337584508215</v>
      </c>
      <c r="N637" s="15">
        <f t="shared" si="118"/>
        <v>-0.5</v>
      </c>
      <c r="O637" s="15">
        <f t="shared" si="119"/>
        <v>0.29996250532162061</v>
      </c>
      <c r="P637" s="18">
        <f>IF(SUMIFS('Daily NSE Equity Futures'!$J:$J,'Daily NSE Equity Futures'!$A:$A,$A637)=0,"",SUMIFS('Daily NSE Equity Futures'!$J:$J,'Daily NSE Equity Futures'!$A:$A,$A637))</f>
        <v>2840864</v>
      </c>
      <c r="Q637" s="7">
        <f>IF(SUMIFS('Daily BSE Equity Futures'!$J:$J,'Daily BSE Equity Futures'!$A:$A,$A637)=0,"",SUMIFS('Daily BSE Equity Futures'!$J:$J,'Daily BSE Equity Futures'!$A:$A,$A637))</f>
        <v>1</v>
      </c>
      <c r="R637" s="7">
        <f t="shared" si="114"/>
        <v>2840865</v>
      </c>
      <c r="S637" s="19">
        <f t="shared" si="115"/>
        <v>0.99999964799453689</v>
      </c>
      <c r="T637" s="19">
        <f t="shared" si="116"/>
        <v>3.5200546312478769E-7</v>
      </c>
    </row>
    <row r="638" spans="1:20" x14ac:dyDescent="0.2">
      <c r="A638" s="9">
        <v>44858</v>
      </c>
      <c r="B638" s="4" t="s">
        <v>225</v>
      </c>
      <c r="C638" s="8">
        <v>44835</v>
      </c>
      <c r="D638" s="4" t="s">
        <v>183</v>
      </c>
      <c r="E638" s="14">
        <f>IF(SUMIFS('Daily NSE Equity Futures'!$I:$I,'Daily NSE Equity Futures'!$A:$A,$A638)=0,"",SUMIFS('Daily NSE Equity Futures'!$I:$I,'Daily NSE Equity Futures'!$A:$A,$A638))</f>
        <v>367.63150000000002</v>
      </c>
      <c r="F638" s="6" t="str">
        <f>IF(SUMIFS('Daily BSE Equity Futures'!$I:$I,'Daily BSE Equity Futures'!$A:$A,$A638)=0,"",SUMIFS('Daily BSE Equity Futures'!$I:$I,'Daily BSE Equity Futures'!$A:$A,$A638))</f>
        <v/>
      </c>
      <c r="G638" s="6" t="str">
        <f t="shared" si="108"/>
        <v/>
      </c>
      <c r="H638" s="15" t="str">
        <f t="shared" si="109"/>
        <v/>
      </c>
      <c r="I638" s="15" t="str">
        <f t="shared" si="110"/>
        <v/>
      </c>
      <c r="J638" s="20" t="str">
        <f t="shared" si="111"/>
        <v/>
      </c>
      <c r="K638" s="15" t="str">
        <f t="shared" si="112"/>
        <v/>
      </c>
      <c r="L638" s="15" t="str">
        <f t="shared" si="113"/>
        <v/>
      </c>
      <c r="M638" s="15">
        <f t="shared" si="117"/>
        <v>-0.82902998783082427</v>
      </c>
      <c r="N638" s="15" t="str">
        <f t="shared" si="118"/>
        <v/>
      </c>
      <c r="O638" s="15" t="str">
        <f t="shared" si="119"/>
        <v/>
      </c>
      <c r="P638" s="18">
        <f>IF(SUMIFS('Daily NSE Equity Futures'!$J:$J,'Daily NSE Equity Futures'!$A:$A,$A638)=0,"",SUMIFS('Daily NSE Equity Futures'!$J:$J,'Daily NSE Equity Futures'!$A:$A,$A638))</f>
        <v>452889</v>
      </c>
      <c r="Q638" s="7" t="str">
        <f>IF(SUMIFS('Daily BSE Equity Futures'!$J:$J,'Daily BSE Equity Futures'!$A:$A,$A638)=0,"",SUMIFS('Daily BSE Equity Futures'!$J:$J,'Daily BSE Equity Futures'!$A:$A,$A638))</f>
        <v/>
      </c>
      <c r="R638" s="7" t="str">
        <f t="shared" si="114"/>
        <v/>
      </c>
      <c r="S638" s="19" t="str">
        <f t="shared" si="115"/>
        <v/>
      </c>
      <c r="T638" s="19" t="str">
        <f t="shared" si="116"/>
        <v/>
      </c>
    </row>
    <row r="639" spans="1:20" x14ac:dyDescent="0.2">
      <c r="A639" s="9">
        <v>44859</v>
      </c>
      <c r="B639" s="4" t="s">
        <v>223</v>
      </c>
      <c r="C639" s="8">
        <v>44835</v>
      </c>
      <c r="D639" s="4" t="s">
        <v>183</v>
      </c>
      <c r="E639" s="14">
        <f>IF(SUMIFS('Daily NSE Equity Futures'!$I:$I,'Daily NSE Equity Futures'!$A:$A,$A639)=0,"",SUMIFS('Daily NSE Equity Futures'!$I:$I,'Daily NSE Equity Futures'!$A:$A,$A639))</f>
        <v>2209.1172000000001</v>
      </c>
      <c r="F639" s="6">
        <f>IF(SUMIFS('Daily BSE Equity Futures'!$I:$I,'Daily BSE Equity Futures'!$A:$A,$A639)=0,"",SUMIFS('Daily BSE Equity Futures'!$I:$I,'Daily BSE Equity Futures'!$A:$A,$A639))</f>
        <v>8.9999999999999998E-4</v>
      </c>
      <c r="G639" s="6">
        <f t="shared" si="108"/>
        <v>2209.1181000000001</v>
      </c>
      <c r="H639" s="15">
        <f t="shared" si="109"/>
        <v>0.99999959259760718</v>
      </c>
      <c r="I639" s="15">
        <f t="shared" si="110"/>
        <v>4.0740239283721404E-7</v>
      </c>
      <c r="J639" s="20">
        <f t="shared" si="111"/>
        <v>-3.5051837113161066E-2</v>
      </c>
      <c r="K639" s="15">
        <f t="shared" si="112"/>
        <v>-0.84210526315789469</v>
      </c>
      <c r="L639" s="15">
        <f t="shared" si="113"/>
        <v>-3.5053846489511375E-2</v>
      </c>
      <c r="M639" s="15">
        <f t="shared" si="117"/>
        <v>5.009053087126647</v>
      </c>
      <c r="N639" s="15" t="str">
        <f t="shared" si="118"/>
        <v/>
      </c>
      <c r="O639" s="15" t="str">
        <f t="shared" si="119"/>
        <v/>
      </c>
      <c r="P639" s="18">
        <f>IF(SUMIFS('Daily NSE Equity Futures'!$J:$J,'Daily NSE Equity Futures'!$A:$A,$A639)=0,"",SUMIFS('Daily NSE Equity Futures'!$J:$J,'Daily NSE Equity Futures'!$A:$A,$A639))</f>
        <v>2985454</v>
      </c>
      <c r="Q639" s="7">
        <f>IF(SUMIFS('Daily BSE Equity Futures'!$J:$J,'Daily BSE Equity Futures'!$A:$A,$A639)=0,"",SUMIFS('Daily BSE Equity Futures'!$J:$J,'Daily BSE Equity Futures'!$A:$A,$A639))</f>
        <v>1</v>
      </c>
      <c r="R639" s="7">
        <f t="shared" si="114"/>
        <v>2985455</v>
      </c>
      <c r="S639" s="19">
        <f t="shared" si="115"/>
        <v>0.9999996650426819</v>
      </c>
      <c r="T639" s="19">
        <f t="shared" si="116"/>
        <v>3.3495731806374573E-7</v>
      </c>
    </row>
    <row r="640" spans="1:20" x14ac:dyDescent="0.2">
      <c r="A640" s="9">
        <v>44861</v>
      </c>
      <c r="B640" s="4" t="s">
        <v>224</v>
      </c>
      <c r="C640" s="8">
        <v>44835</v>
      </c>
      <c r="D640" s="4" t="s">
        <v>183</v>
      </c>
      <c r="E640" s="14">
        <f>IF(SUMIFS('Daily NSE Equity Futures'!$I:$I,'Daily NSE Equity Futures'!$A:$A,$A640)=0,"",SUMIFS('Daily NSE Equity Futures'!$I:$I,'Daily NSE Equity Futures'!$A:$A,$A640))</f>
        <v>2229.3861000000002</v>
      </c>
      <c r="F640" s="6">
        <f>IF(SUMIFS('Daily BSE Equity Futures'!$I:$I,'Daily BSE Equity Futures'!$A:$A,$A640)=0,"",SUMIFS('Daily BSE Equity Futures'!$I:$I,'Daily BSE Equity Futures'!$A:$A,$A640))</f>
        <v>1.9E-3</v>
      </c>
      <c r="G640" s="6">
        <f t="shared" si="108"/>
        <v>2229.3880000000004</v>
      </c>
      <c r="H640" s="15">
        <f t="shared" si="109"/>
        <v>0.99999914774817111</v>
      </c>
      <c r="I640" s="15">
        <f t="shared" si="110"/>
        <v>8.5225182875300291E-7</v>
      </c>
      <c r="J640" s="20">
        <f t="shared" si="111"/>
        <v>2.0165855588798465E-3</v>
      </c>
      <c r="K640" s="15">
        <f t="shared" si="112"/>
        <v>0</v>
      </c>
      <c r="L640" s="15">
        <f t="shared" si="113"/>
        <v>2.0165838367753874E-3</v>
      </c>
      <c r="M640" s="15">
        <f t="shared" si="117"/>
        <v>9.1751130270498749E-3</v>
      </c>
      <c r="N640" s="15">
        <f t="shared" si="118"/>
        <v>1.1111111111111112</v>
      </c>
      <c r="O640" s="15">
        <f t="shared" si="119"/>
        <v>9.1755619584124037E-3</v>
      </c>
      <c r="P640" s="18">
        <f>IF(SUMIFS('Daily NSE Equity Futures'!$J:$J,'Daily NSE Equity Futures'!$A:$A,$A640)=0,"",SUMIFS('Daily NSE Equity Futures'!$J:$J,'Daily NSE Equity Futures'!$A:$A,$A640))</f>
        <v>2953781</v>
      </c>
      <c r="Q640" s="7">
        <f>IF(SUMIFS('Daily BSE Equity Futures'!$J:$J,'Daily BSE Equity Futures'!$A:$A,$A640)=0,"",SUMIFS('Daily BSE Equity Futures'!$J:$J,'Daily BSE Equity Futures'!$A:$A,$A640))</f>
        <v>2</v>
      </c>
      <c r="R640" s="7">
        <f t="shared" si="114"/>
        <v>2953783</v>
      </c>
      <c r="S640" s="19">
        <f t="shared" si="115"/>
        <v>0.99999932290219018</v>
      </c>
      <c r="T640" s="19">
        <f t="shared" si="116"/>
        <v>6.7709780982556949E-7</v>
      </c>
    </row>
    <row r="641" spans="1:20" x14ac:dyDescent="0.2">
      <c r="A641" s="9">
        <v>44862</v>
      </c>
      <c r="B641" s="4" t="s">
        <v>222</v>
      </c>
      <c r="C641" s="8">
        <v>44835</v>
      </c>
      <c r="D641" s="4" t="s">
        <v>183</v>
      </c>
      <c r="E641" s="14">
        <f>IF(SUMIFS('Daily NSE Equity Futures'!$I:$I,'Daily NSE Equity Futures'!$A:$A,$A641)=0,"",SUMIFS('Daily NSE Equity Futures'!$I:$I,'Daily NSE Equity Futures'!$A:$A,$A641))</f>
        <v>886.61469999999997</v>
      </c>
      <c r="F641" s="6">
        <f>IF(SUMIFS('Daily BSE Equity Futures'!$I:$I,'Daily BSE Equity Futures'!$A:$A,$A641)=0,"",SUMIFS('Daily BSE Equity Futures'!$I:$I,'Daily BSE Equity Futures'!$A:$A,$A641))</f>
        <v>8.9999999999999998E-4</v>
      </c>
      <c r="G641" s="6">
        <f t="shared" si="108"/>
        <v>886.61559999999997</v>
      </c>
      <c r="H641" s="15">
        <f t="shared" si="109"/>
        <v>0.99999898490394257</v>
      </c>
      <c r="I641" s="15">
        <f t="shared" si="110"/>
        <v>1.0150960574120284E-6</v>
      </c>
      <c r="J641" s="20">
        <f t="shared" si="111"/>
        <v>-0.6553915710626691</v>
      </c>
      <c r="K641" s="15" t="str">
        <f t="shared" si="112"/>
        <v/>
      </c>
      <c r="L641" s="15" t="str">
        <f t="shared" si="113"/>
        <v/>
      </c>
      <c r="M641" s="15">
        <f t="shared" si="117"/>
        <v>-0.60230545081446418</v>
      </c>
      <c r="N641" s="15">
        <f t="shared" si="118"/>
        <v>-0.52631578947368429</v>
      </c>
      <c r="O641" s="15">
        <f t="shared" si="119"/>
        <v>-0.60230538605213635</v>
      </c>
      <c r="P641" s="18">
        <f>IF(SUMIFS('Daily NSE Equity Futures'!$J:$J,'Daily NSE Equity Futures'!$A:$A,$A641)=0,"",SUMIFS('Daily NSE Equity Futures'!$J:$J,'Daily NSE Equity Futures'!$A:$A,$A641))</f>
        <v>1159009</v>
      </c>
      <c r="Q641" s="7">
        <f>IF(SUMIFS('Daily BSE Equity Futures'!$J:$J,'Daily BSE Equity Futures'!$A:$A,$A641)=0,"",SUMIFS('Daily BSE Equity Futures'!$J:$J,'Daily BSE Equity Futures'!$A:$A,$A641))</f>
        <v>1</v>
      </c>
      <c r="R641" s="7">
        <f t="shared" si="114"/>
        <v>1159010</v>
      </c>
      <c r="S641" s="19">
        <f t="shared" si="115"/>
        <v>0.99999913719467481</v>
      </c>
      <c r="T641" s="19">
        <f t="shared" si="116"/>
        <v>8.6280532523446737E-7</v>
      </c>
    </row>
    <row r="642" spans="1:20" x14ac:dyDescent="0.2">
      <c r="A642" s="9">
        <v>44865</v>
      </c>
      <c r="B642" s="4" t="s">
        <v>225</v>
      </c>
      <c r="C642" s="8">
        <v>44835</v>
      </c>
      <c r="D642" s="4" t="s">
        <v>183</v>
      </c>
      <c r="E642" s="14">
        <f>IF(SUMIFS('Daily NSE Equity Futures'!$I:$I,'Daily NSE Equity Futures'!$A:$A,$A642)=0,"",SUMIFS('Daily NSE Equity Futures'!$I:$I,'Daily NSE Equity Futures'!$A:$A,$A642))</f>
        <v>795.21169999999995</v>
      </c>
      <c r="F642" s="6">
        <f>IF(SUMIFS('Daily BSE Equity Futures'!$I:$I,'Daily BSE Equity Futures'!$A:$A,$A642)=0,"",SUMIFS('Daily BSE Equity Futures'!$I:$I,'Daily BSE Equity Futures'!$A:$A,$A642))</f>
        <v>8.9999999999999998E-4</v>
      </c>
      <c r="G642" s="6">
        <f t="shared" ref="G642:G705" si="120">IF(OR(E642="",F642=""),"",E642+F642)</f>
        <v>795.21259999999995</v>
      </c>
      <c r="H642" s="15">
        <f t="shared" ref="H642:H705" si="121">IF(G642="","",E642/G642)</f>
        <v>0.99999886822718853</v>
      </c>
      <c r="I642" s="15">
        <f t="shared" ref="I642:I705" si="122">IF(G642="","",F642/G642)</f>
        <v>1.1317728114469012E-6</v>
      </c>
      <c r="J642" s="20" t="str">
        <f t="shared" ref="J642:J705" si="123">IFERROR(IF(OR(E642="",INDEX(E:E,MATCH(DATE(YEAR($A642)-1,MONTH($A642),DAY($A642)),$A:$A,0))=""),"",E642/INDEX(E:E,MATCH(DATE(YEAR($A642)-1,MONTH($A642),DAY($A642)),$A:$A,0))-1),"")</f>
        <v/>
      </c>
      <c r="K642" s="15" t="str">
        <f t="shared" ref="K642:K705" si="124">IFERROR(IF(OR(F642="",INDEX(F:F,MATCH(DATE(YEAR($A642)-1,MONTH($A642),DAY($A642)),$A:$A,0))=""),"",F642/INDEX(F:F,MATCH(DATE(YEAR($A642)-1,MONTH($A642),DAY($A642)),$A:$A,0))-1),"")</f>
        <v/>
      </c>
      <c r="L642" s="15" t="str">
        <f t="shared" ref="L642:L705" si="125">IFERROR(IF(OR(G642="",INDEX(G:G,MATCH(DATE(YEAR($A642)-1,MONTH($A642),DAY($A642)),$A:$A,0))=""),"",G642/INDEX(G:G,MATCH(DATE(YEAR($A642)-1,MONTH($A642),DAY($A642)),$A:$A,0))-1),"")</f>
        <v/>
      </c>
      <c r="M642" s="15">
        <f t="shared" si="117"/>
        <v>-0.10309213235467451</v>
      </c>
      <c r="N642" s="15">
        <f t="shared" si="118"/>
        <v>0</v>
      </c>
      <c r="O642" s="15">
        <f t="shared" si="119"/>
        <v>-0.10309202770625736</v>
      </c>
      <c r="P642" s="18">
        <f>IF(SUMIFS('Daily NSE Equity Futures'!$J:$J,'Daily NSE Equity Futures'!$A:$A,$A642)=0,"",SUMIFS('Daily NSE Equity Futures'!$J:$J,'Daily NSE Equity Futures'!$A:$A,$A642))</f>
        <v>1059897</v>
      </c>
      <c r="Q642" s="7">
        <f>IF(SUMIFS('Daily BSE Equity Futures'!$J:$J,'Daily BSE Equity Futures'!$A:$A,$A642)=0,"",SUMIFS('Daily BSE Equity Futures'!$J:$J,'Daily BSE Equity Futures'!$A:$A,$A642))</f>
        <v>1</v>
      </c>
      <c r="R642" s="7">
        <f t="shared" ref="R642:R705" si="126">IF(OR(P642="",Q642=""),"",P642+Q642)</f>
        <v>1059898</v>
      </c>
      <c r="S642" s="19">
        <f t="shared" ref="S642:S705" si="127">IF(R642="","",P642/R642)</f>
        <v>0.99999905651298526</v>
      </c>
      <c r="T642" s="19">
        <f t="shared" ref="T642:T705" si="128">IF(R642="","",Q642/R642)</f>
        <v>9.4348701478821546E-7</v>
      </c>
    </row>
    <row r="643" spans="1:20" x14ac:dyDescent="0.2">
      <c r="A643" s="9">
        <v>44866</v>
      </c>
      <c r="B643" s="4" t="s">
        <v>223</v>
      </c>
      <c r="C643" s="8">
        <v>44866</v>
      </c>
      <c r="D643" s="4" t="s">
        <v>183</v>
      </c>
      <c r="E643" s="14">
        <f>IF(SUMIFS('Daily NSE Equity Futures'!$I:$I,'Daily NSE Equity Futures'!$A:$A,$A643)=0,"",SUMIFS('Daily NSE Equity Futures'!$I:$I,'Daily NSE Equity Futures'!$A:$A,$A643))</f>
        <v>988.34119999999996</v>
      </c>
      <c r="F643" s="6">
        <f>IF(SUMIFS('Daily BSE Equity Futures'!$I:$I,'Daily BSE Equity Futures'!$A:$A,$A643)=0,"",SUMIFS('Daily BSE Equity Futures'!$I:$I,'Daily BSE Equity Futures'!$A:$A,$A643))</f>
        <v>1E-3</v>
      </c>
      <c r="G643" s="6">
        <f t="shared" si="120"/>
        <v>988.34219999999993</v>
      </c>
      <c r="H643" s="15">
        <f t="shared" si="121"/>
        <v>0.99999898820469268</v>
      </c>
      <c r="I643" s="15">
        <f t="shared" si="122"/>
        <v>1.0117953073338365E-6</v>
      </c>
      <c r="J643" s="20">
        <f t="shared" si="123"/>
        <v>-2.3299989752143202E-2</v>
      </c>
      <c r="K643" s="15" t="str">
        <f t="shared" si="124"/>
        <v/>
      </c>
      <c r="L643" s="15" t="str">
        <f t="shared" si="125"/>
        <v/>
      </c>
      <c r="M643" s="15">
        <f t="shared" ref="M643:M706" si="129">IF(OR(E643="",E642=""),"",E643/E642-1)</f>
        <v>0.24286551618895946</v>
      </c>
      <c r="N643" s="15">
        <f t="shared" ref="N643:N706" si="130">IF(OR(F643="",F642=""),"",F643/F642-1)</f>
        <v>0.11111111111111116</v>
      </c>
      <c r="O643" s="15">
        <f t="shared" ref="O643:O706" si="131">IF(OR(G643="",G642=""),"",G643/G642-1)</f>
        <v>0.24286536707290596</v>
      </c>
      <c r="P643" s="18">
        <f>IF(SUMIFS('Daily NSE Equity Futures'!$J:$J,'Daily NSE Equity Futures'!$A:$A,$A643)=0,"",SUMIFS('Daily NSE Equity Futures'!$J:$J,'Daily NSE Equity Futures'!$A:$A,$A643))</f>
        <v>1291310</v>
      </c>
      <c r="Q643" s="7">
        <f>IF(SUMIFS('Daily BSE Equity Futures'!$J:$J,'Daily BSE Equity Futures'!$A:$A,$A643)=0,"",SUMIFS('Daily BSE Equity Futures'!$J:$J,'Daily BSE Equity Futures'!$A:$A,$A643))</f>
        <v>1</v>
      </c>
      <c r="R643" s="7">
        <f t="shared" si="126"/>
        <v>1291311</v>
      </c>
      <c r="S643" s="19">
        <f t="shared" si="127"/>
        <v>0.99999922559321497</v>
      </c>
      <c r="T643" s="19">
        <f t="shared" si="128"/>
        <v>7.744067850424878E-7</v>
      </c>
    </row>
    <row r="644" spans="1:20" x14ac:dyDescent="0.2">
      <c r="A644" s="9">
        <v>44867</v>
      </c>
      <c r="B644" s="4" t="s">
        <v>221</v>
      </c>
      <c r="C644" s="8">
        <v>44866</v>
      </c>
      <c r="D644" s="4" t="s">
        <v>183</v>
      </c>
      <c r="E644" s="14">
        <f>IF(SUMIFS('Daily NSE Equity Futures'!$I:$I,'Daily NSE Equity Futures'!$A:$A,$A644)=0,"",SUMIFS('Daily NSE Equity Futures'!$I:$I,'Daily NSE Equity Futures'!$A:$A,$A644))</f>
        <v>768.06610000000001</v>
      </c>
      <c r="F644" s="6">
        <f>IF(SUMIFS('Daily BSE Equity Futures'!$I:$I,'Daily BSE Equity Futures'!$A:$A,$A644)=0,"",SUMIFS('Daily BSE Equity Futures'!$I:$I,'Daily BSE Equity Futures'!$A:$A,$A644))</f>
        <v>1E-3</v>
      </c>
      <c r="G644" s="6">
        <f t="shared" si="120"/>
        <v>768.06709999999998</v>
      </c>
      <c r="H644" s="15">
        <f t="shared" si="121"/>
        <v>0.99999869803041952</v>
      </c>
      <c r="I644" s="15">
        <f t="shared" si="122"/>
        <v>1.3019695805223269E-6</v>
      </c>
      <c r="J644" s="20">
        <f t="shared" si="123"/>
        <v>-0.18058973471848694</v>
      </c>
      <c r="K644" s="15" t="str">
        <f t="shared" si="124"/>
        <v/>
      </c>
      <c r="L644" s="15" t="str">
        <f t="shared" si="125"/>
        <v/>
      </c>
      <c r="M644" s="15">
        <f t="shared" si="129"/>
        <v>-0.2228735380048914</v>
      </c>
      <c r="N644" s="15">
        <f t="shared" si="130"/>
        <v>0</v>
      </c>
      <c r="O644" s="15">
        <f t="shared" si="131"/>
        <v>-0.22287331250249154</v>
      </c>
      <c r="P644" s="18">
        <f>IF(SUMIFS('Daily NSE Equity Futures'!$J:$J,'Daily NSE Equity Futures'!$A:$A,$A644)=0,"",SUMIFS('Daily NSE Equity Futures'!$J:$J,'Daily NSE Equity Futures'!$A:$A,$A644))</f>
        <v>1025394</v>
      </c>
      <c r="Q644" s="7">
        <f>IF(SUMIFS('Daily BSE Equity Futures'!$J:$J,'Daily BSE Equity Futures'!$A:$A,$A644)=0,"",SUMIFS('Daily BSE Equity Futures'!$J:$J,'Daily BSE Equity Futures'!$A:$A,$A644))</f>
        <v>1</v>
      </c>
      <c r="R644" s="7">
        <f t="shared" si="126"/>
        <v>1025395</v>
      </c>
      <c r="S644" s="19">
        <f t="shared" si="127"/>
        <v>0.99999902476606572</v>
      </c>
      <c r="T644" s="19">
        <f t="shared" si="128"/>
        <v>9.7523393423997572E-7</v>
      </c>
    </row>
    <row r="645" spans="1:20" x14ac:dyDescent="0.2">
      <c r="A645" s="9">
        <v>44868</v>
      </c>
      <c r="B645" s="4" t="s">
        <v>224</v>
      </c>
      <c r="C645" s="8">
        <v>44866</v>
      </c>
      <c r="D645" s="4" t="s">
        <v>183</v>
      </c>
      <c r="E645" s="14">
        <f>IF(SUMIFS('Daily NSE Equity Futures'!$I:$I,'Daily NSE Equity Futures'!$A:$A,$A645)=0,"",SUMIFS('Daily NSE Equity Futures'!$I:$I,'Daily NSE Equity Futures'!$A:$A,$A645))</f>
        <v>840.10159999999996</v>
      </c>
      <c r="F645" s="6">
        <f>IF(SUMIFS('Daily BSE Equity Futures'!$I:$I,'Daily BSE Equity Futures'!$A:$A,$A645)=0,"",SUMIFS('Daily BSE Equity Futures'!$I:$I,'Daily BSE Equity Futures'!$A:$A,$A645))</f>
        <v>2.8999999999999998E-3</v>
      </c>
      <c r="G645" s="6">
        <f t="shared" si="120"/>
        <v>840.10449999999992</v>
      </c>
      <c r="H645" s="15">
        <f t="shared" si="121"/>
        <v>0.99999654804848692</v>
      </c>
      <c r="I645" s="15">
        <f t="shared" si="122"/>
        <v>3.4519515131748491E-6</v>
      </c>
      <c r="J645" s="20">
        <f t="shared" si="123"/>
        <v>-0.17444565816828506</v>
      </c>
      <c r="K645" s="15" t="str">
        <f t="shared" si="124"/>
        <v/>
      </c>
      <c r="L645" s="15" t="str">
        <f t="shared" si="125"/>
        <v/>
      </c>
      <c r="M645" s="15">
        <f t="shared" si="129"/>
        <v>9.3788151827036703E-2</v>
      </c>
      <c r="N645" s="15">
        <f t="shared" si="130"/>
        <v>1.9</v>
      </c>
      <c r="O645" s="15">
        <f t="shared" si="131"/>
        <v>9.3790503459918906E-2</v>
      </c>
      <c r="P645" s="18">
        <f>IF(SUMIFS('Daily NSE Equity Futures'!$J:$J,'Daily NSE Equity Futures'!$A:$A,$A645)=0,"",SUMIFS('Daily NSE Equity Futures'!$J:$J,'Daily NSE Equity Futures'!$A:$A,$A645))</f>
        <v>1077010</v>
      </c>
      <c r="Q645" s="7">
        <f>IF(SUMIFS('Daily BSE Equity Futures'!$J:$J,'Daily BSE Equity Futures'!$A:$A,$A645)=0,"",SUMIFS('Daily BSE Equity Futures'!$J:$J,'Daily BSE Equity Futures'!$A:$A,$A645))</f>
        <v>3</v>
      </c>
      <c r="R645" s="7">
        <f t="shared" si="126"/>
        <v>1077013</v>
      </c>
      <c r="S645" s="19">
        <f t="shared" si="127"/>
        <v>0.99999721451830204</v>
      </c>
      <c r="T645" s="19">
        <f t="shared" si="128"/>
        <v>2.7854816979925035E-6</v>
      </c>
    </row>
    <row r="646" spans="1:20" x14ac:dyDescent="0.2">
      <c r="A646" s="9">
        <v>44869</v>
      </c>
      <c r="B646" s="4" t="s">
        <v>222</v>
      </c>
      <c r="C646" s="8">
        <v>44866</v>
      </c>
      <c r="D646" s="4" t="s">
        <v>183</v>
      </c>
      <c r="E646" s="14">
        <f>IF(SUMIFS('Daily NSE Equity Futures'!$I:$I,'Daily NSE Equity Futures'!$A:$A,$A646)=0,"",SUMIFS('Daily NSE Equity Futures'!$I:$I,'Daily NSE Equity Futures'!$A:$A,$A646))</f>
        <v>874.04740000000004</v>
      </c>
      <c r="F646" s="6">
        <f>IF(SUMIFS('Daily BSE Equity Futures'!$I:$I,'Daily BSE Equity Futures'!$A:$A,$A646)=0,"",SUMIFS('Daily BSE Equity Futures'!$I:$I,'Daily BSE Equity Futures'!$A:$A,$A646))</f>
        <v>1E-3</v>
      </c>
      <c r="G646" s="6">
        <f t="shared" si="120"/>
        <v>874.04840000000002</v>
      </c>
      <c r="H646" s="15">
        <f t="shared" si="121"/>
        <v>0.99999885589859783</v>
      </c>
      <c r="I646" s="15">
        <f t="shared" si="122"/>
        <v>1.1441014021649145E-6</v>
      </c>
      <c r="J646" s="20">
        <f t="shared" si="123"/>
        <v>4.6126505107299192</v>
      </c>
      <c r="K646" s="15" t="str">
        <f t="shared" si="124"/>
        <v/>
      </c>
      <c r="L646" s="15" t="str">
        <f t="shared" si="125"/>
        <v/>
      </c>
      <c r="M646" s="15">
        <f t="shared" si="129"/>
        <v>4.0406779370495194E-2</v>
      </c>
      <c r="N646" s="15">
        <f t="shared" si="130"/>
        <v>-0.65517241379310343</v>
      </c>
      <c r="O646" s="15">
        <f t="shared" si="131"/>
        <v>4.0404378264846885E-2</v>
      </c>
      <c r="P646" s="18">
        <f>IF(SUMIFS('Daily NSE Equity Futures'!$J:$J,'Daily NSE Equity Futures'!$A:$A,$A646)=0,"",SUMIFS('Daily NSE Equity Futures'!$J:$J,'Daily NSE Equity Futures'!$A:$A,$A646))</f>
        <v>1160019</v>
      </c>
      <c r="Q646" s="7">
        <f>IF(SUMIFS('Daily BSE Equity Futures'!$J:$J,'Daily BSE Equity Futures'!$A:$A,$A646)=0,"",SUMIFS('Daily BSE Equity Futures'!$J:$J,'Daily BSE Equity Futures'!$A:$A,$A646))</f>
        <v>1</v>
      </c>
      <c r="R646" s="7">
        <f t="shared" si="126"/>
        <v>1160020</v>
      </c>
      <c r="S646" s="19">
        <f t="shared" si="127"/>
        <v>0.99999913794589745</v>
      </c>
      <c r="T646" s="19">
        <f t="shared" si="128"/>
        <v>8.6205410251547389E-7</v>
      </c>
    </row>
    <row r="647" spans="1:20" x14ac:dyDescent="0.2">
      <c r="A647" s="9">
        <v>44872</v>
      </c>
      <c r="B647" s="4" t="s">
        <v>225</v>
      </c>
      <c r="C647" s="8">
        <v>44866</v>
      </c>
      <c r="D647" s="4" t="s">
        <v>183</v>
      </c>
      <c r="E647" s="14">
        <f>IF(SUMIFS('Daily NSE Equity Futures'!$I:$I,'Daily NSE Equity Futures'!$A:$A,$A647)=0,"",SUMIFS('Daily NSE Equity Futures'!$I:$I,'Daily NSE Equity Futures'!$A:$A,$A647))</f>
        <v>1078.3468</v>
      </c>
      <c r="F647" s="6">
        <f>IF(SUMIFS('Daily BSE Equity Futures'!$I:$I,'Daily BSE Equity Futures'!$A:$A,$A647)=0,"",SUMIFS('Daily BSE Equity Futures'!$I:$I,'Daily BSE Equity Futures'!$A:$A,$A647))</f>
        <v>1.9E-3</v>
      </c>
      <c r="G647" s="6">
        <f t="shared" si="120"/>
        <v>1078.3487</v>
      </c>
      <c r="H647" s="15">
        <f t="shared" si="121"/>
        <v>0.99999823804674681</v>
      </c>
      <c r="I647" s="15">
        <f t="shared" si="122"/>
        <v>1.7619532531545687E-6</v>
      </c>
      <c r="J647" s="20" t="str">
        <f t="shared" si="123"/>
        <v/>
      </c>
      <c r="K647" s="15" t="str">
        <f t="shared" si="124"/>
        <v/>
      </c>
      <c r="L647" s="15" t="str">
        <f t="shared" si="125"/>
        <v/>
      </c>
      <c r="M647" s="15">
        <f t="shared" si="129"/>
        <v>0.23373949742313749</v>
      </c>
      <c r="N647" s="15">
        <f t="shared" si="130"/>
        <v>0.89999999999999991</v>
      </c>
      <c r="O647" s="15">
        <f t="shared" si="131"/>
        <v>0.23374025969271273</v>
      </c>
      <c r="P647" s="18">
        <f>IF(SUMIFS('Daily NSE Equity Futures'!$J:$J,'Daily NSE Equity Futures'!$A:$A,$A647)=0,"",SUMIFS('Daily NSE Equity Futures'!$J:$J,'Daily NSE Equity Futures'!$A:$A,$A647))</f>
        <v>1391327</v>
      </c>
      <c r="Q647" s="7">
        <f>IF(SUMIFS('Daily BSE Equity Futures'!$J:$J,'Daily BSE Equity Futures'!$A:$A,$A647)=0,"",SUMIFS('Daily BSE Equity Futures'!$J:$J,'Daily BSE Equity Futures'!$A:$A,$A647))</f>
        <v>2</v>
      </c>
      <c r="R647" s="7">
        <f t="shared" si="126"/>
        <v>1391329</v>
      </c>
      <c r="S647" s="19">
        <f t="shared" si="127"/>
        <v>0.99999856252547026</v>
      </c>
      <c r="T647" s="19">
        <f t="shared" si="128"/>
        <v>1.437474529748176E-6</v>
      </c>
    </row>
    <row r="648" spans="1:20" x14ac:dyDescent="0.2">
      <c r="A648" s="9">
        <v>44874</v>
      </c>
      <c r="B648" s="4" t="s">
        <v>221</v>
      </c>
      <c r="C648" s="8">
        <v>44866</v>
      </c>
      <c r="D648" s="4" t="s">
        <v>183</v>
      </c>
      <c r="E648" s="14">
        <f>IF(SUMIFS('Daily NSE Equity Futures'!$I:$I,'Daily NSE Equity Futures'!$A:$A,$A648)=0,"",SUMIFS('Daily NSE Equity Futures'!$I:$I,'Daily NSE Equity Futures'!$A:$A,$A648))</f>
        <v>983.13170000000002</v>
      </c>
      <c r="F648" s="6">
        <f>IF(SUMIFS('Daily BSE Equity Futures'!$I:$I,'Daily BSE Equity Futures'!$A:$A,$A648)=0,"",SUMIFS('Daily BSE Equity Futures'!$I:$I,'Daily BSE Equity Futures'!$A:$A,$A648))</f>
        <v>1.9E-3</v>
      </c>
      <c r="G648" s="6">
        <f t="shared" si="120"/>
        <v>983.1336</v>
      </c>
      <c r="H648" s="15">
        <f t="shared" si="121"/>
        <v>0.99999806740406394</v>
      </c>
      <c r="I648" s="15">
        <f t="shared" si="122"/>
        <v>1.9325959360965791E-6</v>
      </c>
      <c r="J648" s="20">
        <f t="shared" si="123"/>
        <v>5.0901724990312758E-2</v>
      </c>
      <c r="K648" s="15">
        <f t="shared" si="124"/>
        <v>1.1111111111111112</v>
      </c>
      <c r="L648" s="15">
        <f t="shared" si="125"/>
        <v>5.0902744952664447E-2</v>
      </c>
      <c r="M648" s="15">
        <f t="shared" si="129"/>
        <v>-8.8297289888559005E-2</v>
      </c>
      <c r="N648" s="15">
        <f t="shared" si="130"/>
        <v>0</v>
      </c>
      <c r="O648" s="15">
        <f t="shared" si="131"/>
        <v>-8.8297134312861902E-2</v>
      </c>
      <c r="P648" s="18">
        <f>IF(SUMIFS('Daily NSE Equity Futures'!$J:$J,'Daily NSE Equity Futures'!$A:$A,$A648)=0,"",SUMIFS('Daily NSE Equity Futures'!$J:$J,'Daily NSE Equity Futures'!$A:$A,$A648))</f>
        <v>1292678</v>
      </c>
      <c r="Q648" s="7">
        <f>IF(SUMIFS('Daily BSE Equity Futures'!$J:$J,'Daily BSE Equity Futures'!$A:$A,$A648)=0,"",SUMIFS('Daily BSE Equity Futures'!$J:$J,'Daily BSE Equity Futures'!$A:$A,$A648))</f>
        <v>2</v>
      </c>
      <c r="R648" s="7">
        <f t="shared" si="126"/>
        <v>1292680</v>
      </c>
      <c r="S648" s="19">
        <f t="shared" si="127"/>
        <v>0.99999845282668565</v>
      </c>
      <c r="T648" s="19">
        <f t="shared" si="128"/>
        <v>1.547173314354674E-6</v>
      </c>
    </row>
    <row r="649" spans="1:20" x14ac:dyDescent="0.2">
      <c r="A649" s="9">
        <v>44875</v>
      </c>
      <c r="B649" s="4" t="s">
        <v>224</v>
      </c>
      <c r="C649" s="8">
        <v>44866</v>
      </c>
      <c r="D649" s="4" t="s">
        <v>183</v>
      </c>
      <c r="E649" s="14">
        <f>IF(SUMIFS('Daily NSE Equity Futures'!$I:$I,'Daily NSE Equity Futures'!$A:$A,$A649)=0,"",SUMIFS('Daily NSE Equity Futures'!$I:$I,'Daily NSE Equity Futures'!$A:$A,$A649))</f>
        <v>893.71469999999999</v>
      </c>
      <c r="F649" s="6">
        <f>IF(SUMIFS('Daily BSE Equity Futures'!$I:$I,'Daily BSE Equity Futures'!$A:$A,$A649)=0,"",SUMIFS('Daily BSE Equity Futures'!$I:$I,'Daily BSE Equity Futures'!$A:$A,$A649))</f>
        <v>1E-3</v>
      </c>
      <c r="G649" s="6">
        <f t="shared" si="120"/>
        <v>893.71569999999997</v>
      </c>
      <c r="H649" s="15">
        <f t="shared" si="121"/>
        <v>0.99999888107593948</v>
      </c>
      <c r="I649" s="15">
        <f t="shared" si="122"/>
        <v>1.118924060526183E-6</v>
      </c>
      <c r="J649" s="20">
        <f t="shared" si="123"/>
        <v>-1.0161378587607683E-2</v>
      </c>
      <c r="K649" s="15">
        <f t="shared" si="124"/>
        <v>-0.47368421052631582</v>
      </c>
      <c r="L649" s="15">
        <f t="shared" si="125"/>
        <v>-1.0162354002342777E-2</v>
      </c>
      <c r="M649" s="15">
        <f t="shared" si="129"/>
        <v>-9.0951191991876623E-2</v>
      </c>
      <c r="N649" s="15">
        <f t="shared" si="130"/>
        <v>-0.47368421052631582</v>
      </c>
      <c r="O649" s="15">
        <f t="shared" si="131"/>
        <v>-9.0951931660152807E-2</v>
      </c>
      <c r="P649" s="18">
        <f>IF(SUMIFS('Daily NSE Equity Futures'!$J:$J,'Daily NSE Equity Futures'!$A:$A,$A649)=0,"",SUMIFS('Daily NSE Equity Futures'!$J:$J,'Daily NSE Equity Futures'!$A:$A,$A649))</f>
        <v>1190879</v>
      </c>
      <c r="Q649" s="7">
        <f>IF(SUMIFS('Daily BSE Equity Futures'!$J:$J,'Daily BSE Equity Futures'!$A:$A,$A649)=0,"",SUMIFS('Daily BSE Equity Futures'!$J:$J,'Daily BSE Equity Futures'!$A:$A,$A649))</f>
        <v>1</v>
      </c>
      <c r="R649" s="7">
        <f t="shared" si="126"/>
        <v>1190880</v>
      </c>
      <c r="S649" s="19">
        <f t="shared" si="127"/>
        <v>0.99999916028483138</v>
      </c>
      <c r="T649" s="19">
        <f t="shared" si="128"/>
        <v>8.3971516861480589E-7</v>
      </c>
    </row>
    <row r="650" spans="1:20" x14ac:dyDescent="0.2">
      <c r="A650" s="9">
        <v>44876</v>
      </c>
      <c r="B650" s="4" t="s">
        <v>222</v>
      </c>
      <c r="C650" s="8">
        <v>44866</v>
      </c>
      <c r="D650" s="4" t="s">
        <v>183</v>
      </c>
      <c r="E650" s="14">
        <f>IF(SUMIFS('Daily NSE Equity Futures'!$I:$I,'Daily NSE Equity Futures'!$A:$A,$A650)=0,"",SUMIFS('Daily NSE Equity Futures'!$I:$I,'Daily NSE Equity Futures'!$A:$A,$A650))</f>
        <v>1296.1833999999999</v>
      </c>
      <c r="F650" s="6">
        <f>IF(SUMIFS('Daily BSE Equity Futures'!$I:$I,'Daily BSE Equity Futures'!$A:$A,$A650)=0,"",SUMIFS('Daily BSE Equity Futures'!$I:$I,'Daily BSE Equity Futures'!$A:$A,$A650))</f>
        <v>1E-3</v>
      </c>
      <c r="G650" s="6">
        <f t="shared" si="120"/>
        <v>1296.1843999999999</v>
      </c>
      <c r="H650" s="15">
        <f t="shared" si="121"/>
        <v>0.99999922850483314</v>
      </c>
      <c r="I650" s="15">
        <f t="shared" si="122"/>
        <v>7.7149516689137754E-7</v>
      </c>
      <c r="J650" s="20">
        <f t="shared" si="123"/>
        <v>0.46364387175686717</v>
      </c>
      <c r="K650" s="15">
        <f t="shared" si="124"/>
        <v>-0.47368421052631582</v>
      </c>
      <c r="L650" s="15">
        <f t="shared" si="125"/>
        <v>0.4636418607513535</v>
      </c>
      <c r="M650" s="15">
        <f t="shared" si="129"/>
        <v>0.45033241592646944</v>
      </c>
      <c r="N650" s="15">
        <f t="shared" si="130"/>
        <v>0</v>
      </c>
      <c r="O650" s="15">
        <f t="shared" si="131"/>
        <v>0.45033191203869416</v>
      </c>
      <c r="P650" s="18">
        <f>IF(SUMIFS('Daily NSE Equity Futures'!$J:$J,'Daily NSE Equity Futures'!$A:$A,$A650)=0,"",SUMIFS('Daily NSE Equity Futures'!$J:$J,'Daily NSE Equity Futures'!$A:$A,$A650))</f>
        <v>1692077</v>
      </c>
      <c r="Q650" s="7">
        <f>IF(SUMIFS('Daily BSE Equity Futures'!$J:$J,'Daily BSE Equity Futures'!$A:$A,$A650)=0,"",SUMIFS('Daily BSE Equity Futures'!$J:$J,'Daily BSE Equity Futures'!$A:$A,$A650))</f>
        <v>1</v>
      </c>
      <c r="R650" s="7">
        <f t="shared" si="126"/>
        <v>1692078</v>
      </c>
      <c r="S650" s="19">
        <f t="shared" si="127"/>
        <v>0.99999940901069573</v>
      </c>
      <c r="T650" s="19">
        <f t="shared" si="128"/>
        <v>5.9098930427557125E-7</v>
      </c>
    </row>
    <row r="651" spans="1:20" x14ac:dyDescent="0.2">
      <c r="A651" s="9">
        <v>44879</v>
      </c>
      <c r="B651" s="4" t="s">
        <v>225</v>
      </c>
      <c r="C651" s="8">
        <v>44866</v>
      </c>
      <c r="D651" s="4" t="s">
        <v>183</v>
      </c>
      <c r="E651" s="14">
        <f>IF(SUMIFS('Daily NSE Equity Futures'!$I:$I,'Daily NSE Equity Futures'!$A:$A,$A651)=0,"",SUMIFS('Daily NSE Equity Futures'!$I:$I,'Daily NSE Equity Futures'!$A:$A,$A651))</f>
        <v>885.98779999999999</v>
      </c>
      <c r="F651" s="6">
        <f>IF(SUMIFS('Daily BSE Equity Futures'!$I:$I,'Daily BSE Equity Futures'!$A:$A,$A651)=0,"",SUMIFS('Daily BSE Equity Futures'!$I:$I,'Daily BSE Equity Futures'!$A:$A,$A651))</f>
        <v>1E-3</v>
      </c>
      <c r="G651" s="6">
        <f t="shared" si="120"/>
        <v>885.98879999999997</v>
      </c>
      <c r="H651" s="15">
        <f t="shared" si="121"/>
        <v>0.99999887131756071</v>
      </c>
      <c r="I651" s="15">
        <f t="shared" si="122"/>
        <v>1.1286824393265469E-6</v>
      </c>
      <c r="J651" s="20" t="str">
        <f t="shared" si="123"/>
        <v/>
      </c>
      <c r="K651" s="15" t="str">
        <f t="shared" si="124"/>
        <v/>
      </c>
      <c r="L651" s="15" t="str">
        <f t="shared" si="125"/>
        <v/>
      </c>
      <c r="M651" s="15">
        <f t="shared" si="129"/>
        <v>-0.31646416703068403</v>
      </c>
      <c r="N651" s="15">
        <f t="shared" si="130"/>
        <v>0</v>
      </c>
      <c r="O651" s="15">
        <f t="shared" si="131"/>
        <v>-0.31646392288010872</v>
      </c>
      <c r="P651" s="18">
        <f>IF(SUMIFS('Daily NSE Equity Futures'!$J:$J,'Daily NSE Equity Futures'!$A:$A,$A651)=0,"",SUMIFS('Daily NSE Equity Futures'!$J:$J,'Daily NSE Equity Futures'!$A:$A,$A651))</f>
        <v>1184545</v>
      </c>
      <c r="Q651" s="7">
        <f>IF(SUMIFS('Daily BSE Equity Futures'!$J:$J,'Daily BSE Equity Futures'!$A:$A,$A651)=0,"",SUMIFS('Daily BSE Equity Futures'!$J:$J,'Daily BSE Equity Futures'!$A:$A,$A651))</f>
        <v>1</v>
      </c>
      <c r="R651" s="7">
        <f t="shared" si="126"/>
        <v>1184546</v>
      </c>
      <c r="S651" s="19">
        <f t="shared" si="127"/>
        <v>0.99999915579470955</v>
      </c>
      <c r="T651" s="19">
        <f t="shared" si="128"/>
        <v>8.4420529046571431E-7</v>
      </c>
    </row>
    <row r="652" spans="1:20" x14ac:dyDescent="0.2">
      <c r="A652" s="9">
        <v>44880</v>
      </c>
      <c r="B652" s="4" t="s">
        <v>223</v>
      </c>
      <c r="C652" s="8">
        <v>44866</v>
      </c>
      <c r="D652" s="4" t="s">
        <v>183</v>
      </c>
      <c r="E652" s="14">
        <f>IF(SUMIFS('Daily NSE Equity Futures'!$I:$I,'Daily NSE Equity Futures'!$A:$A,$A652)=0,"",SUMIFS('Daily NSE Equity Futures'!$I:$I,'Daily NSE Equity Futures'!$A:$A,$A652))</f>
        <v>804.52809999999999</v>
      </c>
      <c r="F652" s="6">
        <f>IF(SUMIFS('Daily BSE Equity Futures'!$I:$I,'Daily BSE Equity Futures'!$A:$A,$A652)=0,"",SUMIFS('Daily BSE Equity Futures'!$I:$I,'Daily BSE Equity Futures'!$A:$A,$A652))</f>
        <v>1E-3</v>
      </c>
      <c r="G652" s="6">
        <f t="shared" si="120"/>
        <v>804.52909999999997</v>
      </c>
      <c r="H652" s="15">
        <f t="shared" si="121"/>
        <v>0.99999875703688035</v>
      </c>
      <c r="I652" s="15">
        <f t="shared" si="122"/>
        <v>1.2429631196683875E-6</v>
      </c>
      <c r="J652" s="20">
        <f t="shared" si="123"/>
        <v>-1.5238242820425629E-2</v>
      </c>
      <c r="K652" s="15">
        <f t="shared" si="124"/>
        <v>-0.73684210526315796</v>
      </c>
      <c r="L652" s="15">
        <f t="shared" si="125"/>
        <v>-1.5241599194693811E-2</v>
      </c>
      <c r="M652" s="15">
        <f t="shared" si="129"/>
        <v>-9.1942236676396671E-2</v>
      </c>
      <c r="N652" s="15">
        <f t="shared" si="130"/>
        <v>0</v>
      </c>
      <c r="O652" s="15">
        <f t="shared" si="131"/>
        <v>-9.1942132902808726E-2</v>
      </c>
      <c r="P652" s="18">
        <f>IF(SUMIFS('Daily NSE Equity Futures'!$J:$J,'Daily NSE Equity Futures'!$A:$A,$A652)=0,"",SUMIFS('Daily NSE Equity Futures'!$J:$J,'Daily NSE Equity Futures'!$A:$A,$A652))</f>
        <v>1061010</v>
      </c>
      <c r="Q652" s="7">
        <f>IF(SUMIFS('Daily BSE Equity Futures'!$J:$J,'Daily BSE Equity Futures'!$A:$A,$A652)=0,"",SUMIFS('Daily BSE Equity Futures'!$J:$J,'Daily BSE Equity Futures'!$A:$A,$A652))</f>
        <v>1</v>
      </c>
      <c r="R652" s="7">
        <f t="shared" si="126"/>
        <v>1061011</v>
      </c>
      <c r="S652" s="19">
        <f t="shared" si="127"/>
        <v>0.99999905750270257</v>
      </c>
      <c r="T652" s="19">
        <f t="shared" si="128"/>
        <v>9.4249729738899969E-7</v>
      </c>
    </row>
    <row r="653" spans="1:20" x14ac:dyDescent="0.2">
      <c r="A653" s="9">
        <v>44881</v>
      </c>
      <c r="B653" s="4" t="s">
        <v>221</v>
      </c>
      <c r="C653" s="8">
        <v>44866</v>
      </c>
      <c r="D653" s="4" t="s">
        <v>183</v>
      </c>
      <c r="E653" s="14">
        <f>IF(SUMIFS('Daily NSE Equity Futures'!$I:$I,'Daily NSE Equity Futures'!$A:$A,$A653)=0,"",SUMIFS('Daily NSE Equity Futures'!$I:$I,'Daily NSE Equity Futures'!$A:$A,$A653))</f>
        <v>979.79669999999999</v>
      </c>
      <c r="F653" s="6">
        <f>IF(SUMIFS('Daily BSE Equity Futures'!$I:$I,'Daily BSE Equity Futures'!$A:$A,$A653)=0,"",SUMIFS('Daily BSE Equity Futures'!$I:$I,'Daily BSE Equity Futures'!$A:$A,$A653))</f>
        <v>1E-3</v>
      </c>
      <c r="G653" s="6">
        <f t="shared" si="120"/>
        <v>979.79769999999996</v>
      </c>
      <c r="H653" s="15">
        <f t="shared" si="121"/>
        <v>0.9999989793811519</v>
      </c>
      <c r="I653" s="15">
        <f t="shared" si="122"/>
        <v>1.0206188481561041E-6</v>
      </c>
      <c r="J653" s="20">
        <f t="shared" si="123"/>
        <v>1.8280683707422973E-2</v>
      </c>
      <c r="K653" s="15">
        <f t="shared" si="124"/>
        <v>-0.47368421052631582</v>
      </c>
      <c r="L653" s="15">
        <f t="shared" si="125"/>
        <v>1.8279712262037062E-2</v>
      </c>
      <c r="M653" s="15">
        <f t="shared" si="129"/>
        <v>0.21785267661875318</v>
      </c>
      <c r="N653" s="15">
        <f t="shared" si="130"/>
        <v>0</v>
      </c>
      <c r="O653" s="15">
        <f t="shared" si="131"/>
        <v>0.21785240583591081</v>
      </c>
      <c r="P653" s="18">
        <f>IF(SUMIFS('Daily NSE Equity Futures'!$J:$J,'Daily NSE Equity Futures'!$A:$A,$A653)=0,"",SUMIFS('Daily NSE Equity Futures'!$J:$J,'Daily NSE Equity Futures'!$A:$A,$A653))</f>
        <v>1260825</v>
      </c>
      <c r="Q653" s="7">
        <f>IF(SUMIFS('Daily BSE Equity Futures'!$J:$J,'Daily BSE Equity Futures'!$A:$A,$A653)=0,"",SUMIFS('Daily BSE Equity Futures'!$J:$J,'Daily BSE Equity Futures'!$A:$A,$A653))</f>
        <v>1</v>
      </c>
      <c r="R653" s="7">
        <f t="shared" si="126"/>
        <v>1260826</v>
      </c>
      <c r="S653" s="19">
        <f t="shared" si="127"/>
        <v>0.99999920686914767</v>
      </c>
      <c r="T653" s="19">
        <f t="shared" si="128"/>
        <v>7.9313085231427652E-7</v>
      </c>
    </row>
    <row r="654" spans="1:20" x14ac:dyDescent="0.2">
      <c r="A654" s="9">
        <v>44882</v>
      </c>
      <c r="B654" s="4" t="s">
        <v>224</v>
      </c>
      <c r="C654" s="8">
        <v>44866</v>
      </c>
      <c r="D654" s="4" t="s">
        <v>183</v>
      </c>
      <c r="E654" s="14">
        <f>IF(SUMIFS('Daily NSE Equity Futures'!$I:$I,'Daily NSE Equity Futures'!$A:$A,$A654)=0,"",SUMIFS('Daily NSE Equity Futures'!$I:$I,'Daily NSE Equity Futures'!$A:$A,$A654))</f>
        <v>821.18259999999998</v>
      </c>
      <c r="F654" s="6">
        <f>IF(SUMIFS('Daily BSE Equity Futures'!$I:$I,'Daily BSE Equity Futures'!$A:$A,$A654)=0,"",SUMIFS('Daily BSE Equity Futures'!$I:$I,'Daily BSE Equity Futures'!$A:$A,$A654))</f>
        <v>1E-3</v>
      </c>
      <c r="G654" s="6">
        <f t="shared" si="120"/>
        <v>821.18359999999996</v>
      </c>
      <c r="H654" s="15">
        <f t="shared" si="121"/>
        <v>0.99999878224552952</v>
      </c>
      <c r="I654" s="15">
        <f t="shared" si="122"/>
        <v>1.2177544704984368E-6</v>
      </c>
      <c r="J654" s="20">
        <f t="shared" si="123"/>
        <v>-0.14927019262207286</v>
      </c>
      <c r="K654" s="15">
        <f t="shared" si="124"/>
        <v>0.11111111111111116</v>
      </c>
      <c r="L654" s="15">
        <f t="shared" si="125"/>
        <v>-0.14926994984715669</v>
      </c>
      <c r="M654" s="15">
        <f t="shared" si="129"/>
        <v>-0.16188470526589849</v>
      </c>
      <c r="N654" s="15">
        <f t="shared" si="130"/>
        <v>0</v>
      </c>
      <c r="O654" s="15">
        <f t="shared" si="131"/>
        <v>-0.16188454004331709</v>
      </c>
      <c r="P654" s="18">
        <f>IF(SUMIFS('Daily NSE Equity Futures'!$J:$J,'Daily NSE Equity Futures'!$A:$A,$A654)=0,"",SUMIFS('Daily NSE Equity Futures'!$J:$J,'Daily NSE Equity Futures'!$A:$A,$A654))</f>
        <v>1084037</v>
      </c>
      <c r="Q654" s="7">
        <f>IF(SUMIFS('Daily BSE Equity Futures'!$J:$J,'Daily BSE Equity Futures'!$A:$A,$A654)=0,"",SUMIFS('Daily BSE Equity Futures'!$J:$J,'Daily BSE Equity Futures'!$A:$A,$A654))</f>
        <v>1</v>
      </c>
      <c r="R654" s="7">
        <f t="shared" si="126"/>
        <v>1084038</v>
      </c>
      <c r="S654" s="19">
        <f t="shared" si="127"/>
        <v>0.99999907752311268</v>
      </c>
      <c r="T654" s="19">
        <f t="shared" si="128"/>
        <v>9.224768873415876E-7</v>
      </c>
    </row>
    <row r="655" spans="1:20" x14ac:dyDescent="0.2">
      <c r="A655" s="9">
        <v>44883</v>
      </c>
      <c r="B655" s="4" t="s">
        <v>222</v>
      </c>
      <c r="C655" s="8">
        <v>44866</v>
      </c>
      <c r="D655" s="4" t="s">
        <v>183</v>
      </c>
      <c r="E655" s="14">
        <f>IF(SUMIFS('Daily NSE Equity Futures'!$I:$I,'Daily NSE Equity Futures'!$A:$A,$A655)=0,"",SUMIFS('Daily NSE Equity Futures'!$I:$I,'Daily NSE Equity Futures'!$A:$A,$A655))</f>
        <v>1109.9012</v>
      </c>
      <c r="F655" s="6">
        <f>IF(SUMIFS('Daily BSE Equity Futures'!$I:$I,'Daily BSE Equity Futures'!$A:$A,$A655)=0,"",SUMIFS('Daily BSE Equity Futures'!$I:$I,'Daily BSE Equity Futures'!$A:$A,$A655))</f>
        <v>1.9E-3</v>
      </c>
      <c r="G655" s="6">
        <f t="shared" si="120"/>
        <v>1109.9031</v>
      </c>
      <c r="H655" s="15">
        <f t="shared" si="121"/>
        <v>0.9999982881388475</v>
      </c>
      <c r="I655" s="15">
        <f t="shared" si="122"/>
        <v>1.7118611525636788E-6</v>
      </c>
      <c r="J655" s="20">
        <f t="shared" si="123"/>
        <v>-0.21352249494005482</v>
      </c>
      <c r="K655" s="15">
        <f t="shared" si="124"/>
        <v>-0.3214285714285714</v>
      </c>
      <c r="L655" s="15">
        <f t="shared" si="125"/>
        <v>-0.21352270903433068</v>
      </c>
      <c r="M655" s="15">
        <f t="shared" si="129"/>
        <v>0.35158879401487564</v>
      </c>
      <c r="N655" s="15">
        <f t="shared" si="130"/>
        <v>0.89999999999999991</v>
      </c>
      <c r="O655" s="15">
        <f t="shared" si="131"/>
        <v>0.35158946184507345</v>
      </c>
      <c r="P655" s="18">
        <f>IF(SUMIFS('Daily NSE Equity Futures'!$J:$J,'Daily NSE Equity Futures'!$A:$A,$A655)=0,"",SUMIFS('Daily NSE Equity Futures'!$J:$J,'Daily NSE Equity Futures'!$A:$A,$A655))</f>
        <v>1460440</v>
      </c>
      <c r="Q655" s="7">
        <f>IF(SUMIFS('Daily BSE Equity Futures'!$J:$J,'Daily BSE Equity Futures'!$A:$A,$A655)=0,"",SUMIFS('Daily BSE Equity Futures'!$J:$J,'Daily BSE Equity Futures'!$A:$A,$A655))</f>
        <v>2</v>
      </c>
      <c r="R655" s="7">
        <f t="shared" si="126"/>
        <v>1460442</v>
      </c>
      <c r="S655" s="19">
        <f t="shared" si="127"/>
        <v>0.99999863055157279</v>
      </c>
      <c r="T655" s="19">
        <f t="shared" si="128"/>
        <v>1.3694484272569538E-6</v>
      </c>
    </row>
    <row r="656" spans="1:20" x14ac:dyDescent="0.2">
      <c r="A656" s="9">
        <v>44886</v>
      </c>
      <c r="B656" s="4" t="s">
        <v>225</v>
      </c>
      <c r="C656" s="8">
        <v>44866</v>
      </c>
      <c r="D656" s="4" t="s">
        <v>183</v>
      </c>
      <c r="E656" s="14">
        <f>IF(SUMIFS('Daily NSE Equity Futures'!$I:$I,'Daily NSE Equity Futures'!$A:$A,$A656)=0,"",SUMIFS('Daily NSE Equity Futures'!$I:$I,'Daily NSE Equity Futures'!$A:$A,$A656))</f>
        <v>1657.6098</v>
      </c>
      <c r="F656" s="6">
        <f>IF(SUMIFS('Daily BSE Equity Futures'!$I:$I,'Daily BSE Equity Futures'!$A:$A,$A656)=0,"",SUMIFS('Daily BSE Equity Futures'!$I:$I,'Daily BSE Equity Futures'!$A:$A,$A656))</f>
        <v>1.9E-3</v>
      </c>
      <c r="G656" s="6">
        <f t="shared" si="120"/>
        <v>1657.6116999999999</v>
      </c>
      <c r="H656" s="15">
        <f t="shared" si="121"/>
        <v>0.99999885377256925</v>
      </c>
      <c r="I656" s="15">
        <f t="shared" si="122"/>
        <v>1.1462274307064798E-6</v>
      </c>
      <c r="J656" s="20" t="str">
        <f t="shared" si="123"/>
        <v/>
      </c>
      <c r="K656" s="15" t="str">
        <f t="shared" si="124"/>
        <v/>
      </c>
      <c r="L656" s="15" t="str">
        <f t="shared" si="125"/>
        <v/>
      </c>
      <c r="M656" s="15">
        <f t="shared" si="129"/>
        <v>0.49347509490033881</v>
      </c>
      <c r="N656" s="15">
        <f t="shared" si="130"/>
        <v>0</v>
      </c>
      <c r="O656" s="15">
        <f t="shared" si="131"/>
        <v>0.4934742501394942</v>
      </c>
      <c r="P656" s="18">
        <f>IF(SUMIFS('Daily NSE Equity Futures'!$J:$J,'Daily NSE Equity Futures'!$A:$A,$A656)=0,"",SUMIFS('Daily NSE Equity Futures'!$J:$J,'Daily NSE Equity Futures'!$A:$A,$A656))</f>
        <v>2326479</v>
      </c>
      <c r="Q656" s="7">
        <f>IF(SUMIFS('Daily BSE Equity Futures'!$J:$J,'Daily BSE Equity Futures'!$A:$A,$A656)=0,"",SUMIFS('Daily BSE Equity Futures'!$J:$J,'Daily BSE Equity Futures'!$A:$A,$A656))</f>
        <v>2</v>
      </c>
      <c r="R656" s="7">
        <f t="shared" si="126"/>
        <v>2326481</v>
      </c>
      <c r="S656" s="19">
        <f t="shared" si="127"/>
        <v>0.99999914033254511</v>
      </c>
      <c r="T656" s="19">
        <f t="shared" si="128"/>
        <v>8.5966745483844488E-7</v>
      </c>
    </row>
    <row r="657" spans="1:20" x14ac:dyDescent="0.2">
      <c r="A657" s="9">
        <v>44887</v>
      </c>
      <c r="B657" s="4" t="s">
        <v>223</v>
      </c>
      <c r="C657" s="8">
        <v>44866</v>
      </c>
      <c r="D657" s="4" t="s">
        <v>183</v>
      </c>
      <c r="E657" s="14">
        <f>IF(SUMIFS('Daily NSE Equity Futures'!$I:$I,'Daily NSE Equity Futures'!$A:$A,$A657)=0,"",SUMIFS('Daily NSE Equity Futures'!$I:$I,'Daily NSE Equity Futures'!$A:$A,$A657))</f>
        <v>1730.9942000000001</v>
      </c>
      <c r="F657" s="6">
        <f>IF(SUMIFS('Daily BSE Equity Futures'!$I:$I,'Daily BSE Equity Futures'!$A:$A,$A657)=0,"",SUMIFS('Daily BSE Equity Futures'!$I:$I,'Daily BSE Equity Futures'!$A:$A,$A657))</f>
        <v>1E-3</v>
      </c>
      <c r="G657" s="6">
        <f t="shared" si="120"/>
        <v>1730.9952000000001</v>
      </c>
      <c r="H657" s="15">
        <f t="shared" si="121"/>
        <v>0.99999942229764704</v>
      </c>
      <c r="I657" s="15">
        <f t="shared" si="122"/>
        <v>5.7770235295857549E-7</v>
      </c>
      <c r="J657" s="20">
        <f t="shared" si="123"/>
        <v>-0.18254293092540175</v>
      </c>
      <c r="K657" s="15">
        <f t="shared" si="124"/>
        <v>-0.72972972972972971</v>
      </c>
      <c r="L657" s="15">
        <f t="shared" si="125"/>
        <v>-0.18254388703112434</v>
      </c>
      <c r="M657" s="15">
        <f t="shared" si="129"/>
        <v>4.4271215095374128E-2</v>
      </c>
      <c r="N657" s="15">
        <f t="shared" si="130"/>
        <v>-0.47368421052631582</v>
      </c>
      <c r="O657" s="15">
        <f t="shared" si="131"/>
        <v>4.4270621400657406E-2</v>
      </c>
      <c r="P657" s="18">
        <f>IF(SUMIFS('Daily NSE Equity Futures'!$J:$J,'Daily NSE Equity Futures'!$A:$A,$A657)=0,"",SUMIFS('Daily NSE Equity Futures'!$J:$J,'Daily NSE Equity Futures'!$A:$A,$A657))</f>
        <v>2395418</v>
      </c>
      <c r="Q657" s="7">
        <f>IF(SUMIFS('Daily BSE Equity Futures'!$J:$J,'Daily BSE Equity Futures'!$A:$A,$A657)=0,"",SUMIFS('Daily BSE Equity Futures'!$J:$J,'Daily BSE Equity Futures'!$A:$A,$A657))</f>
        <v>1</v>
      </c>
      <c r="R657" s="7">
        <f t="shared" si="126"/>
        <v>2395419</v>
      </c>
      <c r="S657" s="19">
        <f t="shared" si="127"/>
        <v>0.9999995825364999</v>
      </c>
      <c r="T657" s="19">
        <f t="shared" si="128"/>
        <v>4.1746350012252556E-7</v>
      </c>
    </row>
    <row r="658" spans="1:20" x14ac:dyDescent="0.2">
      <c r="A658" s="9">
        <v>44888</v>
      </c>
      <c r="B658" s="4" t="s">
        <v>221</v>
      </c>
      <c r="C658" s="8">
        <v>44866</v>
      </c>
      <c r="D658" s="4" t="s">
        <v>183</v>
      </c>
      <c r="E658" s="14">
        <f>IF(SUMIFS('Daily NSE Equity Futures'!$I:$I,'Daily NSE Equity Futures'!$A:$A,$A658)=0,"",SUMIFS('Daily NSE Equity Futures'!$I:$I,'Daily NSE Equity Futures'!$A:$A,$A658))</f>
        <v>1762.0347999999999</v>
      </c>
      <c r="F658" s="6">
        <f>IF(SUMIFS('Daily BSE Equity Futures'!$I:$I,'Daily BSE Equity Futures'!$A:$A,$A658)=0,"",SUMIFS('Daily BSE Equity Futures'!$I:$I,'Daily BSE Equity Futures'!$A:$A,$A658))</f>
        <v>1.9E-3</v>
      </c>
      <c r="G658" s="6">
        <f t="shared" si="120"/>
        <v>1762.0366999999999</v>
      </c>
      <c r="H658" s="15">
        <f t="shared" si="121"/>
        <v>0.99999892170236859</v>
      </c>
      <c r="I658" s="15">
        <f t="shared" si="122"/>
        <v>1.0782976313716962E-6</v>
      </c>
      <c r="J658" s="20">
        <f t="shared" si="123"/>
        <v>-0.22068255272285797</v>
      </c>
      <c r="K658" s="15">
        <f t="shared" si="124"/>
        <v>-0.47222222222222221</v>
      </c>
      <c r="L658" s="15">
        <f t="shared" si="125"/>
        <v>-0.22068295322810771</v>
      </c>
      <c r="M658" s="15">
        <f t="shared" si="129"/>
        <v>1.793223801674193E-2</v>
      </c>
      <c r="N658" s="15">
        <f t="shared" si="130"/>
        <v>0.89999999999999991</v>
      </c>
      <c r="O658" s="15">
        <f t="shared" si="131"/>
        <v>1.7932747589363585E-2</v>
      </c>
      <c r="P658" s="18">
        <f>IF(SUMIFS('Daily NSE Equity Futures'!$J:$J,'Daily NSE Equity Futures'!$A:$A,$A658)=0,"",SUMIFS('Daily NSE Equity Futures'!$J:$J,'Daily NSE Equity Futures'!$A:$A,$A658))</f>
        <v>2389411</v>
      </c>
      <c r="Q658" s="7">
        <f>IF(SUMIFS('Daily BSE Equity Futures'!$J:$J,'Daily BSE Equity Futures'!$A:$A,$A658)=0,"",SUMIFS('Daily BSE Equity Futures'!$J:$J,'Daily BSE Equity Futures'!$A:$A,$A658))</f>
        <v>2</v>
      </c>
      <c r="R658" s="7">
        <f t="shared" si="126"/>
        <v>2389413</v>
      </c>
      <c r="S658" s="19">
        <f t="shared" si="127"/>
        <v>0.99999916297433722</v>
      </c>
      <c r="T658" s="19">
        <f t="shared" si="128"/>
        <v>8.3702566278830827E-7</v>
      </c>
    </row>
    <row r="659" spans="1:20" x14ac:dyDescent="0.2">
      <c r="A659" s="9">
        <v>44889</v>
      </c>
      <c r="B659" s="4" t="s">
        <v>224</v>
      </c>
      <c r="C659" s="8">
        <v>44866</v>
      </c>
      <c r="D659" s="4" t="s">
        <v>183</v>
      </c>
      <c r="E659" s="14">
        <f>IF(SUMIFS('Daily NSE Equity Futures'!$I:$I,'Daily NSE Equity Futures'!$A:$A,$A659)=0,"",SUMIFS('Daily NSE Equity Futures'!$I:$I,'Daily NSE Equity Futures'!$A:$A,$A659))</f>
        <v>2061.2067000000002</v>
      </c>
      <c r="F659" s="6">
        <f>IF(SUMIFS('Daily BSE Equity Futures'!$I:$I,'Daily BSE Equity Futures'!$A:$A,$A659)=0,"",SUMIFS('Daily BSE Equity Futures'!$I:$I,'Daily BSE Equity Futures'!$A:$A,$A659))</f>
        <v>1.9E-3</v>
      </c>
      <c r="G659" s="6">
        <f t="shared" si="120"/>
        <v>2061.2086000000004</v>
      </c>
      <c r="H659" s="15">
        <f t="shared" si="121"/>
        <v>0.99999907821071565</v>
      </c>
      <c r="I659" s="15">
        <f t="shared" si="122"/>
        <v>9.2178928420927399E-7</v>
      </c>
      <c r="J659" s="20">
        <f t="shared" si="123"/>
        <v>-1.7279040830845638E-2</v>
      </c>
      <c r="K659" s="15">
        <f t="shared" si="124"/>
        <v>5.555555555555558E-2</v>
      </c>
      <c r="L659" s="15">
        <f t="shared" si="125"/>
        <v>-1.7278978325303784E-2</v>
      </c>
      <c r="M659" s="15">
        <f t="shared" si="129"/>
        <v>0.16978773631485611</v>
      </c>
      <c r="N659" s="15">
        <f t="shared" si="130"/>
        <v>0</v>
      </c>
      <c r="O659" s="15">
        <f t="shared" si="131"/>
        <v>0.16978755323314232</v>
      </c>
      <c r="P659" s="18">
        <f>IF(SUMIFS('Daily NSE Equity Futures'!$J:$J,'Daily NSE Equity Futures'!$A:$A,$A659)=0,"",SUMIFS('Daily NSE Equity Futures'!$J:$J,'Daily NSE Equity Futures'!$A:$A,$A659))</f>
        <v>2791933</v>
      </c>
      <c r="Q659" s="7">
        <f>IF(SUMIFS('Daily BSE Equity Futures'!$J:$J,'Daily BSE Equity Futures'!$A:$A,$A659)=0,"",SUMIFS('Daily BSE Equity Futures'!$J:$J,'Daily BSE Equity Futures'!$A:$A,$A659))</f>
        <v>2</v>
      </c>
      <c r="R659" s="7">
        <f t="shared" si="126"/>
        <v>2791935</v>
      </c>
      <c r="S659" s="19">
        <f t="shared" si="127"/>
        <v>0.99999928365094459</v>
      </c>
      <c r="T659" s="19">
        <f t="shared" si="128"/>
        <v>7.1634905540422677E-7</v>
      </c>
    </row>
    <row r="660" spans="1:20" x14ac:dyDescent="0.2">
      <c r="A660" s="9">
        <v>44890</v>
      </c>
      <c r="B660" s="4" t="s">
        <v>222</v>
      </c>
      <c r="C660" s="8">
        <v>44866</v>
      </c>
      <c r="D660" s="4" t="s">
        <v>183</v>
      </c>
      <c r="E660" s="14">
        <f>IF(SUMIFS('Daily NSE Equity Futures'!$I:$I,'Daily NSE Equity Futures'!$A:$A,$A660)=0,"",SUMIFS('Daily NSE Equity Futures'!$I:$I,'Daily NSE Equity Futures'!$A:$A,$A660))</f>
        <v>808.89400000000001</v>
      </c>
      <c r="F660" s="6">
        <f>IF(SUMIFS('Daily BSE Equity Futures'!$I:$I,'Daily BSE Equity Futures'!$A:$A,$A660)=0,"",SUMIFS('Daily BSE Equity Futures'!$I:$I,'Daily BSE Equity Futures'!$A:$A,$A660))</f>
        <v>1E-3</v>
      </c>
      <c r="G660" s="6">
        <f t="shared" si="120"/>
        <v>808.89499999999998</v>
      </c>
      <c r="H660" s="15">
        <f t="shared" si="121"/>
        <v>0.99999876374560359</v>
      </c>
      <c r="I660" s="15">
        <f t="shared" si="122"/>
        <v>1.2362543964296974E-6</v>
      </c>
      <c r="J660" s="20">
        <f t="shared" si="123"/>
        <v>-0.62795928982517446</v>
      </c>
      <c r="K660" s="15">
        <f t="shared" si="124"/>
        <v>-0.44444444444444442</v>
      </c>
      <c r="L660" s="15">
        <f t="shared" si="125"/>
        <v>-0.62795913789564306</v>
      </c>
      <c r="M660" s="15">
        <f t="shared" si="129"/>
        <v>-0.60756289022347931</v>
      </c>
      <c r="N660" s="15">
        <f t="shared" si="130"/>
        <v>-0.47368421052631582</v>
      </c>
      <c r="O660" s="15">
        <f t="shared" si="131"/>
        <v>-0.607562766815547</v>
      </c>
      <c r="P660" s="18">
        <f>IF(SUMIFS('Daily NSE Equity Futures'!$J:$J,'Daily NSE Equity Futures'!$A:$A,$A660)=0,"",SUMIFS('Daily NSE Equity Futures'!$J:$J,'Daily NSE Equity Futures'!$A:$A,$A660))</f>
        <v>1031644</v>
      </c>
      <c r="Q660" s="7">
        <f>IF(SUMIFS('Daily BSE Equity Futures'!$J:$J,'Daily BSE Equity Futures'!$A:$A,$A660)=0,"",SUMIFS('Daily BSE Equity Futures'!$J:$J,'Daily BSE Equity Futures'!$A:$A,$A660))</f>
        <v>1</v>
      </c>
      <c r="R660" s="7">
        <f t="shared" si="126"/>
        <v>1031645</v>
      </c>
      <c r="S660" s="19">
        <f t="shared" si="127"/>
        <v>0.9999990306743114</v>
      </c>
      <c r="T660" s="19">
        <f t="shared" si="128"/>
        <v>9.6932568858473605E-7</v>
      </c>
    </row>
    <row r="661" spans="1:20" x14ac:dyDescent="0.2">
      <c r="A661" s="9">
        <v>44893</v>
      </c>
      <c r="B661" s="4" t="s">
        <v>225</v>
      </c>
      <c r="C661" s="8">
        <v>44866</v>
      </c>
      <c r="D661" s="4" t="s">
        <v>183</v>
      </c>
      <c r="E661" s="14">
        <f>IF(SUMIFS('Daily NSE Equity Futures'!$I:$I,'Daily NSE Equity Futures'!$A:$A,$A661)=0,"",SUMIFS('Daily NSE Equity Futures'!$I:$I,'Daily NSE Equity Futures'!$A:$A,$A661))</f>
        <v>705.45939999999996</v>
      </c>
      <c r="F661" s="6">
        <f>IF(SUMIFS('Daily BSE Equity Futures'!$I:$I,'Daily BSE Equity Futures'!$A:$A,$A661)=0,"",SUMIFS('Daily BSE Equity Futures'!$I:$I,'Daily BSE Equity Futures'!$A:$A,$A661))</f>
        <v>2E-3</v>
      </c>
      <c r="G661" s="6">
        <f t="shared" si="120"/>
        <v>705.46139999999991</v>
      </c>
      <c r="H661" s="15">
        <f t="shared" si="121"/>
        <v>0.99999716497600022</v>
      </c>
      <c r="I661" s="15">
        <f t="shared" si="122"/>
        <v>2.8350239998956716E-6</v>
      </c>
      <c r="J661" s="20" t="str">
        <f t="shared" si="123"/>
        <v/>
      </c>
      <c r="K661" s="15" t="str">
        <f t="shared" si="124"/>
        <v/>
      </c>
      <c r="L661" s="15" t="str">
        <f t="shared" si="125"/>
        <v/>
      </c>
      <c r="M661" s="15">
        <f t="shared" si="129"/>
        <v>-0.12787163707482074</v>
      </c>
      <c r="N661" s="15">
        <f t="shared" si="130"/>
        <v>1</v>
      </c>
      <c r="O661" s="15">
        <f t="shared" si="131"/>
        <v>-0.12787024273855085</v>
      </c>
      <c r="P661" s="18">
        <f>IF(SUMIFS('Daily NSE Equity Futures'!$J:$J,'Daily NSE Equity Futures'!$A:$A,$A661)=0,"",SUMIFS('Daily NSE Equity Futures'!$J:$J,'Daily NSE Equity Futures'!$A:$A,$A661))</f>
        <v>914227</v>
      </c>
      <c r="Q661" s="7">
        <f>IF(SUMIFS('Daily BSE Equity Futures'!$J:$J,'Daily BSE Equity Futures'!$A:$A,$A661)=0,"",SUMIFS('Daily BSE Equity Futures'!$J:$J,'Daily BSE Equity Futures'!$A:$A,$A661))</f>
        <v>2</v>
      </c>
      <c r="R661" s="7">
        <f t="shared" si="126"/>
        <v>914229</v>
      </c>
      <c r="S661" s="19">
        <f t="shared" si="127"/>
        <v>0.99999781236429819</v>
      </c>
      <c r="T661" s="19">
        <f t="shared" si="128"/>
        <v>2.1876357017771259E-6</v>
      </c>
    </row>
    <row r="662" spans="1:20" x14ac:dyDescent="0.2">
      <c r="A662" s="9">
        <v>44894</v>
      </c>
      <c r="B662" s="4" t="s">
        <v>223</v>
      </c>
      <c r="C662" s="8">
        <v>44866</v>
      </c>
      <c r="D662" s="4" t="s">
        <v>183</v>
      </c>
      <c r="E662" s="14">
        <f>IF(SUMIFS('Daily NSE Equity Futures'!$I:$I,'Daily NSE Equity Futures'!$A:$A,$A662)=0,"",SUMIFS('Daily NSE Equity Futures'!$I:$I,'Daily NSE Equity Futures'!$A:$A,$A662))</f>
        <v>659.17129999999997</v>
      </c>
      <c r="F662" s="6">
        <f>IF(SUMIFS('Daily BSE Equity Futures'!$I:$I,'Daily BSE Equity Futures'!$A:$A,$A662)=0,"",SUMIFS('Daily BSE Equity Futures'!$I:$I,'Daily BSE Equity Futures'!$A:$A,$A662))</f>
        <v>1E-3</v>
      </c>
      <c r="G662" s="6">
        <f t="shared" si="120"/>
        <v>659.17229999999995</v>
      </c>
      <c r="H662" s="15">
        <f t="shared" si="121"/>
        <v>0.99999848294596116</v>
      </c>
      <c r="I662" s="15">
        <f t="shared" si="122"/>
        <v>1.5170540388302119E-6</v>
      </c>
      <c r="J662" s="20">
        <f t="shared" si="123"/>
        <v>-0.38681488556790378</v>
      </c>
      <c r="K662" s="15">
        <f t="shared" si="124"/>
        <v>-0.72222222222222221</v>
      </c>
      <c r="L662" s="15">
        <f t="shared" si="125"/>
        <v>-0.38681600879330891</v>
      </c>
      <c r="M662" s="15">
        <f t="shared" si="129"/>
        <v>-6.5614123222399456E-2</v>
      </c>
      <c r="N662" s="15">
        <f t="shared" si="130"/>
        <v>-0.5</v>
      </c>
      <c r="O662" s="15">
        <f t="shared" si="131"/>
        <v>-6.5615354716785257E-2</v>
      </c>
      <c r="P662" s="18">
        <f>IF(SUMIFS('Daily NSE Equity Futures'!$J:$J,'Daily NSE Equity Futures'!$A:$A,$A662)=0,"",SUMIFS('Daily NSE Equity Futures'!$J:$J,'Daily NSE Equity Futures'!$A:$A,$A662))</f>
        <v>860180</v>
      </c>
      <c r="Q662" s="7">
        <f>IF(SUMIFS('Daily BSE Equity Futures'!$J:$J,'Daily BSE Equity Futures'!$A:$A,$A662)=0,"",SUMIFS('Daily BSE Equity Futures'!$J:$J,'Daily BSE Equity Futures'!$A:$A,$A662))</f>
        <v>1</v>
      </c>
      <c r="R662" s="7">
        <f t="shared" si="126"/>
        <v>860181</v>
      </c>
      <c r="S662" s="19">
        <f t="shared" si="127"/>
        <v>0.99999883745397766</v>
      </c>
      <c r="T662" s="19">
        <f t="shared" si="128"/>
        <v>1.1625460222906574E-6</v>
      </c>
    </row>
    <row r="663" spans="1:20" x14ac:dyDescent="0.2">
      <c r="A663" s="9">
        <v>44895</v>
      </c>
      <c r="B663" s="4" t="s">
        <v>221</v>
      </c>
      <c r="C663" s="8">
        <v>44866</v>
      </c>
      <c r="D663" s="4" t="s">
        <v>183</v>
      </c>
      <c r="E663" s="14">
        <f>IF(SUMIFS('Daily NSE Equity Futures'!$I:$I,'Daily NSE Equity Futures'!$A:$A,$A663)=0,"",SUMIFS('Daily NSE Equity Futures'!$I:$I,'Daily NSE Equity Futures'!$A:$A,$A663))</f>
        <v>840.78240000000005</v>
      </c>
      <c r="F663" s="6">
        <f>IF(SUMIFS('Daily BSE Equity Futures'!$I:$I,'Daily BSE Equity Futures'!$A:$A,$A663)=0,"",SUMIFS('Daily BSE Equity Futures'!$I:$I,'Daily BSE Equity Futures'!$A:$A,$A663))</f>
        <v>1E-3</v>
      </c>
      <c r="G663" s="6">
        <f t="shared" si="120"/>
        <v>840.78340000000003</v>
      </c>
      <c r="H663" s="15">
        <f t="shared" si="121"/>
        <v>0.99999881063303586</v>
      </c>
      <c r="I663" s="15">
        <f t="shared" si="122"/>
        <v>1.1893669641907772E-6</v>
      </c>
      <c r="J663" s="20">
        <f t="shared" si="123"/>
        <v>-0.32617834304042581</v>
      </c>
      <c r="K663" s="15">
        <f t="shared" si="124"/>
        <v>-0.86111111111111116</v>
      </c>
      <c r="L663" s="15">
        <f t="shared" si="125"/>
        <v>-0.32618142971287611</v>
      </c>
      <c r="M663" s="15">
        <f t="shared" si="129"/>
        <v>0.27551427072143486</v>
      </c>
      <c r="N663" s="15">
        <f t="shared" si="130"/>
        <v>0</v>
      </c>
      <c r="O663" s="15">
        <f t="shared" si="131"/>
        <v>0.27551385275139761</v>
      </c>
      <c r="P663" s="18">
        <f>IF(SUMIFS('Daily NSE Equity Futures'!$J:$J,'Daily NSE Equity Futures'!$A:$A,$A663)=0,"",SUMIFS('Daily NSE Equity Futures'!$J:$J,'Daily NSE Equity Futures'!$A:$A,$A663))</f>
        <v>1064591</v>
      </c>
      <c r="Q663" s="7">
        <f>IF(SUMIFS('Daily BSE Equity Futures'!$J:$J,'Daily BSE Equity Futures'!$A:$A,$A663)=0,"",SUMIFS('Daily BSE Equity Futures'!$J:$J,'Daily BSE Equity Futures'!$A:$A,$A663))</f>
        <v>1</v>
      </c>
      <c r="R663" s="7">
        <f t="shared" si="126"/>
        <v>1064592</v>
      </c>
      <c r="S663" s="19">
        <f t="shared" si="127"/>
        <v>0.99999906067300903</v>
      </c>
      <c r="T663" s="19">
        <f t="shared" si="128"/>
        <v>9.3932699099749016E-7</v>
      </c>
    </row>
    <row r="664" spans="1:20" x14ac:dyDescent="0.2">
      <c r="A664" s="9">
        <v>44896</v>
      </c>
      <c r="B664" s="4" t="s">
        <v>224</v>
      </c>
      <c r="C664" s="8">
        <v>44896</v>
      </c>
      <c r="D664" s="4" t="s">
        <v>183</v>
      </c>
      <c r="E664" s="14">
        <f>IF(SUMIFS('Daily NSE Equity Futures'!$I:$I,'Daily NSE Equity Futures'!$A:$A,$A664)=0,"",SUMIFS('Daily NSE Equity Futures'!$I:$I,'Daily NSE Equity Futures'!$A:$A,$A664))</f>
        <v>846.44399999999996</v>
      </c>
      <c r="F664" s="6">
        <f>IF(SUMIFS('Daily BSE Equity Futures'!$I:$I,'Daily BSE Equity Futures'!$A:$A,$A664)=0,"",SUMIFS('Daily BSE Equity Futures'!$I:$I,'Daily BSE Equity Futures'!$A:$A,$A664))</f>
        <v>1E-3</v>
      </c>
      <c r="G664" s="6">
        <f t="shared" si="120"/>
        <v>846.44499999999994</v>
      </c>
      <c r="H664" s="15">
        <f t="shared" si="121"/>
        <v>0.99999881858833117</v>
      </c>
      <c r="I664" s="15">
        <f t="shared" si="122"/>
        <v>1.1814116688030529E-6</v>
      </c>
      <c r="J664" s="20">
        <f t="shared" si="123"/>
        <v>-5.0965886889849266E-2</v>
      </c>
      <c r="K664" s="15">
        <f t="shared" si="124"/>
        <v>0.11111111111111116</v>
      </c>
      <c r="L664" s="15">
        <f t="shared" si="125"/>
        <v>-5.0965723341167557E-2</v>
      </c>
      <c r="M664" s="15">
        <f t="shared" si="129"/>
        <v>6.7337280133359378E-3</v>
      </c>
      <c r="N664" s="15">
        <f t="shared" si="130"/>
        <v>0</v>
      </c>
      <c r="O664" s="15">
        <f t="shared" si="131"/>
        <v>6.7337200044623735E-3</v>
      </c>
      <c r="P664" s="18">
        <f>IF(SUMIFS('Daily NSE Equity Futures'!$J:$J,'Daily NSE Equity Futures'!$A:$A,$A664)=0,"",SUMIFS('Daily NSE Equity Futures'!$J:$J,'Daily NSE Equity Futures'!$A:$A,$A664))</f>
        <v>1097163</v>
      </c>
      <c r="Q664" s="7">
        <f>IF(SUMIFS('Daily BSE Equity Futures'!$J:$J,'Daily BSE Equity Futures'!$A:$A,$A664)=0,"",SUMIFS('Daily BSE Equity Futures'!$J:$J,'Daily BSE Equity Futures'!$A:$A,$A664))</f>
        <v>1</v>
      </c>
      <c r="R664" s="7">
        <f t="shared" si="126"/>
        <v>1097164</v>
      </c>
      <c r="S664" s="19">
        <f t="shared" si="127"/>
        <v>0.99999908855923092</v>
      </c>
      <c r="T664" s="19">
        <f t="shared" si="128"/>
        <v>9.114407691101786E-7</v>
      </c>
    </row>
    <row r="665" spans="1:20" x14ac:dyDescent="0.2">
      <c r="A665" s="9">
        <v>44897</v>
      </c>
      <c r="B665" s="4" t="s">
        <v>222</v>
      </c>
      <c r="C665" s="8">
        <v>44896</v>
      </c>
      <c r="D665" s="4" t="s">
        <v>183</v>
      </c>
      <c r="E665" s="14">
        <f>IF(SUMIFS('Daily NSE Equity Futures'!$I:$I,'Daily NSE Equity Futures'!$A:$A,$A665)=0,"",SUMIFS('Daily NSE Equity Futures'!$I:$I,'Daily NSE Equity Futures'!$A:$A,$A665))</f>
        <v>779.98670000000004</v>
      </c>
      <c r="F665" s="6">
        <f>IF(SUMIFS('Daily BSE Equity Futures'!$I:$I,'Daily BSE Equity Futures'!$A:$A,$A665)=0,"",SUMIFS('Daily BSE Equity Futures'!$I:$I,'Daily BSE Equity Futures'!$A:$A,$A665))</f>
        <v>2E-3</v>
      </c>
      <c r="G665" s="6">
        <f t="shared" si="120"/>
        <v>779.98869999999999</v>
      </c>
      <c r="H665" s="15">
        <f t="shared" si="121"/>
        <v>0.99999743586028877</v>
      </c>
      <c r="I665" s="15">
        <f t="shared" si="122"/>
        <v>2.5641397112547912E-6</v>
      </c>
      <c r="J665" s="20">
        <f t="shared" si="123"/>
        <v>-1.0455602889569704E-2</v>
      </c>
      <c r="K665" s="15">
        <f t="shared" si="124"/>
        <v>0.11111111111111116</v>
      </c>
      <c r="L665" s="15">
        <f t="shared" si="125"/>
        <v>-1.0455325280099181E-2</v>
      </c>
      <c r="M665" s="15">
        <f t="shared" si="129"/>
        <v>-7.8513522453936613E-2</v>
      </c>
      <c r="N665" s="15">
        <f t="shared" si="130"/>
        <v>1</v>
      </c>
      <c r="O665" s="15">
        <f t="shared" si="131"/>
        <v>-7.8512248285476205E-2</v>
      </c>
      <c r="P665" s="18">
        <f>IF(SUMIFS('Daily NSE Equity Futures'!$J:$J,'Daily NSE Equity Futures'!$A:$A,$A665)=0,"",SUMIFS('Daily NSE Equity Futures'!$J:$J,'Daily NSE Equity Futures'!$A:$A,$A665))</f>
        <v>994005</v>
      </c>
      <c r="Q665" s="7">
        <f>IF(SUMIFS('Daily BSE Equity Futures'!$J:$J,'Daily BSE Equity Futures'!$A:$A,$A665)=0,"",SUMIFS('Daily BSE Equity Futures'!$J:$J,'Daily BSE Equity Futures'!$A:$A,$A665))</f>
        <v>2</v>
      </c>
      <c r="R665" s="7">
        <f t="shared" si="126"/>
        <v>994007</v>
      </c>
      <c r="S665" s="19">
        <f t="shared" si="127"/>
        <v>0.99999798794173478</v>
      </c>
      <c r="T665" s="19">
        <f t="shared" si="128"/>
        <v>2.0120582651832432E-6</v>
      </c>
    </row>
    <row r="666" spans="1:20" x14ac:dyDescent="0.2">
      <c r="A666" s="9">
        <v>44900</v>
      </c>
      <c r="B666" s="4" t="s">
        <v>225</v>
      </c>
      <c r="C666" s="8">
        <v>44896</v>
      </c>
      <c r="D666" s="4" t="s">
        <v>183</v>
      </c>
      <c r="E666" s="14">
        <f>IF(SUMIFS('Daily NSE Equity Futures'!$I:$I,'Daily NSE Equity Futures'!$A:$A,$A666)=0,"",SUMIFS('Daily NSE Equity Futures'!$I:$I,'Daily NSE Equity Futures'!$A:$A,$A666))</f>
        <v>733.54349999999999</v>
      </c>
      <c r="F666" s="6">
        <f>IF(SUMIFS('Daily BSE Equity Futures'!$I:$I,'Daily BSE Equity Futures'!$A:$A,$A666)=0,"",SUMIFS('Daily BSE Equity Futures'!$I:$I,'Daily BSE Equity Futures'!$A:$A,$A666))</f>
        <v>1E-3</v>
      </c>
      <c r="G666" s="6">
        <f t="shared" si="120"/>
        <v>733.54449999999997</v>
      </c>
      <c r="H666" s="15">
        <f t="shared" si="121"/>
        <v>0.99999863675618861</v>
      </c>
      <c r="I666" s="15">
        <f t="shared" si="122"/>
        <v>1.3632438113843127E-6</v>
      </c>
      <c r="J666" s="20" t="str">
        <f t="shared" si="123"/>
        <v/>
      </c>
      <c r="K666" s="15" t="str">
        <f t="shared" si="124"/>
        <v/>
      </c>
      <c r="L666" s="15" t="str">
        <f t="shared" si="125"/>
        <v/>
      </c>
      <c r="M666" s="15">
        <f t="shared" si="129"/>
        <v>-5.9543579396930779E-2</v>
      </c>
      <c r="N666" s="15">
        <f t="shared" si="130"/>
        <v>-0.5</v>
      </c>
      <c r="O666" s="15">
        <f t="shared" si="131"/>
        <v>-5.9544708788729972E-2</v>
      </c>
      <c r="P666" s="18">
        <f>IF(SUMIFS('Daily NSE Equity Futures'!$J:$J,'Daily NSE Equity Futures'!$A:$A,$A666)=0,"",SUMIFS('Daily NSE Equity Futures'!$J:$J,'Daily NSE Equity Futures'!$A:$A,$A666))</f>
        <v>938159</v>
      </c>
      <c r="Q666" s="7">
        <f>IF(SUMIFS('Daily BSE Equity Futures'!$J:$J,'Daily BSE Equity Futures'!$A:$A,$A666)=0,"",SUMIFS('Daily BSE Equity Futures'!$J:$J,'Daily BSE Equity Futures'!$A:$A,$A666))</f>
        <v>1</v>
      </c>
      <c r="R666" s="7">
        <f t="shared" si="126"/>
        <v>938160</v>
      </c>
      <c r="S666" s="19">
        <f t="shared" si="127"/>
        <v>0.99999893408373841</v>
      </c>
      <c r="T666" s="19">
        <f t="shared" si="128"/>
        <v>1.0659162616184872E-6</v>
      </c>
    </row>
    <row r="667" spans="1:20" x14ac:dyDescent="0.2">
      <c r="A667" s="9">
        <v>44901</v>
      </c>
      <c r="B667" s="4" t="s">
        <v>223</v>
      </c>
      <c r="C667" s="8">
        <v>44896</v>
      </c>
      <c r="D667" s="4" t="s">
        <v>183</v>
      </c>
      <c r="E667" s="14">
        <f>IF(SUMIFS('Daily NSE Equity Futures'!$I:$I,'Daily NSE Equity Futures'!$A:$A,$A667)=0,"",SUMIFS('Daily NSE Equity Futures'!$I:$I,'Daily NSE Equity Futures'!$A:$A,$A667))</f>
        <v>706.02260000000001</v>
      </c>
      <c r="F667" s="6">
        <f>IF(SUMIFS('Daily BSE Equity Futures'!$I:$I,'Daily BSE Equity Futures'!$A:$A,$A667)=0,"",SUMIFS('Daily BSE Equity Futures'!$I:$I,'Daily BSE Equity Futures'!$A:$A,$A667))</f>
        <v>1E-3</v>
      </c>
      <c r="G667" s="6">
        <f t="shared" si="120"/>
        <v>706.02359999999999</v>
      </c>
      <c r="H667" s="15">
        <f t="shared" si="121"/>
        <v>0.99999858361675165</v>
      </c>
      <c r="I667" s="15">
        <f t="shared" si="122"/>
        <v>1.4163832483786662E-6</v>
      </c>
      <c r="J667" s="20">
        <f t="shared" si="123"/>
        <v>-8.300714673039522E-2</v>
      </c>
      <c r="K667" s="15">
        <f t="shared" si="124"/>
        <v>-0.62962962962962965</v>
      </c>
      <c r="L667" s="15">
        <f t="shared" si="125"/>
        <v>-8.3009063619899459E-2</v>
      </c>
      <c r="M667" s="15">
        <f t="shared" si="129"/>
        <v>-3.7517747754563957E-2</v>
      </c>
      <c r="N667" s="15">
        <f t="shared" si="130"/>
        <v>0</v>
      </c>
      <c r="O667" s="15">
        <f t="shared" si="131"/>
        <v>-3.7517696608726503E-2</v>
      </c>
      <c r="P667" s="18">
        <f>IF(SUMIFS('Daily NSE Equity Futures'!$J:$J,'Daily NSE Equity Futures'!$A:$A,$A667)=0,"",SUMIFS('Daily NSE Equity Futures'!$J:$J,'Daily NSE Equity Futures'!$A:$A,$A667))</f>
        <v>887533</v>
      </c>
      <c r="Q667" s="7">
        <f>IF(SUMIFS('Daily BSE Equity Futures'!$J:$J,'Daily BSE Equity Futures'!$A:$A,$A667)=0,"",SUMIFS('Daily BSE Equity Futures'!$J:$J,'Daily BSE Equity Futures'!$A:$A,$A667))</f>
        <v>1</v>
      </c>
      <c r="R667" s="7">
        <f t="shared" si="126"/>
        <v>887534</v>
      </c>
      <c r="S667" s="19">
        <f t="shared" si="127"/>
        <v>0.99999887328260095</v>
      </c>
      <c r="T667" s="19">
        <f t="shared" si="128"/>
        <v>1.1267173989954187E-6</v>
      </c>
    </row>
    <row r="668" spans="1:20" x14ac:dyDescent="0.2">
      <c r="A668" s="9">
        <v>44902</v>
      </c>
      <c r="B668" s="4" t="s">
        <v>221</v>
      </c>
      <c r="C668" s="8">
        <v>44896</v>
      </c>
      <c r="D668" s="4" t="s">
        <v>183</v>
      </c>
      <c r="E668" s="14">
        <f>IF(SUMIFS('Daily NSE Equity Futures'!$I:$I,'Daily NSE Equity Futures'!$A:$A,$A668)=0,"",SUMIFS('Daily NSE Equity Futures'!$I:$I,'Daily NSE Equity Futures'!$A:$A,$A668))</f>
        <v>711.34379999999999</v>
      </c>
      <c r="F668" s="6">
        <f>IF(SUMIFS('Daily BSE Equity Futures'!$I:$I,'Daily BSE Equity Futures'!$A:$A,$A668)=0,"",SUMIFS('Daily BSE Equity Futures'!$I:$I,'Daily BSE Equity Futures'!$A:$A,$A668))</f>
        <v>1E-3</v>
      </c>
      <c r="G668" s="6">
        <f t="shared" si="120"/>
        <v>711.34479999999996</v>
      </c>
      <c r="H668" s="15">
        <f t="shared" si="121"/>
        <v>0.99999859421197712</v>
      </c>
      <c r="I668" s="15">
        <f t="shared" si="122"/>
        <v>1.4057880229109709E-6</v>
      </c>
      <c r="J668" s="20">
        <f t="shared" si="123"/>
        <v>-0.18649279216153503</v>
      </c>
      <c r="K668" s="15">
        <f t="shared" si="124"/>
        <v>-0.62962962962962965</v>
      </c>
      <c r="L668" s="15">
        <f t="shared" si="125"/>
        <v>-0.18649416046407064</v>
      </c>
      <c r="M668" s="15">
        <f t="shared" si="129"/>
        <v>7.5368692163677586E-3</v>
      </c>
      <c r="N668" s="15">
        <f t="shared" si="130"/>
        <v>0</v>
      </c>
      <c r="O668" s="15">
        <f t="shared" si="131"/>
        <v>7.5368585412725064E-3</v>
      </c>
      <c r="P668" s="18">
        <f>IF(SUMIFS('Daily NSE Equity Futures'!$J:$J,'Daily NSE Equity Futures'!$A:$A,$A668)=0,"",SUMIFS('Daily NSE Equity Futures'!$J:$J,'Daily NSE Equity Futures'!$A:$A,$A668))</f>
        <v>901569</v>
      </c>
      <c r="Q668" s="7">
        <f>IF(SUMIFS('Daily BSE Equity Futures'!$J:$J,'Daily BSE Equity Futures'!$A:$A,$A668)=0,"",SUMIFS('Daily BSE Equity Futures'!$J:$J,'Daily BSE Equity Futures'!$A:$A,$A668))</f>
        <v>1</v>
      </c>
      <c r="R668" s="7">
        <f t="shared" si="126"/>
        <v>901570</v>
      </c>
      <c r="S668" s="19">
        <f t="shared" si="127"/>
        <v>0.99999889082378512</v>
      </c>
      <c r="T668" s="19">
        <f t="shared" si="128"/>
        <v>1.1091762148252494E-6</v>
      </c>
    </row>
    <row r="669" spans="1:20" x14ac:dyDescent="0.2">
      <c r="A669" s="9">
        <v>44903</v>
      </c>
      <c r="B669" s="4" t="s">
        <v>224</v>
      </c>
      <c r="C669" s="8">
        <v>44896</v>
      </c>
      <c r="D669" s="4" t="s">
        <v>183</v>
      </c>
      <c r="E669" s="14">
        <f>IF(SUMIFS('Daily NSE Equity Futures'!$I:$I,'Daily NSE Equity Futures'!$A:$A,$A669)=0,"",SUMIFS('Daily NSE Equity Futures'!$I:$I,'Daily NSE Equity Futures'!$A:$A,$A669))</f>
        <v>720.12329999999997</v>
      </c>
      <c r="F669" s="6">
        <f>IF(SUMIFS('Daily BSE Equity Futures'!$I:$I,'Daily BSE Equity Futures'!$A:$A,$A669)=0,"",SUMIFS('Daily BSE Equity Futures'!$I:$I,'Daily BSE Equity Futures'!$A:$A,$A669))</f>
        <v>1E-3</v>
      </c>
      <c r="G669" s="6">
        <f t="shared" si="120"/>
        <v>720.12429999999995</v>
      </c>
      <c r="H669" s="15">
        <f t="shared" si="121"/>
        <v>0.999998611350846</v>
      </c>
      <c r="I669" s="15">
        <f t="shared" si="122"/>
        <v>1.3886491540418787E-6</v>
      </c>
      <c r="J669" s="20">
        <f t="shared" si="123"/>
        <v>-0.1665627363171297</v>
      </c>
      <c r="K669" s="15">
        <f t="shared" si="124"/>
        <v>-0.44444444444444442</v>
      </c>
      <c r="L669" s="15">
        <f t="shared" si="125"/>
        <v>-0.16656331520921441</v>
      </c>
      <c r="M669" s="15">
        <f t="shared" si="129"/>
        <v>1.2342133297569946E-2</v>
      </c>
      <c r="N669" s="15">
        <f t="shared" si="130"/>
        <v>0</v>
      </c>
      <c r="O669" s="15">
        <f t="shared" si="131"/>
        <v>1.2342115947146848E-2</v>
      </c>
      <c r="P669" s="18">
        <f>IF(SUMIFS('Daily NSE Equity Futures'!$J:$J,'Daily NSE Equity Futures'!$A:$A,$A669)=0,"",SUMIFS('Daily NSE Equity Futures'!$J:$J,'Daily NSE Equity Futures'!$A:$A,$A669))</f>
        <v>881030</v>
      </c>
      <c r="Q669" s="7">
        <f>IF(SUMIFS('Daily BSE Equity Futures'!$J:$J,'Daily BSE Equity Futures'!$A:$A,$A669)=0,"",SUMIFS('Daily BSE Equity Futures'!$J:$J,'Daily BSE Equity Futures'!$A:$A,$A669))</f>
        <v>1</v>
      </c>
      <c r="R669" s="7">
        <f t="shared" si="126"/>
        <v>881031</v>
      </c>
      <c r="S669" s="19">
        <f t="shared" si="127"/>
        <v>0.99999886496615897</v>
      </c>
      <c r="T669" s="19">
        <f t="shared" si="128"/>
        <v>1.1350338410339704E-6</v>
      </c>
    </row>
    <row r="670" spans="1:20" x14ac:dyDescent="0.2">
      <c r="A670" s="9">
        <v>44904</v>
      </c>
      <c r="B670" s="4" t="s">
        <v>222</v>
      </c>
      <c r="C670" s="8">
        <v>44896</v>
      </c>
      <c r="D670" s="4" t="s">
        <v>183</v>
      </c>
      <c r="E670" s="14">
        <f>IF(SUMIFS('Daily NSE Equity Futures'!$I:$I,'Daily NSE Equity Futures'!$A:$A,$A670)=0,"",SUMIFS('Daily NSE Equity Futures'!$I:$I,'Daily NSE Equity Futures'!$A:$A,$A670))</f>
        <v>933.54639999999995</v>
      </c>
      <c r="F670" s="6">
        <f>IF(SUMIFS('Daily BSE Equity Futures'!$I:$I,'Daily BSE Equity Futures'!$A:$A,$A670)=0,"",SUMIFS('Daily BSE Equity Futures'!$I:$I,'Daily BSE Equity Futures'!$A:$A,$A670))</f>
        <v>2.8999999999999998E-3</v>
      </c>
      <c r="G670" s="6">
        <f t="shared" si="120"/>
        <v>933.5492999999999</v>
      </c>
      <c r="H670" s="15">
        <f t="shared" si="121"/>
        <v>0.99999689357594723</v>
      </c>
      <c r="I670" s="15">
        <f t="shared" si="122"/>
        <v>3.1064240528057812E-6</v>
      </c>
      <c r="J670" s="20">
        <f t="shared" si="123"/>
        <v>0.13820499058878677</v>
      </c>
      <c r="K670" s="15">
        <f t="shared" si="124"/>
        <v>7.4074074074073959E-2</v>
      </c>
      <c r="L670" s="15">
        <f t="shared" si="125"/>
        <v>0.13820477947608767</v>
      </c>
      <c r="M670" s="15">
        <f t="shared" si="129"/>
        <v>0.29637021882224879</v>
      </c>
      <c r="N670" s="15">
        <f t="shared" si="130"/>
        <v>1.9</v>
      </c>
      <c r="O670" s="15">
        <f t="shared" si="131"/>
        <v>0.29637244570138788</v>
      </c>
      <c r="P670" s="18">
        <f>IF(SUMIFS('Daily NSE Equity Futures'!$J:$J,'Daily NSE Equity Futures'!$A:$A,$A670)=0,"",SUMIFS('Daily NSE Equity Futures'!$J:$J,'Daily NSE Equity Futures'!$A:$A,$A670))</f>
        <v>1166393</v>
      </c>
      <c r="Q670" s="7">
        <f>IF(SUMIFS('Daily BSE Equity Futures'!$J:$J,'Daily BSE Equity Futures'!$A:$A,$A670)=0,"",SUMIFS('Daily BSE Equity Futures'!$J:$J,'Daily BSE Equity Futures'!$A:$A,$A670))</f>
        <v>3</v>
      </c>
      <c r="R670" s="7">
        <f t="shared" si="126"/>
        <v>1166396</v>
      </c>
      <c r="S670" s="19">
        <f t="shared" si="127"/>
        <v>0.99999742797471869</v>
      </c>
      <c r="T670" s="19">
        <f t="shared" si="128"/>
        <v>2.5720252812938317E-6</v>
      </c>
    </row>
    <row r="671" spans="1:20" x14ac:dyDescent="0.2">
      <c r="A671" s="9">
        <v>44907</v>
      </c>
      <c r="B671" s="4" t="s">
        <v>225</v>
      </c>
      <c r="C671" s="8">
        <v>44896</v>
      </c>
      <c r="D671" s="4" t="s">
        <v>183</v>
      </c>
      <c r="E671" s="14">
        <f>IF(SUMIFS('Daily NSE Equity Futures'!$I:$I,'Daily NSE Equity Futures'!$A:$A,$A671)=0,"",SUMIFS('Daily NSE Equity Futures'!$I:$I,'Daily NSE Equity Futures'!$A:$A,$A671))</f>
        <v>698.28099999999995</v>
      </c>
      <c r="F671" s="6">
        <f>IF(SUMIFS('Daily BSE Equity Futures'!$I:$I,'Daily BSE Equity Futures'!$A:$A,$A671)=0,"",SUMIFS('Daily BSE Equity Futures'!$I:$I,'Daily BSE Equity Futures'!$A:$A,$A671))</f>
        <v>2E-3</v>
      </c>
      <c r="G671" s="6">
        <f t="shared" si="120"/>
        <v>698.2829999999999</v>
      </c>
      <c r="H671" s="15">
        <f t="shared" si="121"/>
        <v>0.99999713583174732</v>
      </c>
      <c r="I671" s="15">
        <f t="shared" si="122"/>
        <v>2.8641682526998369E-6</v>
      </c>
      <c r="J671" s="20" t="str">
        <f t="shared" si="123"/>
        <v/>
      </c>
      <c r="K671" s="15" t="str">
        <f t="shared" si="124"/>
        <v/>
      </c>
      <c r="L671" s="15" t="str">
        <f t="shared" si="125"/>
        <v/>
      </c>
      <c r="M671" s="15">
        <f t="shared" si="129"/>
        <v>-0.25201254056573941</v>
      </c>
      <c r="N671" s="15">
        <f t="shared" si="130"/>
        <v>-0.31034482758620685</v>
      </c>
      <c r="O671" s="15">
        <f t="shared" si="131"/>
        <v>-0.25201272177055889</v>
      </c>
      <c r="P671" s="18">
        <f>IF(SUMIFS('Daily NSE Equity Futures'!$J:$J,'Daily NSE Equity Futures'!$A:$A,$A671)=0,"",SUMIFS('Daily NSE Equity Futures'!$J:$J,'Daily NSE Equity Futures'!$A:$A,$A671))</f>
        <v>890762</v>
      </c>
      <c r="Q671" s="7">
        <f>IF(SUMIFS('Daily BSE Equity Futures'!$J:$J,'Daily BSE Equity Futures'!$A:$A,$A671)=0,"",SUMIFS('Daily BSE Equity Futures'!$J:$J,'Daily BSE Equity Futures'!$A:$A,$A671))</f>
        <v>2</v>
      </c>
      <c r="R671" s="7">
        <f t="shared" si="126"/>
        <v>890764</v>
      </c>
      <c r="S671" s="19">
        <f t="shared" si="127"/>
        <v>0.99999775473638364</v>
      </c>
      <c r="T671" s="19">
        <f t="shared" si="128"/>
        <v>2.2452636164012015E-6</v>
      </c>
    </row>
    <row r="672" spans="1:20" x14ac:dyDescent="0.2">
      <c r="A672" s="9">
        <v>44908</v>
      </c>
      <c r="B672" s="4" t="s">
        <v>223</v>
      </c>
      <c r="C672" s="8">
        <v>44896</v>
      </c>
      <c r="D672" s="4" t="s">
        <v>183</v>
      </c>
      <c r="E672" s="14">
        <f>IF(SUMIFS('Daily NSE Equity Futures'!$I:$I,'Daily NSE Equity Futures'!$A:$A,$A672)=0,"",SUMIFS('Daily NSE Equity Futures'!$I:$I,'Daily NSE Equity Futures'!$A:$A,$A672))</f>
        <v>650.29629999999997</v>
      </c>
      <c r="F672" s="6">
        <f>IF(SUMIFS('Daily BSE Equity Futures'!$I:$I,'Daily BSE Equity Futures'!$A:$A,$A672)=0,"",SUMIFS('Daily BSE Equity Futures'!$I:$I,'Daily BSE Equity Futures'!$A:$A,$A672))</f>
        <v>1E-3</v>
      </c>
      <c r="G672" s="6">
        <f t="shared" si="120"/>
        <v>650.29729999999995</v>
      </c>
      <c r="H672" s="15">
        <f t="shared" si="121"/>
        <v>0.99999846224180855</v>
      </c>
      <c r="I672" s="15">
        <f t="shared" si="122"/>
        <v>1.5377581915225545E-6</v>
      </c>
      <c r="J672" s="20">
        <f t="shared" si="123"/>
        <v>-0.28311015329271272</v>
      </c>
      <c r="K672" s="15">
        <f t="shared" si="124"/>
        <v>-0.64285714285714279</v>
      </c>
      <c r="L672" s="15">
        <f t="shared" si="125"/>
        <v>-0.28311126373247808</v>
      </c>
      <c r="M672" s="15">
        <f t="shared" si="129"/>
        <v>-6.871832399850486E-2</v>
      </c>
      <c r="N672" s="15">
        <f t="shared" si="130"/>
        <v>-0.5</v>
      </c>
      <c r="O672" s="15">
        <f t="shared" si="131"/>
        <v>-6.8719559261789187E-2</v>
      </c>
      <c r="P672" s="18">
        <f>IF(SUMIFS('Daily NSE Equity Futures'!$J:$J,'Daily NSE Equity Futures'!$A:$A,$A672)=0,"",SUMIFS('Daily NSE Equity Futures'!$J:$J,'Daily NSE Equity Futures'!$A:$A,$A672))</f>
        <v>823984</v>
      </c>
      <c r="Q672" s="7">
        <f>IF(SUMIFS('Daily BSE Equity Futures'!$J:$J,'Daily BSE Equity Futures'!$A:$A,$A672)=0,"",SUMIFS('Daily BSE Equity Futures'!$J:$J,'Daily BSE Equity Futures'!$A:$A,$A672))</f>
        <v>1</v>
      </c>
      <c r="R672" s="7">
        <f t="shared" si="126"/>
        <v>823985</v>
      </c>
      <c r="S672" s="19">
        <f t="shared" si="127"/>
        <v>0.99999878638567452</v>
      </c>
      <c r="T672" s="19">
        <f t="shared" si="128"/>
        <v>1.2136143255034983E-6</v>
      </c>
    </row>
    <row r="673" spans="1:20" x14ac:dyDescent="0.2">
      <c r="A673" s="9">
        <v>44909</v>
      </c>
      <c r="B673" s="4" t="s">
        <v>221</v>
      </c>
      <c r="C673" s="8">
        <v>44896</v>
      </c>
      <c r="D673" s="4" t="s">
        <v>183</v>
      </c>
      <c r="E673" s="14">
        <f>IF(SUMIFS('Daily NSE Equity Futures'!$I:$I,'Daily NSE Equity Futures'!$A:$A,$A673)=0,"",SUMIFS('Daily NSE Equity Futures'!$I:$I,'Daily NSE Equity Futures'!$A:$A,$A673))</f>
        <v>717.32860000000005</v>
      </c>
      <c r="F673" s="6">
        <f>IF(SUMIFS('Daily BSE Equity Futures'!$I:$I,'Daily BSE Equity Futures'!$A:$A,$A673)=0,"",SUMIFS('Daily BSE Equity Futures'!$I:$I,'Daily BSE Equity Futures'!$A:$A,$A673))</f>
        <v>1E-3</v>
      </c>
      <c r="G673" s="6">
        <f t="shared" si="120"/>
        <v>717.32960000000003</v>
      </c>
      <c r="H673" s="15">
        <f t="shared" si="121"/>
        <v>0.99999860594070011</v>
      </c>
      <c r="I673" s="15">
        <f t="shared" si="122"/>
        <v>1.3940592999368771E-6</v>
      </c>
      <c r="J673" s="20">
        <f t="shared" si="123"/>
        <v>-0.14057265076459979</v>
      </c>
      <c r="K673" s="15">
        <f t="shared" si="124"/>
        <v>-0.62962962962962965</v>
      </c>
      <c r="L673" s="15">
        <f t="shared" si="125"/>
        <v>-0.1405742327877828</v>
      </c>
      <c r="M673" s="15">
        <f t="shared" si="129"/>
        <v>0.10307962693313821</v>
      </c>
      <c r="N673" s="15">
        <f t="shared" si="130"/>
        <v>0</v>
      </c>
      <c r="O673" s="15">
        <f t="shared" si="131"/>
        <v>0.10307946842159743</v>
      </c>
      <c r="P673" s="18">
        <f>IF(SUMIFS('Daily NSE Equity Futures'!$J:$J,'Daily NSE Equity Futures'!$A:$A,$A673)=0,"",SUMIFS('Daily NSE Equity Futures'!$J:$J,'Daily NSE Equity Futures'!$A:$A,$A673))</f>
        <v>911770</v>
      </c>
      <c r="Q673" s="7">
        <f>IF(SUMIFS('Daily BSE Equity Futures'!$J:$J,'Daily BSE Equity Futures'!$A:$A,$A673)=0,"",SUMIFS('Daily BSE Equity Futures'!$J:$J,'Daily BSE Equity Futures'!$A:$A,$A673))</f>
        <v>1</v>
      </c>
      <c r="R673" s="7">
        <f t="shared" si="126"/>
        <v>911771</v>
      </c>
      <c r="S673" s="19">
        <f t="shared" si="127"/>
        <v>0.9999989032333777</v>
      </c>
      <c r="T673" s="19">
        <f t="shared" si="128"/>
        <v>1.0967666223207363E-6</v>
      </c>
    </row>
    <row r="674" spans="1:20" x14ac:dyDescent="0.2">
      <c r="A674" s="9">
        <v>44910</v>
      </c>
      <c r="B674" s="4" t="s">
        <v>224</v>
      </c>
      <c r="C674" s="8">
        <v>44896</v>
      </c>
      <c r="D674" s="4" t="s">
        <v>183</v>
      </c>
      <c r="E674" s="14">
        <f>IF(SUMIFS('Daily NSE Equity Futures'!$I:$I,'Daily NSE Equity Futures'!$A:$A,$A674)=0,"",SUMIFS('Daily NSE Equity Futures'!$I:$I,'Daily NSE Equity Futures'!$A:$A,$A674))</f>
        <v>889.91099999999994</v>
      </c>
      <c r="F674" s="6">
        <f>IF(SUMIFS('Daily BSE Equity Futures'!$I:$I,'Daily BSE Equity Futures'!$A:$A,$A674)=0,"",SUMIFS('Daily BSE Equity Futures'!$I:$I,'Daily BSE Equity Futures'!$A:$A,$A674))</f>
        <v>2E-3</v>
      </c>
      <c r="G674" s="6">
        <f t="shared" si="120"/>
        <v>889.9129999999999</v>
      </c>
      <c r="H674" s="15">
        <f t="shared" si="121"/>
        <v>0.99999775258929813</v>
      </c>
      <c r="I674" s="15">
        <f t="shared" si="122"/>
        <v>2.247410701945022E-6</v>
      </c>
      <c r="J674" s="20">
        <f t="shared" si="123"/>
        <v>0.25386323605434291</v>
      </c>
      <c r="K674" s="15">
        <f t="shared" si="124"/>
        <v>-0.2592592592592593</v>
      </c>
      <c r="L674" s="15">
        <f t="shared" si="125"/>
        <v>0.25386128402311825</v>
      </c>
      <c r="M674" s="15">
        <f t="shared" si="129"/>
        <v>0.24059043512275946</v>
      </c>
      <c r="N674" s="15">
        <f t="shared" si="130"/>
        <v>1</v>
      </c>
      <c r="O674" s="15">
        <f t="shared" si="131"/>
        <v>0.24059149378472577</v>
      </c>
      <c r="P674" s="18">
        <f>IF(SUMIFS('Daily NSE Equity Futures'!$J:$J,'Daily NSE Equity Futures'!$A:$A,$A674)=0,"",SUMIFS('Daily NSE Equity Futures'!$J:$J,'Daily NSE Equity Futures'!$A:$A,$A674))</f>
        <v>1098853</v>
      </c>
      <c r="Q674" s="7">
        <f>IF(SUMIFS('Daily BSE Equity Futures'!$J:$J,'Daily BSE Equity Futures'!$A:$A,$A674)=0,"",SUMIFS('Daily BSE Equity Futures'!$J:$J,'Daily BSE Equity Futures'!$A:$A,$A674))</f>
        <v>2</v>
      </c>
      <c r="R674" s="7">
        <f t="shared" si="126"/>
        <v>1098855</v>
      </c>
      <c r="S674" s="19">
        <f t="shared" si="127"/>
        <v>0.99999817992364781</v>
      </c>
      <c r="T674" s="19">
        <f t="shared" si="128"/>
        <v>1.8200763522029749E-6</v>
      </c>
    </row>
    <row r="675" spans="1:20" x14ac:dyDescent="0.2">
      <c r="A675" s="9">
        <v>44911</v>
      </c>
      <c r="B675" s="4" t="s">
        <v>222</v>
      </c>
      <c r="C675" s="8">
        <v>44896</v>
      </c>
      <c r="D675" s="4" t="s">
        <v>183</v>
      </c>
      <c r="E675" s="14">
        <f>IF(SUMIFS('Daily NSE Equity Futures'!$I:$I,'Daily NSE Equity Futures'!$A:$A,$A675)=0,"",SUMIFS('Daily NSE Equity Futures'!$I:$I,'Daily NSE Equity Futures'!$A:$A,$A675))</f>
        <v>1019.0444</v>
      </c>
      <c r="F675" s="6">
        <f>IF(SUMIFS('Daily BSE Equity Futures'!$I:$I,'Daily BSE Equity Futures'!$A:$A,$A675)=0,"",SUMIFS('Daily BSE Equity Futures'!$I:$I,'Daily BSE Equity Futures'!$A:$A,$A675))</f>
        <v>7.7000000000000002E-3</v>
      </c>
      <c r="G675" s="6">
        <f t="shared" si="120"/>
        <v>1019.0521</v>
      </c>
      <c r="H675" s="15">
        <f t="shared" si="121"/>
        <v>0.99999244395845899</v>
      </c>
      <c r="I675" s="15">
        <f t="shared" si="122"/>
        <v>7.5560415409575238E-6</v>
      </c>
      <c r="J675" s="20">
        <f t="shared" si="123"/>
        <v>0.29762139425954248</v>
      </c>
      <c r="K675" s="15">
        <f t="shared" si="124"/>
        <v>3.2777777777777777</v>
      </c>
      <c r="L675" s="15">
        <f t="shared" si="125"/>
        <v>0.29762822496335883</v>
      </c>
      <c r="M675" s="15">
        <f t="shared" si="129"/>
        <v>0.14510821868703738</v>
      </c>
      <c r="N675" s="15">
        <f t="shared" si="130"/>
        <v>2.85</v>
      </c>
      <c r="O675" s="15">
        <f t="shared" si="131"/>
        <v>0.14511429768977435</v>
      </c>
      <c r="P675" s="18">
        <f>IF(SUMIFS('Daily NSE Equity Futures'!$J:$J,'Daily NSE Equity Futures'!$A:$A,$A675)=0,"",SUMIFS('Daily NSE Equity Futures'!$J:$J,'Daily NSE Equity Futures'!$A:$A,$A675))</f>
        <v>1289536</v>
      </c>
      <c r="Q675" s="7">
        <f>IF(SUMIFS('Daily BSE Equity Futures'!$J:$J,'Daily BSE Equity Futures'!$A:$A,$A675)=0,"",SUMIFS('Daily BSE Equity Futures'!$J:$J,'Daily BSE Equity Futures'!$A:$A,$A675))</f>
        <v>8</v>
      </c>
      <c r="R675" s="7">
        <f t="shared" si="126"/>
        <v>1289544</v>
      </c>
      <c r="S675" s="19">
        <f t="shared" si="127"/>
        <v>0.99999379625666129</v>
      </c>
      <c r="T675" s="19">
        <f t="shared" si="128"/>
        <v>6.2037433387305904E-6</v>
      </c>
    </row>
    <row r="676" spans="1:20" x14ac:dyDescent="0.2">
      <c r="A676" s="9">
        <v>44914</v>
      </c>
      <c r="B676" s="4" t="s">
        <v>225</v>
      </c>
      <c r="C676" s="8">
        <v>44896</v>
      </c>
      <c r="D676" s="4" t="s">
        <v>183</v>
      </c>
      <c r="E676" s="14">
        <f>IF(SUMIFS('Daily NSE Equity Futures'!$I:$I,'Daily NSE Equity Futures'!$A:$A,$A676)=0,"",SUMIFS('Daily NSE Equity Futures'!$I:$I,'Daily NSE Equity Futures'!$A:$A,$A676))</f>
        <v>729.06939999999997</v>
      </c>
      <c r="F676" s="6">
        <f>IF(SUMIFS('Daily BSE Equity Futures'!$I:$I,'Daily BSE Equity Futures'!$A:$A,$A676)=0,"",SUMIFS('Daily BSE Equity Futures'!$I:$I,'Daily BSE Equity Futures'!$A:$A,$A676))</f>
        <v>4.7999999999999996E-3</v>
      </c>
      <c r="G676" s="6">
        <f t="shared" si="120"/>
        <v>729.07420000000002</v>
      </c>
      <c r="H676" s="15">
        <f t="shared" si="121"/>
        <v>0.99999341630796967</v>
      </c>
      <c r="I676" s="15">
        <f t="shared" si="122"/>
        <v>6.5836920302487722E-6</v>
      </c>
      <c r="J676" s="20" t="str">
        <f t="shared" si="123"/>
        <v/>
      </c>
      <c r="K676" s="15" t="str">
        <f t="shared" si="124"/>
        <v/>
      </c>
      <c r="L676" s="15" t="str">
        <f t="shared" si="125"/>
        <v/>
      </c>
      <c r="M676" s="15">
        <f t="shared" si="129"/>
        <v>-0.28455580541927317</v>
      </c>
      <c r="N676" s="15">
        <f t="shared" si="130"/>
        <v>-0.37662337662337675</v>
      </c>
      <c r="O676" s="15">
        <f t="shared" si="131"/>
        <v>-0.28455650108566577</v>
      </c>
      <c r="P676" s="18">
        <f>IF(SUMIFS('Daily NSE Equity Futures'!$J:$J,'Daily NSE Equity Futures'!$A:$A,$A676)=0,"",SUMIFS('Daily NSE Equity Futures'!$J:$J,'Daily NSE Equity Futures'!$A:$A,$A676))</f>
        <v>932684</v>
      </c>
      <c r="Q676" s="7">
        <f>IF(SUMIFS('Daily BSE Equity Futures'!$J:$J,'Daily BSE Equity Futures'!$A:$A,$A676)=0,"",SUMIFS('Daily BSE Equity Futures'!$J:$J,'Daily BSE Equity Futures'!$A:$A,$A676))</f>
        <v>5</v>
      </c>
      <c r="R676" s="7">
        <f t="shared" si="126"/>
        <v>932689</v>
      </c>
      <c r="S676" s="19">
        <f t="shared" si="127"/>
        <v>0.99999463915624609</v>
      </c>
      <c r="T676" s="19">
        <f t="shared" si="128"/>
        <v>5.3608437539201168E-6</v>
      </c>
    </row>
    <row r="677" spans="1:20" x14ac:dyDescent="0.2">
      <c r="A677" s="9">
        <v>44915</v>
      </c>
      <c r="B677" s="4" t="s">
        <v>223</v>
      </c>
      <c r="C677" s="8">
        <v>44896</v>
      </c>
      <c r="D677" s="4" t="s">
        <v>183</v>
      </c>
      <c r="E677" s="14">
        <f>IF(SUMIFS('Daily NSE Equity Futures'!$I:$I,'Daily NSE Equity Futures'!$A:$A,$A677)=0,"",SUMIFS('Daily NSE Equity Futures'!$I:$I,'Daily NSE Equity Futures'!$A:$A,$A677))</f>
        <v>910.48410000000001</v>
      </c>
      <c r="F677" s="6">
        <f>IF(SUMIFS('Daily BSE Equity Futures'!$I:$I,'Daily BSE Equity Futures'!$A:$A,$A677)=0,"",SUMIFS('Daily BSE Equity Futures'!$I:$I,'Daily BSE Equity Futures'!$A:$A,$A677))</f>
        <v>2.8999999999999998E-3</v>
      </c>
      <c r="G677" s="6">
        <f t="shared" si="120"/>
        <v>910.48699999999997</v>
      </c>
      <c r="H677" s="15">
        <f t="shared" si="121"/>
        <v>0.99999681489137138</v>
      </c>
      <c r="I677" s="15">
        <f t="shared" si="122"/>
        <v>3.1851086286789377E-6</v>
      </c>
      <c r="J677" s="20">
        <f t="shared" si="123"/>
        <v>-0.23140395614814979</v>
      </c>
      <c r="K677" s="15">
        <f t="shared" si="124"/>
        <v>-0.34090909090909094</v>
      </c>
      <c r="L677" s="15">
        <f t="shared" si="125"/>
        <v>-0.2314043628829443</v>
      </c>
      <c r="M677" s="15">
        <f t="shared" si="129"/>
        <v>0.24883049542334379</v>
      </c>
      <c r="N677" s="15">
        <f t="shared" si="130"/>
        <v>-0.39583333333333337</v>
      </c>
      <c r="O677" s="15">
        <f t="shared" si="131"/>
        <v>0.24882625115523216</v>
      </c>
      <c r="P677" s="18">
        <f>IF(SUMIFS('Daily NSE Equity Futures'!$J:$J,'Daily NSE Equity Futures'!$A:$A,$A677)=0,"",SUMIFS('Daily NSE Equity Futures'!$J:$J,'Daily NSE Equity Futures'!$A:$A,$A677))</f>
        <v>1134303</v>
      </c>
      <c r="Q677" s="7">
        <f>IF(SUMIFS('Daily BSE Equity Futures'!$J:$J,'Daily BSE Equity Futures'!$A:$A,$A677)=0,"",SUMIFS('Daily BSE Equity Futures'!$J:$J,'Daily BSE Equity Futures'!$A:$A,$A677))</f>
        <v>3</v>
      </c>
      <c r="R677" s="7">
        <f t="shared" si="126"/>
        <v>1134306</v>
      </c>
      <c r="S677" s="19">
        <f t="shared" si="127"/>
        <v>0.99999735521102773</v>
      </c>
      <c r="T677" s="19">
        <f t="shared" si="128"/>
        <v>2.6447889722879013E-6</v>
      </c>
    </row>
    <row r="678" spans="1:20" x14ac:dyDescent="0.2">
      <c r="A678" s="9">
        <v>44916</v>
      </c>
      <c r="B678" s="4" t="s">
        <v>221</v>
      </c>
      <c r="C678" s="8">
        <v>44896</v>
      </c>
      <c r="D678" s="4" t="s">
        <v>183</v>
      </c>
      <c r="E678" s="14">
        <f>IF(SUMIFS('Daily NSE Equity Futures'!$I:$I,'Daily NSE Equity Futures'!$A:$A,$A678)=0,"",SUMIFS('Daily NSE Equity Futures'!$I:$I,'Daily NSE Equity Futures'!$A:$A,$A678))</f>
        <v>1274.0328999999999</v>
      </c>
      <c r="F678" s="6">
        <f>IF(SUMIFS('Daily BSE Equity Futures'!$I:$I,'Daily BSE Equity Futures'!$A:$A,$A678)=0,"",SUMIFS('Daily BSE Equity Futures'!$I:$I,'Daily BSE Equity Futures'!$A:$A,$A678))</f>
        <v>2.8999999999999998E-3</v>
      </c>
      <c r="G678" s="6">
        <f t="shared" si="120"/>
        <v>1274.0357999999999</v>
      </c>
      <c r="H678" s="15">
        <f t="shared" si="121"/>
        <v>0.99999772376882978</v>
      </c>
      <c r="I678" s="15">
        <f t="shared" si="122"/>
        <v>2.2762311702700977E-6</v>
      </c>
      <c r="J678" s="20">
        <f t="shared" si="123"/>
        <v>0.33024298234027949</v>
      </c>
      <c r="K678" s="15">
        <f t="shared" si="124"/>
        <v>-0.34090909090909094</v>
      </c>
      <c r="L678" s="15">
        <f t="shared" si="125"/>
        <v>0.33023989899649053</v>
      </c>
      <c r="M678" s="15">
        <f t="shared" si="129"/>
        <v>0.39929176138276312</v>
      </c>
      <c r="N678" s="15">
        <f t="shared" si="130"/>
        <v>0</v>
      </c>
      <c r="O678" s="15">
        <f t="shared" si="131"/>
        <v>0.39929048959512858</v>
      </c>
      <c r="P678" s="18">
        <f>IF(SUMIFS('Daily NSE Equity Futures'!$J:$J,'Daily NSE Equity Futures'!$A:$A,$A678)=0,"",SUMIFS('Daily NSE Equity Futures'!$J:$J,'Daily NSE Equity Futures'!$A:$A,$A678))</f>
        <v>1574515</v>
      </c>
      <c r="Q678" s="7">
        <f>IF(SUMIFS('Daily BSE Equity Futures'!$J:$J,'Daily BSE Equity Futures'!$A:$A,$A678)=0,"",SUMIFS('Daily BSE Equity Futures'!$J:$J,'Daily BSE Equity Futures'!$A:$A,$A678))</f>
        <v>3</v>
      </c>
      <c r="R678" s="7">
        <f t="shared" si="126"/>
        <v>1574518</v>
      </c>
      <c r="S678" s="19">
        <f t="shared" si="127"/>
        <v>0.99999809465499923</v>
      </c>
      <c r="T678" s="19">
        <f t="shared" si="128"/>
        <v>1.9053450008192983E-6</v>
      </c>
    </row>
    <row r="679" spans="1:20" x14ac:dyDescent="0.2">
      <c r="A679" s="9">
        <v>44917</v>
      </c>
      <c r="B679" s="4" t="s">
        <v>224</v>
      </c>
      <c r="C679" s="8">
        <v>44896</v>
      </c>
      <c r="D679" s="4" t="s">
        <v>183</v>
      </c>
      <c r="E679" s="14">
        <f>IF(SUMIFS('Daily NSE Equity Futures'!$I:$I,'Daily NSE Equity Futures'!$A:$A,$A679)=0,"",SUMIFS('Daily NSE Equity Futures'!$I:$I,'Daily NSE Equity Futures'!$A:$A,$A679))</f>
        <v>1125.3782000000001</v>
      </c>
      <c r="F679" s="6">
        <f>IF(SUMIFS('Daily BSE Equity Futures'!$I:$I,'Daily BSE Equity Futures'!$A:$A,$A679)=0,"",SUMIFS('Daily BSE Equity Futures'!$I:$I,'Daily BSE Equity Futures'!$A:$A,$A679))</f>
        <v>1.9E-3</v>
      </c>
      <c r="G679" s="6">
        <f t="shared" si="120"/>
        <v>1125.3801000000001</v>
      </c>
      <c r="H679" s="15">
        <f t="shared" si="121"/>
        <v>0.99999831168153763</v>
      </c>
      <c r="I679" s="15">
        <f t="shared" si="122"/>
        <v>1.6883184623577402E-6</v>
      </c>
      <c r="J679" s="20">
        <f t="shared" si="123"/>
        <v>0.28601923512484384</v>
      </c>
      <c r="K679" s="15">
        <f t="shared" si="124"/>
        <v>1.1111111111111112</v>
      </c>
      <c r="L679" s="15">
        <f t="shared" si="125"/>
        <v>0.28602008370591525</v>
      </c>
      <c r="M679" s="15">
        <f t="shared" si="129"/>
        <v>-0.11668042481477503</v>
      </c>
      <c r="N679" s="15">
        <f t="shared" si="130"/>
        <v>-0.34482758620689646</v>
      </c>
      <c r="O679" s="15">
        <f t="shared" si="131"/>
        <v>-0.11668094413045527</v>
      </c>
      <c r="P679" s="18">
        <f>IF(SUMIFS('Daily NSE Equity Futures'!$J:$J,'Daily NSE Equity Futures'!$A:$A,$A679)=0,"",SUMIFS('Daily NSE Equity Futures'!$J:$J,'Daily NSE Equity Futures'!$A:$A,$A679))</f>
        <v>1419123</v>
      </c>
      <c r="Q679" s="7">
        <f>IF(SUMIFS('Daily BSE Equity Futures'!$J:$J,'Daily BSE Equity Futures'!$A:$A,$A679)=0,"",SUMIFS('Daily BSE Equity Futures'!$J:$J,'Daily BSE Equity Futures'!$A:$A,$A679))</f>
        <v>2</v>
      </c>
      <c r="R679" s="7">
        <f t="shared" si="126"/>
        <v>1419125</v>
      </c>
      <c r="S679" s="19">
        <f t="shared" si="127"/>
        <v>0.99999859068087726</v>
      </c>
      <c r="T679" s="19">
        <f t="shared" si="128"/>
        <v>1.4093191226988461E-6</v>
      </c>
    </row>
    <row r="680" spans="1:20" x14ac:dyDescent="0.2">
      <c r="A680" s="9">
        <v>44918</v>
      </c>
      <c r="B680" s="4" t="s">
        <v>222</v>
      </c>
      <c r="C680" s="8">
        <v>44896</v>
      </c>
      <c r="D680" s="4" t="s">
        <v>183</v>
      </c>
      <c r="E680" s="14">
        <f>IF(SUMIFS('Daily NSE Equity Futures'!$I:$I,'Daily NSE Equity Futures'!$A:$A,$A680)=0,"",SUMIFS('Daily NSE Equity Futures'!$I:$I,'Daily NSE Equity Futures'!$A:$A,$A680))</f>
        <v>1467.7128</v>
      </c>
      <c r="F680" s="6">
        <f>IF(SUMIFS('Daily BSE Equity Futures'!$I:$I,'Daily BSE Equity Futures'!$A:$A,$A680)=0,"",SUMIFS('Daily BSE Equity Futures'!$I:$I,'Daily BSE Equity Futures'!$A:$A,$A680))</f>
        <v>2.8E-3</v>
      </c>
      <c r="G680" s="6">
        <f t="shared" si="120"/>
        <v>1467.7156</v>
      </c>
      <c r="H680" s="15">
        <f t="shared" si="121"/>
        <v>0.99999809227346226</v>
      </c>
      <c r="I680" s="15">
        <f t="shared" si="122"/>
        <v>1.9077265377570425E-6</v>
      </c>
      <c r="J680" s="20">
        <f t="shared" si="123"/>
        <v>0.59358169046305553</v>
      </c>
      <c r="K680" s="15">
        <f t="shared" si="124"/>
        <v>2.1111111111111112</v>
      </c>
      <c r="L680" s="15">
        <f t="shared" si="125"/>
        <v>0.5935831733650665</v>
      </c>
      <c r="M680" s="15">
        <f t="shared" si="129"/>
        <v>0.30419515856980328</v>
      </c>
      <c r="N680" s="15">
        <f t="shared" si="130"/>
        <v>0.47368421052631571</v>
      </c>
      <c r="O680" s="15">
        <f t="shared" si="131"/>
        <v>0.30419544472129889</v>
      </c>
      <c r="P680" s="18">
        <f>IF(SUMIFS('Daily NSE Equity Futures'!$J:$J,'Daily NSE Equity Futures'!$A:$A,$A680)=0,"",SUMIFS('Daily NSE Equity Futures'!$J:$J,'Daily NSE Equity Futures'!$A:$A,$A680))</f>
        <v>1956669</v>
      </c>
      <c r="Q680" s="7">
        <f>IF(SUMIFS('Daily BSE Equity Futures'!$J:$J,'Daily BSE Equity Futures'!$A:$A,$A680)=0,"",SUMIFS('Daily BSE Equity Futures'!$J:$J,'Daily BSE Equity Futures'!$A:$A,$A680))</f>
        <v>3</v>
      </c>
      <c r="R680" s="7">
        <f t="shared" si="126"/>
        <v>1956672</v>
      </c>
      <c r="S680" s="19">
        <f t="shared" si="127"/>
        <v>0.99999846678441762</v>
      </c>
      <c r="T680" s="19">
        <f t="shared" si="128"/>
        <v>1.5332155823766067E-6</v>
      </c>
    </row>
    <row r="681" spans="1:20" x14ac:dyDescent="0.2">
      <c r="A681" s="9">
        <v>44921</v>
      </c>
      <c r="B681" s="4" t="s">
        <v>225</v>
      </c>
      <c r="C681" s="8">
        <v>44896</v>
      </c>
      <c r="D681" s="4" t="s">
        <v>183</v>
      </c>
      <c r="E681" s="14">
        <f>IF(SUMIFS('Daily NSE Equity Futures'!$I:$I,'Daily NSE Equity Futures'!$A:$A,$A681)=0,"",SUMIFS('Daily NSE Equity Futures'!$I:$I,'Daily NSE Equity Futures'!$A:$A,$A681))</f>
        <v>1764.2336</v>
      </c>
      <c r="F681" s="6">
        <f>IF(SUMIFS('Daily BSE Equity Futures'!$I:$I,'Daily BSE Equity Futures'!$A:$A,$A681)=0,"",SUMIFS('Daily BSE Equity Futures'!$I:$I,'Daily BSE Equity Futures'!$A:$A,$A681))</f>
        <v>1.9E-3</v>
      </c>
      <c r="G681" s="6">
        <f t="shared" si="120"/>
        <v>1764.2355</v>
      </c>
      <c r="H681" s="15">
        <f t="shared" si="121"/>
        <v>0.99999892304627136</v>
      </c>
      <c r="I681" s="15">
        <f t="shared" si="122"/>
        <v>1.076953728683047E-6</v>
      </c>
      <c r="J681" s="20" t="str">
        <f t="shared" si="123"/>
        <v/>
      </c>
      <c r="K681" s="15" t="str">
        <f t="shared" si="124"/>
        <v/>
      </c>
      <c r="L681" s="15" t="str">
        <f t="shared" si="125"/>
        <v/>
      </c>
      <c r="M681" s="15">
        <f t="shared" si="129"/>
        <v>0.20202917082960647</v>
      </c>
      <c r="N681" s="15">
        <f t="shared" si="130"/>
        <v>-0.3214285714285714</v>
      </c>
      <c r="O681" s="15">
        <f t="shared" si="131"/>
        <v>0.20202817221538005</v>
      </c>
      <c r="P681" s="18">
        <f>IF(SUMIFS('Daily NSE Equity Futures'!$J:$J,'Daily NSE Equity Futures'!$A:$A,$A681)=0,"",SUMIFS('Daily NSE Equity Futures'!$J:$J,'Daily NSE Equity Futures'!$A:$A,$A681))</f>
        <v>2380478</v>
      </c>
      <c r="Q681" s="7">
        <f>IF(SUMIFS('Daily BSE Equity Futures'!$J:$J,'Daily BSE Equity Futures'!$A:$A,$A681)=0,"",SUMIFS('Daily BSE Equity Futures'!$J:$J,'Daily BSE Equity Futures'!$A:$A,$A681))</f>
        <v>2</v>
      </c>
      <c r="R681" s="7">
        <f t="shared" si="126"/>
        <v>2380480</v>
      </c>
      <c r="S681" s="19">
        <f t="shared" si="127"/>
        <v>0.99999915983331089</v>
      </c>
      <c r="T681" s="19">
        <f t="shared" si="128"/>
        <v>8.4016668907111169E-7</v>
      </c>
    </row>
    <row r="682" spans="1:20" x14ac:dyDescent="0.2">
      <c r="A682" s="9">
        <v>44922</v>
      </c>
      <c r="B682" s="4" t="s">
        <v>223</v>
      </c>
      <c r="C682" s="8">
        <v>44896</v>
      </c>
      <c r="D682" s="4" t="s">
        <v>183</v>
      </c>
      <c r="E682" s="14">
        <f>IF(SUMIFS('Daily NSE Equity Futures'!$I:$I,'Daily NSE Equity Futures'!$A:$A,$A682)=0,"",SUMIFS('Daily NSE Equity Futures'!$I:$I,'Daily NSE Equity Futures'!$A:$A,$A682))</f>
        <v>1826.0788</v>
      </c>
      <c r="F682" s="6">
        <f>IF(SUMIFS('Daily BSE Equity Futures'!$I:$I,'Daily BSE Equity Futures'!$A:$A,$A682)=0,"",SUMIFS('Daily BSE Equity Futures'!$I:$I,'Daily BSE Equity Futures'!$A:$A,$A682))</f>
        <v>2.8E-3</v>
      </c>
      <c r="G682" s="6">
        <f t="shared" si="120"/>
        <v>1826.0816</v>
      </c>
      <c r="H682" s="15">
        <f t="shared" si="121"/>
        <v>0.99999846666216885</v>
      </c>
      <c r="I682" s="15">
        <f t="shared" si="122"/>
        <v>1.5333378311243045E-6</v>
      </c>
      <c r="J682" s="20">
        <f t="shared" si="123"/>
        <v>0.17331174087403967</v>
      </c>
      <c r="K682" s="15">
        <f t="shared" si="124"/>
        <v>3.7037037037036979E-2</v>
      </c>
      <c r="L682" s="15">
        <f t="shared" si="125"/>
        <v>0.17331150446060106</v>
      </c>
      <c r="M682" s="15">
        <f t="shared" si="129"/>
        <v>3.5054994984791144E-2</v>
      </c>
      <c r="N682" s="15">
        <f t="shared" si="130"/>
        <v>0.47368421052631571</v>
      </c>
      <c r="O682" s="15">
        <f t="shared" si="131"/>
        <v>3.5055467368160231E-2</v>
      </c>
      <c r="P682" s="18">
        <f>IF(SUMIFS('Daily NSE Equity Futures'!$J:$J,'Daily NSE Equity Futures'!$A:$A,$A682)=0,"",SUMIFS('Daily NSE Equity Futures'!$J:$J,'Daily NSE Equity Futures'!$A:$A,$A682))</f>
        <v>2512981</v>
      </c>
      <c r="Q682" s="7">
        <f>IF(SUMIFS('Daily BSE Equity Futures'!$J:$J,'Daily BSE Equity Futures'!$A:$A,$A682)=0,"",SUMIFS('Daily BSE Equity Futures'!$J:$J,'Daily BSE Equity Futures'!$A:$A,$A682))</f>
        <v>3</v>
      </c>
      <c r="R682" s="7">
        <f t="shared" si="126"/>
        <v>2512984</v>
      </c>
      <c r="S682" s="19">
        <f t="shared" si="127"/>
        <v>0.99999880620011905</v>
      </c>
      <c r="T682" s="19">
        <f t="shared" si="128"/>
        <v>1.1937998809383584E-6</v>
      </c>
    </row>
    <row r="683" spans="1:20" x14ac:dyDescent="0.2">
      <c r="A683" s="9">
        <v>44923</v>
      </c>
      <c r="B683" s="4" t="s">
        <v>221</v>
      </c>
      <c r="C683" s="8">
        <v>44896</v>
      </c>
      <c r="D683" s="4" t="s">
        <v>183</v>
      </c>
      <c r="E683" s="14">
        <f>IF(SUMIFS('Daily NSE Equity Futures'!$I:$I,'Daily NSE Equity Futures'!$A:$A,$A683)=0,"",SUMIFS('Daily NSE Equity Futures'!$I:$I,'Daily NSE Equity Futures'!$A:$A,$A683))</f>
        <v>1664.2564</v>
      </c>
      <c r="F683" s="6">
        <f>IF(SUMIFS('Daily BSE Equity Futures'!$I:$I,'Daily BSE Equity Futures'!$A:$A,$A683)=0,"",SUMIFS('Daily BSE Equity Futures'!$I:$I,'Daily BSE Equity Futures'!$A:$A,$A683))</f>
        <v>1E-3</v>
      </c>
      <c r="G683" s="6">
        <f t="shared" si="120"/>
        <v>1664.2574</v>
      </c>
      <c r="H683" s="15">
        <f t="shared" si="121"/>
        <v>0.99999939913140845</v>
      </c>
      <c r="I683" s="15">
        <f t="shared" si="122"/>
        <v>6.0086859160127516E-7</v>
      </c>
      <c r="J683" s="20">
        <f t="shared" si="123"/>
        <v>-4.8425130839461206E-3</v>
      </c>
      <c r="K683" s="15">
        <f t="shared" si="124"/>
        <v>0.11111111111111116</v>
      </c>
      <c r="L683" s="15">
        <f t="shared" si="125"/>
        <v>-4.8424506819931823E-3</v>
      </c>
      <c r="M683" s="15">
        <f t="shared" si="129"/>
        <v>-8.8617424395924238E-2</v>
      </c>
      <c r="N683" s="15">
        <f t="shared" si="130"/>
        <v>-0.64285714285714279</v>
      </c>
      <c r="O683" s="15">
        <f t="shared" si="131"/>
        <v>-8.8618274232652006E-2</v>
      </c>
      <c r="P683" s="18">
        <f>IF(SUMIFS('Daily NSE Equity Futures'!$J:$J,'Daily NSE Equity Futures'!$A:$A,$A683)=0,"",SUMIFS('Daily NSE Equity Futures'!$J:$J,'Daily NSE Equity Futures'!$A:$A,$A683))</f>
        <v>2272292</v>
      </c>
      <c r="Q683" s="7">
        <f>IF(SUMIFS('Daily BSE Equity Futures'!$J:$J,'Daily BSE Equity Futures'!$A:$A,$A683)=0,"",SUMIFS('Daily BSE Equity Futures'!$J:$J,'Daily BSE Equity Futures'!$A:$A,$A683))</f>
        <v>1</v>
      </c>
      <c r="R683" s="7">
        <f t="shared" si="126"/>
        <v>2272293</v>
      </c>
      <c r="S683" s="19">
        <f t="shared" si="127"/>
        <v>0.99999955991590872</v>
      </c>
      <c r="T683" s="19">
        <f t="shared" si="128"/>
        <v>4.4008409126815954E-7</v>
      </c>
    </row>
    <row r="684" spans="1:20" x14ac:dyDescent="0.2">
      <c r="A684" s="9">
        <v>44924</v>
      </c>
      <c r="B684" s="4" t="s">
        <v>224</v>
      </c>
      <c r="C684" s="8">
        <v>44896</v>
      </c>
      <c r="D684" s="4" t="s">
        <v>183</v>
      </c>
      <c r="E684" s="14">
        <f>IF(SUMIFS('Daily NSE Equity Futures'!$I:$I,'Daily NSE Equity Futures'!$A:$A,$A684)=0,"",SUMIFS('Daily NSE Equity Futures'!$I:$I,'Daily NSE Equity Futures'!$A:$A,$A684))</f>
        <v>1987.5724</v>
      </c>
      <c r="F684" s="6">
        <f>IF(SUMIFS('Daily BSE Equity Futures'!$I:$I,'Daily BSE Equity Futures'!$A:$A,$A684)=0,"",SUMIFS('Daily BSE Equity Futures'!$I:$I,'Daily BSE Equity Futures'!$A:$A,$A684))</f>
        <v>1.7999999999999999E-2</v>
      </c>
      <c r="G684" s="6">
        <f t="shared" si="120"/>
        <v>1987.5904</v>
      </c>
      <c r="H684" s="15">
        <f t="shared" si="121"/>
        <v>0.99999094380814069</v>
      </c>
      <c r="I684" s="15">
        <f t="shared" si="122"/>
        <v>9.056191859248262E-6</v>
      </c>
      <c r="J684" s="20">
        <f t="shared" si="123"/>
        <v>0.26143902641652228</v>
      </c>
      <c r="K684" s="15">
        <f t="shared" si="124"/>
        <v>19</v>
      </c>
      <c r="L684" s="15">
        <f t="shared" si="125"/>
        <v>0.26144972981769055</v>
      </c>
      <c r="M684" s="15">
        <f t="shared" si="129"/>
        <v>0.19427054629322749</v>
      </c>
      <c r="N684" s="15">
        <f t="shared" si="130"/>
        <v>17</v>
      </c>
      <c r="O684" s="15">
        <f t="shared" si="131"/>
        <v>0.19428064432821524</v>
      </c>
      <c r="P684" s="18">
        <f>IF(SUMIFS('Daily NSE Equity Futures'!$J:$J,'Daily NSE Equity Futures'!$A:$A,$A684)=0,"",SUMIFS('Daily NSE Equity Futures'!$J:$J,'Daily NSE Equity Futures'!$A:$A,$A684))</f>
        <v>2689389</v>
      </c>
      <c r="Q684" s="7">
        <f>IF(SUMIFS('Daily BSE Equity Futures'!$J:$J,'Daily BSE Equity Futures'!$A:$A,$A684)=0,"",SUMIFS('Daily BSE Equity Futures'!$J:$J,'Daily BSE Equity Futures'!$A:$A,$A684))</f>
        <v>19</v>
      </c>
      <c r="R684" s="7">
        <f t="shared" si="126"/>
        <v>2689408</v>
      </c>
      <c r="S684" s="19">
        <f t="shared" si="127"/>
        <v>0.99999293524820332</v>
      </c>
      <c r="T684" s="19">
        <f t="shared" si="128"/>
        <v>7.064751796677931E-6</v>
      </c>
    </row>
    <row r="685" spans="1:20" x14ac:dyDescent="0.2">
      <c r="A685" s="9">
        <v>44925</v>
      </c>
      <c r="B685" s="4" t="s">
        <v>222</v>
      </c>
      <c r="C685" s="8">
        <v>44896</v>
      </c>
      <c r="D685" s="4" t="s">
        <v>183</v>
      </c>
      <c r="E685" s="14">
        <f>IF(SUMIFS('Daily NSE Equity Futures'!$I:$I,'Daily NSE Equity Futures'!$A:$A,$A685)=0,"",SUMIFS('Daily NSE Equity Futures'!$I:$I,'Daily NSE Equity Futures'!$A:$A,$A685))</f>
        <v>788.20029999999997</v>
      </c>
      <c r="F685" s="6">
        <f>IF(SUMIFS('Daily BSE Equity Futures'!$I:$I,'Daily BSE Equity Futures'!$A:$A,$A685)=0,"",SUMIFS('Daily BSE Equity Futures'!$I:$I,'Daily BSE Equity Futures'!$A:$A,$A685))</f>
        <v>1.9E-3</v>
      </c>
      <c r="G685" s="6">
        <f t="shared" si="120"/>
        <v>788.20219999999995</v>
      </c>
      <c r="H685" s="15">
        <f t="shared" si="121"/>
        <v>0.99999758945103179</v>
      </c>
      <c r="I685" s="15">
        <f t="shared" si="122"/>
        <v>2.4105489682723548E-6</v>
      </c>
      <c r="J685" s="20">
        <f t="shared" si="123"/>
        <v>-0.55007155925889817</v>
      </c>
      <c r="K685" s="15">
        <f t="shared" si="124"/>
        <v>1.1111111111111112</v>
      </c>
      <c r="L685" s="15">
        <f t="shared" si="125"/>
        <v>-0.55007070583160289</v>
      </c>
      <c r="M685" s="15">
        <f t="shared" si="129"/>
        <v>-0.60343567861980785</v>
      </c>
      <c r="N685" s="15">
        <f t="shared" si="130"/>
        <v>-0.89444444444444438</v>
      </c>
      <c r="O685" s="15">
        <f t="shared" si="131"/>
        <v>-0.60343831405102377</v>
      </c>
      <c r="P685" s="18">
        <f>IF(SUMIFS('Daily NSE Equity Futures'!$J:$J,'Daily NSE Equity Futures'!$A:$A,$A685)=0,"",SUMIFS('Daily NSE Equity Futures'!$J:$J,'Daily NSE Equity Futures'!$A:$A,$A685))</f>
        <v>978592</v>
      </c>
      <c r="Q685" s="7">
        <f>IF(SUMIFS('Daily BSE Equity Futures'!$J:$J,'Daily BSE Equity Futures'!$A:$A,$A685)=0,"",SUMIFS('Daily BSE Equity Futures'!$J:$J,'Daily BSE Equity Futures'!$A:$A,$A685))</f>
        <v>2</v>
      </c>
      <c r="R685" s="7">
        <f t="shared" si="126"/>
        <v>978594</v>
      </c>
      <c r="S685" s="19">
        <f t="shared" si="127"/>
        <v>0.99999795625151999</v>
      </c>
      <c r="T685" s="19">
        <f t="shared" si="128"/>
        <v>2.0437484799620679E-6</v>
      </c>
    </row>
    <row r="686" spans="1:20" x14ac:dyDescent="0.2">
      <c r="A686" s="9">
        <v>44928</v>
      </c>
      <c r="B686" s="4" t="s">
        <v>225</v>
      </c>
      <c r="C686" s="8">
        <v>44927</v>
      </c>
      <c r="D686" s="4" t="s">
        <v>184</v>
      </c>
      <c r="E686" s="14">
        <f>IF(SUMIFS('Daily NSE Equity Futures'!$I:$I,'Daily NSE Equity Futures'!$A:$A,$A686)=0,"",SUMIFS('Daily NSE Equity Futures'!$I:$I,'Daily NSE Equity Futures'!$A:$A,$A686))</f>
        <v>638.8922</v>
      </c>
      <c r="F686" s="6">
        <f>IF(SUMIFS('Daily BSE Equity Futures'!$I:$I,'Daily BSE Equity Futures'!$A:$A,$A686)=0,"",SUMIFS('Daily BSE Equity Futures'!$I:$I,'Daily BSE Equity Futures'!$A:$A,$A686))</f>
        <v>1.9E-3</v>
      </c>
      <c r="G686" s="6">
        <f t="shared" si="120"/>
        <v>638.89409999999998</v>
      </c>
      <c r="H686" s="15">
        <f t="shared" si="121"/>
        <v>0.99999702611121311</v>
      </c>
      <c r="I686" s="15">
        <f t="shared" si="122"/>
        <v>2.9738887868897211E-6</v>
      </c>
      <c r="J686" s="20" t="str">
        <f t="shared" si="123"/>
        <v/>
      </c>
      <c r="K686" s="15" t="str">
        <f t="shared" si="124"/>
        <v/>
      </c>
      <c r="L686" s="15" t="str">
        <f t="shared" si="125"/>
        <v/>
      </c>
      <c r="M686" s="15">
        <f t="shared" si="129"/>
        <v>-0.1894291336859425</v>
      </c>
      <c r="N686" s="15">
        <f t="shared" si="130"/>
        <v>0</v>
      </c>
      <c r="O686" s="15">
        <f t="shared" si="131"/>
        <v>-0.18942867705773969</v>
      </c>
      <c r="P686" s="18">
        <f>IF(SUMIFS('Daily NSE Equity Futures'!$J:$J,'Daily NSE Equity Futures'!$A:$A,$A686)=0,"",SUMIFS('Daily NSE Equity Futures'!$J:$J,'Daily NSE Equity Futures'!$A:$A,$A686))</f>
        <v>799752</v>
      </c>
      <c r="Q686" s="7">
        <f>IF(SUMIFS('Daily BSE Equity Futures'!$J:$J,'Daily BSE Equity Futures'!$A:$A,$A686)=0,"",SUMIFS('Daily BSE Equity Futures'!$J:$J,'Daily BSE Equity Futures'!$A:$A,$A686))</f>
        <v>2</v>
      </c>
      <c r="R686" s="7">
        <f t="shared" si="126"/>
        <v>799754</v>
      </c>
      <c r="S686" s="19">
        <f t="shared" si="127"/>
        <v>0.99999749923101355</v>
      </c>
      <c r="T686" s="19">
        <f t="shared" si="128"/>
        <v>2.5007689864633374E-6</v>
      </c>
    </row>
    <row r="687" spans="1:20" x14ac:dyDescent="0.2">
      <c r="A687" s="9">
        <v>44929</v>
      </c>
      <c r="B687" s="4" t="s">
        <v>223</v>
      </c>
      <c r="C687" s="8">
        <v>44927</v>
      </c>
      <c r="D687" s="4" t="s">
        <v>184</v>
      </c>
      <c r="E687" s="14">
        <f>IF(SUMIFS('Daily NSE Equity Futures'!$I:$I,'Daily NSE Equity Futures'!$A:$A,$A687)=0,"",SUMIFS('Daily NSE Equity Futures'!$I:$I,'Daily NSE Equity Futures'!$A:$A,$A687))</f>
        <v>714.09619999999995</v>
      </c>
      <c r="F687" s="6">
        <f>IF(SUMIFS('Daily BSE Equity Futures'!$I:$I,'Daily BSE Equity Futures'!$A:$A,$A687)=0,"",SUMIFS('Daily BSE Equity Futures'!$I:$I,'Daily BSE Equity Futures'!$A:$A,$A687))</f>
        <v>1.9E-3</v>
      </c>
      <c r="G687" s="6">
        <f t="shared" si="120"/>
        <v>714.09809999999993</v>
      </c>
      <c r="H687" s="15">
        <f t="shared" si="121"/>
        <v>0.99999733930114088</v>
      </c>
      <c r="I687" s="15">
        <f t="shared" si="122"/>
        <v>2.6606988591623478E-6</v>
      </c>
      <c r="J687" s="20">
        <f t="shared" si="123"/>
        <v>-8.7787827082690062E-2</v>
      </c>
      <c r="K687" s="15">
        <f t="shared" si="124"/>
        <v>5.555555555555558E-2</v>
      </c>
      <c r="L687" s="15">
        <f t="shared" si="125"/>
        <v>-8.7787497481860211E-2</v>
      </c>
      <c r="M687" s="15">
        <f t="shared" si="129"/>
        <v>0.11770999865078946</v>
      </c>
      <c r="N687" s="15">
        <f t="shared" si="130"/>
        <v>0</v>
      </c>
      <c r="O687" s="15">
        <f t="shared" si="131"/>
        <v>0.11770964859434452</v>
      </c>
      <c r="P687" s="18">
        <f>IF(SUMIFS('Daily NSE Equity Futures'!$J:$J,'Daily NSE Equity Futures'!$A:$A,$A687)=0,"",SUMIFS('Daily NSE Equity Futures'!$J:$J,'Daily NSE Equity Futures'!$A:$A,$A687))</f>
        <v>886200</v>
      </c>
      <c r="Q687" s="7">
        <f>IF(SUMIFS('Daily BSE Equity Futures'!$J:$J,'Daily BSE Equity Futures'!$A:$A,$A687)=0,"",SUMIFS('Daily BSE Equity Futures'!$J:$J,'Daily BSE Equity Futures'!$A:$A,$A687))</f>
        <v>2</v>
      </c>
      <c r="R687" s="7">
        <f t="shared" si="126"/>
        <v>886202</v>
      </c>
      <c r="S687" s="19">
        <f t="shared" si="127"/>
        <v>0.9999977431781919</v>
      </c>
      <c r="T687" s="19">
        <f t="shared" si="128"/>
        <v>2.2568218081204964E-6</v>
      </c>
    </row>
    <row r="688" spans="1:20" x14ac:dyDescent="0.2">
      <c r="A688" s="9">
        <v>44930</v>
      </c>
      <c r="B688" s="4" t="s">
        <v>221</v>
      </c>
      <c r="C688" s="8">
        <v>44927</v>
      </c>
      <c r="D688" s="4" t="s">
        <v>184</v>
      </c>
      <c r="E688" s="14">
        <f>IF(SUMIFS('Daily NSE Equity Futures'!$I:$I,'Daily NSE Equity Futures'!$A:$A,$A688)=0,"",SUMIFS('Daily NSE Equity Futures'!$I:$I,'Daily NSE Equity Futures'!$A:$A,$A688))</f>
        <v>935.27189999999996</v>
      </c>
      <c r="F688" s="6">
        <f>IF(SUMIFS('Daily BSE Equity Futures'!$I:$I,'Daily BSE Equity Futures'!$A:$A,$A688)=0,"",SUMIFS('Daily BSE Equity Futures'!$I:$I,'Daily BSE Equity Futures'!$A:$A,$A688))</f>
        <v>1.9E-3</v>
      </c>
      <c r="G688" s="6">
        <f t="shared" si="120"/>
        <v>935.27379999999994</v>
      </c>
      <c r="H688" s="15">
        <f t="shared" si="121"/>
        <v>0.99999796850932854</v>
      </c>
      <c r="I688" s="15">
        <f t="shared" si="122"/>
        <v>2.031490671501757E-6</v>
      </c>
      <c r="J688" s="20">
        <f t="shared" si="123"/>
        <v>7.7967776635323283E-2</v>
      </c>
      <c r="K688" s="15">
        <f t="shared" si="124"/>
        <v>0</v>
      </c>
      <c r="L688" s="15">
        <f t="shared" si="125"/>
        <v>7.7967605895159942E-2</v>
      </c>
      <c r="M688" s="15">
        <f t="shared" si="129"/>
        <v>0.30972815707463508</v>
      </c>
      <c r="N688" s="15">
        <f t="shared" si="130"/>
        <v>0</v>
      </c>
      <c r="O688" s="15">
        <f t="shared" si="131"/>
        <v>0.30972733298128086</v>
      </c>
      <c r="P688" s="18">
        <f>IF(SUMIFS('Daily NSE Equity Futures'!$J:$J,'Daily NSE Equity Futures'!$A:$A,$A688)=0,"",SUMIFS('Daily NSE Equity Futures'!$J:$J,'Daily NSE Equity Futures'!$A:$A,$A688))</f>
        <v>1155077</v>
      </c>
      <c r="Q688" s="7">
        <f>IF(SUMIFS('Daily BSE Equity Futures'!$J:$J,'Daily BSE Equity Futures'!$A:$A,$A688)=0,"",SUMIFS('Daily BSE Equity Futures'!$J:$J,'Daily BSE Equity Futures'!$A:$A,$A688))</f>
        <v>2</v>
      </c>
      <c r="R688" s="7">
        <f t="shared" si="126"/>
        <v>1155079</v>
      </c>
      <c r="S688" s="19">
        <f t="shared" si="127"/>
        <v>0.99999826851669882</v>
      </c>
      <c r="T688" s="19">
        <f t="shared" si="128"/>
        <v>1.7314833011421729E-6</v>
      </c>
    </row>
    <row r="689" spans="1:20" x14ac:dyDescent="0.2">
      <c r="A689" s="9">
        <v>44931</v>
      </c>
      <c r="B689" s="4" t="s">
        <v>224</v>
      </c>
      <c r="C689" s="8">
        <v>44927</v>
      </c>
      <c r="D689" s="4" t="s">
        <v>184</v>
      </c>
      <c r="E689" s="14">
        <f>IF(SUMIFS('Daily NSE Equity Futures'!$I:$I,'Daily NSE Equity Futures'!$A:$A,$A689)=0,"",SUMIFS('Daily NSE Equity Futures'!$I:$I,'Daily NSE Equity Futures'!$A:$A,$A689))</f>
        <v>953.92679999999996</v>
      </c>
      <c r="F689" s="6">
        <f>IF(SUMIFS('Daily BSE Equity Futures'!$I:$I,'Daily BSE Equity Futures'!$A:$A,$A689)=0,"",SUMIFS('Daily BSE Equity Futures'!$I:$I,'Daily BSE Equity Futures'!$A:$A,$A689))</f>
        <v>2.8999999999999998E-3</v>
      </c>
      <c r="G689" s="6">
        <f t="shared" si="120"/>
        <v>953.92969999999991</v>
      </c>
      <c r="H689" s="15">
        <f t="shared" si="121"/>
        <v>0.99999695994369397</v>
      </c>
      <c r="I689" s="15">
        <f t="shared" si="122"/>
        <v>3.0400563060359689E-6</v>
      </c>
      <c r="J689" s="20">
        <f t="shared" si="123"/>
        <v>-1.9671079547258774E-2</v>
      </c>
      <c r="K689" s="15">
        <f t="shared" si="124"/>
        <v>0.52631578947368407</v>
      </c>
      <c r="L689" s="15">
        <f t="shared" si="125"/>
        <v>-1.9670013462546376E-2</v>
      </c>
      <c r="M689" s="15">
        <f t="shared" si="129"/>
        <v>1.9945964376776315E-2</v>
      </c>
      <c r="N689" s="15">
        <f t="shared" si="130"/>
        <v>0.52631578947368407</v>
      </c>
      <c r="O689" s="15">
        <f t="shared" si="131"/>
        <v>1.9946993062352369E-2</v>
      </c>
      <c r="P689" s="18">
        <f>IF(SUMIFS('Daily NSE Equity Futures'!$J:$J,'Daily NSE Equity Futures'!$A:$A,$A689)=0,"",SUMIFS('Daily NSE Equity Futures'!$J:$J,'Daily NSE Equity Futures'!$A:$A,$A689))</f>
        <v>1179027</v>
      </c>
      <c r="Q689" s="7">
        <f>IF(SUMIFS('Daily BSE Equity Futures'!$J:$J,'Daily BSE Equity Futures'!$A:$A,$A689)=0,"",SUMIFS('Daily BSE Equity Futures'!$J:$J,'Daily BSE Equity Futures'!$A:$A,$A689))</f>
        <v>3</v>
      </c>
      <c r="R689" s="7">
        <f t="shared" si="126"/>
        <v>1179030</v>
      </c>
      <c r="S689" s="19">
        <f t="shared" si="127"/>
        <v>0.99999745553548258</v>
      </c>
      <c r="T689" s="19">
        <f t="shared" si="128"/>
        <v>2.5444645174423044E-6</v>
      </c>
    </row>
    <row r="690" spans="1:20" x14ac:dyDescent="0.2">
      <c r="A690" s="9">
        <v>44932</v>
      </c>
      <c r="B690" s="4" t="s">
        <v>222</v>
      </c>
      <c r="C690" s="8">
        <v>44927</v>
      </c>
      <c r="D690" s="4" t="s">
        <v>184</v>
      </c>
      <c r="E690" s="14">
        <f>IF(SUMIFS('Daily NSE Equity Futures'!$I:$I,'Daily NSE Equity Futures'!$A:$A,$A690)=0,"",SUMIFS('Daily NSE Equity Futures'!$I:$I,'Daily NSE Equity Futures'!$A:$A,$A690))</f>
        <v>874.625</v>
      </c>
      <c r="F690" s="6">
        <f>IF(SUMIFS('Daily BSE Equity Futures'!$I:$I,'Daily BSE Equity Futures'!$A:$A,$A690)=0,"",SUMIFS('Daily BSE Equity Futures'!$I:$I,'Daily BSE Equity Futures'!$A:$A,$A690))</f>
        <v>1.9E-3</v>
      </c>
      <c r="G690" s="6">
        <f t="shared" si="120"/>
        <v>874.62689999999998</v>
      </c>
      <c r="H690" s="15">
        <f t="shared" si="121"/>
        <v>0.99999782764513645</v>
      </c>
      <c r="I690" s="15">
        <f t="shared" si="122"/>
        <v>2.1723548635423861E-6</v>
      </c>
      <c r="J690" s="20">
        <f t="shared" si="123"/>
        <v>-0.10780018029143479</v>
      </c>
      <c r="K690" s="15">
        <f t="shared" si="124"/>
        <v>1.1111111111111112</v>
      </c>
      <c r="L690" s="15">
        <f t="shared" si="125"/>
        <v>-0.10779906122864513</v>
      </c>
      <c r="M690" s="15">
        <f t="shared" si="129"/>
        <v>-8.313195519823946E-2</v>
      </c>
      <c r="N690" s="15">
        <f t="shared" si="130"/>
        <v>-0.34482758620689646</v>
      </c>
      <c r="O690" s="15">
        <f t="shared" si="131"/>
        <v>-8.3132750767692776E-2</v>
      </c>
      <c r="P690" s="18">
        <f>IF(SUMIFS('Daily NSE Equity Futures'!$J:$J,'Daily NSE Equity Futures'!$A:$A,$A690)=0,"",SUMIFS('Daily NSE Equity Futures'!$J:$J,'Daily NSE Equity Futures'!$A:$A,$A690))</f>
        <v>1088295</v>
      </c>
      <c r="Q690" s="7">
        <f>IF(SUMIFS('Daily BSE Equity Futures'!$J:$J,'Daily BSE Equity Futures'!$A:$A,$A690)=0,"",SUMIFS('Daily BSE Equity Futures'!$J:$J,'Daily BSE Equity Futures'!$A:$A,$A690))</f>
        <v>2</v>
      </c>
      <c r="R690" s="7">
        <f t="shared" si="126"/>
        <v>1088297</v>
      </c>
      <c r="S690" s="19">
        <f t="shared" si="127"/>
        <v>0.99999816226636662</v>
      </c>
      <c r="T690" s="19">
        <f t="shared" si="128"/>
        <v>1.8377336333739779E-6</v>
      </c>
    </row>
    <row r="691" spans="1:20" x14ac:dyDescent="0.2">
      <c r="A691" s="9">
        <v>44935</v>
      </c>
      <c r="B691" s="4" t="s">
        <v>225</v>
      </c>
      <c r="C691" s="8">
        <v>44927</v>
      </c>
      <c r="D691" s="4" t="s">
        <v>184</v>
      </c>
      <c r="E691" s="14">
        <f>IF(SUMIFS('Daily NSE Equity Futures'!$I:$I,'Daily NSE Equity Futures'!$A:$A,$A691)=0,"",SUMIFS('Daily NSE Equity Futures'!$I:$I,'Daily NSE Equity Futures'!$A:$A,$A691))</f>
        <v>893.60260000000005</v>
      </c>
      <c r="F691" s="6">
        <f>IF(SUMIFS('Daily BSE Equity Futures'!$I:$I,'Daily BSE Equity Futures'!$A:$A,$A691)=0,"",SUMIFS('Daily BSE Equity Futures'!$I:$I,'Daily BSE Equity Futures'!$A:$A,$A691))</f>
        <v>1.9E-3</v>
      </c>
      <c r="G691" s="6">
        <f t="shared" si="120"/>
        <v>893.60450000000003</v>
      </c>
      <c r="H691" s="15">
        <f t="shared" si="121"/>
        <v>0.99999787377973148</v>
      </c>
      <c r="I691" s="15">
        <f t="shared" si="122"/>
        <v>2.1262202685863822E-6</v>
      </c>
      <c r="J691" s="20" t="str">
        <f t="shared" si="123"/>
        <v/>
      </c>
      <c r="K691" s="15" t="str">
        <f t="shared" si="124"/>
        <v/>
      </c>
      <c r="L691" s="15" t="str">
        <f t="shared" si="125"/>
        <v/>
      </c>
      <c r="M691" s="15">
        <f t="shared" si="129"/>
        <v>2.1697984850650442E-2</v>
      </c>
      <c r="N691" s="15">
        <f t="shared" si="130"/>
        <v>0</v>
      </c>
      <c r="O691" s="15">
        <f t="shared" si="131"/>
        <v>2.169793771492734E-2</v>
      </c>
      <c r="P691" s="18">
        <f>IF(SUMIFS('Daily NSE Equity Futures'!$J:$J,'Daily NSE Equity Futures'!$A:$A,$A691)=0,"",SUMIFS('Daily NSE Equity Futures'!$J:$J,'Daily NSE Equity Futures'!$A:$A,$A691))</f>
        <v>1128958</v>
      </c>
      <c r="Q691" s="7">
        <f>IF(SUMIFS('Daily BSE Equity Futures'!$J:$J,'Daily BSE Equity Futures'!$A:$A,$A691)=0,"",SUMIFS('Daily BSE Equity Futures'!$J:$J,'Daily BSE Equity Futures'!$A:$A,$A691))</f>
        <v>2</v>
      </c>
      <c r="R691" s="7">
        <f t="shared" si="126"/>
        <v>1128960</v>
      </c>
      <c r="S691" s="19">
        <f t="shared" si="127"/>
        <v>0.99999822845804986</v>
      </c>
      <c r="T691" s="19">
        <f t="shared" si="128"/>
        <v>1.7715419501133788E-6</v>
      </c>
    </row>
    <row r="692" spans="1:20" x14ac:dyDescent="0.2">
      <c r="A692" s="9">
        <v>44936</v>
      </c>
      <c r="B692" s="4" t="s">
        <v>223</v>
      </c>
      <c r="C692" s="8">
        <v>44927</v>
      </c>
      <c r="D692" s="4" t="s">
        <v>184</v>
      </c>
      <c r="E692" s="14">
        <f>IF(SUMIFS('Daily NSE Equity Futures'!$I:$I,'Daily NSE Equity Futures'!$A:$A,$A692)=0,"",SUMIFS('Daily NSE Equity Futures'!$I:$I,'Daily NSE Equity Futures'!$A:$A,$A692))</f>
        <v>913.1223</v>
      </c>
      <c r="F692" s="6">
        <f>IF(SUMIFS('Daily BSE Equity Futures'!$I:$I,'Daily BSE Equity Futures'!$A:$A,$A692)=0,"",SUMIFS('Daily BSE Equity Futures'!$I:$I,'Daily BSE Equity Futures'!$A:$A,$A692))</f>
        <v>2.8E-3</v>
      </c>
      <c r="G692" s="6">
        <f t="shared" si="120"/>
        <v>913.12509999999997</v>
      </c>
      <c r="H692" s="15">
        <f t="shared" si="121"/>
        <v>0.99999693360745423</v>
      </c>
      <c r="I692" s="15">
        <f t="shared" si="122"/>
        <v>3.0663925457749436E-6</v>
      </c>
      <c r="J692" s="20">
        <f t="shared" si="123"/>
        <v>1.8787700137635088E-2</v>
      </c>
      <c r="K692" s="15">
        <f t="shared" si="124"/>
        <v>0.47368421052631571</v>
      </c>
      <c r="L692" s="15">
        <f t="shared" si="125"/>
        <v>1.878866445509364E-2</v>
      </c>
      <c r="M692" s="15">
        <f t="shared" si="129"/>
        <v>2.184382632727333E-2</v>
      </c>
      <c r="N692" s="15">
        <f t="shared" si="130"/>
        <v>0.47368421052631571</v>
      </c>
      <c r="O692" s="15">
        <f t="shared" si="131"/>
        <v>2.184478703945647E-2</v>
      </c>
      <c r="P692" s="18">
        <f>IF(SUMIFS('Daily NSE Equity Futures'!$J:$J,'Daily NSE Equity Futures'!$A:$A,$A692)=0,"",SUMIFS('Daily NSE Equity Futures'!$J:$J,'Daily NSE Equity Futures'!$A:$A,$A692))</f>
        <v>1152996</v>
      </c>
      <c r="Q692" s="7">
        <f>IF(SUMIFS('Daily BSE Equity Futures'!$J:$J,'Daily BSE Equity Futures'!$A:$A,$A692)=0,"",SUMIFS('Daily BSE Equity Futures'!$J:$J,'Daily BSE Equity Futures'!$A:$A,$A692))</f>
        <v>3</v>
      </c>
      <c r="R692" s="7">
        <f t="shared" si="126"/>
        <v>1152999</v>
      </c>
      <c r="S692" s="19">
        <f t="shared" si="127"/>
        <v>0.99999739808967747</v>
      </c>
      <c r="T692" s="19">
        <f t="shared" si="128"/>
        <v>2.6019103225588228E-6</v>
      </c>
    </row>
    <row r="693" spans="1:20" x14ac:dyDescent="0.2">
      <c r="A693" s="9">
        <v>44937</v>
      </c>
      <c r="B693" s="4" t="s">
        <v>221</v>
      </c>
      <c r="C693" s="8">
        <v>44927</v>
      </c>
      <c r="D693" s="4" t="s">
        <v>184</v>
      </c>
      <c r="E693" s="14">
        <f>IF(SUMIFS('Daily NSE Equity Futures'!$I:$I,'Daily NSE Equity Futures'!$A:$A,$A693)=0,"",SUMIFS('Daily NSE Equity Futures'!$I:$I,'Daily NSE Equity Futures'!$A:$A,$A693))</f>
        <v>819.44640000000004</v>
      </c>
      <c r="F693" s="6">
        <f>IF(SUMIFS('Daily BSE Equity Futures'!$I:$I,'Daily BSE Equity Futures'!$A:$A,$A693)=0,"",SUMIFS('Daily BSE Equity Futures'!$I:$I,'Daily BSE Equity Futures'!$A:$A,$A693))</f>
        <v>1.9E-3</v>
      </c>
      <c r="G693" s="6">
        <f t="shared" si="120"/>
        <v>819.44830000000002</v>
      </c>
      <c r="H693" s="15">
        <f t="shared" si="121"/>
        <v>0.99999768136684164</v>
      </c>
      <c r="I693" s="15">
        <f t="shared" si="122"/>
        <v>2.3186331584311054E-6</v>
      </c>
      <c r="J693" s="20">
        <f t="shared" si="123"/>
        <v>-4.1966147334317139E-2</v>
      </c>
      <c r="K693" s="15">
        <f t="shared" si="124"/>
        <v>-0.3214285714285714</v>
      </c>
      <c r="L693" s="15">
        <f t="shared" si="125"/>
        <v>-4.1967062164184998E-2</v>
      </c>
      <c r="M693" s="15">
        <f t="shared" si="129"/>
        <v>-0.10258855796206046</v>
      </c>
      <c r="N693" s="15">
        <f t="shared" si="130"/>
        <v>-0.3214285714285714</v>
      </c>
      <c r="O693" s="15">
        <f t="shared" si="131"/>
        <v>-0.10258922901144651</v>
      </c>
      <c r="P693" s="18">
        <f>IF(SUMIFS('Daily NSE Equity Futures'!$J:$J,'Daily NSE Equity Futures'!$A:$A,$A693)=0,"",SUMIFS('Daily NSE Equity Futures'!$J:$J,'Daily NSE Equity Futures'!$A:$A,$A693))</f>
        <v>1027669</v>
      </c>
      <c r="Q693" s="7">
        <f>IF(SUMIFS('Daily BSE Equity Futures'!$J:$J,'Daily BSE Equity Futures'!$A:$A,$A693)=0,"",SUMIFS('Daily BSE Equity Futures'!$J:$J,'Daily BSE Equity Futures'!$A:$A,$A693))</f>
        <v>2</v>
      </c>
      <c r="R693" s="7">
        <f t="shared" si="126"/>
        <v>1027671</v>
      </c>
      <c r="S693" s="19">
        <f t="shared" si="127"/>
        <v>0.99999805385186502</v>
      </c>
      <c r="T693" s="19">
        <f t="shared" si="128"/>
        <v>1.9461481349575887E-6</v>
      </c>
    </row>
    <row r="694" spans="1:20" x14ac:dyDescent="0.2">
      <c r="A694" s="9">
        <v>44938</v>
      </c>
      <c r="B694" s="4" t="s">
        <v>224</v>
      </c>
      <c r="C694" s="8">
        <v>44927</v>
      </c>
      <c r="D694" s="4" t="s">
        <v>184</v>
      </c>
      <c r="E694" s="14">
        <f>IF(SUMIFS('Daily NSE Equity Futures'!$I:$I,'Daily NSE Equity Futures'!$A:$A,$A694)=0,"",SUMIFS('Daily NSE Equity Futures'!$I:$I,'Daily NSE Equity Futures'!$A:$A,$A694))</f>
        <v>774.83920000000001</v>
      </c>
      <c r="F694" s="6">
        <f>IF(SUMIFS('Daily BSE Equity Futures'!$I:$I,'Daily BSE Equity Futures'!$A:$A,$A694)=0,"",SUMIFS('Daily BSE Equity Futures'!$I:$I,'Daily BSE Equity Futures'!$A:$A,$A694))</f>
        <v>1.9E-3</v>
      </c>
      <c r="G694" s="6">
        <f t="shared" si="120"/>
        <v>774.84109999999998</v>
      </c>
      <c r="H694" s="15">
        <f t="shared" si="121"/>
        <v>0.99999754788433404</v>
      </c>
      <c r="I694" s="15">
        <f t="shared" si="122"/>
        <v>2.4521156660378497E-6</v>
      </c>
      <c r="J694" s="20">
        <f t="shared" si="123"/>
        <v>-9.5749748682963376E-2</v>
      </c>
      <c r="K694" s="15">
        <f t="shared" si="124"/>
        <v>0.89999999999999991</v>
      </c>
      <c r="L694" s="15">
        <f t="shared" si="125"/>
        <v>-9.5748586627778631E-2</v>
      </c>
      <c r="M694" s="15">
        <f t="shared" si="129"/>
        <v>-5.4435775176997603E-2</v>
      </c>
      <c r="N694" s="15">
        <f t="shared" si="130"/>
        <v>0</v>
      </c>
      <c r="O694" s="15">
        <f t="shared" si="131"/>
        <v>-5.4435648960404204E-2</v>
      </c>
      <c r="P694" s="18">
        <f>IF(SUMIFS('Daily NSE Equity Futures'!$J:$J,'Daily NSE Equity Futures'!$A:$A,$A694)=0,"",SUMIFS('Daily NSE Equity Futures'!$J:$J,'Daily NSE Equity Futures'!$A:$A,$A694))</f>
        <v>976304</v>
      </c>
      <c r="Q694" s="7">
        <f>IF(SUMIFS('Daily BSE Equity Futures'!$J:$J,'Daily BSE Equity Futures'!$A:$A,$A694)=0,"",SUMIFS('Daily BSE Equity Futures'!$J:$J,'Daily BSE Equity Futures'!$A:$A,$A694))</f>
        <v>2</v>
      </c>
      <c r="R694" s="7">
        <f t="shared" si="126"/>
        <v>976306</v>
      </c>
      <c r="S694" s="19">
        <f t="shared" si="127"/>
        <v>0.99999795146193915</v>
      </c>
      <c r="T694" s="19">
        <f t="shared" si="128"/>
        <v>2.0485380608129009E-6</v>
      </c>
    </row>
    <row r="695" spans="1:20" x14ac:dyDescent="0.2">
      <c r="A695" s="9">
        <v>44939</v>
      </c>
      <c r="B695" s="4" t="s">
        <v>222</v>
      </c>
      <c r="C695" s="8">
        <v>44927</v>
      </c>
      <c r="D695" s="4" t="s">
        <v>184</v>
      </c>
      <c r="E695" s="14">
        <f>IF(SUMIFS('Daily NSE Equity Futures'!$I:$I,'Daily NSE Equity Futures'!$A:$A,$A695)=0,"",SUMIFS('Daily NSE Equity Futures'!$I:$I,'Daily NSE Equity Futures'!$A:$A,$A695))</f>
        <v>934.39589999999998</v>
      </c>
      <c r="F695" s="6">
        <f>IF(SUMIFS('Daily BSE Equity Futures'!$I:$I,'Daily BSE Equity Futures'!$A:$A,$A695)=0,"",SUMIFS('Daily BSE Equity Futures'!$I:$I,'Daily BSE Equity Futures'!$A:$A,$A695))</f>
        <v>2.8E-3</v>
      </c>
      <c r="G695" s="6">
        <f t="shared" si="120"/>
        <v>934.39869999999996</v>
      </c>
      <c r="H695" s="15">
        <f t="shared" si="121"/>
        <v>0.99999700342048847</v>
      </c>
      <c r="I695" s="15">
        <f t="shared" si="122"/>
        <v>2.9965795115083101E-6</v>
      </c>
      <c r="J695" s="20">
        <f t="shared" si="123"/>
        <v>-5.5685778872655245E-2</v>
      </c>
      <c r="K695" s="15">
        <f t="shared" si="124"/>
        <v>0.47368421052631571</v>
      </c>
      <c r="L695" s="15">
        <f t="shared" si="125"/>
        <v>-5.5684762395342258E-2</v>
      </c>
      <c r="M695" s="15">
        <f t="shared" si="129"/>
        <v>0.2059223384671296</v>
      </c>
      <c r="N695" s="15">
        <f t="shared" si="130"/>
        <v>0.47368421052631571</v>
      </c>
      <c r="O695" s="15">
        <f t="shared" si="131"/>
        <v>0.20592299505021083</v>
      </c>
      <c r="P695" s="18">
        <f>IF(SUMIFS('Daily NSE Equity Futures'!$J:$J,'Daily NSE Equity Futures'!$A:$A,$A695)=0,"",SUMIFS('Daily NSE Equity Futures'!$J:$J,'Daily NSE Equity Futures'!$A:$A,$A695))</f>
        <v>1196529</v>
      </c>
      <c r="Q695" s="7">
        <f>IF(SUMIFS('Daily BSE Equity Futures'!$J:$J,'Daily BSE Equity Futures'!$A:$A,$A695)=0,"",SUMIFS('Daily BSE Equity Futures'!$J:$J,'Daily BSE Equity Futures'!$A:$A,$A695))</f>
        <v>3</v>
      </c>
      <c r="R695" s="7">
        <f t="shared" si="126"/>
        <v>1196532</v>
      </c>
      <c r="S695" s="19">
        <f t="shared" si="127"/>
        <v>0.99999749275405925</v>
      </c>
      <c r="T695" s="19">
        <f t="shared" si="128"/>
        <v>2.5072459407688218E-6</v>
      </c>
    </row>
    <row r="696" spans="1:20" x14ac:dyDescent="0.2">
      <c r="A696" s="9">
        <v>44942</v>
      </c>
      <c r="B696" s="4" t="s">
        <v>225</v>
      </c>
      <c r="C696" s="8">
        <v>44927</v>
      </c>
      <c r="D696" s="4" t="s">
        <v>184</v>
      </c>
      <c r="E696" s="14">
        <f>IF(SUMIFS('Daily NSE Equity Futures'!$I:$I,'Daily NSE Equity Futures'!$A:$A,$A696)=0,"",SUMIFS('Daily NSE Equity Futures'!$I:$I,'Daily NSE Equity Futures'!$A:$A,$A696))</f>
        <v>845.01170000000002</v>
      </c>
      <c r="F696" s="6">
        <f>IF(SUMIFS('Daily BSE Equity Futures'!$I:$I,'Daily BSE Equity Futures'!$A:$A,$A696)=0,"",SUMIFS('Daily BSE Equity Futures'!$I:$I,'Daily BSE Equity Futures'!$A:$A,$A696))</f>
        <v>2.8E-3</v>
      </c>
      <c r="G696" s="6">
        <f t="shared" si="120"/>
        <v>845.0145</v>
      </c>
      <c r="H696" s="15">
        <f t="shared" si="121"/>
        <v>0.99999668644739237</v>
      </c>
      <c r="I696" s="15">
        <f t="shared" si="122"/>
        <v>3.3135526076771461E-6</v>
      </c>
      <c r="J696" s="20" t="str">
        <f t="shared" si="123"/>
        <v/>
      </c>
      <c r="K696" s="15" t="str">
        <f t="shared" si="124"/>
        <v/>
      </c>
      <c r="L696" s="15" t="str">
        <f t="shared" si="125"/>
        <v/>
      </c>
      <c r="M696" s="15">
        <f t="shared" si="129"/>
        <v>-9.5659880356923632E-2</v>
      </c>
      <c r="N696" s="15">
        <f t="shared" si="130"/>
        <v>0</v>
      </c>
      <c r="O696" s="15">
        <f t="shared" si="131"/>
        <v>-9.5659593704486068E-2</v>
      </c>
      <c r="P696" s="18">
        <f>IF(SUMIFS('Daily NSE Equity Futures'!$J:$J,'Daily NSE Equity Futures'!$A:$A,$A696)=0,"",SUMIFS('Daily NSE Equity Futures'!$J:$J,'Daily NSE Equity Futures'!$A:$A,$A696))</f>
        <v>1055874</v>
      </c>
      <c r="Q696" s="7">
        <f>IF(SUMIFS('Daily BSE Equity Futures'!$J:$J,'Daily BSE Equity Futures'!$A:$A,$A696)=0,"",SUMIFS('Daily BSE Equity Futures'!$J:$J,'Daily BSE Equity Futures'!$A:$A,$A696))</f>
        <v>3</v>
      </c>
      <c r="R696" s="7">
        <f t="shared" si="126"/>
        <v>1055877</v>
      </c>
      <c r="S696" s="19">
        <f t="shared" si="127"/>
        <v>0.9999971587599692</v>
      </c>
      <c r="T696" s="19">
        <f t="shared" si="128"/>
        <v>2.8412400307990419E-6</v>
      </c>
    </row>
    <row r="697" spans="1:20" x14ac:dyDescent="0.2">
      <c r="A697" s="9">
        <v>44943</v>
      </c>
      <c r="B697" s="4" t="s">
        <v>223</v>
      </c>
      <c r="C697" s="8">
        <v>44927</v>
      </c>
      <c r="D697" s="4" t="s">
        <v>184</v>
      </c>
      <c r="E697" s="14">
        <f>IF(SUMIFS('Daily NSE Equity Futures'!$I:$I,'Daily NSE Equity Futures'!$A:$A,$A697)=0,"",SUMIFS('Daily NSE Equity Futures'!$I:$I,'Daily NSE Equity Futures'!$A:$A,$A697))</f>
        <v>868.23339999999996</v>
      </c>
      <c r="F697" s="6">
        <f>IF(SUMIFS('Daily BSE Equity Futures'!$I:$I,'Daily BSE Equity Futures'!$A:$A,$A697)=0,"",SUMIFS('Daily BSE Equity Futures'!$I:$I,'Daily BSE Equity Futures'!$A:$A,$A697))</f>
        <v>2.8E-3</v>
      </c>
      <c r="G697" s="6">
        <f t="shared" si="120"/>
        <v>868.23619999999994</v>
      </c>
      <c r="H697" s="15">
        <f t="shared" si="121"/>
        <v>0.99999677507111551</v>
      </c>
      <c r="I697" s="15">
        <f t="shared" si="122"/>
        <v>3.2249288845592941E-6</v>
      </c>
      <c r="J697" s="20">
        <f t="shared" si="123"/>
        <v>-9.1391471415129821E-3</v>
      </c>
      <c r="K697" s="15">
        <f t="shared" si="124"/>
        <v>1.7999999999999998</v>
      </c>
      <c r="L697" s="15">
        <f t="shared" si="125"/>
        <v>-9.1370824857274213E-3</v>
      </c>
      <c r="M697" s="15">
        <f t="shared" si="129"/>
        <v>2.7480921270084169E-2</v>
      </c>
      <c r="N697" s="15">
        <f t="shared" si="130"/>
        <v>0</v>
      </c>
      <c r="O697" s="15">
        <f t="shared" si="131"/>
        <v>2.7480830210605767E-2</v>
      </c>
      <c r="P697" s="18">
        <f>IF(SUMIFS('Daily NSE Equity Futures'!$J:$J,'Daily NSE Equity Futures'!$A:$A,$A697)=0,"",SUMIFS('Daily NSE Equity Futures'!$J:$J,'Daily NSE Equity Futures'!$A:$A,$A697))</f>
        <v>1089127</v>
      </c>
      <c r="Q697" s="7">
        <f>IF(SUMIFS('Daily BSE Equity Futures'!$J:$J,'Daily BSE Equity Futures'!$A:$A,$A697)=0,"",SUMIFS('Daily BSE Equity Futures'!$J:$J,'Daily BSE Equity Futures'!$A:$A,$A697))</f>
        <v>3</v>
      </c>
      <c r="R697" s="7">
        <f t="shared" si="126"/>
        <v>1089130</v>
      </c>
      <c r="S697" s="19">
        <f t="shared" si="127"/>
        <v>0.99999724550788249</v>
      </c>
      <c r="T697" s="19">
        <f t="shared" si="128"/>
        <v>2.7544921175617236E-6</v>
      </c>
    </row>
    <row r="698" spans="1:20" x14ac:dyDescent="0.2">
      <c r="A698" s="9">
        <v>44944</v>
      </c>
      <c r="B698" s="4" t="s">
        <v>221</v>
      </c>
      <c r="C698" s="8">
        <v>44927</v>
      </c>
      <c r="D698" s="4" t="s">
        <v>184</v>
      </c>
      <c r="E698" s="14">
        <f>IF(SUMIFS('Daily NSE Equity Futures'!$I:$I,'Daily NSE Equity Futures'!$A:$A,$A698)=0,"",SUMIFS('Daily NSE Equity Futures'!$I:$I,'Daily NSE Equity Futures'!$A:$A,$A698))</f>
        <v>910.86040000000003</v>
      </c>
      <c r="F698" s="6">
        <f>IF(SUMIFS('Daily BSE Equity Futures'!$I:$I,'Daily BSE Equity Futures'!$A:$A,$A698)=0,"",SUMIFS('Daily BSE Equity Futures'!$I:$I,'Daily BSE Equity Futures'!$A:$A,$A698))</f>
        <v>2.8999999999999998E-3</v>
      </c>
      <c r="G698" s="6">
        <f t="shared" si="120"/>
        <v>910.86329999999998</v>
      </c>
      <c r="H698" s="15">
        <f t="shared" si="121"/>
        <v>0.99999681620721792</v>
      </c>
      <c r="I698" s="15">
        <f t="shared" si="122"/>
        <v>3.1837927820782766E-6</v>
      </c>
      <c r="J698" s="20">
        <f t="shared" si="123"/>
        <v>-0.25114476899537141</v>
      </c>
      <c r="K698" s="15">
        <f t="shared" si="124"/>
        <v>0</v>
      </c>
      <c r="L698" s="15">
        <f t="shared" si="125"/>
        <v>-0.25114417021556468</v>
      </c>
      <c r="M698" s="15">
        <f t="shared" si="129"/>
        <v>4.9096245318367204E-2</v>
      </c>
      <c r="N698" s="15">
        <f t="shared" si="130"/>
        <v>3.5714285714285587E-2</v>
      </c>
      <c r="O698" s="15">
        <f t="shared" si="131"/>
        <v>4.9096202162499214E-2</v>
      </c>
      <c r="P698" s="18">
        <f>IF(SUMIFS('Daily NSE Equity Futures'!$J:$J,'Daily NSE Equity Futures'!$A:$A,$A698)=0,"",SUMIFS('Daily NSE Equity Futures'!$J:$J,'Daily NSE Equity Futures'!$A:$A,$A698))</f>
        <v>1161940</v>
      </c>
      <c r="Q698" s="7">
        <f>IF(SUMIFS('Daily BSE Equity Futures'!$J:$J,'Daily BSE Equity Futures'!$A:$A,$A698)=0,"",SUMIFS('Daily BSE Equity Futures'!$J:$J,'Daily BSE Equity Futures'!$A:$A,$A698))</f>
        <v>3</v>
      </c>
      <c r="R698" s="7">
        <f t="shared" si="126"/>
        <v>1161943</v>
      </c>
      <c r="S698" s="19">
        <f t="shared" si="127"/>
        <v>0.99999741811775622</v>
      </c>
      <c r="T698" s="19">
        <f t="shared" si="128"/>
        <v>2.5818822437933703E-6</v>
      </c>
    </row>
    <row r="699" spans="1:20" x14ac:dyDescent="0.2">
      <c r="A699" s="9">
        <v>44945</v>
      </c>
      <c r="B699" s="4" t="s">
        <v>224</v>
      </c>
      <c r="C699" s="8">
        <v>44927</v>
      </c>
      <c r="D699" s="4" t="s">
        <v>184</v>
      </c>
      <c r="E699" s="14">
        <f>IF(SUMIFS('Daily NSE Equity Futures'!$I:$I,'Daily NSE Equity Futures'!$A:$A,$A699)=0,"",SUMIFS('Daily NSE Equity Futures'!$I:$I,'Daily NSE Equity Futures'!$A:$A,$A699))</f>
        <v>1013.902</v>
      </c>
      <c r="F699" s="6">
        <f>IF(SUMIFS('Daily BSE Equity Futures'!$I:$I,'Daily BSE Equity Futures'!$A:$A,$A699)=0,"",SUMIFS('Daily BSE Equity Futures'!$I:$I,'Daily BSE Equity Futures'!$A:$A,$A699))</f>
        <v>1E-3</v>
      </c>
      <c r="G699" s="6">
        <f t="shared" si="120"/>
        <v>1013.903</v>
      </c>
      <c r="H699" s="15">
        <f t="shared" si="121"/>
        <v>0.99999901371235711</v>
      </c>
      <c r="I699" s="15">
        <f t="shared" si="122"/>
        <v>9.8628764290075077E-7</v>
      </c>
      <c r="J699" s="20">
        <f t="shared" si="123"/>
        <v>-0.17361897691150263</v>
      </c>
      <c r="K699" s="15">
        <f t="shared" si="124"/>
        <v>-0.73684210526315796</v>
      </c>
      <c r="L699" s="15">
        <f t="shared" si="125"/>
        <v>-0.17362072131555861</v>
      </c>
      <c r="M699" s="15">
        <f t="shared" si="129"/>
        <v>0.11312556786967587</v>
      </c>
      <c r="N699" s="15">
        <f t="shared" si="130"/>
        <v>-0.65517241379310343</v>
      </c>
      <c r="O699" s="15">
        <f t="shared" si="131"/>
        <v>0.11312312176810724</v>
      </c>
      <c r="P699" s="18">
        <f>IF(SUMIFS('Daily NSE Equity Futures'!$J:$J,'Daily NSE Equity Futures'!$A:$A,$A699)=0,"",SUMIFS('Daily NSE Equity Futures'!$J:$J,'Daily NSE Equity Futures'!$A:$A,$A699))</f>
        <v>1358461</v>
      </c>
      <c r="Q699" s="7">
        <f>IF(SUMIFS('Daily BSE Equity Futures'!$J:$J,'Daily BSE Equity Futures'!$A:$A,$A699)=0,"",SUMIFS('Daily BSE Equity Futures'!$J:$J,'Daily BSE Equity Futures'!$A:$A,$A699))</f>
        <v>1</v>
      </c>
      <c r="R699" s="7">
        <f t="shared" si="126"/>
        <v>1358462</v>
      </c>
      <c r="S699" s="19">
        <f t="shared" si="127"/>
        <v>0.99999926387340976</v>
      </c>
      <c r="T699" s="19">
        <f t="shared" si="128"/>
        <v>7.3612659021746653E-7</v>
      </c>
    </row>
    <row r="700" spans="1:20" x14ac:dyDescent="0.2">
      <c r="A700" s="9">
        <v>44946</v>
      </c>
      <c r="B700" s="4" t="s">
        <v>222</v>
      </c>
      <c r="C700" s="8">
        <v>44927</v>
      </c>
      <c r="D700" s="4" t="s">
        <v>184</v>
      </c>
      <c r="E700" s="14">
        <f>IF(SUMIFS('Daily NSE Equity Futures'!$I:$I,'Daily NSE Equity Futures'!$A:$A,$A700)=0,"",SUMIFS('Daily NSE Equity Futures'!$I:$I,'Daily NSE Equity Futures'!$A:$A,$A700))</f>
        <v>1552.4059</v>
      </c>
      <c r="F700" s="6">
        <f>IF(SUMIFS('Daily BSE Equity Futures'!$I:$I,'Daily BSE Equity Futures'!$A:$A,$A700)=0,"",SUMIFS('Daily BSE Equity Futures'!$I:$I,'Daily BSE Equity Futures'!$A:$A,$A700))</f>
        <v>1E-3</v>
      </c>
      <c r="G700" s="6">
        <f t="shared" si="120"/>
        <v>1552.4069</v>
      </c>
      <c r="H700" s="15">
        <f t="shared" si="121"/>
        <v>0.9999993558389878</v>
      </c>
      <c r="I700" s="15">
        <f t="shared" si="122"/>
        <v>6.4416101216762182E-7</v>
      </c>
      <c r="J700" s="20">
        <f t="shared" si="123"/>
        <v>0.29011430814766737</v>
      </c>
      <c r="K700" s="15">
        <f t="shared" si="124"/>
        <v>-0.84615384615384615</v>
      </c>
      <c r="L700" s="15">
        <f t="shared" si="125"/>
        <v>0.29010817031911751</v>
      </c>
      <c r="M700" s="15">
        <f t="shared" si="129"/>
        <v>0.53112026606121687</v>
      </c>
      <c r="N700" s="15">
        <f t="shared" si="130"/>
        <v>0</v>
      </c>
      <c r="O700" s="15">
        <f t="shared" si="131"/>
        <v>0.5311197422238616</v>
      </c>
      <c r="P700" s="18">
        <f>IF(SUMIFS('Daily NSE Equity Futures'!$J:$J,'Daily NSE Equity Futures'!$A:$A,$A700)=0,"",SUMIFS('Daily NSE Equity Futures'!$J:$J,'Daily NSE Equity Futures'!$A:$A,$A700))</f>
        <v>2124754</v>
      </c>
      <c r="Q700" s="7">
        <f>IF(SUMIFS('Daily BSE Equity Futures'!$J:$J,'Daily BSE Equity Futures'!$A:$A,$A700)=0,"",SUMIFS('Daily BSE Equity Futures'!$J:$J,'Daily BSE Equity Futures'!$A:$A,$A700))</f>
        <v>1</v>
      </c>
      <c r="R700" s="7">
        <f t="shared" si="126"/>
        <v>2124755</v>
      </c>
      <c r="S700" s="19">
        <f t="shared" si="127"/>
        <v>0.99999952935750236</v>
      </c>
      <c r="T700" s="19">
        <f t="shared" si="128"/>
        <v>4.7064249760560631E-7</v>
      </c>
    </row>
    <row r="701" spans="1:20" x14ac:dyDescent="0.2">
      <c r="A701" s="9">
        <v>44949</v>
      </c>
      <c r="B701" s="4" t="s">
        <v>225</v>
      </c>
      <c r="C701" s="8">
        <v>44927</v>
      </c>
      <c r="D701" s="4" t="s">
        <v>184</v>
      </c>
      <c r="E701" s="14">
        <f>IF(SUMIFS('Daily NSE Equity Futures'!$I:$I,'Daily NSE Equity Futures'!$A:$A,$A701)=0,"",SUMIFS('Daily NSE Equity Futures'!$I:$I,'Daily NSE Equity Futures'!$A:$A,$A701))</f>
        <v>2099.4313000000002</v>
      </c>
      <c r="F701" s="6">
        <f>IF(SUMIFS('Daily BSE Equity Futures'!$I:$I,'Daily BSE Equity Futures'!$A:$A,$A701)=0,"",SUMIFS('Daily BSE Equity Futures'!$I:$I,'Daily BSE Equity Futures'!$A:$A,$A701))</f>
        <v>1E-3</v>
      </c>
      <c r="G701" s="6">
        <f t="shared" si="120"/>
        <v>2099.4323000000004</v>
      </c>
      <c r="H701" s="15">
        <f t="shared" si="121"/>
        <v>0.99999952368075873</v>
      </c>
      <c r="I701" s="15">
        <f t="shared" si="122"/>
        <v>4.7631924115866935E-7</v>
      </c>
      <c r="J701" s="20" t="str">
        <f t="shared" si="123"/>
        <v/>
      </c>
      <c r="K701" s="15" t="str">
        <f t="shared" si="124"/>
        <v/>
      </c>
      <c r="L701" s="15" t="str">
        <f t="shared" si="125"/>
        <v/>
      </c>
      <c r="M701" s="15">
        <f t="shared" si="129"/>
        <v>0.35237266233012909</v>
      </c>
      <c r="N701" s="15">
        <f t="shared" si="130"/>
        <v>0</v>
      </c>
      <c r="O701" s="15">
        <f t="shared" si="131"/>
        <v>0.35237243534539853</v>
      </c>
      <c r="P701" s="18">
        <f>IF(SUMIFS('Daily NSE Equity Futures'!$J:$J,'Daily NSE Equity Futures'!$A:$A,$A701)=0,"",SUMIFS('Daily NSE Equity Futures'!$J:$J,'Daily NSE Equity Futures'!$A:$A,$A701))</f>
        <v>2910768</v>
      </c>
      <c r="Q701" s="7">
        <f>IF(SUMIFS('Daily BSE Equity Futures'!$J:$J,'Daily BSE Equity Futures'!$A:$A,$A701)=0,"",SUMIFS('Daily BSE Equity Futures'!$J:$J,'Daily BSE Equity Futures'!$A:$A,$A701))</f>
        <v>1</v>
      </c>
      <c r="R701" s="7">
        <f t="shared" si="126"/>
        <v>2910769</v>
      </c>
      <c r="S701" s="19">
        <f t="shared" si="127"/>
        <v>0.99999965644817568</v>
      </c>
      <c r="T701" s="19">
        <f t="shared" si="128"/>
        <v>3.4355182427736451E-7</v>
      </c>
    </row>
    <row r="702" spans="1:20" x14ac:dyDescent="0.2">
      <c r="A702" s="9">
        <v>44950</v>
      </c>
      <c r="B702" s="4" t="s">
        <v>223</v>
      </c>
      <c r="C702" s="8">
        <v>44927</v>
      </c>
      <c r="D702" s="4" t="s">
        <v>184</v>
      </c>
      <c r="E702" s="14">
        <f>IF(SUMIFS('Daily NSE Equity Futures'!$I:$I,'Daily NSE Equity Futures'!$A:$A,$A702)=0,"",SUMIFS('Daily NSE Equity Futures'!$I:$I,'Daily NSE Equity Futures'!$A:$A,$A702))</f>
        <v>1890.7801999999999</v>
      </c>
      <c r="F702" s="6">
        <f>IF(SUMIFS('Daily BSE Equity Futures'!$I:$I,'Daily BSE Equity Futures'!$A:$A,$A702)=0,"",SUMIFS('Daily BSE Equity Futures'!$I:$I,'Daily BSE Equity Futures'!$A:$A,$A702))</f>
        <v>1.9E-3</v>
      </c>
      <c r="G702" s="6">
        <f t="shared" si="120"/>
        <v>1890.7820999999999</v>
      </c>
      <c r="H702" s="15">
        <f t="shared" si="121"/>
        <v>0.9999989951248216</v>
      </c>
      <c r="I702" s="15">
        <f t="shared" si="122"/>
        <v>1.0048751783719553E-6</v>
      </c>
      <c r="J702" s="20">
        <f t="shared" si="123"/>
        <v>-0.23793632058599068</v>
      </c>
      <c r="K702" s="15">
        <f t="shared" si="124"/>
        <v>-0.73972602739726034</v>
      </c>
      <c r="L702" s="15">
        <f t="shared" si="125"/>
        <v>-0.23793779695033601</v>
      </c>
      <c r="M702" s="15">
        <f t="shared" si="129"/>
        <v>-9.9384580957709967E-2</v>
      </c>
      <c r="N702" s="15">
        <f t="shared" si="130"/>
        <v>0.89999999999999991</v>
      </c>
      <c r="O702" s="15">
        <f t="shared" si="131"/>
        <v>-9.9384104931604877E-2</v>
      </c>
      <c r="P702" s="18">
        <f>IF(SUMIFS('Daily NSE Equity Futures'!$J:$J,'Daily NSE Equity Futures'!$A:$A,$A702)=0,"",SUMIFS('Daily NSE Equity Futures'!$J:$J,'Daily NSE Equity Futures'!$A:$A,$A702))</f>
        <v>2592030</v>
      </c>
      <c r="Q702" s="7">
        <f>IF(SUMIFS('Daily BSE Equity Futures'!$J:$J,'Daily BSE Equity Futures'!$A:$A,$A702)=0,"",SUMIFS('Daily BSE Equity Futures'!$J:$J,'Daily BSE Equity Futures'!$A:$A,$A702))</f>
        <v>2</v>
      </c>
      <c r="R702" s="7">
        <f t="shared" si="126"/>
        <v>2592032</v>
      </c>
      <c r="S702" s="19">
        <f t="shared" si="127"/>
        <v>0.99999922840458755</v>
      </c>
      <c r="T702" s="19">
        <f t="shared" si="128"/>
        <v>7.7159541240231601E-7</v>
      </c>
    </row>
    <row r="703" spans="1:20" x14ac:dyDescent="0.2">
      <c r="A703" s="9">
        <v>44951</v>
      </c>
      <c r="B703" s="4" t="s">
        <v>221</v>
      </c>
      <c r="C703" s="8">
        <v>44927</v>
      </c>
      <c r="D703" s="4" t="s">
        <v>184</v>
      </c>
      <c r="E703" s="14">
        <f>IF(SUMIFS('Daily NSE Equity Futures'!$I:$I,'Daily NSE Equity Futures'!$A:$A,$A703)=0,"",SUMIFS('Daily NSE Equity Futures'!$I:$I,'Daily NSE Equity Futures'!$A:$A,$A703))</f>
        <v>2413.0493999999999</v>
      </c>
      <c r="F703" s="6">
        <f>IF(SUMIFS('Daily BSE Equity Futures'!$I:$I,'Daily BSE Equity Futures'!$A:$A,$A703)=0,"",SUMIFS('Daily BSE Equity Futures'!$I:$I,'Daily BSE Equity Futures'!$A:$A,$A703))</f>
        <v>4.7000000000000002E-3</v>
      </c>
      <c r="G703" s="6">
        <f t="shared" si="120"/>
        <v>2413.0540999999998</v>
      </c>
      <c r="H703" s="15">
        <f t="shared" si="121"/>
        <v>0.99999805226082583</v>
      </c>
      <c r="I703" s="15">
        <f t="shared" si="122"/>
        <v>1.9477391741859415E-6</v>
      </c>
      <c r="J703" s="20">
        <f t="shared" si="123"/>
        <v>-7.5950383572304214E-2</v>
      </c>
      <c r="K703" s="15">
        <f t="shared" si="124"/>
        <v>-0.12962962962962965</v>
      </c>
      <c r="L703" s="15">
        <f t="shared" si="125"/>
        <v>-7.5950494573676419E-2</v>
      </c>
      <c r="M703" s="15">
        <f t="shared" si="129"/>
        <v>0.27621888572770126</v>
      </c>
      <c r="N703" s="15">
        <f t="shared" si="130"/>
        <v>1.4736842105263159</v>
      </c>
      <c r="O703" s="15">
        <f t="shared" si="131"/>
        <v>0.27622008903088302</v>
      </c>
      <c r="P703" s="18">
        <f>IF(SUMIFS('Daily NSE Equity Futures'!$J:$J,'Daily NSE Equity Futures'!$A:$A,$A703)=0,"",SUMIFS('Daily NSE Equity Futures'!$J:$J,'Daily NSE Equity Futures'!$A:$A,$A703))</f>
        <v>3259696</v>
      </c>
      <c r="Q703" s="7">
        <f>IF(SUMIFS('Daily BSE Equity Futures'!$J:$J,'Daily BSE Equity Futures'!$A:$A,$A703)=0,"",SUMIFS('Daily BSE Equity Futures'!$J:$J,'Daily BSE Equity Futures'!$A:$A,$A703))</f>
        <v>5</v>
      </c>
      <c r="R703" s="7">
        <f t="shared" si="126"/>
        <v>3259701</v>
      </c>
      <c r="S703" s="19">
        <f t="shared" si="127"/>
        <v>0.9999984661169844</v>
      </c>
      <c r="T703" s="19">
        <f t="shared" si="128"/>
        <v>1.5338830156508219E-6</v>
      </c>
    </row>
    <row r="704" spans="1:20" x14ac:dyDescent="0.2">
      <c r="A704" s="9">
        <v>44953</v>
      </c>
      <c r="B704" s="4" t="s">
        <v>222</v>
      </c>
      <c r="C704" s="8">
        <v>44927</v>
      </c>
      <c r="D704" s="4" t="s">
        <v>184</v>
      </c>
      <c r="E704" s="14">
        <f>IF(SUMIFS('Daily NSE Equity Futures'!$I:$I,'Daily NSE Equity Futures'!$A:$A,$A704)=0,"",SUMIFS('Daily NSE Equity Futures'!$I:$I,'Daily NSE Equity Futures'!$A:$A,$A704))</f>
        <v>1435.1514</v>
      </c>
      <c r="F704" s="6">
        <f>IF(SUMIFS('Daily BSE Equity Futures'!$I:$I,'Daily BSE Equity Futures'!$A:$A,$A704)=0,"",SUMIFS('Daily BSE Equity Futures'!$I:$I,'Daily BSE Equity Futures'!$A:$A,$A704))</f>
        <v>2.8E-3</v>
      </c>
      <c r="G704" s="6">
        <f t="shared" si="120"/>
        <v>1435.1541999999999</v>
      </c>
      <c r="H704" s="15">
        <f t="shared" si="121"/>
        <v>0.99999804899013645</v>
      </c>
      <c r="I704" s="15">
        <f t="shared" si="122"/>
        <v>1.9510098636090814E-6</v>
      </c>
      <c r="J704" s="20">
        <f t="shared" si="123"/>
        <v>-0.46807297535740144</v>
      </c>
      <c r="K704" s="15">
        <f t="shared" si="124"/>
        <v>-0.22222222222222221</v>
      </c>
      <c r="L704" s="15">
        <f t="shared" si="125"/>
        <v>-0.4680726473166481</v>
      </c>
      <c r="M704" s="15">
        <f t="shared" si="129"/>
        <v>-0.40525403251172565</v>
      </c>
      <c r="N704" s="15">
        <f t="shared" si="130"/>
        <v>-0.4042553191489362</v>
      </c>
      <c r="O704" s="15">
        <f t="shared" si="131"/>
        <v>-0.40525403056649245</v>
      </c>
      <c r="P704" s="18">
        <f>IF(SUMIFS('Daily NSE Equity Futures'!$J:$J,'Daily NSE Equity Futures'!$A:$A,$A704)=0,"",SUMIFS('Daily NSE Equity Futures'!$J:$J,'Daily NSE Equity Futures'!$A:$A,$A704))</f>
        <v>1915656</v>
      </c>
      <c r="Q704" s="7">
        <f>IF(SUMIFS('Daily BSE Equity Futures'!$J:$J,'Daily BSE Equity Futures'!$A:$A,$A704)=0,"",SUMIFS('Daily BSE Equity Futures'!$J:$J,'Daily BSE Equity Futures'!$A:$A,$A704))</f>
        <v>3</v>
      </c>
      <c r="R704" s="7">
        <f t="shared" si="126"/>
        <v>1915659</v>
      </c>
      <c r="S704" s="19">
        <f t="shared" si="127"/>
        <v>0.99999843395927979</v>
      </c>
      <c r="T704" s="19">
        <f t="shared" si="128"/>
        <v>1.5660407201908065E-6</v>
      </c>
    </row>
    <row r="705" spans="1:20" x14ac:dyDescent="0.2">
      <c r="A705" s="9">
        <v>44956</v>
      </c>
      <c r="B705" s="4" t="s">
        <v>225</v>
      </c>
      <c r="C705" s="8">
        <v>44927</v>
      </c>
      <c r="D705" s="4" t="s">
        <v>184</v>
      </c>
      <c r="E705" s="14">
        <f>IF(SUMIFS('Daily NSE Equity Futures'!$I:$I,'Daily NSE Equity Futures'!$A:$A,$A705)=0,"",SUMIFS('Daily NSE Equity Futures'!$I:$I,'Daily NSE Equity Futures'!$A:$A,$A705))</f>
        <v>1291.3356000000001</v>
      </c>
      <c r="F705" s="6">
        <f>IF(SUMIFS('Daily BSE Equity Futures'!$I:$I,'Daily BSE Equity Futures'!$A:$A,$A705)=0,"",SUMIFS('Daily BSE Equity Futures'!$I:$I,'Daily BSE Equity Futures'!$A:$A,$A705))</f>
        <v>3.7000000000000002E-3</v>
      </c>
      <c r="G705" s="6">
        <f t="shared" si="120"/>
        <v>1291.3393000000001</v>
      </c>
      <c r="H705" s="15">
        <f t="shared" si="121"/>
        <v>0.99999713475768914</v>
      </c>
      <c r="I705" s="15">
        <f t="shared" si="122"/>
        <v>2.8652423108318627E-6</v>
      </c>
      <c r="J705" s="20" t="str">
        <f t="shared" si="123"/>
        <v/>
      </c>
      <c r="K705" s="15" t="str">
        <f t="shared" si="124"/>
        <v/>
      </c>
      <c r="L705" s="15" t="str">
        <f t="shared" si="125"/>
        <v/>
      </c>
      <c r="M705" s="15">
        <f t="shared" si="129"/>
        <v>-0.10020949706072813</v>
      </c>
      <c r="N705" s="15">
        <f t="shared" si="130"/>
        <v>0.3214285714285714</v>
      </c>
      <c r="O705" s="15">
        <f t="shared" si="131"/>
        <v>-0.10020867444069759</v>
      </c>
      <c r="P705" s="18">
        <f>IF(SUMIFS('Daily NSE Equity Futures'!$J:$J,'Daily NSE Equity Futures'!$A:$A,$A705)=0,"",SUMIFS('Daily NSE Equity Futures'!$J:$J,'Daily NSE Equity Futures'!$A:$A,$A705))</f>
        <v>1694690</v>
      </c>
      <c r="Q705" s="7">
        <f>IF(SUMIFS('Daily BSE Equity Futures'!$J:$J,'Daily BSE Equity Futures'!$A:$A,$A705)=0,"",SUMIFS('Daily BSE Equity Futures'!$J:$J,'Daily BSE Equity Futures'!$A:$A,$A705))</f>
        <v>4</v>
      </c>
      <c r="R705" s="7">
        <f t="shared" si="126"/>
        <v>1694694</v>
      </c>
      <c r="S705" s="19">
        <f t="shared" si="127"/>
        <v>0.99999763969188538</v>
      </c>
      <c r="T705" s="19">
        <f t="shared" si="128"/>
        <v>2.3603081146212827E-6</v>
      </c>
    </row>
    <row r="706" spans="1:20" x14ac:dyDescent="0.2">
      <c r="A706" s="9">
        <v>44957</v>
      </c>
      <c r="B706" s="4" t="s">
        <v>223</v>
      </c>
      <c r="C706" s="8">
        <v>44927</v>
      </c>
      <c r="D706" s="4" t="s">
        <v>184</v>
      </c>
      <c r="E706" s="14">
        <f>IF(SUMIFS('Daily NSE Equity Futures'!$I:$I,'Daily NSE Equity Futures'!$A:$A,$A706)=0,"",SUMIFS('Daily NSE Equity Futures'!$I:$I,'Daily NSE Equity Futures'!$A:$A,$A706))</f>
        <v>1076.1349</v>
      </c>
      <c r="F706" s="6">
        <f>IF(SUMIFS('Daily BSE Equity Futures'!$I:$I,'Daily BSE Equity Futures'!$A:$A,$A706)=0,"",SUMIFS('Daily BSE Equity Futures'!$I:$I,'Daily BSE Equity Futures'!$A:$A,$A706))</f>
        <v>1.9E-3</v>
      </c>
      <c r="G706" s="6">
        <f t="shared" ref="G706:G769" si="132">IF(OR(E706="",F706=""),"",E706+F706)</f>
        <v>1076.1368</v>
      </c>
      <c r="H706" s="15">
        <f t="shared" ref="H706:H769" si="133">IF(G706="","",E706/G706)</f>
        <v>0.99999823442521441</v>
      </c>
      <c r="I706" s="15">
        <f t="shared" ref="I706:I769" si="134">IF(G706="","",F706/G706)</f>
        <v>1.765574785659221E-6</v>
      </c>
      <c r="J706" s="20">
        <f t="shared" ref="J706:J769" si="135">IFERROR(IF(OR(E706="",INDEX(E:E,MATCH(DATE(YEAR($A706)-1,MONTH($A706),DAY($A706)),$A:$A,0))=""),"",E706/INDEX(E:E,MATCH(DATE(YEAR($A706)-1,MONTH($A706),DAY($A706)),$A:$A,0))-1),"")</f>
        <v>6.5605017459472448E-2</v>
      </c>
      <c r="K706" s="15">
        <f t="shared" ref="K706:K769" si="136">IFERROR(IF(OR(F706="",INDEX(F:F,MATCH(DATE(YEAR($A706)-1,MONTH($A706),DAY($A706)),$A:$A,0))=""),"",F706/INDEX(F:F,MATCH(DATE(YEAR($A706)-1,MONTH($A706),DAY($A706)),$A:$A,0))-1),"")</f>
        <v>5.555555555555558E-2</v>
      </c>
      <c r="L706" s="15">
        <f t="shared" ref="L706:L769" si="137">IFERROR(IF(OR(G706="",INDEX(G:G,MATCH(DATE(YEAR($A706)-1,MONTH($A706),DAY($A706)),$A:$A,0))=""),"",G706/INDEX(G:G,MATCH(DATE(YEAR($A706)-1,MONTH($A706),DAY($A706)),$A:$A,0))-1),"")</f>
        <v>6.5604999547472342E-2</v>
      </c>
      <c r="M706" s="15">
        <f t="shared" si="129"/>
        <v>-0.16664970748115371</v>
      </c>
      <c r="N706" s="15">
        <f t="shared" si="130"/>
        <v>-0.48648648648648651</v>
      </c>
      <c r="O706" s="15">
        <f t="shared" si="131"/>
        <v>-0.16665062389102547</v>
      </c>
      <c r="P706" s="18">
        <f>IF(SUMIFS('Daily NSE Equity Futures'!$J:$J,'Daily NSE Equity Futures'!$A:$A,$A706)=0,"",SUMIFS('Daily NSE Equity Futures'!$J:$J,'Daily NSE Equity Futures'!$A:$A,$A706))</f>
        <v>1405625</v>
      </c>
      <c r="Q706" s="7">
        <f>IF(SUMIFS('Daily BSE Equity Futures'!$J:$J,'Daily BSE Equity Futures'!$A:$A,$A706)=0,"",SUMIFS('Daily BSE Equity Futures'!$J:$J,'Daily BSE Equity Futures'!$A:$A,$A706))</f>
        <v>2</v>
      </c>
      <c r="R706" s="7">
        <f t="shared" ref="R706:R769" si="138">IF(OR(P706="",Q706=""),"",P706+Q706)</f>
        <v>1405627</v>
      </c>
      <c r="S706" s="19">
        <f t="shared" ref="S706:S769" si="139">IF(R706="","",P706/R706)</f>
        <v>0.99999857714742246</v>
      </c>
      <c r="T706" s="19">
        <f t="shared" ref="T706:T769" si="140">IF(R706="","",Q706/R706)</f>
        <v>1.4228525775330156E-6</v>
      </c>
    </row>
    <row r="707" spans="1:20" x14ac:dyDescent="0.2">
      <c r="A707" s="9">
        <v>44958</v>
      </c>
      <c r="B707" s="4" t="s">
        <v>221</v>
      </c>
      <c r="C707" s="8">
        <v>44958</v>
      </c>
      <c r="D707" s="4" t="s">
        <v>184</v>
      </c>
      <c r="E707" s="14">
        <f>IF(SUMIFS('Daily NSE Equity Futures'!$I:$I,'Daily NSE Equity Futures'!$A:$A,$A707)=0,"",SUMIFS('Daily NSE Equity Futures'!$I:$I,'Daily NSE Equity Futures'!$A:$A,$A707))</f>
        <v>1975.3118999999999</v>
      </c>
      <c r="F707" s="6">
        <f>IF(SUMIFS('Daily BSE Equity Futures'!$I:$I,'Daily BSE Equity Futures'!$A:$A,$A707)=0,"",SUMIFS('Daily BSE Equity Futures'!$I:$I,'Daily BSE Equity Futures'!$A:$A,$A707))</f>
        <v>8.9999999999999998E-4</v>
      </c>
      <c r="G707" s="6">
        <f t="shared" si="132"/>
        <v>1975.3127999999999</v>
      </c>
      <c r="H707" s="15">
        <f t="shared" si="133"/>
        <v>0.99999954437595906</v>
      </c>
      <c r="I707" s="15">
        <f t="shared" si="134"/>
        <v>4.5562404091139389E-7</v>
      </c>
      <c r="J707" s="20">
        <f t="shared" si="135"/>
        <v>0.20754397134874192</v>
      </c>
      <c r="K707" s="15">
        <f t="shared" si="136"/>
        <v>0</v>
      </c>
      <c r="L707" s="15">
        <f t="shared" si="137"/>
        <v>0.20754385716095203</v>
      </c>
      <c r="M707" s="15">
        <f t="shared" ref="M707:M770" si="141">IF(OR(E707="",E706=""),"",E707/E706-1)</f>
        <v>0.83556160105949528</v>
      </c>
      <c r="N707" s="15">
        <f t="shared" ref="N707:N770" si="142">IF(OR(F707="",F706=""),"",F707/F706-1)</f>
        <v>-0.52631578947368429</v>
      </c>
      <c r="O707" s="15">
        <f t="shared" ref="O707:O770" si="143">IF(OR(G707="",G706=""),"",G707/G706-1)</f>
        <v>0.8355591965631135</v>
      </c>
      <c r="P707" s="18">
        <f>IF(SUMIFS('Daily NSE Equity Futures'!$J:$J,'Daily NSE Equity Futures'!$A:$A,$A707)=0,"",SUMIFS('Daily NSE Equity Futures'!$J:$J,'Daily NSE Equity Futures'!$A:$A,$A707))</f>
        <v>2559720</v>
      </c>
      <c r="Q707" s="7">
        <f>IF(SUMIFS('Daily BSE Equity Futures'!$J:$J,'Daily BSE Equity Futures'!$A:$A,$A707)=0,"",SUMIFS('Daily BSE Equity Futures'!$J:$J,'Daily BSE Equity Futures'!$A:$A,$A707))</f>
        <v>1</v>
      </c>
      <c r="R707" s="7">
        <f t="shared" si="138"/>
        <v>2559721</v>
      </c>
      <c r="S707" s="19">
        <f t="shared" si="139"/>
        <v>0.99999960933242338</v>
      </c>
      <c r="T707" s="19">
        <f t="shared" si="140"/>
        <v>3.9066757666167523E-7</v>
      </c>
    </row>
    <row r="708" spans="1:20" x14ac:dyDescent="0.2">
      <c r="A708" s="9">
        <v>44959</v>
      </c>
      <c r="B708" s="4" t="s">
        <v>224</v>
      </c>
      <c r="C708" s="8">
        <v>44958</v>
      </c>
      <c r="D708" s="4" t="s">
        <v>184</v>
      </c>
      <c r="E708" s="14">
        <f>IF(SUMIFS('Daily NSE Equity Futures'!$I:$I,'Daily NSE Equity Futures'!$A:$A,$A708)=0,"",SUMIFS('Daily NSE Equity Futures'!$I:$I,'Daily NSE Equity Futures'!$A:$A,$A708))</f>
        <v>1230.7771</v>
      </c>
      <c r="F708" s="6">
        <f>IF(SUMIFS('Daily BSE Equity Futures'!$I:$I,'Daily BSE Equity Futures'!$A:$A,$A708)=0,"",SUMIFS('Daily BSE Equity Futures'!$I:$I,'Daily BSE Equity Futures'!$A:$A,$A708))</f>
        <v>3.7000000000000002E-3</v>
      </c>
      <c r="G708" s="6">
        <f t="shared" si="132"/>
        <v>1230.7808</v>
      </c>
      <c r="H708" s="15">
        <f t="shared" si="133"/>
        <v>0.99999699377825846</v>
      </c>
      <c r="I708" s="15">
        <f t="shared" si="134"/>
        <v>3.0062217415156297E-6</v>
      </c>
      <c r="J708" s="20">
        <f t="shared" si="135"/>
        <v>0.2285269300748749</v>
      </c>
      <c r="K708" s="15">
        <f t="shared" si="136"/>
        <v>3.1111111111111116</v>
      </c>
      <c r="L708" s="15">
        <f t="shared" si="137"/>
        <v>0.22852951965523172</v>
      </c>
      <c r="M708" s="15">
        <f t="shared" si="141"/>
        <v>-0.37692012081737569</v>
      </c>
      <c r="N708" s="15">
        <f t="shared" si="142"/>
        <v>3.1111111111111116</v>
      </c>
      <c r="O708" s="15">
        <f t="shared" si="143"/>
        <v>-0.37691853158649102</v>
      </c>
      <c r="P708" s="18">
        <f>IF(SUMIFS('Daily NSE Equity Futures'!$J:$J,'Daily NSE Equity Futures'!$A:$A,$A708)=0,"",SUMIFS('Daily NSE Equity Futures'!$J:$J,'Daily NSE Equity Futures'!$A:$A,$A708))</f>
        <v>1746153</v>
      </c>
      <c r="Q708" s="7">
        <f>IF(SUMIFS('Daily BSE Equity Futures'!$J:$J,'Daily BSE Equity Futures'!$A:$A,$A708)=0,"",SUMIFS('Daily BSE Equity Futures'!$J:$J,'Daily BSE Equity Futures'!$A:$A,$A708))</f>
        <v>4</v>
      </c>
      <c r="R708" s="7">
        <f t="shared" si="138"/>
        <v>1746157</v>
      </c>
      <c r="S708" s="19">
        <f t="shared" si="139"/>
        <v>0.99999770925523879</v>
      </c>
      <c r="T708" s="19">
        <f t="shared" si="140"/>
        <v>2.2907447612099028E-6</v>
      </c>
    </row>
    <row r="709" spans="1:20" x14ac:dyDescent="0.2">
      <c r="A709" s="9">
        <v>44960</v>
      </c>
      <c r="B709" s="4" t="s">
        <v>222</v>
      </c>
      <c r="C709" s="8">
        <v>44958</v>
      </c>
      <c r="D709" s="4" t="s">
        <v>184</v>
      </c>
      <c r="E709" s="14">
        <f>IF(SUMIFS('Daily NSE Equity Futures'!$I:$I,'Daily NSE Equity Futures'!$A:$A,$A709)=0,"",SUMIFS('Daily NSE Equity Futures'!$I:$I,'Daily NSE Equity Futures'!$A:$A,$A709))</f>
        <v>1129.6584</v>
      </c>
      <c r="F709" s="6">
        <f>IF(SUMIFS('Daily BSE Equity Futures'!$I:$I,'Daily BSE Equity Futures'!$A:$A,$A709)=0,"",SUMIFS('Daily BSE Equity Futures'!$I:$I,'Daily BSE Equity Futures'!$A:$A,$A709))</f>
        <v>4.7000000000000002E-3</v>
      </c>
      <c r="G709" s="6">
        <f t="shared" si="132"/>
        <v>1129.6631</v>
      </c>
      <c r="H709" s="15">
        <f t="shared" si="133"/>
        <v>0.9999958394675369</v>
      </c>
      <c r="I709" s="15">
        <f t="shared" si="134"/>
        <v>4.1605324631741982E-6</v>
      </c>
      <c r="J709" s="20">
        <f t="shared" si="135"/>
        <v>0.16125570318128135</v>
      </c>
      <c r="K709" s="15">
        <f t="shared" si="136"/>
        <v>0.6785714285714286</v>
      </c>
      <c r="L709" s="15">
        <f t="shared" si="137"/>
        <v>0.16125719217609658</v>
      </c>
      <c r="M709" s="15">
        <f t="shared" si="141"/>
        <v>-8.2158418449612025E-2</v>
      </c>
      <c r="N709" s="15">
        <f t="shared" si="142"/>
        <v>0.27027027027027017</v>
      </c>
      <c r="O709" s="15">
        <f t="shared" si="143"/>
        <v>-8.2157358970825656E-2</v>
      </c>
      <c r="P709" s="18">
        <f>IF(SUMIFS('Daily NSE Equity Futures'!$J:$J,'Daily NSE Equity Futures'!$A:$A,$A709)=0,"",SUMIFS('Daily NSE Equity Futures'!$J:$J,'Daily NSE Equity Futures'!$A:$A,$A709))</f>
        <v>1596260</v>
      </c>
      <c r="Q709" s="7">
        <f>IF(SUMIFS('Daily BSE Equity Futures'!$J:$J,'Daily BSE Equity Futures'!$A:$A,$A709)=0,"",SUMIFS('Daily BSE Equity Futures'!$J:$J,'Daily BSE Equity Futures'!$A:$A,$A709))</f>
        <v>5</v>
      </c>
      <c r="R709" s="7">
        <f t="shared" si="138"/>
        <v>1596265</v>
      </c>
      <c r="S709" s="19">
        <f t="shared" si="139"/>
        <v>0.99999686768800922</v>
      </c>
      <c r="T709" s="19">
        <f t="shared" si="140"/>
        <v>3.132311990803532E-6</v>
      </c>
    </row>
    <row r="710" spans="1:20" x14ac:dyDescent="0.2">
      <c r="A710" s="9">
        <v>44963</v>
      </c>
      <c r="B710" s="4" t="s">
        <v>225</v>
      </c>
      <c r="C710" s="8">
        <v>44958</v>
      </c>
      <c r="D710" s="4" t="s">
        <v>184</v>
      </c>
      <c r="E710" s="14">
        <f>IF(SUMIFS('Daily NSE Equity Futures'!$I:$I,'Daily NSE Equity Futures'!$A:$A,$A710)=0,"",SUMIFS('Daily NSE Equity Futures'!$I:$I,'Daily NSE Equity Futures'!$A:$A,$A710))</f>
        <v>811.78499999999997</v>
      </c>
      <c r="F710" s="6">
        <f>IF(SUMIFS('Daily BSE Equity Futures'!$I:$I,'Daily BSE Equity Futures'!$A:$A,$A710)=0,"",SUMIFS('Daily BSE Equity Futures'!$I:$I,'Daily BSE Equity Futures'!$A:$A,$A710))</f>
        <v>1.9E-3</v>
      </c>
      <c r="G710" s="6">
        <f t="shared" si="132"/>
        <v>811.78689999999995</v>
      </c>
      <c r="H710" s="15">
        <f t="shared" si="133"/>
        <v>0.99999765948428099</v>
      </c>
      <c r="I710" s="15">
        <f t="shared" si="134"/>
        <v>2.3405157190883471E-6</v>
      </c>
      <c r="J710" s="20" t="str">
        <f t="shared" si="135"/>
        <v/>
      </c>
      <c r="K710" s="15" t="str">
        <f t="shared" si="136"/>
        <v/>
      </c>
      <c r="L710" s="15" t="str">
        <f t="shared" si="137"/>
        <v/>
      </c>
      <c r="M710" s="15">
        <f t="shared" si="141"/>
        <v>-0.28138895793631069</v>
      </c>
      <c r="N710" s="15">
        <f t="shared" si="142"/>
        <v>-0.5957446808510638</v>
      </c>
      <c r="O710" s="15">
        <f t="shared" si="143"/>
        <v>-0.28139026582350091</v>
      </c>
      <c r="P710" s="18">
        <f>IF(SUMIFS('Daily NSE Equity Futures'!$J:$J,'Daily NSE Equity Futures'!$A:$A,$A710)=0,"",SUMIFS('Daily NSE Equity Futures'!$J:$J,'Daily NSE Equity Futures'!$A:$A,$A710))</f>
        <v>1111550</v>
      </c>
      <c r="Q710" s="7">
        <f>IF(SUMIFS('Daily BSE Equity Futures'!$J:$J,'Daily BSE Equity Futures'!$A:$A,$A710)=0,"",SUMIFS('Daily BSE Equity Futures'!$J:$J,'Daily BSE Equity Futures'!$A:$A,$A710))</f>
        <v>2</v>
      </c>
      <c r="R710" s="7">
        <f t="shared" si="138"/>
        <v>1111552</v>
      </c>
      <c r="S710" s="19">
        <f t="shared" si="139"/>
        <v>0.99999820071395673</v>
      </c>
      <c r="T710" s="19">
        <f t="shared" si="140"/>
        <v>1.7992860432980194E-6</v>
      </c>
    </row>
    <row r="711" spans="1:20" x14ac:dyDescent="0.2">
      <c r="A711" s="9">
        <v>44964</v>
      </c>
      <c r="B711" s="4" t="s">
        <v>223</v>
      </c>
      <c r="C711" s="8">
        <v>44958</v>
      </c>
      <c r="D711" s="4" t="s">
        <v>184</v>
      </c>
      <c r="E711" s="14">
        <f>IF(SUMIFS('Daily NSE Equity Futures'!$I:$I,'Daily NSE Equity Futures'!$A:$A,$A711)=0,"",SUMIFS('Daily NSE Equity Futures'!$I:$I,'Daily NSE Equity Futures'!$A:$A,$A711))</f>
        <v>881.81330000000003</v>
      </c>
      <c r="F711" s="6">
        <f>IF(SUMIFS('Daily BSE Equity Futures'!$I:$I,'Daily BSE Equity Futures'!$A:$A,$A711)=0,"",SUMIFS('Daily BSE Equity Futures'!$I:$I,'Daily BSE Equity Futures'!$A:$A,$A711))</f>
        <v>1.9E-3</v>
      </c>
      <c r="G711" s="6">
        <f t="shared" si="132"/>
        <v>881.8152</v>
      </c>
      <c r="H711" s="15">
        <f t="shared" si="133"/>
        <v>0.99999784535353897</v>
      </c>
      <c r="I711" s="15">
        <f t="shared" si="134"/>
        <v>2.1546464610725695E-6</v>
      </c>
      <c r="J711" s="20">
        <f t="shared" si="135"/>
        <v>-0.12605699374284873</v>
      </c>
      <c r="K711" s="15">
        <f t="shared" si="136"/>
        <v>-0.47222222222222221</v>
      </c>
      <c r="L711" s="15">
        <f t="shared" si="137"/>
        <v>-0.12605822881082041</v>
      </c>
      <c r="M711" s="15">
        <f t="shared" si="141"/>
        <v>8.6264589762067523E-2</v>
      </c>
      <c r="N711" s="15">
        <f t="shared" si="142"/>
        <v>0</v>
      </c>
      <c r="O711" s="15">
        <f t="shared" si="143"/>
        <v>8.6264387858439262E-2</v>
      </c>
      <c r="P711" s="18">
        <f>IF(SUMIFS('Daily NSE Equity Futures'!$J:$J,'Daily NSE Equity Futures'!$A:$A,$A711)=0,"",SUMIFS('Daily NSE Equity Futures'!$J:$J,'Daily NSE Equity Futures'!$A:$A,$A711))</f>
        <v>1188507</v>
      </c>
      <c r="Q711" s="7">
        <f>IF(SUMIFS('Daily BSE Equity Futures'!$J:$J,'Daily BSE Equity Futures'!$A:$A,$A711)=0,"",SUMIFS('Daily BSE Equity Futures'!$J:$J,'Daily BSE Equity Futures'!$A:$A,$A711))</f>
        <v>2</v>
      </c>
      <c r="R711" s="7">
        <f t="shared" si="138"/>
        <v>1188509</v>
      </c>
      <c r="S711" s="19">
        <f t="shared" si="139"/>
        <v>0.99999831721930588</v>
      </c>
      <c r="T711" s="19">
        <f t="shared" si="140"/>
        <v>1.6827806941302085E-6</v>
      </c>
    </row>
    <row r="712" spans="1:20" x14ac:dyDescent="0.2">
      <c r="A712" s="9">
        <v>44965</v>
      </c>
      <c r="B712" s="4" t="s">
        <v>221</v>
      </c>
      <c r="C712" s="8">
        <v>44958</v>
      </c>
      <c r="D712" s="4" t="s">
        <v>184</v>
      </c>
      <c r="E712" s="14">
        <f>IF(SUMIFS('Daily NSE Equity Futures'!$I:$I,'Daily NSE Equity Futures'!$A:$A,$A712)=0,"",SUMIFS('Daily NSE Equity Futures'!$I:$I,'Daily NSE Equity Futures'!$A:$A,$A712))</f>
        <v>835.73270000000002</v>
      </c>
      <c r="F712" s="6">
        <f>IF(SUMIFS('Daily BSE Equity Futures'!$I:$I,'Daily BSE Equity Futures'!$A:$A,$A712)=0,"",SUMIFS('Daily BSE Equity Futures'!$I:$I,'Daily BSE Equity Futures'!$A:$A,$A712))</f>
        <v>1.9E-3</v>
      </c>
      <c r="G712" s="6">
        <f t="shared" si="132"/>
        <v>835.7346</v>
      </c>
      <c r="H712" s="15">
        <f t="shared" si="133"/>
        <v>0.99999772655098884</v>
      </c>
      <c r="I712" s="15">
        <f t="shared" si="134"/>
        <v>2.273449011205232E-6</v>
      </c>
      <c r="J712" s="20">
        <f t="shared" si="135"/>
        <v>-0.25221550561791717</v>
      </c>
      <c r="K712" s="15">
        <f t="shared" si="136"/>
        <v>-0.69841269841269837</v>
      </c>
      <c r="L712" s="15">
        <f t="shared" si="137"/>
        <v>-0.25221802082643618</v>
      </c>
      <c r="M712" s="15">
        <f t="shared" si="141"/>
        <v>-5.2256639812531702E-2</v>
      </c>
      <c r="N712" s="15">
        <f t="shared" si="142"/>
        <v>0</v>
      </c>
      <c r="O712" s="15">
        <f t="shared" si="143"/>
        <v>-5.2256527217947712E-2</v>
      </c>
      <c r="P712" s="18">
        <f>IF(SUMIFS('Daily NSE Equity Futures'!$J:$J,'Daily NSE Equity Futures'!$A:$A,$A712)=0,"",SUMIFS('Daily NSE Equity Futures'!$J:$J,'Daily NSE Equity Futures'!$A:$A,$A712))</f>
        <v>1164934</v>
      </c>
      <c r="Q712" s="7">
        <f>IF(SUMIFS('Daily BSE Equity Futures'!$J:$J,'Daily BSE Equity Futures'!$A:$A,$A712)=0,"",SUMIFS('Daily BSE Equity Futures'!$J:$J,'Daily BSE Equity Futures'!$A:$A,$A712))</f>
        <v>2</v>
      </c>
      <c r="R712" s="7">
        <f t="shared" si="138"/>
        <v>1164936</v>
      </c>
      <c r="S712" s="19">
        <f t="shared" si="139"/>
        <v>0.99999828316748729</v>
      </c>
      <c r="T712" s="19">
        <f t="shared" si="140"/>
        <v>1.7168325126873922E-6</v>
      </c>
    </row>
    <row r="713" spans="1:20" x14ac:dyDescent="0.2">
      <c r="A713" s="9">
        <v>44966</v>
      </c>
      <c r="B713" s="4" t="s">
        <v>224</v>
      </c>
      <c r="C713" s="8">
        <v>44958</v>
      </c>
      <c r="D713" s="4" t="s">
        <v>184</v>
      </c>
      <c r="E713" s="14">
        <f>IF(SUMIFS('Daily NSE Equity Futures'!$I:$I,'Daily NSE Equity Futures'!$A:$A,$A713)=0,"",SUMIFS('Daily NSE Equity Futures'!$I:$I,'Daily NSE Equity Futures'!$A:$A,$A713))</f>
        <v>799.75480000000005</v>
      </c>
      <c r="F713" s="6">
        <f>IF(SUMIFS('Daily BSE Equity Futures'!$I:$I,'Daily BSE Equity Futures'!$A:$A,$A713)=0,"",SUMIFS('Daily BSE Equity Futures'!$I:$I,'Daily BSE Equity Futures'!$A:$A,$A713))</f>
        <v>1.9E-3</v>
      </c>
      <c r="G713" s="6">
        <f t="shared" si="132"/>
        <v>799.75670000000002</v>
      </c>
      <c r="H713" s="15">
        <f t="shared" si="133"/>
        <v>0.9999976242774834</v>
      </c>
      <c r="I713" s="15">
        <f t="shared" si="134"/>
        <v>2.3757225166103642E-6</v>
      </c>
      <c r="J713" s="20">
        <f t="shared" si="135"/>
        <v>-6.7011122887225882E-2</v>
      </c>
      <c r="K713" s="15">
        <f t="shared" si="136"/>
        <v>1.1111111111111112</v>
      </c>
      <c r="L713" s="15">
        <f t="shared" si="137"/>
        <v>-6.7009885937591496E-2</v>
      </c>
      <c r="M713" s="15">
        <f t="shared" si="141"/>
        <v>-4.3049530071038289E-2</v>
      </c>
      <c r="N713" s="15">
        <f t="shared" si="142"/>
        <v>0</v>
      </c>
      <c r="O713" s="15">
        <f t="shared" si="143"/>
        <v>-4.3049432200126692E-2</v>
      </c>
      <c r="P713" s="18">
        <f>IF(SUMIFS('Daily NSE Equity Futures'!$J:$J,'Daily NSE Equity Futures'!$A:$A,$A713)=0,"",SUMIFS('Daily NSE Equity Futures'!$J:$J,'Daily NSE Equity Futures'!$A:$A,$A713))</f>
        <v>1085327</v>
      </c>
      <c r="Q713" s="7">
        <f>IF(SUMIFS('Daily BSE Equity Futures'!$J:$J,'Daily BSE Equity Futures'!$A:$A,$A713)=0,"",SUMIFS('Daily BSE Equity Futures'!$J:$J,'Daily BSE Equity Futures'!$A:$A,$A713))</f>
        <v>2</v>
      </c>
      <c r="R713" s="7">
        <f t="shared" si="138"/>
        <v>1085329</v>
      </c>
      <c r="S713" s="19">
        <f t="shared" si="139"/>
        <v>0.99999815724079977</v>
      </c>
      <c r="T713" s="19">
        <f t="shared" si="140"/>
        <v>1.842759200205652E-6</v>
      </c>
    </row>
    <row r="714" spans="1:20" x14ac:dyDescent="0.2">
      <c r="A714" s="9">
        <v>44967</v>
      </c>
      <c r="B714" s="4" t="s">
        <v>222</v>
      </c>
      <c r="C714" s="8">
        <v>44958</v>
      </c>
      <c r="D714" s="4" t="s">
        <v>184</v>
      </c>
      <c r="E714" s="14">
        <f>IF(SUMIFS('Daily NSE Equity Futures'!$I:$I,'Daily NSE Equity Futures'!$A:$A,$A714)=0,"",SUMIFS('Daily NSE Equity Futures'!$I:$I,'Daily NSE Equity Futures'!$A:$A,$A714))</f>
        <v>725.21050000000002</v>
      </c>
      <c r="F714" s="6">
        <f>IF(SUMIFS('Daily BSE Equity Futures'!$I:$I,'Daily BSE Equity Futures'!$A:$A,$A714)=0,"",SUMIFS('Daily BSE Equity Futures'!$I:$I,'Daily BSE Equity Futures'!$A:$A,$A714))</f>
        <v>8.9999999999999998E-4</v>
      </c>
      <c r="G714" s="6">
        <f t="shared" si="132"/>
        <v>725.21140000000003</v>
      </c>
      <c r="H714" s="15">
        <f t="shared" si="133"/>
        <v>0.99999875898255319</v>
      </c>
      <c r="I714" s="15">
        <f t="shared" si="134"/>
        <v>1.24101744677483E-6</v>
      </c>
      <c r="J714" s="20">
        <f t="shared" si="135"/>
        <v>-0.23078722145211306</v>
      </c>
      <c r="K714" s="15">
        <f t="shared" si="136"/>
        <v>-0.6785714285714286</v>
      </c>
      <c r="L714" s="15">
        <f t="shared" si="137"/>
        <v>-0.23078855131822973</v>
      </c>
      <c r="M714" s="15">
        <f t="shared" si="141"/>
        <v>-9.3208943541195355E-2</v>
      </c>
      <c r="N714" s="15">
        <f t="shared" si="142"/>
        <v>-0.52631578947368429</v>
      </c>
      <c r="O714" s="15">
        <f t="shared" si="143"/>
        <v>-9.320997248288132E-2</v>
      </c>
      <c r="P714" s="18">
        <f>IF(SUMIFS('Daily NSE Equity Futures'!$J:$J,'Daily NSE Equity Futures'!$A:$A,$A714)=0,"",SUMIFS('Daily NSE Equity Futures'!$J:$J,'Daily NSE Equity Futures'!$A:$A,$A714))</f>
        <v>1002053</v>
      </c>
      <c r="Q714" s="7">
        <f>IF(SUMIFS('Daily BSE Equity Futures'!$J:$J,'Daily BSE Equity Futures'!$A:$A,$A714)=0,"",SUMIFS('Daily BSE Equity Futures'!$J:$J,'Daily BSE Equity Futures'!$A:$A,$A714))</f>
        <v>1</v>
      </c>
      <c r="R714" s="7">
        <f t="shared" si="138"/>
        <v>1002054</v>
      </c>
      <c r="S714" s="19">
        <f t="shared" si="139"/>
        <v>0.99999900204978975</v>
      </c>
      <c r="T714" s="19">
        <f t="shared" si="140"/>
        <v>9.9795021026810925E-7</v>
      </c>
    </row>
    <row r="715" spans="1:20" x14ac:dyDescent="0.2">
      <c r="A715" s="9">
        <v>44970</v>
      </c>
      <c r="B715" s="4" t="s">
        <v>225</v>
      </c>
      <c r="C715" s="8">
        <v>44958</v>
      </c>
      <c r="D715" s="4" t="s">
        <v>184</v>
      </c>
      <c r="E715" s="14">
        <f>IF(SUMIFS('Daily NSE Equity Futures'!$I:$I,'Daily NSE Equity Futures'!$A:$A,$A715)=0,"",SUMIFS('Daily NSE Equity Futures'!$I:$I,'Daily NSE Equity Futures'!$A:$A,$A715))</f>
        <v>770.55349999999999</v>
      </c>
      <c r="F715" s="6">
        <f>IF(SUMIFS('Daily BSE Equity Futures'!$I:$I,'Daily BSE Equity Futures'!$A:$A,$A715)=0,"",SUMIFS('Daily BSE Equity Futures'!$I:$I,'Daily BSE Equity Futures'!$A:$A,$A715))</f>
        <v>1.9E-3</v>
      </c>
      <c r="G715" s="6">
        <f t="shared" si="132"/>
        <v>770.55539999999996</v>
      </c>
      <c r="H715" s="15">
        <f t="shared" si="133"/>
        <v>0.99999753424607762</v>
      </c>
      <c r="I715" s="15">
        <f t="shared" si="134"/>
        <v>2.4657539224304966E-6</v>
      </c>
      <c r="J715" s="20" t="str">
        <f t="shared" si="135"/>
        <v/>
      </c>
      <c r="K715" s="15" t="str">
        <f t="shared" si="136"/>
        <v/>
      </c>
      <c r="L715" s="15" t="str">
        <f t="shared" si="137"/>
        <v/>
      </c>
      <c r="M715" s="15">
        <f t="shared" si="141"/>
        <v>6.2523915470060087E-2</v>
      </c>
      <c r="N715" s="15">
        <f t="shared" si="142"/>
        <v>1.1111111111111112</v>
      </c>
      <c r="O715" s="15">
        <f t="shared" si="143"/>
        <v>6.2525216785064286E-2</v>
      </c>
      <c r="P715" s="18">
        <f>IF(SUMIFS('Daily NSE Equity Futures'!$J:$J,'Daily NSE Equity Futures'!$A:$A,$A715)=0,"",SUMIFS('Daily NSE Equity Futures'!$J:$J,'Daily NSE Equity Futures'!$A:$A,$A715))</f>
        <v>1071689</v>
      </c>
      <c r="Q715" s="7">
        <f>IF(SUMIFS('Daily BSE Equity Futures'!$J:$J,'Daily BSE Equity Futures'!$A:$A,$A715)=0,"",SUMIFS('Daily BSE Equity Futures'!$J:$J,'Daily BSE Equity Futures'!$A:$A,$A715))</f>
        <v>2</v>
      </c>
      <c r="R715" s="7">
        <f t="shared" si="138"/>
        <v>1071691</v>
      </c>
      <c r="S715" s="19">
        <f t="shared" si="139"/>
        <v>0.99999813379043023</v>
      </c>
      <c r="T715" s="19">
        <f t="shared" si="140"/>
        <v>1.8662095697360527E-6</v>
      </c>
    </row>
    <row r="716" spans="1:20" x14ac:dyDescent="0.2">
      <c r="A716" s="9">
        <v>44971</v>
      </c>
      <c r="B716" s="4" t="s">
        <v>223</v>
      </c>
      <c r="C716" s="8">
        <v>44958</v>
      </c>
      <c r="D716" s="4" t="s">
        <v>184</v>
      </c>
      <c r="E716" s="14">
        <f>IF(SUMIFS('Daily NSE Equity Futures'!$I:$I,'Daily NSE Equity Futures'!$A:$A,$A716)=0,"",SUMIFS('Daily NSE Equity Futures'!$I:$I,'Daily NSE Equity Futures'!$A:$A,$A716))</f>
        <v>818.53989999999999</v>
      </c>
      <c r="F716" s="6">
        <f>IF(SUMIFS('Daily BSE Equity Futures'!$I:$I,'Daily BSE Equity Futures'!$A:$A,$A716)=0,"",SUMIFS('Daily BSE Equity Futures'!$I:$I,'Daily BSE Equity Futures'!$A:$A,$A716))</f>
        <v>1.9E-3</v>
      </c>
      <c r="G716" s="6">
        <f t="shared" si="132"/>
        <v>818.54179999999997</v>
      </c>
      <c r="H716" s="15">
        <f t="shared" si="133"/>
        <v>0.99999767879905466</v>
      </c>
      <c r="I716" s="15">
        <f t="shared" si="134"/>
        <v>2.3212009453884945E-6</v>
      </c>
      <c r="J716" s="20">
        <f t="shared" si="135"/>
        <v>-0.30005170899202016</v>
      </c>
      <c r="K716" s="15">
        <f t="shared" si="136"/>
        <v>5.555555555555558E-2</v>
      </c>
      <c r="L716" s="15">
        <f t="shared" si="137"/>
        <v>-0.30005116163768208</v>
      </c>
      <c r="M716" s="15">
        <f t="shared" si="141"/>
        <v>6.2275234620308595E-2</v>
      </c>
      <c r="N716" s="15">
        <f t="shared" si="142"/>
        <v>0</v>
      </c>
      <c r="O716" s="15">
        <f t="shared" si="143"/>
        <v>6.2275081064904647E-2</v>
      </c>
      <c r="P716" s="18">
        <f>IF(SUMIFS('Daily NSE Equity Futures'!$J:$J,'Daily NSE Equity Futures'!$A:$A,$A716)=0,"",SUMIFS('Daily NSE Equity Futures'!$J:$J,'Daily NSE Equity Futures'!$A:$A,$A716))</f>
        <v>1113166</v>
      </c>
      <c r="Q716" s="7">
        <f>IF(SUMIFS('Daily BSE Equity Futures'!$J:$J,'Daily BSE Equity Futures'!$A:$A,$A716)=0,"",SUMIFS('Daily BSE Equity Futures'!$J:$J,'Daily BSE Equity Futures'!$A:$A,$A716))</f>
        <v>2</v>
      </c>
      <c r="R716" s="7">
        <f t="shared" si="138"/>
        <v>1113168</v>
      </c>
      <c r="S716" s="19">
        <f t="shared" si="139"/>
        <v>0.99999820332600287</v>
      </c>
      <c r="T716" s="19">
        <f t="shared" si="140"/>
        <v>1.7966739970965748E-6</v>
      </c>
    </row>
    <row r="717" spans="1:20" x14ac:dyDescent="0.2">
      <c r="A717" s="9">
        <v>44972</v>
      </c>
      <c r="B717" s="4" t="s">
        <v>221</v>
      </c>
      <c r="C717" s="8">
        <v>44958</v>
      </c>
      <c r="D717" s="4" t="s">
        <v>184</v>
      </c>
      <c r="E717" s="14">
        <f>IF(SUMIFS('Daily NSE Equity Futures'!$I:$I,'Daily NSE Equity Futures'!$A:$A,$A717)=0,"",SUMIFS('Daily NSE Equity Futures'!$I:$I,'Daily NSE Equity Futures'!$A:$A,$A717))</f>
        <v>840.03930000000003</v>
      </c>
      <c r="F717" s="6">
        <f>IF(SUMIFS('Daily BSE Equity Futures'!$I:$I,'Daily BSE Equity Futures'!$A:$A,$A717)=0,"",SUMIFS('Daily BSE Equity Futures'!$I:$I,'Daily BSE Equity Futures'!$A:$A,$A717))</f>
        <v>1.9E-3</v>
      </c>
      <c r="G717" s="6">
        <f t="shared" si="132"/>
        <v>840.0412</v>
      </c>
      <c r="H717" s="15">
        <f t="shared" si="133"/>
        <v>0.99999773820617377</v>
      </c>
      <c r="I717" s="15">
        <f t="shared" si="134"/>
        <v>2.2617938263028053E-6</v>
      </c>
      <c r="J717" s="20">
        <f t="shared" si="135"/>
        <v>-0.38321316954493168</v>
      </c>
      <c r="K717" s="15">
        <f t="shared" si="136"/>
        <v>-0.57777777777777772</v>
      </c>
      <c r="L717" s="15">
        <f t="shared" si="137"/>
        <v>-0.38321381239606012</v>
      </c>
      <c r="M717" s="15">
        <f t="shared" si="141"/>
        <v>2.6265549180925829E-2</v>
      </c>
      <c r="N717" s="15">
        <f t="shared" si="142"/>
        <v>0</v>
      </c>
      <c r="O717" s="15">
        <f t="shared" si="143"/>
        <v>2.6265488213308208E-2</v>
      </c>
      <c r="P717" s="18">
        <f>IF(SUMIFS('Daily NSE Equity Futures'!$J:$J,'Daily NSE Equity Futures'!$A:$A,$A717)=0,"",SUMIFS('Daily NSE Equity Futures'!$J:$J,'Daily NSE Equity Futures'!$A:$A,$A717))</f>
        <v>1147355</v>
      </c>
      <c r="Q717" s="7">
        <f>IF(SUMIFS('Daily BSE Equity Futures'!$J:$J,'Daily BSE Equity Futures'!$A:$A,$A717)=0,"",SUMIFS('Daily BSE Equity Futures'!$J:$J,'Daily BSE Equity Futures'!$A:$A,$A717))</f>
        <v>2</v>
      </c>
      <c r="R717" s="7">
        <f t="shared" si="138"/>
        <v>1147357</v>
      </c>
      <c r="S717" s="19">
        <f t="shared" si="139"/>
        <v>0.99999825686338251</v>
      </c>
      <c r="T717" s="19">
        <f t="shared" si="140"/>
        <v>1.7431366174608251E-6</v>
      </c>
    </row>
    <row r="718" spans="1:20" x14ac:dyDescent="0.2">
      <c r="A718" s="9">
        <v>44973</v>
      </c>
      <c r="B718" s="4" t="s">
        <v>224</v>
      </c>
      <c r="C718" s="8">
        <v>44958</v>
      </c>
      <c r="D718" s="4" t="s">
        <v>184</v>
      </c>
      <c r="E718" s="14">
        <f>IF(SUMIFS('Daily NSE Equity Futures'!$I:$I,'Daily NSE Equity Futures'!$A:$A,$A718)=0,"",SUMIFS('Daily NSE Equity Futures'!$I:$I,'Daily NSE Equity Futures'!$A:$A,$A718))</f>
        <v>953.5829</v>
      </c>
      <c r="F718" s="6">
        <f>IF(SUMIFS('Daily BSE Equity Futures'!$I:$I,'Daily BSE Equity Futures'!$A:$A,$A718)=0,"",SUMIFS('Daily BSE Equity Futures'!$I:$I,'Daily BSE Equity Futures'!$A:$A,$A718))</f>
        <v>1E-3</v>
      </c>
      <c r="G718" s="6">
        <f t="shared" si="132"/>
        <v>953.58389999999997</v>
      </c>
      <c r="H718" s="15">
        <f t="shared" si="133"/>
        <v>0.99999895132457672</v>
      </c>
      <c r="I718" s="15">
        <f t="shared" si="134"/>
        <v>1.0486754233161865E-6</v>
      </c>
      <c r="J718" s="20">
        <f t="shared" si="135"/>
        <v>-0.17727504224780499</v>
      </c>
      <c r="K718" s="15">
        <f t="shared" si="136"/>
        <v>-0.72222222222222221</v>
      </c>
      <c r="L718" s="15">
        <f t="shared" si="137"/>
        <v>-0.1772767348378369</v>
      </c>
      <c r="M718" s="15">
        <f t="shared" si="141"/>
        <v>0.13516462860725675</v>
      </c>
      <c r="N718" s="15">
        <f t="shared" si="142"/>
        <v>-0.47368421052631582</v>
      </c>
      <c r="O718" s="15">
        <f t="shared" si="143"/>
        <v>0.13516325151671138</v>
      </c>
      <c r="P718" s="18">
        <f>IF(SUMIFS('Daily NSE Equity Futures'!$J:$J,'Daily NSE Equity Futures'!$A:$A,$A718)=0,"",SUMIFS('Daily NSE Equity Futures'!$J:$J,'Daily NSE Equity Futures'!$A:$A,$A718))</f>
        <v>1296308</v>
      </c>
      <c r="Q718" s="7">
        <f>IF(SUMIFS('Daily BSE Equity Futures'!$J:$J,'Daily BSE Equity Futures'!$A:$A,$A718)=0,"",SUMIFS('Daily BSE Equity Futures'!$J:$J,'Daily BSE Equity Futures'!$A:$A,$A718))</f>
        <v>1</v>
      </c>
      <c r="R718" s="7">
        <f t="shared" si="138"/>
        <v>1296309</v>
      </c>
      <c r="S718" s="19">
        <f t="shared" si="139"/>
        <v>0.99999922857898849</v>
      </c>
      <c r="T718" s="19">
        <f t="shared" si="140"/>
        <v>7.714210115026587E-7</v>
      </c>
    </row>
    <row r="719" spans="1:20" x14ac:dyDescent="0.2">
      <c r="A719" s="9">
        <v>44974</v>
      </c>
      <c r="B719" s="4" t="s">
        <v>222</v>
      </c>
      <c r="C719" s="8">
        <v>44958</v>
      </c>
      <c r="D719" s="4" t="s">
        <v>184</v>
      </c>
      <c r="E719" s="14">
        <f>IF(SUMIFS('Daily NSE Equity Futures'!$I:$I,'Daily NSE Equity Futures'!$A:$A,$A719)=0,"",SUMIFS('Daily NSE Equity Futures'!$I:$I,'Daily NSE Equity Futures'!$A:$A,$A719))</f>
        <v>1174.4597000000001</v>
      </c>
      <c r="F719" s="6">
        <f>IF(SUMIFS('Daily BSE Equity Futures'!$I:$I,'Daily BSE Equity Futures'!$A:$A,$A719)=0,"",SUMIFS('Daily BSE Equity Futures'!$I:$I,'Daily BSE Equity Futures'!$A:$A,$A719))</f>
        <v>8.9999999999999998E-4</v>
      </c>
      <c r="G719" s="6">
        <f t="shared" si="132"/>
        <v>1174.4606000000001</v>
      </c>
      <c r="H719" s="15">
        <f t="shared" si="133"/>
        <v>0.99999923369076837</v>
      </c>
      <c r="I719" s="15">
        <f t="shared" si="134"/>
        <v>7.6630923165919736E-7</v>
      </c>
      <c r="J719" s="20">
        <f t="shared" si="135"/>
        <v>7.2094606079117662E-2</v>
      </c>
      <c r="K719" s="15" t="str">
        <f t="shared" si="136"/>
        <v/>
      </c>
      <c r="L719" s="15" t="str">
        <f t="shared" si="137"/>
        <v/>
      </c>
      <c r="M719" s="15">
        <f t="shared" si="141"/>
        <v>0.23162831464364575</v>
      </c>
      <c r="N719" s="15">
        <f t="shared" si="142"/>
        <v>-0.10000000000000009</v>
      </c>
      <c r="O719" s="15">
        <f t="shared" si="143"/>
        <v>0.23162796687318243</v>
      </c>
      <c r="P719" s="18">
        <f>IF(SUMIFS('Daily NSE Equity Futures'!$J:$J,'Daily NSE Equity Futures'!$A:$A,$A719)=0,"",SUMIFS('Daily NSE Equity Futures'!$J:$J,'Daily NSE Equity Futures'!$A:$A,$A719))</f>
        <v>1557115</v>
      </c>
      <c r="Q719" s="7">
        <f>IF(SUMIFS('Daily BSE Equity Futures'!$J:$J,'Daily BSE Equity Futures'!$A:$A,$A719)=0,"",SUMIFS('Daily BSE Equity Futures'!$J:$J,'Daily BSE Equity Futures'!$A:$A,$A719))</f>
        <v>1</v>
      </c>
      <c r="R719" s="7">
        <f t="shared" si="138"/>
        <v>1557116</v>
      </c>
      <c r="S719" s="19">
        <f t="shared" si="139"/>
        <v>0.99999935778708848</v>
      </c>
      <c r="T719" s="19">
        <f t="shared" si="140"/>
        <v>6.4221291156214432E-7</v>
      </c>
    </row>
    <row r="720" spans="1:20" x14ac:dyDescent="0.2">
      <c r="A720" s="9">
        <v>44977</v>
      </c>
      <c r="B720" s="4" t="s">
        <v>225</v>
      </c>
      <c r="C720" s="8">
        <v>44958</v>
      </c>
      <c r="D720" s="4" t="s">
        <v>184</v>
      </c>
      <c r="E720" s="14">
        <f>IF(SUMIFS('Daily NSE Equity Futures'!$I:$I,'Daily NSE Equity Futures'!$A:$A,$A720)=0,"",SUMIFS('Daily NSE Equity Futures'!$I:$I,'Daily NSE Equity Futures'!$A:$A,$A720))</f>
        <v>1772.0963999999999</v>
      </c>
      <c r="F720" s="6">
        <f>IF(SUMIFS('Daily BSE Equity Futures'!$I:$I,'Daily BSE Equity Futures'!$A:$A,$A720)=0,"",SUMIFS('Daily BSE Equity Futures'!$I:$I,'Daily BSE Equity Futures'!$A:$A,$A720))</f>
        <v>1.9E-3</v>
      </c>
      <c r="G720" s="6">
        <f t="shared" si="132"/>
        <v>1772.0982999999999</v>
      </c>
      <c r="H720" s="15">
        <f t="shared" si="133"/>
        <v>0.99999892782471489</v>
      </c>
      <c r="I720" s="15">
        <f t="shared" si="134"/>
        <v>1.0721752850843546E-6</v>
      </c>
      <c r="J720" s="20" t="str">
        <f t="shared" si="135"/>
        <v/>
      </c>
      <c r="K720" s="15" t="str">
        <f t="shared" si="136"/>
        <v/>
      </c>
      <c r="L720" s="15" t="str">
        <f t="shared" si="137"/>
        <v/>
      </c>
      <c r="M720" s="15">
        <f t="shared" si="141"/>
        <v>0.50886096815412207</v>
      </c>
      <c r="N720" s="15">
        <f t="shared" si="142"/>
        <v>1.1111111111111112</v>
      </c>
      <c r="O720" s="15">
        <f t="shared" si="143"/>
        <v>0.50886142966396641</v>
      </c>
      <c r="P720" s="18">
        <f>IF(SUMIFS('Daily NSE Equity Futures'!$J:$J,'Daily NSE Equity Futures'!$A:$A,$A720)=0,"",SUMIFS('Daily NSE Equity Futures'!$J:$J,'Daily NSE Equity Futures'!$A:$A,$A720))</f>
        <v>2506524</v>
      </c>
      <c r="Q720" s="7">
        <f>IF(SUMIFS('Daily BSE Equity Futures'!$J:$J,'Daily BSE Equity Futures'!$A:$A,$A720)=0,"",SUMIFS('Daily BSE Equity Futures'!$J:$J,'Daily BSE Equity Futures'!$A:$A,$A720))</f>
        <v>2</v>
      </c>
      <c r="R720" s="7">
        <f t="shared" si="138"/>
        <v>2506526</v>
      </c>
      <c r="S720" s="19">
        <f t="shared" si="139"/>
        <v>0.99999920208288284</v>
      </c>
      <c r="T720" s="19">
        <f t="shared" si="140"/>
        <v>7.9791711715737243E-7</v>
      </c>
    </row>
    <row r="721" spans="1:20" x14ac:dyDescent="0.2">
      <c r="A721" s="9">
        <v>44978</v>
      </c>
      <c r="B721" s="4" t="s">
        <v>223</v>
      </c>
      <c r="C721" s="8">
        <v>44958</v>
      </c>
      <c r="D721" s="4" t="s">
        <v>184</v>
      </c>
      <c r="E721" s="14">
        <f>IF(SUMIFS('Daily NSE Equity Futures'!$I:$I,'Daily NSE Equity Futures'!$A:$A,$A721)=0,"",SUMIFS('Daily NSE Equity Futures'!$I:$I,'Daily NSE Equity Futures'!$A:$A,$A721))</f>
        <v>1891.6376</v>
      </c>
      <c r="F721" s="6">
        <f>IF(SUMIFS('Daily BSE Equity Futures'!$I:$I,'Daily BSE Equity Futures'!$A:$A,$A721)=0,"",SUMIFS('Daily BSE Equity Futures'!$I:$I,'Daily BSE Equity Futures'!$A:$A,$A721))</f>
        <v>8.9999999999999998E-4</v>
      </c>
      <c r="G721" s="6">
        <f t="shared" si="132"/>
        <v>1891.6385</v>
      </c>
      <c r="H721" s="15">
        <f t="shared" si="133"/>
        <v>0.99999952422199057</v>
      </c>
      <c r="I721" s="15">
        <f t="shared" si="134"/>
        <v>4.7577800938181367E-7</v>
      </c>
      <c r="J721" s="20">
        <f t="shared" si="135"/>
        <v>7.7663431025071894E-2</v>
      </c>
      <c r="K721" s="15">
        <f t="shared" si="136"/>
        <v>-0.75</v>
      </c>
      <c r="L721" s="15">
        <f t="shared" si="137"/>
        <v>7.766173356102235E-2</v>
      </c>
      <c r="M721" s="15">
        <f t="shared" si="141"/>
        <v>6.745750400486128E-2</v>
      </c>
      <c r="N721" s="15">
        <f t="shared" si="142"/>
        <v>-0.52631578947368429</v>
      </c>
      <c r="O721" s="15">
        <f t="shared" si="143"/>
        <v>6.7456867375810914E-2</v>
      </c>
      <c r="P721" s="18">
        <f>IF(SUMIFS('Daily NSE Equity Futures'!$J:$J,'Daily NSE Equity Futures'!$A:$A,$A721)=0,"",SUMIFS('Daily NSE Equity Futures'!$J:$J,'Daily NSE Equity Futures'!$A:$A,$A721))</f>
        <v>2656202</v>
      </c>
      <c r="Q721" s="7">
        <f>IF(SUMIFS('Daily BSE Equity Futures'!$J:$J,'Daily BSE Equity Futures'!$A:$A,$A721)=0,"",SUMIFS('Daily BSE Equity Futures'!$J:$J,'Daily BSE Equity Futures'!$A:$A,$A721))</f>
        <v>1</v>
      </c>
      <c r="R721" s="7">
        <f t="shared" si="138"/>
        <v>2656203</v>
      </c>
      <c r="S721" s="19">
        <f t="shared" si="139"/>
        <v>0.99999962352275029</v>
      </c>
      <c r="T721" s="19">
        <f t="shared" si="140"/>
        <v>3.7647724966804119E-7</v>
      </c>
    </row>
    <row r="722" spans="1:20" x14ac:dyDescent="0.2">
      <c r="A722" s="9">
        <v>44979</v>
      </c>
      <c r="B722" s="4" t="s">
        <v>221</v>
      </c>
      <c r="C722" s="8">
        <v>44958</v>
      </c>
      <c r="D722" s="4" t="s">
        <v>184</v>
      </c>
      <c r="E722" s="14">
        <f>IF(SUMIFS('Daily NSE Equity Futures'!$I:$I,'Daily NSE Equity Futures'!$A:$A,$A722)=0,"",SUMIFS('Daily NSE Equity Futures'!$I:$I,'Daily NSE Equity Futures'!$A:$A,$A722))</f>
        <v>1850.2773</v>
      </c>
      <c r="F722" s="6">
        <f>IF(SUMIFS('Daily BSE Equity Futures'!$I:$I,'Daily BSE Equity Futures'!$A:$A,$A722)=0,"",SUMIFS('Daily BSE Equity Futures'!$I:$I,'Daily BSE Equity Futures'!$A:$A,$A722))</f>
        <v>2.8E-3</v>
      </c>
      <c r="G722" s="6">
        <f t="shared" si="132"/>
        <v>1850.2800999999999</v>
      </c>
      <c r="H722" s="15">
        <f t="shared" si="133"/>
        <v>0.99999848671560598</v>
      </c>
      <c r="I722" s="15">
        <f t="shared" si="134"/>
        <v>1.5132843940763347E-6</v>
      </c>
      <c r="J722" s="20">
        <f t="shared" si="135"/>
        <v>-0.1851137126702036</v>
      </c>
      <c r="K722" s="15">
        <f t="shared" si="136"/>
        <v>-0.36363636363636365</v>
      </c>
      <c r="L722" s="15">
        <f t="shared" si="137"/>
        <v>-0.18511405861384389</v>
      </c>
      <c r="M722" s="15">
        <f t="shared" si="141"/>
        <v>-2.1864811737724033E-2</v>
      </c>
      <c r="N722" s="15">
        <f t="shared" si="142"/>
        <v>2.1111111111111112</v>
      </c>
      <c r="O722" s="15">
        <f t="shared" si="143"/>
        <v>-2.1863796914685429E-2</v>
      </c>
      <c r="P722" s="18">
        <f>IF(SUMIFS('Daily NSE Equity Futures'!$J:$J,'Daily NSE Equity Futures'!$A:$A,$A722)=0,"",SUMIFS('Daily NSE Equity Futures'!$J:$J,'Daily NSE Equity Futures'!$A:$A,$A722))</f>
        <v>2619544</v>
      </c>
      <c r="Q722" s="7">
        <f>IF(SUMIFS('Daily BSE Equity Futures'!$J:$J,'Daily BSE Equity Futures'!$A:$A,$A722)=0,"",SUMIFS('Daily BSE Equity Futures'!$J:$J,'Daily BSE Equity Futures'!$A:$A,$A722))</f>
        <v>3</v>
      </c>
      <c r="R722" s="7">
        <f t="shared" si="138"/>
        <v>2619547</v>
      </c>
      <c r="S722" s="19">
        <f t="shared" si="139"/>
        <v>0.99999885476381989</v>
      </c>
      <c r="T722" s="19">
        <f t="shared" si="140"/>
        <v>1.1452361801487051E-6</v>
      </c>
    </row>
    <row r="723" spans="1:20" x14ac:dyDescent="0.2">
      <c r="A723" s="9">
        <v>44980</v>
      </c>
      <c r="B723" s="4" t="s">
        <v>224</v>
      </c>
      <c r="C723" s="8">
        <v>44958</v>
      </c>
      <c r="D723" s="4" t="s">
        <v>184</v>
      </c>
      <c r="E723" s="14">
        <f>IF(SUMIFS('Daily NSE Equity Futures'!$I:$I,'Daily NSE Equity Futures'!$A:$A,$A723)=0,"",SUMIFS('Daily NSE Equity Futures'!$I:$I,'Daily NSE Equity Futures'!$A:$A,$A723))</f>
        <v>2080.5909000000001</v>
      </c>
      <c r="F723" s="6">
        <f>IF(SUMIFS('Daily BSE Equity Futures'!$I:$I,'Daily BSE Equity Futures'!$A:$A,$A723)=0,"",SUMIFS('Daily BSE Equity Futures'!$I:$I,'Daily BSE Equity Futures'!$A:$A,$A723))</f>
        <v>1.8E-3</v>
      </c>
      <c r="G723" s="6">
        <f t="shared" si="132"/>
        <v>2080.5927000000001</v>
      </c>
      <c r="H723" s="15">
        <f t="shared" si="133"/>
        <v>0.99999913486190739</v>
      </c>
      <c r="I723" s="15">
        <f t="shared" si="134"/>
        <v>8.6513809262139575E-7</v>
      </c>
      <c r="J723" s="20">
        <f t="shared" si="135"/>
        <v>0.1691258068821162</v>
      </c>
      <c r="K723" s="15">
        <f t="shared" si="136"/>
        <v>0</v>
      </c>
      <c r="L723" s="15">
        <f t="shared" si="137"/>
        <v>0.16912563581895257</v>
      </c>
      <c r="M723" s="15">
        <f t="shared" si="141"/>
        <v>0.1244751800176116</v>
      </c>
      <c r="N723" s="15">
        <f t="shared" si="142"/>
        <v>-0.35714285714285721</v>
      </c>
      <c r="O723" s="15">
        <f t="shared" si="143"/>
        <v>0.12447445119255196</v>
      </c>
      <c r="P723" s="18">
        <f>IF(SUMIFS('Daily NSE Equity Futures'!$J:$J,'Daily NSE Equity Futures'!$A:$A,$A723)=0,"",SUMIFS('Daily NSE Equity Futures'!$J:$J,'Daily NSE Equity Futures'!$A:$A,$A723))</f>
        <v>2937874</v>
      </c>
      <c r="Q723" s="7">
        <f>IF(SUMIFS('Daily BSE Equity Futures'!$J:$J,'Daily BSE Equity Futures'!$A:$A,$A723)=0,"",SUMIFS('Daily BSE Equity Futures'!$J:$J,'Daily BSE Equity Futures'!$A:$A,$A723))</f>
        <v>2</v>
      </c>
      <c r="R723" s="7">
        <f t="shared" si="138"/>
        <v>2937876</v>
      </c>
      <c r="S723" s="19">
        <f t="shared" si="139"/>
        <v>0.99999931923607399</v>
      </c>
      <c r="T723" s="19">
        <f t="shared" si="140"/>
        <v>6.8076392604725323E-7</v>
      </c>
    </row>
    <row r="724" spans="1:20" x14ac:dyDescent="0.2">
      <c r="A724" s="9">
        <v>44981</v>
      </c>
      <c r="B724" s="4" t="s">
        <v>222</v>
      </c>
      <c r="C724" s="8">
        <v>44958</v>
      </c>
      <c r="D724" s="4" t="s">
        <v>184</v>
      </c>
      <c r="E724" s="14">
        <f>IF(SUMIFS('Daily NSE Equity Futures'!$I:$I,'Daily NSE Equity Futures'!$A:$A,$A724)=0,"",SUMIFS('Daily NSE Equity Futures'!$I:$I,'Daily NSE Equity Futures'!$A:$A,$A724))</f>
        <v>770.03390000000002</v>
      </c>
      <c r="F724" s="6">
        <f>IF(SUMIFS('Daily BSE Equity Futures'!$I:$I,'Daily BSE Equity Futures'!$A:$A,$A724)=0,"",SUMIFS('Daily BSE Equity Futures'!$I:$I,'Daily BSE Equity Futures'!$A:$A,$A724))</f>
        <v>1.9E-3</v>
      </c>
      <c r="G724" s="6">
        <f t="shared" si="132"/>
        <v>770.03579999999999</v>
      </c>
      <c r="H724" s="15">
        <f t="shared" si="133"/>
        <v>0.99999753258225144</v>
      </c>
      <c r="I724" s="15">
        <f t="shared" si="134"/>
        <v>2.4674177486293496E-6</v>
      </c>
      <c r="J724" s="20">
        <f t="shared" si="135"/>
        <v>-0.72685870586599022</v>
      </c>
      <c r="K724" s="15">
        <f t="shared" si="136"/>
        <v>-0.26923076923076916</v>
      </c>
      <c r="L724" s="15">
        <f t="shared" si="137"/>
        <v>-0.72685828381687512</v>
      </c>
      <c r="M724" s="15">
        <f t="shared" si="141"/>
        <v>-0.6298965356428311</v>
      </c>
      <c r="N724" s="15">
        <f t="shared" si="142"/>
        <v>5.555555555555558E-2</v>
      </c>
      <c r="O724" s="15">
        <f t="shared" si="143"/>
        <v>-0.62989594263211635</v>
      </c>
      <c r="P724" s="18">
        <f>IF(SUMIFS('Daily NSE Equity Futures'!$J:$J,'Daily NSE Equity Futures'!$A:$A,$A724)=0,"",SUMIFS('Daily NSE Equity Futures'!$J:$J,'Daily NSE Equity Futures'!$A:$A,$A724))</f>
        <v>1019049</v>
      </c>
      <c r="Q724" s="7">
        <f>IF(SUMIFS('Daily BSE Equity Futures'!$J:$J,'Daily BSE Equity Futures'!$A:$A,$A724)=0,"",SUMIFS('Daily BSE Equity Futures'!$J:$J,'Daily BSE Equity Futures'!$A:$A,$A724))</f>
        <v>2</v>
      </c>
      <c r="R724" s="7">
        <f t="shared" si="138"/>
        <v>1019051</v>
      </c>
      <c r="S724" s="19">
        <f t="shared" si="139"/>
        <v>0.99999803738968907</v>
      </c>
      <c r="T724" s="19">
        <f t="shared" si="140"/>
        <v>1.9626103109657908E-6</v>
      </c>
    </row>
    <row r="725" spans="1:20" x14ac:dyDescent="0.2">
      <c r="A725" s="9">
        <v>44984</v>
      </c>
      <c r="B725" s="4" t="s">
        <v>225</v>
      </c>
      <c r="C725" s="8">
        <v>44958</v>
      </c>
      <c r="D725" s="4" t="s">
        <v>184</v>
      </c>
      <c r="E725" s="14">
        <f>IF(SUMIFS('Daily NSE Equity Futures'!$I:$I,'Daily NSE Equity Futures'!$A:$A,$A725)=0,"",SUMIFS('Daily NSE Equity Futures'!$I:$I,'Daily NSE Equity Futures'!$A:$A,$A725))</f>
        <v>798.77409999999998</v>
      </c>
      <c r="F725" s="6">
        <f>IF(SUMIFS('Daily BSE Equity Futures'!$I:$I,'Daily BSE Equity Futures'!$A:$A,$A725)=0,"",SUMIFS('Daily BSE Equity Futures'!$I:$I,'Daily BSE Equity Futures'!$A:$A,$A725))</f>
        <v>8.9999999999999998E-4</v>
      </c>
      <c r="G725" s="6">
        <f t="shared" si="132"/>
        <v>798.77499999999998</v>
      </c>
      <c r="H725" s="15">
        <f t="shared" si="133"/>
        <v>0.99999887327470194</v>
      </c>
      <c r="I725" s="15">
        <f t="shared" si="134"/>
        <v>1.126725298112735E-6</v>
      </c>
      <c r="J725" s="20" t="str">
        <f t="shared" si="135"/>
        <v/>
      </c>
      <c r="K725" s="15" t="str">
        <f t="shared" si="136"/>
        <v/>
      </c>
      <c r="L725" s="15" t="str">
        <f t="shared" si="137"/>
        <v/>
      </c>
      <c r="M725" s="15">
        <f t="shared" si="141"/>
        <v>3.7323291870656528E-2</v>
      </c>
      <c r="N725" s="15">
        <f t="shared" si="142"/>
        <v>-0.52631578947368429</v>
      </c>
      <c r="O725" s="15">
        <f t="shared" si="143"/>
        <v>3.732190113758338E-2</v>
      </c>
      <c r="P725" s="18">
        <f>IF(SUMIFS('Daily NSE Equity Futures'!$J:$J,'Daily NSE Equity Futures'!$A:$A,$A725)=0,"",SUMIFS('Daily NSE Equity Futures'!$J:$J,'Daily NSE Equity Futures'!$A:$A,$A725))</f>
        <v>1074782</v>
      </c>
      <c r="Q725" s="7">
        <f>IF(SUMIFS('Daily BSE Equity Futures'!$J:$J,'Daily BSE Equity Futures'!$A:$A,$A725)=0,"",SUMIFS('Daily BSE Equity Futures'!$J:$J,'Daily BSE Equity Futures'!$A:$A,$A725))</f>
        <v>1</v>
      </c>
      <c r="R725" s="7">
        <f t="shared" si="138"/>
        <v>1074783</v>
      </c>
      <c r="S725" s="19">
        <f t="shared" si="139"/>
        <v>0.99999906957962681</v>
      </c>
      <c r="T725" s="19">
        <f t="shared" si="140"/>
        <v>9.3042037322882851E-7</v>
      </c>
    </row>
    <row r="726" spans="1:20" x14ac:dyDescent="0.2">
      <c r="A726" s="9">
        <v>44985</v>
      </c>
      <c r="B726" s="4" t="s">
        <v>223</v>
      </c>
      <c r="C726" s="8">
        <v>44958</v>
      </c>
      <c r="D726" s="4" t="s">
        <v>184</v>
      </c>
      <c r="E726" s="14">
        <f>IF(SUMIFS('Daily NSE Equity Futures'!$I:$I,'Daily NSE Equity Futures'!$A:$A,$A726)=0,"",SUMIFS('Daily NSE Equity Futures'!$I:$I,'Daily NSE Equity Futures'!$A:$A,$A726))</f>
        <v>833.07979999999998</v>
      </c>
      <c r="F726" s="6">
        <f>IF(SUMIFS('Daily BSE Equity Futures'!$I:$I,'Daily BSE Equity Futures'!$A:$A,$A726)=0,"",SUMIFS('Daily BSE Equity Futures'!$I:$I,'Daily BSE Equity Futures'!$A:$A,$A726))</f>
        <v>1.8E-3</v>
      </c>
      <c r="G726" s="6">
        <f t="shared" si="132"/>
        <v>833.08159999999998</v>
      </c>
      <c r="H726" s="15">
        <f t="shared" si="133"/>
        <v>0.99999783934731001</v>
      </c>
      <c r="I726" s="15">
        <f t="shared" si="134"/>
        <v>2.1606526899645843E-6</v>
      </c>
      <c r="J726" s="20">
        <f t="shared" si="135"/>
        <v>-0.22795634970097534</v>
      </c>
      <c r="K726" s="15">
        <f t="shared" si="136"/>
        <v>-0.48571428571428577</v>
      </c>
      <c r="L726" s="15">
        <f t="shared" si="137"/>
        <v>-0.22795718575421198</v>
      </c>
      <c r="M726" s="15">
        <f t="shared" si="141"/>
        <v>4.294793734548974E-2</v>
      </c>
      <c r="N726" s="15">
        <f t="shared" si="142"/>
        <v>1</v>
      </c>
      <c r="O726" s="15">
        <f t="shared" si="143"/>
        <v>4.2949015680260327E-2</v>
      </c>
      <c r="P726" s="18">
        <f>IF(SUMIFS('Daily NSE Equity Futures'!$J:$J,'Daily NSE Equity Futures'!$A:$A,$A726)=0,"",SUMIFS('Daily NSE Equity Futures'!$J:$J,'Daily NSE Equity Futures'!$A:$A,$A726))</f>
        <v>1213235</v>
      </c>
      <c r="Q726" s="7">
        <f>IF(SUMIFS('Daily BSE Equity Futures'!$J:$J,'Daily BSE Equity Futures'!$A:$A,$A726)=0,"",SUMIFS('Daily BSE Equity Futures'!$J:$J,'Daily BSE Equity Futures'!$A:$A,$A726))</f>
        <v>2</v>
      </c>
      <c r="R726" s="7">
        <f t="shared" si="138"/>
        <v>1213237</v>
      </c>
      <c r="S726" s="19">
        <f t="shared" si="139"/>
        <v>0.99999835151746941</v>
      </c>
      <c r="T726" s="19">
        <f t="shared" si="140"/>
        <v>1.6484825306185023E-6</v>
      </c>
    </row>
    <row r="727" spans="1:20" x14ac:dyDescent="0.2">
      <c r="A727" s="9">
        <v>44986</v>
      </c>
      <c r="B727" s="4" t="s">
        <v>221</v>
      </c>
      <c r="C727" s="8">
        <v>44986</v>
      </c>
      <c r="D727" s="4" t="s">
        <v>184</v>
      </c>
      <c r="E727" s="14">
        <f>IF(SUMIFS('Daily NSE Equity Futures'!$I:$I,'Daily NSE Equity Futures'!$A:$A,$A727)=0,"",SUMIFS('Daily NSE Equity Futures'!$I:$I,'Daily NSE Equity Futures'!$A:$A,$A727))</f>
        <v>728.34829999999999</v>
      </c>
      <c r="F727" s="6">
        <f>IF(SUMIFS('Daily BSE Equity Futures'!$I:$I,'Daily BSE Equity Futures'!$A:$A,$A727)=0,"",SUMIFS('Daily BSE Equity Futures'!$I:$I,'Daily BSE Equity Futures'!$A:$A,$A727))</f>
        <v>8.9999999999999998E-4</v>
      </c>
      <c r="G727" s="6">
        <f t="shared" si="132"/>
        <v>728.3492</v>
      </c>
      <c r="H727" s="15">
        <f t="shared" si="133"/>
        <v>0.9999987643289785</v>
      </c>
      <c r="I727" s="15">
        <f t="shared" si="134"/>
        <v>1.2356710215374713E-6</v>
      </c>
      <c r="J727" s="20" t="str">
        <f t="shared" si="135"/>
        <v/>
      </c>
      <c r="K727" s="15" t="str">
        <f t="shared" si="136"/>
        <v/>
      </c>
      <c r="L727" s="15" t="str">
        <f t="shared" si="137"/>
        <v/>
      </c>
      <c r="M727" s="15">
        <f t="shared" si="141"/>
        <v>-0.12571604785039803</v>
      </c>
      <c r="N727" s="15">
        <f t="shared" si="142"/>
        <v>-0.5</v>
      </c>
      <c r="O727" s="15">
        <f t="shared" si="143"/>
        <v>-0.125716856548026</v>
      </c>
      <c r="P727" s="18">
        <f>IF(SUMIFS('Daily NSE Equity Futures'!$J:$J,'Daily NSE Equity Futures'!$A:$A,$A727)=0,"",SUMIFS('Daily NSE Equity Futures'!$J:$J,'Daily NSE Equity Futures'!$A:$A,$A727))</f>
        <v>1021682</v>
      </c>
      <c r="Q727" s="7">
        <f>IF(SUMIFS('Daily BSE Equity Futures'!$J:$J,'Daily BSE Equity Futures'!$A:$A,$A727)=0,"",SUMIFS('Daily BSE Equity Futures'!$J:$J,'Daily BSE Equity Futures'!$A:$A,$A727))</f>
        <v>1</v>
      </c>
      <c r="R727" s="7">
        <f t="shared" si="138"/>
        <v>1021683</v>
      </c>
      <c r="S727" s="19">
        <f t="shared" si="139"/>
        <v>0.99999902122282547</v>
      </c>
      <c r="T727" s="19">
        <f t="shared" si="140"/>
        <v>9.7877717452477931E-7</v>
      </c>
    </row>
    <row r="728" spans="1:20" x14ac:dyDescent="0.2">
      <c r="A728" s="9">
        <v>44987</v>
      </c>
      <c r="B728" s="4" t="s">
        <v>224</v>
      </c>
      <c r="C728" s="8">
        <v>44986</v>
      </c>
      <c r="D728" s="4" t="s">
        <v>184</v>
      </c>
      <c r="E728" s="14">
        <f>IF(SUMIFS('Daily NSE Equity Futures'!$I:$I,'Daily NSE Equity Futures'!$A:$A,$A728)=0,"",SUMIFS('Daily NSE Equity Futures'!$I:$I,'Daily NSE Equity Futures'!$A:$A,$A728))</f>
        <v>785.44680000000005</v>
      </c>
      <c r="F728" s="6">
        <f>IF(SUMIFS('Daily BSE Equity Futures'!$I:$I,'Daily BSE Equity Futures'!$A:$A,$A728)=0,"",SUMIFS('Daily BSE Equity Futures'!$I:$I,'Daily BSE Equity Futures'!$A:$A,$A728))</f>
        <v>1.8E-3</v>
      </c>
      <c r="G728" s="6">
        <f t="shared" si="132"/>
        <v>785.44860000000006</v>
      </c>
      <c r="H728" s="15">
        <f t="shared" si="133"/>
        <v>0.99999770831598656</v>
      </c>
      <c r="I728" s="15">
        <f t="shared" si="134"/>
        <v>2.2916840134414904E-6</v>
      </c>
      <c r="J728" s="20">
        <f t="shared" si="135"/>
        <v>-0.34879063349096073</v>
      </c>
      <c r="K728" s="15">
        <f t="shared" si="136"/>
        <v>5.8823529411764719E-2</v>
      </c>
      <c r="L728" s="15">
        <f t="shared" si="137"/>
        <v>-0.34879005897587279</v>
      </c>
      <c r="M728" s="15">
        <f t="shared" si="141"/>
        <v>7.8394498895651976E-2</v>
      </c>
      <c r="N728" s="15">
        <f t="shared" si="142"/>
        <v>1</v>
      </c>
      <c r="O728" s="15">
        <f t="shared" si="143"/>
        <v>7.8395637696863085E-2</v>
      </c>
      <c r="P728" s="18">
        <f>IF(SUMIFS('Daily NSE Equity Futures'!$J:$J,'Daily NSE Equity Futures'!$A:$A,$A728)=0,"",SUMIFS('Daily NSE Equity Futures'!$J:$J,'Daily NSE Equity Futures'!$A:$A,$A728))</f>
        <v>1097214</v>
      </c>
      <c r="Q728" s="7">
        <f>IF(SUMIFS('Daily BSE Equity Futures'!$J:$J,'Daily BSE Equity Futures'!$A:$A,$A728)=0,"",SUMIFS('Daily BSE Equity Futures'!$J:$J,'Daily BSE Equity Futures'!$A:$A,$A728))</f>
        <v>2</v>
      </c>
      <c r="R728" s="7">
        <f t="shared" si="138"/>
        <v>1097216</v>
      </c>
      <c r="S728" s="19">
        <f t="shared" si="139"/>
        <v>0.99999817720485296</v>
      </c>
      <c r="T728" s="19">
        <f t="shared" si="140"/>
        <v>1.8227951469902007E-6</v>
      </c>
    </row>
    <row r="729" spans="1:20" x14ac:dyDescent="0.2">
      <c r="A729" s="9">
        <v>44988</v>
      </c>
      <c r="B729" s="4" t="s">
        <v>222</v>
      </c>
      <c r="C729" s="8">
        <v>44986</v>
      </c>
      <c r="D729" s="4" t="s">
        <v>184</v>
      </c>
      <c r="E729" s="14">
        <f>IF(SUMIFS('Daily NSE Equity Futures'!$I:$I,'Daily NSE Equity Futures'!$A:$A,$A729)=0,"",SUMIFS('Daily NSE Equity Futures'!$I:$I,'Daily NSE Equity Futures'!$A:$A,$A729))</f>
        <v>993.32079999999996</v>
      </c>
      <c r="F729" s="6" t="str">
        <f>IF(SUMIFS('Daily BSE Equity Futures'!$I:$I,'Daily BSE Equity Futures'!$A:$A,$A729)=0,"",SUMIFS('Daily BSE Equity Futures'!$I:$I,'Daily BSE Equity Futures'!$A:$A,$A729))</f>
        <v/>
      </c>
      <c r="G729" s="6" t="str">
        <f t="shared" si="132"/>
        <v/>
      </c>
      <c r="H729" s="15" t="str">
        <f t="shared" si="133"/>
        <v/>
      </c>
      <c r="I729" s="15" t="str">
        <f t="shared" si="134"/>
        <v/>
      </c>
      <c r="J729" s="20">
        <f t="shared" si="135"/>
        <v>-5.0587986562273368E-2</v>
      </c>
      <c r="K729" s="15" t="str">
        <f t="shared" si="136"/>
        <v/>
      </c>
      <c r="L729" s="15" t="str">
        <f t="shared" si="137"/>
        <v/>
      </c>
      <c r="M729" s="15">
        <f t="shared" si="141"/>
        <v>0.26465700796030989</v>
      </c>
      <c r="N729" s="15" t="str">
        <f t="shared" si="142"/>
        <v/>
      </c>
      <c r="O729" s="15" t="str">
        <f t="shared" si="143"/>
        <v/>
      </c>
      <c r="P729" s="18">
        <f>IF(SUMIFS('Daily NSE Equity Futures'!$J:$J,'Daily NSE Equity Futures'!$A:$A,$A729)=0,"",SUMIFS('Daily NSE Equity Futures'!$J:$J,'Daily NSE Equity Futures'!$A:$A,$A729))</f>
        <v>1336430</v>
      </c>
      <c r="Q729" s="7" t="str">
        <f>IF(SUMIFS('Daily BSE Equity Futures'!$J:$J,'Daily BSE Equity Futures'!$A:$A,$A729)=0,"",SUMIFS('Daily BSE Equity Futures'!$J:$J,'Daily BSE Equity Futures'!$A:$A,$A729))</f>
        <v/>
      </c>
      <c r="R729" s="7" t="str">
        <f t="shared" si="138"/>
        <v/>
      </c>
      <c r="S729" s="19" t="str">
        <f t="shared" si="139"/>
        <v/>
      </c>
      <c r="T729" s="19" t="str">
        <f t="shared" si="140"/>
        <v/>
      </c>
    </row>
    <row r="730" spans="1:20" x14ac:dyDescent="0.2">
      <c r="A730" s="9">
        <v>44991</v>
      </c>
      <c r="B730" s="4" t="s">
        <v>225</v>
      </c>
      <c r="C730" s="8">
        <v>44986</v>
      </c>
      <c r="D730" s="4" t="s">
        <v>184</v>
      </c>
      <c r="E730" s="14">
        <f>IF(SUMIFS('Daily NSE Equity Futures'!$I:$I,'Daily NSE Equity Futures'!$A:$A,$A730)=0,"",SUMIFS('Daily NSE Equity Futures'!$I:$I,'Daily NSE Equity Futures'!$A:$A,$A730))</f>
        <v>800.53300000000002</v>
      </c>
      <c r="F730" s="6">
        <f>IF(SUMIFS('Daily BSE Equity Futures'!$I:$I,'Daily BSE Equity Futures'!$A:$A,$A730)=0,"",SUMIFS('Daily BSE Equity Futures'!$I:$I,'Daily BSE Equity Futures'!$A:$A,$A730))</f>
        <v>8.9999999999999998E-4</v>
      </c>
      <c r="G730" s="6">
        <f t="shared" si="132"/>
        <v>800.53390000000002</v>
      </c>
      <c r="H730" s="15">
        <f t="shared" si="133"/>
        <v>0.99999887575029611</v>
      </c>
      <c r="I730" s="15">
        <f t="shared" si="134"/>
        <v>1.1242497038538905E-6</v>
      </c>
      <c r="J730" s="20" t="str">
        <f t="shared" si="135"/>
        <v/>
      </c>
      <c r="K730" s="15" t="str">
        <f t="shared" si="136"/>
        <v/>
      </c>
      <c r="L730" s="15" t="str">
        <f t="shared" si="137"/>
        <v/>
      </c>
      <c r="M730" s="15">
        <f t="shared" si="141"/>
        <v>-0.19408412669904829</v>
      </c>
      <c r="N730" s="15" t="str">
        <f t="shared" si="142"/>
        <v/>
      </c>
      <c r="O730" s="15" t="str">
        <f t="shared" si="143"/>
        <v/>
      </c>
      <c r="P730" s="18">
        <f>IF(SUMIFS('Daily NSE Equity Futures'!$J:$J,'Daily NSE Equity Futures'!$A:$A,$A730)=0,"",SUMIFS('Daily NSE Equity Futures'!$J:$J,'Daily NSE Equity Futures'!$A:$A,$A730))</f>
        <v>1094220</v>
      </c>
      <c r="Q730" s="7">
        <f>IF(SUMIFS('Daily BSE Equity Futures'!$J:$J,'Daily BSE Equity Futures'!$A:$A,$A730)=0,"",SUMIFS('Daily BSE Equity Futures'!$J:$J,'Daily BSE Equity Futures'!$A:$A,$A730))</f>
        <v>1</v>
      </c>
      <c r="R730" s="7">
        <f t="shared" si="138"/>
        <v>1094221</v>
      </c>
      <c r="S730" s="19">
        <f t="shared" si="139"/>
        <v>0.99999908610783383</v>
      </c>
      <c r="T730" s="19">
        <f t="shared" si="140"/>
        <v>9.1389216620774045E-7</v>
      </c>
    </row>
    <row r="731" spans="1:20" x14ac:dyDescent="0.2">
      <c r="A731" s="9">
        <v>44993</v>
      </c>
      <c r="B731" s="4" t="s">
        <v>221</v>
      </c>
      <c r="C731" s="8">
        <v>44986</v>
      </c>
      <c r="D731" s="4" t="s">
        <v>184</v>
      </c>
      <c r="E731" s="14">
        <f>IF(SUMIFS('Daily NSE Equity Futures'!$I:$I,'Daily NSE Equity Futures'!$A:$A,$A731)=0,"",SUMIFS('Daily NSE Equity Futures'!$I:$I,'Daily NSE Equity Futures'!$A:$A,$A731))</f>
        <v>782.20719999999994</v>
      </c>
      <c r="F731" s="6">
        <f>IF(SUMIFS('Daily BSE Equity Futures'!$I:$I,'Daily BSE Equity Futures'!$A:$A,$A731)=0,"",SUMIFS('Daily BSE Equity Futures'!$I:$I,'Daily BSE Equity Futures'!$A:$A,$A731))</f>
        <v>8.9999999999999998E-4</v>
      </c>
      <c r="G731" s="6">
        <f t="shared" si="132"/>
        <v>782.20809999999994</v>
      </c>
      <c r="H731" s="15">
        <f t="shared" si="133"/>
        <v>0.99999884941104544</v>
      </c>
      <c r="I731" s="15">
        <f t="shared" si="134"/>
        <v>1.1505889545250171E-6</v>
      </c>
      <c r="J731" s="20">
        <f t="shared" si="135"/>
        <v>-0.41551815646768198</v>
      </c>
      <c r="K731" s="15">
        <f t="shared" si="136"/>
        <v>-0.72727272727272729</v>
      </c>
      <c r="L731" s="15">
        <f t="shared" si="137"/>
        <v>-0.4155189251996011</v>
      </c>
      <c r="M731" s="15">
        <f t="shared" si="141"/>
        <v>-2.2891998206195252E-2</v>
      </c>
      <c r="N731" s="15">
        <f t="shared" si="142"/>
        <v>0</v>
      </c>
      <c r="O731" s="15">
        <f t="shared" si="143"/>
        <v>-2.2891972469872957E-2</v>
      </c>
      <c r="P731" s="18">
        <f>IF(SUMIFS('Daily NSE Equity Futures'!$J:$J,'Daily NSE Equity Futures'!$A:$A,$A731)=0,"",SUMIFS('Daily NSE Equity Futures'!$J:$J,'Daily NSE Equity Futures'!$A:$A,$A731))</f>
        <v>1024834</v>
      </c>
      <c r="Q731" s="7">
        <f>IF(SUMIFS('Daily BSE Equity Futures'!$J:$J,'Daily BSE Equity Futures'!$A:$A,$A731)=0,"",SUMIFS('Daily BSE Equity Futures'!$J:$J,'Daily BSE Equity Futures'!$A:$A,$A731))</f>
        <v>1</v>
      </c>
      <c r="R731" s="7">
        <f t="shared" si="138"/>
        <v>1024835</v>
      </c>
      <c r="S731" s="19">
        <f t="shared" si="139"/>
        <v>0.99999902423316922</v>
      </c>
      <c r="T731" s="19">
        <f t="shared" si="140"/>
        <v>9.7576683075812201E-7</v>
      </c>
    </row>
    <row r="732" spans="1:20" x14ac:dyDescent="0.2">
      <c r="A732" s="9">
        <v>44994</v>
      </c>
      <c r="B732" s="4" t="s">
        <v>224</v>
      </c>
      <c r="C732" s="8">
        <v>44986</v>
      </c>
      <c r="D732" s="4" t="s">
        <v>184</v>
      </c>
      <c r="E732" s="14">
        <f>IF(SUMIFS('Daily NSE Equity Futures'!$I:$I,'Daily NSE Equity Futures'!$A:$A,$A732)=0,"",SUMIFS('Daily NSE Equity Futures'!$I:$I,'Daily NSE Equity Futures'!$A:$A,$A732))</f>
        <v>708.28409999999997</v>
      </c>
      <c r="F732" s="6">
        <f>IF(SUMIFS('Daily BSE Equity Futures'!$I:$I,'Daily BSE Equity Futures'!$A:$A,$A732)=0,"",SUMIFS('Daily BSE Equity Futures'!$I:$I,'Daily BSE Equity Futures'!$A:$A,$A732))</f>
        <v>1.9E-3</v>
      </c>
      <c r="G732" s="6">
        <f t="shared" si="132"/>
        <v>708.28599999999994</v>
      </c>
      <c r="H732" s="15">
        <f t="shared" si="133"/>
        <v>0.99999731746780263</v>
      </c>
      <c r="I732" s="15">
        <f t="shared" si="134"/>
        <v>2.6825321974456646E-6</v>
      </c>
      <c r="J732" s="20">
        <f t="shared" si="135"/>
        <v>-0.40340805429841398</v>
      </c>
      <c r="K732" s="15">
        <f t="shared" si="136"/>
        <v>-0.44117647058823528</v>
      </c>
      <c r="L732" s="15">
        <f t="shared" si="137"/>
        <v>-0.40340816246082034</v>
      </c>
      <c r="M732" s="15">
        <f t="shared" si="141"/>
        <v>-9.450577800869131E-2</v>
      </c>
      <c r="N732" s="15">
        <f t="shared" si="142"/>
        <v>1.1111111111111112</v>
      </c>
      <c r="O732" s="15">
        <f t="shared" si="143"/>
        <v>-9.4504390839215247E-2</v>
      </c>
      <c r="P732" s="18">
        <f>IF(SUMIFS('Daily NSE Equity Futures'!$J:$J,'Daily NSE Equity Futures'!$A:$A,$A732)=0,"",SUMIFS('Daily NSE Equity Futures'!$J:$J,'Daily NSE Equity Futures'!$A:$A,$A732))</f>
        <v>937074</v>
      </c>
      <c r="Q732" s="7">
        <f>IF(SUMIFS('Daily BSE Equity Futures'!$J:$J,'Daily BSE Equity Futures'!$A:$A,$A732)=0,"",SUMIFS('Daily BSE Equity Futures'!$J:$J,'Daily BSE Equity Futures'!$A:$A,$A732))</f>
        <v>2</v>
      </c>
      <c r="R732" s="7">
        <f t="shared" si="138"/>
        <v>937076</v>
      </c>
      <c r="S732" s="19">
        <f t="shared" si="139"/>
        <v>0.99999786570139459</v>
      </c>
      <c r="T732" s="19">
        <f t="shared" si="140"/>
        <v>2.1342986054492912E-6</v>
      </c>
    </row>
    <row r="733" spans="1:20" x14ac:dyDescent="0.2">
      <c r="A733" s="9">
        <v>44995</v>
      </c>
      <c r="B733" s="4" t="s">
        <v>222</v>
      </c>
      <c r="C733" s="8">
        <v>44986</v>
      </c>
      <c r="D733" s="4" t="s">
        <v>184</v>
      </c>
      <c r="E733" s="14">
        <f>IF(SUMIFS('Daily NSE Equity Futures'!$I:$I,'Daily NSE Equity Futures'!$A:$A,$A733)=0,"",SUMIFS('Daily NSE Equity Futures'!$I:$I,'Daily NSE Equity Futures'!$A:$A,$A733))</f>
        <v>846.09559999999999</v>
      </c>
      <c r="F733" s="6">
        <f>IF(SUMIFS('Daily BSE Equity Futures'!$I:$I,'Daily BSE Equity Futures'!$A:$A,$A733)=0,"",SUMIFS('Daily BSE Equity Futures'!$I:$I,'Daily BSE Equity Futures'!$A:$A,$A733))</f>
        <v>8.9999999999999998E-4</v>
      </c>
      <c r="G733" s="6">
        <f t="shared" si="132"/>
        <v>846.09649999999999</v>
      </c>
      <c r="H733" s="15">
        <f t="shared" si="133"/>
        <v>0.9999989362915459</v>
      </c>
      <c r="I733" s="15">
        <f t="shared" si="134"/>
        <v>1.0637084540593182E-6</v>
      </c>
      <c r="J733" s="20">
        <f t="shared" si="135"/>
        <v>-0.40332823422319997</v>
      </c>
      <c r="K733" s="15">
        <f t="shared" si="136"/>
        <v>-0.47058823529411764</v>
      </c>
      <c r="L733" s="15">
        <f t="shared" si="137"/>
        <v>-0.40332831485777887</v>
      </c>
      <c r="M733" s="15">
        <f t="shared" si="141"/>
        <v>0.19457093558926419</v>
      </c>
      <c r="N733" s="15">
        <f t="shared" si="142"/>
        <v>-0.52631578947368429</v>
      </c>
      <c r="O733" s="15">
        <f t="shared" si="143"/>
        <v>0.19456900178741354</v>
      </c>
      <c r="P733" s="18">
        <f>IF(SUMIFS('Daily NSE Equity Futures'!$J:$J,'Daily NSE Equity Futures'!$A:$A,$A733)=0,"",SUMIFS('Daily NSE Equity Futures'!$J:$J,'Daily NSE Equity Futures'!$A:$A,$A733))</f>
        <v>1097669</v>
      </c>
      <c r="Q733" s="7">
        <f>IF(SUMIFS('Daily BSE Equity Futures'!$J:$J,'Daily BSE Equity Futures'!$A:$A,$A733)=0,"",SUMIFS('Daily BSE Equity Futures'!$J:$J,'Daily BSE Equity Futures'!$A:$A,$A733))</f>
        <v>1</v>
      </c>
      <c r="R733" s="7">
        <f t="shared" si="138"/>
        <v>1097670</v>
      </c>
      <c r="S733" s="19">
        <f t="shared" si="139"/>
        <v>0.99999908897938361</v>
      </c>
      <c r="T733" s="19">
        <f t="shared" si="140"/>
        <v>9.1102061639654903E-7</v>
      </c>
    </row>
    <row r="734" spans="1:20" x14ac:dyDescent="0.2">
      <c r="A734" s="9">
        <v>44998</v>
      </c>
      <c r="B734" s="4" t="s">
        <v>225</v>
      </c>
      <c r="C734" s="8">
        <v>44986</v>
      </c>
      <c r="D734" s="4" t="s">
        <v>184</v>
      </c>
      <c r="E734" s="14">
        <f>IF(SUMIFS('Daily NSE Equity Futures'!$I:$I,'Daily NSE Equity Futures'!$A:$A,$A734)=0,"",SUMIFS('Daily NSE Equity Futures'!$I:$I,'Daily NSE Equity Futures'!$A:$A,$A734))</f>
        <v>1151.8615</v>
      </c>
      <c r="F734" s="6">
        <f>IF(SUMIFS('Daily BSE Equity Futures'!$I:$I,'Daily BSE Equity Futures'!$A:$A,$A734)=0,"",SUMIFS('Daily BSE Equity Futures'!$I:$I,'Daily BSE Equity Futures'!$A:$A,$A734))</f>
        <v>4.5999999999999999E-3</v>
      </c>
      <c r="G734" s="6">
        <f t="shared" si="132"/>
        <v>1151.8661</v>
      </c>
      <c r="H734" s="15">
        <f t="shared" si="133"/>
        <v>0.9999960064802671</v>
      </c>
      <c r="I734" s="15">
        <f t="shared" si="134"/>
        <v>3.9935197328925643E-6</v>
      </c>
      <c r="J734" s="20" t="str">
        <f t="shared" si="135"/>
        <v/>
      </c>
      <c r="K734" s="15" t="str">
        <f t="shared" si="136"/>
        <v/>
      </c>
      <c r="L734" s="15" t="str">
        <f t="shared" si="137"/>
        <v/>
      </c>
      <c r="M734" s="15">
        <f t="shared" si="141"/>
        <v>0.36138457640011357</v>
      </c>
      <c r="N734" s="15">
        <f t="shared" si="142"/>
        <v>4.1111111111111116</v>
      </c>
      <c r="O734" s="15">
        <f t="shared" si="143"/>
        <v>0.36138856501592898</v>
      </c>
      <c r="P734" s="18">
        <f>IF(SUMIFS('Daily NSE Equity Futures'!$J:$J,'Daily NSE Equity Futures'!$A:$A,$A734)=0,"",SUMIFS('Daily NSE Equity Futures'!$J:$J,'Daily NSE Equity Futures'!$A:$A,$A734))</f>
        <v>1486116</v>
      </c>
      <c r="Q734" s="7">
        <f>IF(SUMIFS('Daily BSE Equity Futures'!$J:$J,'Daily BSE Equity Futures'!$A:$A,$A734)=0,"",SUMIFS('Daily BSE Equity Futures'!$J:$J,'Daily BSE Equity Futures'!$A:$A,$A734))</f>
        <v>5</v>
      </c>
      <c r="R734" s="7">
        <f t="shared" si="138"/>
        <v>1486121</v>
      </c>
      <c r="S734" s="19">
        <f t="shared" si="139"/>
        <v>0.9999966355364065</v>
      </c>
      <c r="T734" s="19">
        <f t="shared" si="140"/>
        <v>3.3644635934759013E-6</v>
      </c>
    </row>
    <row r="735" spans="1:20" x14ac:dyDescent="0.2">
      <c r="A735" s="9">
        <v>44999</v>
      </c>
      <c r="B735" s="4" t="s">
        <v>223</v>
      </c>
      <c r="C735" s="8">
        <v>44986</v>
      </c>
      <c r="D735" s="4" t="s">
        <v>184</v>
      </c>
      <c r="E735" s="14">
        <f>IF(SUMIFS('Daily NSE Equity Futures'!$I:$I,'Daily NSE Equity Futures'!$A:$A,$A735)=0,"",SUMIFS('Daily NSE Equity Futures'!$I:$I,'Daily NSE Equity Futures'!$A:$A,$A735))</f>
        <v>1048.1704</v>
      </c>
      <c r="F735" s="6">
        <f>IF(SUMIFS('Daily BSE Equity Futures'!$I:$I,'Daily BSE Equity Futures'!$A:$A,$A735)=0,"",SUMIFS('Daily BSE Equity Futures'!$I:$I,'Daily BSE Equity Futures'!$A:$A,$A735))</f>
        <v>4.4999999999999997E-3</v>
      </c>
      <c r="G735" s="6">
        <f t="shared" si="132"/>
        <v>1048.1749</v>
      </c>
      <c r="H735" s="15">
        <f t="shared" si="133"/>
        <v>0.99999570682335548</v>
      </c>
      <c r="I735" s="15">
        <f t="shared" si="134"/>
        <v>4.2931766444703068E-6</v>
      </c>
      <c r="J735" s="20">
        <f t="shared" si="135"/>
        <v>8.3660386007793797E-2</v>
      </c>
      <c r="K735" s="15">
        <f t="shared" si="136"/>
        <v>0.73076923076923062</v>
      </c>
      <c r="L735" s="15">
        <f t="shared" si="137"/>
        <v>8.3662125453281222E-2</v>
      </c>
      <c r="M735" s="15">
        <f t="shared" si="141"/>
        <v>-9.0020458188766583E-2</v>
      </c>
      <c r="N735" s="15">
        <f t="shared" si="142"/>
        <v>-2.1739130434782705E-2</v>
      </c>
      <c r="O735" s="15">
        <f t="shared" si="143"/>
        <v>-9.0020185505936823E-2</v>
      </c>
      <c r="P735" s="18">
        <f>IF(SUMIFS('Daily NSE Equity Futures'!$J:$J,'Daily NSE Equity Futures'!$A:$A,$A735)=0,"",SUMIFS('Daily NSE Equity Futures'!$J:$J,'Daily NSE Equity Futures'!$A:$A,$A735))</f>
        <v>1394233</v>
      </c>
      <c r="Q735" s="7">
        <f>IF(SUMIFS('Daily BSE Equity Futures'!$J:$J,'Daily BSE Equity Futures'!$A:$A,$A735)=0,"",SUMIFS('Daily BSE Equity Futures'!$J:$J,'Daily BSE Equity Futures'!$A:$A,$A735))</f>
        <v>5</v>
      </c>
      <c r="R735" s="7">
        <f t="shared" si="138"/>
        <v>1394238</v>
      </c>
      <c r="S735" s="19">
        <f t="shared" si="139"/>
        <v>0.99999641381170212</v>
      </c>
      <c r="T735" s="19">
        <f t="shared" si="140"/>
        <v>3.5861882978372415E-6</v>
      </c>
    </row>
    <row r="736" spans="1:20" x14ac:dyDescent="0.2">
      <c r="A736" s="9">
        <v>45000</v>
      </c>
      <c r="B736" s="4" t="s">
        <v>221</v>
      </c>
      <c r="C736" s="8">
        <v>44986</v>
      </c>
      <c r="D736" s="4" t="s">
        <v>184</v>
      </c>
      <c r="E736" s="14">
        <f>IF(SUMIFS('Daily NSE Equity Futures'!$I:$I,'Daily NSE Equity Futures'!$A:$A,$A736)=0,"",SUMIFS('Daily NSE Equity Futures'!$I:$I,'Daily NSE Equity Futures'!$A:$A,$A736))</f>
        <v>863.81029999999998</v>
      </c>
      <c r="F736" s="6">
        <f>IF(SUMIFS('Daily BSE Equity Futures'!$I:$I,'Daily BSE Equity Futures'!$A:$A,$A736)=0,"",SUMIFS('Daily BSE Equity Futures'!$I:$I,'Daily BSE Equity Futures'!$A:$A,$A736))</f>
        <v>1.8E-3</v>
      </c>
      <c r="G736" s="6">
        <f t="shared" si="132"/>
        <v>863.81209999999999</v>
      </c>
      <c r="H736" s="15">
        <f t="shared" si="133"/>
        <v>0.99999791621349132</v>
      </c>
      <c r="I736" s="15">
        <f t="shared" si="134"/>
        <v>2.0837865086631688E-6</v>
      </c>
      <c r="J736" s="20">
        <f t="shared" si="135"/>
        <v>-0.25383944609598486</v>
      </c>
      <c r="K736" s="15">
        <f t="shared" si="136"/>
        <v>-0.30769230769230771</v>
      </c>
      <c r="L736" s="15">
        <f t="shared" si="137"/>
        <v>-0.25383956704297528</v>
      </c>
      <c r="M736" s="15">
        <f t="shared" si="141"/>
        <v>-0.17588752744782721</v>
      </c>
      <c r="N736" s="15">
        <f t="shared" si="142"/>
        <v>-0.6</v>
      </c>
      <c r="O736" s="15">
        <f t="shared" si="143"/>
        <v>-0.17588934823758895</v>
      </c>
      <c r="P736" s="18">
        <f>IF(SUMIFS('Daily NSE Equity Futures'!$J:$J,'Daily NSE Equity Futures'!$A:$A,$A736)=0,"",SUMIFS('Daily NSE Equity Futures'!$J:$J,'Daily NSE Equity Futures'!$A:$A,$A736))</f>
        <v>1155487</v>
      </c>
      <c r="Q736" s="7">
        <f>IF(SUMIFS('Daily BSE Equity Futures'!$J:$J,'Daily BSE Equity Futures'!$A:$A,$A736)=0,"",SUMIFS('Daily BSE Equity Futures'!$J:$J,'Daily BSE Equity Futures'!$A:$A,$A736))</f>
        <v>2</v>
      </c>
      <c r="R736" s="7">
        <f t="shared" si="138"/>
        <v>1155489</v>
      </c>
      <c r="S736" s="19">
        <f t="shared" si="139"/>
        <v>0.99999826913107781</v>
      </c>
      <c r="T736" s="19">
        <f t="shared" si="140"/>
        <v>1.7308689221619592E-6</v>
      </c>
    </row>
    <row r="737" spans="1:20" x14ac:dyDescent="0.2">
      <c r="A737" s="9">
        <v>45001</v>
      </c>
      <c r="B737" s="4" t="s">
        <v>224</v>
      </c>
      <c r="C737" s="8">
        <v>44986</v>
      </c>
      <c r="D737" s="4" t="s">
        <v>184</v>
      </c>
      <c r="E737" s="14">
        <f>IF(SUMIFS('Daily NSE Equity Futures'!$I:$I,'Daily NSE Equity Futures'!$A:$A,$A737)=0,"",SUMIFS('Daily NSE Equity Futures'!$I:$I,'Daily NSE Equity Futures'!$A:$A,$A737))</f>
        <v>1141.1043</v>
      </c>
      <c r="F737" s="6">
        <f>IF(SUMIFS('Daily BSE Equity Futures'!$I:$I,'Daily BSE Equity Futures'!$A:$A,$A737)=0,"",SUMIFS('Daily BSE Equity Futures'!$I:$I,'Daily BSE Equity Futures'!$A:$A,$A737))</f>
        <v>3.5999999999999999E-3</v>
      </c>
      <c r="G737" s="6">
        <f t="shared" si="132"/>
        <v>1141.1079</v>
      </c>
      <c r="H737" s="15">
        <f t="shared" si="133"/>
        <v>0.99999684517125853</v>
      </c>
      <c r="I737" s="15">
        <f t="shared" si="134"/>
        <v>3.1548287414362832E-6</v>
      </c>
      <c r="J737" s="20">
        <f t="shared" si="135"/>
        <v>0.23545246936363329</v>
      </c>
      <c r="K737" s="15">
        <f t="shared" si="136"/>
        <v>3</v>
      </c>
      <c r="L737" s="15">
        <f t="shared" si="137"/>
        <v>0.23545516317292914</v>
      </c>
      <c r="M737" s="15">
        <f t="shared" si="141"/>
        <v>0.3210126112179954</v>
      </c>
      <c r="N737" s="15">
        <f t="shared" si="142"/>
        <v>1</v>
      </c>
      <c r="O737" s="15">
        <f t="shared" si="143"/>
        <v>0.32101402608275564</v>
      </c>
      <c r="P737" s="18">
        <f>IF(SUMIFS('Daily NSE Equity Futures'!$J:$J,'Daily NSE Equity Futures'!$A:$A,$A737)=0,"",SUMIFS('Daily NSE Equity Futures'!$J:$J,'Daily NSE Equity Futures'!$A:$A,$A737))</f>
        <v>1518793</v>
      </c>
      <c r="Q737" s="7">
        <f>IF(SUMIFS('Daily BSE Equity Futures'!$J:$J,'Daily BSE Equity Futures'!$A:$A,$A737)=0,"",SUMIFS('Daily BSE Equity Futures'!$J:$J,'Daily BSE Equity Futures'!$A:$A,$A737))</f>
        <v>4</v>
      </c>
      <c r="R737" s="7">
        <f t="shared" si="138"/>
        <v>1518797</v>
      </c>
      <c r="S737" s="19">
        <f t="shared" si="139"/>
        <v>0.99999736633664671</v>
      </c>
      <c r="T737" s="19">
        <f t="shared" si="140"/>
        <v>2.6336633532986962E-6</v>
      </c>
    </row>
    <row r="738" spans="1:20" x14ac:dyDescent="0.2">
      <c r="A738" s="9">
        <v>45002</v>
      </c>
      <c r="B738" s="4" t="s">
        <v>222</v>
      </c>
      <c r="C738" s="8">
        <v>44986</v>
      </c>
      <c r="D738" s="4" t="s">
        <v>184</v>
      </c>
      <c r="E738" s="14">
        <f>IF(SUMIFS('Daily NSE Equity Futures'!$I:$I,'Daily NSE Equity Futures'!$A:$A,$A738)=0,"",SUMIFS('Daily NSE Equity Futures'!$I:$I,'Daily NSE Equity Futures'!$A:$A,$A738))</f>
        <v>1068.1243999999999</v>
      </c>
      <c r="F738" s="6">
        <f>IF(SUMIFS('Daily BSE Equity Futures'!$I:$I,'Daily BSE Equity Futures'!$A:$A,$A738)=0,"",SUMIFS('Daily BSE Equity Futures'!$I:$I,'Daily BSE Equity Futures'!$A:$A,$A738))</f>
        <v>2.7000000000000001E-3</v>
      </c>
      <c r="G738" s="6">
        <f t="shared" si="132"/>
        <v>1068.1270999999999</v>
      </c>
      <c r="H738" s="15">
        <f t="shared" si="133"/>
        <v>0.99999747221093815</v>
      </c>
      <c r="I738" s="15">
        <f t="shared" si="134"/>
        <v>2.527789061807345E-6</v>
      </c>
      <c r="J738" s="20">
        <f t="shared" si="135"/>
        <v>-0.12084532564771677</v>
      </c>
      <c r="K738" s="15">
        <f t="shared" si="136"/>
        <v>0.50000000000000022</v>
      </c>
      <c r="L738" s="15">
        <f t="shared" si="137"/>
        <v>-0.12084440583643763</v>
      </c>
      <c r="M738" s="15">
        <f t="shared" si="141"/>
        <v>-6.3955503453978824E-2</v>
      </c>
      <c r="N738" s="15">
        <f t="shared" si="142"/>
        <v>-0.24999999999999989</v>
      </c>
      <c r="O738" s="15">
        <f t="shared" si="143"/>
        <v>-6.3956090392503717E-2</v>
      </c>
      <c r="P738" s="18">
        <f>IF(SUMIFS('Daily NSE Equity Futures'!$J:$J,'Daily NSE Equity Futures'!$A:$A,$A738)=0,"",SUMIFS('Daily NSE Equity Futures'!$J:$J,'Daily NSE Equity Futures'!$A:$A,$A738))</f>
        <v>1423172</v>
      </c>
      <c r="Q738" s="7">
        <f>IF(SUMIFS('Daily BSE Equity Futures'!$J:$J,'Daily BSE Equity Futures'!$A:$A,$A738)=0,"",SUMIFS('Daily BSE Equity Futures'!$J:$J,'Daily BSE Equity Futures'!$A:$A,$A738))</f>
        <v>3</v>
      </c>
      <c r="R738" s="7">
        <f t="shared" si="138"/>
        <v>1423175</v>
      </c>
      <c r="S738" s="19">
        <f t="shared" si="139"/>
        <v>0.99999789203717038</v>
      </c>
      <c r="T738" s="19">
        <f t="shared" si="140"/>
        <v>2.1079628295887715E-6</v>
      </c>
    </row>
    <row r="739" spans="1:20" x14ac:dyDescent="0.2">
      <c r="A739" s="9">
        <v>45005</v>
      </c>
      <c r="B739" s="4" t="s">
        <v>225</v>
      </c>
      <c r="C739" s="8">
        <v>44986</v>
      </c>
      <c r="D739" s="4" t="s">
        <v>184</v>
      </c>
      <c r="E739" s="14">
        <f>IF(SUMIFS('Daily NSE Equity Futures'!$I:$I,'Daily NSE Equity Futures'!$A:$A,$A739)=0,"",SUMIFS('Daily NSE Equity Futures'!$I:$I,'Daily NSE Equity Futures'!$A:$A,$A739))</f>
        <v>1011.8315</v>
      </c>
      <c r="F739" s="6">
        <f>IF(SUMIFS('Daily BSE Equity Futures'!$I:$I,'Daily BSE Equity Futures'!$A:$A,$A739)=0,"",SUMIFS('Daily BSE Equity Futures'!$I:$I,'Daily BSE Equity Futures'!$A:$A,$A739))</f>
        <v>2.7000000000000001E-3</v>
      </c>
      <c r="G739" s="6">
        <f t="shared" si="132"/>
        <v>1011.8342</v>
      </c>
      <c r="H739" s="15">
        <f t="shared" si="133"/>
        <v>0.99999733157863213</v>
      </c>
      <c r="I739" s="15">
        <f t="shared" si="134"/>
        <v>2.6684213678486061E-6</v>
      </c>
      <c r="J739" s="20" t="str">
        <f t="shared" si="135"/>
        <v/>
      </c>
      <c r="K739" s="15" t="str">
        <f t="shared" si="136"/>
        <v/>
      </c>
      <c r="L739" s="15" t="str">
        <f t="shared" si="137"/>
        <v/>
      </c>
      <c r="M739" s="15">
        <f t="shared" si="141"/>
        <v>-5.2702569101501617E-2</v>
      </c>
      <c r="N739" s="15">
        <f t="shared" si="142"/>
        <v>0</v>
      </c>
      <c r="O739" s="15">
        <f t="shared" si="143"/>
        <v>-5.2702435880523923E-2</v>
      </c>
      <c r="P739" s="18">
        <f>IF(SUMIFS('Daily NSE Equity Futures'!$J:$J,'Daily NSE Equity Futures'!$A:$A,$A739)=0,"",SUMIFS('Daily NSE Equity Futures'!$J:$J,'Daily NSE Equity Futures'!$A:$A,$A739))</f>
        <v>1360034</v>
      </c>
      <c r="Q739" s="7">
        <f>IF(SUMIFS('Daily BSE Equity Futures'!$J:$J,'Daily BSE Equity Futures'!$A:$A,$A739)=0,"",SUMIFS('Daily BSE Equity Futures'!$J:$J,'Daily BSE Equity Futures'!$A:$A,$A739))</f>
        <v>3</v>
      </c>
      <c r="R739" s="7">
        <f t="shared" si="138"/>
        <v>1360037</v>
      </c>
      <c r="S739" s="19">
        <f t="shared" si="139"/>
        <v>0.99999779417765844</v>
      </c>
      <c r="T739" s="19">
        <f t="shared" si="140"/>
        <v>2.2058223415980596E-6</v>
      </c>
    </row>
    <row r="740" spans="1:20" x14ac:dyDescent="0.2">
      <c r="A740" s="9">
        <v>45006</v>
      </c>
      <c r="B740" s="4" t="s">
        <v>223</v>
      </c>
      <c r="C740" s="8">
        <v>44986</v>
      </c>
      <c r="D740" s="4" t="s">
        <v>184</v>
      </c>
      <c r="E740" s="14">
        <f>IF(SUMIFS('Daily NSE Equity Futures'!$I:$I,'Daily NSE Equity Futures'!$A:$A,$A740)=0,"",SUMIFS('Daily NSE Equity Futures'!$I:$I,'Daily NSE Equity Futures'!$A:$A,$A740))</f>
        <v>832.61869999999999</v>
      </c>
      <c r="F740" s="6">
        <f>IF(SUMIFS('Daily BSE Equity Futures'!$I:$I,'Daily BSE Equity Futures'!$A:$A,$A740)=0,"",SUMIFS('Daily BSE Equity Futures'!$I:$I,'Daily BSE Equity Futures'!$A:$A,$A740))</f>
        <v>1.8E-3</v>
      </c>
      <c r="G740" s="6">
        <f t="shared" si="132"/>
        <v>832.62049999999999</v>
      </c>
      <c r="H740" s="15">
        <f t="shared" si="133"/>
        <v>0.99999783815075416</v>
      </c>
      <c r="I740" s="15">
        <f t="shared" si="134"/>
        <v>2.1618492458448955E-6</v>
      </c>
      <c r="J740" s="20">
        <f t="shared" si="135"/>
        <v>-0.14022389611709218</v>
      </c>
      <c r="K740" s="15" t="str">
        <f t="shared" si="136"/>
        <v/>
      </c>
      <c r="L740" s="15" t="str">
        <f t="shared" si="137"/>
        <v/>
      </c>
      <c r="M740" s="15">
        <f t="shared" si="141"/>
        <v>-0.17711723740563523</v>
      </c>
      <c r="N740" s="15">
        <f t="shared" si="142"/>
        <v>-0.33333333333333337</v>
      </c>
      <c r="O740" s="15">
        <f t="shared" si="143"/>
        <v>-0.17711765425600356</v>
      </c>
      <c r="P740" s="18">
        <f>IF(SUMIFS('Daily NSE Equity Futures'!$J:$J,'Daily NSE Equity Futures'!$A:$A,$A740)=0,"",SUMIFS('Daily NSE Equity Futures'!$J:$J,'Daily NSE Equity Futures'!$A:$A,$A740))</f>
        <v>1119427</v>
      </c>
      <c r="Q740" s="7">
        <f>IF(SUMIFS('Daily BSE Equity Futures'!$J:$J,'Daily BSE Equity Futures'!$A:$A,$A740)=0,"",SUMIFS('Daily BSE Equity Futures'!$J:$J,'Daily BSE Equity Futures'!$A:$A,$A740))</f>
        <v>2</v>
      </c>
      <c r="R740" s="7">
        <f t="shared" si="138"/>
        <v>1119429</v>
      </c>
      <c r="S740" s="19">
        <f t="shared" si="139"/>
        <v>0.99999821337485451</v>
      </c>
      <c r="T740" s="19">
        <f t="shared" si="140"/>
        <v>1.7866251454982854E-6</v>
      </c>
    </row>
    <row r="741" spans="1:20" x14ac:dyDescent="0.2">
      <c r="A741" s="9">
        <v>45007</v>
      </c>
      <c r="B741" s="4" t="s">
        <v>221</v>
      </c>
      <c r="C741" s="8">
        <v>44986</v>
      </c>
      <c r="D741" s="4" t="s">
        <v>184</v>
      </c>
      <c r="E741" s="14">
        <f>IF(SUMIFS('Daily NSE Equity Futures'!$I:$I,'Daily NSE Equity Futures'!$A:$A,$A741)=0,"",SUMIFS('Daily NSE Equity Futures'!$I:$I,'Daily NSE Equity Futures'!$A:$A,$A741))</f>
        <v>813.69799999999998</v>
      </c>
      <c r="F741" s="6">
        <f>IF(SUMIFS('Daily BSE Equity Futures'!$I:$I,'Daily BSE Equity Futures'!$A:$A,$A741)=0,"",SUMIFS('Daily BSE Equity Futures'!$I:$I,'Daily BSE Equity Futures'!$A:$A,$A741))</f>
        <v>8.9999999999999998E-4</v>
      </c>
      <c r="G741" s="6">
        <f t="shared" si="132"/>
        <v>813.69889999999998</v>
      </c>
      <c r="H741" s="15">
        <f t="shared" si="133"/>
        <v>0.99999889393976071</v>
      </c>
      <c r="I741" s="15">
        <f t="shared" si="134"/>
        <v>1.1060602392359139E-6</v>
      </c>
      <c r="J741" s="20">
        <f t="shared" si="135"/>
        <v>-0.33149478199873772</v>
      </c>
      <c r="K741" s="15">
        <f t="shared" si="136"/>
        <v>-0.66666666666666674</v>
      </c>
      <c r="L741" s="15">
        <f t="shared" si="137"/>
        <v>-0.33149552548326566</v>
      </c>
      <c r="M741" s="15">
        <f t="shared" si="141"/>
        <v>-2.2724327474268891E-2</v>
      </c>
      <c r="N741" s="15">
        <f t="shared" si="142"/>
        <v>-0.5</v>
      </c>
      <c r="O741" s="15">
        <f t="shared" si="143"/>
        <v>-2.2725359272321555E-2</v>
      </c>
      <c r="P741" s="18">
        <f>IF(SUMIFS('Daily NSE Equity Futures'!$J:$J,'Daily NSE Equity Futures'!$A:$A,$A741)=0,"",SUMIFS('Daily NSE Equity Futures'!$J:$J,'Daily NSE Equity Futures'!$A:$A,$A741))</f>
        <v>1104680</v>
      </c>
      <c r="Q741" s="7">
        <f>IF(SUMIFS('Daily BSE Equity Futures'!$J:$J,'Daily BSE Equity Futures'!$A:$A,$A741)=0,"",SUMIFS('Daily BSE Equity Futures'!$J:$J,'Daily BSE Equity Futures'!$A:$A,$A741))</f>
        <v>1</v>
      </c>
      <c r="R741" s="7">
        <f t="shared" si="138"/>
        <v>1104681</v>
      </c>
      <c r="S741" s="19">
        <f t="shared" si="139"/>
        <v>0.99999909476129312</v>
      </c>
      <c r="T741" s="19">
        <f t="shared" si="140"/>
        <v>9.0523870692082152E-7</v>
      </c>
    </row>
    <row r="742" spans="1:20" x14ac:dyDescent="0.2">
      <c r="A742" s="9">
        <v>45008</v>
      </c>
      <c r="B742" s="4" t="s">
        <v>224</v>
      </c>
      <c r="C742" s="8">
        <v>44986</v>
      </c>
      <c r="D742" s="4" t="s">
        <v>184</v>
      </c>
      <c r="E742" s="14">
        <f>IF(SUMIFS('Daily NSE Equity Futures'!$I:$I,'Daily NSE Equity Futures'!$A:$A,$A742)=0,"",SUMIFS('Daily NSE Equity Futures'!$I:$I,'Daily NSE Equity Futures'!$A:$A,$A742))</f>
        <v>1074.7706000000001</v>
      </c>
      <c r="F742" s="6">
        <f>IF(SUMIFS('Daily BSE Equity Futures'!$I:$I,'Daily BSE Equity Futures'!$A:$A,$A742)=0,"",SUMIFS('Daily BSE Equity Futures'!$I:$I,'Daily BSE Equity Futures'!$A:$A,$A742))</f>
        <v>1.8E-3</v>
      </c>
      <c r="G742" s="6">
        <f t="shared" si="132"/>
        <v>1074.7724000000001</v>
      </c>
      <c r="H742" s="15">
        <f t="shared" si="133"/>
        <v>0.99999832522681076</v>
      </c>
      <c r="I742" s="15">
        <f t="shared" si="134"/>
        <v>1.6747731891887063E-6</v>
      </c>
      <c r="J742" s="20">
        <f t="shared" si="135"/>
        <v>-0.10843348108015549</v>
      </c>
      <c r="K742" s="15">
        <f t="shared" si="136"/>
        <v>-0.5</v>
      </c>
      <c r="L742" s="15">
        <f t="shared" si="137"/>
        <v>-0.1084346504307131</v>
      </c>
      <c r="M742" s="15">
        <f t="shared" si="141"/>
        <v>0.32084704644720774</v>
      </c>
      <c r="N742" s="15">
        <f t="shared" si="142"/>
        <v>1</v>
      </c>
      <c r="O742" s="15">
        <f t="shared" si="143"/>
        <v>0.32084779763128601</v>
      </c>
      <c r="P742" s="18">
        <f>IF(SUMIFS('Daily NSE Equity Futures'!$J:$J,'Daily NSE Equity Futures'!$A:$A,$A742)=0,"",SUMIFS('Daily NSE Equity Futures'!$J:$J,'Daily NSE Equity Futures'!$A:$A,$A742))</f>
        <v>1459901</v>
      </c>
      <c r="Q742" s="7">
        <f>IF(SUMIFS('Daily BSE Equity Futures'!$J:$J,'Daily BSE Equity Futures'!$A:$A,$A742)=0,"",SUMIFS('Daily BSE Equity Futures'!$J:$J,'Daily BSE Equity Futures'!$A:$A,$A742))</f>
        <v>2</v>
      </c>
      <c r="R742" s="7">
        <f t="shared" si="138"/>
        <v>1459903</v>
      </c>
      <c r="S742" s="19">
        <f t="shared" si="139"/>
        <v>0.99999863004596878</v>
      </c>
      <c r="T742" s="19">
        <f t="shared" si="140"/>
        <v>1.3699540311924834E-6</v>
      </c>
    </row>
    <row r="743" spans="1:20" x14ac:dyDescent="0.2">
      <c r="A743" s="9">
        <v>45009</v>
      </c>
      <c r="B743" s="4" t="s">
        <v>222</v>
      </c>
      <c r="C743" s="8">
        <v>44986</v>
      </c>
      <c r="D743" s="4" t="s">
        <v>184</v>
      </c>
      <c r="E743" s="14">
        <f>IF(SUMIFS('Daily NSE Equity Futures'!$I:$I,'Daily NSE Equity Futures'!$A:$A,$A743)=0,"",SUMIFS('Daily NSE Equity Futures'!$I:$I,'Daily NSE Equity Futures'!$A:$A,$A743))</f>
        <v>1483.797</v>
      </c>
      <c r="F743" s="6">
        <f>IF(SUMIFS('Daily BSE Equity Futures'!$I:$I,'Daily BSE Equity Futures'!$A:$A,$A743)=0,"",SUMIFS('Daily BSE Equity Futures'!$I:$I,'Daily BSE Equity Futures'!$A:$A,$A743))</f>
        <v>1.8E-3</v>
      </c>
      <c r="G743" s="6">
        <f t="shared" si="132"/>
        <v>1483.7988</v>
      </c>
      <c r="H743" s="15">
        <f t="shared" si="133"/>
        <v>0.99999878689752275</v>
      </c>
      <c r="I743" s="15">
        <f t="shared" si="134"/>
        <v>1.2131024772361319E-6</v>
      </c>
      <c r="J743" s="20">
        <f t="shared" si="135"/>
        <v>0.26918450069233035</v>
      </c>
      <c r="K743" s="15">
        <f t="shared" si="136"/>
        <v>-0.33333333333333337</v>
      </c>
      <c r="L743" s="15">
        <f t="shared" si="137"/>
        <v>0.26918310919320243</v>
      </c>
      <c r="M743" s="15">
        <f t="shared" si="141"/>
        <v>0.38057088647568138</v>
      </c>
      <c r="N743" s="15">
        <f t="shared" si="142"/>
        <v>0</v>
      </c>
      <c r="O743" s="15">
        <f t="shared" si="143"/>
        <v>0.38057024910576409</v>
      </c>
      <c r="P743" s="18">
        <f>IF(SUMIFS('Daily NSE Equity Futures'!$J:$J,'Daily NSE Equity Futures'!$A:$A,$A743)=0,"",SUMIFS('Daily NSE Equity Futures'!$J:$J,'Daily NSE Equity Futures'!$A:$A,$A743))</f>
        <v>2123536</v>
      </c>
      <c r="Q743" s="7">
        <f>IF(SUMIFS('Daily BSE Equity Futures'!$J:$J,'Daily BSE Equity Futures'!$A:$A,$A743)=0,"",SUMIFS('Daily BSE Equity Futures'!$J:$J,'Daily BSE Equity Futures'!$A:$A,$A743))</f>
        <v>2</v>
      </c>
      <c r="R743" s="7">
        <f t="shared" si="138"/>
        <v>2123538</v>
      </c>
      <c r="S743" s="19">
        <f t="shared" si="139"/>
        <v>0.99999905817555423</v>
      </c>
      <c r="T743" s="19">
        <f t="shared" si="140"/>
        <v>9.4182444580695048E-7</v>
      </c>
    </row>
    <row r="744" spans="1:20" x14ac:dyDescent="0.2">
      <c r="A744" s="9">
        <v>45012</v>
      </c>
      <c r="B744" s="4" t="s">
        <v>225</v>
      </c>
      <c r="C744" s="8">
        <v>44986</v>
      </c>
      <c r="D744" s="4" t="s">
        <v>184</v>
      </c>
      <c r="E744" s="14">
        <f>IF(SUMIFS('Daily NSE Equity Futures'!$I:$I,'Daily NSE Equity Futures'!$A:$A,$A744)=0,"",SUMIFS('Daily NSE Equity Futures'!$I:$I,'Daily NSE Equity Futures'!$A:$A,$A744))</f>
        <v>2059.9983000000002</v>
      </c>
      <c r="F744" s="6">
        <f>IF(SUMIFS('Daily BSE Equity Futures'!$I:$I,'Daily BSE Equity Futures'!$A:$A,$A744)=0,"",SUMIFS('Daily BSE Equity Futures'!$I:$I,'Daily BSE Equity Futures'!$A:$A,$A744))</f>
        <v>1.8E-3</v>
      </c>
      <c r="G744" s="6">
        <f t="shared" si="132"/>
        <v>2060.0001000000002</v>
      </c>
      <c r="H744" s="15">
        <f t="shared" si="133"/>
        <v>0.99999912621363463</v>
      </c>
      <c r="I744" s="15">
        <f t="shared" si="134"/>
        <v>8.7378636535017632E-7</v>
      </c>
      <c r="J744" s="20" t="str">
        <f t="shared" si="135"/>
        <v/>
      </c>
      <c r="K744" s="15" t="str">
        <f t="shared" si="136"/>
        <v/>
      </c>
      <c r="L744" s="15" t="str">
        <f t="shared" si="137"/>
        <v/>
      </c>
      <c r="M744" s="15">
        <f t="shared" si="141"/>
        <v>0.38832892909205241</v>
      </c>
      <c r="N744" s="15">
        <f t="shared" si="142"/>
        <v>0</v>
      </c>
      <c r="O744" s="15">
        <f t="shared" si="143"/>
        <v>0.38832845800926652</v>
      </c>
      <c r="P744" s="18">
        <f>IF(SUMIFS('Daily NSE Equity Futures'!$J:$J,'Daily NSE Equity Futures'!$A:$A,$A744)=0,"",SUMIFS('Daily NSE Equity Futures'!$J:$J,'Daily NSE Equity Futures'!$A:$A,$A744))</f>
        <v>2979724</v>
      </c>
      <c r="Q744" s="7">
        <f>IF(SUMIFS('Daily BSE Equity Futures'!$J:$J,'Daily BSE Equity Futures'!$A:$A,$A744)=0,"",SUMIFS('Daily BSE Equity Futures'!$J:$J,'Daily BSE Equity Futures'!$A:$A,$A744))</f>
        <v>2</v>
      </c>
      <c r="R744" s="7">
        <f t="shared" si="138"/>
        <v>2979726</v>
      </c>
      <c r="S744" s="19">
        <f t="shared" si="139"/>
        <v>0.99999932879734577</v>
      </c>
      <c r="T744" s="19">
        <f t="shared" si="140"/>
        <v>6.7120265420377582E-7</v>
      </c>
    </row>
    <row r="745" spans="1:20" x14ac:dyDescent="0.2">
      <c r="A745" s="9">
        <v>45013</v>
      </c>
      <c r="B745" s="4" t="s">
        <v>223</v>
      </c>
      <c r="C745" s="8">
        <v>44986</v>
      </c>
      <c r="D745" s="4" t="s">
        <v>184</v>
      </c>
      <c r="E745" s="14">
        <f>IF(SUMIFS('Daily NSE Equity Futures'!$I:$I,'Daily NSE Equity Futures'!$A:$A,$A745)=0,"",SUMIFS('Daily NSE Equity Futures'!$I:$I,'Daily NSE Equity Futures'!$A:$A,$A745))</f>
        <v>1784.5148999999999</v>
      </c>
      <c r="F745" s="6">
        <f>IF(SUMIFS('Daily BSE Equity Futures'!$I:$I,'Daily BSE Equity Futures'!$A:$A,$A745)=0,"",SUMIFS('Daily BSE Equity Futures'!$I:$I,'Daily BSE Equity Futures'!$A:$A,$A745))</f>
        <v>3.5999999999999999E-3</v>
      </c>
      <c r="G745" s="6">
        <f t="shared" si="132"/>
        <v>1784.5184999999999</v>
      </c>
      <c r="H745" s="15">
        <f t="shared" si="133"/>
        <v>0.99999798264910111</v>
      </c>
      <c r="I745" s="15">
        <f t="shared" si="134"/>
        <v>2.0173508988559098E-6</v>
      </c>
      <c r="J745" s="20">
        <f t="shared" si="135"/>
        <v>-3.3022402101854254E-2</v>
      </c>
      <c r="K745" s="15">
        <f t="shared" si="136"/>
        <v>1</v>
      </c>
      <c r="L745" s="15">
        <f t="shared" si="137"/>
        <v>-3.3021394525294401E-2</v>
      </c>
      <c r="M745" s="15">
        <f t="shared" si="141"/>
        <v>-0.13372991618488239</v>
      </c>
      <c r="N745" s="15">
        <f t="shared" si="142"/>
        <v>1</v>
      </c>
      <c r="O745" s="15">
        <f t="shared" si="143"/>
        <v>-0.13372892554713967</v>
      </c>
      <c r="P745" s="18">
        <f>IF(SUMIFS('Daily NSE Equity Futures'!$J:$J,'Daily NSE Equity Futures'!$A:$A,$A745)=0,"",SUMIFS('Daily NSE Equity Futures'!$J:$J,'Daily NSE Equity Futures'!$A:$A,$A745))</f>
        <v>2663516</v>
      </c>
      <c r="Q745" s="7">
        <f>IF(SUMIFS('Daily BSE Equity Futures'!$J:$J,'Daily BSE Equity Futures'!$A:$A,$A745)=0,"",SUMIFS('Daily BSE Equity Futures'!$J:$J,'Daily BSE Equity Futures'!$A:$A,$A745))</f>
        <v>4</v>
      </c>
      <c r="R745" s="7">
        <f t="shared" si="138"/>
        <v>2663520</v>
      </c>
      <c r="S745" s="19">
        <f t="shared" si="139"/>
        <v>0.99999849822790898</v>
      </c>
      <c r="T745" s="19">
        <f t="shared" si="140"/>
        <v>1.5017720910674597E-6</v>
      </c>
    </row>
    <row r="746" spans="1:20" x14ac:dyDescent="0.2">
      <c r="A746" s="9">
        <v>45014</v>
      </c>
      <c r="B746" s="4" t="s">
        <v>221</v>
      </c>
      <c r="C746" s="8">
        <v>44986</v>
      </c>
      <c r="D746" s="4" t="s">
        <v>184</v>
      </c>
      <c r="E746" s="14">
        <f>IF(SUMIFS('Daily NSE Equity Futures'!$I:$I,'Daily NSE Equity Futures'!$A:$A,$A746)=0,"",SUMIFS('Daily NSE Equity Futures'!$I:$I,'Daily NSE Equity Futures'!$A:$A,$A746))</f>
        <v>2179.8411999999998</v>
      </c>
      <c r="F746" s="6">
        <f>IF(SUMIFS('Daily BSE Equity Futures'!$I:$I,'Daily BSE Equity Futures'!$A:$A,$A746)=0,"",SUMIFS('Daily BSE Equity Futures'!$I:$I,'Daily BSE Equity Futures'!$A:$A,$A746))</f>
        <v>1.8E-3</v>
      </c>
      <c r="G746" s="6">
        <f t="shared" si="132"/>
        <v>2179.8429999999998</v>
      </c>
      <c r="H746" s="15">
        <f t="shared" si="133"/>
        <v>0.99999917425245766</v>
      </c>
      <c r="I746" s="15">
        <f t="shared" si="134"/>
        <v>8.257475423688771E-7</v>
      </c>
      <c r="J746" s="20">
        <f t="shared" si="135"/>
        <v>0.13738682307118277</v>
      </c>
      <c r="K746" s="15">
        <f t="shared" si="136"/>
        <v>1</v>
      </c>
      <c r="L746" s="15">
        <f t="shared" si="137"/>
        <v>0.13738722815204829</v>
      </c>
      <c r="M746" s="15">
        <f t="shared" si="141"/>
        <v>0.22153152097525219</v>
      </c>
      <c r="N746" s="15">
        <f t="shared" si="142"/>
        <v>-0.5</v>
      </c>
      <c r="O746" s="15">
        <f t="shared" si="143"/>
        <v>0.22153006539298969</v>
      </c>
      <c r="P746" s="18">
        <f>IF(SUMIFS('Daily NSE Equity Futures'!$J:$J,'Daily NSE Equity Futures'!$A:$A,$A746)=0,"",SUMIFS('Daily NSE Equity Futures'!$J:$J,'Daily NSE Equity Futures'!$A:$A,$A746))</f>
        <v>3144932</v>
      </c>
      <c r="Q746" s="7">
        <f>IF(SUMIFS('Daily BSE Equity Futures'!$J:$J,'Daily BSE Equity Futures'!$A:$A,$A746)=0,"",SUMIFS('Daily BSE Equity Futures'!$J:$J,'Daily BSE Equity Futures'!$A:$A,$A746))</f>
        <v>2</v>
      </c>
      <c r="R746" s="7">
        <f t="shared" si="138"/>
        <v>3144934</v>
      </c>
      <c r="S746" s="19">
        <f t="shared" si="139"/>
        <v>0.99999936405660661</v>
      </c>
      <c r="T746" s="19">
        <f t="shared" si="140"/>
        <v>6.3594339340666612E-7</v>
      </c>
    </row>
    <row r="747" spans="1:20" x14ac:dyDescent="0.2">
      <c r="A747" s="9">
        <v>45016</v>
      </c>
      <c r="B747" s="4" t="s">
        <v>222</v>
      </c>
      <c r="C747" s="8">
        <v>44986</v>
      </c>
      <c r="D747" s="4" t="s">
        <v>184</v>
      </c>
      <c r="E747" s="14">
        <f>IF(SUMIFS('Daily NSE Equity Futures'!$I:$I,'Daily NSE Equity Futures'!$A:$A,$A747)=0,"",SUMIFS('Daily NSE Equity Futures'!$I:$I,'Daily NSE Equity Futures'!$A:$A,$A747))</f>
        <v>869.84760000000006</v>
      </c>
      <c r="F747" s="6" t="str">
        <f>IF(SUMIFS('Daily BSE Equity Futures'!$I:$I,'Daily BSE Equity Futures'!$A:$A,$A747)=0,"",SUMIFS('Daily BSE Equity Futures'!$I:$I,'Daily BSE Equity Futures'!$A:$A,$A747))</f>
        <v/>
      </c>
      <c r="G747" s="6" t="str">
        <f t="shared" si="132"/>
        <v/>
      </c>
      <c r="H747" s="15" t="str">
        <f t="shared" si="133"/>
        <v/>
      </c>
      <c r="I747" s="15" t="str">
        <f t="shared" si="134"/>
        <v/>
      </c>
      <c r="J747" s="20">
        <f t="shared" si="135"/>
        <v>-0.56457136403946739</v>
      </c>
      <c r="K747" s="15" t="str">
        <f t="shared" si="136"/>
        <v/>
      </c>
      <c r="L747" s="15" t="str">
        <f t="shared" si="137"/>
        <v/>
      </c>
      <c r="M747" s="15">
        <f t="shared" si="141"/>
        <v>-0.60095827163923676</v>
      </c>
      <c r="N747" s="15" t="str">
        <f t="shared" si="142"/>
        <v/>
      </c>
      <c r="O747" s="15" t="str">
        <f t="shared" si="143"/>
        <v/>
      </c>
      <c r="P747" s="18">
        <f>IF(SUMIFS('Daily NSE Equity Futures'!$J:$J,'Daily NSE Equity Futures'!$A:$A,$A747)=0,"",SUMIFS('Daily NSE Equity Futures'!$J:$J,'Daily NSE Equity Futures'!$A:$A,$A747))</f>
        <v>1175921</v>
      </c>
      <c r="Q747" s="7" t="str">
        <f>IF(SUMIFS('Daily BSE Equity Futures'!$J:$J,'Daily BSE Equity Futures'!$A:$A,$A747)=0,"",SUMIFS('Daily BSE Equity Futures'!$J:$J,'Daily BSE Equity Futures'!$A:$A,$A747))</f>
        <v/>
      </c>
      <c r="R747" s="7" t="str">
        <f t="shared" si="138"/>
        <v/>
      </c>
      <c r="S747" s="19" t="str">
        <f t="shared" si="139"/>
        <v/>
      </c>
      <c r="T747" s="19" t="str">
        <f t="shared" si="140"/>
        <v/>
      </c>
    </row>
    <row r="748" spans="1:20" x14ac:dyDescent="0.2">
      <c r="A748" s="9">
        <v>45019</v>
      </c>
      <c r="B748" s="4" t="s">
        <v>225</v>
      </c>
      <c r="C748" s="8">
        <v>45017</v>
      </c>
      <c r="D748" s="4" t="s">
        <v>185</v>
      </c>
      <c r="E748" s="14">
        <f>IF(SUMIFS('Daily NSE Equity Futures'!$I:$I,'Daily NSE Equity Futures'!$A:$A,$A748)=0,"",SUMIFS('Daily NSE Equity Futures'!$I:$I,'Daily NSE Equity Futures'!$A:$A,$A748))</f>
        <v>699.22900000000004</v>
      </c>
      <c r="F748" s="6" t="str">
        <f>IF(SUMIFS('Daily BSE Equity Futures'!$I:$I,'Daily BSE Equity Futures'!$A:$A,$A748)=0,"",SUMIFS('Daily BSE Equity Futures'!$I:$I,'Daily BSE Equity Futures'!$A:$A,$A748))</f>
        <v/>
      </c>
      <c r="G748" s="6" t="str">
        <f t="shared" si="132"/>
        <v/>
      </c>
      <c r="H748" s="15" t="str">
        <f t="shared" si="133"/>
        <v/>
      </c>
      <c r="I748" s="15" t="str">
        <f t="shared" si="134"/>
        <v/>
      </c>
      <c r="J748" s="20" t="str">
        <f t="shared" si="135"/>
        <v/>
      </c>
      <c r="K748" s="15" t="str">
        <f t="shared" si="136"/>
        <v/>
      </c>
      <c r="L748" s="15" t="str">
        <f t="shared" si="137"/>
        <v/>
      </c>
      <c r="M748" s="15">
        <f t="shared" si="141"/>
        <v>-0.1961476929981758</v>
      </c>
      <c r="N748" s="15" t="str">
        <f t="shared" si="142"/>
        <v/>
      </c>
      <c r="O748" s="15" t="str">
        <f t="shared" si="143"/>
        <v/>
      </c>
      <c r="P748" s="18">
        <f>IF(SUMIFS('Daily NSE Equity Futures'!$J:$J,'Daily NSE Equity Futures'!$A:$A,$A748)=0,"",SUMIFS('Daily NSE Equity Futures'!$J:$J,'Daily NSE Equity Futures'!$A:$A,$A748))</f>
        <v>943939</v>
      </c>
      <c r="Q748" s="7" t="str">
        <f>IF(SUMIFS('Daily BSE Equity Futures'!$J:$J,'Daily BSE Equity Futures'!$A:$A,$A748)=0,"",SUMIFS('Daily BSE Equity Futures'!$J:$J,'Daily BSE Equity Futures'!$A:$A,$A748))</f>
        <v/>
      </c>
      <c r="R748" s="7" t="str">
        <f t="shared" si="138"/>
        <v/>
      </c>
      <c r="S748" s="19" t="str">
        <f t="shared" si="139"/>
        <v/>
      </c>
      <c r="T748" s="19" t="str">
        <f t="shared" si="140"/>
        <v/>
      </c>
    </row>
    <row r="749" spans="1:20" x14ac:dyDescent="0.2">
      <c r="A749" s="9">
        <v>45021</v>
      </c>
      <c r="B749" s="4" t="s">
        <v>221</v>
      </c>
      <c r="C749" s="8">
        <v>45017</v>
      </c>
      <c r="D749" s="4" t="s">
        <v>185</v>
      </c>
      <c r="E749" s="14">
        <f>IF(SUMIFS('Daily NSE Equity Futures'!$I:$I,'Daily NSE Equity Futures'!$A:$A,$A749)=0,"",SUMIFS('Daily NSE Equity Futures'!$I:$I,'Daily NSE Equity Futures'!$A:$A,$A749))</f>
        <v>758.57560000000001</v>
      </c>
      <c r="F749" s="6" t="str">
        <f>IF(SUMIFS('Daily BSE Equity Futures'!$I:$I,'Daily BSE Equity Futures'!$A:$A,$A749)=0,"",SUMIFS('Daily BSE Equity Futures'!$I:$I,'Daily BSE Equity Futures'!$A:$A,$A749))</f>
        <v/>
      </c>
      <c r="G749" s="6" t="str">
        <f t="shared" si="132"/>
        <v/>
      </c>
      <c r="H749" s="15" t="str">
        <f t="shared" si="133"/>
        <v/>
      </c>
      <c r="I749" s="15" t="str">
        <f t="shared" si="134"/>
        <v/>
      </c>
      <c r="J749" s="20">
        <f t="shared" si="135"/>
        <v>-0.34481739155519664</v>
      </c>
      <c r="K749" s="15" t="str">
        <f t="shared" si="136"/>
        <v/>
      </c>
      <c r="L749" s="15" t="str">
        <f t="shared" si="137"/>
        <v/>
      </c>
      <c r="M749" s="15">
        <f t="shared" si="141"/>
        <v>8.4874340166097184E-2</v>
      </c>
      <c r="N749" s="15" t="str">
        <f t="shared" si="142"/>
        <v/>
      </c>
      <c r="O749" s="15" t="str">
        <f t="shared" si="143"/>
        <v/>
      </c>
      <c r="P749" s="18">
        <f>IF(SUMIFS('Daily NSE Equity Futures'!$J:$J,'Daily NSE Equity Futures'!$A:$A,$A749)=0,"",SUMIFS('Daily NSE Equity Futures'!$J:$J,'Daily NSE Equity Futures'!$A:$A,$A749))</f>
        <v>1007506</v>
      </c>
      <c r="Q749" s="7" t="str">
        <f>IF(SUMIFS('Daily BSE Equity Futures'!$J:$J,'Daily BSE Equity Futures'!$A:$A,$A749)=0,"",SUMIFS('Daily BSE Equity Futures'!$J:$J,'Daily BSE Equity Futures'!$A:$A,$A749))</f>
        <v/>
      </c>
      <c r="R749" s="7" t="str">
        <f t="shared" si="138"/>
        <v/>
      </c>
      <c r="S749" s="19" t="str">
        <f t="shared" si="139"/>
        <v/>
      </c>
      <c r="T749" s="19" t="str">
        <f t="shared" si="140"/>
        <v/>
      </c>
    </row>
    <row r="750" spans="1:20" x14ac:dyDescent="0.2">
      <c r="A750" s="9">
        <v>45022</v>
      </c>
      <c r="B750" s="4" t="s">
        <v>224</v>
      </c>
      <c r="C750" s="8">
        <v>45017</v>
      </c>
      <c r="D750" s="4" t="s">
        <v>185</v>
      </c>
      <c r="E750" s="14">
        <f>IF(SUMIFS('Daily NSE Equity Futures'!$I:$I,'Daily NSE Equity Futures'!$A:$A,$A750)=0,"",SUMIFS('Daily NSE Equity Futures'!$I:$I,'Daily NSE Equity Futures'!$A:$A,$A750))</f>
        <v>779.39649999999995</v>
      </c>
      <c r="F750" s="6" t="str">
        <f>IF(SUMIFS('Daily BSE Equity Futures'!$I:$I,'Daily BSE Equity Futures'!$A:$A,$A750)=0,"",SUMIFS('Daily BSE Equity Futures'!$I:$I,'Daily BSE Equity Futures'!$A:$A,$A750))</f>
        <v/>
      </c>
      <c r="G750" s="6" t="str">
        <f t="shared" si="132"/>
        <v/>
      </c>
      <c r="H750" s="15" t="str">
        <f t="shared" si="133"/>
        <v/>
      </c>
      <c r="I750" s="15" t="str">
        <f t="shared" si="134"/>
        <v/>
      </c>
      <c r="J750" s="20">
        <f t="shared" si="135"/>
        <v>-0.31165599319460169</v>
      </c>
      <c r="K750" s="15" t="str">
        <f t="shared" si="136"/>
        <v/>
      </c>
      <c r="L750" s="15" t="str">
        <f t="shared" si="137"/>
        <v/>
      </c>
      <c r="M750" s="15">
        <f t="shared" si="141"/>
        <v>2.7447363189641028E-2</v>
      </c>
      <c r="N750" s="15" t="str">
        <f t="shared" si="142"/>
        <v/>
      </c>
      <c r="O750" s="15" t="str">
        <f t="shared" si="143"/>
        <v/>
      </c>
      <c r="P750" s="18">
        <f>IF(SUMIFS('Daily NSE Equity Futures'!$J:$J,'Daily NSE Equity Futures'!$A:$A,$A750)=0,"",SUMIFS('Daily NSE Equity Futures'!$J:$J,'Daily NSE Equity Futures'!$A:$A,$A750))</f>
        <v>1031400</v>
      </c>
      <c r="Q750" s="7" t="str">
        <f>IF(SUMIFS('Daily BSE Equity Futures'!$J:$J,'Daily BSE Equity Futures'!$A:$A,$A750)=0,"",SUMIFS('Daily BSE Equity Futures'!$J:$J,'Daily BSE Equity Futures'!$A:$A,$A750))</f>
        <v/>
      </c>
      <c r="R750" s="7" t="str">
        <f t="shared" si="138"/>
        <v/>
      </c>
      <c r="S750" s="19" t="str">
        <f t="shared" si="139"/>
        <v/>
      </c>
      <c r="T750" s="19" t="str">
        <f t="shared" si="140"/>
        <v/>
      </c>
    </row>
    <row r="751" spans="1:20" x14ac:dyDescent="0.2">
      <c r="A751" s="9">
        <v>45026</v>
      </c>
      <c r="B751" s="4" t="s">
        <v>225</v>
      </c>
      <c r="C751" s="8">
        <v>45017</v>
      </c>
      <c r="D751" s="4" t="s">
        <v>185</v>
      </c>
      <c r="E751" s="14">
        <f>IF(SUMIFS('Daily NSE Equity Futures'!$I:$I,'Daily NSE Equity Futures'!$A:$A,$A751)=0,"",SUMIFS('Daily NSE Equity Futures'!$I:$I,'Daily NSE Equity Futures'!$A:$A,$A751))</f>
        <v>667.25310000000002</v>
      </c>
      <c r="F751" s="6" t="str">
        <f>IF(SUMIFS('Daily BSE Equity Futures'!$I:$I,'Daily BSE Equity Futures'!$A:$A,$A751)=0,"",SUMIFS('Daily BSE Equity Futures'!$I:$I,'Daily BSE Equity Futures'!$A:$A,$A751))</f>
        <v/>
      </c>
      <c r="G751" s="6" t="str">
        <f t="shared" si="132"/>
        <v/>
      </c>
      <c r="H751" s="15" t="str">
        <f t="shared" si="133"/>
        <v/>
      </c>
      <c r="I751" s="15" t="str">
        <f t="shared" si="134"/>
        <v/>
      </c>
      <c r="J751" s="20" t="str">
        <f t="shared" si="135"/>
        <v/>
      </c>
      <c r="K751" s="15" t="str">
        <f t="shared" si="136"/>
        <v/>
      </c>
      <c r="L751" s="15" t="str">
        <f t="shared" si="137"/>
        <v/>
      </c>
      <c r="M751" s="15">
        <f t="shared" si="141"/>
        <v>-0.14388491608571496</v>
      </c>
      <c r="N751" s="15" t="str">
        <f t="shared" si="142"/>
        <v/>
      </c>
      <c r="O751" s="15" t="str">
        <f t="shared" si="143"/>
        <v/>
      </c>
      <c r="P751" s="18">
        <f>IF(SUMIFS('Daily NSE Equity Futures'!$J:$J,'Daily NSE Equity Futures'!$A:$A,$A751)=0,"",SUMIFS('Daily NSE Equity Futures'!$J:$J,'Daily NSE Equity Futures'!$A:$A,$A751))</f>
        <v>904976</v>
      </c>
      <c r="Q751" s="7" t="str">
        <f>IF(SUMIFS('Daily BSE Equity Futures'!$J:$J,'Daily BSE Equity Futures'!$A:$A,$A751)=0,"",SUMIFS('Daily BSE Equity Futures'!$J:$J,'Daily BSE Equity Futures'!$A:$A,$A751))</f>
        <v/>
      </c>
      <c r="R751" s="7" t="str">
        <f t="shared" si="138"/>
        <v/>
      </c>
      <c r="S751" s="19" t="str">
        <f t="shared" si="139"/>
        <v/>
      </c>
      <c r="T751" s="19" t="str">
        <f t="shared" si="140"/>
        <v/>
      </c>
    </row>
    <row r="752" spans="1:20" x14ac:dyDescent="0.2">
      <c r="A752" s="9">
        <v>45027</v>
      </c>
      <c r="B752" s="4" t="s">
        <v>223</v>
      </c>
      <c r="C752" s="8">
        <v>45017</v>
      </c>
      <c r="D752" s="4" t="s">
        <v>185</v>
      </c>
      <c r="E752" s="14">
        <f>IF(SUMIFS('Daily NSE Equity Futures'!$I:$I,'Daily NSE Equity Futures'!$A:$A,$A752)=0,"",SUMIFS('Daily NSE Equity Futures'!$I:$I,'Daily NSE Equity Futures'!$A:$A,$A752))</f>
        <v>744.39160000000004</v>
      </c>
      <c r="F752" s="6" t="str">
        <f>IF(SUMIFS('Daily BSE Equity Futures'!$I:$I,'Daily BSE Equity Futures'!$A:$A,$A752)=0,"",SUMIFS('Daily BSE Equity Futures'!$I:$I,'Daily BSE Equity Futures'!$A:$A,$A752))</f>
        <v/>
      </c>
      <c r="G752" s="6" t="str">
        <f t="shared" si="132"/>
        <v/>
      </c>
      <c r="H752" s="15" t="str">
        <f t="shared" si="133"/>
        <v/>
      </c>
      <c r="I752" s="15" t="str">
        <f t="shared" si="134"/>
        <v/>
      </c>
      <c r="J752" s="20">
        <f t="shared" si="135"/>
        <v>-0.20219597927529553</v>
      </c>
      <c r="K752" s="15" t="str">
        <f t="shared" si="136"/>
        <v/>
      </c>
      <c r="L752" s="15" t="str">
        <f t="shared" si="137"/>
        <v/>
      </c>
      <c r="M752" s="15">
        <f t="shared" si="141"/>
        <v>0.11560605713184402</v>
      </c>
      <c r="N752" s="15" t="str">
        <f t="shared" si="142"/>
        <v/>
      </c>
      <c r="O752" s="15" t="str">
        <f t="shared" si="143"/>
        <v/>
      </c>
      <c r="P752" s="18">
        <f>IF(SUMIFS('Daily NSE Equity Futures'!$J:$J,'Daily NSE Equity Futures'!$A:$A,$A752)=0,"",SUMIFS('Daily NSE Equity Futures'!$J:$J,'Daily NSE Equity Futures'!$A:$A,$A752))</f>
        <v>984987</v>
      </c>
      <c r="Q752" s="7" t="str">
        <f>IF(SUMIFS('Daily BSE Equity Futures'!$J:$J,'Daily BSE Equity Futures'!$A:$A,$A752)=0,"",SUMIFS('Daily BSE Equity Futures'!$J:$J,'Daily BSE Equity Futures'!$A:$A,$A752))</f>
        <v/>
      </c>
      <c r="R752" s="7" t="str">
        <f t="shared" si="138"/>
        <v/>
      </c>
      <c r="S752" s="19" t="str">
        <f t="shared" si="139"/>
        <v/>
      </c>
      <c r="T752" s="19" t="str">
        <f t="shared" si="140"/>
        <v/>
      </c>
    </row>
    <row r="753" spans="1:20" x14ac:dyDescent="0.2">
      <c r="A753" s="9">
        <v>45028</v>
      </c>
      <c r="B753" s="4" t="s">
        <v>221</v>
      </c>
      <c r="C753" s="8">
        <v>45017</v>
      </c>
      <c r="D753" s="4" t="s">
        <v>185</v>
      </c>
      <c r="E753" s="14">
        <f>IF(SUMIFS('Daily NSE Equity Futures'!$I:$I,'Daily NSE Equity Futures'!$A:$A,$A753)=0,"",SUMIFS('Daily NSE Equity Futures'!$I:$I,'Daily NSE Equity Futures'!$A:$A,$A753))</f>
        <v>652.37509999999997</v>
      </c>
      <c r="F753" s="6" t="str">
        <f>IF(SUMIFS('Daily BSE Equity Futures'!$I:$I,'Daily BSE Equity Futures'!$A:$A,$A753)=0,"",SUMIFS('Daily BSE Equity Futures'!$I:$I,'Daily BSE Equity Futures'!$A:$A,$A753))</f>
        <v/>
      </c>
      <c r="G753" s="6" t="str">
        <f t="shared" si="132"/>
        <v/>
      </c>
      <c r="H753" s="15" t="str">
        <f t="shared" si="133"/>
        <v/>
      </c>
      <c r="I753" s="15" t="str">
        <f t="shared" si="134"/>
        <v/>
      </c>
      <c r="J753" s="20">
        <f t="shared" si="135"/>
        <v>-0.39093468206678583</v>
      </c>
      <c r="K753" s="15" t="str">
        <f t="shared" si="136"/>
        <v/>
      </c>
      <c r="L753" s="15" t="str">
        <f t="shared" si="137"/>
        <v/>
      </c>
      <c r="M753" s="15">
        <f t="shared" si="141"/>
        <v>-0.12361302841138999</v>
      </c>
      <c r="N753" s="15" t="str">
        <f t="shared" si="142"/>
        <v/>
      </c>
      <c r="O753" s="15" t="str">
        <f t="shared" si="143"/>
        <v/>
      </c>
      <c r="P753" s="18">
        <f>IF(SUMIFS('Daily NSE Equity Futures'!$J:$J,'Daily NSE Equity Futures'!$A:$A,$A753)=0,"",SUMIFS('Daily NSE Equity Futures'!$J:$J,'Daily NSE Equity Futures'!$A:$A,$A753))</f>
        <v>912051</v>
      </c>
      <c r="Q753" s="7" t="str">
        <f>IF(SUMIFS('Daily BSE Equity Futures'!$J:$J,'Daily BSE Equity Futures'!$A:$A,$A753)=0,"",SUMIFS('Daily BSE Equity Futures'!$J:$J,'Daily BSE Equity Futures'!$A:$A,$A753))</f>
        <v/>
      </c>
      <c r="R753" s="7" t="str">
        <f t="shared" si="138"/>
        <v/>
      </c>
      <c r="S753" s="19" t="str">
        <f t="shared" si="139"/>
        <v/>
      </c>
      <c r="T753" s="19" t="str">
        <f t="shared" si="140"/>
        <v/>
      </c>
    </row>
    <row r="754" spans="1:20" x14ac:dyDescent="0.2">
      <c r="A754" s="9">
        <v>45029</v>
      </c>
      <c r="B754" s="4" t="s">
        <v>224</v>
      </c>
      <c r="C754" s="8">
        <v>45017</v>
      </c>
      <c r="D754" s="4" t="s">
        <v>185</v>
      </c>
      <c r="E754" s="14">
        <f>IF(SUMIFS('Daily NSE Equity Futures'!$I:$I,'Daily NSE Equity Futures'!$A:$A,$A754)=0,"",SUMIFS('Daily NSE Equity Futures'!$I:$I,'Daily NSE Equity Futures'!$A:$A,$A754))</f>
        <v>831.52919999999995</v>
      </c>
      <c r="F754" s="6" t="str">
        <f>IF(SUMIFS('Daily BSE Equity Futures'!$I:$I,'Daily BSE Equity Futures'!$A:$A,$A754)=0,"",SUMIFS('Daily BSE Equity Futures'!$I:$I,'Daily BSE Equity Futures'!$A:$A,$A754))</f>
        <v/>
      </c>
      <c r="G754" s="6" t="str">
        <f t="shared" si="132"/>
        <v/>
      </c>
      <c r="H754" s="15" t="str">
        <f t="shared" si="133"/>
        <v/>
      </c>
      <c r="I754" s="15" t="str">
        <f t="shared" si="134"/>
        <v/>
      </c>
      <c r="J754" s="20">
        <f t="shared" si="135"/>
        <v>-4.4996924343442712E-2</v>
      </c>
      <c r="K754" s="15" t="str">
        <f t="shared" si="136"/>
        <v/>
      </c>
      <c r="L754" s="15" t="str">
        <f t="shared" si="137"/>
        <v/>
      </c>
      <c r="M754" s="15">
        <f t="shared" si="141"/>
        <v>0.27461823726871248</v>
      </c>
      <c r="N754" s="15" t="str">
        <f t="shared" si="142"/>
        <v/>
      </c>
      <c r="O754" s="15" t="str">
        <f t="shared" si="143"/>
        <v/>
      </c>
      <c r="P754" s="18">
        <f>IF(SUMIFS('Daily NSE Equity Futures'!$J:$J,'Daily NSE Equity Futures'!$A:$A,$A754)=0,"",SUMIFS('Daily NSE Equity Futures'!$J:$J,'Daily NSE Equity Futures'!$A:$A,$A754))</f>
        <v>1118318</v>
      </c>
      <c r="Q754" s="7" t="str">
        <f>IF(SUMIFS('Daily BSE Equity Futures'!$J:$J,'Daily BSE Equity Futures'!$A:$A,$A754)=0,"",SUMIFS('Daily BSE Equity Futures'!$J:$J,'Daily BSE Equity Futures'!$A:$A,$A754))</f>
        <v/>
      </c>
      <c r="R754" s="7" t="str">
        <f t="shared" si="138"/>
        <v/>
      </c>
      <c r="S754" s="19" t="str">
        <f t="shared" si="139"/>
        <v/>
      </c>
      <c r="T754" s="19" t="str">
        <f t="shared" si="140"/>
        <v/>
      </c>
    </row>
    <row r="755" spans="1:20" x14ac:dyDescent="0.2">
      <c r="A755" s="9">
        <v>45033</v>
      </c>
      <c r="B755" s="4" t="s">
        <v>225</v>
      </c>
      <c r="C755" s="8">
        <v>45017</v>
      </c>
      <c r="D755" s="4" t="s">
        <v>185</v>
      </c>
      <c r="E755" s="14">
        <f>IF(SUMIFS('Daily NSE Equity Futures'!$I:$I,'Daily NSE Equity Futures'!$A:$A,$A755)=0,"",SUMIFS('Daily NSE Equity Futures'!$I:$I,'Daily NSE Equity Futures'!$A:$A,$A755))</f>
        <v>997.49570000000006</v>
      </c>
      <c r="F755" s="6" t="str">
        <f>IF(SUMIFS('Daily BSE Equity Futures'!$I:$I,'Daily BSE Equity Futures'!$A:$A,$A755)=0,"",SUMIFS('Daily BSE Equity Futures'!$I:$I,'Daily BSE Equity Futures'!$A:$A,$A755))</f>
        <v/>
      </c>
      <c r="G755" s="6" t="str">
        <f t="shared" si="132"/>
        <v/>
      </c>
      <c r="H755" s="15" t="str">
        <f t="shared" si="133"/>
        <v/>
      </c>
      <c r="I755" s="15" t="str">
        <f t="shared" si="134"/>
        <v/>
      </c>
      <c r="J755" s="20" t="str">
        <f t="shared" si="135"/>
        <v/>
      </c>
      <c r="K755" s="15" t="str">
        <f t="shared" si="136"/>
        <v/>
      </c>
      <c r="L755" s="15" t="str">
        <f t="shared" si="137"/>
        <v/>
      </c>
      <c r="M755" s="15">
        <f t="shared" si="141"/>
        <v>0.1995919084982225</v>
      </c>
      <c r="N755" s="15" t="str">
        <f t="shared" si="142"/>
        <v/>
      </c>
      <c r="O755" s="15" t="str">
        <f t="shared" si="143"/>
        <v/>
      </c>
      <c r="P755" s="18">
        <f>IF(SUMIFS('Daily NSE Equity Futures'!$J:$J,'Daily NSE Equity Futures'!$A:$A,$A755)=0,"",SUMIFS('Daily NSE Equity Futures'!$J:$J,'Daily NSE Equity Futures'!$A:$A,$A755))</f>
        <v>1350520</v>
      </c>
      <c r="Q755" s="7" t="str">
        <f>IF(SUMIFS('Daily BSE Equity Futures'!$J:$J,'Daily BSE Equity Futures'!$A:$A,$A755)=0,"",SUMIFS('Daily BSE Equity Futures'!$J:$J,'Daily BSE Equity Futures'!$A:$A,$A755))</f>
        <v/>
      </c>
      <c r="R755" s="7" t="str">
        <f t="shared" si="138"/>
        <v/>
      </c>
      <c r="S755" s="19" t="str">
        <f t="shared" si="139"/>
        <v/>
      </c>
      <c r="T755" s="19" t="str">
        <f t="shared" si="140"/>
        <v/>
      </c>
    </row>
    <row r="756" spans="1:20" x14ac:dyDescent="0.2">
      <c r="A756" s="9">
        <v>45034</v>
      </c>
      <c r="B756" s="4" t="s">
        <v>223</v>
      </c>
      <c r="C756" s="8">
        <v>45017</v>
      </c>
      <c r="D756" s="4" t="s">
        <v>185</v>
      </c>
      <c r="E756" s="14">
        <f>IF(SUMIFS('Daily NSE Equity Futures'!$I:$I,'Daily NSE Equity Futures'!$A:$A,$A756)=0,"",SUMIFS('Daily NSE Equity Futures'!$I:$I,'Daily NSE Equity Futures'!$A:$A,$A756))</f>
        <v>813.80700000000002</v>
      </c>
      <c r="F756" s="6" t="str">
        <f>IF(SUMIFS('Daily BSE Equity Futures'!$I:$I,'Daily BSE Equity Futures'!$A:$A,$A756)=0,"",SUMIFS('Daily BSE Equity Futures'!$I:$I,'Daily BSE Equity Futures'!$A:$A,$A756))</f>
        <v/>
      </c>
      <c r="G756" s="6" t="str">
        <f t="shared" si="132"/>
        <v/>
      </c>
      <c r="H756" s="15" t="str">
        <f t="shared" si="133"/>
        <v/>
      </c>
      <c r="I756" s="15" t="str">
        <f t="shared" si="134"/>
        <v/>
      </c>
      <c r="J756" s="20">
        <f t="shared" si="135"/>
        <v>-0.21617523774593272</v>
      </c>
      <c r="K756" s="15" t="str">
        <f t="shared" si="136"/>
        <v/>
      </c>
      <c r="L756" s="15" t="str">
        <f t="shared" si="137"/>
        <v/>
      </c>
      <c r="M756" s="15">
        <f t="shared" si="141"/>
        <v>-0.18414986651070275</v>
      </c>
      <c r="N756" s="15" t="str">
        <f t="shared" si="142"/>
        <v/>
      </c>
      <c r="O756" s="15" t="str">
        <f t="shared" si="143"/>
        <v/>
      </c>
      <c r="P756" s="18">
        <f>IF(SUMIFS('Daily NSE Equity Futures'!$J:$J,'Daily NSE Equity Futures'!$A:$A,$A756)=0,"",SUMIFS('Daily NSE Equity Futures'!$J:$J,'Daily NSE Equity Futures'!$A:$A,$A756))</f>
        <v>1106246</v>
      </c>
      <c r="Q756" s="7" t="str">
        <f>IF(SUMIFS('Daily BSE Equity Futures'!$J:$J,'Daily BSE Equity Futures'!$A:$A,$A756)=0,"",SUMIFS('Daily BSE Equity Futures'!$J:$J,'Daily BSE Equity Futures'!$A:$A,$A756))</f>
        <v/>
      </c>
      <c r="R756" s="7" t="str">
        <f t="shared" si="138"/>
        <v/>
      </c>
      <c r="S756" s="19" t="str">
        <f t="shared" si="139"/>
        <v/>
      </c>
      <c r="T756" s="19" t="str">
        <f t="shared" si="140"/>
        <v/>
      </c>
    </row>
    <row r="757" spans="1:20" x14ac:dyDescent="0.2">
      <c r="A757" s="9">
        <v>45035</v>
      </c>
      <c r="B757" s="4" t="s">
        <v>221</v>
      </c>
      <c r="C757" s="8">
        <v>45017</v>
      </c>
      <c r="D757" s="4" t="s">
        <v>185</v>
      </c>
      <c r="E757" s="14">
        <f>IF(SUMIFS('Daily NSE Equity Futures'!$I:$I,'Daily NSE Equity Futures'!$A:$A,$A757)=0,"",SUMIFS('Daily NSE Equity Futures'!$I:$I,'Daily NSE Equity Futures'!$A:$A,$A757))</f>
        <v>740.84540000000004</v>
      </c>
      <c r="F757" s="6" t="str">
        <f>IF(SUMIFS('Daily BSE Equity Futures'!$I:$I,'Daily BSE Equity Futures'!$A:$A,$A757)=0,"",SUMIFS('Daily BSE Equity Futures'!$I:$I,'Daily BSE Equity Futures'!$A:$A,$A757))</f>
        <v/>
      </c>
      <c r="G757" s="6" t="str">
        <f t="shared" si="132"/>
        <v/>
      </c>
      <c r="H757" s="15" t="str">
        <f t="shared" si="133"/>
        <v/>
      </c>
      <c r="I757" s="15" t="str">
        <f t="shared" si="134"/>
        <v/>
      </c>
      <c r="J757" s="20">
        <f t="shared" si="135"/>
        <v>-0.42138481589051091</v>
      </c>
      <c r="K757" s="15" t="str">
        <f t="shared" si="136"/>
        <v/>
      </c>
      <c r="L757" s="15" t="str">
        <f t="shared" si="137"/>
        <v/>
      </c>
      <c r="M757" s="15">
        <f t="shared" si="141"/>
        <v>-8.965467242233105E-2</v>
      </c>
      <c r="N757" s="15" t="str">
        <f t="shared" si="142"/>
        <v/>
      </c>
      <c r="O757" s="15" t="str">
        <f t="shared" si="143"/>
        <v/>
      </c>
      <c r="P757" s="18">
        <f>IF(SUMIFS('Daily NSE Equity Futures'!$J:$J,'Daily NSE Equity Futures'!$A:$A,$A757)=0,"",SUMIFS('Daily NSE Equity Futures'!$J:$J,'Daily NSE Equity Futures'!$A:$A,$A757))</f>
        <v>1026745</v>
      </c>
      <c r="Q757" s="7" t="str">
        <f>IF(SUMIFS('Daily BSE Equity Futures'!$J:$J,'Daily BSE Equity Futures'!$A:$A,$A757)=0,"",SUMIFS('Daily BSE Equity Futures'!$J:$J,'Daily BSE Equity Futures'!$A:$A,$A757))</f>
        <v/>
      </c>
      <c r="R757" s="7" t="str">
        <f t="shared" si="138"/>
        <v/>
      </c>
      <c r="S757" s="19" t="str">
        <f t="shared" si="139"/>
        <v/>
      </c>
      <c r="T757" s="19" t="str">
        <f t="shared" si="140"/>
        <v/>
      </c>
    </row>
    <row r="758" spans="1:20" x14ac:dyDescent="0.2">
      <c r="A758" s="9">
        <v>45036</v>
      </c>
      <c r="B758" s="4" t="s">
        <v>224</v>
      </c>
      <c r="C758" s="8">
        <v>45017</v>
      </c>
      <c r="D758" s="4" t="s">
        <v>185</v>
      </c>
      <c r="E758" s="14">
        <f>IF(SUMIFS('Daily NSE Equity Futures'!$I:$I,'Daily NSE Equity Futures'!$A:$A,$A758)=0,"",SUMIFS('Daily NSE Equity Futures'!$I:$I,'Daily NSE Equity Futures'!$A:$A,$A758))</f>
        <v>770.01930000000004</v>
      </c>
      <c r="F758" s="6" t="str">
        <f>IF(SUMIFS('Daily BSE Equity Futures'!$I:$I,'Daily BSE Equity Futures'!$A:$A,$A758)=0,"",SUMIFS('Daily BSE Equity Futures'!$I:$I,'Daily BSE Equity Futures'!$A:$A,$A758))</f>
        <v/>
      </c>
      <c r="G758" s="6" t="str">
        <f t="shared" si="132"/>
        <v/>
      </c>
      <c r="H758" s="15" t="str">
        <f t="shared" si="133"/>
        <v/>
      </c>
      <c r="I758" s="15" t="str">
        <f t="shared" si="134"/>
        <v/>
      </c>
      <c r="J758" s="20">
        <f t="shared" si="135"/>
        <v>-0.29373139957557071</v>
      </c>
      <c r="K758" s="15" t="str">
        <f t="shared" si="136"/>
        <v/>
      </c>
      <c r="L758" s="15" t="str">
        <f t="shared" si="137"/>
        <v/>
      </c>
      <c r="M758" s="15">
        <f t="shared" si="141"/>
        <v>3.9379201112674789E-2</v>
      </c>
      <c r="N758" s="15" t="str">
        <f t="shared" si="142"/>
        <v/>
      </c>
      <c r="O758" s="15" t="str">
        <f t="shared" si="143"/>
        <v/>
      </c>
      <c r="P758" s="18">
        <f>IF(SUMIFS('Daily NSE Equity Futures'!$J:$J,'Daily NSE Equity Futures'!$A:$A,$A758)=0,"",SUMIFS('Daily NSE Equity Futures'!$J:$J,'Daily NSE Equity Futures'!$A:$A,$A758))</f>
        <v>1047247</v>
      </c>
      <c r="Q758" s="7" t="str">
        <f>IF(SUMIFS('Daily BSE Equity Futures'!$J:$J,'Daily BSE Equity Futures'!$A:$A,$A758)=0,"",SUMIFS('Daily BSE Equity Futures'!$J:$J,'Daily BSE Equity Futures'!$A:$A,$A758))</f>
        <v/>
      </c>
      <c r="R758" s="7" t="str">
        <f t="shared" si="138"/>
        <v/>
      </c>
      <c r="S758" s="19" t="str">
        <f t="shared" si="139"/>
        <v/>
      </c>
      <c r="T758" s="19" t="str">
        <f t="shared" si="140"/>
        <v/>
      </c>
    </row>
    <row r="759" spans="1:20" x14ac:dyDescent="0.2">
      <c r="A759" s="9">
        <v>45037</v>
      </c>
      <c r="B759" s="4" t="s">
        <v>222</v>
      </c>
      <c r="C759" s="8">
        <v>45017</v>
      </c>
      <c r="D759" s="4" t="s">
        <v>185</v>
      </c>
      <c r="E759" s="14">
        <f>IF(SUMIFS('Daily NSE Equity Futures'!$I:$I,'Daily NSE Equity Futures'!$A:$A,$A759)=0,"",SUMIFS('Daily NSE Equity Futures'!$I:$I,'Daily NSE Equity Futures'!$A:$A,$A759))</f>
        <v>934.18029999999999</v>
      </c>
      <c r="F759" s="6" t="str">
        <f>IF(SUMIFS('Daily BSE Equity Futures'!$I:$I,'Daily BSE Equity Futures'!$A:$A,$A759)=0,"",SUMIFS('Daily BSE Equity Futures'!$I:$I,'Daily BSE Equity Futures'!$A:$A,$A759))</f>
        <v/>
      </c>
      <c r="G759" s="6" t="str">
        <f t="shared" si="132"/>
        <v/>
      </c>
      <c r="H759" s="15" t="str">
        <f t="shared" si="133"/>
        <v/>
      </c>
      <c r="I759" s="15" t="str">
        <f t="shared" si="134"/>
        <v/>
      </c>
      <c r="J759" s="20">
        <f t="shared" si="135"/>
        <v>-0.16869716650745337</v>
      </c>
      <c r="K759" s="15" t="str">
        <f t="shared" si="136"/>
        <v/>
      </c>
      <c r="L759" s="15" t="str">
        <f t="shared" si="137"/>
        <v/>
      </c>
      <c r="M759" s="15">
        <f t="shared" si="141"/>
        <v>0.21319076028354078</v>
      </c>
      <c r="N759" s="15" t="str">
        <f t="shared" si="142"/>
        <v/>
      </c>
      <c r="O759" s="15" t="str">
        <f t="shared" si="143"/>
        <v/>
      </c>
      <c r="P759" s="18">
        <f>IF(SUMIFS('Daily NSE Equity Futures'!$J:$J,'Daily NSE Equity Futures'!$A:$A,$A759)=0,"",SUMIFS('Daily NSE Equity Futures'!$J:$J,'Daily NSE Equity Futures'!$A:$A,$A759))</f>
        <v>1296939</v>
      </c>
      <c r="Q759" s="7" t="str">
        <f>IF(SUMIFS('Daily BSE Equity Futures'!$J:$J,'Daily BSE Equity Futures'!$A:$A,$A759)=0,"",SUMIFS('Daily BSE Equity Futures'!$J:$J,'Daily BSE Equity Futures'!$A:$A,$A759))</f>
        <v/>
      </c>
      <c r="R759" s="7" t="str">
        <f t="shared" si="138"/>
        <v/>
      </c>
      <c r="S759" s="19" t="str">
        <f t="shared" si="139"/>
        <v/>
      </c>
      <c r="T759" s="19" t="str">
        <f t="shared" si="140"/>
        <v/>
      </c>
    </row>
    <row r="760" spans="1:20" x14ac:dyDescent="0.2">
      <c r="A760" s="9">
        <v>45040</v>
      </c>
      <c r="B760" s="4" t="s">
        <v>225</v>
      </c>
      <c r="C760" s="8">
        <v>45017</v>
      </c>
      <c r="D760" s="4" t="s">
        <v>185</v>
      </c>
      <c r="E760" s="14">
        <f>IF(SUMIFS('Daily NSE Equity Futures'!$I:$I,'Daily NSE Equity Futures'!$A:$A,$A760)=0,"",SUMIFS('Daily NSE Equity Futures'!$I:$I,'Daily NSE Equity Futures'!$A:$A,$A760))</f>
        <v>1796.1619000000001</v>
      </c>
      <c r="F760" s="6" t="str">
        <f>IF(SUMIFS('Daily BSE Equity Futures'!$I:$I,'Daily BSE Equity Futures'!$A:$A,$A760)=0,"",SUMIFS('Daily BSE Equity Futures'!$I:$I,'Daily BSE Equity Futures'!$A:$A,$A760))</f>
        <v/>
      </c>
      <c r="G760" s="6" t="str">
        <f t="shared" si="132"/>
        <v/>
      </c>
      <c r="H760" s="15" t="str">
        <f t="shared" si="133"/>
        <v/>
      </c>
      <c r="I760" s="15" t="str">
        <f t="shared" si="134"/>
        <v/>
      </c>
      <c r="J760" s="20" t="str">
        <f t="shared" si="135"/>
        <v/>
      </c>
      <c r="K760" s="15" t="str">
        <f t="shared" si="136"/>
        <v/>
      </c>
      <c r="L760" s="15" t="str">
        <f t="shared" si="137"/>
        <v/>
      </c>
      <c r="M760" s="15">
        <f t="shared" si="141"/>
        <v>0.92271438393637717</v>
      </c>
      <c r="N760" s="15" t="str">
        <f t="shared" si="142"/>
        <v/>
      </c>
      <c r="O760" s="15" t="str">
        <f t="shared" si="143"/>
        <v/>
      </c>
      <c r="P760" s="18">
        <f>IF(SUMIFS('Daily NSE Equity Futures'!$J:$J,'Daily NSE Equity Futures'!$A:$A,$A760)=0,"",SUMIFS('Daily NSE Equity Futures'!$J:$J,'Daily NSE Equity Futures'!$A:$A,$A760))</f>
        <v>2532610</v>
      </c>
      <c r="Q760" s="7" t="str">
        <f>IF(SUMIFS('Daily BSE Equity Futures'!$J:$J,'Daily BSE Equity Futures'!$A:$A,$A760)=0,"",SUMIFS('Daily BSE Equity Futures'!$J:$J,'Daily BSE Equity Futures'!$A:$A,$A760))</f>
        <v/>
      </c>
      <c r="R760" s="7" t="str">
        <f t="shared" si="138"/>
        <v/>
      </c>
      <c r="S760" s="19" t="str">
        <f t="shared" si="139"/>
        <v/>
      </c>
      <c r="T760" s="19" t="str">
        <f t="shared" si="140"/>
        <v/>
      </c>
    </row>
    <row r="761" spans="1:20" x14ac:dyDescent="0.2">
      <c r="A761" s="9">
        <v>45041</v>
      </c>
      <c r="B761" s="4" t="s">
        <v>223</v>
      </c>
      <c r="C761" s="8">
        <v>45017</v>
      </c>
      <c r="D761" s="4" t="s">
        <v>185</v>
      </c>
      <c r="E761" s="14">
        <f>IF(SUMIFS('Daily NSE Equity Futures'!$I:$I,'Daily NSE Equity Futures'!$A:$A,$A761)=0,"",SUMIFS('Daily NSE Equity Futures'!$I:$I,'Daily NSE Equity Futures'!$A:$A,$A761))</f>
        <v>1903.3904</v>
      </c>
      <c r="F761" s="6" t="str">
        <f>IF(SUMIFS('Daily BSE Equity Futures'!$I:$I,'Daily BSE Equity Futures'!$A:$A,$A761)=0,"",SUMIFS('Daily BSE Equity Futures'!$I:$I,'Daily BSE Equity Futures'!$A:$A,$A761))</f>
        <v/>
      </c>
      <c r="G761" s="6" t="str">
        <f t="shared" si="132"/>
        <v/>
      </c>
      <c r="H761" s="15" t="str">
        <f t="shared" si="133"/>
        <v/>
      </c>
      <c r="I761" s="15" t="str">
        <f t="shared" si="134"/>
        <v/>
      </c>
      <c r="J761" s="20">
        <f t="shared" si="135"/>
        <v>-6.7798896261273778E-2</v>
      </c>
      <c r="K761" s="15" t="str">
        <f t="shared" si="136"/>
        <v/>
      </c>
      <c r="L761" s="15" t="str">
        <f t="shared" si="137"/>
        <v/>
      </c>
      <c r="M761" s="15">
        <f t="shared" si="141"/>
        <v>5.969868306414905E-2</v>
      </c>
      <c r="N761" s="15" t="str">
        <f t="shared" si="142"/>
        <v/>
      </c>
      <c r="O761" s="15" t="str">
        <f t="shared" si="143"/>
        <v/>
      </c>
      <c r="P761" s="18">
        <f>IF(SUMIFS('Daily NSE Equity Futures'!$J:$J,'Daily NSE Equity Futures'!$A:$A,$A761)=0,"",SUMIFS('Daily NSE Equity Futures'!$J:$J,'Daily NSE Equity Futures'!$A:$A,$A761))</f>
        <v>2680133</v>
      </c>
      <c r="Q761" s="7" t="str">
        <f>IF(SUMIFS('Daily BSE Equity Futures'!$J:$J,'Daily BSE Equity Futures'!$A:$A,$A761)=0,"",SUMIFS('Daily BSE Equity Futures'!$J:$J,'Daily BSE Equity Futures'!$A:$A,$A761))</f>
        <v/>
      </c>
      <c r="R761" s="7" t="str">
        <f t="shared" si="138"/>
        <v/>
      </c>
      <c r="S761" s="19" t="str">
        <f t="shared" si="139"/>
        <v/>
      </c>
      <c r="T761" s="19" t="str">
        <f t="shared" si="140"/>
        <v/>
      </c>
    </row>
    <row r="762" spans="1:20" x14ac:dyDescent="0.2">
      <c r="A762" s="9">
        <v>45042</v>
      </c>
      <c r="B762" s="4" t="s">
        <v>221</v>
      </c>
      <c r="C762" s="8">
        <v>45017</v>
      </c>
      <c r="D762" s="4" t="s">
        <v>185</v>
      </c>
      <c r="E762" s="14">
        <f>IF(SUMIFS('Daily NSE Equity Futures'!$I:$I,'Daily NSE Equity Futures'!$A:$A,$A762)=0,"",SUMIFS('Daily NSE Equity Futures'!$I:$I,'Daily NSE Equity Futures'!$A:$A,$A762))</f>
        <v>1761.3896</v>
      </c>
      <c r="F762" s="6">
        <f>IF(SUMIFS('Daily BSE Equity Futures'!$I:$I,'Daily BSE Equity Futures'!$A:$A,$A762)=0,"",SUMIFS('Daily BSE Equity Futures'!$I:$I,'Daily BSE Equity Futures'!$A:$A,$A762))</f>
        <v>1.9E-3</v>
      </c>
      <c r="G762" s="6">
        <f t="shared" si="132"/>
        <v>1761.3915</v>
      </c>
      <c r="H762" s="15">
        <f t="shared" si="133"/>
        <v>0.99999892130738677</v>
      </c>
      <c r="I762" s="15">
        <f t="shared" si="134"/>
        <v>1.0786926131981449E-6</v>
      </c>
      <c r="J762" s="20">
        <f t="shared" si="135"/>
        <v>-0.14052667083865511</v>
      </c>
      <c r="K762" s="15">
        <f t="shared" si="136"/>
        <v>1.1111111111111112</v>
      </c>
      <c r="L762" s="15">
        <f t="shared" si="137"/>
        <v>-0.14052612117381269</v>
      </c>
      <c r="M762" s="15">
        <f t="shared" si="141"/>
        <v>-7.4604137963499295E-2</v>
      </c>
      <c r="N762" s="15" t="str">
        <f t="shared" si="142"/>
        <v/>
      </c>
      <c r="O762" s="15" t="str">
        <f t="shared" si="143"/>
        <v/>
      </c>
      <c r="P762" s="18">
        <f>IF(SUMIFS('Daily NSE Equity Futures'!$J:$J,'Daily NSE Equity Futures'!$A:$A,$A762)=0,"",SUMIFS('Daily NSE Equity Futures'!$J:$J,'Daily NSE Equity Futures'!$A:$A,$A762))</f>
        <v>2459930</v>
      </c>
      <c r="Q762" s="7">
        <f>IF(SUMIFS('Daily BSE Equity Futures'!$J:$J,'Daily BSE Equity Futures'!$A:$A,$A762)=0,"",SUMIFS('Daily BSE Equity Futures'!$J:$J,'Daily BSE Equity Futures'!$A:$A,$A762))</f>
        <v>2</v>
      </c>
      <c r="R762" s="7">
        <f t="shared" si="138"/>
        <v>2459932</v>
      </c>
      <c r="S762" s="19">
        <f t="shared" si="139"/>
        <v>0.99999918696939594</v>
      </c>
      <c r="T762" s="19">
        <f t="shared" si="140"/>
        <v>8.1303060409799942E-7</v>
      </c>
    </row>
    <row r="763" spans="1:20" x14ac:dyDescent="0.2">
      <c r="A763" s="9">
        <v>45043</v>
      </c>
      <c r="B763" s="4" t="s">
        <v>224</v>
      </c>
      <c r="C763" s="8">
        <v>45017</v>
      </c>
      <c r="D763" s="4" t="s">
        <v>185</v>
      </c>
      <c r="E763" s="14">
        <f>IF(SUMIFS('Daily NSE Equity Futures'!$I:$I,'Daily NSE Equity Futures'!$A:$A,$A763)=0,"",SUMIFS('Daily NSE Equity Futures'!$I:$I,'Daily NSE Equity Futures'!$A:$A,$A763))</f>
        <v>1857.2764999999999</v>
      </c>
      <c r="F763" s="6">
        <f>IF(SUMIFS('Daily BSE Equity Futures'!$I:$I,'Daily BSE Equity Futures'!$A:$A,$A763)=0,"",SUMIFS('Daily BSE Equity Futures'!$I:$I,'Daily BSE Equity Futures'!$A:$A,$A763))</f>
        <v>1.9E-3</v>
      </c>
      <c r="G763" s="6">
        <f t="shared" si="132"/>
        <v>1857.2783999999999</v>
      </c>
      <c r="H763" s="15">
        <f t="shared" si="133"/>
        <v>0.99999897699774032</v>
      </c>
      <c r="I763" s="15">
        <f t="shared" si="134"/>
        <v>1.023002259650465E-6</v>
      </c>
      <c r="J763" s="20">
        <f t="shared" si="135"/>
        <v>-8.9421481403945235E-2</v>
      </c>
      <c r="K763" s="15">
        <f t="shared" si="136"/>
        <v>1.1111111111111112</v>
      </c>
      <c r="L763" s="15">
        <f t="shared" si="137"/>
        <v>-8.9420951670845961E-2</v>
      </c>
      <c r="M763" s="15">
        <f t="shared" si="141"/>
        <v>5.4438211739185949E-2</v>
      </c>
      <c r="N763" s="15">
        <f t="shared" si="142"/>
        <v>0</v>
      </c>
      <c r="O763" s="15">
        <f t="shared" si="143"/>
        <v>5.4438153017088986E-2</v>
      </c>
      <c r="P763" s="18">
        <f>IF(SUMIFS('Daily NSE Equity Futures'!$J:$J,'Daily NSE Equity Futures'!$A:$A,$A763)=0,"",SUMIFS('Daily NSE Equity Futures'!$J:$J,'Daily NSE Equity Futures'!$A:$A,$A763))</f>
        <v>2576126</v>
      </c>
      <c r="Q763" s="7">
        <f>IF(SUMIFS('Daily BSE Equity Futures'!$J:$J,'Daily BSE Equity Futures'!$A:$A,$A763)=0,"",SUMIFS('Daily BSE Equity Futures'!$J:$J,'Daily BSE Equity Futures'!$A:$A,$A763))</f>
        <v>2</v>
      </c>
      <c r="R763" s="7">
        <f t="shared" si="138"/>
        <v>2576128</v>
      </c>
      <c r="S763" s="19">
        <f t="shared" si="139"/>
        <v>0.99999922364106131</v>
      </c>
      <c r="T763" s="19">
        <f t="shared" si="140"/>
        <v>7.7635893868627648E-7</v>
      </c>
    </row>
    <row r="764" spans="1:20" x14ac:dyDescent="0.2">
      <c r="A764" s="9">
        <v>45044</v>
      </c>
      <c r="B764" s="4" t="s">
        <v>222</v>
      </c>
      <c r="C764" s="8">
        <v>45017</v>
      </c>
      <c r="D764" s="4" t="s">
        <v>185</v>
      </c>
      <c r="E764" s="14">
        <f>IF(SUMIFS('Daily NSE Equity Futures'!$I:$I,'Daily NSE Equity Futures'!$A:$A,$A764)=0,"",SUMIFS('Daily NSE Equity Futures'!$I:$I,'Daily NSE Equity Futures'!$A:$A,$A764))</f>
        <v>866.35680000000002</v>
      </c>
      <c r="F764" s="6" t="str">
        <f>IF(SUMIFS('Daily BSE Equity Futures'!$I:$I,'Daily BSE Equity Futures'!$A:$A,$A764)=0,"",SUMIFS('Daily BSE Equity Futures'!$I:$I,'Daily BSE Equity Futures'!$A:$A,$A764))</f>
        <v/>
      </c>
      <c r="G764" s="6" t="str">
        <f t="shared" si="132"/>
        <v/>
      </c>
      <c r="H764" s="15" t="str">
        <f t="shared" si="133"/>
        <v/>
      </c>
      <c r="I764" s="15" t="str">
        <f t="shared" si="134"/>
        <v/>
      </c>
      <c r="J764" s="20">
        <f t="shared" si="135"/>
        <v>-0.58723261688131267</v>
      </c>
      <c r="K764" s="15" t="str">
        <f t="shared" si="136"/>
        <v/>
      </c>
      <c r="L764" s="15" t="str">
        <f t="shared" si="137"/>
        <v/>
      </c>
      <c r="M764" s="15">
        <f t="shared" si="141"/>
        <v>-0.5335337522442134</v>
      </c>
      <c r="N764" s="15" t="str">
        <f t="shared" si="142"/>
        <v/>
      </c>
      <c r="O764" s="15" t="str">
        <f t="shared" si="143"/>
        <v/>
      </c>
      <c r="P764" s="18">
        <f>IF(SUMIFS('Daily NSE Equity Futures'!$J:$J,'Daily NSE Equity Futures'!$A:$A,$A764)=0,"",SUMIFS('Daily NSE Equity Futures'!$J:$J,'Daily NSE Equity Futures'!$A:$A,$A764))</f>
        <v>1160668</v>
      </c>
      <c r="Q764" s="7" t="str">
        <f>IF(SUMIFS('Daily BSE Equity Futures'!$J:$J,'Daily BSE Equity Futures'!$A:$A,$A764)=0,"",SUMIFS('Daily BSE Equity Futures'!$J:$J,'Daily BSE Equity Futures'!$A:$A,$A764))</f>
        <v/>
      </c>
      <c r="R764" s="7" t="str">
        <f t="shared" si="138"/>
        <v/>
      </c>
      <c r="S764" s="19" t="str">
        <f t="shared" si="139"/>
        <v/>
      </c>
      <c r="T764" s="19" t="str">
        <f t="shared" si="140"/>
        <v/>
      </c>
    </row>
    <row r="765" spans="1:20" x14ac:dyDescent="0.2">
      <c r="A765" s="9">
        <v>45048</v>
      </c>
      <c r="B765" s="4" t="s">
        <v>223</v>
      </c>
      <c r="C765" s="8">
        <v>45047</v>
      </c>
      <c r="D765" s="4" t="s">
        <v>185</v>
      </c>
      <c r="E765" s="14">
        <f>IF(SUMIFS('Daily NSE Equity Futures'!$I:$I,'Daily NSE Equity Futures'!$A:$A,$A765)=0,"",SUMIFS('Daily NSE Equity Futures'!$I:$I,'Daily NSE Equity Futures'!$A:$A,$A765))</f>
        <v>762.92079999999999</v>
      </c>
      <c r="F765" s="6" t="str">
        <f>IF(SUMIFS('Daily BSE Equity Futures'!$I:$I,'Daily BSE Equity Futures'!$A:$A,$A765)=0,"",SUMIFS('Daily BSE Equity Futures'!$I:$I,'Daily BSE Equity Futures'!$A:$A,$A765))</f>
        <v/>
      </c>
      <c r="G765" s="6" t="str">
        <f t="shared" si="132"/>
        <v/>
      </c>
      <c r="H765" s="15" t="str">
        <f t="shared" si="133"/>
        <v/>
      </c>
      <c r="I765" s="15" t="str">
        <f t="shared" si="134"/>
        <v/>
      </c>
      <c r="J765" s="20">
        <f t="shared" si="135"/>
        <v>-8.852554358727871E-2</v>
      </c>
      <c r="K765" s="15" t="str">
        <f t="shared" si="136"/>
        <v/>
      </c>
      <c r="L765" s="15" t="str">
        <f t="shared" si="137"/>
        <v/>
      </c>
      <c r="M765" s="15">
        <f t="shared" si="141"/>
        <v>-0.11939191797190263</v>
      </c>
      <c r="N765" s="15" t="str">
        <f t="shared" si="142"/>
        <v/>
      </c>
      <c r="O765" s="15" t="str">
        <f t="shared" si="143"/>
        <v/>
      </c>
      <c r="P765" s="18">
        <f>IF(SUMIFS('Daily NSE Equity Futures'!$J:$J,'Daily NSE Equity Futures'!$A:$A,$A765)=0,"",SUMIFS('Daily NSE Equity Futures'!$J:$J,'Daily NSE Equity Futures'!$A:$A,$A765))</f>
        <v>1006217</v>
      </c>
      <c r="Q765" s="7" t="str">
        <f>IF(SUMIFS('Daily BSE Equity Futures'!$J:$J,'Daily BSE Equity Futures'!$A:$A,$A765)=0,"",SUMIFS('Daily BSE Equity Futures'!$J:$J,'Daily BSE Equity Futures'!$A:$A,$A765))</f>
        <v/>
      </c>
      <c r="R765" s="7" t="str">
        <f t="shared" si="138"/>
        <v/>
      </c>
      <c r="S765" s="19" t="str">
        <f t="shared" si="139"/>
        <v/>
      </c>
      <c r="T765" s="19" t="str">
        <f t="shared" si="140"/>
        <v/>
      </c>
    </row>
    <row r="766" spans="1:20" x14ac:dyDescent="0.2">
      <c r="A766" s="9">
        <v>45049</v>
      </c>
      <c r="B766" s="4" t="s">
        <v>221</v>
      </c>
      <c r="C766" s="8">
        <v>45047</v>
      </c>
      <c r="D766" s="4" t="s">
        <v>185</v>
      </c>
      <c r="E766" s="14">
        <f>IF(SUMIFS('Daily NSE Equity Futures'!$I:$I,'Daily NSE Equity Futures'!$A:$A,$A766)=0,"",SUMIFS('Daily NSE Equity Futures'!$I:$I,'Daily NSE Equity Futures'!$A:$A,$A766))</f>
        <v>733.9271</v>
      </c>
      <c r="F766" s="6" t="str">
        <f>IF(SUMIFS('Daily BSE Equity Futures'!$I:$I,'Daily BSE Equity Futures'!$A:$A,$A766)=0,"",SUMIFS('Daily BSE Equity Futures'!$I:$I,'Daily BSE Equity Futures'!$A:$A,$A766))</f>
        <v/>
      </c>
      <c r="G766" s="6" t="str">
        <f t="shared" si="132"/>
        <v/>
      </c>
      <c r="H766" s="15" t="str">
        <f t="shared" si="133"/>
        <v/>
      </c>
      <c r="I766" s="15" t="str">
        <f t="shared" si="134"/>
        <v/>
      </c>
      <c r="J766" s="20" t="str">
        <f t="shared" si="135"/>
        <v/>
      </c>
      <c r="K766" s="15" t="str">
        <f t="shared" si="136"/>
        <v/>
      </c>
      <c r="L766" s="15" t="str">
        <f t="shared" si="137"/>
        <v/>
      </c>
      <c r="M766" s="15">
        <f t="shared" si="141"/>
        <v>-3.8003551613745468E-2</v>
      </c>
      <c r="N766" s="15" t="str">
        <f t="shared" si="142"/>
        <v/>
      </c>
      <c r="O766" s="15" t="str">
        <f t="shared" si="143"/>
        <v/>
      </c>
      <c r="P766" s="18">
        <f>IF(SUMIFS('Daily NSE Equity Futures'!$J:$J,'Daily NSE Equity Futures'!$A:$A,$A766)=0,"",SUMIFS('Daily NSE Equity Futures'!$J:$J,'Daily NSE Equity Futures'!$A:$A,$A766))</f>
        <v>962082</v>
      </c>
      <c r="Q766" s="7" t="str">
        <f>IF(SUMIFS('Daily BSE Equity Futures'!$J:$J,'Daily BSE Equity Futures'!$A:$A,$A766)=0,"",SUMIFS('Daily BSE Equity Futures'!$J:$J,'Daily BSE Equity Futures'!$A:$A,$A766))</f>
        <v/>
      </c>
      <c r="R766" s="7" t="str">
        <f t="shared" si="138"/>
        <v/>
      </c>
      <c r="S766" s="19" t="str">
        <f t="shared" si="139"/>
        <v/>
      </c>
      <c r="T766" s="19" t="str">
        <f t="shared" si="140"/>
        <v/>
      </c>
    </row>
    <row r="767" spans="1:20" x14ac:dyDescent="0.2">
      <c r="A767" s="9">
        <v>45050</v>
      </c>
      <c r="B767" s="4" t="s">
        <v>224</v>
      </c>
      <c r="C767" s="8">
        <v>45047</v>
      </c>
      <c r="D767" s="4" t="s">
        <v>185</v>
      </c>
      <c r="E767" s="14">
        <f>IF(SUMIFS('Daily NSE Equity Futures'!$I:$I,'Daily NSE Equity Futures'!$A:$A,$A767)=0,"",SUMIFS('Daily NSE Equity Futures'!$I:$I,'Daily NSE Equity Futures'!$A:$A,$A767))</f>
        <v>770.53530000000001</v>
      </c>
      <c r="F767" s="6" t="str">
        <f>IF(SUMIFS('Daily BSE Equity Futures'!$I:$I,'Daily BSE Equity Futures'!$A:$A,$A767)=0,"",SUMIFS('Daily BSE Equity Futures'!$I:$I,'Daily BSE Equity Futures'!$A:$A,$A767))</f>
        <v/>
      </c>
      <c r="G767" s="6" t="str">
        <f t="shared" si="132"/>
        <v/>
      </c>
      <c r="H767" s="15" t="str">
        <f t="shared" si="133"/>
        <v/>
      </c>
      <c r="I767" s="15" t="str">
        <f t="shared" si="134"/>
        <v/>
      </c>
      <c r="J767" s="20">
        <f t="shared" si="135"/>
        <v>-0.33512514865161269</v>
      </c>
      <c r="K767" s="15" t="str">
        <f t="shared" si="136"/>
        <v/>
      </c>
      <c r="L767" s="15" t="str">
        <f t="shared" si="137"/>
        <v/>
      </c>
      <c r="M767" s="15">
        <f t="shared" si="141"/>
        <v>4.9879885890574238E-2</v>
      </c>
      <c r="N767" s="15" t="str">
        <f t="shared" si="142"/>
        <v/>
      </c>
      <c r="O767" s="15" t="str">
        <f t="shared" si="143"/>
        <v/>
      </c>
      <c r="P767" s="18">
        <f>IF(SUMIFS('Daily NSE Equity Futures'!$J:$J,'Daily NSE Equity Futures'!$A:$A,$A767)=0,"",SUMIFS('Daily NSE Equity Futures'!$J:$J,'Daily NSE Equity Futures'!$A:$A,$A767))</f>
        <v>977786</v>
      </c>
      <c r="Q767" s="7" t="str">
        <f>IF(SUMIFS('Daily BSE Equity Futures'!$J:$J,'Daily BSE Equity Futures'!$A:$A,$A767)=0,"",SUMIFS('Daily BSE Equity Futures'!$J:$J,'Daily BSE Equity Futures'!$A:$A,$A767))</f>
        <v/>
      </c>
      <c r="R767" s="7" t="str">
        <f t="shared" si="138"/>
        <v/>
      </c>
      <c r="S767" s="19" t="str">
        <f t="shared" si="139"/>
        <v/>
      </c>
      <c r="T767" s="19" t="str">
        <f t="shared" si="140"/>
        <v/>
      </c>
    </row>
    <row r="768" spans="1:20" x14ac:dyDescent="0.2">
      <c r="A768" s="9">
        <v>45051</v>
      </c>
      <c r="B768" s="4" t="s">
        <v>222</v>
      </c>
      <c r="C768" s="8">
        <v>45047</v>
      </c>
      <c r="D768" s="4" t="s">
        <v>185</v>
      </c>
      <c r="E768" s="14">
        <f>IF(SUMIFS('Daily NSE Equity Futures'!$I:$I,'Daily NSE Equity Futures'!$A:$A,$A768)=0,"",SUMIFS('Daily NSE Equity Futures'!$I:$I,'Daily NSE Equity Futures'!$A:$A,$A768))</f>
        <v>1171.8937000000001</v>
      </c>
      <c r="F768" s="6">
        <f>IF(SUMIFS('Daily BSE Equity Futures'!$I:$I,'Daily BSE Equity Futures'!$A:$A,$A768)=0,"",SUMIFS('Daily BSE Equity Futures'!$I:$I,'Daily BSE Equity Futures'!$A:$A,$A768))</f>
        <v>1.9E-3</v>
      </c>
      <c r="G768" s="6">
        <f t="shared" si="132"/>
        <v>1171.8956000000001</v>
      </c>
      <c r="H768" s="15">
        <f t="shared" si="133"/>
        <v>0.99999837869516706</v>
      </c>
      <c r="I768" s="15">
        <f t="shared" si="134"/>
        <v>1.6213048329561096E-6</v>
      </c>
      <c r="J768" s="20">
        <f t="shared" si="135"/>
        <v>0.17769230359521182</v>
      </c>
      <c r="K768" s="15">
        <f t="shared" si="136"/>
        <v>5.555555555555558E-2</v>
      </c>
      <c r="L768" s="15">
        <f t="shared" si="137"/>
        <v>0.1776920826616526</v>
      </c>
      <c r="M768" s="15">
        <f t="shared" si="141"/>
        <v>0.52088256047451686</v>
      </c>
      <c r="N768" s="15" t="str">
        <f t="shared" si="142"/>
        <v/>
      </c>
      <c r="O768" s="15" t="str">
        <f t="shared" si="143"/>
        <v/>
      </c>
      <c r="P768" s="18">
        <f>IF(SUMIFS('Daily NSE Equity Futures'!$J:$J,'Daily NSE Equity Futures'!$A:$A,$A768)=0,"",SUMIFS('Daily NSE Equity Futures'!$J:$J,'Daily NSE Equity Futures'!$A:$A,$A768))</f>
        <v>1457685</v>
      </c>
      <c r="Q768" s="7">
        <f>IF(SUMIFS('Daily BSE Equity Futures'!$J:$J,'Daily BSE Equity Futures'!$A:$A,$A768)=0,"",SUMIFS('Daily BSE Equity Futures'!$J:$J,'Daily BSE Equity Futures'!$A:$A,$A768))</f>
        <v>2</v>
      </c>
      <c r="R768" s="7">
        <f t="shared" si="138"/>
        <v>1457687</v>
      </c>
      <c r="S768" s="19">
        <f t="shared" si="139"/>
        <v>0.99999862796334194</v>
      </c>
      <c r="T768" s="19">
        <f t="shared" si="140"/>
        <v>1.3720366580754306E-6</v>
      </c>
    </row>
    <row r="769" spans="1:20" x14ac:dyDescent="0.2">
      <c r="A769" s="9">
        <v>45054</v>
      </c>
      <c r="B769" s="4" t="s">
        <v>225</v>
      </c>
      <c r="C769" s="8">
        <v>45047</v>
      </c>
      <c r="D769" s="4" t="s">
        <v>185</v>
      </c>
      <c r="E769" s="14">
        <f>IF(SUMIFS('Daily NSE Equity Futures'!$I:$I,'Daily NSE Equity Futures'!$A:$A,$A769)=0,"",SUMIFS('Daily NSE Equity Futures'!$I:$I,'Daily NSE Equity Futures'!$A:$A,$A769))</f>
        <v>872.25900000000001</v>
      </c>
      <c r="F769" s="6" t="str">
        <f>IF(SUMIFS('Daily BSE Equity Futures'!$I:$I,'Daily BSE Equity Futures'!$A:$A,$A769)=0,"",SUMIFS('Daily BSE Equity Futures'!$I:$I,'Daily BSE Equity Futures'!$A:$A,$A769))</f>
        <v/>
      </c>
      <c r="G769" s="6" t="str">
        <f t="shared" si="132"/>
        <v/>
      </c>
      <c r="H769" s="15" t="str">
        <f t="shared" si="133"/>
        <v/>
      </c>
      <c r="I769" s="15" t="str">
        <f t="shared" si="134"/>
        <v/>
      </c>
      <c r="J769" s="20" t="str">
        <f t="shared" si="135"/>
        <v/>
      </c>
      <c r="K769" s="15" t="str">
        <f t="shared" si="136"/>
        <v/>
      </c>
      <c r="L769" s="15" t="str">
        <f t="shared" si="137"/>
        <v/>
      </c>
      <c r="M769" s="15">
        <f t="shared" si="141"/>
        <v>-0.25568419729536906</v>
      </c>
      <c r="N769" s="15" t="str">
        <f t="shared" si="142"/>
        <v/>
      </c>
      <c r="O769" s="15" t="str">
        <f t="shared" si="143"/>
        <v/>
      </c>
      <c r="P769" s="18">
        <f>IF(SUMIFS('Daily NSE Equity Futures'!$J:$J,'Daily NSE Equity Futures'!$A:$A,$A769)=0,"",SUMIFS('Daily NSE Equity Futures'!$J:$J,'Daily NSE Equity Futures'!$A:$A,$A769))</f>
        <v>1106307</v>
      </c>
      <c r="Q769" s="7" t="str">
        <f>IF(SUMIFS('Daily BSE Equity Futures'!$J:$J,'Daily BSE Equity Futures'!$A:$A,$A769)=0,"",SUMIFS('Daily BSE Equity Futures'!$J:$J,'Daily BSE Equity Futures'!$A:$A,$A769))</f>
        <v/>
      </c>
      <c r="R769" s="7" t="str">
        <f t="shared" si="138"/>
        <v/>
      </c>
      <c r="S769" s="19" t="str">
        <f t="shared" si="139"/>
        <v/>
      </c>
      <c r="T769" s="19" t="str">
        <f t="shared" si="140"/>
        <v/>
      </c>
    </row>
    <row r="770" spans="1:20" x14ac:dyDescent="0.2">
      <c r="A770" s="9">
        <v>45055</v>
      </c>
      <c r="B770" s="4" t="s">
        <v>223</v>
      </c>
      <c r="C770" s="8">
        <v>45047</v>
      </c>
      <c r="D770" s="4" t="s">
        <v>185</v>
      </c>
      <c r="E770" s="14">
        <f>IF(SUMIFS('Daily NSE Equity Futures'!$I:$I,'Daily NSE Equity Futures'!$A:$A,$A770)=0,"",SUMIFS('Daily NSE Equity Futures'!$I:$I,'Daily NSE Equity Futures'!$A:$A,$A770))</f>
        <v>783.5453</v>
      </c>
      <c r="F770" s="6">
        <f>IF(SUMIFS('Daily BSE Equity Futures'!$I:$I,'Daily BSE Equity Futures'!$A:$A,$A770)=0,"",SUMIFS('Daily BSE Equity Futures'!$I:$I,'Daily BSE Equity Futures'!$A:$A,$A770))</f>
        <v>1.9E-3</v>
      </c>
      <c r="G770" s="6">
        <f t="shared" ref="G770:G833" si="144">IF(OR(E770="",F770=""),"",E770+F770)</f>
        <v>783.54719999999998</v>
      </c>
      <c r="H770" s="15">
        <f t="shared" ref="H770:H833" si="145">IF(G770="","",E770/G770)</f>
        <v>0.99999757513012622</v>
      </c>
      <c r="I770" s="15">
        <f t="shared" ref="I770:I833" si="146">IF(G770="","",F770/G770)</f>
        <v>2.4248698738250869E-6</v>
      </c>
      <c r="J770" s="20">
        <f t="shared" ref="J770:J833" si="147">IFERROR(IF(OR(E770="",INDEX(E:E,MATCH(DATE(YEAR($A770)-1,MONTH($A770),DAY($A770)),$A:$A,0))=""),"",E770/INDEX(E:E,MATCH(DATE(YEAR($A770)-1,MONTH($A770),DAY($A770)),$A:$A,0))-1),"")</f>
        <v>-0.21566440345291915</v>
      </c>
      <c r="K770" s="15" t="str">
        <f t="shared" ref="K770:K833" si="148">IFERROR(IF(OR(F770="",INDEX(F:F,MATCH(DATE(YEAR($A770)-1,MONTH($A770),DAY($A770)),$A:$A,0))=""),"",F770/INDEX(F:F,MATCH(DATE(YEAR($A770)-1,MONTH($A770),DAY($A770)),$A:$A,0))-1),"")</f>
        <v/>
      </c>
      <c r="L770" s="15" t="str">
        <f t="shared" ref="L770:L833" si="149">IFERROR(IF(OR(G770="",INDEX(G:G,MATCH(DATE(YEAR($A770)-1,MONTH($A770),DAY($A770)),$A:$A,0))=""),"",G770/INDEX(G:G,MATCH(DATE(YEAR($A770)-1,MONTH($A770),DAY($A770)),$A:$A,0))-1),"")</f>
        <v/>
      </c>
      <c r="M770" s="15">
        <f t="shared" si="141"/>
        <v>-0.10170568604049945</v>
      </c>
      <c r="N770" s="15" t="str">
        <f t="shared" si="142"/>
        <v/>
      </c>
      <c r="O770" s="15" t="str">
        <f t="shared" si="143"/>
        <v/>
      </c>
      <c r="P770" s="18">
        <f>IF(SUMIFS('Daily NSE Equity Futures'!$J:$J,'Daily NSE Equity Futures'!$A:$A,$A770)=0,"",SUMIFS('Daily NSE Equity Futures'!$J:$J,'Daily NSE Equity Futures'!$A:$A,$A770))</f>
        <v>1005518</v>
      </c>
      <c r="Q770" s="7">
        <f>IF(SUMIFS('Daily BSE Equity Futures'!$J:$J,'Daily BSE Equity Futures'!$A:$A,$A770)=0,"",SUMIFS('Daily BSE Equity Futures'!$J:$J,'Daily BSE Equity Futures'!$A:$A,$A770))</f>
        <v>2</v>
      </c>
      <c r="R770" s="7">
        <f t="shared" ref="R770:R833" si="150">IF(OR(P770="",Q770=""),"",P770+Q770)</f>
        <v>1005520</v>
      </c>
      <c r="S770" s="19">
        <f t="shared" ref="S770:S833" si="151">IF(R770="","",P770/R770)</f>
        <v>0.99999801097939378</v>
      </c>
      <c r="T770" s="19">
        <f t="shared" ref="T770:T833" si="152">IF(R770="","",Q770/R770)</f>
        <v>1.9890206062534809E-6</v>
      </c>
    </row>
    <row r="771" spans="1:20" x14ac:dyDescent="0.2">
      <c r="A771" s="9">
        <v>45056</v>
      </c>
      <c r="B771" s="4" t="s">
        <v>221</v>
      </c>
      <c r="C771" s="8">
        <v>45047</v>
      </c>
      <c r="D771" s="4" t="s">
        <v>185</v>
      </c>
      <c r="E771" s="14">
        <f>IF(SUMIFS('Daily NSE Equity Futures'!$I:$I,'Daily NSE Equity Futures'!$A:$A,$A771)=0,"",SUMIFS('Daily NSE Equity Futures'!$I:$I,'Daily NSE Equity Futures'!$A:$A,$A771))</f>
        <v>737.10720000000003</v>
      </c>
      <c r="F771" s="6">
        <f>IF(SUMIFS('Daily BSE Equity Futures'!$I:$I,'Daily BSE Equity Futures'!$A:$A,$A771)=0,"",SUMIFS('Daily BSE Equity Futures'!$I:$I,'Daily BSE Equity Futures'!$A:$A,$A771))</f>
        <v>1.9E-3</v>
      </c>
      <c r="G771" s="6">
        <f t="shared" si="144"/>
        <v>737.10910000000001</v>
      </c>
      <c r="H771" s="15">
        <f t="shared" si="145"/>
        <v>0.99999742236257838</v>
      </c>
      <c r="I771" s="15">
        <f t="shared" si="146"/>
        <v>2.577637421651693E-6</v>
      </c>
      <c r="J771" s="20">
        <f t="shared" si="147"/>
        <v>-0.24582259784412341</v>
      </c>
      <c r="K771" s="15">
        <f t="shared" si="148"/>
        <v>-0.86896551724137927</v>
      </c>
      <c r="L771" s="15">
        <f t="shared" si="149"/>
        <v>-0.24583184252844059</v>
      </c>
      <c r="M771" s="15">
        <f t="shared" ref="M771:M834" si="153">IF(OR(E771="",E770=""),"",E771/E770-1)</f>
        <v>-5.9266643549517717E-2</v>
      </c>
      <c r="N771" s="15">
        <f t="shared" ref="N771:N834" si="154">IF(OR(F771="",F770=""),"",F771/F770-1)</f>
        <v>0</v>
      </c>
      <c r="O771" s="15">
        <f t="shared" ref="O771:O834" si="155">IF(OR(G771="",G770=""),"",G771/G770-1)</f>
        <v>-5.9266499835619268E-2</v>
      </c>
      <c r="P771" s="18">
        <f>IF(SUMIFS('Daily NSE Equity Futures'!$J:$J,'Daily NSE Equity Futures'!$A:$A,$A771)=0,"",SUMIFS('Daily NSE Equity Futures'!$J:$J,'Daily NSE Equity Futures'!$A:$A,$A771))</f>
        <v>927076</v>
      </c>
      <c r="Q771" s="7">
        <f>IF(SUMIFS('Daily BSE Equity Futures'!$J:$J,'Daily BSE Equity Futures'!$A:$A,$A771)=0,"",SUMIFS('Daily BSE Equity Futures'!$J:$J,'Daily BSE Equity Futures'!$A:$A,$A771))</f>
        <v>2</v>
      </c>
      <c r="R771" s="7">
        <f t="shared" si="150"/>
        <v>927078</v>
      </c>
      <c r="S771" s="19">
        <f t="shared" si="151"/>
        <v>0.99999784268421854</v>
      </c>
      <c r="T771" s="19">
        <f t="shared" si="152"/>
        <v>2.1573157814121358E-6</v>
      </c>
    </row>
    <row r="772" spans="1:20" x14ac:dyDescent="0.2">
      <c r="A772" s="9">
        <v>45057</v>
      </c>
      <c r="B772" s="4" t="s">
        <v>224</v>
      </c>
      <c r="C772" s="8">
        <v>45047</v>
      </c>
      <c r="D772" s="4" t="s">
        <v>185</v>
      </c>
      <c r="E772" s="14">
        <f>IF(SUMIFS('Daily NSE Equity Futures'!$I:$I,'Daily NSE Equity Futures'!$A:$A,$A772)=0,"",SUMIFS('Daily NSE Equity Futures'!$I:$I,'Daily NSE Equity Futures'!$A:$A,$A772))</f>
        <v>804.35919999999999</v>
      </c>
      <c r="F772" s="6" t="str">
        <f>IF(SUMIFS('Daily BSE Equity Futures'!$I:$I,'Daily BSE Equity Futures'!$A:$A,$A772)=0,"",SUMIFS('Daily BSE Equity Futures'!$I:$I,'Daily BSE Equity Futures'!$A:$A,$A772))</f>
        <v/>
      </c>
      <c r="G772" s="6" t="str">
        <f t="shared" si="144"/>
        <v/>
      </c>
      <c r="H772" s="15" t="str">
        <f t="shared" si="145"/>
        <v/>
      </c>
      <c r="I772" s="15" t="str">
        <f t="shared" si="146"/>
        <v/>
      </c>
      <c r="J772" s="20">
        <f t="shared" si="147"/>
        <v>-0.26775486386459157</v>
      </c>
      <c r="K772" s="15" t="str">
        <f t="shared" si="148"/>
        <v/>
      </c>
      <c r="L772" s="15" t="str">
        <f t="shared" si="149"/>
        <v/>
      </c>
      <c r="M772" s="15">
        <f t="shared" si="153"/>
        <v>9.1237746694103672E-2</v>
      </c>
      <c r="N772" s="15" t="str">
        <f t="shared" si="154"/>
        <v/>
      </c>
      <c r="O772" s="15" t="str">
        <f t="shared" si="155"/>
        <v/>
      </c>
      <c r="P772" s="18">
        <f>IF(SUMIFS('Daily NSE Equity Futures'!$J:$J,'Daily NSE Equity Futures'!$A:$A,$A772)=0,"",SUMIFS('Daily NSE Equity Futures'!$J:$J,'Daily NSE Equity Futures'!$A:$A,$A772))</f>
        <v>1071086</v>
      </c>
      <c r="Q772" s="7" t="str">
        <f>IF(SUMIFS('Daily BSE Equity Futures'!$J:$J,'Daily BSE Equity Futures'!$A:$A,$A772)=0,"",SUMIFS('Daily BSE Equity Futures'!$J:$J,'Daily BSE Equity Futures'!$A:$A,$A772))</f>
        <v/>
      </c>
      <c r="R772" s="7" t="str">
        <f t="shared" si="150"/>
        <v/>
      </c>
      <c r="S772" s="19" t="str">
        <f t="shared" si="151"/>
        <v/>
      </c>
      <c r="T772" s="19" t="str">
        <f t="shared" si="152"/>
        <v/>
      </c>
    </row>
    <row r="773" spans="1:20" x14ac:dyDescent="0.2">
      <c r="A773" s="9">
        <v>45058</v>
      </c>
      <c r="B773" s="4" t="s">
        <v>222</v>
      </c>
      <c r="C773" s="8">
        <v>45047</v>
      </c>
      <c r="D773" s="4" t="s">
        <v>185</v>
      </c>
      <c r="E773" s="14">
        <f>IF(SUMIFS('Daily NSE Equity Futures'!$I:$I,'Daily NSE Equity Futures'!$A:$A,$A773)=0,"",SUMIFS('Daily NSE Equity Futures'!$I:$I,'Daily NSE Equity Futures'!$A:$A,$A773))</f>
        <v>848.01430000000005</v>
      </c>
      <c r="F773" s="6" t="str">
        <f>IF(SUMIFS('Daily BSE Equity Futures'!$I:$I,'Daily BSE Equity Futures'!$A:$A,$A773)=0,"",SUMIFS('Daily BSE Equity Futures'!$I:$I,'Daily BSE Equity Futures'!$A:$A,$A773))</f>
        <v/>
      </c>
      <c r="G773" s="6" t="str">
        <f t="shared" si="144"/>
        <v/>
      </c>
      <c r="H773" s="15" t="str">
        <f t="shared" si="145"/>
        <v/>
      </c>
      <c r="I773" s="15" t="str">
        <f t="shared" si="146"/>
        <v/>
      </c>
      <c r="J773" s="20">
        <f t="shared" si="147"/>
        <v>-0.21956403999482788</v>
      </c>
      <c r="K773" s="15" t="str">
        <f t="shared" si="148"/>
        <v/>
      </c>
      <c r="L773" s="15" t="str">
        <f t="shared" si="149"/>
        <v/>
      </c>
      <c r="M773" s="15">
        <f t="shared" si="153"/>
        <v>5.4273140656562413E-2</v>
      </c>
      <c r="N773" s="15" t="str">
        <f t="shared" si="154"/>
        <v/>
      </c>
      <c r="O773" s="15" t="str">
        <f t="shared" si="155"/>
        <v/>
      </c>
      <c r="P773" s="18">
        <f>IF(SUMIFS('Daily NSE Equity Futures'!$J:$J,'Daily NSE Equity Futures'!$A:$A,$A773)=0,"",SUMIFS('Daily NSE Equity Futures'!$J:$J,'Daily NSE Equity Futures'!$A:$A,$A773))</f>
        <v>1101842</v>
      </c>
      <c r="Q773" s="7" t="str">
        <f>IF(SUMIFS('Daily BSE Equity Futures'!$J:$J,'Daily BSE Equity Futures'!$A:$A,$A773)=0,"",SUMIFS('Daily BSE Equity Futures'!$J:$J,'Daily BSE Equity Futures'!$A:$A,$A773))</f>
        <v/>
      </c>
      <c r="R773" s="7" t="str">
        <f t="shared" si="150"/>
        <v/>
      </c>
      <c r="S773" s="19" t="str">
        <f t="shared" si="151"/>
        <v/>
      </c>
      <c r="T773" s="19" t="str">
        <f t="shared" si="152"/>
        <v/>
      </c>
    </row>
    <row r="774" spans="1:20" x14ac:dyDescent="0.2">
      <c r="A774" s="9">
        <v>45061</v>
      </c>
      <c r="B774" s="4" t="s">
        <v>225</v>
      </c>
      <c r="C774" s="8">
        <v>45047</v>
      </c>
      <c r="D774" s="4" t="s">
        <v>185</v>
      </c>
      <c r="E774" s="14">
        <f>IF(SUMIFS('Daily NSE Equity Futures'!$I:$I,'Daily NSE Equity Futures'!$A:$A,$A774)=0,"",SUMIFS('Daily NSE Equity Futures'!$I:$I,'Daily NSE Equity Futures'!$A:$A,$A774))</f>
        <v>773.97339999999997</v>
      </c>
      <c r="F774" s="6">
        <f>IF(SUMIFS('Daily BSE Equity Futures'!$I:$I,'Daily BSE Equity Futures'!$A:$A,$A774)=0,"",SUMIFS('Daily BSE Equity Futures'!$I:$I,'Daily BSE Equity Futures'!$A:$A,$A774))</f>
        <v>0.30330000000000001</v>
      </c>
      <c r="G774" s="6">
        <f t="shared" si="144"/>
        <v>774.27670000000001</v>
      </c>
      <c r="H774" s="15">
        <f t="shared" si="145"/>
        <v>0.99960827957240606</v>
      </c>
      <c r="I774" s="15">
        <f t="shared" si="146"/>
        <v>3.91720427593908E-4</v>
      </c>
      <c r="J774" s="20" t="str">
        <f t="shared" si="147"/>
        <v/>
      </c>
      <c r="K774" s="15" t="str">
        <f t="shared" si="148"/>
        <v/>
      </c>
      <c r="L774" s="15" t="str">
        <f t="shared" si="149"/>
        <v/>
      </c>
      <c r="M774" s="15">
        <f t="shared" si="153"/>
        <v>-8.7310909733479769E-2</v>
      </c>
      <c r="N774" s="15" t="str">
        <f t="shared" si="154"/>
        <v/>
      </c>
      <c r="O774" s="15" t="str">
        <f t="shared" si="155"/>
        <v/>
      </c>
      <c r="P774" s="18">
        <f>IF(SUMIFS('Daily NSE Equity Futures'!$J:$J,'Daily NSE Equity Futures'!$A:$A,$A774)=0,"",SUMIFS('Daily NSE Equity Futures'!$J:$J,'Daily NSE Equity Futures'!$A:$A,$A774))</f>
        <v>1011171</v>
      </c>
      <c r="Q774" s="7">
        <f>IF(SUMIFS('Daily BSE Equity Futures'!$J:$J,'Daily BSE Equity Futures'!$A:$A,$A774)=0,"",SUMIFS('Daily BSE Equity Futures'!$J:$J,'Daily BSE Equity Futures'!$A:$A,$A774))</f>
        <v>481</v>
      </c>
      <c r="R774" s="7">
        <f t="shared" si="150"/>
        <v>1011652</v>
      </c>
      <c r="S774" s="19">
        <f t="shared" si="151"/>
        <v>0.99952454005922986</v>
      </c>
      <c r="T774" s="19">
        <f t="shared" si="152"/>
        <v>4.7545994077014626E-4</v>
      </c>
    </row>
    <row r="775" spans="1:20" x14ac:dyDescent="0.2">
      <c r="A775" s="9">
        <v>45062</v>
      </c>
      <c r="B775" s="4" t="s">
        <v>223</v>
      </c>
      <c r="C775" s="8">
        <v>45047</v>
      </c>
      <c r="D775" s="4" t="s">
        <v>185</v>
      </c>
      <c r="E775" s="14">
        <f>IF(SUMIFS('Daily NSE Equity Futures'!$I:$I,'Daily NSE Equity Futures'!$A:$A,$A775)=0,"",SUMIFS('Daily NSE Equity Futures'!$I:$I,'Daily NSE Equity Futures'!$A:$A,$A775))</f>
        <v>813.68219999999997</v>
      </c>
      <c r="F775" s="6">
        <f>IF(SUMIFS('Daily BSE Equity Futures'!$I:$I,'Daily BSE Equity Futures'!$A:$A,$A775)=0,"",SUMIFS('Daily BSE Equity Futures'!$I:$I,'Daily BSE Equity Futures'!$A:$A,$A775))</f>
        <v>0.24940000000000001</v>
      </c>
      <c r="G775" s="6">
        <f t="shared" si="144"/>
        <v>813.9316</v>
      </c>
      <c r="H775" s="15">
        <f t="shared" si="145"/>
        <v>0.99969358604580527</v>
      </c>
      <c r="I775" s="15">
        <f t="shared" si="146"/>
        <v>3.0641395419467679E-4</v>
      </c>
      <c r="J775" s="20">
        <f t="shared" si="147"/>
        <v>-0.11409212271633118</v>
      </c>
      <c r="K775" s="15">
        <f t="shared" si="148"/>
        <v>98.76</v>
      </c>
      <c r="L775" s="15">
        <f t="shared" si="149"/>
        <v>-0.11382299707166843</v>
      </c>
      <c r="M775" s="15">
        <f t="shared" si="153"/>
        <v>5.1305122372422574E-2</v>
      </c>
      <c r="N775" s="15">
        <f t="shared" si="154"/>
        <v>-0.17771183646554567</v>
      </c>
      <c r="O775" s="15">
        <f t="shared" si="155"/>
        <v>5.1215411751380335E-2</v>
      </c>
      <c r="P775" s="18">
        <f>IF(SUMIFS('Daily NSE Equity Futures'!$J:$J,'Daily NSE Equity Futures'!$A:$A,$A775)=0,"",SUMIFS('Daily NSE Equity Futures'!$J:$J,'Daily NSE Equity Futures'!$A:$A,$A775))</f>
        <v>1039669</v>
      </c>
      <c r="Q775" s="7">
        <f>IF(SUMIFS('Daily BSE Equity Futures'!$J:$J,'Daily BSE Equity Futures'!$A:$A,$A775)=0,"",SUMIFS('Daily BSE Equity Futures'!$J:$J,'Daily BSE Equity Futures'!$A:$A,$A775))</f>
        <v>390</v>
      </c>
      <c r="R775" s="7">
        <f t="shared" si="150"/>
        <v>1040059</v>
      </c>
      <c r="S775" s="19">
        <f t="shared" si="151"/>
        <v>0.99962502127283159</v>
      </c>
      <c r="T775" s="19">
        <f t="shared" si="152"/>
        <v>3.7497872716836257E-4</v>
      </c>
    </row>
    <row r="776" spans="1:20" x14ac:dyDescent="0.2">
      <c r="A776" s="9">
        <v>45063</v>
      </c>
      <c r="B776" s="4" t="s">
        <v>221</v>
      </c>
      <c r="C776" s="8">
        <v>45047</v>
      </c>
      <c r="D776" s="4" t="s">
        <v>185</v>
      </c>
      <c r="E776" s="14">
        <f>IF(SUMIFS('Daily NSE Equity Futures'!$I:$I,'Daily NSE Equity Futures'!$A:$A,$A776)=0,"",SUMIFS('Daily NSE Equity Futures'!$I:$I,'Daily NSE Equity Futures'!$A:$A,$A776))</f>
        <v>955.91849999999999</v>
      </c>
      <c r="F776" s="6">
        <f>IF(SUMIFS('Daily BSE Equity Futures'!$I:$I,'Daily BSE Equity Futures'!$A:$A,$A776)=0,"",SUMIFS('Daily BSE Equity Futures'!$I:$I,'Daily BSE Equity Futures'!$A:$A,$A776))</f>
        <v>0.17080000000000001</v>
      </c>
      <c r="G776" s="6">
        <f t="shared" si="144"/>
        <v>956.08929999999998</v>
      </c>
      <c r="H776" s="15">
        <f t="shared" si="145"/>
        <v>0.99982135559931484</v>
      </c>
      <c r="I776" s="15">
        <f t="shared" si="146"/>
        <v>1.7864440068516614E-4</v>
      </c>
      <c r="J776" s="20">
        <f t="shared" si="147"/>
        <v>-3.6492432645734207E-2</v>
      </c>
      <c r="K776" s="15">
        <f t="shared" si="148"/>
        <v>33.160000000000004</v>
      </c>
      <c r="L776" s="15">
        <f t="shared" si="149"/>
        <v>-3.6325133286666089E-2</v>
      </c>
      <c r="M776" s="15">
        <f t="shared" si="153"/>
        <v>0.17480571653158949</v>
      </c>
      <c r="N776" s="15">
        <f t="shared" si="154"/>
        <v>-0.31515637530072171</v>
      </c>
      <c r="O776" s="15">
        <f t="shared" si="155"/>
        <v>0.17465558530962544</v>
      </c>
      <c r="P776" s="18">
        <f>IF(SUMIFS('Daily NSE Equity Futures'!$J:$J,'Daily NSE Equity Futures'!$A:$A,$A776)=0,"",SUMIFS('Daily NSE Equity Futures'!$J:$J,'Daily NSE Equity Futures'!$A:$A,$A776))</f>
        <v>1228172</v>
      </c>
      <c r="Q776" s="7">
        <f>IF(SUMIFS('Daily BSE Equity Futures'!$J:$J,'Daily BSE Equity Futures'!$A:$A,$A776)=0,"",SUMIFS('Daily BSE Equity Futures'!$J:$J,'Daily BSE Equity Futures'!$A:$A,$A776))</f>
        <v>274</v>
      </c>
      <c r="R776" s="7">
        <f t="shared" si="150"/>
        <v>1228446</v>
      </c>
      <c r="S776" s="19">
        <f t="shared" si="151"/>
        <v>0.9997769539727428</v>
      </c>
      <c r="T776" s="19">
        <f t="shared" si="152"/>
        <v>2.2304602725720137E-4</v>
      </c>
    </row>
    <row r="777" spans="1:20" x14ac:dyDescent="0.2">
      <c r="A777" s="9">
        <v>45064</v>
      </c>
      <c r="B777" s="4" t="s">
        <v>224</v>
      </c>
      <c r="C777" s="8">
        <v>45047</v>
      </c>
      <c r="D777" s="4" t="s">
        <v>185</v>
      </c>
      <c r="E777" s="14">
        <f>IF(SUMIFS('Daily NSE Equity Futures'!$I:$I,'Daily NSE Equity Futures'!$A:$A,$A777)=0,"",SUMIFS('Daily NSE Equity Futures'!$I:$I,'Daily NSE Equity Futures'!$A:$A,$A777))</f>
        <v>1003.1362</v>
      </c>
      <c r="F777" s="6">
        <f>IF(SUMIFS('Daily BSE Equity Futures'!$I:$I,'Daily BSE Equity Futures'!$A:$A,$A777)=0,"",SUMIFS('Daily BSE Equity Futures'!$I:$I,'Daily BSE Equity Futures'!$A:$A,$A777))</f>
        <v>0.18779999999999999</v>
      </c>
      <c r="G777" s="6">
        <f t="shared" si="144"/>
        <v>1003.3240000000001</v>
      </c>
      <c r="H777" s="15">
        <f t="shared" si="145"/>
        <v>0.99981282217907674</v>
      </c>
      <c r="I777" s="15">
        <f t="shared" si="146"/>
        <v>1.871778209232511E-4</v>
      </c>
      <c r="J777" s="20">
        <f t="shared" si="147"/>
        <v>-1.5838917746390679E-2</v>
      </c>
      <c r="K777" s="15">
        <f t="shared" si="148"/>
        <v>109.47058823529412</v>
      </c>
      <c r="L777" s="15">
        <f t="shared" si="149"/>
        <v>-1.5656311863387673E-2</v>
      </c>
      <c r="M777" s="15">
        <f t="shared" si="153"/>
        <v>4.9395110566434308E-2</v>
      </c>
      <c r="N777" s="15">
        <f t="shared" si="154"/>
        <v>9.9531615925058547E-2</v>
      </c>
      <c r="O777" s="15">
        <f t="shared" si="155"/>
        <v>4.9404067172386545E-2</v>
      </c>
      <c r="P777" s="18">
        <f>IF(SUMIFS('Daily NSE Equity Futures'!$J:$J,'Daily NSE Equity Futures'!$A:$A,$A777)=0,"",SUMIFS('Daily NSE Equity Futures'!$J:$J,'Daily NSE Equity Futures'!$A:$A,$A777))</f>
        <v>1289790</v>
      </c>
      <c r="Q777" s="7">
        <f>IF(SUMIFS('Daily BSE Equity Futures'!$J:$J,'Daily BSE Equity Futures'!$A:$A,$A777)=0,"",SUMIFS('Daily BSE Equity Futures'!$J:$J,'Daily BSE Equity Futures'!$A:$A,$A777))</f>
        <v>302</v>
      </c>
      <c r="R777" s="7">
        <f t="shared" si="150"/>
        <v>1290092</v>
      </c>
      <c r="S777" s="19">
        <f t="shared" si="151"/>
        <v>0.99976590816778954</v>
      </c>
      <c r="T777" s="19">
        <f t="shared" si="152"/>
        <v>2.34091832210416E-4</v>
      </c>
    </row>
    <row r="778" spans="1:20" x14ac:dyDescent="0.2">
      <c r="A778" s="9">
        <v>45065</v>
      </c>
      <c r="B778" s="4" t="s">
        <v>222</v>
      </c>
      <c r="C778" s="8">
        <v>45047</v>
      </c>
      <c r="D778" s="4" t="s">
        <v>185</v>
      </c>
      <c r="E778" s="14">
        <f>IF(SUMIFS('Daily NSE Equity Futures'!$I:$I,'Daily NSE Equity Futures'!$A:$A,$A778)=0,"",SUMIFS('Daily NSE Equity Futures'!$I:$I,'Daily NSE Equity Futures'!$A:$A,$A778))</f>
        <v>1150.2467999999999</v>
      </c>
      <c r="F778" s="6">
        <f>IF(SUMIFS('Daily BSE Equity Futures'!$I:$I,'Daily BSE Equity Futures'!$A:$A,$A778)=0,"",SUMIFS('Daily BSE Equity Futures'!$I:$I,'Daily BSE Equity Futures'!$A:$A,$A778))</f>
        <v>0.34649999999999997</v>
      </c>
      <c r="G778" s="6">
        <f t="shared" si="144"/>
        <v>1150.5933</v>
      </c>
      <c r="H778" s="15">
        <f t="shared" si="145"/>
        <v>0.99969885101886125</v>
      </c>
      <c r="I778" s="15">
        <f t="shared" si="146"/>
        <v>3.0114898113868727E-4</v>
      </c>
      <c r="J778" s="20">
        <f t="shared" si="147"/>
        <v>6.2759384692711251E-2</v>
      </c>
      <c r="K778" s="15">
        <f t="shared" si="148"/>
        <v>137.6</v>
      </c>
      <c r="L778" s="15">
        <f t="shared" si="149"/>
        <v>6.3077074460639482E-2</v>
      </c>
      <c r="M778" s="15">
        <f t="shared" si="153"/>
        <v>0.14665067415571276</v>
      </c>
      <c r="N778" s="15">
        <f t="shared" si="154"/>
        <v>0.84504792332268353</v>
      </c>
      <c r="O778" s="15">
        <f t="shared" si="155"/>
        <v>0.14678139863095074</v>
      </c>
      <c r="P778" s="18">
        <f>IF(SUMIFS('Daily NSE Equity Futures'!$J:$J,'Daily NSE Equity Futures'!$A:$A,$A778)=0,"",SUMIFS('Daily NSE Equity Futures'!$J:$J,'Daily NSE Equity Futures'!$A:$A,$A778))</f>
        <v>1529138</v>
      </c>
      <c r="Q778" s="7">
        <f>IF(SUMIFS('Daily BSE Equity Futures'!$J:$J,'Daily BSE Equity Futures'!$A:$A,$A778)=0,"",SUMIFS('Daily BSE Equity Futures'!$J:$J,'Daily BSE Equity Futures'!$A:$A,$A778))</f>
        <v>562</v>
      </c>
      <c r="R778" s="7">
        <f t="shared" si="150"/>
        <v>1529700</v>
      </c>
      <c r="S778" s="19">
        <f t="shared" si="151"/>
        <v>0.99963260770085638</v>
      </c>
      <c r="T778" s="19">
        <f t="shared" si="152"/>
        <v>3.6739229914362293E-4</v>
      </c>
    </row>
    <row r="779" spans="1:20" x14ac:dyDescent="0.2">
      <c r="A779" s="9">
        <v>45068</v>
      </c>
      <c r="B779" s="4" t="s">
        <v>225</v>
      </c>
      <c r="C779" s="8">
        <v>45047</v>
      </c>
      <c r="D779" s="4" t="s">
        <v>185</v>
      </c>
      <c r="E779" s="14">
        <f>IF(SUMIFS('Daily NSE Equity Futures'!$I:$I,'Daily NSE Equity Futures'!$A:$A,$A779)=0,"",SUMIFS('Daily NSE Equity Futures'!$I:$I,'Daily NSE Equity Futures'!$A:$A,$A779))</f>
        <v>1800.6899000000001</v>
      </c>
      <c r="F779" s="6">
        <f>IF(SUMIFS('Daily BSE Equity Futures'!$I:$I,'Daily BSE Equity Futures'!$A:$A,$A779)=0,"",SUMIFS('Daily BSE Equity Futures'!$I:$I,'Daily BSE Equity Futures'!$A:$A,$A779))</f>
        <v>0.1787</v>
      </c>
      <c r="G779" s="6">
        <f t="shared" si="144"/>
        <v>1800.8686</v>
      </c>
      <c r="H779" s="15">
        <f t="shared" si="145"/>
        <v>0.99990077010615885</v>
      </c>
      <c r="I779" s="15">
        <f t="shared" si="146"/>
        <v>9.922989384122751E-5</v>
      </c>
      <c r="J779" s="20" t="str">
        <f t="shared" si="147"/>
        <v/>
      </c>
      <c r="K779" s="15" t="str">
        <f t="shared" si="148"/>
        <v/>
      </c>
      <c r="L779" s="15" t="str">
        <f t="shared" si="149"/>
        <v/>
      </c>
      <c r="M779" s="15">
        <f t="shared" si="153"/>
        <v>0.56548133843971593</v>
      </c>
      <c r="N779" s="15">
        <f t="shared" si="154"/>
        <v>-0.48427128427128419</v>
      </c>
      <c r="O779" s="15">
        <f t="shared" si="155"/>
        <v>0.56516520650693858</v>
      </c>
      <c r="P779" s="18">
        <f>IF(SUMIFS('Daily NSE Equity Futures'!$J:$J,'Daily NSE Equity Futures'!$A:$A,$A779)=0,"",SUMIFS('Daily NSE Equity Futures'!$J:$J,'Daily NSE Equity Futures'!$A:$A,$A779))</f>
        <v>2508456</v>
      </c>
      <c r="Q779" s="7">
        <f>IF(SUMIFS('Daily BSE Equity Futures'!$J:$J,'Daily BSE Equity Futures'!$A:$A,$A779)=0,"",SUMIFS('Daily BSE Equity Futures'!$J:$J,'Daily BSE Equity Futures'!$A:$A,$A779))</f>
        <v>285</v>
      </c>
      <c r="R779" s="7">
        <f t="shared" si="150"/>
        <v>2508741</v>
      </c>
      <c r="S779" s="19">
        <f t="shared" si="151"/>
        <v>0.99988639720082706</v>
      </c>
      <c r="T779" s="19">
        <f t="shared" si="152"/>
        <v>1.1360279917297162E-4</v>
      </c>
    </row>
    <row r="780" spans="1:20" x14ac:dyDescent="0.2">
      <c r="A780" s="9">
        <v>45069</v>
      </c>
      <c r="B780" s="4" t="s">
        <v>223</v>
      </c>
      <c r="C780" s="8">
        <v>45047</v>
      </c>
      <c r="D780" s="4" t="s">
        <v>185</v>
      </c>
      <c r="E780" s="14">
        <f>IF(SUMIFS('Daily NSE Equity Futures'!$I:$I,'Daily NSE Equity Futures'!$A:$A,$A780)=0,"",SUMIFS('Daily NSE Equity Futures'!$I:$I,'Daily NSE Equity Futures'!$A:$A,$A780))</f>
        <v>1856.6131</v>
      </c>
      <c r="F780" s="6">
        <f>IF(SUMIFS('Daily BSE Equity Futures'!$I:$I,'Daily BSE Equity Futures'!$A:$A,$A780)=0,"",SUMIFS('Daily BSE Equity Futures'!$I:$I,'Daily BSE Equity Futures'!$A:$A,$A780))</f>
        <v>0.20230000000000001</v>
      </c>
      <c r="G780" s="6">
        <f t="shared" si="144"/>
        <v>1856.8154</v>
      </c>
      <c r="H780" s="15">
        <f t="shared" si="145"/>
        <v>0.9998910500203736</v>
      </c>
      <c r="I780" s="15">
        <f t="shared" si="146"/>
        <v>1.0894997962640767E-4</v>
      </c>
      <c r="J780" s="20">
        <f t="shared" si="147"/>
        <v>7.0743253141825058E-4</v>
      </c>
      <c r="K780" s="15">
        <f t="shared" si="148"/>
        <v>28.750000000000004</v>
      </c>
      <c r="L780" s="15">
        <f t="shared" si="149"/>
        <v>8.1280331227051583E-4</v>
      </c>
      <c r="M780" s="15">
        <f t="shared" si="153"/>
        <v>3.1056541162362228E-2</v>
      </c>
      <c r="N780" s="15">
        <f t="shared" si="154"/>
        <v>0.13206491326245118</v>
      </c>
      <c r="O780" s="15">
        <f t="shared" si="155"/>
        <v>3.1066564212402836E-2</v>
      </c>
      <c r="P780" s="18">
        <f>IF(SUMIFS('Daily NSE Equity Futures'!$J:$J,'Daily NSE Equity Futures'!$A:$A,$A780)=0,"",SUMIFS('Daily NSE Equity Futures'!$J:$J,'Daily NSE Equity Futures'!$A:$A,$A780))</f>
        <v>2581311</v>
      </c>
      <c r="Q780" s="7">
        <f>IF(SUMIFS('Daily BSE Equity Futures'!$J:$J,'Daily BSE Equity Futures'!$A:$A,$A780)=0,"",SUMIFS('Daily BSE Equity Futures'!$J:$J,'Daily BSE Equity Futures'!$A:$A,$A780))</f>
        <v>323</v>
      </c>
      <c r="R780" s="7">
        <f t="shared" si="150"/>
        <v>2581634</v>
      </c>
      <c r="S780" s="19">
        <f t="shared" si="151"/>
        <v>0.99987488544077119</v>
      </c>
      <c r="T780" s="19">
        <f t="shared" si="152"/>
        <v>1.2511455922876752E-4</v>
      </c>
    </row>
    <row r="781" spans="1:20" x14ac:dyDescent="0.2">
      <c r="A781" s="9">
        <v>45070</v>
      </c>
      <c r="B781" s="4" t="s">
        <v>221</v>
      </c>
      <c r="C781" s="8">
        <v>45047</v>
      </c>
      <c r="D781" s="4" t="s">
        <v>185</v>
      </c>
      <c r="E781" s="14">
        <f>IF(SUMIFS('Daily NSE Equity Futures'!$I:$I,'Daily NSE Equity Futures'!$A:$A,$A781)=0,"",SUMIFS('Daily NSE Equity Futures'!$I:$I,'Daily NSE Equity Futures'!$A:$A,$A781))</f>
        <v>1877.3140000000001</v>
      </c>
      <c r="F781" s="6">
        <f>IF(SUMIFS('Daily BSE Equity Futures'!$I:$I,'Daily BSE Equity Futures'!$A:$A,$A781)=0,"",SUMIFS('Daily BSE Equity Futures'!$I:$I,'Daily BSE Equity Futures'!$A:$A,$A781))</f>
        <v>0.1263</v>
      </c>
      <c r="G781" s="6">
        <f t="shared" si="144"/>
        <v>1877.4403</v>
      </c>
      <c r="H781" s="15">
        <f t="shared" si="145"/>
        <v>0.99993272755463924</v>
      </c>
      <c r="I781" s="15">
        <f t="shared" si="146"/>
        <v>6.727244536084582E-5</v>
      </c>
      <c r="J781" s="20">
        <f t="shared" si="147"/>
        <v>-7.3245905229301633E-2</v>
      </c>
      <c r="K781" s="15">
        <f t="shared" si="148"/>
        <v>49.519999999999996</v>
      </c>
      <c r="L781" s="15">
        <f t="shared" si="149"/>
        <v>-7.3184699848910739E-2</v>
      </c>
      <c r="M781" s="15">
        <f t="shared" si="153"/>
        <v>1.114981899028944E-2</v>
      </c>
      <c r="N781" s="15">
        <f t="shared" si="154"/>
        <v>-0.37567968363816118</v>
      </c>
      <c r="O781" s="15">
        <f t="shared" si="155"/>
        <v>1.110767392385914E-2</v>
      </c>
      <c r="P781" s="18">
        <f>IF(SUMIFS('Daily NSE Equity Futures'!$J:$J,'Daily NSE Equity Futures'!$A:$A,$A781)=0,"",SUMIFS('Daily NSE Equity Futures'!$J:$J,'Daily NSE Equity Futures'!$A:$A,$A781))</f>
        <v>2564894</v>
      </c>
      <c r="Q781" s="7">
        <f>IF(SUMIFS('Daily BSE Equity Futures'!$J:$J,'Daily BSE Equity Futures'!$A:$A,$A781)=0,"",SUMIFS('Daily BSE Equity Futures'!$J:$J,'Daily BSE Equity Futures'!$A:$A,$A781))</f>
        <v>202</v>
      </c>
      <c r="R781" s="7">
        <f t="shared" si="150"/>
        <v>2565096</v>
      </c>
      <c r="S781" s="19">
        <f t="shared" si="151"/>
        <v>0.99992125051070213</v>
      </c>
      <c r="T781" s="19">
        <f t="shared" si="152"/>
        <v>7.8749489297866439E-5</v>
      </c>
    </row>
    <row r="782" spans="1:20" x14ac:dyDescent="0.2">
      <c r="A782" s="9">
        <v>45071</v>
      </c>
      <c r="B782" s="4" t="s">
        <v>224</v>
      </c>
      <c r="C782" s="8">
        <v>45047</v>
      </c>
      <c r="D782" s="4" t="s">
        <v>185</v>
      </c>
      <c r="E782" s="14">
        <f>IF(SUMIFS('Daily NSE Equity Futures'!$I:$I,'Daily NSE Equity Futures'!$A:$A,$A782)=0,"",SUMIFS('Daily NSE Equity Futures'!$I:$I,'Daily NSE Equity Futures'!$A:$A,$A782))</f>
        <v>1966.3955000000001</v>
      </c>
      <c r="F782" s="6">
        <f>IF(SUMIFS('Daily BSE Equity Futures'!$I:$I,'Daily BSE Equity Futures'!$A:$A,$A782)=0,"",SUMIFS('Daily BSE Equity Futures'!$I:$I,'Daily BSE Equity Futures'!$A:$A,$A782))</f>
        <v>0.24510000000000001</v>
      </c>
      <c r="G782" s="6">
        <f t="shared" si="144"/>
        <v>1966.6406000000002</v>
      </c>
      <c r="H782" s="15">
        <f t="shared" si="145"/>
        <v>0.99987537122949655</v>
      </c>
      <c r="I782" s="15">
        <f t="shared" si="146"/>
        <v>1.2462877050336497E-4</v>
      </c>
      <c r="J782" s="20">
        <f t="shared" si="147"/>
        <v>4.8563226937079484E-3</v>
      </c>
      <c r="K782" s="15">
        <f t="shared" si="148"/>
        <v>97.04</v>
      </c>
      <c r="L782" s="15">
        <f t="shared" si="149"/>
        <v>4.9802884130658587E-3</v>
      </c>
      <c r="M782" s="15">
        <f t="shared" si="153"/>
        <v>4.745157176689685E-2</v>
      </c>
      <c r="N782" s="15">
        <f t="shared" si="154"/>
        <v>0.94061757719714989</v>
      </c>
      <c r="O782" s="15">
        <f t="shared" si="155"/>
        <v>4.7511657228195281E-2</v>
      </c>
      <c r="P782" s="18">
        <f>IF(SUMIFS('Daily NSE Equity Futures'!$J:$J,'Daily NSE Equity Futures'!$A:$A,$A782)=0,"",SUMIFS('Daily NSE Equity Futures'!$J:$J,'Daily NSE Equity Futures'!$A:$A,$A782))</f>
        <v>2623924</v>
      </c>
      <c r="Q782" s="7">
        <f>IF(SUMIFS('Daily BSE Equity Futures'!$J:$J,'Daily BSE Equity Futures'!$A:$A,$A782)=0,"",SUMIFS('Daily BSE Equity Futures'!$J:$J,'Daily BSE Equity Futures'!$A:$A,$A782))</f>
        <v>396</v>
      </c>
      <c r="R782" s="7">
        <f t="shared" si="150"/>
        <v>2624320</v>
      </c>
      <c r="S782" s="19">
        <f t="shared" si="151"/>
        <v>0.9998491037678332</v>
      </c>
      <c r="T782" s="19">
        <f t="shared" si="152"/>
        <v>1.5089623216680892E-4</v>
      </c>
    </row>
    <row r="783" spans="1:20" x14ac:dyDescent="0.2">
      <c r="A783" s="9">
        <v>45072</v>
      </c>
      <c r="B783" s="4" t="s">
        <v>222</v>
      </c>
      <c r="C783" s="8">
        <v>45047</v>
      </c>
      <c r="D783" s="4" t="s">
        <v>185</v>
      </c>
      <c r="E783" s="14">
        <f>IF(SUMIFS('Daily NSE Equity Futures'!$I:$I,'Daily NSE Equity Futures'!$A:$A,$A783)=0,"",SUMIFS('Daily NSE Equity Futures'!$I:$I,'Daily NSE Equity Futures'!$A:$A,$A783))</f>
        <v>838.33759999999995</v>
      </c>
      <c r="F783" s="6">
        <f>IF(SUMIFS('Daily BSE Equity Futures'!$I:$I,'Daily BSE Equity Futures'!$A:$A,$A783)=0,"",SUMIFS('Daily BSE Equity Futures'!$I:$I,'Daily BSE Equity Futures'!$A:$A,$A783))</f>
        <v>0.2858</v>
      </c>
      <c r="G783" s="6">
        <f t="shared" si="144"/>
        <v>838.62339999999995</v>
      </c>
      <c r="H783" s="15">
        <f t="shared" si="145"/>
        <v>0.99965920340405479</v>
      </c>
      <c r="I783" s="15">
        <f t="shared" si="146"/>
        <v>3.4079659594521216E-4</v>
      </c>
      <c r="J783" s="20">
        <f t="shared" si="147"/>
        <v>-0.62442233948448755</v>
      </c>
      <c r="K783" s="15">
        <f t="shared" si="148"/>
        <v>83.058823529411768</v>
      </c>
      <c r="L783" s="15">
        <f t="shared" si="149"/>
        <v>-0.62429487253867033</v>
      </c>
      <c r="M783" s="15">
        <f t="shared" si="153"/>
        <v>-0.57366786081436827</v>
      </c>
      <c r="N783" s="15">
        <f t="shared" si="154"/>
        <v>0.16605467156262743</v>
      </c>
      <c r="O783" s="15">
        <f t="shared" si="155"/>
        <v>-0.5735756701046445</v>
      </c>
      <c r="P783" s="18">
        <f>IF(SUMIFS('Daily NSE Equity Futures'!$J:$J,'Daily NSE Equity Futures'!$A:$A,$A783)=0,"",SUMIFS('Daily NSE Equity Futures'!$J:$J,'Daily NSE Equity Futures'!$A:$A,$A783))</f>
        <v>1088362</v>
      </c>
      <c r="Q783" s="7">
        <f>IF(SUMIFS('Daily BSE Equity Futures'!$J:$J,'Daily BSE Equity Futures'!$A:$A,$A783)=0,"",SUMIFS('Daily BSE Equity Futures'!$J:$J,'Daily BSE Equity Futures'!$A:$A,$A783))</f>
        <v>458</v>
      </c>
      <c r="R783" s="7">
        <f t="shared" si="150"/>
        <v>1088820</v>
      </c>
      <c r="S783" s="19">
        <f t="shared" si="151"/>
        <v>0.99957936114325596</v>
      </c>
      <c r="T783" s="19">
        <f t="shared" si="152"/>
        <v>4.206388567439981E-4</v>
      </c>
    </row>
    <row r="784" spans="1:20" x14ac:dyDescent="0.2">
      <c r="A784" s="9">
        <v>45075</v>
      </c>
      <c r="B784" s="4" t="s">
        <v>225</v>
      </c>
      <c r="C784" s="8">
        <v>45047</v>
      </c>
      <c r="D784" s="4" t="s">
        <v>185</v>
      </c>
      <c r="E784" s="14">
        <f>IF(SUMIFS('Daily NSE Equity Futures'!$I:$I,'Daily NSE Equity Futures'!$A:$A,$A784)=0,"",SUMIFS('Daily NSE Equity Futures'!$I:$I,'Daily NSE Equity Futures'!$A:$A,$A784))</f>
        <v>733.67949999999996</v>
      </c>
      <c r="F784" s="6">
        <f>IF(SUMIFS('Daily BSE Equity Futures'!$I:$I,'Daily BSE Equity Futures'!$A:$A,$A784)=0,"",SUMIFS('Daily BSE Equity Futures'!$I:$I,'Daily BSE Equity Futures'!$A:$A,$A784))</f>
        <v>0.1152</v>
      </c>
      <c r="G784" s="6">
        <f t="shared" si="144"/>
        <v>733.79469999999992</v>
      </c>
      <c r="H784" s="15">
        <f t="shared" si="145"/>
        <v>0.99984300786037295</v>
      </c>
      <c r="I784" s="15">
        <f t="shared" si="146"/>
        <v>1.5699213962706463E-4</v>
      </c>
      <c r="J784" s="20" t="str">
        <f t="shared" si="147"/>
        <v/>
      </c>
      <c r="K784" s="15" t="str">
        <f t="shared" si="148"/>
        <v/>
      </c>
      <c r="L784" s="15" t="str">
        <f t="shared" si="149"/>
        <v/>
      </c>
      <c r="M784" s="15">
        <f t="shared" si="153"/>
        <v>-0.12484004057553899</v>
      </c>
      <c r="N784" s="15">
        <f t="shared" si="154"/>
        <v>-0.59692092372288319</v>
      </c>
      <c r="O784" s="15">
        <f t="shared" si="155"/>
        <v>-0.12500092413352648</v>
      </c>
      <c r="P784" s="18">
        <f>IF(SUMIFS('Daily NSE Equity Futures'!$J:$J,'Daily NSE Equity Futures'!$A:$A,$A784)=0,"",SUMIFS('Daily NSE Equity Futures'!$J:$J,'Daily NSE Equity Futures'!$A:$A,$A784))</f>
        <v>948985</v>
      </c>
      <c r="Q784" s="7">
        <f>IF(SUMIFS('Daily BSE Equity Futures'!$J:$J,'Daily BSE Equity Futures'!$A:$A,$A784)=0,"",SUMIFS('Daily BSE Equity Futures'!$J:$J,'Daily BSE Equity Futures'!$A:$A,$A784))</f>
        <v>183</v>
      </c>
      <c r="R784" s="7">
        <f t="shared" si="150"/>
        <v>949168</v>
      </c>
      <c r="S784" s="19">
        <f t="shared" si="151"/>
        <v>0.9998071995684642</v>
      </c>
      <c r="T784" s="19">
        <f t="shared" si="152"/>
        <v>1.9280043153582928E-4</v>
      </c>
    </row>
    <row r="785" spans="1:20" x14ac:dyDescent="0.2">
      <c r="A785" s="9">
        <v>45076</v>
      </c>
      <c r="B785" s="4" t="s">
        <v>223</v>
      </c>
      <c r="C785" s="8">
        <v>45047</v>
      </c>
      <c r="D785" s="4" t="s">
        <v>185</v>
      </c>
      <c r="E785" s="14">
        <f>IF(SUMIFS('Daily NSE Equity Futures'!$I:$I,'Daily NSE Equity Futures'!$A:$A,$A785)=0,"",SUMIFS('Daily NSE Equity Futures'!$I:$I,'Daily NSE Equity Futures'!$A:$A,$A785))</f>
        <v>619.74739999999997</v>
      </c>
      <c r="F785" s="6">
        <f>IF(SUMIFS('Daily BSE Equity Futures'!$I:$I,'Daily BSE Equity Futures'!$A:$A,$A785)=0,"",SUMIFS('Daily BSE Equity Futures'!$I:$I,'Daily BSE Equity Futures'!$A:$A,$A785))</f>
        <v>7.8100000000000003E-2</v>
      </c>
      <c r="G785" s="6">
        <f t="shared" si="144"/>
        <v>619.82549999999992</v>
      </c>
      <c r="H785" s="15">
        <f t="shared" si="145"/>
        <v>0.99987399679425915</v>
      </c>
      <c r="I785" s="15">
        <f t="shared" si="146"/>
        <v>1.2600320574097067E-4</v>
      </c>
      <c r="J785" s="20">
        <f t="shared" si="147"/>
        <v>-0.27505749850448913</v>
      </c>
      <c r="K785" s="15">
        <f t="shared" si="148"/>
        <v>29.03846153846154</v>
      </c>
      <c r="L785" s="15">
        <f t="shared" si="149"/>
        <v>-0.27496834696776595</v>
      </c>
      <c r="M785" s="15">
        <f t="shared" si="153"/>
        <v>-0.15528865124349256</v>
      </c>
      <c r="N785" s="15">
        <f t="shared" si="154"/>
        <v>-0.32204861111111105</v>
      </c>
      <c r="O785" s="15">
        <f t="shared" si="155"/>
        <v>-0.15531483124639633</v>
      </c>
      <c r="P785" s="18">
        <f>IF(SUMIFS('Daily NSE Equity Futures'!$J:$J,'Daily NSE Equity Futures'!$A:$A,$A785)=0,"",SUMIFS('Daily NSE Equity Futures'!$J:$J,'Daily NSE Equity Futures'!$A:$A,$A785))</f>
        <v>803530</v>
      </c>
      <c r="Q785" s="7">
        <f>IF(SUMIFS('Daily BSE Equity Futures'!$J:$J,'Daily BSE Equity Futures'!$A:$A,$A785)=0,"",SUMIFS('Daily BSE Equity Futures'!$J:$J,'Daily BSE Equity Futures'!$A:$A,$A785))</f>
        <v>124</v>
      </c>
      <c r="R785" s="7">
        <f t="shared" si="150"/>
        <v>803654</v>
      </c>
      <c r="S785" s="19">
        <f t="shared" si="151"/>
        <v>0.9998457047435837</v>
      </c>
      <c r="T785" s="19">
        <f t="shared" si="152"/>
        <v>1.5429525641631848E-4</v>
      </c>
    </row>
    <row r="786" spans="1:20" x14ac:dyDescent="0.2">
      <c r="A786" s="9">
        <v>45077</v>
      </c>
      <c r="B786" s="4" t="s">
        <v>221</v>
      </c>
      <c r="C786" s="8">
        <v>45047</v>
      </c>
      <c r="D786" s="4" t="s">
        <v>185</v>
      </c>
      <c r="E786" s="14">
        <f>IF(SUMIFS('Daily NSE Equity Futures'!$I:$I,'Daily NSE Equity Futures'!$A:$A,$A786)=0,"",SUMIFS('Daily NSE Equity Futures'!$I:$I,'Daily NSE Equity Futures'!$A:$A,$A786))</f>
        <v>1107.7808</v>
      </c>
      <c r="F786" s="6">
        <f>IF(SUMIFS('Daily BSE Equity Futures'!$I:$I,'Daily BSE Equity Futures'!$A:$A,$A786)=0,"",SUMIFS('Daily BSE Equity Futures'!$I:$I,'Daily BSE Equity Futures'!$A:$A,$A786))</f>
        <v>8.7099999999999997E-2</v>
      </c>
      <c r="G786" s="6">
        <f t="shared" si="144"/>
        <v>1107.8679</v>
      </c>
      <c r="H786" s="15">
        <f t="shared" si="145"/>
        <v>0.99992138051838131</v>
      </c>
      <c r="I786" s="15">
        <f t="shared" si="146"/>
        <v>7.8619481618702019E-5</v>
      </c>
      <c r="J786" s="20">
        <f t="shared" si="147"/>
        <v>3.0772891152199389E-2</v>
      </c>
      <c r="K786" s="15">
        <f t="shared" si="148"/>
        <v>50.235294117647058</v>
      </c>
      <c r="L786" s="15">
        <f t="shared" si="149"/>
        <v>3.0852305727699925E-2</v>
      </c>
      <c r="M786" s="15">
        <f t="shared" si="153"/>
        <v>0.78747147628211112</v>
      </c>
      <c r="N786" s="15">
        <f t="shared" si="154"/>
        <v>0.11523687580025599</v>
      </c>
      <c r="O786" s="15">
        <f t="shared" si="155"/>
        <v>0.78738677256744061</v>
      </c>
      <c r="P786" s="18">
        <f>IF(SUMIFS('Daily NSE Equity Futures'!$J:$J,'Daily NSE Equity Futures'!$A:$A,$A786)=0,"",SUMIFS('Daily NSE Equity Futures'!$J:$J,'Daily NSE Equity Futures'!$A:$A,$A786))</f>
        <v>1427944</v>
      </c>
      <c r="Q786" s="7">
        <f>IF(SUMIFS('Daily BSE Equity Futures'!$J:$J,'Daily BSE Equity Futures'!$A:$A,$A786)=0,"",SUMIFS('Daily BSE Equity Futures'!$J:$J,'Daily BSE Equity Futures'!$A:$A,$A786))</f>
        <v>139</v>
      </c>
      <c r="R786" s="7">
        <f t="shared" si="150"/>
        <v>1428083</v>
      </c>
      <c r="S786" s="19">
        <f t="shared" si="151"/>
        <v>0.99990266672175221</v>
      </c>
      <c r="T786" s="19">
        <f t="shared" si="152"/>
        <v>9.7333278247832935E-5</v>
      </c>
    </row>
    <row r="787" spans="1:20" x14ac:dyDescent="0.2">
      <c r="A787" s="9">
        <v>45078</v>
      </c>
      <c r="B787" s="4" t="s">
        <v>224</v>
      </c>
      <c r="C787" s="8">
        <v>45078</v>
      </c>
      <c r="D787" s="4" t="s">
        <v>185</v>
      </c>
      <c r="E787" s="14">
        <f>IF(SUMIFS('Daily NSE Equity Futures'!$I:$I,'Daily NSE Equity Futures'!$A:$A,$A787)=0,"",SUMIFS('Daily NSE Equity Futures'!$I:$I,'Daily NSE Equity Futures'!$A:$A,$A787))</f>
        <v>714.89200000000005</v>
      </c>
      <c r="F787" s="6">
        <f>IF(SUMIFS('Daily BSE Equity Futures'!$I:$I,'Daily BSE Equity Futures'!$A:$A,$A787)=0,"",SUMIFS('Daily BSE Equity Futures'!$I:$I,'Daily BSE Equity Futures'!$A:$A,$A787))</f>
        <v>0.24859999999999999</v>
      </c>
      <c r="G787" s="6">
        <f t="shared" si="144"/>
        <v>715.14060000000006</v>
      </c>
      <c r="H787" s="15">
        <f t="shared" si="145"/>
        <v>0.99965237605024804</v>
      </c>
      <c r="I787" s="15">
        <f t="shared" si="146"/>
        <v>3.4762394975197881E-4</v>
      </c>
      <c r="J787" s="20">
        <f t="shared" si="147"/>
        <v>-0.14792717168964986</v>
      </c>
      <c r="K787" s="15">
        <f t="shared" si="148"/>
        <v>145.23529411764707</v>
      </c>
      <c r="L787" s="15">
        <f t="shared" si="149"/>
        <v>-0.14763259484358315</v>
      </c>
      <c r="M787" s="15">
        <f t="shared" si="153"/>
        <v>-0.3546629441492396</v>
      </c>
      <c r="N787" s="15">
        <f t="shared" si="154"/>
        <v>1.854190585533869</v>
      </c>
      <c r="O787" s="15">
        <f t="shared" si="155"/>
        <v>-0.35448928522976419</v>
      </c>
      <c r="P787" s="18">
        <f>IF(SUMIFS('Daily NSE Equity Futures'!$J:$J,'Daily NSE Equity Futures'!$A:$A,$A787)=0,"",SUMIFS('Daily NSE Equity Futures'!$J:$J,'Daily NSE Equity Futures'!$A:$A,$A787))</f>
        <v>906102</v>
      </c>
      <c r="Q787" s="7">
        <f>IF(SUMIFS('Daily BSE Equity Futures'!$J:$J,'Daily BSE Equity Futures'!$A:$A,$A787)=0,"",SUMIFS('Daily BSE Equity Futures'!$J:$J,'Daily BSE Equity Futures'!$A:$A,$A787))</f>
        <v>397</v>
      </c>
      <c r="R787" s="7">
        <f t="shared" si="150"/>
        <v>906499</v>
      </c>
      <c r="S787" s="19">
        <f t="shared" si="151"/>
        <v>0.99956205136464571</v>
      </c>
      <c r="T787" s="19">
        <f t="shared" si="152"/>
        <v>4.3794863535425853E-4</v>
      </c>
    </row>
    <row r="788" spans="1:20" x14ac:dyDescent="0.2">
      <c r="A788" s="9">
        <v>45079</v>
      </c>
      <c r="B788" s="4" t="s">
        <v>222</v>
      </c>
      <c r="C788" s="8">
        <v>45078</v>
      </c>
      <c r="D788" s="4" t="s">
        <v>185</v>
      </c>
      <c r="E788" s="14">
        <f>IF(SUMIFS('Daily NSE Equity Futures'!$I:$I,'Daily NSE Equity Futures'!$A:$A,$A788)=0,"",SUMIFS('Daily NSE Equity Futures'!$I:$I,'Daily NSE Equity Futures'!$A:$A,$A788))</f>
        <v>757.14670000000001</v>
      </c>
      <c r="F788" s="6">
        <f>IF(SUMIFS('Daily BSE Equity Futures'!$I:$I,'Daily BSE Equity Futures'!$A:$A,$A788)=0,"",SUMIFS('Daily BSE Equity Futures'!$I:$I,'Daily BSE Equity Futures'!$A:$A,$A788))</f>
        <v>1.3520000000000001</v>
      </c>
      <c r="G788" s="6">
        <f t="shared" si="144"/>
        <v>758.49869999999999</v>
      </c>
      <c r="H788" s="15">
        <f t="shared" si="145"/>
        <v>0.99821753155278981</v>
      </c>
      <c r="I788" s="15">
        <f t="shared" si="146"/>
        <v>1.782468447210259E-3</v>
      </c>
      <c r="J788" s="20">
        <f t="shared" si="147"/>
        <v>-4.660973624538256E-2</v>
      </c>
      <c r="K788" s="15">
        <f t="shared" si="148"/>
        <v>794.2941176470589</v>
      </c>
      <c r="L788" s="15">
        <f t="shared" si="149"/>
        <v>-4.4909358154064272E-2</v>
      </c>
      <c r="M788" s="15">
        <f t="shared" si="153"/>
        <v>5.9106410478785509E-2</v>
      </c>
      <c r="N788" s="15">
        <f t="shared" si="154"/>
        <v>4.4384553499597752</v>
      </c>
      <c r="O788" s="15">
        <f t="shared" si="155"/>
        <v>6.0628777054470007E-2</v>
      </c>
      <c r="P788" s="18">
        <f>IF(SUMIFS('Daily NSE Equity Futures'!$J:$J,'Daily NSE Equity Futures'!$A:$A,$A788)=0,"",SUMIFS('Daily NSE Equity Futures'!$J:$J,'Daily NSE Equity Futures'!$A:$A,$A788))</f>
        <v>950040</v>
      </c>
      <c r="Q788" s="7">
        <f>IF(SUMIFS('Daily BSE Equity Futures'!$J:$J,'Daily BSE Equity Futures'!$A:$A,$A788)=0,"",SUMIFS('Daily BSE Equity Futures'!$J:$J,'Daily BSE Equity Futures'!$A:$A,$A788))</f>
        <v>2161</v>
      </c>
      <c r="R788" s="7">
        <f t="shared" si="150"/>
        <v>952201</v>
      </c>
      <c r="S788" s="19">
        <f t="shared" si="151"/>
        <v>0.99773052118197736</v>
      </c>
      <c r="T788" s="19">
        <f t="shared" si="152"/>
        <v>2.2694788180226654E-3</v>
      </c>
    </row>
    <row r="789" spans="1:20" x14ac:dyDescent="0.2">
      <c r="A789" s="9">
        <v>45082</v>
      </c>
      <c r="B789" s="4" t="s">
        <v>225</v>
      </c>
      <c r="C789" s="8">
        <v>45078</v>
      </c>
      <c r="D789" s="4" t="s">
        <v>185</v>
      </c>
      <c r="E789" s="14">
        <f>IF(SUMIFS('Daily NSE Equity Futures'!$I:$I,'Daily NSE Equity Futures'!$A:$A,$A789)=0,"",SUMIFS('Daily NSE Equity Futures'!$I:$I,'Daily NSE Equity Futures'!$A:$A,$A789))</f>
        <v>649.39779999999996</v>
      </c>
      <c r="F789" s="6">
        <f>IF(SUMIFS('Daily BSE Equity Futures'!$I:$I,'Daily BSE Equity Futures'!$A:$A,$A789)=0,"",SUMIFS('Daily BSE Equity Futures'!$I:$I,'Daily BSE Equity Futures'!$A:$A,$A789))</f>
        <v>4.5900000000000003E-2</v>
      </c>
      <c r="G789" s="6">
        <f t="shared" si="144"/>
        <v>649.44369999999992</v>
      </c>
      <c r="H789" s="15">
        <f t="shared" si="145"/>
        <v>0.99992932412771118</v>
      </c>
      <c r="I789" s="15">
        <f t="shared" si="146"/>
        <v>7.0675872288852772E-5</v>
      </c>
      <c r="J789" s="20" t="str">
        <f t="shared" si="147"/>
        <v/>
      </c>
      <c r="K789" s="15" t="str">
        <f t="shared" si="148"/>
        <v/>
      </c>
      <c r="L789" s="15" t="str">
        <f t="shared" si="149"/>
        <v/>
      </c>
      <c r="M789" s="15">
        <f t="shared" si="153"/>
        <v>-0.14230914563848729</v>
      </c>
      <c r="N789" s="15">
        <f t="shared" si="154"/>
        <v>-0.96605029585798818</v>
      </c>
      <c r="O789" s="15">
        <f t="shared" si="155"/>
        <v>-0.14377743824742228</v>
      </c>
      <c r="P789" s="18">
        <f>IF(SUMIFS('Daily NSE Equity Futures'!$J:$J,'Daily NSE Equity Futures'!$A:$A,$A789)=0,"",SUMIFS('Daily NSE Equity Futures'!$J:$J,'Daily NSE Equity Futures'!$A:$A,$A789))</f>
        <v>833807</v>
      </c>
      <c r="Q789" s="7">
        <f>IF(SUMIFS('Daily BSE Equity Futures'!$J:$J,'Daily BSE Equity Futures'!$A:$A,$A789)=0,"",SUMIFS('Daily BSE Equity Futures'!$J:$J,'Daily BSE Equity Futures'!$A:$A,$A789))</f>
        <v>73</v>
      </c>
      <c r="R789" s="7">
        <f t="shared" si="150"/>
        <v>833880</v>
      </c>
      <c r="S789" s="19">
        <f t="shared" si="151"/>
        <v>0.99991245742792723</v>
      </c>
      <c r="T789" s="19">
        <f t="shared" si="152"/>
        <v>8.75425720727203E-5</v>
      </c>
    </row>
    <row r="790" spans="1:20" x14ac:dyDescent="0.2">
      <c r="A790" s="9">
        <v>45083</v>
      </c>
      <c r="B790" s="4" t="s">
        <v>223</v>
      </c>
      <c r="C790" s="8">
        <v>45078</v>
      </c>
      <c r="D790" s="4" t="s">
        <v>185</v>
      </c>
      <c r="E790" s="14">
        <f>IF(SUMIFS('Daily NSE Equity Futures'!$I:$I,'Daily NSE Equity Futures'!$A:$A,$A790)=0,"",SUMIFS('Daily NSE Equity Futures'!$I:$I,'Daily NSE Equity Futures'!$A:$A,$A790))</f>
        <v>668.12199999999996</v>
      </c>
      <c r="F790" s="6">
        <f>IF(SUMIFS('Daily BSE Equity Futures'!$I:$I,'Daily BSE Equity Futures'!$A:$A,$A790)=0,"",SUMIFS('Daily BSE Equity Futures'!$I:$I,'Daily BSE Equity Futures'!$A:$A,$A790))</f>
        <v>4.2599999999999999E-2</v>
      </c>
      <c r="G790" s="6">
        <f t="shared" si="144"/>
        <v>668.16459999999995</v>
      </c>
      <c r="H790" s="15">
        <f t="shared" si="145"/>
        <v>0.99993624325503028</v>
      </c>
      <c r="I790" s="15">
        <f t="shared" si="146"/>
        <v>6.3756744969727526E-5</v>
      </c>
      <c r="J790" s="20">
        <f t="shared" si="147"/>
        <v>-6.2865475339207499E-2</v>
      </c>
      <c r="K790" s="15">
        <f t="shared" si="148"/>
        <v>24.058823529411764</v>
      </c>
      <c r="L790" s="15">
        <f t="shared" si="149"/>
        <v>-6.2807957605593101E-2</v>
      </c>
      <c r="M790" s="15">
        <f t="shared" si="153"/>
        <v>2.8833174365543002E-2</v>
      </c>
      <c r="N790" s="15">
        <f t="shared" si="154"/>
        <v>-7.1895424836601385E-2</v>
      </c>
      <c r="O790" s="15">
        <f t="shared" si="155"/>
        <v>2.8826055283929897E-2</v>
      </c>
      <c r="P790" s="18">
        <f>IF(SUMIFS('Daily NSE Equity Futures'!$J:$J,'Daily NSE Equity Futures'!$A:$A,$A790)=0,"",SUMIFS('Daily NSE Equity Futures'!$J:$J,'Daily NSE Equity Futures'!$A:$A,$A790))</f>
        <v>851673</v>
      </c>
      <c r="Q790" s="7">
        <f>IF(SUMIFS('Daily BSE Equity Futures'!$J:$J,'Daily BSE Equity Futures'!$A:$A,$A790)=0,"",SUMIFS('Daily BSE Equity Futures'!$J:$J,'Daily BSE Equity Futures'!$A:$A,$A790))</f>
        <v>68</v>
      </c>
      <c r="R790" s="7">
        <f t="shared" si="150"/>
        <v>851741</v>
      </c>
      <c r="S790" s="19">
        <f t="shared" si="151"/>
        <v>0.99992016352388813</v>
      </c>
      <c r="T790" s="19">
        <f t="shared" si="152"/>
        <v>7.9836476111869682E-5</v>
      </c>
    </row>
    <row r="791" spans="1:20" x14ac:dyDescent="0.2">
      <c r="A791" s="9">
        <v>45084</v>
      </c>
      <c r="B791" s="4" t="s">
        <v>221</v>
      </c>
      <c r="C791" s="8">
        <v>45078</v>
      </c>
      <c r="D791" s="4" t="s">
        <v>185</v>
      </c>
      <c r="E791" s="14">
        <f>IF(SUMIFS('Daily NSE Equity Futures'!$I:$I,'Daily NSE Equity Futures'!$A:$A,$A791)=0,"",SUMIFS('Daily NSE Equity Futures'!$I:$I,'Daily NSE Equity Futures'!$A:$A,$A791))</f>
        <v>678.50049999999999</v>
      </c>
      <c r="F791" s="6">
        <f>IF(SUMIFS('Daily BSE Equity Futures'!$I:$I,'Daily BSE Equity Futures'!$A:$A,$A791)=0,"",SUMIFS('Daily BSE Equity Futures'!$I:$I,'Daily BSE Equity Futures'!$A:$A,$A791))</f>
        <v>6.7400000000000002E-2</v>
      </c>
      <c r="G791" s="6">
        <f t="shared" si="144"/>
        <v>678.56790000000001</v>
      </c>
      <c r="H791" s="15">
        <f t="shared" si="145"/>
        <v>0.99990067316771092</v>
      </c>
      <c r="I791" s="15">
        <f t="shared" si="146"/>
        <v>9.9326832289001584E-5</v>
      </c>
      <c r="J791" s="20">
        <f t="shared" si="147"/>
        <v>-6.3249460281599279E-2</v>
      </c>
      <c r="K791" s="15">
        <f t="shared" si="148"/>
        <v>10.233333333333333</v>
      </c>
      <c r="L791" s="15">
        <f t="shared" si="149"/>
        <v>-6.3164167054042042E-2</v>
      </c>
      <c r="M791" s="15">
        <f t="shared" si="153"/>
        <v>1.5533839628091961E-2</v>
      </c>
      <c r="N791" s="15">
        <f t="shared" si="154"/>
        <v>0.5821596244131455</v>
      </c>
      <c r="O791" s="15">
        <f t="shared" si="155"/>
        <v>1.5569965843745814E-2</v>
      </c>
      <c r="P791" s="18">
        <f>IF(SUMIFS('Daily NSE Equity Futures'!$J:$J,'Daily NSE Equity Futures'!$A:$A,$A791)=0,"",SUMIFS('Daily NSE Equity Futures'!$J:$J,'Daily NSE Equity Futures'!$A:$A,$A791))</f>
        <v>850467</v>
      </c>
      <c r="Q791" s="7">
        <f>IF(SUMIFS('Daily BSE Equity Futures'!$J:$J,'Daily BSE Equity Futures'!$A:$A,$A791)=0,"",SUMIFS('Daily BSE Equity Futures'!$J:$J,'Daily BSE Equity Futures'!$A:$A,$A791))</f>
        <v>107</v>
      </c>
      <c r="R791" s="7">
        <f t="shared" si="150"/>
        <v>850574</v>
      </c>
      <c r="S791" s="19">
        <f t="shared" si="151"/>
        <v>0.99987420259730486</v>
      </c>
      <c r="T791" s="19">
        <f t="shared" si="152"/>
        <v>1.2579740269512117E-4</v>
      </c>
    </row>
    <row r="792" spans="1:20" x14ac:dyDescent="0.2">
      <c r="A792" s="9">
        <v>45085</v>
      </c>
      <c r="B792" s="4" t="s">
        <v>224</v>
      </c>
      <c r="C792" s="8">
        <v>45078</v>
      </c>
      <c r="D792" s="4" t="s">
        <v>185</v>
      </c>
      <c r="E792" s="14">
        <f>IF(SUMIFS('Daily NSE Equity Futures'!$I:$I,'Daily NSE Equity Futures'!$A:$A,$A792)=0,"",SUMIFS('Daily NSE Equity Futures'!$I:$I,'Daily NSE Equity Futures'!$A:$A,$A792))</f>
        <v>873.80359999999996</v>
      </c>
      <c r="F792" s="6">
        <f>IF(SUMIFS('Daily BSE Equity Futures'!$I:$I,'Daily BSE Equity Futures'!$A:$A,$A792)=0,"",SUMIFS('Daily BSE Equity Futures'!$I:$I,'Daily BSE Equity Futures'!$A:$A,$A792))</f>
        <v>0.10539999999999999</v>
      </c>
      <c r="G792" s="6">
        <f t="shared" si="144"/>
        <v>873.90899999999999</v>
      </c>
      <c r="H792" s="15">
        <f t="shared" si="145"/>
        <v>0.99987939247679103</v>
      </c>
      <c r="I792" s="15">
        <f t="shared" si="146"/>
        <v>1.2060752320893823E-4</v>
      </c>
      <c r="J792" s="20">
        <f t="shared" si="147"/>
        <v>-7.2991274424767383E-3</v>
      </c>
      <c r="K792" s="15">
        <f t="shared" si="148"/>
        <v>30</v>
      </c>
      <c r="L792" s="15">
        <f t="shared" si="149"/>
        <v>-7.1832206944557608E-3</v>
      </c>
      <c r="M792" s="15">
        <f t="shared" si="153"/>
        <v>0.28784518213324817</v>
      </c>
      <c r="N792" s="15">
        <f t="shared" si="154"/>
        <v>0.56379821958456966</v>
      </c>
      <c r="O792" s="15">
        <f t="shared" si="155"/>
        <v>0.28787259167431878</v>
      </c>
      <c r="P792" s="18">
        <f>IF(SUMIFS('Daily NSE Equity Futures'!$J:$J,'Daily NSE Equity Futures'!$A:$A,$A792)=0,"",SUMIFS('Daily NSE Equity Futures'!$J:$J,'Daily NSE Equity Futures'!$A:$A,$A792))</f>
        <v>1080271</v>
      </c>
      <c r="Q792" s="7">
        <f>IF(SUMIFS('Daily BSE Equity Futures'!$J:$J,'Daily BSE Equity Futures'!$A:$A,$A792)=0,"",SUMIFS('Daily BSE Equity Futures'!$J:$J,'Daily BSE Equity Futures'!$A:$A,$A792))</f>
        <v>167</v>
      </c>
      <c r="R792" s="7">
        <f t="shared" si="150"/>
        <v>1080438</v>
      </c>
      <c r="S792" s="19">
        <f t="shared" si="151"/>
        <v>0.99984543305585327</v>
      </c>
      <c r="T792" s="19">
        <f t="shared" si="152"/>
        <v>1.5456694414672567E-4</v>
      </c>
    </row>
    <row r="793" spans="1:20" x14ac:dyDescent="0.2">
      <c r="A793" s="9">
        <v>45086</v>
      </c>
      <c r="B793" s="4" t="s">
        <v>222</v>
      </c>
      <c r="C793" s="8">
        <v>45078</v>
      </c>
      <c r="D793" s="4" t="s">
        <v>185</v>
      </c>
      <c r="E793" s="14">
        <f>IF(SUMIFS('Daily NSE Equity Futures'!$I:$I,'Daily NSE Equity Futures'!$A:$A,$A793)=0,"",SUMIFS('Daily NSE Equity Futures'!$I:$I,'Daily NSE Equity Futures'!$A:$A,$A793))</f>
        <v>761.11620000000005</v>
      </c>
      <c r="F793" s="6">
        <f>IF(SUMIFS('Daily BSE Equity Futures'!$I:$I,'Daily BSE Equity Futures'!$A:$A,$A793)=0,"",SUMIFS('Daily BSE Equity Futures'!$I:$I,'Daily BSE Equity Futures'!$A:$A,$A793))</f>
        <v>0.42980000000000002</v>
      </c>
      <c r="G793" s="6">
        <f t="shared" si="144"/>
        <v>761.54600000000005</v>
      </c>
      <c r="H793" s="15">
        <f t="shared" si="145"/>
        <v>0.99943562174839073</v>
      </c>
      <c r="I793" s="15">
        <f t="shared" si="146"/>
        <v>5.6437825160922644E-4</v>
      </c>
      <c r="J793" s="20">
        <f t="shared" si="147"/>
        <v>9.3274940076186752E-3</v>
      </c>
      <c r="K793" s="15">
        <f t="shared" si="148"/>
        <v>40.728155339805824</v>
      </c>
      <c r="L793" s="15">
        <f t="shared" si="149"/>
        <v>9.8836641856281382E-3</v>
      </c>
      <c r="M793" s="15">
        <f t="shared" si="153"/>
        <v>-0.12896193149124113</v>
      </c>
      <c r="N793" s="15">
        <f t="shared" si="154"/>
        <v>3.0777988614800762</v>
      </c>
      <c r="O793" s="15">
        <f t="shared" si="155"/>
        <v>-0.12857517201447743</v>
      </c>
      <c r="P793" s="18">
        <f>IF(SUMIFS('Daily NSE Equity Futures'!$J:$J,'Daily NSE Equity Futures'!$A:$A,$A793)=0,"",SUMIFS('Daily NSE Equity Futures'!$J:$J,'Daily NSE Equity Futures'!$A:$A,$A793))</f>
        <v>960204</v>
      </c>
      <c r="Q793" s="7">
        <f>IF(SUMIFS('Daily BSE Equity Futures'!$J:$J,'Daily BSE Equity Futures'!$A:$A,$A793)=0,"",SUMIFS('Daily BSE Equity Futures'!$J:$J,'Daily BSE Equity Futures'!$A:$A,$A793))</f>
        <v>684</v>
      </c>
      <c r="R793" s="7">
        <f t="shared" si="150"/>
        <v>960888</v>
      </c>
      <c r="S793" s="19">
        <f t="shared" si="151"/>
        <v>0.99928815845343055</v>
      </c>
      <c r="T793" s="19">
        <f t="shared" si="152"/>
        <v>7.1184154656942324E-4</v>
      </c>
    </row>
    <row r="794" spans="1:20" x14ac:dyDescent="0.2">
      <c r="A794" s="9">
        <v>45089</v>
      </c>
      <c r="B794" s="4" t="s">
        <v>225</v>
      </c>
      <c r="C794" s="8">
        <v>45078</v>
      </c>
      <c r="D794" s="4" t="s">
        <v>185</v>
      </c>
      <c r="E794" s="14">
        <f>IF(SUMIFS('Daily NSE Equity Futures'!$I:$I,'Daily NSE Equity Futures'!$A:$A,$A794)=0,"",SUMIFS('Daily NSE Equity Futures'!$I:$I,'Daily NSE Equity Futures'!$A:$A,$A794))</f>
        <v>601.74059999999997</v>
      </c>
      <c r="F794" s="6">
        <f>IF(SUMIFS('Daily BSE Equity Futures'!$I:$I,'Daily BSE Equity Futures'!$A:$A,$A794)=0,"",SUMIFS('Daily BSE Equity Futures'!$I:$I,'Daily BSE Equity Futures'!$A:$A,$A794))</f>
        <v>4.3999999999999997E-2</v>
      </c>
      <c r="G794" s="6">
        <f t="shared" si="144"/>
        <v>601.78459999999995</v>
      </c>
      <c r="H794" s="15">
        <f t="shared" si="145"/>
        <v>0.99992688413761344</v>
      </c>
      <c r="I794" s="15">
        <f t="shared" si="146"/>
        <v>7.311586238664134E-5</v>
      </c>
      <c r="J794" s="20" t="str">
        <f t="shared" si="147"/>
        <v/>
      </c>
      <c r="K794" s="15" t="str">
        <f t="shared" si="148"/>
        <v/>
      </c>
      <c r="L794" s="15" t="str">
        <f t="shared" si="149"/>
        <v/>
      </c>
      <c r="M794" s="15">
        <f t="shared" si="153"/>
        <v>-0.20939719848296501</v>
      </c>
      <c r="N794" s="15">
        <f t="shared" si="154"/>
        <v>-0.89762680316426247</v>
      </c>
      <c r="O794" s="15">
        <f t="shared" si="155"/>
        <v>-0.20978562030396075</v>
      </c>
      <c r="P794" s="18">
        <f>IF(SUMIFS('Daily NSE Equity Futures'!$J:$J,'Daily NSE Equity Futures'!$A:$A,$A794)=0,"",SUMIFS('Daily NSE Equity Futures'!$J:$J,'Daily NSE Equity Futures'!$A:$A,$A794))</f>
        <v>764566</v>
      </c>
      <c r="Q794" s="7">
        <f>IF(SUMIFS('Daily BSE Equity Futures'!$J:$J,'Daily BSE Equity Futures'!$A:$A,$A794)=0,"",SUMIFS('Daily BSE Equity Futures'!$J:$J,'Daily BSE Equity Futures'!$A:$A,$A794))</f>
        <v>70</v>
      </c>
      <c r="R794" s="7">
        <f t="shared" si="150"/>
        <v>764636</v>
      </c>
      <c r="S794" s="19">
        <f t="shared" si="151"/>
        <v>0.99990845317248989</v>
      </c>
      <c r="T794" s="19">
        <f t="shared" si="152"/>
        <v>9.1546827510083223E-5</v>
      </c>
    </row>
    <row r="795" spans="1:20" x14ac:dyDescent="0.2">
      <c r="A795" s="9">
        <v>45090</v>
      </c>
      <c r="B795" s="4" t="s">
        <v>223</v>
      </c>
      <c r="C795" s="8">
        <v>45078</v>
      </c>
      <c r="D795" s="4" t="s">
        <v>185</v>
      </c>
      <c r="E795" s="14">
        <f>IF(SUMIFS('Daily NSE Equity Futures'!$I:$I,'Daily NSE Equity Futures'!$A:$A,$A795)=0,"",SUMIFS('Daily NSE Equity Futures'!$I:$I,'Daily NSE Equity Futures'!$A:$A,$A795))</f>
        <v>723.16610000000003</v>
      </c>
      <c r="F795" s="6">
        <f>IF(SUMIFS('Daily BSE Equity Futures'!$I:$I,'Daily BSE Equity Futures'!$A:$A,$A795)=0,"",SUMIFS('Daily BSE Equity Futures'!$I:$I,'Daily BSE Equity Futures'!$A:$A,$A795))</f>
        <v>6.3700000000000007E-2</v>
      </c>
      <c r="G795" s="6">
        <f t="shared" si="144"/>
        <v>723.22980000000007</v>
      </c>
      <c r="H795" s="15">
        <f t="shared" si="145"/>
        <v>0.99991192287707165</v>
      </c>
      <c r="I795" s="15">
        <f t="shared" si="146"/>
        <v>8.8077122928286423E-5</v>
      </c>
      <c r="J795" s="20">
        <f t="shared" si="147"/>
        <v>-0.16910199061794962</v>
      </c>
      <c r="K795" s="15" t="str">
        <f t="shared" si="148"/>
        <v/>
      </c>
      <c r="L795" s="15" t="str">
        <f t="shared" si="149"/>
        <v/>
      </c>
      <c r="M795" s="15">
        <f t="shared" si="153"/>
        <v>0.20179043926901397</v>
      </c>
      <c r="N795" s="15">
        <f t="shared" si="154"/>
        <v>0.44772727272727297</v>
      </c>
      <c r="O795" s="15">
        <f t="shared" si="155"/>
        <v>0.20180842115268516</v>
      </c>
      <c r="P795" s="18">
        <f>IF(SUMIFS('Daily NSE Equity Futures'!$J:$J,'Daily NSE Equity Futures'!$A:$A,$A795)=0,"",SUMIFS('Daily NSE Equity Futures'!$J:$J,'Daily NSE Equity Futures'!$A:$A,$A795))</f>
        <v>912833</v>
      </c>
      <c r="Q795" s="7">
        <f>IF(SUMIFS('Daily BSE Equity Futures'!$J:$J,'Daily BSE Equity Futures'!$A:$A,$A795)=0,"",SUMIFS('Daily BSE Equity Futures'!$J:$J,'Daily BSE Equity Futures'!$A:$A,$A795))</f>
        <v>101</v>
      </c>
      <c r="R795" s="7">
        <f t="shared" si="150"/>
        <v>912934</v>
      </c>
      <c r="S795" s="19">
        <f t="shared" si="151"/>
        <v>0.99988936768703984</v>
      </c>
      <c r="T795" s="19">
        <f t="shared" si="152"/>
        <v>1.1063231296019208E-4</v>
      </c>
    </row>
    <row r="796" spans="1:20" x14ac:dyDescent="0.2">
      <c r="A796" s="9">
        <v>45091</v>
      </c>
      <c r="B796" s="4" t="s">
        <v>221</v>
      </c>
      <c r="C796" s="8">
        <v>45078</v>
      </c>
      <c r="D796" s="4" t="s">
        <v>185</v>
      </c>
      <c r="E796" s="14">
        <f>IF(SUMIFS('Daily NSE Equity Futures'!$I:$I,'Daily NSE Equity Futures'!$A:$A,$A796)=0,"",SUMIFS('Daily NSE Equity Futures'!$I:$I,'Daily NSE Equity Futures'!$A:$A,$A796))</f>
        <v>668.68389999999999</v>
      </c>
      <c r="F796" s="6">
        <f>IF(SUMIFS('Daily BSE Equity Futures'!$I:$I,'Daily BSE Equity Futures'!$A:$A,$A796)=0,"",SUMIFS('Daily BSE Equity Futures'!$I:$I,'Daily BSE Equity Futures'!$A:$A,$A796))</f>
        <v>0.06</v>
      </c>
      <c r="G796" s="6">
        <f t="shared" si="144"/>
        <v>668.74389999999994</v>
      </c>
      <c r="H796" s="15">
        <f t="shared" si="145"/>
        <v>0.9999102795554472</v>
      </c>
      <c r="I796" s="15">
        <f t="shared" si="146"/>
        <v>8.9720444552840044E-5</v>
      </c>
      <c r="J796" s="20">
        <f t="shared" si="147"/>
        <v>-0.19932929791330878</v>
      </c>
      <c r="K796" s="15">
        <f t="shared" si="148"/>
        <v>17.18181818181818</v>
      </c>
      <c r="L796" s="15">
        <f t="shared" si="149"/>
        <v>-0.19926061894874991</v>
      </c>
      <c r="M796" s="15">
        <f t="shared" si="153"/>
        <v>-7.5338431931474714E-2</v>
      </c>
      <c r="N796" s="15">
        <f t="shared" si="154"/>
        <v>-5.8084772370486815E-2</v>
      </c>
      <c r="O796" s="15">
        <f t="shared" si="155"/>
        <v>-7.5336912278780699E-2</v>
      </c>
      <c r="P796" s="18">
        <f>IF(SUMIFS('Daily NSE Equity Futures'!$J:$J,'Daily NSE Equity Futures'!$A:$A,$A796)=0,"",SUMIFS('Daily NSE Equity Futures'!$J:$J,'Daily NSE Equity Futures'!$A:$A,$A796))</f>
        <v>865719</v>
      </c>
      <c r="Q796" s="7">
        <f>IF(SUMIFS('Daily BSE Equity Futures'!$J:$J,'Daily BSE Equity Futures'!$A:$A,$A796)=0,"",SUMIFS('Daily BSE Equity Futures'!$J:$J,'Daily BSE Equity Futures'!$A:$A,$A796))</f>
        <v>95</v>
      </c>
      <c r="R796" s="7">
        <f t="shared" si="150"/>
        <v>865814</v>
      </c>
      <c r="S796" s="19">
        <f t="shared" si="151"/>
        <v>0.99989027666450303</v>
      </c>
      <c r="T796" s="19">
        <f t="shared" si="152"/>
        <v>1.0972333549700051E-4</v>
      </c>
    </row>
    <row r="797" spans="1:20" x14ac:dyDescent="0.2">
      <c r="A797" s="9">
        <v>45092</v>
      </c>
      <c r="B797" s="4" t="s">
        <v>224</v>
      </c>
      <c r="C797" s="8">
        <v>45078</v>
      </c>
      <c r="D797" s="4" t="s">
        <v>185</v>
      </c>
      <c r="E797" s="14">
        <f>IF(SUMIFS('Daily NSE Equity Futures'!$I:$I,'Daily NSE Equity Futures'!$A:$A,$A797)=0,"",SUMIFS('Daily NSE Equity Futures'!$I:$I,'Daily NSE Equity Futures'!$A:$A,$A797))</f>
        <v>887.62530000000004</v>
      </c>
      <c r="F797" s="6">
        <f>IF(SUMIFS('Daily BSE Equity Futures'!$I:$I,'Daily BSE Equity Futures'!$A:$A,$A797)=0,"",SUMIFS('Daily BSE Equity Futures'!$I:$I,'Daily BSE Equity Futures'!$A:$A,$A797))</f>
        <v>0.34489999999999998</v>
      </c>
      <c r="G797" s="6">
        <f t="shared" si="144"/>
        <v>887.97020000000009</v>
      </c>
      <c r="H797" s="15">
        <f t="shared" si="145"/>
        <v>0.99961158606448719</v>
      </c>
      <c r="I797" s="15">
        <f t="shared" si="146"/>
        <v>3.8841393551270072E-4</v>
      </c>
      <c r="J797" s="20">
        <f t="shared" si="147"/>
        <v>0.46173335291916784</v>
      </c>
      <c r="K797" s="15">
        <f t="shared" si="148"/>
        <v>430.12499999999994</v>
      </c>
      <c r="L797" s="15">
        <f t="shared" si="149"/>
        <v>0.4622994046529032</v>
      </c>
      <c r="M797" s="15">
        <f t="shared" si="153"/>
        <v>0.32742137204140853</v>
      </c>
      <c r="N797" s="15">
        <f t="shared" si="154"/>
        <v>4.7483333333333331</v>
      </c>
      <c r="O797" s="15">
        <f t="shared" si="155"/>
        <v>0.32781801822790491</v>
      </c>
      <c r="P797" s="18">
        <f>IF(SUMIFS('Daily NSE Equity Futures'!$J:$J,'Daily NSE Equity Futures'!$A:$A,$A797)=0,"",SUMIFS('Daily NSE Equity Futures'!$J:$J,'Daily NSE Equity Futures'!$A:$A,$A797))</f>
        <v>1105182</v>
      </c>
      <c r="Q797" s="7">
        <f>IF(SUMIFS('Daily BSE Equity Futures'!$J:$J,'Daily BSE Equity Futures'!$A:$A,$A797)=0,"",SUMIFS('Daily BSE Equity Futures'!$J:$J,'Daily BSE Equity Futures'!$A:$A,$A797))</f>
        <v>547</v>
      </c>
      <c r="R797" s="7">
        <f t="shared" si="150"/>
        <v>1105729</v>
      </c>
      <c r="S797" s="19">
        <f t="shared" si="151"/>
        <v>0.99950530374079005</v>
      </c>
      <c r="T797" s="19">
        <f t="shared" si="152"/>
        <v>4.9469625920998722E-4</v>
      </c>
    </row>
    <row r="798" spans="1:20" x14ac:dyDescent="0.2">
      <c r="A798" s="9">
        <v>45093</v>
      </c>
      <c r="B798" s="4" t="s">
        <v>222</v>
      </c>
      <c r="C798" s="8">
        <v>45078</v>
      </c>
      <c r="D798" s="4" t="s">
        <v>185</v>
      </c>
      <c r="E798" s="14">
        <f>IF(SUMIFS('Daily NSE Equity Futures'!$I:$I,'Daily NSE Equity Futures'!$A:$A,$A798)=0,"",SUMIFS('Daily NSE Equity Futures'!$I:$I,'Daily NSE Equity Futures'!$A:$A,$A798))</f>
        <v>959.23889999999994</v>
      </c>
      <c r="F798" s="6">
        <f>IF(SUMIFS('Daily BSE Equity Futures'!$I:$I,'Daily BSE Equity Futures'!$A:$A,$A798)=0,"",SUMIFS('Daily BSE Equity Futures'!$I:$I,'Daily BSE Equity Futures'!$A:$A,$A798))</f>
        <v>2.1097999999999999</v>
      </c>
      <c r="G798" s="6">
        <f t="shared" si="144"/>
        <v>961.34869999999989</v>
      </c>
      <c r="H798" s="15">
        <f t="shared" si="145"/>
        <v>0.99780537488634458</v>
      </c>
      <c r="I798" s="15">
        <f t="shared" si="146"/>
        <v>2.1946251136554301E-3</v>
      </c>
      <c r="J798" s="20">
        <f t="shared" si="147"/>
        <v>-0.13086344381575343</v>
      </c>
      <c r="K798" s="15">
        <f t="shared" si="148"/>
        <v>429.57142857142856</v>
      </c>
      <c r="L798" s="15">
        <f t="shared" si="149"/>
        <v>-0.12895568681214375</v>
      </c>
      <c r="M798" s="15">
        <f t="shared" si="153"/>
        <v>8.067998963075973E-2</v>
      </c>
      <c r="N798" s="15">
        <f t="shared" si="154"/>
        <v>5.1171354015656716</v>
      </c>
      <c r="O798" s="15">
        <f t="shared" si="155"/>
        <v>8.26362190983434E-2</v>
      </c>
      <c r="P798" s="18">
        <f>IF(SUMIFS('Daily NSE Equity Futures'!$J:$J,'Daily NSE Equity Futures'!$A:$A,$A798)=0,"",SUMIFS('Daily NSE Equity Futures'!$J:$J,'Daily NSE Equity Futures'!$A:$A,$A798))</f>
        <v>1202126</v>
      </c>
      <c r="Q798" s="7">
        <f>IF(SUMIFS('Daily BSE Equity Futures'!$J:$J,'Daily BSE Equity Futures'!$A:$A,$A798)=0,"",SUMIFS('Daily BSE Equity Futures'!$J:$J,'Daily BSE Equity Futures'!$A:$A,$A798))</f>
        <v>3339</v>
      </c>
      <c r="R798" s="7">
        <f t="shared" si="150"/>
        <v>1205465</v>
      </c>
      <c r="S798" s="19">
        <f t="shared" si="151"/>
        <v>0.99723011452012289</v>
      </c>
      <c r="T798" s="19">
        <f t="shared" si="152"/>
        <v>2.7698854798770601E-3</v>
      </c>
    </row>
    <row r="799" spans="1:20" x14ac:dyDescent="0.2">
      <c r="A799" s="9">
        <v>45096</v>
      </c>
      <c r="B799" s="4" t="s">
        <v>225</v>
      </c>
      <c r="C799" s="8">
        <v>45078</v>
      </c>
      <c r="D799" s="4" t="s">
        <v>185</v>
      </c>
      <c r="E799" s="14">
        <f>IF(SUMIFS('Daily NSE Equity Futures'!$I:$I,'Daily NSE Equity Futures'!$A:$A,$A799)=0,"",SUMIFS('Daily NSE Equity Futures'!$I:$I,'Daily NSE Equity Futures'!$A:$A,$A799))</f>
        <v>867.92250000000001</v>
      </c>
      <c r="F799" s="6">
        <f>IF(SUMIFS('Daily BSE Equity Futures'!$I:$I,'Daily BSE Equity Futures'!$A:$A,$A799)=0,"",SUMIFS('Daily BSE Equity Futures'!$I:$I,'Daily BSE Equity Futures'!$A:$A,$A799))</f>
        <v>0.40560000000000002</v>
      </c>
      <c r="G799" s="6">
        <f t="shared" si="144"/>
        <v>868.32810000000006</v>
      </c>
      <c r="H799" s="15">
        <f t="shared" si="145"/>
        <v>0.99953289545737367</v>
      </c>
      <c r="I799" s="15">
        <f t="shared" si="146"/>
        <v>4.6710454262622616E-4</v>
      </c>
      <c r="J799" s="20" t="str">
        <f t="shared" si="147"/>
        <v/>
      </c>
      <c r="K799" s="15" t="str">
        <f t="shared" si="148"/>
        <v/>
      </c>
      <c r="L799" s="15" t="str">
        <f t="shared" si="149"/>
        <v/>
      </c>
      <c r="M799" s="15">
        <f t="shared" si="153"/>
        <v>-9.5196723152073948E-2</v>
      </c>
      <c r="N799" s="15">
        <f t="shared" si="154"/>
        <v>-0.80775428950611428</v>
      </c>
      <c r="O799" s="15">
        <f t="shared" si="155"/>
        <v>-9.6760519882119644E-2</v>
      </c>
      <c r="P799" s="18">
        <f>IF(SUMIFS('Daily NSE Equity Futures'!$J:$J,'Daily NSE Equity Futures'!$A:$A,$A799)=0,"",SUMIFS('Daily NSE Equity Futures'!$J:$J,'Daily NSE Equity Futures'!$A:$A,$A799))</f>
        <v>1074169</v>
      </c>
      <c r="Q799" s="7">
        <f>IF(SUMIFS('Daily BSE Equity Futures'!$J:$J,'Daily BSE Equity Futures'!$A:$A,$A799)=0,"",SUMIFS('Daily BSE Equity Futures'!$J:$J,'Daily BSE Equity Futures'!$A:$A,$A799))</f>
        <v>640</v>
      </c>
      <c r="R799" s="7">
        <f t="shared" si="150"/>
        <v>1074809</v>
      </c>
      <c r="S799" s="19">
        <f t="shared" si="151"/>
        <v>0.99940454536573475</v>
      </c>
      <c r="T799" s="19">
        <f t="shared" si="152"/>
        <v>5.9545463426525082E-4</v>
      </c>
    </row>
    <row r="800" spans="1:20" x14ac:dyDescent="0.2">
      <c r="A800" s="9">
        <v>45097</v>
      </c>
      <c r="B800" s="4" t="s">
        <v>223</v>
      </c>
      <c r="C800" s="8">
        <v>45078</v>
      </c>
      <c r="D800" s="4" t="s">
        <v>185</v>
      </c>
      <c r="E800" s="14">
        <f>IF(SUMIFS('Daily NSE Equity Futures'!$I:$I,'Daily NSE Equity Futures'!$A:$A,$A800)=0,"",SUMIFS('Daily NSE Equity Futures'!$I:$I,'Daily NSE Equity Futures'!$A:$A,$A800))</f>
        <v>881.05129999999997</v>
      </c>
      <c r="F800" s="6">
        <f>IF(SUMIFS('Daily BSE Equity Futures'!$I:$I,'Daily BSE Equity Futures'!$A:$A,$A800)=0,"",SUMIFS('Daily BSE Equity Futures'!$I:$I,'Daily BSE Equity Futures'!$A:$A,$A800))</f>
        <v>9.0999999999999998E-2</v>
      </c>
      <c r="G800" s="6">
        <f t="shared" si="144"/>
        <v>881.14229999999998</v>
      </c>
      <c r="H800" s="15">
        <f t="shared" si="145"/>
        <v>0.99989672496712501</v>
      </c>
      <c r="I800" s="15">
        <f t="shared" si="146"/>
        <v>1.0327503287493973E-4</v>
      </c>
      <c r="J800" s="20">
        <f t="shared" si="147"/>
        <v>-4.7774819314714501E-2</v>
      </c>
      <c r="K800" s="15">
        <f t="shared" si="148"/>
        <v>112.74999999999999</v>
      </c>
      <c r="L800" s="15">
        <f t="shared" si="149"/>
        <v>-4.7677291473927186E-2</v>
      </c>
      <c r="M800" s="15">
        <f t="shared" si="153"/>
        <v>1.5126696219996516E-2</v>
      </c>
      <c r="N800" s="15">
        <f t="shared" si="154"/>
        <v>-0.77564102564102566</v>
      </c>
      <c r="O800" s="15">
        <f t="shared" si="155"/>
        <v>1.4757325024953083E-2</v>
      </c>
      <c r="P800" s="18">
        <f>IF(SUMIFS('Daily NSE Equity Futures'!$J:$J,'Daily NSE Equity Futures'!$A:$A,$A800)=0,"",SUMIFS('Daily NSE Equity Futures'!$J:$J,'Daily NSE Equity Futures'!$A:$A,$A800))</f>
        <v>1104570</v>
      </c>
      <c r="Q800" s="7">
        <f>IF(SUMIFS('Daily BSE Equity Futures'!$J:$J,'Daily BSE Equity Futures'!$A:$A,$A800)=0,"",SUMIFS('Daily BSE Equity Futures'!$J:$J,'Daily BSE Equity Futures'!$A:$A,$A800))</f>
        <v>144</v>
      </c>
      <c r="R800" s="7">
        <f t="shared" si="150"/>
        <v>1104714</v>
      </c>
      <c r="S800" s="19">
        <f t="shared" si="151"/>
        <v>0.99986964952014734</v>
      </c>
      <c r="T800" s="19">
        <f t="shared" si="152"/>
        <v>1.3035047985270396E-4</v>
      </c>
    </row>
    <row r="801" spans="1:20" x14ac:dyDescent="0.2">
      <c r="A801" s="9">
        <v>45098</v>
      </c>
      <c r="B801" s="4" t="s">
        <v>221</v>
      </c>
      <c r="C801" s="8">
        <v>45078</v>
      </c>
      <c r="D801" s="4" t="s">
        <v>185</v>
      </c>
      <c r="E801" s="14">
        <f>IF(SUMIFS('Daily NSE Equity Futures'!$I:$I,'Daily NSE Equity Futures'!$A:$A,$A801)=0,"",SUMIFS('Daily NSE Equity Futures'!$I:$I,'Daily NSE Equity Futures'!$A:$A,$A801))</f>
        <v>1002.6611</v>
      </c>
      <c r="F801" s="6">
        <f>IF(SUMIFS('Daily BSE Equity Futures'!$I:$I,'Daily BSE Equity Futures'!$A:$A,$A801)=0,"",SUMIFS('Daily BSE Equity Futures'!$I:$I,'Daily BSE Equity Futures'!$A:$A,$A801))</f>
        <v>0.15740000000000001</v>
      </c>
      <c r="G801" s="6">
        <f t="shared" si="144"/>
        <v>1002.8185000000001</v>
      </c>
      <c r="H801" s="15">
        <f t="shared" si="145"/>
        <v>0.99984304238503774</v>
      </c>
      <c r="I801" s="15">
        <f t="shared" si="146"/>
        <v>1.5695761496222895E-4</v>
      </c>
      <c r="J801" s="20">
        <f t="shared" si="147"/>
        <v>9.1040273941058736E-3</v>
      </c>
      <c r="K801" s="15">
        <f t="shared" si="148"/>
        <v>46.696969696969703</v>
      </c>
      <c r="L801" s="15">
        <f t="shared" si="149"/>
        <v>9.2590868628152911E-3</v>
      </c>
      <c r="M801" s="15">
        <f t="shared" si="153"/>
        <v>0.13802805807107954</v>
      </c>
      <c r="N801" s="15">
        <f t="shared" si="154"/>
        <v>0.72967032967032974</v>
      </c>
      <c r="O801" s="15">
        <f t="shared" si="155"/>
        <v>0.13808915994612914</v>
      </c>
      <c r="P801" s="18">
        <f>IF(SUMIFS('Daily NSE Equity Futures'!$J:$J,'Daily NSE Equity Futures'!$A:$A,$A801)=0,"",SUMIFS('Daily NSE Equity Futures'!$J:$J,'Daily NSE Equity Futures'!$A:$A,$A801))</f>
        <v>1262620</v>
      </c>
      <c r="Q801" s="7">
        <f>IF(SUMIFS('Daily BSE Equity Futures'!$J:$J,'Daily BSE Equity Futures'!$A:$A,$A801)=0,"",SUMIFS('Daily BSE Equity Futures'!$J:$J,'Daily BSE Equity Futures'!$A:$A,$A801))</f>
        <v>248</v>
      </c>
      <c r="R801" s="7">
        <f t="shared" si="150"/>
        <v>1262868</v>
      </c>
      <c r="S801" s="19">
        <f t="shared" si="151"/>
        <v>0.99980362159782332</v>
      </c>
      <c r="T801" s="19">
        <f t="shared" si="152"/>
        <v>1.9637840217663288E-4</v>
      </c>
    </row>
    <row r="802" spans="1:20" x14ac:dyDescent="0.2">
      <c r="A802" s="9">
        <v>45099</v>
      </c>
      <c r="B802" s="4" t="s">
        <v>224</v>
      </c>
      <c r="C802" s="8">
        <v>45078</v>
      </c>
      <c r="D802" s="4" t="s">
        <v>185</v>
      </c>
      <c r="E802" s="14">
        <f>IF(SUMIFS('Daily NSE Equity Futures'!$I:$I,'Daily NSE Equity Futures'!$A:$A,$A802)=0,"",SUMIFS('Daily NSE Equity Futures'!$I:$I,'Daily NSE Equity Futures'!$A:$A,$A802))</f>
        <v>1167.1637000000001</v>
      </c>
      <c r="F802" s="6">
        <f>IF(SUMIFS('Daily BSE Equity Futures'!$I:$I,'Daily BSE Equity Futures'!$A:$A,$A802)=0,"",SUMIFS('Daily BSE Equity Futures'!$I:$I,'Daily BSE Equity Futures'!$A:$A,$A802))</f>
        <v>0.1605</v>
      </c>
      <c r="G802" s="6">
        <f t="shared" si="144"/>
        <v>1167.3242</v>
      </c>
      <c r="H802" s="15">
        <f t="shared" si="145"/>
        <v>0.99986250606301152</v>
      </c>
      <c r="I802" s="15">
        <f t="shared" si="146"/>
        <v>1.3749393698854183E-4</v>
      </c>
      <c r="J802" s="20">
        <f t="shared" si="147"/>
        <v>0.30808427274494998</v>
      </c>
      <c r="K802" s="15">
        <f t="shared" si="148"/>
        <v>99.3125</v>
      </c>
      <c r="L802" s="15">
        <f t="shared" si="149"/>
        <v>0.30826180518454538</v>
      </c>
      <c r="M802" s="15">
        <f t="shared" si="153"/>
        <v>0.16406600395687043</v>
      </c>
      <c r="N802" s="15">
        <f t="shared" si="154"/>
        <v>1.9695044472681111E-2</v>
      </c>
      <c r="O802" s="15">
        <f t="shared" si="155"/>
        <v>0.16404334383539987</v>
      </c>
      <c r="P802" s="18">
        <f>IF(SUMIFS('Daily NSE Equity Futures'!$J:$J,'Daily NSE Equity Futures'!$A:$A,$A802)=0,"",SUMIFS('Daily NSE Equity Futures'!$J:$J,'Daily NSE Equity Futures'!$A:$A,$A802))</f>
        <v>1481056</v>
      </c>
      <c r="Q802" s="7">
        <f>IF(SUMIFS('Daily BSE Equity Futures'!$J:$J,'Daily BSE Equity Futures'!$A:$A,$A802)=0,"",SUMIFS('Daily BSE Equity Futures'!$J:$J,'Daily BSE Equity Futures'!$A:$A,$A802))</f>
        <v>253</v>
      </c>
      <c r="R802" s="7">
        <f t="shared" si="150"/>
        <v>1481309</v>
      </c>
      <c r="S802" s="19">
        <f t="shared" si="151"/>
        <v>0.99982920511520557</v>
      </c>
      <c r="T802" s="19">
        <f t="shared" si="152"/>
        <v>1.7079488479446219E-4</v>
      </c>
    </row>
    <row r="803" spans="1:20" x14ac:dyDescent="0.2">
      <c r="A803" s="9">
        <v>45100</v>
      </c>
      <c r="B803" s="4" t="s">
        <v>222</v>
      </c>
      <c r="C803" s="8">
        <v>45078</v>
      </c>
      <c r="D803" s="4" t="s">
        <v>185</v>
      </c>
      <c r="E803" s="14">
        <f>IF(SUMIFS('Daily NSE Equity Futures'!$I:$I,'Daily NSE Equity Futures'!$A:$A,$A803)=0,"",SUMIFS('Daily NSE Equity Futures'!$I:$I,'Daily NSE Equity Futures'!$A:$A,$A803))</f>
        <v>1624.5388</v>
      </c>
      <c r="F803" s="6">
        <f>IF(SUMIFS('Daily BSE Equity Futures'!$I:$I,'Daily BSE Equity Futures'!$A:$A,$A803)=0,"",SUMIFS('Daily BSE Equity Futures'!$I:$I,'Daily BSE Equity Futures'!$A:$A,$A803))</f>
        <v>0.60670000000000002</v>
      </c>
      <c r="G803" s="6">
        <f t="shared" si="144"/>
        <v>1625.1455000000001</v>
      </c>
      <c r="H803" s="15">
        <f t="shared" si="145"/>
        <v>0.9996266795803822</v>
      </c>
      <c r="I803" s="15">
        <f t="shared" si="146"/>
        <v>3.7332041961781268E-4</v>
      </c>
      <c r="J803" s="20">
        <f t="shared" si="147"/>
        <v>0.32779918434455513</v>
      </c>
      <c r="K803" s="15">
        <f t="shared" si="148"/>
        <v>82.109589041095887</v>
      </c>
      <c r="L803" s="15">
        <f t="shared" si="149"/>
        <v>0.32828713868920523</v>
      </c>
      <c r="M803" s="15">
        <f t="shared" si="153"/>
        <v>0.39186885267250848</v>
      </c>
      <c r="N803" s="15">
        <f t="shared" si="154"/>
        <v>2.7800623052959503</v>
      </c>
      <c r="O803" s="15">
        <f t="shared" si="155"/>
        <v>0.39219721479260006</v>
      </c>
      <c r="P803" s="18">
        <f>IF(SUMIFS('Daily NSE Equity Futures'!$J:$J,'Daily NSE Equity Futures'!$A:$A,$A803)=0,"",SUMIFS('Daily NSE Equity Futures'!$J:$J,'Daily NSE Equity Futures'!$A:$A,$A803))</f>
        <v>2165102</v>
      </c>
      <c r="Q803" s="7">
        <f>IF(SUMIFS('Daily BSE Equity Futures'!$J:$J,'Daily BSE Equity Futures'!$A:$A,$A803)=0,"",SUMIFS('Daily BSE Equity Futures'!$J:$J,'Daily BSE Equity Futures'!$A:$A,$A803))</f>
        <v>962</v>
      </c>
      <c r="R803" s="7">
        <f t="shared" si="150"/>
        <v>2166064</v>
      </c>
      <c r="S803" s="19">
        <f t="shared" si="151"/>
        <v>0.99955587646533062</v>
      </c>
      <c r="T803" s="19">
        <f t="shared" si="152"/>
        <v>4.441235346693357E-4</v>
      </c>
    </row>
    <row r="804" spans="1:20" x14ac:dyDescent="0.2">
      <c r="A804" s="9">
        <v>45103</v>
      </c>
      <c r="B804" s="4" t="s">
        <v>225</v>
      </c>
      <c r="C804" s="8">
        <v>45078</v>
      </c>
      <c r="D804" s="4" t="s">
        <v>185</v>
      </c>
      <c r="E804" s="14">
        <f>IF(SUMIFS('Daily NSE Equity Futures'!$I:$I,'Daily NSE Equity Futures'!$A:$A,$A804)=0,"",SUMIFS('Daily NSE Equity Futures'!$I:$I,'Daily NSE Equity Futures'!$A:$A,$A804))</f>
        <v>1978.5893000000001</v>
      </c>
      <c r="F804" s="6">
        <f>IF(SUMIFS('Daily BSE Equity Futures'!$I:$I,'Daily BSE Equity Futures'!$A:$A,$A804)=0,"",SUMIFS('Daily BSE Equity Futures'!$I:$I,'Daily BSE Equity Futures'!$A:$A,$A804))</f>
        <v>0.12039999999999999</v>
      </c>
      <c r="G804" s="6">
        <f t="shared" si="144"/>
        <v>1978.7097000000001</v>
      </c>
      <c r="H804" s="15">
        <f t="shared" si="145"/>
        <v>0.99993915226675245</v>
      </c>
      <c r="I804" s="15">
        <f t="shared" si="146"/>
        <v>6.0847733247580474E-5</v>
      </c>
      <c r="J804" s="20" t="str">
        <f t="shared" si="147"/>
        <v/>
      </c>
      <c r="K804" s="15" t="str">
        <f t="shared" si="148"/>
        <v/>
      </c>
      <c r="L804" s="15" t="str">
        <f t="shared" si="149"/>
        <v/>
      </c>
      <c r="M804" s="15">
        <f t="shared" si="153"/>
        <v>0.21793908523452932</v>
      </c>
      <c r="N804" s="15">
        <f t="shared" si="154"/>
        <v>-0.80154936541948252</v>
      </c>
      <c r="O804" s="15">
        <f t="shared" si="155"/>
        <v>0.21755848937833577</v>
      </c>
      <c r="P804" s="18">
        <f>IF(SUMIFS('Daily NSE Equity Futures'!$J:$J,'Daily NSE Equity Futures'!$A:$A,$A804)=0,"",SUMIFS('Daily NSE Equity Futures'!$J:$J,'Daily NSE Equity Futures'!$A:$A,$A804))</f>
        <v>2674223</v>
      </c>
      <c r="Q804" s="7">
        <f>IF(SUMIFS('Daily BSE Equity Futures'!$J:$J,'Daily BSE Equity Futures'!$A:$A,$A804)=0,"",SUMIFS('Daily BSE Equity Futures'!$J:$J,'Daily BSE Equity Futures'!$A:$A,$A804))</f>
        <v>191</v>
      </c>
      <c r="R804" s="7">
        <f t="shared" si="150"/>
        <v>2674414</v>
      </c>
      <c r="S804" s="19">
        <f t="shared" si="151"/>
        <v>0.99992858248573335</v>
      </c>
      <c r="T804" s="19">
        <f t="shared" si="152"/>
        <v>7.141751426667674E-5</v>
      </c>
    </row>
    <row r="805" spans="1:20" x14ac:dyDescent="0.2">
      <c r="A805" s="9">
        <v>45104</v>
      </c>
      <c r="B805" s="4" t="s">
        <v>223</v>
      </c>
      <c r="C805" s="8">
        <v>45078</v>
      </c>
      <c r="D805" s="4" t="s">
        <v>185</v>
      </c>
      <c r="E805" s="14">
        <f>IF(SUMIFS('Daily NSE Equity Futures'!$I:$I,'Daily NSE Equity Futures'!$A:$A,$A805)=0,"",SUMIFS('Daily NSE Equity Futures'!$I:$I,'Daily NSE Equity Futures'!$A:$A,$A805))</f>
        <v>2185.9294</v>
      </c>
      <c r="F805" s="6">
        <f>IF(SUMIFS('Daily BSE Equity Futures'!$I:$I,'Daily BSE Equity Futures'!$A:$A,$A805)=0,"",SUMIFS('Daily BSE Equity Futures'!$I:$I,'Daily BSE Equity Futures'!$A:$A,$A805))</f>
        <v>0.13339999999999999</v>
      </c>
      <c r="G805" s="6">
        <f t="shared" si="144"/>
        <v>2186.0628000000002</v>
      </c>
      <c r="H805" s="15">
        <f t="shared" si="145"/>
        <v>0.99993897705043044</v>
      </c>
      <c r="I805" s="15">
        <f t="shared" si="146"/>
        <v>6.1022949569426819E-5</v>
      </c>
      <c r="J805" s="20">
        <f t="shared" si="147"/>
        <v>0.26885437150411651</v>
      </c>
      <c r="K805" s="15">
        <f t="shared" si="148"/>
        <v>165.74999999999997</v>
      </c>
      <c r="L805" s="15">
        <f t="shared" si="149"/>
        <v>0.26893121621009008</v>
      </c>
      <c r="M805" s="15">
        <f t="shared" si="153"/>
        <v>0.10479188379316517</v>
      </c>
      <c r="N805" s="15">
        <f t="shared" si="154"/>
        <v>0.1079734219269104</v>
      </c>
      <c r="O805" s="15">
        <f t="shared" si="155"/>
        <v>0.10479207738254881</v>
      </c>
      <c r="P805" s="18">
        <f>IF(SUMIFS('Daily NSE Equity Futures'!$J:$J,'Daily NSE Equity Futures'!$A:$A,$A805)=0,"",SUMIFS('Daily NSE Equity Futures'!$J:$J,'Daily NSE Equity Futures'!$A:$A,$A805))</f>
        <v>2884609</v>
      </c>
      <c r="Q805" s="7">
        <f>IF(SUMIFS('Daily BSE Equity Futures'!$J:$J,'Daily BSE Equity Futures'!$A:$A,$A805)=0,"",SUMIFS('Daily BSE Equity Futures'!$J:$J,'Daily BSE Equity Futures'!$A:$A,$A805))</f>
        <v>211</v>
      </c>
      <c r="R805" s="7">
        <f t="shared" si="150"/>
        <v>2884820</v>
      </c>
      <c r="S805" s="19">
        <f t="shared" si="151"/>
        <v>0.9999268585215022</v>
      </c>
      <c r="T805" s="19">
        <f t="shared" si="152"/>
        <v>7.3141478497791896E-5</v>
      </c>
    </row>
    <row r="806" spans="1:20" x14ac:dyDescent="0.2">
      <c r="A806" s="9">
        <v>45105</v>
      </c>
      <c r="B806" s="4" t="s">
        <v>221</v>
      </c>
      <c r="C806" s="8">
        <v>45078</v>
      </c>
      <c r="D806" s="4" t="s">
        <v>185</v>
      </c>
      <c r="E806" s="14">
        <f>IF(SUMIFS('Daily NSE Equity Futures'!$I:$I,'Daily NSE Equity Futures'!$A:$A,$A806)=0,"",SUMIFS('Daily NSE Equity Futures'!$I:$I,'Daily NSE Equity Futures'!$A:$A,$A806))</f>
        <v>2372.2883999999999</v>
      </c>
      <c r="F806" s="6">
        <f>IF(SUMIFS('Daily BSE Equity Futures'!$I:$I,'Daily BSE Equity Futures'!$A:$A,$A806)=0,"",SUMIFS('Daily BSE Equity Futures'!$I:$I,'Daily BSE Equity Futures'!$A:$A,$A806))</f>
        <v>0.1226</v>
      </c>
      <c r="G806" s="6">
        <f t="shared" si="144"/>
        <v>2372.4110000000001</v>
      </c>
      <c r="H806" s="15">
        <f t="shared" si="145"/>
        <v>0.99994832261357747</v>
      </c>
      <c r="I806" s="15">
        <f t="shared" si="146"/>
        <v>5.167738642250436E-5</v>
      </c>
      <c r="J806" s="20">
        <f t="shared" si="147"/>
        <v>0.30020800250889912</v>
      </c>
      <c r="K806" s="15">
        <f t="shared" si="148"/>
        <v>152.25</v>
      </c>
      <c r="L806" s="15">
        <f t="shared" si="149"/>
        <v>0.30027462720728182</v>
      </c>
      <c r="M806" s="15">
        <f t="shared" si="153"/>
        <v>8.525389703802877E-2</v>
      </c>
      <c r="N806" s="15">
        <f t="shared" si="154"/>
        <v>-8.0959520239879956E-2</v>
      </c>
      <c r="O806" s="15">
        <f t="shared" si="155"/>
        <v>8.5243754205048372E-2</v>
      </c>
      <c r="P806" s="18">
        <f>IF(SUMIFS('Daily NSE Equity Futures'!$J:$J,'Daily NSE Equity Futures'!$A:$A,$A806)=0,"",SUMIFS('Daily NSE Equity Futures'!$J:$J,'Daily NSE Equity Futures'!$A:$A,$A806))</f>
        <v>3081499</v>
      </c>
      <c r="Q806" s="7">
        <f>IF(SUMIFS('Daily BSE Equity Futures'!$J:$J,'Daily BSE Equity Futures'!$A:$A,$A806)=0,"",SUMIFS('Daily BSE Equity Futures'!$J:$J,'Daily BSE Equity Futures'!$A:$A,$A806))</f>
        <v>192</v>
      </c>
      <c r="R806" s="7">
        <f t="shared" si="150"/>
        <v>3081691</v>
      </c>
      <c r="S806" s="19">
        <f t="shared" si="151"/>
        <v>0.99993769654387799</v>
      </c>
      <c r="T806" s="19">
        <f t="shared" si="152"/>
        <v>6.2303456121979789E-5</v>
      </c>
    </row>
    <row r="807" spans="1:20" x14ac:dyDescent="0.2">
      <c r="A807" s="9">
        <v>45107</v>
      </c>
      <c r="B807" s="4" t="s">
        <v>222</v>
      </c>
      <c r="C807" s="8">
        <v>45078</v>
      </c>
      <c r="D807" s="4" t="s">
        <v>185</v>
      </c>
      <c r="E807" s="14">
        <f>IF(SUMIFS('Daily NSE Equity Futures'!$I:$I,'Daily NSE Equity Futures'!$A:$A,$A807)=0,"",SUMIFS('Daily NSE Equity Futures'!$I:$I,'Daily NSE Equity Futures'!$A:$A,$A807))</f>
        <v>856.58929999999998</v>
      </c>
      <c r="F807" s="6">
        <f>IF(SUMIFS('Daily BSE Equity Futures'!$I:$I,'Daily BSE Equity Futures'!$A:$A,$A807)=0,"",SUMIFS('Daily BSE Equity Futures'!$I:$I,'Daily BSE Equity Futures'!$A:$A,$A807))</f>
        <v>0.99660000000000004</v>
      </c>
      <c r="G807" s="6">
        <f t="shared" si="144"/>
        <v>857.58589999999992</v>
      </c>
      <c r="H807" s="15">
        <f t="shared" si="145"/>
        <v>0.99883790066977551</v>
      </c>
      <c r="I807" s="15">
        <f t="shared" si="146"/>
        <v>1.1620993302245293E-3</v>
      </c>
      <c r="J807" s="20">
        <f t="shared" si="147"/>
        <v>-0.55570253275023096</v>
      </c>
      <c r="K807" s="15">
        <f t="shared" si="148"/>
        <v>242.07317073170731</v>
      </c>
      <c r="L807" s="15">
        <f t="shared" si="149"/>
        <v>-0.55518656018908208</v>
      </c>
      <c r="M807" s="15">
        <f t="shared" si="153"/>
        <v>-0.6389185648760074</v>
      </c>
      <c r="N807" s="15">
        <f t="shared" si="154"/>
        <v>7.128874388254486</v>
      </c>
      <c r="O807" s="15">
        <f t="shared" si="155"/>
        <v>-0.63851714563791862</v>
      </c>
      <c r="P807" s="18">
        <f>IF(SUMIFS('Daily NSE Equity Futures'!$J:$J,'Daily NSE Equity Futures'!$A:$A,$A807)=0,"",SUMIFS('Daily NSE Equity Futures'!$J:$J,'Daily NSE Equity Futures'!$A:$A,$A807))</f>
        <v>1119608</v>
      </c>
      <c r="Q807" s="7">
        <f>IF(SUMIFS('Daily BSE Equity Futures'!$J:$J,'Daily BSE Equity Futures'!$A:$A,$A807)=0,"",SUMIFS('Daily BSE Equity Futures'!$J:$J,'Daily BSE Equity Futures'!$A:$A,$A807))</f>
        <v>1547</v>
      </c>
      <c r="R807" s="7">
        <f t="shared" si="150"/>
        <v>1121155</v>
      </c>
      <c r="S807" s="19">
        <f t="shared" si="151"/>
        <v>0.99862017294664873</v>
      </c>
      <c r="T807" s="19">
        <f t="shared" si="152"/>
        <v>1.3798270533512316E-3</v>
      </c>
    </row>
    <row r="808" spans="1:20" x14ac:dyDescent="0.2">
      <c r="A808" s="9">
        <v>45110</v>
      </c>
      <c r="B808" s="4" t="s">
        <v>225</v>
      </c>
      <c r="C808" s="8">
        <v>45108</v>
      </c>
      <c r="D808" s="4" t="s">
        <v>186</v>
      </c>
      <c r="E808" s="14">
        <f>IF(SUMIFS('Daily NSE Equity Futures'!$I:$I,'Daily NSE Equity Futures'!$A:$A,$A808)=0,"",SUMIFS('Daily NSE Equity Futures'!$I:$I,'Daily NSE Equity Futures'!$A:$A,$A808))</f>
        <v>884.10829999999999</v>
      </c>
      <c r="F808" s="6">
        <f>IF(SUMIFS('Daily BSE Equity Futures'!$I:$I,'Daily BSE Equity Futures'!$A:$A,$A808)=0,"",SUMIFS('Daily BSE Equity Futures'!$I:$I,'Daily BSE Equity Futures'!$A:$A,$A808))</f>
        <v>8.3000000000000004E-2</v>
      </c>
      <c r="G808" s="6">
        <f t="shared" si="144"/>
        <v>884.19129999999996</v>
      </c>
      <c r="H808" s="15">
        <f t="shared" si="145"/>
        <v>0.99990612891124353</v>
      </c>
      <c r="I808" s="15">
        <f t="shared" si="146"/>
        <v>9.3871088756471597E-5</v>
      </c>
      <c r="J808" s="20" t="str">
        <f t="shared" si="147"/>
        <v/>
      </c>
      <c r="K808" s="15" t="str">
        <f t="shared" si="148"/>
        <v/>
      </c>
      <c r="L808" s="15" t="str">
        <f t="shared" si="149"/>
        <v/>
      </c>
      <c r="M808" s="15">
        <f t="shared" si="153"/>
        <v>3.212624766618033E-2</v>
      </c>
      <c r="N808" s="15">
        <f t="shared" si="154"/>
        <v>-0.91671683724663855</v>
      </c>
      <c r="O808" s="15">
        <f t="shared" si="155"/>
        <v>3.1023597752714904E-2</v>
      </c>
      <c r="P808" s="18">
        <f>IF(SUMIFS('Daily NSE Equity Futures'!$J:$J,'Daily NSE Equity Futures'!$A:$A,$A808)=0,"",SUMIFS('Daily NSE Equity Futures'!$J:$J,'Daily NSE Equity Futures'!$A:$A,$A808))</f>
        <v>1113349</v>
      </c>
      <c r="Q808" s="7">
        <f>IF(SUMIFS('Daily BSE Equity Futures'!$J:$J,'Daily BSE Equity Futures'!$A:$A,$A808)=0,"",SUMIFS('Daily BSE Equity Futures'!$J:$J,'Daily BSE Equity Futures'!$A:$A,$A808))</f>
        <v>127</v>
      </c>
      <c r="R808" s="7">
        <f t="shared" si="150"/>
        <v>1113476</v>
      </c>
      <c r="S808" s="19">
        <f t="shared" si="151"/>
        <v>0.99988594275943088</v>
      </c>
      <c r="T808" s="19">
        <f t="shared" si="152"/>
        <v>1.1405724056917257E-4</v>
      </c>
    </row>
    <row r="809" spans="1:20" x14ac:dyDescent="0.2">
      <c r="A809" s="9">
        <v>45111</v>
      </c>
      <c r="B809" s="4" t="s">
        <v>223</v>
      </c>
      <c r="C809" s="8">
        <v>45108</v>
      </c>
      <c r="D809" s="4" t="s">
        <v>186</v>
      </c>
      <c r="E809" s="14">
        <f>IF(SUMIFS('Daily NSE Equity Futures'!$I:$I,'Daily NSE Equity Futures'!$A:$A,$A809)=0,"",SUMIFS('Daily NSE Equity Futures'!$I:$I,'Daily NSE Equity Futures'!$A:$A,$A809))</f>
        <v>938.86580000000004</v>
      </c>
      <c r="F809" s="6">
        <f>IF(SUMIFS('Daily BSE Equity Futures'!$I:$I,'Daily BSE Equity Futures'!$A:$A,$A809)=0,"",SUMIFS('Daily BSE Equity Futures'!$I:$I,'Daily BSE Equity Futures'!$A:$A,$A809))</f>
        <v>6.9400000000000003E-2</v>
      </c>
      <c r="G809" s="6">
        <f t="shared" si="144"/>
        <v>938.93520000000001</v>
      </c>
      <c r="H809" s="15">
        <f t="shared" si="145"/>
        <v>0.99992608648605363</v>
      </c>
      <c r="I809" s="15">
        <f t="shared" si="146"/>
        <v>7.3913513946436348E-5</v>
      </c>
      <c r="J809" s="20">
        <f t="shared" si="147"/>
        <v>0.29288160744541858</v>
      </c>
      <c r="K809" s="15">
        <f t="shared" si="148"/>
        <v>85.75</v>
      </c>
      <c r="L809" s="15">
        <f t="shared" si="149"/>
        <v>0.29297575152000555</v>
      </c>
      <c r="M809" s="15">
        <f t="shared" si="153"/>
        <v>6.1935285530064554E-2</v>
      </c>
      <c r="N809" s="15">
        <f t="shared" si="154"/>
        <v>-0.16385542168674694</v>
      </c>
      <c r="O809" s="15">
        <f t="shared" si="155"/>
        <v>6.1914090310547065E-2</v>
      </c>
      <c r="P809" s="18">
        <f>IF(SUMIFS('Daily NSE Equity Futures'!$J:$J,'Daily NSE Equity Futures'!$A:$A,$A809)=0,"",SUMIFS('Daily NSE Equity Futures'!$J:$J,'Daily NSE Equity Futures'!$A:$A,$A809))</f>
        <v>1177328</v>
      </c>
      <c r="Q809" s="7">
        <f>IF(SUMIFS('Daily BSE Equity Futures'!$J:$J,'Daily BSE Equity Futures'!$A:$A,$A809)=0,"",SUMIFS('Daily BSE Equity Futures'!$J:$J,'Daily BSE Equity Futures'!$A:$A,$A809))</f>
        <v>106</v>
      </c>
      <c r="R809" s="7">
        <f t="shared" si="150"/>
        <v>1177434</v>
      </c>
      <c r="S809" s="19">
        <f t="shared" si="151"/>
        <v>0.99990997372251866</v>
      </c>
      <c r="T809" s="19">
        <f t="shared" si="152"/>
        <v>9.0026277481370504E-5</v>
      </c>
    </row>
    <row r="810" spans="1:20" x14ac:dyDescent="0.2">
      <c r="A810" s="9">
        <v>45112</v>
      </c>
      <c r="B810" s="4" t="s">
        <v>221</v>
      </c>
      <c r="C810" s="8">
        <v>45108</v>
      </c>
      <c r="D810" s="4" t="s">
        <v>186</v>
      </c>
      <c r="E810" s="14">
        <f>IF(SUMIFS('Daily NSE Equity Futures'!$I:$I,'Daily NSE Equity Futures'!$A:$A,$A810)=0,"",SUMIFS('Daily NSE Equity Futures'!$I:$I,'Daily NSE Equity Futures'!$A:$A,$A810))</f>
        <v>860.83069999999998</v>
      </c>
      <c r="F810" s="6">
        <f>IF(SUMIFS('Daily BSE Equity Futures'!$I:$I,'Daily BSE Equity Futures'!$A:$A,$A810)=0,"",SUMIFS('Daily BSE Equity Futures'!$I:$I,'Daily BSE Equity Futures'!$A:$A,$A810))</f>
        <v>8.1100000000000005E-2</v>
      </c>
      <c r="G810" s="6">
        <f t="shared" si="144"/>
        <v>860.91179999999997</v>
      </c>
      <c r="H810" s="15">
        <f t="shared" si="145"/>
        <v>0.99990579755092224</v>
      </c>
      <c r="I810" s="15">
        <f t="shared" si="146"/>
        <v>9.4202449077826565E-5</v>
      </c>
      <c r="J810" s="20">
        <f t="shared" si="147"/>
        <v>1.7090841121141898E-2</v>
      </c>
      <c r="K810" s="15">
        <f t="shared" si="148"/>
        <v>31.440000000000005</v>
      </c>
      <c r="L810" s="15">
        <f t="shared" si="149"/>
        <v>1.7183658032480231E-2</v>
      </c>
      <c r="M810" s="15">
        <f t="shared" si="153"/>
        <v>-8.3116351666020938E-2</v>
      </c>
      <c r="N810" s="15">
        <f t="shared" si="154"/>
        <v>0.16858789625360227</v>
      </c>
      <c r="O810" s="15">
        <f t="shared" si="155"/>
        <v>-8.3097747320581949E-2</v>
      </c>
      <c r="P810" s="18">
        <f>IF(SUMIFS('Daily NSE Equity Futures'!$J:$J,'Daily NSE Equity Futures'!$A:$A,$A810)=0,"",SUMIFS('Daily NSE Equity Futures'!$J:$J,'Daily NSE Equity Futures'!$A:$A,$A810))</f>
        <v>1090866</v>
      </c>
      <c r="Q810" s="7">
        <f>IF(SUMIFS('Daily BSE Equity Futures'!$J:$J,'Daily BSE Equity Futures'!$A:$A,$A810)=0,"",SUMIFS('Daily BSE Equity Futures'!$J:$J,'Daily BSE Equity Futures'!$A:$A,$A810))</f>
        <v>124</v>
      </c>
      <c r="R810" s="7">
        <f t="shared" si="150"/>
        <v>1090990</v>
      </c>
      <c r="S810" s="19">
        <f t="shared" si="151"/>
        <v>0.99988634176298596</v>
      </c>
      <c r="T810" s="19">
        <f t="shared" si="152"/>
        <v>1.1365823701408813E-4</v>
      </c>
    </row>
    <row r="811" spans="1:20" x14ac:dyDescent="0.2">
      <c r="A811" s="9">
        <v>45113</v>
      </c>
      <c r="B811" s="4" t="s">
        <v>224</v>
      </c>
      <c r="C811" s="8">
        <v>45108</v>
      </c>
      <c r="D811" s="4" t="s">
        <v>186</v>
      </c>
      <c r="E811" s="14">
        <f>IF(SUMIFS('Daily NSE Equity Futures'!$I:$I,'Daily NSE Equity Futures'!$A:$A,$A811)=0,"",SUMIFS('Daily NSE Equity Futures'!$I:$I,'Daily NSE Equity Futures'!$A:$A,$A811))</f>
        <v>875.85479999999995</v>
      </c>
      <c r="F811" s="6">
        <f>IF(SUMIFS('Daily BSE Equity Futures'!$I:$I,'Daily BSE Equity Futures'!$A:$A,$A811)=0,"",SUMIFS('Daily BSE Equity Futures'!$I:$I,'Daily BSE Equity Futures'!$A:$A,$A811))</f>
        <v>0.21129999999999999</v>
      </c>
      <c r="G811" s="6">
        <f t="shared" si="144"/>
        <v>876.06610000000001</v>
      </c>
      <c r="H811" s="15">
        <f t="shared" si="145"/>
        <v>0.99975880815385954</v>
      </c>
      <c r="I811" s="15">
        <f t="shared" si="146"/>
        <v>2.4119184614037684E-4</v>
      </c>
      <c r="J811" s="20">
        <f t="shared" si="147"/>
        <v>-9.2522419500077335E-2</v>
      </c>
      <c r="K811" s="15">
        <f t="shared" si="148"/>
        <v>83.52</v>
      </c>
      <c r="L811" s="15">
        <f t="shared" si="149"/>
        <v>-9.2305841669467648E-2</v>
      </c>
      <c r="M811" s="15">
        <f t="shared" si="153"/>
        <v>1.7453025316127802E-2</v>
      </c>
      <c r="N811" s="15">
        <f t="shared" si="154"/>
        <v>1.605425400739827</v>
      </c>
      <c r="O811" s="15">
        <f t="shared" si="155"/>
        <v>1.7602616202960775E-2</v>
      </c>
      <c r="P811" s="18">
        <f>IF(SUMIFS('Daily NSE Equity Futures'!$J:$J,'Daily NSE Equity Futures'!$A:$A,$A811)=0,"",SUMIFS('Daily NSE Equity Futures'!$J:$J,'Daily NSE Equity Futures'!$A:$A,$A811))</f>
        <v>1122353</v>
      </c>
      <c r="Q811" s="7">
        <f>IF(SUMIFS('Daily BSE Equity Futures'!$J:$J,'Daily BSE Equity Futures'!$A:$A,$A811)=0,"",SUMIFS('Daily BSE Equity Futures'!$J:$J,'Daily BSE Equity Futures'!$A:$A,$A811))</f>
        <v>322</v>
      </c>
      <c r="R811" s="7">
        <f t="shared" si="150"/>
        <v>1122675</v>
      </c>
      <c r="S811" s="19">
        <f t="shared" si="151"/>
        <v>0.99971318502683326</v>
      </c>
      <c r="T811" s="19">
        <f t="shared" si="152"/>
        <v>2.8681497316676688E-4</v>
      </c>
    </row>
    <row r="812" spans="1:20" x14ac:dyDescent="0.2">
      <c r="A812" s="9">
        <v>45114</v>
      </c>
      <c r="B812" s="4" t="s">
        <v>222</v>
      </c>
      <c r="C812" s="8">
        <v>45108</v>
      </c>
      <c r="D812" s="4" t="s">
        <v>186</v>
      </c>
      <c r="E812" s="14">
        <f>IF(SUMIFS('Daily NSE Equity Futures'!$I:$I,'Daily NSE Equity Futures'!$A:$A,$A812)=0,"",SUMIFS('Daily NSE Equity Futures'!$I:$I,'Daily NSE Equity Futures'!$A:$A,$A812))</f>
        <v>1005.3312</v>
      </c>
      <c r="F812" s="6">
        <f>IF(SUMIFS('Daily BSE Equity Futures'!$I:$I,'Daily BSE Equity Futures'!$A:$A,$A812)=0,"",SUMIFS('Daily BSE Equity Futures'!$I:$I,'Daily BSE Equity Futures'!$A:$A,$A812))</f>
        <v>0.69910000000000005</v>
      </c>
      <c r="G812" s="6">
        <f t="shared" si="144"/>
        <v>1006.0303</v>
      </c>
      <c r="H812" s="15">
        <f t="shared" si="145"/>
        <v>0.99930509051268135</v>
      </c>
      <c r="I812" s="15">
        <f t="shared" si="146"/>
        <v>6.9490948731862259E-4</v>
      </c>
      <c r="J812" s="20">
        <f t="shared" si="147"/>
        <v>0.16468719625291217</v>
      </c>
      <c r="K812" s="15">
        <f t="shared" si="148"/>
        <v>410.23529411764713</v>
      </c>
      <c r="L812" s="15">
        <f t="shared" si="149"/>
        <v>0.16549481584751802</v>
      </c>
      <c r="M812" s="15">
        <f t="shared" si="153"/>
        <v>0.14782861268785652</v>
      </c>
      <c r="N812" s="15">
        <f t="shared" si="154"/>
        <v>2.3085660198769529</v>
      </c>
      <c r="O812" s="15">
        <f t="shared" si="155"/>
        <v>0.14834976493212104</v>
      </c>
      <c r="P812" s="18">
        <f>IF(SUMIFS('Daily NSE Equity Futures'!$J:$J,'Daily NSE Equity Futures'!$A:$A,$A812)=0,"",SUMIFS('Daily NSE Equity Futures'!$J:$J,'Daily NSE Equity Futures'!$A:$A,$A812))</f>
        <v>1281132</v>
      </c>
      <c r="Q812" s="7">
        <f>IF(SUMIFS('Daily BSE Equity Futures'!$J:$J,'Daily BSE Equity Futures'!$A:$A,$A812)=0,"",SUMIFS('Daily BSE Equity Futures'!$J:$J,'Daily BSE Equity Futures'!$A:$A,$A812))</f>
        <v>1067</v>
      </c>
      <c r="R812" s="7">
        <f t="shared" si="150"/>
        <v>1282199</v>
      </c>
      <c r="S812" s="19">
        <f t="shared" si="151"/>
        <v>0.99916783588194968</v>
      </c>
      <c r="T812" s="19">
        <f t="shared" si="152"/>
        <v>8.3216411805031826E-4</v>
      </c>
    </row>
    <row r="813" spans="1:20" x14ac:dyDescent="0.2">
      <c r="A813" s="9">
        <v>45117</v>
      </c>
      <c r="B813" s="4" t="s">
        <v>225</v>
      </c>
      <c r="C813" s="8">
        <v>45108</v>
      </c>
      <c r="D813" s="4" t="s">
        <v>186</v>
      </c>
      <c r="E813" s="14">
        <f>IF(SUMIFS('Daily NSE Equity Futures'!$I:$I,'Daily NSE Equity Futures'!$A:$A,$A813)=0,"",SUMIFS('Daily NSE Equity Futures'!$I:$I,'Daily NSE Equity Futures'!$A:$A,$A813))</f>
        <v>852.94349999999997</v>
      </c>
      <c r="F813" s="6">
        <f>IF(SUMIFS('Daily BSE Equity Futures'!$I:$I,'Daily BSE Equity Futures'!$A:$A,$A813)=0,"",SUMIFS('Daily BSE Equity Futures'!$I:$I,'Daily BSE Equity Futures'!$A:$A,$A813))</f>
        <v>0.11840000000000001</v>
      </c>
      <c r="G813" s="6">
        <f t="shared" si="144"/>
        <v>853.06189999999992</v>
      </c>
      <c r="H813" s="15">
        <f t="shared" si="145"/>
        <v>0.99986120585153326</v>
      </c>
      <c r="I813" s="15">
        <f t="shared" si="146"/>
        <v>1.3879414846683461E-4</v>
      </c>
      <c r="J813" s="20" t="str">
        <f t="shared" si="147"/>
        <v/>
      </c>
      <c r="K813" s="15" t="str">
        <f t="shared" si="148"/>
        <v/>
      </c>
      <c r="L813" s="15" t="str">
        <f t="shared" si="149"/>
        <v/>
      </c>
      <c r="M813" s="15">
        <f t="shared" si="153"/>
        <v>-0.15157959884265004</v>
      </c>
      <c r="N813" s="15">
        <f t="shared" si="154"/>
        <v>-0.83063939350593619</v>
      </c>
      <c r="O813" s="15">
        <f t="shared" si="155"/>
        <v>-0.15205148393641832</v>
      </c>
      <c r="P813" s="18">
        <f>IF(SUMIFS('Daily NSE Equity Futures'!$J:$J,'Daily NSE Equity Futures'!$A:$A,$A813)=0,"",SUMIFS('Daily NSE Equity Futures'!$J:$J,'Daily NSE Equity Futures'!$A:$A,$A813))</f>
        <v>1107765</v>
      </c>
      <c r="Q813" s="7">
        <f>IF(SUMIFS('Daily BSE Equity Futures'!$J:$J,'Daily BSE Equity Futures'!$A:$A,$A813)=0,"",SUMIFS('Daily BSE Equity Futures'!$J:$J,'Daily BSE Equity Futures'!$A:$A,$A813))</f>
        <v>181</v>
      </c>
      <c r="R813" s="7">
        <f t="shared" si="150"/>
        <v>1107946</v>
      </c>
      <c r="S813" s="19">
        <f t="shared" si="151"/>
        <v>0.99983663463742822</v>
      </c>
      <c r="T813" s="19">
        <f t="shared" si="152"/>
        <v>1.633653625718221E-4</v>
      </c>
    </row>
    <row r="814" spans="1:20" x14ac:dyDescent="0.2">
      <c r="A814" s="9">
        <v>45118</v>
      </c>
      <c r="B814" s="4" t="s">
        <v>223</v>
      </c>
      <c r="C814" s="8">
        <v>45108</v>
      </c>
      <c r="D814" s="4" t="s">
        <v>186</v>
      </c>
      <c r="E814" s="14">
        <f>IF(SUMIFS('Daily NSE Equity Futures'!$I:$I,'Daily NSE Equity Futures'!$A:$A,$A814)=0,"",SUMIFS('Daily NSE Equity Futures'!$I:$I,'Daily NSE Equity Futures'!$A:$A,$A814))</f>
        <v>847.84320000000002</v>
      </c>
      <c r="F814" s="6">
        <f>IF(SUMIFS('Daily BSE Equity Futures'!$I:$I,'Daily BSE Equity Futures'!$A:$A,$A814)=0,"",SUMIFS('Daily BSE Equity Futures'!$I:$I,'Daily BSE Equity Futures'!$A:$A,$A814))</f>
        <v>0.13730000000000001</v>
      </c>
      <c r="G814" s="6">
        <f t="shared" si="144"/>
        <v>847.98050000000001</v>
      </c>
      <c r="H814" s="15">
        <f t="shared" si="145"/>
        <v>0.99983808589938095</v>
      </c>
      <c r="I814" s="15">
        <f t="shared" si="146"/>
        <v>1.6191410061905905E-4</v>
      </c>
      <c r="J814" s="20">
        <f t="shared" si="147"/>
        <v>-1.4081806390945362E-3</v>
      </c>
      <c r="K814" s="15">
        <f t="shared" si="148"/>
        <v>53.92</v>
      </c>
      <c r="L814" s="15">
        <f t="shared" si="149"/>
        <v>-1.249409186573236E-3</v>
      </c>
      <c r="M814" s="15">
        <f t="shared" si="153"/>
        <v>-5.9796457795855407E-3</v>
      </c>
      <c r="N814" s="15">
        <f t="shared" si="154"/>
        <v>0.15962837837837829</v>
      </c>
      <c r="O814" s="15">
        <f t="shared" si="155"/>
        <v>-5.9566603548932839E-3</v>
      </c>
      <c r="P814" s="18">
        <f>IF(SUMIFS('Daily NSE Equity Futures'!$J:$J,'Daily NSE Equity Futures'!$A:$A,$A814)=0,"",SUMIFS('Daily NSE Equity Futures'!$J:$J,'Daily NSE Equity Futures'!$A:$A,$A814))</f>
        <v>1076151</v>
      </c>
      <c r="Q814" s="7">
        <f>IF(SUMIFS('Daily BSE Equity Futures'!$J:$J,'Daily BSE Equity Futures'!$A:$A,$A814)=0,"",SUMIFS('Daily BSE Equity Futures'!$J:$J,'Daily BSE Equity Futures'!$A:$A,$A814))</f>
        <v>209</v>
      </c>
      <c r="R814" s="7">
        <f t="shared" si="150"/>
        <v>1076360</v>
      </c>
      <c r="S814" s="19">
        <f t="shared" si="151"/>
        <v>0.99980582704671295</v>
      </c>
      <c r="T814" s="19">
        <f t="shared" si="152"/>
        <v>1.9417295328700434E-4</v>
      </c>
    </row>
    <row r="815" spans="1:20" x14ac:dyDescent="0.2">
      <c r="A815" s="9">
        <v>45119</v>
      </c>
      <c r="B815" s="4" t="s">
        <v>221</v>
      </c>
      <c r="C815" s="8">
        <v>45108</v>
      </c>
      <c r="D815" s="4" t="s">
        <v>186</v>
      </c>
      <c r="E815" s="14">
        <f>IF(SUMIFS('Daily NSE Equity Futures'!$I:$I,'Daily NSE Equity Futures'!$A:$A,$A815)=0,"",SUMIFS('Daily NSE Equity Futures'!$I:$I,'Daily NSE Equity Futures'!$A:$A,$A815))</f>
        <v>884.57360000000006</v>
      </c>
      <c r="F815" s="6">
        <f>IF(SUMIFS('Daily BSE Equity Futures'!$I:$I,'Daily BSE Equity Futures'!$A:$A,$A815)=0,"",SUMIFS('Daily BSE Equity Futures'!$I:$I,'Daily BSE Equity Futures'!$A:$A,$A815))</f>
        <v>0.1096</v>
      </c>
      <c r="G815" s="6">
        <f t="shared" si="144"/>
        <v>884.68320000000006</v>
      </c>
      <c r="H815" s="15">
        <f t="shared" si="145"/>
        <v>0.99987611384504649</v>
      </c>
      <c r="I815" s="15">
        <f t="shared" si="146"/>
        <v>1.238861549535472E-4</v>
      </c>
      <c r="J815" s="20">
        <f t="shared" si="147"/>
        <v>0.17038315645854185</v>
      </c>
      <c r="K815" s="15">
        <f t="shared" si="148"/>
        <v>63.470588235294116</v>
      </c>
      <c r="L815" s="15">
        <f t="shared" si="149"/>
        <v>0.17052553585604646</v>
      </c>
      <c r="M815" s="15">
        <f t="shared" si="153"/>
        <v>4.3322161456269326E-2</v>
      </c>
      <c r="N815" s="15">
        <f t="shared" si="154"/>
        <v>-0.20174799708667157</v>
      </c>
      <c r="O815" s="15">
        <f t="shared" si="155"/>
        <v>4.3282481141960316E-2</v>
      </c>
      <c r="P815" s="18">
        <f>IF(SUMIFS('Daily NSE Equity Futures'!$J:$J,'Daily NSE Equity Futures'!$A:$A,$A815)=0,"",SUMIFS('Daily NSE Equity Futures'!$J:$J,'Daily NSE Equity Futures'!$A:$A,$A815))</f>
        <v>1123186</v>
      </c>
      <c r="Q815" s="7">
        <f>IF(SUMIFS('Daily BSE Equity Futures'!$J:$J,'Daily BSE Equity Futures'!$A:$A,$A815)=0,"",SUMIFS('Daily BSE Equity Futures'!$J:$J,'Daily BSE Equity Futures'!$A:$A,$A815))</f>
        <v>167</v>
      </c>
      <c r="R815" s="7">
        <f t="shared" si="150"/>
        <v>1123353</v>
      </c>
      <c r="S815" s="19">
        <f t="shared" si="151"/>
        <v>0.99985133791426206</v>
      </c>
      <c r="T815" s="19">
        <f t="shared" si="152"/>
        <v>1.4866208573796483E-4</v>
      </c>
    </row>
    <row r="816" spans="1:20" x14ac:dyDescent="0.2">
      <c r="A816" s="9">
        <v>45120</v>
      </c>
      <c r="B816" s="4" t="s">
        <v>224</v>
      </c>
      <c r="C816" s="8">
        <v>45108</v>
      </c>
      <c r="D816" s="4" t="s">
        <v>186</v>
      </c>
      <c r="E816" s="14">
        <f>IF(SUMIFS('Daily NSE Equity Futures'!$I:$I,'Daily NSE Equity Futures'!$A:$A,$A816)=0,"",SUMIFS('Daily NSE Equity Futures'!$I:$I,'Daily NSE Equity Futures'!$A:$A,$A816))</f>
        <v>1038.8532</v>
      </c>
      <c r="F816" s="6">
        <f>IF(SUMIFS('Daily BSE Equity Futures'!$I:$I,'Daily BSE Equity Futures'!$A:$A,$A816)=0,"",SUMIFS('Daily BSE Equity Futures'!$I:$I,'Daily BSE Equity Futures'!$A:$A,$A816))</f>
        <v>0.45179999999999998</v>
      </c>
      <c r="G816" s="6">
        <f t="shared" si="144"/>
        <v>1039.3050000000001</v>
      </c>
      <c r="H816" s="15">
        <f t="shared" si="145"/>
        <v>0.99956528641736542</v>
      </c>
      <c r="I816" s="15">
        <f t="shared" si="146"/>
        <v>4.3471358263454899E-4</v>
      </c>
      <c r="J816" s="20">
        <f t="shared" si="147"/>
        <v>0.29056387473326351</v>
      </c>
      <c r="K816" s="15">
        <f t="shared" si="148"/>
        <v>179.72</v>
      </c>
      <c r="L816" s="15">
        <f t="shared" si="149"/>
        <v>0.29112113448167576</v>
      </c>
      <c r="M816" s="15">
        <f t="shared" si="153"/>
        <v>0.17441126436511323</v>
      </c>
      <c r="N816" s="15">
        <f t="shared" si="154"/>
        <v>3.1222627737226274</v>
      </c>
      <c r="O816" s="15">
        <f t="shared" si="155"/>
        <v>0.17477646235398159</v>
      </c>
      <c r="P816" s="18">
        <f>IF(SUMIFS('Daily NSE Equity Futures'!$J:$J,'Daily NSE Equity Futures'!$A:$A,$A816)=0,"",SUMIFS('Daily NSE Equity Futures'!$J:$J,'Daily NSE Equity Futures'!$A:$A,$A816))</f>
        <v>1363158</v>
      </c>
      <c r="Q816" s="7">
        <f>IF(SUMIFS('Daily BSE Equity Futures'!$J:$J,'Daily BSE Equity Futures'!$A:$A,$A816)=0,"",SUMIFS('Daily BSE Equity Futures'!$J:$J,'Daily BSE Equity Futures'!$A:$A,$A816))</f>
        <v>687</v>
      </c>
      <c r="R816" s="7">
        <f t="shared" si="150"/>
        <v>1363845</v>
      </c>
      <c r="S816" s="19">
        <f t="shared" si="151"/>
        <v>0.99949627706960831</v>
      </c>
      <c r="T816" s="19">
        <f t="shared" si="152"/>
        <v>5.0372293039165007E-4</v>
      </c>
    </row>
    <row r="817" spans="1:20" x14ac:dyDescent="0.2">
      <c r="A817" s="9">
        <v>45121</v>
      </c>
      <c r="B817" s="4" t="s">
        <v>222</v>
      </c>
      <c r="C817" s="8">
        <v>45108</v>
      </c>
      <c r="D817" s="4" t="s">
        <v>186</v>
      </c>
      <c r="E817" s="14">
        <f>IF(SUMIFS('Daily NSE Equity Futures'!$I:$I,'Daily NSE Equity Futures'!$A:$A,$A817)=0,"",SUMIFS('Daily NSE Equity Futures'!$I:$I,'Daily NSE Equity Futures'!$A:$A,$A817))</f>
        <v>903.1146</v>
      </c>
      <c r="F817" s="6">
        <f>IF(SUMIFS('Daily BSE Equity Futures'!$I:$I,'Daily BSE Equity Futures'!$A:$A,$A817)=0,"",SUMIFS('Daily BSE Equity Futures'!$I:$I,'Daily BSE Equity Futures'!$A:$A,$A817))</f>
        <v>1.0222</v>
      </c>
      <c r="G817" s="6">
        <f t="shared" si="144"/>
        <v>904.13679999999999</v>
      </c>
      <c r="H817" s="15">
        <f t="shared" si="145"/>
        <v>0.9988694188755507</v>
      </c>
      <c r="I817" s="15">
        <f t="shared" si="146"/>
        <v>1.130581124449309E-3</v>
      </c>
      <c r="J817" s="20">
        <f t="shared" si="147"/>
        <v>8.8365642523641874E-2</v>
      </c>
      <c r="K817" s="15">
        <f t="shared" si="148"/>
        <v>299.64705882352945</v>
      </c>
      <c r="L817" s="15">
        <f t="shared" si="149"/>
        <v>8.959305638959858E-2</v>
      </c>
      <c r="M817" s="15">
        <f t="shared" si="153"/>
        <v>-0.13066196455861134</v>
      </c>
      <c r="N817" s="15">
        <f t="shared" si="154"/>
        <v>1.262505533421868</v>
      </c>
      <c r="O817" s="15">
        <f t="shared" si="155"/>
        <v>-0.13005633572435427</v>
      </c>
      <c r="P817" s="18">
        <f>IF(SUMIFS('Daily NSE Equity Futures'!$J:$J,'Daily NSE Equity Futures'!$A:$A,$A817)=0,"",SUMIFS('Daily NSE Equity Futures'!$J:$J,'Daily NSE Equity Futures'!$A:$A,$A817))</f>
        <v>1186723</v>
      </c>
      <c r="Q817" s="7">
        <f>IF(SUMIFS('Daily BSE Equity Futures'!$J:$J,'Daily BSE Equity Futures'!$A:$A,$A817)=0,"",SUMIFS('Daily BSE Equity Futures'!$J:$J,'Daily BSE Equity Futures'!$A:$A,$A817))</f>
        <v>1553</v>
      </c>
      <c r="R817" s="7">
        <f t="shared" si="150"/>
        <v>1188276</v>
      </c>
      <c r="S817" s="19">
        <f t="shared" si="151"/>
        <v>0.99869306457422347</v>
      </c>
      <c r="T817" s="19">
        <f t="shared" si="152"/>
        <v>1.3069354257765032E-3</v>
      </c>
    </row>
    <row r="818" spans="1:20" x14ac:dyDescent="0.2">
      <c r="A818" s="9">
        <v>45124</v>
      </c>
      <c r="B818" s="4" t="s">
        <v>225</v>
      </c>
      <c r="C818" s="8">
        <v>45108</v>
      </c>
      <c r="D818" s="4" t="s">
        <v>186</v>
      </c>
      <c r="E818" s="14">
        <f>IF(SUMIFS('Daily NSE Equity Futures'!$I:$I,'Daily NSE Equity Futures'!$A:$A,$A818)=0,"",SUMIFS('Daily NSE Equity Futures'!$I:$I,'Daily NSE Equity Futures'!$A:$A,$A818))</f>
        <v>1044.7179000000001</v>
      </c>
      <c r="F818" s="6">
        <f>IF(SUMIFS('Daily BSE Equity Futures'!$I:$I,'Daily BSE Equity Futures'!$A:$A,$A818)=0,"",SUMIFS('Daily BSE Equity Futures'!$I:$I,'Daily BSE Equity Futures'!$A:$A,$A818))</f>
        <v>0.39539999999999997</v>
      </c>
      <c r="G818" s="6">
        <f t="shared" si="144"/>
        <v>1045.1133000000002</v>
      </c>
      <c r="H818" s="15">
        <f t="shared" si="145"/>
        <v>0.9996216678134322</v>
      </c>
      <c r="I818" s="15">
        <f t="shared" si="146"/>
        <v>3.7833218656771461E-4</v>
      </c>
      <c r="J818" s="20" t="str">
        <f t="shared" si="147"/>
        <v/>
      </c>
      <c r="K818" s="15" t="str">
        <f t="shared" si="148"/>
        <v/>
      </c>
      <c r="L818" s="15" t="str">
        <f t="shared" si="149"/>
        <v/>
      </c>
      <c r="M818" s="15">
        <f t="shared" si="153"/>
        <v>0.15679438689176339</v>
      </c>
      <c r="N818" s="15">
        <f t="shared" si="154"/>
        <v>-0.6131872432009392</v>
      </c>
      <c r="O818" s="15">
        <f t="shared" si="155"/>
        <v>0.15592386019460802</v>
      </c>
      <c r="P818" s="18">
        <f>IF(SUMIFS('Daily NSE Equity Futures'!$J:$J,'Daily NSE Equity Futures'!$A:$A,$A818)=0,"",SUMIFS('Daily NSE Equity Futures'!$J:$J,'Daily NSE Equity Futures'!$A:$A,$A818))</f>
        <v>1377149</v>
      </c>
      <c r="Q818" s="7">
        <f>IF(SUMIFS('Daily BSE Equity Futures'!$J:$J,'Daily BSE Equity Futures'!$A:$A,$A818)=0,"",SUMIFS('Daily BSE Equity Futures'!$J:$J,'Daily BSE Equity Futures'!$A:$A,$A818))</f>
        <v>597</v>
      </c>
      <c r="R818" s="7">
        <f t="shared" si="150"/>
        <v>1377746</v>
      </c>
      <c r="S818" s="19">
        <f t="shared" si="151"/>
        <v>0.9995666835541529</v>
      </c>
      <c r="T818" s="19">
        <f t="shared" si="152"/>
        <v>4.3331644584705746E-4</v>
      </c>
    </row>
    <row r="819" spans="1:20" x14ac:dyDescent="0.2">
      <c r="A819" s="9">
        <v>45125</v>
      </c>
      <c r="B819" s="4" t="s">
        <v>223</v>
      </c>
      <c r="C819" s="8">
        <v>45108</v>
      </c>
      <c r="D819" s="4" t="s">
        <v>186</v>
      </c>
      <c r="E819" s="14">
        <f>IF(SUMIFS('Daily NSE Equity Futures'!$I:$I,'Daily NSE Equity Futures'!$A:$A,$A819)=0,"",SUMIFS('Daily NSE Equity Futures'!$I:$I,'Daily NSE Equity Futures'!$A:$A,$A819))</f>
        <v>1103.5708</v>
      </c>
      <c r="F819" s="6">
        <f>IF(SUMIFS('Daily BSE Equity Futures'!$I:$I,'Daily BSE Equity Futures'!$A:$A,$A819)=0,"",SUMIFS('Daily BSE Equity Futures'!$I:$I,'Daily BSE Equity Futures'!$A:$A,$A819))</f>
        <v>0.44</v>
      </c>
      <c r="G819" s="6">
        <f t="shared" si="144"/>
        <v>1104.0108</v>
      </c>
      <c r="H819" s="15">
        <f t="shared" si="145"/>
        <v>0.99960145317418991</v>
      </c>
      <c r="I819" s="15">
        <f t="shared" si="146"/>
        <v>3.9854682581003738E-4</v>
      </c>
      <c r="J819" s="20">
        <f t="shared" si="147"/>
        <v>0.24420952609876312</v>
      </c>
      <c r="K819" s="15">
        <f t="shared" si="148"/>
        <v>257.8235294117647</v>
      </c>
      <c r="L819" s="15">
        <f t="shared" si="149"/>
        <v>0.24470321390725758</v>
      </c>
      <c r="M819" s="15">
        <f t="shared" si="153"/>
        <v>5.6333772016349926E-2</v>
      </c>
      <c r="N819" s="15">
        <f t="shared" si="154"/>
        <v>0.11279716742539203</v>
      </c>
      <c r="O819" s="15">
        <f t="shared" si="155"/>
        <v>5.6355133936196067E-2</v>
      </c>
      <c r="P819" s="18">
        <f>IF(SUMIFS('Daily NSE Equity Futures'!$J:$J,'Daily NSE Equity Futures'!$A:$A,$A819)=0,"",SUMIFS('Daily NSE Equity Futures'!$J:$J,'Daily NSE Equity Futures'!$A:$A,$A819))</f>
        <v>1421985</v>
      </c>
      <c r="Q819" s="7">
        <f>IF(SUMIFS('Daily BSE Equity Futures'!$J:$J,'Daily BSE Equity Futures'!$A:$A,$A819)=0,"",SUMIFS('Daily BSE Equity Futures'!$J:$J,'Daily BSE Equity Futures'!$A:$A,$A819))</f>
        <v>660</v>
      </c>
      <c r="R819" s="7">
        <f t="shared" si="150"/>
        <v>1422645</v>
      </c>
      <c r="S819" s="19">
        <f t="shared" si="151"/>
        <v>0.99953607540883349</v>
      </c>
      <c r="T819" s="19">
        <f t="shared" si="152"/>
        <v>4.6392459116645406E-4</v>
      </c>
    </row>
    <row r="820" spans="1:20" x14ac:dyDescent="0.2">
      <c r="A820" s="9">
        <v>45126</v>
      </c>
      <c r="B820" s="4" t="s">
        <v>221</v>
      </c>
      <c r="C820" s="8">
        <v>45108</v>
      </c>
      <c r="D820" s="4" t="s">
        <v>186</v>
      </c>
      <c r="E820" s="14">
        <f>IF(SUMIFS('Daily NSE Equity Futures'!$I:$I,'Daily NSE Equity Futures'!$A:$A,$A820)=0,"",SUMIFS('Daily NSE Equity Futures'!$I:$I,'Daily NSE Equity Futures'!$A:$A,$A820))</f>
        <v>953.15440000000001</v>
      </c>
      <c r="F820" s="6">
        <f>IF(SUMIFS('Daily BSE Equity Futures'!$I:$I,'Daily BSE Equity Futures'!$A:$A,$A820)=0,"",SUMIFS('Daily BSE Equity Futures'!$I:$I,'Daily BSE Equity Futures'!$A:$A,$A820))</f>
        <v>0.2447</v>
      </c>
      <c r="G820" s="6">
        <f t="shared" si="144"/>
        <v>953.39909999999998</v>
      </c>
      <c r="H820" s="15">
        <f t="shared" si="145"/>
        <v>0.99974333938431459</v>
      </c>
      <c r="I820" s="15">
        <f t="shared" si="146"/>
        <v>2.5666061568549832E-4</v>
      </c>
      <c r="J820" s="20">
        <f t="shared" si="147"/>
        <v>2.3789859978331052E-2</v>
      </c>
      <c r="K820" s="15">
        <f t="shared" si="148"/>
        <v>142.94117647058823</v>
      </c>
      <c r="L820" s="15">
        <f t="shared" si="149"/>
        <v>2.4050824074905552E-2</v>
      </c>
      <c r="M820" s="15">
        <f t="shared" si="153"/>
        <v>-0.13629972811893898</v>
      </c>
      <c r="N820" s="15">
        <f t="shared" si="154"/>
        <v>-0.44386363636363635</v>
      </c>
      <c r="O820" s="15">
        <f t="shared" si="155"/>
        <v>-0.13642230673830369</v>
      </c>
      <c r="P820" s="18">
        <f>IF(SUMIFS('Daily NSE Equity Futures'!$J:$J,'Daily NSE Equity Futures'!$A:$A,$A820)=0,"",SUMIFS('Daily NSE Equity Futures'!$J:$J,'Daily NSE Equity Futures'!$A:$A,$A820))</f>
        <v>1216609</v>
      </c>
      <c r="Q820" s="7">
        <f>IF(SUMIFS('Daily BSE Equity Futures'!$J:$J,'Daily BSE Equity Futures'!$A:$A,$A820)=0,"",SUMIFS('Daily BSE Equity Futures'!$J:$J,'Daily BSE Equity Futures'!$A:$A,$A820))</f>
        <v>366</v>
      </c>
      <c r="R820" s="7">
        <f t="shared" si="150"/>
        <v>1216975</v>
      </c>
      <c r="S820" s="19">
        <f t="shared" si="151"/>
        <v>0.99969925429856821</v>
      </c>
      <c r="T820" s="19">
        <f t="shared" si="152"/>
        <v>3.007457014318289E-4</v>
      </c>
    </row>
    <row r="821" spans="1:20" x14ac:dyDescent="0.2">
      <c r="A821" s="9">
        <v>45127</v>
      </c>
      <c r="B821" s="4" t="s">
        <v>224</v>
      </c>
      <c r="C821" s="8">
        <v>45108</v>
      </c>
      <c r="D821" s="4" t="s">
        <v>186</v>
      </c>
      <c r="E821" s="14">
        <f>IF(SUMIFS('Daily NSE Equity Futures'!$I:$I,'Daily NSE Equity Futures'!$A:$A,$A821)=0,"",SUMIFS('Daily NSE Equity Futures'!$I:$I,'Daily NSE Equity Futures'!$A:$A,$A821))</f>
        <v>1154.1415999999999</v>
      </c>
      <c r="F821" s="6">
        <f>IF(SUMIFS('Daily BSE Equity Futures'!$I:$I,'Daily BSE Equity Futures'!$A:$A,$A821)=0,"",SUMIFS('Daily BSE Equity Futures'!$I:$I,'Daily BSE Equity Futures'!$A:$A,$A821))</f>
        <v>0.70740000000000003</v>
      </c>
      <c r="G821" s="6">
        <f t="shared" si="144"/>
        <v>1154.8489999999999</v>
      </c>
      <c r="H821" s="15">
        <f t="shared" si="145"/>
        <v>0.99938745238554993</v>
      </c>
      <c r="I821" s="15">
        <f t="shared" si="146"/>
        <v>6.1254761445002771E-4</v>
      </c>
      <c r="J821" s="20">
        <f t="shared" si="147"/>
        <v>6.6221507594510509E-2</v>
      </c>
      <c r="K821" s="15">
        <f t="shared" si="148"/>
        <v>201.11428571428573</v>
      </c>
      <c r="L821" s="15">
        <f t="shared" si="149"/>
        <v>6.6871569744185289E-2</v>
      </c>
      <c r="M821" s="15">
        <f t="shared" si="153"/>
        <v>0.21086531206276748</v>
      </c>
      <c r="N821" s="15">
        <f t="shared" si="154"/>
        <v>1.8908868001634658</v>
      </c>
      <c r="O821" s="15">
        <f t="shared" si="155"/>
        <v>0.21129650741226835</v>
      </c>
      <c r="P821" s="18">
        <f>IF(SUMIFS('Daily NSE Equity Futures'!$J:$J,'Daily NSE Equity Futures'!$A:$A,$A821)=0,"",SUMIFS('Daily NSE Equity Futures'!$J:$J,'Daily NSE Equity Futures'!$A:$A,$A821))</f>
        <v>1466442</v>
      </c>
      <c r="Q821" s="7">
        <f>IF(SUMIFS('Daily BSE Equity Futures'!$J:$J,'Daily BSE Equity Futures'!$A:$A,$A821)=0,"",SUMIFS('Daily BSE Equity Futures'!$J:$J,'Daily BSE Equity Futures'!$A:$A,$A821))</f>
        <v>1054</v>
      </c>
      <c r="R821" s="7">
        <f t="shared" si="150"/>
        <v>1467496</v>
      </c>
      <c r="S821" s="19">
        <f t="shared" si="151"/>
        <v>0.99928176976291583</v>
      </c>
      <c r="T821" s="19">
        <f t="shared" si="152"/>
        <v>7.1823023708412147E-4</v>
      </c>
    </row>
    <row r="822" spans="1:20" x14ac:dyDescent="0.2">
      <c r="A822" s="9">
        <v>45128</v>
      </c>
      <c r="B822" s="4" t="s">
        <v>222</v>
      </c>
      <c r="C822" s="8">
        <v>45108</v>
      </c>
      <c r="D822" s="4" t="s">
        <v>186</v>
      </c>
      <c r="E822" s="14">
        <f>IF(SUMIFS('Daily NSE Equity Futures'!$I:$I,'Daily NSE Equity Futures'!$A:$A,$A822)=0,"",SUMIFS('Daily NSE Equity Futures'!$I:$I,'Daily NSE Equity Futures'!$A:$A,$A822))</f>
        <v>1520.2235000000001</v>
      </c>
      <c r="F822" s="6">
        <f>IF(SUMIFS('Daily BSE Equity Futures'!$I:$I,'Daily BSE Equity Futures'!$A:$A,$A822)=0,"",SUMIFS('Daily BSE Equity Futures'!$I:$I,'Daily BSE Equity Futures'!$A:$A,$A822))</f>
        <v>2.3163</v>
      </c>
      <c r="G822" s="6">
        <f t="shared" si="144"/>
        <v>1522.5398</v>
      </c>
      <c r="H822" s="15">
        <f t="shared" si="145"/>
        <v>0.99847866045931943</v>
      </c>
      <c r="I822" s="15">
        <f t="shared" si="146"/>
        <v>1.5213395406806444E-3</v>
      </c>
      <c r="J822" s="20">
        <f t="shared" si="147"/>
        <v>0.41991223804018918</v>
      </c>
      <c r="K822" s="15">
        <f t="shared" si="148"/>
        <v>378.72131147540983</v>
      </c>
      <c r="L822" s="15">
        <f t="shared" si="149"/>
        <v>0.42206759580748998</v>
      </c>
      <c r="M822" s="15">
        <f t="shared" si="153"/>
        <v>0.31718976250401187</v>
      </c>
      <c r="N822" s="15">
        <f t="shared" si="154"/>
        <v>2.2743850720949959</v>
      </c>
      <c r="O822" s="15">
        <f t="shared" si="155"/>
        <v>0.31838863782191451</v>
      </c>
      <c r="P822" s="18">
        <f>IF(SUMIFS('Daily NSE Equity Futures'!$J:$J,'Daily NSE Equity Futures'!$A:$A,$A822)=0,"",SUMIFS('Daily NSE Equity Futures'!$J:$J,'Daily NSE Equity Futures'!$A:$A,$A822))</f>
        <v>1967462</v>
      </c>
      <c r="Q822" s="7">
        <f>IF(SUMIFS('Daily BSE Equity Futures'!$J:$J,'Daily BSE Equity Futures'!$A:$A,$A822)=0,"",SUMIFS('Daily BSE Equity Futures'!$J:$J,'Daily BSE Equity Futures'!$A:$A,$A822))</f>
        <v>3457</v>
      </c>
      <c r="R822" s="7">
        <f t="shared" si="150"/>
        <v>1970919</v>
      </c>
      <c r="S822" s="19">
        <f t="shared" si="151"/>
        <v>0.99824599590343388</v>
      </c>
      <c r="T822" s="19">
        <f t="shared" si="152"/>
        <v>1.7540040965661197E-3</v>
      </c>
    </row>
    <row r="823" spans="1:20" x14ac:dyDescent="0.2">
      <c r="A823" s="9">
        <v>45131</v>
      </c>
      <c r="B823" s="4" t="s">
        <v>225</v>
      </c>
      <c r="C823" s="8">
        <v>45108</v>
      </c>
      <c r="D823" s="4" t="s">
        <v>186</v>
      </c>
      <c r="E823" s="14">
        <f>IF(SUMIFS('Daily NSE Equity Futures'!$I:$I,'Daily NSE Equity Futures'!$A:$A,$A823)=0,"",SUMIFS('Daily NSE Equity Futures'!$I:$I,'Daily NSE Equity Futures'!$A:$A,$A823))</f>
        <v>2098.0255000000002</v>
      </c>
      <c r="F823" s="6">
        <f>IF(SUMIFS('Daily BSE Equity Futures'!$I:$I,'Daily BSE Equity Futures'!$A:$A,$A823)=0,"",SUMIFS('Daily BSE Equity Futures'!$I:$I,'Daily BSE Equity Futures'!$A:$A,$A823))</f>
        <v>0.31059999999999999</v>
      </c>
      <c r="G823" s="6">
        <f t="shared" si="144"/>
        <v>2098.3361</v>
      </c>
      <c r="H823" s="15">
        <f t="shared" si="145"/>
        <v>0.99985197795529523</v>
      </c>
      <c r="I823" s="15">
        <f t="shared" si="146"/>
        <v>1.480220447048497E-4</v>
      </c>
      <c r="J823" s="20" t="str">
        <f t="shared" si="147"/>
        <v/>
      </c>
      <c r="K823" s="15" t="str">
        <f t="shared" si="148"/>
        <v/>
      </c>
      <c r="L823" s="15" t="str">
        <f t="shared" si="149"/>
        <v/>
      </c>
      <c r="M823" s="15">
        <f t="shared" si="153"/>
        <v>0.38007700841356562</v>
      </c>
      <c r="N823" s="15">
        <f t="shared" si="154"/>
        <v>-0.86590683417519321</v>
      </c>
      <c r="O823" s="15">
        <f t="shared" si="155"/>
        <v>0.3781814439267861</v>
      </c>
      <c r="P823" s="18">
        <f>IF(SUMIFS('Daily NSE Equity Futures'!$J:$J,'Daily NSE Equity Futures'!$A:$A,$A823)=0,"",SUMIFS('Daily NSE Equity Futures'!$J:$J,'Daily NSE Equity Futures'!$A:$A,$A823))</f>
        <v>2672101</v>
      </c>
      <c r="Q823" s="7">
        <f>IF(SUMIFS('Daily BSE Equity Futures'!$J:$J,'Daily BSE Equity Futures'!$A:$A,$A823)=0,"",SUMIFS('Daily BSE Equity Futures'!$J:$J,'Daily BSE Equity Futures'!$A:$A,$A823))</f>
        <v>466</v>
      </c>
      <c r="R823" s="7">
        <f t="shared" si="150"/>
        <v>2672567</v>
      </c>
      <c r="S823" s="19">
        <f t="shared" si="151"/>
        <v>0.99982563580258232</v>
      </c>
      <c r="T823" s="19">
        <f t="shared" si="152"/>
        <v>1.7436419741768868E-4</v>
      </c>
    </row>
    <row r="824" spans="1:20" x14ac:dyDescent="0.2">
      <c r="A824" s="9">
        <v>45132</v>
      </c>
      <c r="B824" s="4" t="s">
        <v>223</v>
      </c>
      <c r="C824" s="8">
        <v>45108</v>
      </c>
      <c r="D824" s="4" t="s">
        <v>186</v>
      </c>
      <c r="E824" s="14">
        <f>IF(SUMIFS('Daily NSE Equity Futures'!$I:$I,'Daily NSE Equity Futures'!$A:$A,$A824)=0,"",SUMIFS('Daily NSE Equity Futures'!$I:$I,'Daily NSE Equity Futures'!$A:$A,$A824))</f>
        <v>2220.5792000000001</v>
      </c>
      <c r="F824" s="6">
        <f>IF(SUMIFS('Daily BSE Equity Futures'!$I:$I,'Daily BSE Equity Futures'!$A:$A,$A824)=0,"",SUMIFS('Daily BSE Equity Futures'!$I:$I,'Daily BSE Equity Futures'!$A:$A,$A824))</f>
        <v>0.28520000000000001</v>
      </c>
      <c r="G824" s="6">
        <f t="shared" si="144"/>
        <v>2220.8643999999999</v>
      </c>
      <c r="H824" s="15">
        <f t="shared" si="145"/>
        <v>0.99987158153374889</v>
      </c>
      <c r="I824" s="15">
        <f t="shared" si="146"/>
        <v>1.2841846625124883E-4</v>
      </c>
      <c r="J824" s="20">
        <f t="shared" si="147"/>
        <v>0.26076241355313567</v>
      </c>
      <c r="K824" s="15">
        <f t="shared" si="148"/>
        <v>63.818181818181813</v>
      </c>
      <c r="L824" s="15">
        <f t="shared" si="149"/>
        <v>0.26092118954426402</v>
      </c>
      <c r="M824" s="15">
        <f t="shared" si="153"/>
        <v>5.8413827667966878E-2</v>
      </c>
      <c r="N824" s="15">
        <f t="shared" si="154"/>
        <v>-8.1777205408886E-2</v>
      </c>
      <c r="O824" s="15">
        <f t="shared" si="155"/>
        <v>5.8393076304601443E-2</v>
      </c>
      <c r="P824" s="18">
        <f>IF(SUMIFS('Daily NSE Equity Futures'!$J:$J,'Daily NSE Equity Futures'!$A:$A,$A824)=0,"",SUMIFS('Daily NSE Equity Futures'!$J:$J,'Daily NSE Equity Futures'!$A:$A,$A824))</f>
        <v>2862226</v>
      </c>
      <c r="Q824" s="7">
        <f>IF(SUMIFS('Daily BSE Equity Futures'!$J:$J,'Daily BSE Equity Futures'!$A:$A,$A824)=0,"",SUMIFS('Daily BSE Equity Futures'!$J:$J,'Daily BSE Equity Futures'!$A:$A,$A824))</f>
        <v>429</v>
      </c>
      <c r="R824" s="7">
        <f t="shared" si="150"/>
        <v>2862655</v>
      </c>
      <c r="S824" s="19">
        <f t="shared" si="151"/>
        <v>0.99985013911910448</v>
      </c>
      <c r="T824" s="19">
        <f t="shared" si="152"/>
        <v>1.498608808955323E-4</v>
      </c>
    </row>
    <row r="825" spans="1:20" x14ac:dyDescent="0.2">
      <c r="A825" s="9">
        <v>45133</v>
      </c>
      <c r="B825" s="4" t="s">
        <v>221</v>
      </c>
      <c r="C825" s="8">
        <v>45108</v>
      </c>
      <c r="D825" s="4" t="s">
        <v>186</v>
      </c>
      <c r="E825" s="14">
        <f>IF(SUMIFS('Daily NSE Equity Futures'!$I:$I,'Daily NSE Equity Futures'!$A:$A,$A825)=0,"",SUMIFS('Daily NSE Equity Futures'!$I:$I,'Daily NSE Equity Futures'!$A:$A,$A825))</f>
        <v>2091.5963999999999</v>
      </c>
      <c r="F825" s="6">
        <f>IF(SUMIFS('Daily BSE Equity Futures'!$I:$I,'Daily BSE Equity Futures'!$A:$A,$A825)=0,"",SUMIFS('Daily BSE Equity Futures'!$I:$I,'Daily BSE Equity Futures'!$A:$A,$A825))</f>
        <v>0.28770000000000001</v>
      </c>
      <c r="G825" s="6">
        <f t="shared" si="144"/>
        <v>2091.8840999999998</v>
      </c>
      <c r="H825" s="15">
        <f t="shared" si="145"/>
        <v>0.99986246847996985</v>
      </c>
      <c r="I825" s="15">
        <f t="shared" si="146"/>
        <v>1.3753152003019673E-4</v>
      </c>
      <c r="J825" s="20">
        <f t="shared" si="147"/>
        <v>0.1015028514522156</v>
      </c>
      <c r="K825" s="15">
        <f t="shared" si="148"/>
        <v>168.23529411764707</v>
      </c>
      <c r="L825" s="15">
        <f t="shared" si="149"/>
        <v>0.10165337736820534</v>
      </c>
      <c r="M825" s="15">
        <f t="shared" si="153"/>
        <v>-5.8085205877817958E-2</v>
      </c>
      <c r="N825" s="15">
        <f t="shared" si="154"/>
        <v>8.7657784011221374E-3</v>
      </c>
      <c r="O825" s="15">
        <f t="shared" si="155"/>
        <v>-5.8076620976949433E-2</v>
      </c>
      <c r="P825" s="18">
        <f>IF(SUMIFS('Daily NSE Equity Futures'!$J:$J,'Daily NSE Equity Futures'!$A:$A,$A825)=0,"",SUMIFS('Daily NSE Equity Futures'!$J:$J,'Daily NSE Equity Futures'!$A:$A,$A825))</f>
        <v>2665858</v>
      </c>
      <c r="Q825" s="7">
        <f>IF(SUMIFS('Daily BSE Equity Futures'!$J:$J,'Daily BSE Equity Futures'!$A:$A,$A825)=0,"",SUMIFS('Daily BSE Equity Futures'!$J:$J,'Daily BSE Equity Futures'!$A:$A,$A825))</f>
        <v>431</v>
      </c>
      <c r="R825" s="7">
        <f t="shared" si="150"/>
        <v>2666289</v>
      </c>
      <c r="S825" s="19">
        <f t="shared" si="151"/>
        <v>0.99983835210661709</v>
      </c>
      <c r="T825" s="19">
        <f t="shared" si="152"/>
        <v>1.6164789338290035E-4</v>
      </c>
    </row>
    <row r="826" spans="1:20" x14ac:dyDescent="0.2">
      <c r="A826" s="9">
        <v>45134</v>
      </c>
      <c r="B826" s="4" t="s">
        <v>224</v>
      </c>
      <c r="C826" s="8">
        <v>45108</v>
      </c>
      <c r="D826" s="4" t="s">
        <v>186</v>
      </c>
      <c r="E826" s="14">
        <f>IF(SUMIFS('Daily NSE Equity Futures'!$I:$I,'Daily NSE Equity Futures'!$A:$A,$A826)=0,"",SUMIFS('Daily NSE Equity Futures'!$I:$I,'Daily NSE Equity Futures'!$A:$A,$A826))</f>
        <v>2684.0373</v>
      </c>
      <c r="F826" s="6">
        <f>IF(SUMIFS('Daily BSE Equity Futures'!$I:$I,'Daily BSE Equity Futures'!$A:$A,$A826)=0,"",SUMIFS('Daily BSE Equity Futures'!$I:$I,'Daily BSE Equity Futures'!$A:$A,$A826))</f>
        <v>0.67479999999999996</v>
      </c>
      <c r="G826" s="6">
        <f t="shared" si="144"/>
        <v>2684.7120999999997</v>
      </c>
      <c r="H826" s="15">
        <f t="shared" si="145"/>
        <v>0.99974865088886078</v>
      </c>
      <c r="I826" s="15">
        <f t="shared" si="146"/>
        <v>2.5134911113932853E-4</v>
      </c>
      <c r="J826" s="20">
        <f t="shared" si="147"/>
        <v>0.49373857311437042</v>
      </c>
      <c r="K826" s="15">
        <f t="shared" si="148"/>
        <v>395.94117647058823</v>
      </c>
      <c r="L826" s="15">
        <f t="shared" si="149"/>
        <v>0.49411270379642702</v>
      </c>
      <c r="M826" s="15">
        <f t="shared" si="153"/>
        <v>0.28324819262454271</v>
      </c>
      <c r="N826" s="15">
        <f t="shared" si="154"/>
        <v>1.3454987834549876</v>
      </c>
      <c r="O826" s="15">
        <f t="shared" si="155"/>
        <v>0.28339428556295254</v>
      </c>
      <c r="P826" s="18">
        <f>IF(SUMIFS('Daily NSE Equity Futures'!$J:$J,'Daily NSE Equity Futures'!$A:$A,$A826)=0,"",SUMIFS('Daily NSE Equity Futures'!$J:$J,'Daily NSE Equity Futures'!$A:$A,$A826))</f>
        <v>3382807</v>
      </c>
      <c r="Q826" s="7">
        <f>IF(SUMIFS('Daily BSE Equity Futures'!$J:$J,'Daily BSE Equity Futures'!$A:$A,$A826)=0,"",SUMIFS('Daily BSE Equity Futures'!$J:$J,'Daily BSE Equity Futures'!$A:$A,$A826))</f>
        <v>1014</v>
      </c>
      <c r="R826" s="7">
        <f t="shared" si="150"/>
        <v>3383821</v>
      </c>
      <c r="S826" s="19">
        <f t="shared" si="151"/>
        <v>0.99970033875905373</v>
      </c>
      <c r="T826" s="19">
        <f t="shared" si="152"/>
        <v>2.9966124094625573E-4</v>
      </c>
    </row>
    <row r="827" spans="1:20" x14ac:dyDescent="0.2">
      <c r="A827" s="9">
        <v>45135</v>
      </c>
      <c r="B827" s="4" t="s">
        <v>222</v>
      </c>
      <c r="C827" s="8">
        <v>45108</v>
      </c>
      <c r="D827" s="4" t="s">
        <v>186</v>
      </c>
      <c r="E827" s="14">
        <f>IF(SUMIFS('Daily NSE Equity Futures'!$I:$I,'Daily NSE Equity Futures'!$A:$A,$A827)=0,"",SUMIFS('Daily NSE Equity Futures'!$I:$I,'Daily NSE Equity Futures'!$A:$A,$A827))</f>
        <v>1028.8761</v>
      </c>
      <c r="F827" s="6">
        <f>IF(SUMIFS('Daily BSE Equity Futures'!$I:$I,'Daily BSE Equity Futures'!$A:$A,$A827)=0,"",SUMIFS('Daily BSE Equity Futures'!$I:$I,'Daily BSE Equity Futures'!$A:$A,$A827))</f>
        <v>1.4558</v>
      </c>
      <c r="G827" s="6">
        <f t="shared" si="144"/>
        <v>1030.3318999999999</v>
      </c>
      <c r="H827" s="15">
        <f t="shared" si="145"/>
        <v>0.99858705723854624</v>
      </c>
      <c r="I827" s="15">
        <f t="shared" si="146"/>
        <v>1.4129427614538578E-3</v>
      </c>
      <c r="J827" s="20">
        <f t="shared" si="147"/>
        <v>-0.51634242585879897</v>
      </c>
      <c r="K827" s="15">
        <f t="shared" si="148"/>
        <v>414.94285714285712</v>
      </c>
      <c r="L827" s="15">
        <f t="shared" si="149"/>
        <v>-0.51565887532919885</v>
      </c>
      <c r="M827" s="15">
        <f t="shared" si="153"/>
        <v>-0.61666847923462176</v>
      </c>
      <c r="N827" s="15">
        <f t="shared" si="154"/>
        <v>1.1573799644339067</v>
      </c>
      <c r="O827" s="15">
        <f t="shared" si="155"/>
        <v>-0.61622257373518741</v>
      </c>
      <c r="P827" s="18">
        <f>IF(SUMIFS('Daily NSE Equity Futures'!$J:$J,'Daily NSE Equity Futures'!$A:$A,$A827)=0,"",SUMIFS('Daily NSE Equity Futures'!$J:$J,'Daily NSE Equity Futures'!$A:$A,$A827))</f>
        <v>1290090</v>
      </c>
      <c r="Q827" s="7">
        <f>IF(SUMIFS('Daily BSE Equity Futures'!$J:$J,'Daily BSE Equity Futures'!$A:$A,$A827)=0,"",SUMIFS('Daily BSE Equity Futures'!$J:$J,'Daily BSE Equity Futures'!$A:$A,$A827))</f>
        <v>2203</v>
      </c>
      <c r="R827" s="7">
        <f t="shared" si="150"/>
        <v>1292293</v>
      </c>
      <c r="S827" s="19">
        <f t="shared" si="151"/>
        <v>0.9982952782379847</v>
      </c>
      <c r="T827" s="19">
        <f t="shared" si="152"/>
        <v>1.7047217620152705E-3</v>
      </c>
    </row>
    <row r="828" spans="1:20" x14ac:dyDescent="0.2">
      <c r="A828" s="9">
        <v>45138</v>
      </c>
      <c r="B828" s="4" t="s">
        <v>225</v>
      </c>
      <c r="C828" s="8">
        <v>45108</v>
      </c>
      <c r="D828" s="4" t="s">
        <v>186</v>
      </c>
      <c r="E828" s="14">
        <f>IF(SUMIFS('Daily NSE Equity Futures'!$I:$I,'Daily NSE Equity Futures'!$A:$A,$A828)=0,"",SUMIFS('Daily NSE Equity Futures'!$I:$I,'Daily NSE Equity Futures'!$A:$A,$A828))</f>
        <v>859.61429999999996</v>
      </c>
      <c r="F828" s="6">
        <f>IF(SUMIFS('Daily BSE Equity Futures'!$I:$I,'Daily BSE Equity Futures'!$A:$A,$A828)=0,"",SUMIFS('Daily BSE Equity Futures'!$I:$I,'Daily BSE Equity Futures'!$A:$A,$A828))</f>
        <v>0.19400000000000001</v>
      </c>
      <c r="G828" s="6">
        <f t="shared" si="144"/>
        <v>859.80829999999992</v>
      </c>
      <c r="H828" s="15">
        <f t="shared" si="145"/>
        <v>0.99977436830977329</v>
      </c>
      <c r="I828" s="15">
        <f t="shared" si="146"/>
        <v>2.2563169022676337E-4</v>
      </c>
      <c r="J828" s="20" t="str">
        <f t="shared" si="147"/>
        <v/>
      </c>
      <c r="K828" s="15" t="str">
        <f t="shared" si="148"/>
        <v/>
      </c>
      <c r="L828" s="15" t="str">
        <f t="shared" si="149"/>
        <v/>
      </c>
      <c r="M828" s="15">
        <f t="shared" si="153"/>
        <v>-0.16451135369943959</v>
      </c>
      <c r="N828" s="15">
        <f t="shared" si="154"/>
        <v>-0.86673993680450612</v>
      </c>
      <c r="O828" s="15">
        <f t="shared" si="155"/>
        <v>-0.16550356249282394</v>
      </c>
      <c r="P828" s="18">
        <f>IF(SUMIFS('Daily NSE Equity Futures'!$J:$J,'Daily NSE Equity Futures'!$A:$A,$A828)=0,"",SUMIFS('Daily NSE Equity Futures'!$J:$J,'Daily NSE Equity Futures'!$A:$A,$A828))</f>
        <v>1070906</v>
      </c>
      <c r="Q828" s="7">
        <f>IF(SUMIFS('Daily BSE Equity Futures'!$J:$J,'Daily BSE Equity Futures'!$A:$A,$A828)=0,"",SUMIFS('Daily BSE Equity Futures'!$J:$J,'Daily BSE Equity Futures'!$A:$A,$A828))</f>
        <v>292</v>
      </c>
      <c r="R828" s="7">
        <f t="shared" si="150"/>
        <v>1071198</v>
      </c>
      <c r="S828" s="19">
        <f t="shared" si="151"/>
        <v>0.99972740800486937</v>
      </c>
      <c r="T828" s="19">
        <f t="shared" si="152"/>
        <v>2.7259199513068546E-4</v>
      </c>
    </row>
    <row r="829" spans="1:20" x14ac:dyDescent="0.2">
      <c r="A829" s="9">
        <v>45139</v>
      </c>
      <c r="B829" s="4" t="s">
        <v>223</v>
      </c>
      <c r="C829" s="8">
        <v>45139</v>
      </c>
      <c r="D829" s="4" t="s">
        <v>186</v>
      </c>
      <c r="E829" s="14">
        <f>IF(SUMIFS('Daily NSE Equity Futures'!$I:$I,'Daily NSE Equity Futures'!$A:$A,$A829)=0,"",SUMIFS('Daily NSE Equity Futures'!$I:$I,'Daily NSE Equity Futures'!$A:$A,$A829))</f>
        <v>839.6567</v>
      </c>
      <c r="F829" s="6">
        <f>IF(SUMIFS('Daily BSE Equity Futures'!$I:$I,'Daily BSE Equity Futures'!$A:$A,$A829)=0,"",SUMIFS('Daily BSE Equity Futures'!$I:$I,'Daily BSE Equity Futures'!$A:$A,$A829))</f>
        <v>0.1045</v>
      </c>
      <c r="G829" s="6">
        <f t="shared" si="144"/>
        <v>839.76120000000003</v>
      </c>
      <c r="H829" s="15">
        <f t="shared" si="145"/>
        <v>0.99987555986154153</v>
      </c>
      <c r="I829" s="15">
        <f t="shared" si="146"/>
        <v>1.2444013845840936E-4</v>
      </c>
      <c r="J829" s="20">
        <f t="shared" si="147"/>
        <v>-8.2725855038740637E-2</v>
      </c>
      <c r="K829" s="15">
        <f t="shared" si="148"/>
        <v>115.11111111111111</v>
      </c>
      <c r="L829" s="15">
        <f t="shared" si="149"/>
        <v>-8.2612597082271755E-2</v>
      </c>
      <c r="M829" s="15">
        <f t="shared" si="153"/>
        <v>-2.3216924148423246E-2</v>
      </c>
      <c r="N829" s="15">
        <f t="shared" si="154"/>
        <v>-0.46134020618556704</v>
      </c>
      <c r="O829" s="15">
        <f t="shared" si="155"/>
        <v>-2.3315778645076946E-2</v>
      </c>
      <c r="P829" s="18">
        <f>IF(SUMIFS('Daily NSE Equity Futures'!$J:$J,'Daily NSE Equity Futures'!$A:$A,$A829)=0,"",SUMIFS('Daily NSE Equity Futures'!$J:$J,'Daily NSE Equity Futures'!$A:$A,$A829))</f>
        <v>1055675</v>
      </c>
      <c r="Q829" s="7">
        <f>IF(SUMIFS('Daily BSE Equity Futures'!$J:$J,'Daily BSE Equity Futures'!$A:$A,$A829)=0,"",SUMIFS('Daily BSE Equity Futures'!$J:$J,'Daily BSE Equity Futures'!$A:$A,$A829))</f>
        <v>157</v>
      </c>
      <c r="R829" s="7">
        <f t="shared" si="150"/>
        <v>1055832</v>
      </c>
      <c r="S829" s="19">
        <f t="shared" si="151"/>
        <v>0.99985130210109185</v>
      </c>
      <c r="T829" s="19">
        <f t="shared" si="152"/>
        <v>1.4869789890815962E-4</v>
      </c>
    </row>
    <row r="830" spans="1:20" x14ac:dyDescent="0.2">
      <c r="A830" s="9">
        <v>45140</v>
      </c>
      <c r="B830" s="4" t="s">
        <v>221</v>
      </c>
      <c r="C830" s="8">
        <v>45139</v>
      </c>
      <c r="D830" s="4" t="s">
        <v>186</v>
      </c>
      <c r="E830" s="14">
        <f>IF(SUMIFS('Daily NSE Equity Futures'!$I:$I,'Daily NSE Equity Futures'!$A:$A,$A830)=0,"",SUMIFS('Daily NSE Equity Futures'!$I:$I,'Daily NSE Equity Futures'!$A:$A,$A830))</f>
        <v>1109.2783999999999</v>
      </c>
      <c r="F830" s="6">
        <f>IF(SUMIFS('Daily BSE Equity Futures'!$I:$I,'Daily BSE Equity Futures'!$A:$A,$A830)=0,"",SUMIFS('Daily BSE Equity Futures'!$I:$I,'Daily BSE Equity Futures'!$A:$A,$A830))</f>
        <v>0.50590000000000002</v>
      </c>
      <c r="G830" s="6">
        <f t="shared" si="144"/>
        <v>1109.7843</v>
      </c>
      <c r="H830" s="15">
        <f t="shared" si="145"/>
        <v>0.99954414565064575</v>
      </c>
      <c r="I830" s="15">
        <f t="shared" si="146"/>
        <v>4.5585434935419434E-4</v>
      </c>
      <c r="J830" s="20">
        <f t="shared" si="147"/>
        <v>8.9682316006559182E-2</v>
      </c>
      <c r="K830" s="15" t="str">
        <f t="shared" si="148"/>
        <v/>
      </c>
      <c r="L830" s="15" t="str">
        <f t="shared" si="149"/>
        <v/>
      </c>
      <c r="M830" s="15">
        <f t="shared" si="153"/>
        <v>0.32110944865919588</v>
      </c>
      <c r="N830" s="15">
        <f t="shared" si="154"/>
        <v>3.8411483253588523</v>
      </c>
      <c r="O830" s="15">
        <f t="shared" si="155"/>
        <v>0.3215474827843916</v>
      </c>
      <c r="P830" s="18">
        <f>IF(SUMIFS('Daily NSE Equity Futures'!$J:$J,'Daily NSE Equity Futures'!$A:$A,$A830)=0,"",SUMIFS('Daily NSE Equity Futures'!$J:$J,'Daily NSE Equity Futures'!$A:$A,$A830))</f>
        <v>1385396</v>
      </c>
      <c r="Q830" s="7">
        <f>IF(SUMIFS('Daily BSE Equity Futures'!$J:$J,'Daily BSE Equity Futures'!$A:$A,$A830)=0,"",SUMIFS('Daily BSE Equity Futures'!$J:$J,'Daily BSE Equity Futures'!$A:$A,$A830))</f>
        <v>768</v>
      </c>
      <c r="R830" s="7">
        <f t="shared" si="150"/>
        <v>1386164</v>
      </c>
      <c r="S830" s="19">
        <f t="shared" si="151"/>
        <v>0.99944595300411787</v>
      </c>
      <c r="T830" s="19">
        <f t="shared" si="152"/>
        <v>5.5404699588216112E-4</v>
      </c>
    </row>
    <row r="831" spans="1:20" x14ac:dyDescent="0.2">
      <c r="A831" s="9">
        <v>45141</v>
      </c>
      <c r="B831" s="4" t="s">
        <v>224</v>
      </c>
      <c r="C831" s="8">
        <v>45139</v>
      </c>
      <c r="D831" s="4" t="s">
        <v>186</v>
      </c>
      <c r="E831" s="14">
        <f>IF(SUMIFS('Daily NSE Equity Futures'!$I:$I,'Daily NSE Equity Futures'!$A:$A,$A831)=0,"",SUMIFS('Daily NSE Equity Futures'!$I:$I,'Daily NSE Equity Futures'!$A:$A,$A831))</f>
        <v>1171.9135000000001</v>
      </c>
      <c r="F831" s="6">
        <f>IF(SUMIFS('Daily BSE Equity Futures'!$I:$I,'Daily BSE Equity Futures'!$A:$A,$A831)=0,"",SUMIFS('Daily BSE Equity Futures'!$I:$I,'Daily BSE Equity Futures'!$A:$A,$A831))</f>
        <v>0.87409999999999999</v>
      </c>
      <c r="G831" s="6">
        <f t="shared" si="144"/>
        <v>1172.7876000000001</v>
      </c>
      <c r="H831" s="15">
        <f t="shared" si="145"/>
        <v>0.99925468175141008</v>
      </c>
      <c r="I831" s="15">
        <f t="shared" si="146"/>
        <v>7.4531824858994065E-4</v>
      </c>
      <c r="J831" s="20">
        <f t="shared" si="147"/>
        <v>0.29042425718600251</v>
      </c>
      <c r="K831" s="15">
        <f t="shared" si="148"/>
        <v>970.22222222222229</v>
      </c>
      <c r="L831" s="15">
        <f t="shared" si="149"/>
        <v>0.2913854715175912</v>
      </c>
      <c r="M831" s="15">
        <f t="shared" si="153"/>
        <v>5.6464725176294861E-2</v>
      </c>
      <c r="N831" s="15">
        <f t="shared" si="154"/>
        <v>0.72781182051788873</v>
      </c>
      <c r="O831" s="15">
        <f t="shared" si="155"/>
        <v>5.6770761669632686E-2</v>
      </c>
      <c r="P831" s="18">
        <f>IF(SUMIFS('Daily NSE Equity Futures'!$J:$J,'Daily NSE Equity Futures'!$A:$A,$A831)=0,"",SUMIFS('Daily NSE Equity Futures'!$J:$J,'Daily NSE Equity Futures'!$A:$A,$A831))</f>
        <v>1495892</v>
      </c>
      <c r="Q831" s="7">
        <f>IF(SUMIFS('Daily BSE Equity Futures'!$J:$J,'Daily BSE Equity Futures'!$A:$A,$A831)=0,"",SUMIFS('Daily BSE Equity Futures'!$J:$J,'Daily BSE Equity Futures'!$A:$A,$A831))</f>
        <v>1335</v>
      </c>
      <c r="R831" s="7">
        <f t="shared" si="150"/>
        <v>1497227</v>
      </c>
      <c r="S831" s="19">
        <f t="shared" si="151"/>
        <v>0.99910835163939737</v>
      </c>
      <c r="T831" s="19">
        <f t="shared" si="152"/>
        <v>8.9164836060263411E-4</v>
      </c>
    </row>
    <row r="832" spans="1:20" x14ac:dyDescent="0.2">
      <c r="A832" s="9">
        <v>45142</v>
      </c>
      <c r="B832" s="4" t="s">
        <v>222</v>
      </c>
      <c r="C832" s="8">
        <v>45139</v>
      </c>
      <c r="D832" s="4" t="s">
        <v>186</v>
      </c>
      <c r="E832" s="14">
        <f>IF(SUMIFS('Daily NSE Equity Futures'!$I:$I,'Daily NSE Equity Futures'!$A:$A,$A832)=0,"",SUMIFS('Daily NSE Equity Futures'!$I:$I,'Daily NSE Equity Futures'!$A:$A,$A832))</f>
        <v>1129.681</v>
      </c>
      <c r="F832" s="6">
        <f>IF(SUMIFS('Daily BSE Equity Futures'!$I:$I,'Daily BSE Equity Futures'!$A:$A,$A832)=0,"",SUMIFS('Daily BSE Equity Futures'!$I:$I,'Daily BSE Equity Futures'!$A:$A,$A832))</f>
        <v>1.5541</v>
      </c>
      <c r="G832" s="6">
        <f t="shared" si="144"/>
        <v>1131.2351000000001</v>
      </c>
      <c r="H832" s="15">
        <f t="shared" si="145"/>
        <v>0.99862619184995227</v>
      </c>
      <c r="I832" s="15">
        <f t="shared" si="146"/>
        <v>1.3738081500476779E-3</v>
      </c>
      <c r="J832" s="20">
        <f t="shared" si="147"/>
        <v>-2.1614566643398114E-2</v>
      </c>
      <c r="K832" s="15">
        <f t="shared" si="148"/>
        <v>574.59259259259261</v>
      </c>
      <c r="L832" s="15">
        <f t="shared" si="149"/>
        <v>-2.0270894660130878E-2</v>
      </c>
      <c r="M832" s="15">
        <f t="shared" si="153"/>
        <v>-3.6037216057328569E-2</v>
      </c>
      <c r="N832" s="15">
        <f t="shared" si="154"/>
        <v>0.77794302711360253</v>
      </c>
      <c r="O832" s="15">
        <f t="shared" si="155"/>
        <v>-3.543054172810145E-2</v>
      </c>
      <c r="P832" s="18">
        <f>IF(SUMIFS('Daily NSE Equity Futures'!$J:$J,'Daily NSE Equity Futures'!$A:$A,$A832)=0,"",SUMIFS('Daily NSE Equity Futures'!$J:$J,'Daily NSE Equity Futures'!$A:$A,$A832))</f>
        <v>1434442</v>
      </c>
      <c r="Q832" s="7">
        <f>IF(SUMIFS('Daily BSE Equity Futures'!$J:$J,'Daily BSE Equity Futures'!$A:$A,$A832)=0,"",SUMIFS('Daily BSE Equity Futures'!$J:$J,'Daily BSE Equity Futures'!$A:$A,$A832))</f>
        <v>2369</v>
      </c>
      <c r="R832" s="7">
        <f t="shared" si="150"/>
        <v>1436811</v>
      </c>
      <c r="S832" s="19">
        <f t="shared" si="151"/>
        <v>0.99835120972765379</v>
      </c>
      <c r="T832" s="19">
        <f t="shared" si="152"/>
        <v>1.6487902723461888E-3</v>
      </c>
    </row>
    <row r="833" spans="1:20" x14ac:dyDescent="0.2">
      <c r="A833" s="9">
        <v>45145</v>
      </c>
      <c r="B833" s="4" t="s">
        <v>225</v>
      </c>
      <c r="C833" s="8">
        <v>45139</v>
      </c>
      <c r="D833" s="4" t="s">
        <v>186</v>
      </c>
      <c r="E833" s="14">
        <f>IF(SUMIFS('Daily NSE Equity Futures'!$I:$I,'Daily NSE Equity Futures'!$A:$A,$A833)=0,"",SUMIFS('Daily NSE Equity Futures'!$I:$I,'Daily NSE Equity Futures'!$A:$A,$A833))</f>
        <v>781.95749999999998</v>
      </c>
      <c r="F833" s="6">
        <f>IF(SUMIFS('Daily BSE Equity Futures'!$I:$I,'Daily BSE Equity Futures'!$A:$A,$A833)=0,"",SUMIFS('Daily BSE Equity Futures'!$I:$I,'Daily BSE Equity Futures'!$A:$A,$A833))</f>
        <v>0.1075</v>
      </c>
      <c r="G833" s="6">
        <f t="shared" si="144"/>
        <v>782.06499999999994</v>
      </c>
      <c r="H833" s="15">
        <f t="shared" si="145"/>
        <v>0.99986254339473069</v>
      </c>
      <c r="I833" s="15">
        <f t="shared" si="146"/>
        <v>1.37456605269383E-4</v>
      </c>
      <c r="J833" s="20" t="str">
        <f t="shared" si="147"/>
        <v/>
      </c>
      <c r="K833" s="15" t="str">
        <f t="shared" si="148"/>
        <v/>
      </c>
      <c r="L833" s="15" t="str">
        <f t="shared" si="149"/>
        <v/>
      </c>
      <c r="M833" s="15">
        <f t="shared" si="153"/>
        <v>-0.30780680563805185</v>
      </c>
      <c r="N833" s="15">
        <f t="shared" si="154"/>
        <v>-0.93082813203783543</v>
      </c>
      <c r="O833" s="15">
        <f t="shared" si="155"/>
        <v>-0.30866271741391349</v>
      </c>
      <c r="P833" s="18">
        <f>IF(SUMIFS('Daily NSE Equity Futures'!$J:$J,'Daily NSE Equity Futures'!$A:$A,$A833)=0,"",SUMIFS('Daily NSE Equity Futures'!$J:$J,'Daily NSE Equity Futures'!$A:$A,$A833))</f>
        <v>978812</v>
      </c>
      <c r="Q833" s="7">
        <f>IF(SUMIFS('Daily BSE Equity Futures'!$J:$J,'Daily BSE Equity Futures'!$A:$A,$A833)=0,"",SUMIFS('Daily BSE Equity Futures'!$J:$J,'Daily BSE Equity Futures'!$A:$A,$A833))</f>
        <v>163</v>
      </c>
      <c r="R833" s="7">
        <f t="shared" si="150"/>
        <v>978975</v>
      </c>
      <c r="S833" s="19">
        <f t="shared" si="151"/>
        <v>0.99983349932327181</v>
      </c>
      <c r="T833" s="19">
        <f t="shared" si="152"/>
        <v>1.6650067672821064E-4</v>
      </c>
    </row>
    <row r="834" spans="1:20" x14ac:dyDescent="0.2">
      <c r="A834" s="9">
        <v>45146</v>
      </c>
      <c r="B834" s="4" t="s">
        <v>223</v>
      </c>
      <c r="C834" s="8">
        <v>45139</v>
      </c>
      <c r="D834" s="4" t="s">
        <v>186</v>
      </c>
      <c r="E834" s="14">
        <f>IF(SUMIFS('Daily NSE Equity Futures'!$I:$I,'Daily NSE Equity Futures'!$A:$A,$A834)=0,"",SUMIFS('Daily NSE Equity Futures'!$I:$I,'Daily NSE Equity Futures'!$A:$A,$A834))</f>
        <v>856.52380000000005</v>
      </c>
      <c r="F834" s="6">
        <f>IF(SUMIFS('Daily BSE Equity Futures'!$I:$I,'Daily BSE Equity Futures'!$A:$A,$A834)=0,"",SUMIFS('Daily BSE Equity Futures'!$I:$I,'Daily BSE Equity Futures'!$A:$A,$A834))</f>
        <v>0.1497</v>
      </c>
      <c r="G834" s="6">
        <f t="shared" ref="G834:G897" si="156">IF(OR(E834="",F834=""),"",E834+F834)</f>
        <v>856.6735000000001</v>
      </c>
      <c r="H834" s="15">
        <f t="shared" ref="H834:H897" si="157">IF(G834="","",E834/G834)</f>
        <v>0.99982525431217373</v>
      </c>
      <c r="I834" s="15">
        <f t="shared" ref="I834:I897" si="158">IF(G834="","",F834/G834)</f>
        <v>1.747456878262255E-4</v>
      </c>
      <c r="J834" s="20">
        <f t="shared" ref="J834:J897" si="159">IFERROR(IF(OR(E834="",INDEX(E:E,MATCH(DATE(YEAR($A834)-1,MONTH($A834),DAY($A834)),$A:$A,0))=""),"",E834/INDEX(E:E,MATCH(DATE(YEAR($A834)-1,MONTH($A834),DAY($A834)),$A:$A,0))-1),"")</f>
        <v>3.9568784528442258E-2</v>
      </c>
      <c r="K834" s="15">
        <f t="shared" ref="K834:K897" si="160">IFERROR(IF(OR(F834="",INDEX(F:F,MATCH(DATE(YEAR($A834)-1,MONTH($A834),DAY($A834)),$A:$A,0))=""),"",F834/INDEX(F:F,MATCH(DATE(YEAR($A834)-1,MONTH($A834),DAY($A834)),$A:$A,0))-1),"")</f>
        <v>82.166666666666671</v>
      </c>
      <c r="L834" s="15">
        <f t="shared" ref="L834:L897" si="161">IFERROR(IF(OR(G834="",INDEX(G:G,MATCH(DATE(YEAR($A834)-1,MONTH($A834),DAY($A834)),$A:$A,0))=""),"",G834/INDEX(G:G,MATCH(DATE(YEAR($A834)-1,MONTH($A834),DAY($A834)),$A:$A,0))-1),"")</f>
        <v>3.9748204931522979E-2</v>
      </c>
      <c r="M834" s="15">
        <f t="shared" si="153"/>
        <v>9.5358507335756793E-2</v>
      </c>
      <c r="N834" s="15">
        <f t="shared" si="154"/>
        <v>0.39255813953488383</v>
      </c>
      <c r="O834" s="15">
        <f t="shared" si="155"/>
        <v>9.5399359388286253E-2</v>
      </c>
      <c r="P834" s="18">
        <f>IF(SUMIFS('Daily NSE Equity Futures'!$J:$J,'Daily NSE Equity Futures'!$A:$A,$A834)=0,"",SUMIFS('Daily NSE Equity Futures'!$J:$J,'Daily NSE Equity Futures'!$A:$A,$A834))</f>
        <v>1070047</v>
      </c>
      <c r="Q834" s="7">
        <f>IF(SUMIFS('Daily BSE Equity Futures'!$J:$J,'Daily BSE Equity Futures'!$A:$A,$A834)=0,"",SUMIFS('Daily BSE Equity Futures'!$J:$J,'Daily BSE Equity Futures'!$A:$A,$A834))</f>
        <v>227</v>
      </c>
      <c r="R834" s="7">
        <f t="shared" ref="R834:R897" si="162">IF(OR(P834="",Q834=""),"",P834+Q834)</f>
        <v>1070274</v>
      </c>
      <c r="S834" s="19">
        <f t="shared" ref="S834:S897" si="163">IF(R834="","",P834/R834)</f>
        <v>0.99978790477952373</v>
      </c>
      <c r="T834" s="19">
        <f t="shared" ref="T834:T897" si="164">IF(R834="","",Q834/R834)</f>
        <v>2.1209522047625187E-4</v>
      </c>
    </row>
    <row r="835" spans="1:20" x14ac:dyDescent="0.2">
      <c r="A835" s="9">
        <v>45147</v>
      </c>
      <c r="B835" s="4" t="s">
        <v>221</v>
      </c>
      <c r="C835" s="8">
        <v>45139</v>
      </c>
      <c r="D835" s="4" t="s">
        <v>186</v>
      </c>
      <c r="E835" s="14">
        <f>IF(SUMIFS('Daily NSE Equity Futures'!$I:$I,'Daily NSE Equity Futures'!$A:$A,$A835)=0,"",SUMIFS('Daily NSE Equity Futures'!$I:$I,'Daily NSE Equity Futures'!$A:$A,$A835))</f>
        <v>892.97919999999999</v>
      </c>
      <c r="F835" s="6">
        <f>IF(SUMIFS('Daily BSE Equity Futures'!$I:$I,'Daily BSE Equity Futures'!$A:$A,$A835)=0,"",SUMIFS('Daily BSE Equity Futures'!$I:$I,'Daily BSE Equity Futures'!$A:$A,$A835))</f>
        <v>0.21379999999999999</v>
      </c>
      <c r="G835" s="6">
        <f t="shared" si="156"/>
        <v>893.19299999999998</v>
      </c>
      <c r="H835" s="15">
        <f t="shared" si="157"/>
        <v>0.99976063403989957</v>
      </c>
      <c r="I835" s="15">
        <f t="shared" si="158"/>
        <v>2.3936596010044862E-4</v>
      </c>
      <c r="J835" s="20" t="str">
        <f t="shared" si="159"/>
        <v/>
      </c>
      <c r="K835" s="15" t="str">
        <f t="shared" si="160"/>
        <v/>
      </c>
      <c r="L835" s="15" t="str">
        <f t="shared" si="161"/>
        <v/>
      </c>
      <c r="M835" s="15">
        <f t="shared" ref="M835:M898" si="165">IF(OR(E835="",E834=""),"",E835/E834-1)</f>
        <v>4.2562039723823109E-2</v>
      </c>
      <c r="N835" s="15">
        <f t="shared" ref="N835:N898" si="166">IF(OR(F835="",F834=""),"",F835/F834-1)</f>
        <v>0.42818971275885098</v>
      </c>
      <c r="O835" s="15">
        <f t="shared" ref="O835:O898" si="167">IF(OR(G835="",G834=""),"",G835/G834-1)</f>
        <v>4.2629426496792355E-2</v>
      </c>
      <c r="P835" s="18">
        <f>IF(SUMIFS('Daily NSE Equity Futures'!$J:$J,'Daily NSE Equity Futures'!$A:$A,$A835)=0,"",SUMIFS('Daily NSE Equity Futures'!$J:$J,'Daily NSE Equity Futures'!$A:$A,$A835))</f>
        <v>1138887</v>
      </c>
      <c r="Q835" s="7">
        <f>IF(SUMIFS('Daily BSE Equity Futures'!$J:$J,'Daily BSE Equity Futures'!$A:$A,$A835)=0,"",SUMIFS('Daily BSE Equity Futures'!$J:$J,'Daily BSE Equity Futures'!$A:$A,$A835))</f>
        <v>325</v>
      </c>
      <c r="R835" s="7">
        <f t="shared" si="162"/>
        <v>1139212</v>
      </c>
      <c r="S835" s="19">
        <f t="shared" si="163"/>
        <v>0.99971471508375964</v>
      </c>
      <c r="T835" s="19">
        <f t="shared" si="164"/>
        <v>2.8528491624034858E-4</v>
      </c>
    </row>
    <row r="836" spans="1:20" x14ac:dyDescent="0.2">
      <c r="A836" s="9">
        <v>45148</v>
      </c>
      <c r="B836" s="4" t="s">
        <v>224</v>
      </c>
      <c r="C836" s="8">
        <v>45139</v>
      </c>
      <c r="D836" s="4" t="s">
        <v>186</v>
      </c>
      <c r="E836" s="14">
        <f>IF(SUMIFS('Daily NSE Equity Futures'!$I:$I,'Daily NSE Equity Futures'!$A:$A,$A836)=0,"",SUMIFS('Daily NSE Equity Futures'!$I:$I,'Daily NSE Equity Futures'!$A:$A,$A836))</f>
        <v>1098.9434000000001</v>
      </c>
      <c r="F836" s="6">
        <f>IF(SUMIFS('Daily BSE Equity Futures'!$I:$I,'Daily BSE Equity Futures'!$A:$A,$A836)=0,"",SUMIFS('Daily BSE Equity Futures'!$I:$I,'Daily BSE Equity Futures'!$A:$A,$A836))</f>
        <v>1.0333000000000001</v>
      </c>
      <c r="G836" s="6">
        <f t="shared" si="156"/>
        <v>1099.9767000000002</v>
      </c>
      <c r="H836" s="15">
        <f t="shared" si="157"/>
        <v>0.99906061646578515</v>
      </c>
      <c r="I836" s="15">
        <f t="shared" si="158"/>
        <v>9.3938353421486106E-4</v>
      </c>
      <c r="J836" s="20">
        <f t="shared" si="159"/>
        <v>0.33902462323828186</v>
      </c>
      <c r="K836" s="15">
        <f t="shared" si="160"/>
        <v>368.03571428571433</v>
      </c>
      <c r="L836" s="15">
        <f t="shared" si="161"/>
        <v>0.34027909100834042</v>
      </c>
      <c r="M836" s="15">
        <f t="shared" si="165"/>
        <v>0.23064837344475664</v>
      </c>
      <c r="N836" s="15">
        <f t="shared" si="166"/>
        <v>3.8330215154349867</v>
      </c>
      <c r="O836" s="15">
        <f t="shared" si="167"/>
        <v>0.23151065895052936</v>
      </c>
      <c r="P836" s="18">
        <f>IF(SUMIFS('Daily NSE Equity Futures'!$J:$J,'Daily NSE Equity Futures'!$A:$A,$A836)=0,"",SUMIFS('Daily NSE Equity Futures'!$J:$J,'Daily NSE Equity Futures'!$A:$A,$A836))</f>
        <v>1399381</v>
      </c>
      <c r="Q836" s="7">
        <f>IF(SUMIFS('Daily BSE Equity Futures'!$J:$J,'Daily BSE Equity Futures'!$A:$A,$A836)=0,"",SUMIFS('Daily BSE Equity Futures'!$J:$J,'Daily BSE Equity Futures'!$A:$A,$A836))</f>
        <v>1571</v>
      </c>
      <c r="R836" s="7">
        <f t="shared" si="162"/>
        <v>1400952</v>
      </c>
      <c r="S836" s="19">
        <f t="shared" si="163"/>
        <v>0.99887861968147373</v>
      </c>
      <c r="T836" s="19">
        <f t="shared" si="164"/>
        <v>1.1213803185262594E-3</v>
      </c>
    </row>
    <row r="837" spans="1:20" x14ac:dyDescent="0.2">
      <c r="A837" s="9">
        <v>45149</v>
      </c>
      <c r="B837" s="4" t="s">
        <v>222</v>
      </c>
      <c r="C837" s="8">
        <v>45139</v>
      </c>
      <c r="D837" s="4" t="s">
        <v>186</v>
      </c>
      <c r="E837" s="14">
        <f>IF(SUMIFS('Daily NSE Equity Futures'!$I:$I,'Daily NSE Equity Futures'!$A:$A,$A837)=0,"",SUMIFS('Daily NSE Equity Futures'!$I:$I,'Daily NSE Equity Futures'!$A:$A,$A837))</f>
        <v>952.09960000000001</v>
      </c>
      <c r="F837" s="6">
        <f>IF(SUMIFS('Daily BSE Equity Futures'!$I:$I,'Daily BSE Equity Futures'!$A:$A,$A837)=0,"",SUMIFS('Daily BSE Equity Futures'!$I:$I,'Daily BSE Equity Futures'!$A:$A,$A837))</f>
        <v>0.94350000000000001</v>
      </c>
      <c r="G837" s="6">
        <f t="shared" si="156"/>
        <v>953.04309999999998</v>
      </c>
      <c r="H837" s="15">
        <f t="shared" si="157"/>
        <v>0.99901001329320782</v>
      </c>
      <c r="I837" s="15">
        <f t="shared" si="158"/>
        <v>9.8998670679216927E-4</v>
      </c>
      <c r="J837" s="20">
        <f t="shared" si="159"/>
        <v>9.2492287949005325E-2</v>
      </c>
      <c r="K837" s="15">
        <f t="shared" si="160"/>
        <v>495.57894736842104</v>
      </c>
      <c r="L837" s="15">
        <f t="shared" si="161"/>
        <v>9.3572528405495348E-2</v>
      </c>
      <c r="M837" s="15">
        <f t="shared" si="165"/>
        <v>-0.13362271432723472</v>
      </c>
      <c r="N837" s="15">
        <f t="shared" si="166"/>
        <v>-8.6906029226749393E-2</v>
      </c>
      <c r="O837" s="15">
        <f t="shared" si="167"/>
        <v>-0.13357882944247834</v>
      </c>
      <c r="P837" s="18">
        <f>IF(SUMIFS('Daily NSE Equity Futures'!$J:$J,'Daily NSE Equity Futures'!$A:$A,$A837)=0,"",SUMIFS('Daily NSE Equity Futures'!$J:$J,'Daily NSE Equity Futures'!$A:$A,$A837))</f>
        <v>1205351</v>
      </c>
      <c r="Q837" s="7">
        <f>IF(SUMIFS('Daily BSE Equity Futures'!$J:$J,'Daily BSE Equity Futures'!$A:$A,$A837)=0,"",SUMIFS('Daily BSE Equity Futures'!$J:$J,'Daily BSE Equity Futures'!$A:$A,$A837))</f>
        <v>1441</v>
      </c>
      <c r="R837" s="7">
        <f t="shared" si="162"/>
        <v>1206792</v>
      </c>
      <c r="S837" s="19">
        <f t="shared" si="163"/>
        <v>0.99880592513042843</v>
      </c>
      <c r="T837" s="19">
        <f t="shared" si="164"/>
        <v>1.1940748695715583E-3</v>
      </c>
    </row>
    <row r="838" spans="1:20" x14ac:dyDescent="0.2">
      <c r="A838" s="9">
        <v>45152</v>
      </c>
      <c r="B838" s="4" t="s">
        <v>225</v>
      </c>
      <c r="C838" s="8">
        <v>45139</v>
      </c>
      <c r="D838" s="4" t="s">
        <v>186</v>
      </c>
      <c r="E838" s="14">
        <f>IF(SUMIFS('Daily NSE Equity Futures'!$I:$I,'Daily NSE Equity Futures'!$A:$A,$A838)=0,"",SUMIFS('Daily NSE Equity Futures'!$I:$I,'Daily NSE Equity Futures'!$A:$A,$A838))</f>
        <v>878.12339999999995</v>
      </c>
      <c r="F838" s="6">
        <f>IF(SUMIFS('Daily BSE Equity Futures'!$I:$I,'Daily BSE Equity Futures'!$A:$A,$A838)=0,"",SUMIFS('Daily BSE Equity Futures'!$I:$I,'Daily BSE Equity Futures'!$A:$A,$A838))</f>
        <v>0.17230000000000001</v>
      </c>
      <c r="G838" s="6">
        <f t="shared" si="156"/>
        <v>878.2956999999999</v>
      </c>
      <c r="H838" s="15">
        <f t="shared" si="157"/>
        <v>0.99980382461168837</v>
      </c>
      <c r="I838" s="15">
        <f t="shared" si="158"/>
        <v>1.9617538831170417E-4</v>
      </c>
      <c r="J838" s="20" t="str">
        <f t="shared" si="159"/>
        <v/>
      </c>
      <c r="K838" s="15" t="str">
        <f t="shared" si="160"/>
        <v/>
      </c>
      <c r="L838" s="15" t="str">
        <f t="shared" si="161"/>
        <v/>
      </c>
      <c r="M838" s="15">
        <f t="shared" si="165"/>
        <v>-7.7697963532386782E-2</v>
      </c>
      <c r="N838" s="15">
        <f t="shared" si="166"/>
        <v>-0.8173820879703233</v>
      </c>
      <c r="O838" s="15">
        <f t="shared" si="167"/>
        <v>-7.8430240982805599E-2</v>
      </c>
      <c r="P838" s="18">
        <f>IF(SUMIFS('Daily NSE Equity Futures'!$J:$J,'Daily NSE Equity Futures'!$A:$A,$A838)=0,"",SUMIFS('Daily NSE Equity Futures'!$J:$J,'Daily NSE Equity Futures'!$A:$A,$A838))</f>
        <v>1134461</v>
      </c>
      <c r="Q838" s="7">
        <f>IF(SUMIFS('Daily BSE Equity Futures'!$J:$J,'Daily BSE Equity Futures'!$A:$A,$A838)=0,"",SUMIFS('Daily BSE Equity Futures'!$J:$J,'Daily BSE Equity Futures'!$A:$A,$A838))</f>
        <v>264</v>
      </c>
      <c r="R838" s="7">
        <f t="shared" si="162"/>
        <v>1134725</v>
      </c>
      <c r="S838" s="19">
        <f t="shared" si="163"/>
        <v>0.99976734451078453</v>
      </c>
      <c r="T838" s="19">
        <f t="shared" si="164"/>
        <v>2.3265548921544868E-4</v>
      </c>
    </row>
    <row r="839" spans="1:20" x14ac:dyDescent="0.2">
      <c r="A839" s="9">
        <v>45154</v>
      </c>
      <c r="B839" s="4" t="s">
        <v>221</v>
      </c>
      <c r="C839" s="8">
        <v>45139</v>
      </c>
      <c r="D839" s="4" t="s">
        <v>186</v>
      </c>
      <c r="E839" s="14">
        <f>IF(SUMIFS('Daily NSE Equity Futures'!$I:$I,'Daily NSE Equity Futures'!$A:$A,$A839)=0,"",SUMIFS('Daily NSE Equity Futures'!$I:$I,'Daily NSE Equity Futures'!$A:$A,$A839))</f>
        <v>819.67190000000005</v>
      </c>
      <c r="F839" s="6">
        <f>IF(SUMIFS('Daily BSE Equity Futures'!$I:$I,'Daily BSE Equity Futures'!$A:$A,$A839)=0,"",SUMIFS('Daily BSE Equity Futures'!$I:$I,'Daily BSE Equity Futures'!$A:$A,$A839))</f>
        <v>0.14499999999999999</v>
      </c>
      <c r="G839" s="6">
        <f t="shared" si="156"/>
        <v>819.81690000000003</v>
      </c>
      <c r="H839" s="15">
        <f t="shared" si="157"/>
        <v>0.99982313123820699</v>
      </c>
      <c r="I839" s="15">
        <f t="shared" si="158"/>
        <v>1.7686876179302962E-4</v>
      </c>
      <c r="J839" s="20">
        <f t="shared" si="159"/>
        <v>-0.10780301287084804</v>
      </c>
      <c r="K839" s="15">
        <f t="shared" si="160"/>
        <v>160.11111111111111</v>
      </c>
      <c r="L839" s="15">
        <f t="shared" si="161"/>
        <v>-0.10764605735830146</v>
      </c>
      <c r="M839" s="15">
        <f t="shared" si="165"/>
        <v>-6.6564107049191357E-2</v>
      </c>
      <c r="N839" s="15">
        <f t="shared" si="166"/>
        <v>-0.1584445734184563</v>
      </c>
      <c r="O839" s="15">
        <f t="shared" si="167"/>
        <v>-6.6582131735359651E-2</v>
      </c>
      <c r="P839" s="18">
        <f>IF(SUMIFS('Daily NSE Equity Futures'!$J:$J,'Daily NSE Equity Futures'!$A:$A,$A839)=0,"",SUMIFS('Daily NSE Equity Futures'!$J:$J,'Daily NSE Equity Futures'!$A:$A,$A839))</f>
        <v>1062450</v>
      </c>
      <c r="Q839" s="7">
        <f>IF(SUMIFS('Daily BSE Equity Futures'!$J:$J,'Daily BSE Equity Futures'!$A:$A,$A839)=0,"",SUMIFS('Daily BSE Equity Futures'!$J:$J,'Daily BSE Equity Futures'!$A:$A,$A839))</f>
        <v>222</v>
      </c>
      <c r="R839" s="7">
        <f t="shared" si="162"/>
        <v>1062672</v>
      </c>
      <c r="S839" s="19">
        <f t="shared" si="163"/>
        <v>0.9997910926419441</v>
      </c>
      <c r="T839" s="19">
        <f t="shared" si="164"/>
        <v>2.0890735805591942E-4</v>
      </c>
    </row>
    <row r="840" spans="1:20" x14ac:dyDescent="0.2">
      <c r="A840" s="9">
        <v>45155</v>
      </c>
      <c r="B840" s="4" t="s">
        <v>224</v>
      </c>
      <c r="C840" s="8">
        <v>45139</v>
      </c>
      <c r="D840" s="4" t="s">
        <v>186</v>
      </c>
      <c r="E840" s="14">
        <f>IF(SUMIFS('Daily NSE Equity Futures'!$I:$I,'Daily NSE Equity Futures'!$A:$A,$A840)=0,"",SUMIFS('Daily NSE Equity Futures'!$I:$I,'Daily NSE Equity Futures'!$A:$A,$A840))</f>
        <v>872.98469999999998</v>
      </c>
      <c r="F840" s="6">
        <f>IF(SUMIFS('Daily BSE Equity Futures'!$I:$I,'Daily BSE Equity Futures'!$A:$A,$A840)=0,"",SUMIFS('Daily BSE Equity Futures'!$I:$I,'Daily BSE Equity Futures'!$A:$A,$A840))</f>
        <v>0.35049999999999998</v>
      </c>
      <c r="G840" s="6">
        <f t="shared" si="156"/>
        <v>873.33519999999999</v>
      </c>
      <c r="H840" s="15">
        <f t="shared" si="157"/>
        <v>0.99959866497995276</v>
      </c>
      <c r="I840" s="15">
        <f t="shared" si="158"/>
        <v>4.013350200472854E-4</v>
      </c>
      <c r="J840" s="20">
        <f t="shared" si="159"/>
        <v>-4.8505697240106005E-2</v>
      </c>
      <c r="K840" s="15">
        <f t="shared" si="160"/>
        <v>388.44444444444446</v>
      </c>
      <c r="L840" s="15">
        <f t="shared" si="161"/>
        <v>-4.8124609668344864E-2</v>
      </c>
      <c r="M840" s="15">
        <f t="shared" si="165"/>
        <v>6.5041634341740817E-2</v>
      </c>
      <c r="N840" s="15">
        <f t="shared" si="166"/>
        <v>1.4172413793103447</v>
      </c>
      <c r="O840" s="15">
        <f t="shared" si="167"/>
        <v>6.5280796236330207E-2</v>
      </c>
      <c r="P840" s="18">
        <f>IF(SUMIFS('Daily NSE Equity Futures'!$J:$J,'Daily NSE Equity Futures'!$A:$A,$A840)=0,"",SUMIFS('Daily NSE Equity Futures'!$J:$J,'Daily NSE Equity Futures'!$A:$A,$A840))</f>
        <v>1123059</v>
      </c>
      <c r="Q840" s="7">
        <f>IF(SUMIFS('Daily BSE Equity Futures'!$J:$J,'Daily BSE Equity Futures'!$A:$A,$A840)=0,"",SUMIFS('Daily BSE Equity Futures'!$J:$J,'Daily BSE Equity Futures'!$A:$A,$A840))</f>
        <v>537</v>
      </c>
      <c r="R840" s="7">
        <f t="shared" si="162"/>
        <v>1123596</v>
      </c>
      <c r="S840" s="19">
        <f t="shared" si="163"/>
        <v>0.99952207021028916</v>
      </c>
      <c r="T840" s="19">
        <f t="shared" si="164"/>
        <v>4.7792978971089253E-4</v>
      </c>
    </row>
    <row r="841" spans="1:20" x14ac:dyDescent="0.2">
      <c r="A841" s="9">
        <v>45156</v>
      </c>
      <c r="B841" s="4" t="s">
        <v>222</v>
      </c>
      <c r="C841" s="8">
        <v>45139</v>
      </c>
      <c r="D841" s="4" t="s">
        <v>186</v>
      </c>
      <c r="E841" s="14">
        <f>IF(SUMIFS('Daily NSE Equity Futures'!$I:$I,'Daily NSE Equity Futures'!$A:$A,$A841)=0,"",SUMIFS('Daily NSE Equity Futures'!$I:$I,'Daily NSE Equity Futures'!$A:$A,$A841))</f>
        <v>891.64459999999997</v>
      </c>
      <c r="F841" s="6">
        <f>IF(SUMIFS('Daily BSE Equity Futures'!$I:$I,'Daily BSE Equity Futures'!$A:$A,$A841)=0,"",SUMIFS('Daily BSE Equity Futures'!$I:$I,'Daily BSE Equity Futures'!$A:$A,$A841))</f>
        <v>1.3471</v>
      </c>
      <c r="G841" s="6">
        <f t="shared" si="156"/>
        <v>892.99169999999992</v>
      </c>
      <c r="H841" s="15">
        <f t="shared" si="157"/>
        <v>0.99849147534070026</v>
      </c>
      <c r="I841" s="15">
        <f t="shared" si="158"/>
        <v>1.508524659299745E-3</v>
      </c>
      <c r="J841" s="20">
        <f t="shared" si="159"/>
        <v>-0.16327705723983443</v>
      </c>
      <c r="K841" s="15" t="str">
        <f t="shared" si="160"/>
        <v/>
      </c>
      <c r="L841" s="15" t="str">
        <f t="shared" si="161"/>
        <v/>
      </c>
      <c r="M841" s="15">
        <f t="shared" si="165"/>
        <v>2.1374830509629739E-2</v>
      </c>
      <c r="N841" s="15">
        <f t="shared" si="166"/>
        <v>2.8433666191155496</v>
      </c>
      <c r="O841" s="15">
        <f t="shared" si="167"/>
        <v>2.2507394640683076E-2</v>
      </c>
      <c r="P841" s="18">
        <f>IF(SUMIFS('Daily NSE Equity Futures'!$J:$J,'Daily NSE Equity Futures'!$A:$A,$A841)=0,"",SUMIFS('Daily NSE Equity Futures'!$J:$J,'Daily NSE Equity Futures'!$A:$A,$A841))</f>
        <v>1150053</v>
      </c>
      <c r="Q841" s="7">
        <f>IF(SUMIFS('Daily BSE Equity Futures'!$J:$J,'Daily BSE Equity Futures'!$A:$A,$A841)=0,"",SUMIFS('Daily BSE Equity Futures'!$J:$J,'Daily BSE Equity Futures'!$A:$A,$A841))</f>
        <v>2074</v>
      </c>
      <c r="R841" s="7">
        <f t="shared" si="162"/>
        <v>1152127</v>
      </c>
      <c r="S841" s="19">
        <f t="shared" si="163"/>
        <v>0.99819985123167843</v>
      </c>
      <c r="T841" s="19">
        <f t="shared" si="164"/>
        <v>1.800148768321548E-3</v>
      </c>
    </row>
    <row r="842" spans="1:20" x14ac:dyDescent="0.2">
      <c r="A842" s="9">
        <v>45159</v>
      </c>
      <c r="B842" s="4" t="s">
        <v>225</v>
      </c>
      <c r="C842" s="8">
        <v>45139</v>
      </c>
      <c r="D842" s="4" t="s">
        <v>186</v>
      </c>
      <c r="E842" s="14">
        <f>IF(SUMIFS('Daily NSE Equity Futures'!$I:$I,'Daily NSE Equity Futures'!$A:$A,$A842)=0,"",SUMIFS('Daily NSE Equity Futures'!$I:$I,'Daily NSE Equity Futures'!$A:$A,$A842))</f>
        <v>746.08690000000001</v>
      </c>
      <c r="F842" s="6">
        <f>IF(SUMIFS('Daily BSE Equity Futures'!$I:$I,'Daily BSE Equity Futures'!$A:$A,$A842)=0,"",SUMIFS('Daily BSE Equity Futures'!$I:$I,'Daily BSE Equity Futures'!$A:$A,$A842))</f>
        <v>0.30359999999999998</v>
      </c>
      <c r="G842" s="6">
        <f t="shared" si="156"/>
        <v>746.39049999999997</v>
      </c>
      <c r="H842" s="15">
        <f t="shared" si="157"/>
        <v>0.99959324241131153</v>
      </c>
      <c r="I842" s="15">
        <f t="shared" si="158"/>
        <v>4.0675758868849481E-4</v>
      </c>
      <c r="J842" s="20" t="str">
        <f t="shared" si="159"/>
        <v/>
      </c>
      <c r="K842" s="15" t="str">
        <f t="shared" si="160"/>
        <v/>
      </c>
      <c r="L842" s="15" t="str">
        <f t="shared" si="161"/>
        <v/>
      </c>
      <c r="M842" s="15">
        <f t="shared" si="165"/>
        <v>-0.16324632033884345</v>
      </c>
      <c r="N842" s="15">
        <f t="shared" si="166"/>
        <v>-0.7746269764679683</v>
      </c>
      <c r="O842" s="15">
        <f t="shared" si="167"/>
        <v>-0.16416860313483317</v>
      </c>
      <c r="P842" s="18">
        <f>IF(SUMIFS('Daily NSE Equity Futures'!$J:$J,'Daily NSE Equity Futures'!$A:$A,$A842)=0,"",SUMIFS('Daily NSE Equity Futures'!$J:$J,'Daily NSE Equity Futures'!$A:$A,$A842))</f>
        <v>945130</v>
      </c>
      <c r="Q842" s="7">
        <f>IF(SUMIFS('Daily BSE Equity Futures'!$J:$J,'Daily BSE Equity Futures'!$A:$A,$A842)=0,"",SUMIFS('Daily BSE Equity Futures'!$J:$J,'Daily BSE Equity Futures'!$A:$A,$A842))</f>
        <v>466</v>
      </c>
      <c r="R842" s="7">
        <f t="shared" si="162"/>
        <v>945596</v>
      </c>
      <c r="S842" s="19">
        <f t="shared" si="163"/>
        <v>0.99950718911670522</v>
      </c>
      <c r="T842" s="19">
        <f t="shared" si="164"/>
        <v>4.9281088329476859E-4</v>
      </c>
    </row>
    <row r="843" spans="1:20" x14ac:dyDescent="0.2">
      <c r="A843" s="9">
        <v>45160</v>
      </c>
      <c r="B843" s="4" t="s">
        <v>223</v>
      </c>
      <c r="C843" s="8">
        <v>45139</v>
      </c>
      <c r="D843" s="4" t="s">
        <v>186</v>
      </c>
      <c r="E843" s="14">
        <f>IF(SUMIFS('Daily NSE Equity Futures'!$I:$I,'Daily NSE Equity Futures'!$A:$A,$A843)=0,"",SUMIFS('Daily NSE Equity Futures'!$I:$I,'Daily NSE Equity Futures'!$A:$A,$A843))</f>
        <v>784.87710000000004</v>
      </c>
      <c r="F843" s="6">
        <f>IF(SUMIFS('Daily BSE Equity Futures'!$I:$I,'Daily BSE Equity Futures'!$A:$A,$A843)=0,"",SUMIFS('Daily BSE Equity Futures'!$I:$I,'Daily BSE Equity Futures'!$A:$A,$A843))</f>
        <v>0.1331</v>
      </c>
      <c r="G843" s="6">
        <f t="shared" si="156"/>
        <v>785.01020000000005</v>
      </c>
      <c r="H843" s="15">
        <f t="shared" si="157"/>
        <v>0.99983044806296784</v>
      </c>
      <c r="I843" s="15">
        <f t="shared" si="158"/>
        <v>1.6955193703215574E-4</v>
      </c>
      <c r="J843" s="20">
        <f t="shared" si="159"/>
        <v>-0.60098273260731661</v>
      </c>
      <c r="K843" s="15">
        <f t="shared" si="160"/>
        <v>69.05263157894737</v>
      </c>
      <c r="L843" s="15">
        <f t="shared" si="161"/>
        <v>-0.60091545246982592</v>
      </c>
      <c r="M843" s="15">
        <f t="shared" si="165"/>
        <v>5.199153074527918E-2</v>
      </c>
      <c r="N843" s="15">
        <f t="shared" si="166"/>
        <v>-0.56159420289855078</v>
      </c>
      <c r="O843" s="15">
        <f t="shared" si="167"/>
        <v>5.1741950091808597E-2</v>
      </c>
      <c r="P843" s="18">
        <f>IF(SUMIFS('Daily NSE Equity Futures'!$J:$J,'Daily NSE Equity Futures'!$A:$A,$A843)=0,"",SUMIFS('Daily NSE Equity Futures'!$J:$J,'Daily NSE Equity Futures'!$A:$A,$A843))</f>
        <v>967908</v>
      </c>
      <c r="Q843" s="7">
        <f>IF(SUMIFS('Daily BSE Equity Futures'!$J:$J,'Daily BSE Equity Futures'!$A:$A,$A843)=0,"",SUMIFS('Daily BSE Equity Futures'!$J:$J,'Daily BSE Equity Futures'!$A:$A,$A843))</f>
        <v>204</v>
      </c>
      <c r="R843" s="7">
        <f t="shared" si="162"/>
        <v>968112</v>
      </c>
      <c r="S843" s="19">
        <f t="shared" si="163"/>
        <v>0.99978928057910654</v>
      </c>
      <c r="T843" s="19">
        <f t="shared" si="164"/>
        <v>2.1071942089345035E-4</v>
      </c>
    </row>
    <row r="844" spans="1:20" x14ac:dyDescent="0.2">
      <c r="A844" s="9">
        <v>45161</v>
      </c>
      <c r="B844" s="4" t="s">
        <v>221</v>
      </c>
      <c r="C844" s="8">
        <v>45139</v>
      </c>
      <c r="D844" s="4" t="s">
        <v>186</v>
      </c>
      <c r="E844" s="14">
        <f>IF(SUMIFS('Daily NSE Equity Futures'!$I:$I,'Daily NSE Equity Futures'!$A:$A,$A844)=0,"",SUMIFS('Daily NSE Equity Futures'!$I:$I,'Daily NSE Equity Futures'!$A:$A,$A844))</f>
        <v>987.09699999999998</v>
      </c>
      <c r="F844" s="6">
        <f>IF(SUMIFS('Daily BSE Equity Futures'!$I:$I,'Daily BSE Equity Futures'!$A:$A,$A844)=0,"",SUMIFS('Daily BSE Equity Futures'!$I:$I,'Daily BSE Equity Futures'!$A:$A,$A844))</f>
        <v>0.27810000000000001</v>
      </c>
      <c r="G844" s="6">
        <f t="shared" si="156"/>
        <v>987.37509999999997</v>
      </c>
      <c r="H844" s="15">
        <f t="shared" si="157"/>
        <v>0.99971834412271487</v>
      </c>
      <c r="I844" s="15">
        <f t="shared" si="158"/>
        <v>2.8165587728513713E-4</v>
      </c>
      <c r="J844" s="20">
        <f t="shared" si="159"/>
        <v>-0.55675380425701748</v>
      </c>
      <c r="K844" s="15">
        <f t="shared" si="160"/>
        <v>74.162162162162161</v>
      </c>
      <c r="L844" s="15">
        <f t="shared" si="161"/>
        <v>-0.55662966282528425</v>
      </c>
      <c r="M844" s="15">
        <f t="shared" si="165"/>
        <v>0.25764530523313778</v>
      </c>
      <c r="N844" s="15">
        <f t="shared" si="166"/>
        <v>1.0894064613072878</v>
      </c>
      <c r="O844" s="15">
        <f t="shared" si="167"/>
        <v>0.25778633194829803</v>
      </c>
      <c r="P844" s="18">
        <f>IF(SUMIFS('Daily NSE Equity Futures'!$J:$J,'Daily NSE Equity Futures'!$A:$A,$A844)=0,"",SUMIFS('Daily NSE Equity Futures'!$J:$J,'Daily NSE Equity Futures'!$A:$A,$A844))</f>
        <v>1253555</v>
      </c>
      <c r="Q844" s="7">
        <f>IF(SUMIFS('Daily BSE Equity Futures'!$J:$J,'Daily BSE Equity Futures'!$A:$A,$A844)=0,"",SUMIFS('Daily BSE Equity Futures'!$J:$J,'Daily BSE Equity Futures'!$A:$A,$A844))</f>
        <v>426</v>
      </c>
      <c r="R844" s="7">
        <f t="shared" si="162"/>
        <v>1253981</v>
      </c>
      <c r="S844" s="19">
        <f t="shared" si="163"/>
        <v>0.99966028193409628</v>
      </c>
      <c r="T844" s="19">
        <f t="shared" si="164"/>
        <v>3.3971806590370987E-4</v>
      </c>
    </row>
    <row r="845" spans="1:20" x14ac:dyDescent="0.2">
      <c r="A845" s="9">
        <v>45162</v>
      </c>
      <c r="B845" s="4" t="s">
        <v>224</v>
      </c>
      <c r="C845" s="8">
        <v>45139</v>
      </c>
      <c r="D845" s="4" t="s">
        <v>186</v>
      </c>
      <c r="E845" s="14">
        <f>IF(SUMIFS('Daily NSE Equity Futures'!$I:$I,'Daily NSE Equity Futures'!$A:$A,$A845)=0,"",SUMIFS('Daily NSE Equity Futures'!$I:$I,'Daily NSE Equity Futures'!$A:$A,$A845))</f>
        <v>1304.8747000000001</v>
      </c>
      <c r="F845" s="6">
        <f>IF(SUMIFS('Daily BSE Equity Futures'!$I:$I,'Daily BSE Equity Futures'!$A:$A,$A845)=0,"",SUMIFS('Daily BSE Equity Futures'!$I:$I,'Daily BSE Equity Futures'!$A:$A,$A845))</f>
        <v>0.64949999999999997</v>
      </c>
      <c r="G845" s="6">
        <f t="shared" si="156"/>
        <v>1305.5242000000001</v>
      </c>
      <c r="H845" s="15">
        <f t="shared" si="157"/>
        <v>0.99950249868979835</v>
      </c>
      <c r="I845" s="15">
        <f t="shared" si="158"/>
        <v>4.975013102016799E-4</v>
      </c>
      <c r="J845" s="20">
        <f t="shared" si="159"/>
        <v>-0.33261144451634972</v>
      </c>
      <c r="K845" s="15">
        <f t="shared" si="160"/>
        <v>230.96428571428569</v>
      </c>
      <c r="L845" s="15">
        <f t="shared" si="161"/>
        <v>-0.33228020879934539</v>
      </c>
      <c r="M845" s="15">
        <f t="shared" si="165"/>
        <v>0.32193158321826543</v>
      </c>
      <c r="N845" s="15">
        <f t="shared" si="166"/>
        <v>1.3354908306364615</v>
      </c>
      <c r="O845" s="15">
        <f t="shared" si="167"/>
        <v>0.32221705813727741</v>
      </c>
      <c r="P845" s="18">
        <f>IF(SUMIFS('Daily NSE Equity Futures'!$J:$J,'Daily NSE Equity Futures'!$A:$A,$A845)=0,"",SUMIFS('Daily NSE Equity Futures'!$J:$J,'Daily NSE Equity Futures'!$A:$A,$A845))</f>
        <v>1639877</v>
      </c>
      <c r="Q845" s="7">
        <f>IF(SUMIFS('Daily BSE Equity Futures'!$J:$J,'Daily BSE Equity Futures'!$A:$A,$A845)=0,"",SUMIFS('Daily BSE Equity Futures'!$J:$J,'Daily BSE Equity Futures'!$A:$A,$A845))</f>
        <v>991</v>
      </c>
      <c r="R845" s="7">
        <f t="shared" si="162"/>
        <v>1640868</v>
      </c>
      <c r="S845" s="19">
        <f t="shared" si="163"/>
        <v>0.99939605135818355</v>
      </c>
      <c r="T845" s="19">
        <f t="shared" si="164"/>
        <v>6.0394864181640448E-4</v>
      </c>
    </row>
    <row r="846" spans="1:20" x14ac:dyDescent="0.2">
      <c r="A846" s="9">
        <v>45163</v>
      </c>
      <c r="B846" s="4" t="s">
        <v>222</v>
      </c>
      <c r="C846" s="8">
        <v>45139</v>
      </c>
      <c r="D846" s="4" t="s">
        <v>186</v>
      </c>
      <c r="E846" s="14">
        <f>IF(SUMIFS('Daily NSE Equity Futures'!$I:$I,'Daily NSE Equity Futures'!$A:$A,$A846)=0,"",SUMIFS('Daily NSE Equity Futures'!$I:$I,'Daily NSE Equity Futures'!$A:$A,$A846))</f>
        <v>1261.1826000000001</v>
      </c>
      <c r="F846" s="6">
        <f>IF(SUMIFS('Daily BSE Equity Futures'!$I:$I,'Daily BSE Equity Futures'!$A:$A,$A846)=0,"",SUMIFS('Daily BSE Equity Futures'!$I:$I,'Daily BSE Equity Futures'!$A:$A,$A846))</f>
        <v>1.8357000000000001</v>
      </c>
      <c r="G846" s="6">
        <f t="shared" si="156"/>
        <v>1263.0183000000002</v>
      </c>
      <c r="H846" s="15">
        <f t="shared" si="157"/>
        <v>0.99854657687857717</v>
      </c>
      <c r="I846" s="15">
        <f t="shared" si="158"/>
        <v>1.453423121422706E-3</v>
      </c>
      <c r="J846" s="20">
        <f t="shared" si="159"/>
        <v>-0.39154264448999088</v>
      </c>
      <c r="K846" s="15">
        <f t="shared" si="160"/>
        <v>2038.6666666666667</v>
      </c>
      <c r="L846" s="15">
        <f t="shared" si="161"/>
        <v>-0.39065727588091437</v>
      </c>
      <c r="M846" s="15">
        <f t="shared" si="165"/>
        <v>-3.3483751351758073E-2</v>
      </c>
      <c r="N846" s="15">
        <f t="shared" si="166"/>
        <v>1.8263279445727485</v>
      </c>
      <c r="O846" s="15">
        <f t="shared" si="167"/>
        <v>-3.2558492596307165E-2</v>
      </c>
      <c r="P846" s="18">
        <f>IF(SUMIFS('Daily NSE Equity Futures'!$J:$J,'Daily NSE Equity Futures'!$A:$A,$A846)=0,"",SUMIFS('Daily NSE Equity Futures'!$J:$J,'Daily NSE Equity Futures'!$A:$A,$A846))</f>
        <v>1592001</v>
      </c>
      <c r="Q846" s="7">
        <f>IF(SUMIFS('Daily BSE Equity Futures'!$J:$J,'Daily BSE Equity Futures'!$A:$A,$A846)=0,"",SUMIFS('Daily BSE Equity Futures'!$J:$J,'Daily BSE Equity Futures'!$A:$A,$A846))</f>
        <v>2827</v>
      </c>
      <c r="R846" s="7">
        <f t="shared" si="162"/>
        <v>1594828</v>
      </c>
      <c r="S846" s="19">
        <f t="shared" si="163"/>
        <v>0.99822739505451374</v>
      </c>
      <c r="T846" s="19">
        <f t="shared" si="164"/>
        <v>1.7726049454862844E-3</v>
      </c>
    </row>
    <row r="847" spans="1:20" x14ac:dyDescent="0.2">
      <c r="A847" s="9">
        <v>45166</v>
      </c>
      <c r="B847" s="4" t="s">
        <v>225</v>
      </c>
      <c r="C847" s="8">
        <v>45139</v>
      </c>
      <c r="D847" s="4" t="s">
        <v>186</v>
      </c>
      <c r="E847" s="14">
        <f>IF(SUMIFS('Daily NSE Equity Futures'!$I:$I,'Daily NSE Equity Futures'!$A:$A,$A847)=0,"",SUMIFS('Daily NSE Equity Futures'!$I:$I,'Daily NSE Equity Futures'!$A:$A,$A847))</f>
        <v>1868.1972000000001</v>
      </c>
      <c r="F847" s="6">
        <f>IF(SUMIFS('Daily BSE Equity Futures'!$I:$I,'Daily BSE Equity Futures'!$A:$A,$A847)=0,"",SUMIFS('Daily BSE Equity Futures'!$I:$I,'Daily BSE Equity Futures'!$A:$A,$A847))</f>
        <v>0.12759999999999999</v>
      </c>
      <c r="G847" s="6">
        <f t="shared" si="156"/>
        <v>1868.3248000000001</v>
      </c>
      <c r="H847" s="15">
        <f t="shared" si="157"/>
        <v>0.99993170352392691</v>
      </c>
      <c r="I847" s="15">
        <f t="shared" si="158"/>
        <v>6.8296476073111053E-5</v>
      </c>
      <c r="J847" s="20" t="str">
        <f t="shared" si="159"/>
        <v/>
      </c>
      <c r="K847" s="15" t="str">
        <f t="shared" si="160"/>
        <v/>
      </c>
      <c r="L847" s="15" t="str">
        <f t="shared" si="161"/>
        <v/>
      </c>
      <c r="M847" s="15">
        <f t="shared" si="165"/>
        <v>0.48130587910109135</v>
      </c>
      <c r="N847" s="15">
        <f t="shared" si="166"/>
        <v>-0.93048973143759872</v>
      </c>
      <c r="O847" s="15">
        <f t="shared" si="167"/>
        <v>0.47925394271801114</v>
      </c>
      <c r="P847" s="18">
        <f>IF(SUMIFS('Daily NSE Equity Futures'!$J:$J,'Daily NSE Equity Futures'!$A:$A,$A847)=0,"",SUMIFS('Daily NSE Equity Futures'!$J:$J,'Daily NSE Equity Futures'!$A:$A,$A847))</f>
        <v>2406492</v>
      </c>
      <c r="Q847" s="7">
        <f>IF(SUMIFS('Daily BSE Equity Futures'!$J:$J,'Daily BSE Equity Futures'!$A:$A,$A847)=0,"",SUMIFS('Daily BSE Equity Futures'!$J:$J,'Daily BSE Equity Futures'!$A:$A,$A847))</f>
        <v>196</v>
      </c>
      <c r="R847" s="7">
        <f t="shared" si="162"/>
        <v>2406688</v>
      </c>
      <c r="S847" s="19">
        <f t="shared" si="163"/>
        <v>0.99991856027869008</v>
      </c>
      <c r="T847" s="19">
        <f t="shared" si="164"/>
        <v>8.1439721309949613E-5</v>
      </c>
    </row>
    <row r="848" spans="1:20" x14ac:dyDescent="0.2">
      <c r="A848" s="9">
        <v>45167</v>
      </c>
      <c r="B848" s="4" t="s">
        <v>223</v>
      </c>
      <c r="C848" s="8">
        <v>45139</v>
      </c>
      <c r="D848" s="4" t="s">
        <v>186</v>
      </c>
      <c r="E848" s="14">
        <f>IF(SUMIFS('Daily NSE Equity Futures'!$I:$I,'Daily NSE Equity Futures'!$A:$A,$A848)=0,"",SUMIFS('Daily NSE Equity Futures'!$I:$I,'Daily NSE Equity Futures'!$A:$A,$A848))</f>
        <v>1987.002</v>
      </c>
      <c r="F848" s="6">
        <f>IF(SUMIFS('Daily BSE Equity Futures'!$I:$I,'Daily BSE Equity Futures'!$A:$A,$A848)=0,"",SUMIFS('Daily BSE Equity Futures'!$I:$I,'Daily BSE Equity Futures'!$A:$A,$A848))</f>
        <v>0.15559999999999999</v>
      </c>
      <c r="G848" s="6">
        <f t="shared" si="156"/>
        <v>1987.1576</v>
      </c>
      <c r="H848" s="15">
        <f t="shared" si="157"/>
        <v>0.99992169720207391</v>
      </c>
      <c r="I848" s="15">
        <f t="shared" si="158"/>
        <v>7.83027979260427E-5</v>
      </c>
      <c r="J848" s="20">
        <f t="shared" si="159"/>
        <v>1.1963545635603592</v>
      </c>
      <c r="K848" s="15">
        <f t="shared" si="160"/>
        <v>85.444444444444443</v>
      </c>
      <c r="L848" s="15">
        <f t="shared" si="161"/>
        <v>1.1965221874255265</v>
      </c>
      <c r="M848" s="15">
        <f t="shared" si="165"/>
        <v>6.3593286618778722E-2</v>
      </c>
      <c r="N848" s="15">
        <f t="shared" si="166"/>
        <v>0.21943573667711602</v>
      </c>
      <c r="O848" s="15">
        <f t="shared" si="167"/>
        <v>6.3603930108940387E-2</v>
      </c>
      <c r="P848" s="18">
        <f>IF(SUMIFS('Daily NSE Equity Futures'!$J:$J,'Daily NSE Equity Futures'!$A:$A,$A848)=0,"",SUMIFS('Daily NSE Equity Futures'!$J:$J,'Daily NSE Equity Futures'!$A:$A,$A848))</f>
        <v>2571607</v>
      </c>
      <c r="Q848" s="7">
        <f>IF(SUMIFS('Daily BSE Equity Futures'!$J:$J,'Daily BSE Equity Futures'!$A:$A,$A848)=0,"",SUMIFS('Daily BSE Equity Futures'!$J:$J,'Daily BSE Equity Futures'!$A:$A,$A848))</f>
        <v>239</v>
      </c>
      <c r="R848" s="7">
        <f t="shared" si="162"/>
        <v>2571846</v>
      </c>
      <c r="S848" s="19">
        <f t="shared" si="163"/>
        <v>0.99990707064108819</v>
      </c>
      <c r="T848" s="19">
        <f t="shared" si="164"/>
        <v>9.2929358911847756E-5</v>
      </c>
    </row>
    <row r="849" spans="1:20" x14ac:dyDescent="0.2">
      <c r="A849" s="9">
        <v>45168</v>
      </c>
      <c r="B849" s="4" t="s">
        <v>221</v>
      </c>
      <c r="C849" s="8">
        <v>45139</v>
      </c>
      <c r="D849" s="4" t="s">
        <v>186</v>
      </c>
      <c r="E849" s="14">
        <f>IF(SUMIFS('Daily NSE Equity Futures'!$I:$I,'Daily NSE Equity Futures'!$A:$A,$A849)=0,"",SUMIFS('Daily NSE Equity Futures'!$I:$I,'Daily NSE Equity Futures'!$A:$A,$A849))</f>
        <v>1940.5736999999999</v>
      </c>
      <c r="F849" s="6">
        <f>IF(SUMIFS('Daily BSE Equity Futures'!$I:$I,'Daily BSE Equity Futures'!$A:$A,$A849)=0,"",SUMIFS('Daily BSE Equity Futures'!$I:$I,'Daily BSE Equity Futures'!$A:$A,$A849))</f>
        <v>0.30809999999999998</v>
      </c>
      <c r="G849" s="6">
        <f t="shared" si="156"/>
        <v>1940.8817999999999</v>
      </c>
      <c r="H849" s="15">
        <f t="shared" si="157"/>
        <v>0.99984125772110388</v>
      </c>
      <c r="I849" s="15">
        <f t="shared" si="158"/>
        <v>1.5874227889611824E-4</v>
      </c>
      <c r="J849" s="20">
        <f t="shared" si="159"/>
        <v>0.854602134379147</v>
      </c>
      <c r="K849" s="15">
        <f t="shared" si="160"/>
        <v>82.27027027027026</v>
      </c>
      <c r="L849" s="15">
        <f t="shared" si="161"/>
        <v>0.85489002584675711</v>
      </c>
      <c r="M849" s="15">
        <f t="shared" si="165"/>
        <v>-2.3366005670854895E-2</v>
      </c>
      <c r="N849" s="15">
        <f t="shared" si="166"/>
        <v>0.98007712082262222</v>
      </c>
      <c r="O849" s="15">
        <f t="shared" si="167"/>
        <v>-2.3287433266490853E-2</v>
      </c>
      <c r="P849" s="18">
        <f>IF(SUMIFS('Daily NSE Equity Futures'!$J:$J,'Daily NSE Equity Futures'!$A:$A,$A849)=0,"",SUMIFS('Daily NSE Equity Futures'!$J:$J,'Daily NSE Equity Futures'!$A:$A,$A849))</f>
        <v>2479212</v>
      </c>
      <c r="Q849" s="7">
        <f>IF(SUMIFS('Daily BSE Equity Futures'!$J:$J,'Daily BSE Equity Futures'!$A:$A,$A849)=0,"",SUMIFS('Daily BSE Equity Futures'!$J:$J,'Daily BSE Equity Futures'!$A:$A,$A849))</f>
        <v>472</v>
      </c>
      <c r="R849" s="7">
        <f t="shared" si="162"/>
        <v>2479684</v>
      </c>
      <c r="S849" s="19">
        <f t="shared" si="163"/>
        <v>0.99980965316548398</v>
      </c>
      <c r="T849" s="19">
        <f t="shared" si="164"/>
        <v>1.9034683451601091E-4</v>
      </c>
    </row>
    <row r="850" spans="1:20" x14ac:dyDescent="0.2">
      <c r="A850" s="9">
        <v>45169</v>
      </c>
      <c r="B850" s="4" t="s">
        <v>224</v>
      </c>
      <c r="C850" s="8">
        <v>45139</v>
      </c>
      <c r="D850" s="4" t="s">
        <v>186</v>
      </c>
      <c r="E850" s="14">
        <f>IF(SUMIFS('Daily NSE Equity Futures'!$I:$I,'Daily NSE Equity Futures'!$A:$A,$A850)=0,"",SUMIFS('Daily NSE Equity Futures'!$I:$I,'Daily NSE Equity Futures'!$A:$A,$A850))</f>
        <v>2660.8881999999999</v>
      </c>
      <c r="F850" s="6">
        <f>IF(SUMIFS('Daily BSE Equity Futures'!$I:$I,'Daily BSE Equity Futures'!$A:$A,$A850)=0,"",SUMIFS('Daily BSE Equity Futures'!$I:$I,'Daily BSE Equity Futures'!$A:$A,$A850))</f>
        <v>0.3735</v>
      </c>
      <c r="G850" s="6">
        <f t="shared" si="156"/>
        <v>2661.2617</v>
      </c>
      <c r="H850" s="15">
        <f t="shared" si="157"/>
        <v>0.99985965303600166</v>
      </c>
      <c r="I850" s="15">
        <f t="shared" si="158"/>
        <v>1.4034696399831703E-4</v>
      </c>
      <c r="J850" s="20" t="str">
        <f t="shared" si="159"/>
        <v/>
      </c>
      <c r="K850" s="15" t="str">
        <f t="shared" si="160"/>
        <v/>
      </c>
      <c r="L850" s="15" t="str">
        <f t="shared" si="161"/>
        <v/>
      </c>
      <c r="M850" s="15">
        <f t="shared" si="165"/>
        <v>0.37118636617614675</v>
      </c>
      <c r="N850" s="15">
        <f t="shared" si="166"/>
        <v>0.21226874391431361</v>
      </c>
      <c r="O850" s="15">
        <f t="shared" si="167"/>
        <v>0.37116113923063221</v>
      </c>
      <c r="P850" s="18">
        <f>IF(SUMIFS('Daily NSE Equity Futures'!$J:$J,'Daily NSE Equity Futures'!$A:$A,$A850)=0,"",SUMIFS('Daily NSE Equity Futures'!$J:$J,'Daily NSE Equity Futures'!$A:$A,$A850))</f>
        <v>3350508</v>
      </c>
      <c r="Q850" s="7">
        <f>IF(SUMIFS('Daily BSE Equity Futures'!$J:$J,'Daily BSE Equity Futures'!$A:$A,$A850)=0,"",SUMIFS('Daily BSE Equity Futures'!$J:$J,'Daily BSE Equity Futures'!$A:$A,$A850))</f>
        <v>574</v>
      </c>
      <c r="R850" s="7">
        <f t="shared" si="162"/>
        <v>3351082</v>
      </c>
      <c r="S850" s="19">
        <f t="shared" si="163"/>
        <v>0.99982871203987245</v>
      </c>
      <c r="T850" s="19">
        <f t="shared" si="164"/>
        <v>1.7128796012750509E-4</v>
      </c>
    </row>
    <row r="851" spans="1:20" x14ac:dyDescent="0.2">
      <c r="A851" s="9">
        <v>45170</v>
      </c>
      <c r="B851" s="4" t="s">
        <v>222</v>
      </c>
      <c r="C851" s="8">
        <v>45170</v>
      </c>
      <c r="D851" s="4" t="s">
        <v>186</v>
      </c>
      <c r="E851" s="14">
        <f>IF(SUMIFS('Daily NSE Equity Futures'!$I:$I,'Daily NSE Equity Futures'!$A:$A,$A851)=0,"",SUMIFS('Daily NSE Equity Futures'!$I:$I,'Daily NSE Equity Futures'!$A:$A,$A851))</f>
        <v>1061.3463999999999</v>
      </c>
      <c r="F851" s="6">
        <f>IF(SUMIFS('Daily BSE Equity Futures'!$I:$I,'Daily BSE Equity Futures'!$A:$A,$A851)=0,"",SUMIFS('Daily BSE Equity Futures'!$I:$I,'Daily BSE Equity Futures'!$A:$A,$A851))</f>
        <v>1.4957</v>
      </c>
      <c r="G851" s="6">
        <f t="shared" si="156"/>
        <v>1062.8420999999998</v>
      </c>
      <c r="H851" s="15">
        <f t="shared" si="157"/>
        <v>0.99859273545901128</v>
      </c>
      <c r="I851" s="15">
        <f t="shared" si="158"/>
        <v>1.4072645409887322E-3</v>
      </c>
      <c r="J851" s="20">
        <f t="shared" si="159"/>
        <v>-0.11425672212870208</v>
      </c>
      <c r="K851" s="15">
        <f t="shared" si="160"/>
        <v>324.1521739130435</v>
      </c>
      <c r="L851" s="15">
        <f t="shared" si="161"/>
        <v>-0.11301189550145119</v>
      </c>
      <c r="M851" s="15">
        <f t="shared" si="165"/>
        <v>-0.60113078031613654</v>
      </c>
      <c r="N851" s="15">
        <f t="shared" si="166"/>
        <v>3.0045515394912989</v>
      </c>
      <c r="O851" s="15">
        <f t="shared" si="167"/>
        <v>-0.60062473374940928</v>
      </c>
      <c r="P851" s="18">
        <f>IF(SUMIFS('Daily NSE Equity Futures'!$J:$J,'Daily NSE Equity Futures'!$A:$A,$A851)=0,"",SUMIFS('Daily NSE Equity Futures'!$J:$J,'Daily NSE Equity Futures'!$A:$A,$A851))</f>
        <v>1309465</v>
      </c>
      <c r="Q851" s="7">
        <f>IF(SUMIFS('Daily BSE Equity Futures'!$J:$J,'Daily BSE Equity Futures'!$A:$A,$A851)=0,"",SUMIFS('Daily BSE Equity Futures'!$J:$J,'Daily BSE Equity Futures'!$A:$A,$A851))</f>
        <v>2295</v>
      </c>
      <c r="R851" s="7">
        <f t="shared" si="162"/>
        <v>1311760</v>
      </c>
      <c r="S851" s="19">
        <f t="shared" si="163"/>
        <v>0.99825044215405256</v>
      </c>
      <c r="T851" s="19">
        <f t="shared" si="164"/>
        <v>1.7495578459474294E-3</v>
      </c>
    </row>
    <row r="852" spans="1:20" x14ac:dyDescent="0.2">
      <c r="A852" s="9">
        <v>45173</v>
      </c>
      <c r="B852" s="4" t="s">
        <v>225</v>
      </c>
      <c r="C852" s="8">
        <v>45170</v>
      </c>
      <c r="D852" s="4" t="s">
        <v>186</v>
      </c>
      <c r="E852" s="14">
        <f>IF(SUMIFS('Daily NSE Equity Futures'!$I:$I,'Daily NSE Equity Futures'!$A:$A,$A852)=0,"",SUMIFS('Daily NSE Equity Futures'!$I:$I,'Daily NSE Equity Futures'!$A:$A,$A852))</f>
        <v>898.43209999999999</v>
      </c>
      <c r="F852" s="6">
        <f>IF(SUMIFS('Daily BSE Equity Futures'!$I:$I,'Daily BSE Equity Futures'!$A:$A,$A852)=0,"",SUMIFS('Daily BSE Equity Futures'!$I:$I,'Daily BSE Equity Futures'!$A:$A,$A852))</f>
        <v>0.1908</v>
      </c>
      <c r="G852" s="6">
        <f t="shared" si="156"/>
        <v>898.62289999999996</v>
      </c>
      <c r="H852" s="15">
        <f t="shared" si="157"/>
        <v>0.99978767511934097</v>
      </c>
      <c r="I852" s="15">
        <f t="shared" si="158"/>
        <v>2.1232488065906177E-4</v>
      </c>
      <c r="J852" s="20" t="str">
        <f t="shared" si="159"/>
        <v/>
      </c>
      <c r="K852" s="15" t="str">
        <f t="shared" si="160"/>
        <v/>
      </c>
      <c r="L852" s="15" t="str">
        <f t="shared" si="161"/>
        <v/>
      </c>
      <c r="M852" s="15">
        <f t="shared" si="165"/>
        <v>-0.15349776472601206</v>
      </c>
      <c r="N852" s="15">
        <f t="shared" si="166"/>
        <v>-0.87243431169352137</v>
      </c>
      <c r="O852" s="15">
        <f t="shared" si="167"/>
        <v>-0.15450949863578034</v>
      </c>
      <c r="P852" s="18">
        <f>IF(SUMIFS('Daily NSE Equity Futures'!$J:$J,'Daily NSE Equity Futures'!$A:$A,$A852)=0,"",SUMIFS('Daily NSE Equity Futures'!$J:$J,'Daily NSE Equity Futures'!$A:$A,$A852))</f>
        <v>1105546</v>
      </c>
      <c r="Q852" s="7">
        <f>IF(SUMIFS('Daily BSE Equity Futures'!$J:$J,'Daily BSE Equity Futures'!$A:$A,$A852)=0,"",SUMIFS('Daily BSE Equity Futures'!$J:$J,'Daily BSE Equity Futures'!$A:$A,$A852))</f>
        <v>291</v>
      </c>
      <c r="R852" s="7">
        <f t="shared" si="162"/>
        <v>1105837</v>
      </c>
      <c r="S852" s="19">
        <f t="shared" si="163"/>
        <v>0.99973685091021547</v>
      </c>
      <c r="T852" s="19">
        <f t="shared" si="164"/>
        <v>2.6314908978447999E-4</v>
      </c>
    </row>
    <row r="853" spans="1:20" x14ac:dyDescent="0.2">
      <c r="A853" s="9">
        <v>45174</v>
      </c>
      <c r="B853" s="4" t="s">
        <v>223</v>
      </c>
      <c r="C853" s="8">
        <v>45170</v>
      </c>
      <c r="D853" s="4" t="s">
        <v>186</v>
      </c>
      <c r="E853" s="14">
        <f>IF(SUMIFS('Daily NSE Equity Futures'!$I:$I,'Daily NSE Equity Futures'!$A:$A,$A853)=0,"",SUMIFS('Daily NSE Equity Futures'!$I:$I,'Daily NSE Equity Futures'!$A:$A,$A853))</f>
        <v>793.88720000000001</v>
      </c>
      <c r="F853" s="6">
        <f>IF(SUMIFS('Daily BSE Equity Futures'!$I:$I,'Daily BSE Equity Futures'!$A:$A,$A853)=0,"",SUMIFS('Daily BSE Equity Futures'!$I:$I,'Daily BSE Equity Futures'!$A:$A,$A853))</f>
        <v>0.1236</v>
      </c>
      <c r="G853" s="6">
        <f t="shared" si="156"/>
        <v>794.01080000000002</v>
      </c>
      <c r="H853" s="15">
        <f t="shared" si="157"/>
        <v>0.9998443346110657</v>
      </c>
      <c r="I853" s="15">
        <f t="shared" si="158"/>
        <v>1.5566538893425631E-4</v>
      </c>
      <c r="J853" s="20">
        <f t="shared" si="159"/>
        <v>5.5250056691195981E-2</v>
      </c>
      <c r="K853" s="15">
        <f t="shared" si="160"/>
        <v>136.33333333333334</v>
      </c>
      <c r="L853" s="15">
        <f t="shared" si="161"/>
        <v>5.5413085588450484E-2</v>
      </c>
      <c r="M853" s="15">
        <f t="shared" si="165"/>
        <v>-0.11636371852697602</v>
      </c>
      <c r="N853" s="15">
        <f t="shared" si="166"/>
        <v>-0.35220125786163525</v>
      </c>
      <c r="O853" s="15">
        <f t="shared" si="167"/>
        <v>-0.11641379270437013</v>
      </c>
      <c r="P853" s="18">
        <f>IF(SUMIFS('Daily NSE Equity Futures'!$J:$J,'Daily NSE Equity Futures'!$A:$A,$A853)=0,"",SUMIFS('Daily NSE Equity Futures'!$J:$J,'Daily NSE Equity Futures'!$A:$A,$A853))</f>
        <v>983356</v>
      </c>
      <c r="Q853" s="7">
        <f>IF(SUMIFS('Daily BSE Equity Futures'!$J:$J,'Daily BSE Equity Futures'!$A:$A,$A853)=0,"",SUMIFS('Daily BSE Equity Futures'!$J:$J,'Daily BSE Equity Futures'!$A:$A,$A853))</f>
        <v>188</v>
      </c>
      <c r="R853" s="7">
        <f t="shared" si="162"/>
        <v>983544</v>
      </c>
      <c r="S853" s="19">
        <f t="shared" si="163"/>
        <v>0.99980885450981349</v>
      </c>
      <c r="T853" s="19">
        <f t="shared" si="164"/>
        <v>1.9114549018650921E-4</v>
      </c>
    </row>
    <row r="854" spans="1:20" x14ac:dyDescent="0.2">
      <c r="A854" s="9">
        <v>45175</v>
      </c>
      <c r="B854" s="4" t="s">
        <v>221</v>
      </c>
      <c r="C854" s="8">
        <v>45170</v>
      </c>
      <c r="D854" s="4" t="s">
        <v>186</v>
      </c>
      <c r="E854" s="14">
        <f>IF(SUMIFS('Daily NSE Equity Futures'!$I:$I,'Daily NSE Equity Futures'!$A:$A,$A854)=0,"",SUMIFS('Daily NSE Equity Futures'!$I:$I,'Daily NSE Equity Futures'!$A:$A,$A854))</f>
        <v>910.33519999999999</v>
      </c>
      <c r="F854" s="6">
        <f>IF(SUMIFS('Daily BSE Equity Futures'!$I:$I,'Daily BSE Equity Futures'!$A:$A,$A854)=0,"",SUMIFS('Daily BSE Equity Futures'!$I:$I,'Daily BSE Equity Futures'!$A:$A,$A854))</f>
        <v>0.28849999999999998</v>
      </c>
      <c r="G854" s="6">
        <f t="shared" si="156"/>
        <v>910.62369999999999</v>
      </c>
      <c r="H854" s="15">
        <f t="shared" si="157"/>
        <v>0.99968318417366031</v>
      </c>
      <c r="I854" s="15">
        <f t="shared" si="158"/>
        <v>3.1681582633968344E-4</v>
      </c>
      <c r="J854" s="20">
        <f t="shared" si="159"/>
        <v>3.0650564096049715E-2</v>
      </c>
      <c r="K854" s="15">
        <f t="shared" si="160"/>
        <v>150.84210526315789</v>
      </c>
      <c r="L854" s="15">
        <f t="shared" si="161"/>
        <v>3.0974976241547658E-2</v>
      </c>
      <c r="M854" s="15">
        <f t="shared" si="165"/>
        <v>0.14668078790034644</v>
      </c>
      <c r="N854" s="15">
        <f t="shared" si="166"/>
        <v>1.3341423948220061</v>
      </c>
      <c r="O854" s="15">
        <f t="shared" si="167"/>
        <v>0.14686563457323243</v>
      </c>
      <c r="P854" s="18">
        <f>IF(SUMIFS('Daily NSE Equity Futures'!$J:$J,'Daily NSE Equity Futures'!$A:$A,$A854)=0,"",SUMIFS('Daily NSE Equity Futures'!$J:$J,'Daily NSE Equity Futures'!$A:$A,$A854))</f>
        <v>1148607</v>
      </c>
      <c r="Q854" s="7">
        <f>IF(SUMIFS('Daily BSE Equity Futures'!$J:$J,'Daily BSE Equity Futures'!$A:$A,$A854)=0,"",SUMIFS('Daily BSE Equity Futures'!$J:$J,'Daily BSE Equity Futures'!$A:$A,$A854))</f>
        <v>439</v>
      </c>
      <c r="R854" s="7">
        <f t="shared" si="162"/>
        <v>1149046</v>
      </c>
      <c r="S854" s="19">
        <f t="shared" si="163"/>
        <v>0.99961794392913772</v>
      </c>
      <c r="T854" s="19">
        <f t="shared" si="164"/>
        <v>3.8205607086226314E-4</v>
      </c>
    </row>
    <row r="855" spans="1:20" x14ac:dyDescent="0.2">
      <c r="A855" s="9">
        <v>45176</v>
      </c>
      <c r="B855" s="4" t="s">
        <v>224</v>
      </c>
      <c r="C855" s="8">
        <v>45170</v>
      </c>
      <c r="D855" s="4" t="s">
        <v>186</v>
      </c>
      <c r="E855" s="14">
        <f>IF(SUMIFS('Daily NSE Equity Futures'!$I:$I,'Daily NSE Equity Futures'!$A:$A,$A855)=0,"",SUMIFS('Daily NSE Equity Futures'!$I:$I,'Daily NSE Equity Futures'!$A:$A,$A855))</f>
        <v>943.08519999999999</v>
      </c>
      <c r="F855" s="6">
        <f>IF(SUMIFS('Daily BSE Equity Futures'!$I:$I,'Daily BSE Equity Futures'!$A:$A,$A855)=0,"",SUMIFS('Daily BSE Equity Futures'!$I:$I,'Daily BSE Equity Futures'!$A:$A,$A855))</f>
        <v>0.43490000000000001</v>
      </c>
      <c r="G855" s="6">
        <f t="shared" si="156"/>
        <v>943.52009999999996</v>
      </c>
      <c r="H855" s="15">
        <f t="shared" si="157"/>
        <v>0.99953906652333113</v>
      </c>
      <c r="I855" s="15">
        <f t="shared" si="158"/>
        <v>4.6093347666891253E-4</v>
      </c>
      <c r="J855" s="20">
        <f t="shared" si="159"/>
        <v>5.7189810642237937E-2</v>
      </c>
      <c r="K855" s="15">
        <f t="shared" si="160"/>
        <v>227.89473684210526</v>
      </c>
      <c r="L855" s="15">
        <f t="shared" si="161"/>
        <v>5.7675076807321979E-2</v>
      </c>
      <c r="M855" s="15">
        <f t="shared" si="165"/>
        <v>3.5975759258787265E-2</v>
      </c>
      <c r="N855" s="15">
        <f t="shared" si="166"/>
        <v>0.50745233968804171</v>
      </c>
      <c r="O855" s="15">
        <f t="shared" si="167"/>
        <v>3.6125130501215796E-2</v>
      </c>
      <c r="P855" s="18">
        <f>IF(SUMIFS('Daily NSE Equity Futures'!$J:$J,'Daily NSE Equity Futures'!$A:$A,$A855)=0,"",SUMIFS('Daily NSE Equity Futures'!$J:$J,'Daily NSE Equity Futures'!$A:$A,$A855))</f>
        <v>1152886</v>
      </c>
      <c r="Q855" s="7">
        <f>IF(SUMIFS('Daily BSE Equity Futures'!$J:$J,'Daily BSE Equity Futures'!$A:$A,$A855)=0,"",SUMIFS('Daily BSE Equity Futures'!$J:$J,'Daily BSE Equity Futures'!$A:$A,$A855))</f>
        <v>659</v>
      </c>
      <c r="R855" s="7">
        <f t="shared" si="162"/>
        <v>1153545</v>
      </c>
      <c r="S855" s="19">
        <f t="shared" si="163"/>
        <v>0.99942871756195029</v>
      </c>
      <c r="T855" s="19">
        <f t="shared" si="164"/>
        <v>5.7128243804966425E-4</v>
      </c>
    </row>
    <row r="856" spans="1:20" x14ac:dyDescent="0.2">
      <c r="A856" s="9">
        <v>45177</v>
      </c>
      <c r="B856" s="4" t="s">
        <v>222</v>
      </c>
      <c r="C856" s="8">
        <v>45170</v>
      </c>
      <c r="D856" s="4" t="s">
        <v>186</v>
      </c>
      <c r="E856" s="14">
        <f>IF(SUMIFS('Daily NSE Equity Futures'!$I:$I,'Daily NSE Equity Futures'!$A:$A,$A856)=0,"",SUMIFS('Daily NSE Equity Futures'!$I:$I,'Daily NSE Equity Futures'!$A:$A,$A856))</f>
        <v>1054.3266000000001</v>
      </c>
      <c r="F856" s="6">
        <f>IF(SUMIFS('Daily BSE Equity Futures'!$I:$I,'Daily BSE Equity Futures'!$A:$A,$A856)=0,"",SUMIFS('Daily BSE Equity Futures'!$I:$I,'Daily BSE Equity Futures'!$A:$A,$A856))</f>
        <v>2.7189999999999999</v>
      </c>
      <c r="G856" s="6">
        <f t="shared" si="156"/>
        <v>1057.0456000000001</v>
      </c>
      <c r="H856" s="15">
        <f t="shared" si="157"/>
        <v>0.99742773632471482</v>
      </c>
      <c r="I856" s="15">
        <f t="shared" si="158"/>
        <v>2.5722636752851529E-3</v>
      </c>
      <c r="J856" s="20">
        <f t="shared" si="159"/>
        <v>0.14820648855884611</v>
      </c>
      <c r="K856" s="15">
        <f t="shared" si="160"/>
        <v>1430.0526315789473</v>
      </c>
      <c r="L856" s="15">
        <f t="shared" si="161"/>
        <v>0.15116521317908616</v>
      </c>
      <c r="M856" s="15">
        <f t="shared" si="165"/>
        <v>0.11795477227296125</v>
      </c>
      <c r="N856" s="15">
        <f t="shared" si="166"/>
        <v>5.2520119567716712</v>
      </c>
      <c r="O856" s="15">
        <f t="shared" si="167"/>
        <v>0.12032123110042936</v>
      </c>
      <c r="P856" s="18">
        <f>IF(SUMIFS('Daily NSE Equity Futures'!$J:$J,'Daily NSE Equity Futures'!$A:$A,$A856)=0,"",SUMIFS('Daily NSE Equity Futures'!$J:$J,'Daily NSE Equity Futures'!$A:$A,$A856))</f>
        <v>1245349</v>
      </c>
      <c r="Q856" s="7">
        <f>IF(SUMIFS('Daily BSE Equity Futures'!$J:$J,'Daily BSE Equity Futures'!$A:$A,$A856)=0,"",SUMIFS('Daily BSE Equity Futures'!$J:$J,'Daily BSE Equity Futures'!$A:$A,$A856))</f>
        <v>4096</v>
      </c>
      <c r="R856" s="7">
        <f t="shared" si="162"/>
        <v>1249445</v>
      </c>
      <c r="S856" s="19">
        <f t="shared" si="163"/>
        <v>0.99672174445453776</v>
      </c>
      <c r="T856" s="19">
        <f t="shared" si="164"/>
        <v>3.2782555454621853E-3</v>
      </c>
    </row>
    <row r="857" spans="1:20" x14ac:dyDescent="0.2">
      <c r="A857" s="9">
        <v>45180</v>
      </c>
      <c r="B857" s="4" t="s">
        <v>225</v>
      </c>
      <c r="C857" s="8">
        <v>45170</v>
      </c>
      <c r="D857" s="4" t="s">
        <v>186</v>
      </c>
      <c r="E857" s="14">
        <f>IF(SUMIFS('Daily NSE Equity Futures'!$I:$I,'Daily NSE Equity Futures'!$A:$A,$A857)=0,"",SUMIFS('Daily NSE Equity Futures'!$I:$I,'Daily NSE Equity Futures'!$A:$A,$A857))</f>
        <v>921.36649999999997</v>
      </c>
      <c r="F857" s="6">
        <f>IF(SUMIFS('Daily BSE Equity Futures'!$I:$I,'Daily BSE Equity Futures'!$A:$A,$A857)=0,"",SUMIFS('Daily BSE Equity Futures'!$I:$I,'Daily BSE Equity Futures'!$A:$A,$A857))</f>
        <v>0.16600000000000001</v>
      </c>
      <c r="G857" s="6">
        <f t="shared" si="156"/>
        <v>921.53250000000003</v>
      </c>
      <c r="H857" s="15">
        <f t="shared" si="157"/>
        <v>0.9998198652787611</v>
      </c>
      <c r="I857" s="15">
        <f t="shared" si="158"/>
        <v>1.8013472123880602E-4</v>
      </c>
      <c r="J857" s="20" t="str">
        <f t="shared" si="159"/>
        <v/>
      </c>
      <c r="K857" s="15" t="str">
        <f t="shared" si="160"/>
        <v/>
      </c>
      <c r="L857" s="15" t="str">
        <f t="shared" si="161"/>
        <v/>
      </c>
      <c r="M857" s="15">
        <f t="shared" si="165"/>
        <v>-0.12610902541963764</v>
      </c>
      <c r="N857" s="15">
        <f t="shared" si="166"/>
        <v>-0.93894814269952187</v>
      </c>
      <c r="O857" s="15">
        <f t="shared" si="167"/>
        <v>-0.12819986195486754</v>
      </c>
      <c r="P857" s="18">
        <f>IF(SUMIFS('Daily NSE Equity Futures'!$J:$J,'Daily NSE Equity Futures'!$A:$A,$A857)=0,"",SUMIFS('Daily NSE Equity Futures'!$J:$J,'Daily NSE Equity Futures'!$A:$A,$A857))</f>
        <v>1096321</v>
      </c>
      <c r="Q857" s="7">
        <f>IF(SUMIFS('Daily BSE Equity Futures'!$J:$J,'Daily BSE Equity Futures'!$A:$A,$A857)=0,"",SUMIFS('Daily BSE Equity Futures'!$J:$J,'Daily BSE Equity Futures'!$A:$A,$A857))</f>
        <v>248</v>
      </c>
      <c r="R857" s="7">
        <f t="shared" si="162"/>
        <v>1096569</v>
      </c>
      <c r="S857" s="19">
        <f t="shared" si="163"/>
        <v>0.99977384004107361</v>
      </c>
      <c r="T857" s="19">
        <f t="shared" si="164"/>
        <v>2.2615995892643327E-4</v>
      </c>
    </row>
    <row r="858" spans="1:20" x14ac:dyDescent="0.2">
      <c r="A858" s="9">
        <v>45181</v>
      </c>
      <c r="B858" s="4" t="s">
        <v>223</v>
      </c>
      <c r="C858" s="8">
        <v>45170</v>
      </c>
      <c r="D858" s="4" t="s">
        <v>186</v>
      </c>
      <c r="E858" s="14">
        <f>IF(SUMIFS('Daily NSE Equity Futures'!$I:$I,'Daily NSE Equity Futures'!$A:$A,$A858)=0,"",SUMIFS('Daily NSE Equity Futures'!$I:$I,'Daily NSE Equity Futures'!$A:$A,$A858))</f>
        <v>1342.2511999999999</v>
      </c>
      <c r="F858" s="6">
        <f>IF(SUMIFS('Daily BSE Equity Futures'!$I:$I,'Daily BSE Equity Futures'!$A:$A,$A858)=0,"",SUMIFS('Daily BSE Equity Futures'!$I:$I,'Daily BSE Equity Futures'!$A:$A,$A858))</f>
        <v>0.29380000000000001</v>
      </c>
      <c r="G858" s="6">
        <f t="shared" si="156"/>
        <v>1342.5449999999998</v>
      </c>
      <c r="H858" s="15">
        <f t="shared" si="157"/>
        <v>0.99978116189773902</v>
      </c>
      <c r="I858" s="15">
        <f t="shared" si="158"/>
        <v>2.1883810226100431E-4</v>
      </c>
      <c r="J858" s="20">
        <f t="shared" si="159"/>
        <v>0.63250901786350622</v>
      </c>
      <c r="K858" s="15">
        <f t="shared" si="160"/>
        <v>325.44444444444446</v>
      </c>
      <c r="L858" s="15">
        <f t="shared" si="161"/>
        <v>0.63286456386706758</v>
      </c>
      <c r="M858" s="15">
        <f t="shared" si="165"/>
        <v>0.4568048653820167</v>
      </c>
      <c r="N858" s="15">
        <f t="shared" si="166"/>
        <v>0.76987951807228905</v>
      </c>
      <c r="O858" s="15">
        <f t="shared" si="167"/>
        <v>0.45686126099730595</v>
      </c>
      <c r="P858" s="18">
        <f>IF(SUMIFS('Daily NSE Equity Futures'!$J:$J,'Daily NSE Equity Futures'!$A:$A,$A858)=0,"",SUMIFS('Daily NSE Equity Futures'!$J:$J,'Daily NSE Equity Futures'!$A:$A,$A858))</f>
        <v>1611728</v>
      </c>
      <c r="Q858" s="7">
        <f>IF(SUMIFS('Daily BSE Equity Futures'!$J:$J,'Daily BSE Equity Futures'!$A:$A,$A858)=0,"",SUMIFS('Daily BSE Equity Futures'!$J:$J,'Daily BSE Equity Futures'!$A:$A,$A858))</f>
        <v>437</v>
      </c>
      <c r="R858" s="7">
        <f t="shared" si="162"/>
        <v>1612165</v>
      </c>
      <c r="S858" s="19">
        <f t="shared" si="163"/>
        <v>0.99972893593397694</v>
      </c>
      <c r="T858" s="19">
        <f t="shared" si="164"/>
        <v>2.7106406602301871E-4</v>
      </c>
    </row>
    <row r="859" spans="1:20" x14ac:dyDescent="0.2">
      <c r="A859" s="9">
        <v>45182</v>
      </c>
      <c r="B859" s="4" t="s">
        <v>221</v>
      </c>
      <c r="C859" s="8">
        <v>45170</v>
      </c>
      <c r="D859" s="4" t="s">
        <v>186</v>
      </c>
      <c r="E859" s="14">
        <f>IF(SUMIFS('Daily NSE Equity Futures'!$I:$I,'Daily NSE Equity Futures'!$A:$A,$A859)=0,"",SUMIFS('Daily NSE Equity Futures'!$I:$I,'Daily NSE Equity Futures'!$A:$A,$A859))</f>
        <v>1105.8619000000001</v>
      </c>
      <c r="F859" s="6">
        <f>IF(SUMIFS('Daily BSE Equity Futures'!$I:$I,'Daily BSE Equity Futures'!$A:$A,$A859)=0,"",SUMIFS('Daily BSE Equity Futures'!$I:$I,'Daily BSE Equity Futures'!$A:$A,$A859))</f>
        <v>0.17249999999999999</v>
      </c>
      <c r="G859" s="6">
        <f t="shared" si="156"/>
        <v>1106.0344</v>
      </c>
      <c r="H859" s="15">
        <f t="shared" si="157"/>
        <v>0.99984403740064509</v>
      </c>
      <c r="I859" s="15">
        <f t="shared" si="158"/>
        <v>1.5596259935495675E-4</v>
      </c>
      <c r="J859" s="20">
        <f t="shared" si="159"/>
        <v>0.29288268056233169</v>
      </c>
      <c r="K859" s="15">
        <f t="shared" si="160"/>
        <v>171.49999999999997</v>
      </c>
      <c r="L859" s="15">
        <f t="shared" si="161"/>
        <v>0.29308284159327647</v>
      </c>
      <c r="M859" s="15">
        <f t="shared" si="165"/>
        <v>-0.17611405376281264</v>
      </c>
      <c r="N859" s="15">
        <f t="shared" si="166"/>
        <v>-0.41286589516678018</v>
      </c>
      <c r="O859" s="15">
        <f t="shared" si="167"/>
        <v>-0.17616586408649237</v>
      </c>
      <c r="P859" s="18">
        <f>IF(SUMIFS('Daily NSE Equity Futures'!$J:$J,'Daily NSE Equity Futures'!$A:$A,$A859)=0,"",SUMIFS('Daily NSE Equity Futures'!$J:$J,'Daily NSE Equity Futures'!$A:$A,$A859))</f>
        <v>1343890</v>
      </c>
      <c r="Q859" s="7">
        <f>IF(SUMIFS('Daily BSE Equity Futures'!$J:$J,'Daily BSE Equity Futures'!$A:$A,$A859)=0,"",SUMIFS('Daily BSE Equity Futures'!$J:$J,'Daily BSE Equity Futures'!$A:$A,$A859))</f>
        <v>256</v>
      </c>
      <c r="R859" s="7">
        <f t="shared" si="162"/>
        <v>1344146</v>
      </c>
      <c r="S859" s="19">
        <f t="shared" si="163"/>
        <v>0.99980954449888626</v>
      </c>
      <c r="T859" s="19">
        <f t="shared" si="164"/>
        <v>1.904555011137183E-4</v>
      </c>
    </row>
    <row r="860" spans="1:20" x14ac:dyDescent="0.2">
      <c r="A860" s="9">
        <v>45183</v>
      </c>
      <c r="B860" s="4" t="s">
        <v>224</v>
      </c>
      <c r="C860" s="8">
        <v>45170</v>
      </c>
      <c r="D860" s="4" t="s">
        <v>186</v>
      </c>
      <c r="E860" s="14">
        <f>IF(SUMIFS('Daily NSE Equity Futures'!$I:$I,'Daily NSE Equity Futures'!$A:$A,$A860)=0,"",SUMIFS('Daily NSE Equity Futures'!$I:$I,'Daily NSE Equity Futures'!$A:$A,$A860))</f>
        <v>994.65989999999999</v>
      </c>
      <c r="F860" s="6">
        <f>IF(SUMIFS('Daily BSE Equity Futures'!$I:$I,'Daily BSE Equity Futures'!$A:$A,$A860)=0,"",SUMIFS('Daily BSE Equity Futures'!$I:$I,'Daily BSE Equity Futures'!$A:$A,$A860))</f>
        <v>0.37369999999999998</v>
      </c>
      <c r="G860" s="6">
        <f t="shared" si="156"/>
        <v>995.03359999999998</v>
      </c>
      <c r="H860" s="15">
        <f t="shared" si="157"/>
        <v>0.99962443479295571</v>
      </c>
      <c r="I860" s="15">
        <f t="shared" si="158"/>
        <v>3.7556520704426461E-4</v>
      </c>
      <c r="J860" s="20">
        <f t="shared" si="159"/>
        <v>-0.22722498176948147</v>
      </c>
      <c r="K860" s="15">
        <f t="shared" si="160"/>
        <v>132.46428571428569</v>
      </c>
      <c r="L860" s="15">
        <f t="shared" si="161"/>
        <v>-0.22693632703202837</v>
      </c>
      <c r="M860" s="15">
        <f t="shared" si="165"/>
        <v>-0.10055685976702888</v>
      </c>
      <c r="N860" s="15">
        <f t="shared" si="166"/>
        <v>1.166376811594203</v>
      </c>
      <c r="O860" s="15">
        <f t="shared" si="167"/>
        <v>-0.10035926549843299</v>
      </c>
      <c r="P860" s="18">
        <f>IF(SUMIFS('Daily NSE Equity Futures'!$J:$J,'Daily NSE Equity Futures'!$A:$A,$A860)=0,"",SUMIFS('Daily NSE Equity Futures'!$J:$J,'Daily NSE Equity Futures'!$A:$A,$A860))</f>
        <v>1199673</v>
      </c>
      <c r="Q860" s="7">
        <f>IF(SUMIFS('Daily BSE Equity Futures'!$J:$J,'Daily BSE Equity Futures'!$A:$A,$A860)=0,"",SUMIFS('Daily BSE Equity Futures'!$J:$J,'Daily BSE Equity Futures'!$A:$A,$A860))</f>
        <v>553</v>
      </c>
      <c r="R860" s="7">
        <f t="shared" si="162"/>
        <v>1200226</v>
      </c>
      <c r="S860" s="19">
        <f t="shared" si="163"/>
        <v>0.99953925344060202</v>
      </c>
      <c r="T860" s="19">
        <f t="shared" si="164"/>
        <v>4.6074655939798003E-4</v>
      </c>
    </row>
    <row r="861" spans="1:20" x14ac:dyDescent="0.2">
      <c r="A861" s="9">
        <v>45184</v>
      </c>
      <c r="B861" s="4" t="s">
        <v>222</v>
      </c>
      <c r="C861" s="8">
        <v>45170</v>
      </c>
      <c r="D861" s="4" t="s">
        <v>186</v>
      </c>
      <c r="E861" s="14">
        <f>IF(SUMIFS('Daily NSE Equity Futures'!$I:$I,'Daily NSE Equity Futures'!$A:$A,$A861)=0,"",SUMIFS('Daily NSE Equity Futures'!$I:$I,'Daily NSE Equity Futures'!$A:$A,$A861))</f>
        <v>990.72929999999997</v>
      </c>
      <c r="F861" s="6">
        <f>IF(SUMIFS('Daily BSE Equity Futures'!$I:$I,'Daily BSE Equity Futures'!$A:$A,$A861)=0,"",SUMIFS('Daily BSE Equity Futures'!$I:$I,'Daily BSE Equity Futures'!$A:$A,$A861))</f>
        <v>0.78859999999999997</v>
      </c>
      <c r="G861" s="6">
        <f t="shared" si="156"/>
        <v>991.51789999999994</v>
      </c>
      <c r="H861" s="15">
        <f t="shared" si="157"/>
        <v>0.99920465379394563</v>
      </c>
      <c r="I861" s="15">
        <f t="shared" si="158"/>
        <v>7.9534620605437381E-4</v>
      </c>
      <c r="J861" s="20">
        <f t="shared" si="159"/>
        <v>-0.16082083474469999</v>
      </c>
      <c r="K861" s="15">
        <f t="shared" si="160"/>
        <v>414.05263157894734</v>
      </c>
      <c r="L861" s="15">
        <f t="shared" si="161"/>
        <v>-0.16015421712708988</v>
      </c>
      <c r="M861" s="15">
        <f t="shared" si="165"/>
        <v>-3.9517024864479389E-3</v>
      </c>
      <c r="N861" s="15">
        <f t="shared" si="166"/>
        <v>1.1102488627241103</v>
      </c>
      <c r="O861" s="15">
        <f t="shared" si="167"/>
        <v>-3.5332475204857827E-3</v>
      </c>
      <c r="P861" s="18">
        <f>IF(SUMIFS('Daily NSE Equity Futures'!$J:$J,'Daily NSE Equity Futures'!$A:$A,$A861)=0,"",SUMIFS('Daily NSE Equity Futures'!$J:$J,'Daily NSE Equity Futures'!$A:$A,$A861))</f>
        <v>1199443</v>
      </c>
      <c r="Q861" s="7">
        <f>IF(SUMIFS('Daily BSE Equity Futures'!$J:$J,'Daily BSE Equity Futures'!$A:$A,$A861)=0,"",SUMIFS('Daily BSE Equity Futures'!$J:$J,'Daily BSE Equity Futures'!$A:$A,$A861))</f>
        <v>1163</v>
      </c>
      <c r="R861" s="7">
        <f t="shared" si="162"/>
        <v>1200606</v>
      </c>
      <c r="S861" s="19">
        <f t="shared" si="163"/>
        <v>0.99903132251546301</v>
      </c>
      <c r="T861" s="19">
        <f t="shared" si="164"/>
        <v>9.6867748453697547E-4</v>
      </c>
    </row>
    <row r="862" spans="1:20" x14ac:dyDescent="0.2">
      <c r="A862" s="9">
        <v>45187</v>
      </c>
      <c r="B862" s="4" t="s">
        <v>225</v>
      </c>
      <c r="C862" s="8">
        <v>45170</v>
      </c>
      <c r="D862" s="4" t="s">
        <v>186</v>
      </c>
      <c r="E862" s="14">
        <f>IF(SUMIFS('Daily NSE Equity Futures'!$I:$I,'Daily NSE Equity Futures'!$A:$A,$A862)=0,"",SUMIFS('Daily NSE Equity Futures'!$I:$I,'Daily NSE Equity Futures'!$A:$A,$A862))</f>
        <v>856.74649999999997</v>
      </c>
      <c r="F862" s="6">
        <f>IF(SUMIFS('Daily BSE Equity Futures'!$I:$I,'Daily BSE Equity Futures'!$A:$A,$A862)=0,"",SUMIFS('Daily BSE Equity Futures'!$I:$I,'Daily BSE Equity Futures'!$A:$A,$A862))</f>
        <v>0.1051</v>
      </c>
      <c r="G862" s="6">
        <f t="shared" si="156"/>
        <v>856.85159999999996</v>
      </c>
      <c r="H862" s="15">
        <f t="shared" si="157"/>
        <v>0.99987734165402742</v>
      </c>
      <c r="I862" s="15">
        <f t="shared" si="158"/>
        <v>1.2265834597262817E-4</v>
      </c>
      <c r="J862" s="20" t="str">
        <f t="shared" si="159"/>
        <v/>
      </c>
      <c r="K862" s="15" t="str">
        <f t="shared" si="160"/>
        <v/>
      </c>
      <c r="L862" s="15" t="str">
        <f t="shared" si="161"/>
        <v/>
      </c>
      <c r="M862" s="15">
        <f t="shared" si="165"/>
        <v>-0.13523653736696795</v>
      </c>
      <c r="N862" s="15">
        <f t="shared" si="166"/>
        <v>-0.86672584326654833</v>
      </c>
      <c r="O862" s="15">
        <f t="shared" si="167"/>
        <v>-0.13581832461118448</v>
      </c>
      <c r="P862" s="18">
        <f>IF(SUMIFS('Daily NSE Equity Futures'!$J:$J,'Daily NSE Equity Futures'!$A:$A,$A862)=0,"",SUMIFS('Daily NSE Equity Futures'!$J:$J,'Daily NSE Equity Futures'!$A:$A,$A862))</f>
        <v>1021127</v>
      </c>
      <c r="Q862" s="7">
        <f>IF(SUMIFS('Daily BSE Equity Futures'!$J:$J,'Daily BSE Equity Futures'!$A:$A,$A862)=0,"",SUMIFS('Daily BSE Equity Futures'!$J:$J,'Daily BSE Equity Futures'!$A:$A,$A862))</f>
        <v>155</v>
      </c>
      <c r="R862" s="7">
        <f t="shared" si="162"/>
        <v>1021282</v>
      </c>
      <c r="S862" s="19">
        <f t="shared" si="163"/>
        <v>0.99984822996978306</v>
      </c>
      <c r="T862" s="19">
        <f t="shared" si="164"/>
        <v>1.5177003021692344E-4</v>
      </c>
    </row>
    <row r="863" spans="1:20" x14ac:dyDescent="0.2">
      <c r="A863" s="9">
        <v>45189</v>
      </c>
      <c r="B863" s="4" t="s">
        <v>221</v>
      </c>
      <c r="C863" s="8">
        <v>45170</v>
      </c>
      <c r="D863" s="4" t="s">
        <v>186</v>
      </c>
      <c r="E863" s="14">
        <f>IF(SUMIFS('Daily NSE Equity Futures'!$I:$I,'Daily NSE Equity Futures'!$A:$A,$A863)=0,"",SUMIFS('Daily NSE Equity Futures'!$I:$I,'Daily NSE Equity Futures'!$A:$A,$A863))</f>
        <v>1185.3563999999999</v>
      </c>
      <c r="F863" s="6">
        <f>IF(SUMIFS('Daily BSE Equity Futures'!$I:$I,'Daily BSE Equity Futures'!$A:$A,$A863)=0,"",SUMIFS('Daily BSE Equity Futures'!$I:$I,'Daily BSE Equity Futures'!$A:$A,$A863))</f>
        <v>0.41539999999999999</v>
      </c>
      <c r="G863" s="6">
        <f t="shared" si="156"/>
        <v>1185.7718</v>
      </c>
      <c r="H863" s="15">
        <f t="shared" si="157"/>
        <v>0.99964967964325002</v>
      </c>
      <c r="I863" s="15">
        <f t="shared" si="158"/>
        <v>3.5032035674992441E-4</v>
      </c>
      <c r="J863" s="20">
        <f t="shared" si="159"/>
        <v>0.14928940004770275</v>
      </c>
      <c r="K863" s="15">
        <f t="shared" si="160"/>
        <v>71.877192982456137</v>
      </c>
      <c r="L863" s="15">
        <f t="shared" si="161"/>
        <v>0.14968580680184562</v>
      </c>
      <c r="M863" s="15">
        <f t="shared" si="165"/>
        <v>0.3835555791590628</v>
      </c>
      <c r="N863" s="15">
        <f t="shared" si="166"/>
        <v>2.9524262607040912</v>
      </c>
      <c r="O863" s="15">
        <f t="shared" si="167"/>
        <v>0.38387067258787866</v>
      </c>
      <c r="P863" s="18">
        <f>IF(SUMIFS('Daily NSE Equity Futures'!$J:$J,'Daily NSE Equity Futures'!$A:$A,$A863)=0,"",SUMIFS('Daily NSE Equity Futures'!$J:$J,'Daily NSE Equity Futures'!$A:$A,$A863))</f>
        <v>1450447</v>
      </c>
      <c r="Q863" s="7">
        <f>IF(SUMIFS('Daily BSE Equity Futures'!$J:$J,'Daily BSE Equity Futures'!$A:$A,$A863)=0,"",SUMIFS('Daily BSE Equity Futures'!$J:$J,'Daily BSE Equity Futures'!$A:$A,$A863))</f>
        <v>619</v>
      </c>
      <c r="R863" s="7">
        <f t="shared" si="162"/>
        <v>1451066</v>
      </c>
      <c r="S863" s="19">
        <f t="shared" si="163"/>
        <v>0.99957341706028535</v>
      </c>
      <c r="T863" s="19">
        <f t="shared" si="164"/>
        <v>4.2658293971466492E-4</v>
      </c>
    </row>
    <row r="864" spans="1:20" x14ac:dyDescent="0.2">
      <c r="A864" s="9">
        <v>45190</v>
      </c>
      <c r="B864" s="4" t="s">
        <v>224</v>
      </c>
      <c r="C864" s="8">
        <v>45170</v>
      </c>
      <c r="D864" s="4" t="s">
        <v>186</v>
      </c>
      <c r="E864" s="14">
        <f>IF(SUMIFS('Daily NSE Equity Futures'!$I:$I,'Daily NSE Equity Futures'!$A:$A,$A864)=0,"",SUMIFS('Daily NSE Equity Futures'!$I:$I,'Daily NSE Equity Futures'!$A:$A,$A864))</f>
        <v>1266.8679</v>
      </c>
      <c r="F864" s="6">
        <f>IF(SUMIFS('Daily BSE Equity Futures'!$I:$I,'Daily BSE Equity Futures'!$A:$A,$A864)=0,"",SUMIFS('Daily BSE Equity Futures'!$I:$I,'Daily BSE Equity Futures'!$A:$A,$A864))</f>
        <v>0.65029999999999999</v>
      </c>
      <c r="G864" s="6">
        <f t="shared" si="156"/>
        <v>1267.5182</v>
      </c>
      <c r="H864" s="15">
        <f t="shared" si="157"/>
        <v>0.99948695016765832</v>
      </c>
      <c r="I864" s="15">
        <f t="shared" si="158"/>
        <v>5.1304983234165785E-4</v>
      </c>
      <c r="J864" s="20">
        <f t="shared" si="159"/>
        <v>0.20768539784704543</v>
      </c>
      <c r="K864" s="15">
        <f t="shared" si="160"/>
        <v>341.26315789473682</v>
      </c>
      <c r="L864" s="15">
        <f t="shared" si="161"/>
        <v>0.20830313016083424</v>
      </c>
      <c r="M864" s="15">
        <f t="shared" si="165"/>
        <v>6.8765394104254307E-2</v>
      </c>
      <c r="N864" s="15">
        <f t="shared" si="166"/>
        <v>0.56547905633124707</v>
      </c>
      <c r="O864" s="15">
        <f t="shared" si="167"/>
        <v>6.8939403011608169E-2</v>
      </c>
      <c r="P864" s="18">
        <f>IF(SUMIFS('Daily NSE Equity Futures'!$J:$J,'Daily NSE Equity Futures'!$A:$A,$A864)=0,"",SUMIFS('Daily NSE Equity Futures'!$J:$J,'Daily NSE Equity Futures'!$A:$A,$A864))</f>
        <v>1545560</v>
      </c>
      <c r="Q864" s="7">
        <f>IF(SUMIFS('Daily BSE Equity Futures'!$J:$J,'Daily BSE Equity Futures'!$A:$A,$A864)=0,"",SUMIFS('Daily BSE Equity Futures'!$J:$J,'Daily BSE Equity Futures'!$A:$A,$A864))</f>
        <v>980</v>
      </c>
      <c r="R864" s="7">
        <f t="shared" si="162"/>
        <v>1546540</v>
      </c>
      <c r="S864" s="19">
        <f t="shared" si="163"/>
        <v>0.99936632741474518</v>
      </c>
      <c r="T864" s="19">
        <f t="shared" si="164"/>
        <v>6.3367258525482686E-4</v>
      </c>
    </row>
    <row r="865" spans="1:20" x14ac:dyDescent="0.2">
      <c r="A865" s="9">
        <v>45191</v>
      </c>
      <c r="B865" s="4" t="s">
        <v>222</v>
      </c>
      <c r="C865" s="8">
        <v>45170</v>
      </c>
      <c r="D865" s="4" t="s">
        <v>186</v>
      </c>
      <c r="E865" s="14">
        <f>IF(SUMIFS('Daily NSE Equity Futures'!$I:$I,'Daily NSE Equity Futures'!$A:$A,$A865)=0,"",SUMIFS('Daily NSE Equity Futures'!$I:$I,'Daily NSE Equity Futures'!$A:$A,$A865))</f>
        <v>1356.3489</v>
      </c>
      <c r="F865" s="6">
        <f>IF(SUMIFS('Daily BSE Equity Futures'!$I:$I,'Daily BSE Equity Futures'!$A:$A,$A865)=0,"",SUMIFS('Daily BSE Equity Futures'!$I:$I,'Daily BSE Equity Futures'!$A:$A,$A865))</f>
        <v>1.5411999999999999</v>
      </c>
      <c r="G865" s="6">
        <f t="shared" si="156"/>
        <v>1357.8900999999998</v>
      </c>
      <c r="H865" s="15">
        <f t="shared" si="157"/>
        <v>0.99886500387623423</v>
      </c>
      <c r="I865" s="15">
        <f t="shared" si="158"/>
        <v>1.1349961237658336E-3</v>
      </c>
      <c r="J865" s="20">
        <f t="shared" si="159"/>
        <v>8.8987190108887448E-2</v>
      </c>
      <c r="K865" s="15">
        <f t="shared" si="160"/>
        <v>549.42857142857144</v>
      </c>
      <c r="L865" s="15">
        <f t="shared" si="161"/>
        <v>9.0222139900309362E-2</v>
      </c>
      <c r="M865" s="15">
        <f t="shared" si="165"/>
        <v>7.0631673594381938E-2</v>
      </c>
      <c r="N865" s="15">
        <f t="shared" si="166"/>
        <v>1.3699830847301246</v>
      </c>
      <c r="O865" s="15">
        <f t="shared" si="167"/>
        <v>7.1298305618017865E-2</v>
      </c>
      <c r="P865" s="18">
        <f>IF(SUMIFS('Daily NSE Equity Futures'!$J:$J,'Daily NSE Equity Futures'!$A:$A,$A865)=0,"",SUMIFS('Daily NSE Equity Futures'!$J:$J,'Daily NSE Equity Futures'!$A:$A,$A865))</f>
        <v>1655134</v>
      </c>
      <c r="Q865" s="7">
        <f>IF(SUMIFS('Daily BSE Equity Futures'!$J:$J,'Daily BSE Equity Futures'!$A:$A,$A865)=0,"",SUMIFS('Daily BSE Equity Futures'!$J:$J,'Daily BSE Equity Futures'!$A:$A,$A865))</f>
        <v>2330</v>
      </c>
      <c r="R865" s="7">
        <f t="shared" si="162"/>
        <v>1657464</v>
      </c>
      <c r="S865" s="19">
        <f t="shared" si="163"/>
        <v>0.99859423794423285</v>
      </c>
      <c r="T865" s="19">
        <f t="shared" si="164"/>
        <v>1.4057620557671238E-3</v>
      </c>
    </row>
    <row r="866" spans="1:20" x14ac:dyDescent="0.2">
      <c r="A866" s="9">
        <v>45194</v>
      </c>
      <c r="B866" s="4" t="s">
        <v>225</v>
      </c>
      <c r="C866" s="8">
        <v>45170</v>
      </c>
      <c r="D866" s="4" t="s">
        <v>186</v>
      </c>
      <c r="E866" s="14">
        <f>IF(SUMIFS('Daily NSE Equity Futures'!$I:$I,'Daily NSE Equity Futures'!$A:$A,$A866)=0,"",SUMIFS('Daily NSE Equity Futures'!$I:$I,'Daily NSE Equity Futures'!$A:$A,$A866))</f>
        <v>2142.5560999999998</v>
      </c>
      <c r="F866" s="6">
        <f>IF(SUMIFS('Daily BSE Equity Futures'!$I:$I,'Daily BSE Equity Futures'!$A:$A,$A866)=0,"",SUMIFS('Daily BSE Equity Futures'!$I:$I,'Daily BSE Equity Futures'!$A:$A,$A866))</f>
        <v>0.32050000000000001</v>
      </c>
      <c r="G866" s="6">
        <f t="shared" si="156"/>
        <v>2142.8765999999996</v>
      </c>
      <c r="H866" s="15">
        <f t="shared" si="157"/>
        <v>0.99985043469138646</v>
      </c>
      <c r="I866" s="15">
        <f t="shared" si="158"/>
        <v>1.4956530861366449E-4</v>
      </c>
      <c r="J866" s="20" t="str">
        <f t="shared" si="159"/>
        <v/>
      </c>
      <c r="K866" s="15" t="str">
        <f t="shared" si="160"/>
        <v/>
      </c>
      <c r="L866" s="15" t="str">
        <f t="shared" si="161"/>
        <v/>
      </c>
      <c r="M866" s="15">
        <f t="shared" si="165"/>
        <v>0.57964967568447912</v>
      </c>
      <c r="N866" s="15">
        <f t="shared" si="166"/>
        <v>-0.79204515961588373</v>
      </c>
      <c r="O866" s="15">
        <f t="shared" si="167"/>
        <v>0.5780928073634235</v>
      </c>
      <c r="P866" s="18">
        <f>IF(SUMIFS('Daily NSE Equity Futures'!$J:$J,'Daily NSE Equity Futures'!$A:$A,$A866)=0,"",SUMIFS('Daily NSE Equity Futures'!$J:$J,'Daily NSE Equity Futures'!$A:$A,$A866))</f>
        <v>2636632</v>
      </c>
      <c r="Q866" s="7">
        <f>IF(SUMIFS('Daily BSE Equity Futures'!$J:$J,'Daily BSE Equity Futures'!$A:$A,$A866)=0,"",SUMIFS('Daily BSE Equity Futures'!$J:$J,'Daily BSE Equity Futures'!$A:$A,$A866))</f>
        <v>485</v>
      </c>
      <c r="R866" s="7">
        <f t="shared" si="162"/>
        <v>2637117</v>
      </c>
      <c r="S866" s="19">
        <f t="shared" si="163"/>
        <v>0.99981608703747316</v>
      </c>
      <c r="T866" s="19">
        <f t="shared" si="164"/>
        <v>1.8391296252688068E-4</v>
      </c>
    </row>
    <row r="867" spans="1:20" x14ac:dyDescent="0.2">
      <c r="A867" s="9">
        <v>45195</v>
      </c>
      <c r="B867" s="4" t="s">
        <v>223</v>
      </c>
      <c r="C867" s="8">
        <v>45170</v>
      </c>
      <c r="D867" s="4" t="s">
        <v>186</v>
      </c>
      <c r="E867" s="14">
        <f>IF(SUMIFS('Daily NSE Equity Futures'!$I:$I,'Daily NSE Equity Futures'!$A:$A,$A867)=0,"",SUMIFS('Daily NSE Equity Futures'!$I:$I,'Daily NSE Equity Futures'!$A:$A,$A867))</f>
        <v>2115.6857</v>
      </c>
      <c r="F867" s="6">
        <f>IF(SUMIFS('Daily BSE Equity Futures'!$I:$I,'Daily BSE Equity Futures'!$A:$A,$A867)=0,"",SUMIFS('Daily BSE Equity Futures'!$I:$I,'Daily BSE Equity Futures'!$A:$A,$A867))</f>
        <v>0.27739999999999998</v>
      </c>
      <c r="G867" s="6">
        <f t="shared" si="156"/>
        <v>2115.9630999999999</v>
      </c>
      <c r="H867" s="15">
        <f t="shared" si="157"/>
        <v>0.99986890130550954</v>
      </c>
      <c r="I867" s="15">
        <f t="shared" si="158"/>
        <v>1.3109869449046629E-4</v>
      </c>
      <c r="J867" s="20">
        <f t="shared" si="159"/>
        <v>-6.5833024292271114E-3</v>
      </c>
      <c r="K867" s="15">
        <f t="shared" si="160"/>
        <v>76.055555555555557</v>
      </c>
      <c r="L867" s="15">
        <f t="shared" si="161"/>
        <v>-6.454729184229735E-3</v>
      </c>
      <c r="M867" s="15">
        <f t="shared" si="165"/>
        <v>-1.254128188288739E-2</v>
      </c>
      <c r="N867" s="15">
        <f t="shared" si="166"/>
        <v>-0.13447737909516388</v>
      </c>
      <c r="O867" s="15">
        <f t="shared" si="167"/>
        <v>-1.2559519292898003E-2</v>
      </c>
      <c r="P867" s="18">
        <f>IF(SUMIFS('Daily NSE Equity Futures'!$J:$J,'Daily NSE Equity Futures'!$A:$A,$A867)=0,"",SUMIFS('Daily NSE Equity Futures'!$J:$J,'Daily NSE Equity Futures'!$A:$A,$A867))</f>
        <v>2631131</v>
      </c>
      <c r="Q867" s="7">
        <f>IF(SUMIFS('Daily BSE Equity Futures'!$J:$J,'Daily BSE Equity Futures'!$A:$A,$A867)=0,"",SUMIFS('Daily BSE Equity Futures'!$J:$J,'Daily BSE Equity Futures'!$A:$A,$A867))</f>
        <v>420</v>
      </c>
      <c r="R867" s="7">
        <f t="shared" si="162"/>
        <v>2631551</v>
      </c>
      <c r="S867" s="19">
        <f t="shared" si="163"/>
        <v>0.99984039830503002</v>
      </c>
      <c r="T867" s="19">
        <f t="shared" si="164"/>
        <v>1.5960169497000059E-4</v>
      </c>
    </row>
    <row r="868" spans="1:20" x14ac:dyDescent="0.2">
      <c r="A868" s="9">
        <v>45196</v>
      </c>
      <c r="B868" s="4" t="s">
        <v>221</v>
      </c>
      <c r="C868" s="8">
        <v>45170</v>
      </c>
      <c r="D868" s="4" t="s">
        <v>186</v>
      </c>
      <c r="E868" s="14">
        <f>IF(SUMIFS('Daily NSE Equity Futures'!$I:$I,'Daily NSE Equity Futures'!$A:$A,$A868)=0,"",SUMIFS('Daily NSE Equity Futures'!$I:$I,'Daily NSE Equity Futures'!$A:$A,$A868))</f>
        <v>2156.7779</v>
      </c>
      <c r="F868" s="6">
        <f>IF(SUMIFS('Daily BSE Equity Futures'!$I:$I,'Daily BSE Equity Futures'!$A:$A,$A868)=0,"",SUMIFS('Daily BSE Equity Futures'!$I:$I,'Daily BSE Equity Futures'!$A:$A,$A868))</f>
        <v>0.41689999999999999</v>
      </c>
      <c r="G868" s="6">
        <f t="shared" si="156"/>
        <v>2157.1948000000002</v>
      </c>
      <c r="H868" s="15">
        <f t="shared" si="157"/>
        <v>0.99980673975294199</v>
      </c>
      <c r="I868" s="15">
        <f t="shared" si="158"/>
        <v>1.9326024705789202E-4</v>
      </c>
      <c r="J868" s="20">
        <f t="shared" si="159"/>
        <v>-8.8118212166445886E-3</v>
      </c>
      <c r="K868" s="15">
        <f t="shared" si="160"/>
        <v>114.80555555555556</v>
      </c>
      <c r="L868" s="15">
        <f t="shared" si="161"/>
        <v>-8.6218671005970915E-3</v>
      </c>
      <c r="M868" s="15">
        <f t="shared" si="165"/>
        <v>1.942263919447007E-2</v>
      </c>
      <c r="N868" s="15">
        <f t="shared" si="166"/>
        <v>0.50288392213410238</v>
      </c>
      <c r="O868" s="15">
        <f t="shared" si="167"/>
        <v>1.9486020337500243E-2</v>
      </c>
      <c r="P868" s="18">
        <f>IF(SUMIFS('Daily NSE Equity Futures'!$J:$J,'Daily NSE Equity Futures'!$A:$A,$A868)=0,"",SUMIFS('Daily NSE Equity Futures'!$J:$J,'Daily NSE Equity Futures'!$A:$A,$A868))</f>
        <v>2663418</v>
      </c>
      <c r="Q868" s="7">
        <f>IF(SUMIFS('Daily BSE Equity Futures'!$J:$J,'Daily BSE Equity Futures'!$A:$A,$A868)=0,"",SUMIFS('Daily BSE Equity Futures'!$J:$J,'Daily BSE Equity Futures'!$A:$A,$A868))</f>
        <v>633</v>
      </c>
      <c r="R868" s="7">
        <f t="shared" si="162"/>
        <v>2664051</v>
      </c>
      <c r="S868" s="19">
        <f t="shared" si="163"/>
        <v>0.99976239193619043</v>
      </c>
      <c r="T868" s="19">
        <f t="shared" si="164"/>
        <v>2.3760806380958922E-4</v>
      </c>
    </row>
    <row r="869" spans="1:20" x14ac:dyDescent="0.2">
      <c r="A869" s="9">
        <v>45197</v>
      </c>
      <c r="B869" s="4" t="s">
        <v>224</v>
      </c>
      <c r="C869" s="8">
        <v>45170</v>
      </c>
      <c r="D869" s="4" t="s">
        <v>186</v>
      </c>
      <c r="E869" s="14">
        <f>IF(SUMIFS('Daily NSE Equity Futures'!$I:$I,'Daily NSE Equity Futures'!$A:$A,$A869)=0,"",SUMIFS('Daily NSE Equity Futures'!$I:$I,'Daily NSE Equity Futures'!$A:$A,$A869))</f>
        <v>2789.7197000000001</v>
      </c>
      <c r="F869" s="6">
        <f>IF(SUMIFS('Daily BSE Equity Futures'!$I:$I,'Daily BSE Equity Futures'!$A:$A,$A869)=0,"",SUMIFS('Daily BSE Equity Futures'!$I:$I,'Daily BSE Equity Futures'!$A:$A,$A869))</f>
        <v>0.76049999999999995</v>
      </c>
      <c r="G869" s="6">
        <f t="shared" si="156"/>
        <v>2790.4802</v>
      </c>
      <c r="H869" s="15">
        <f t="shared" si="157"/>
        <v>0.99972746626190001</v>
      </c>
      <c r="I869" s="15">
        <f t="shared" si="158"/>
        <v>2.725337380999872E-4</v>
      </c>
      <c r="J869" s="20">
        <f t="shared" si="159"/>
        <v>0.29991066992338666</v>
      </c>
      <c r="K869" s="15">
        <f t="shared" si="160"/>
        <v>84.44943820224718</v>
      </c>
      <c r="L869" s="15">
        <f t="shared" si="161"/>
        <v>0.3002596437267957</v>
      </c>
      <c r="M869" s="15">
        <f t="shared" si="165"/>
        <v>0.29346637871243031</v>
      </c>
      <c r="N869" s="15">
        <f t="shared" si="166"/>
        <v>0.82417846006236495</v>
      </c>
      <c r="O869" s="15">
        <f t="shared" si="167"/>
        <v>0.29356894426038838</v>
      </c>
      <c r="P869" s="18">
        <f>IF(SUMIFS('Daily NSE Equity Futures'!$J:$J,'Daily NSE Equity Futures'!$A:$A,$A869)=0,"",SUMIFS('Daily NSE Equity Futures'!$J:$J,'Daily NSE Equity Futures'!$A:$A,$A869))</f>
        <v>3462625</v>
      </c>
      <c r="Q869" s="7">
        <f>IF(SUMIFS('Daily BSE Equity Futures'!$J:$J,'Daily BSE Equity Futures'!$A:$A,$A869)=0,"",SUMIFS('Daily BSE Equity Futures'!$J:$J,'Daily BSE Equity Futures'!$A:$A,$A869))</f>
        <v>1154</v>
      </c>
      <c r="R869" s="7">
        <f t="shared" si="162"/>
        <v>3463779</v>
      </c>
      <c r="S869" s="19">
        <f t="shared" si="163"/>
        <v>0.99966683786696553</v>
      </c>
      <c r="T869" s="19">
        <f t="shared" si="164"/>
        <v>3.3316213303446899E-4</v>
      </c>
    </row>
    <row r="870" spans="1:20" x14ac:dyDescent="0.2">
      <c r="A870" s="9">
        <v>45198</v>
      </c>
      <c r="B870" s="4" t="s">
        <v>222</v>
      </c>
      <c r="C870" s="8">
        <v>45170</v>
      </c>
      <c r="D870" s="4" t="s">
        <v>186</v>
      </c>
      <c r="E870" s="14">
        <f>IF(SUMIFS('Daily NSE Equity Futures'!$I:$I,'Daily NSE Equity Futures'!$A:$A,$A870)=0,"",SUMIFS('Daily NSE Equity Futures'!$I:$I,'Daily NSE Equity Futures'!$A:$A,$A870))</f>
        <v>1013.1028</v>
      </c>
      <c r="F870" s="6">
        <f>IF(SUMIFS('Daily BSE Equity Futures'!$I:$I,'Daily BSE Equity Futures'!$A:$A,$A870)=0,"",SUMIFS('Daily BSE Equity Futures'!$I:$I,'Daily BSE Equity Futures'!$A:$A,$A870))</f>
        <v>0.6552</v>
      </c>
      <c r="G870" s="6">
        <f t="shared" si="156"/>
        <v>1013.758</v>
      </c>
      <c r="H870" s="15">
        <f t="shared" si="157"/>
        <v>0.99935369190674694</v>
      </c>
      <c r="I870" s="15">
        <f t="shared" si="158"/>
        <v>6.4630809325302483E-4</v>
      </c>
      <c r="J870" s="20">
        <f t="shared" si="159"/>
        <v>-0.55072349238236518</v>
      </c>
      <c r="K870" s="15">
        <f t="shared" si="160"/>
        <v>241.66666666666666</v>
      </c>
      <c r="L870" s="15">
        <f t="shared" si="161"/>
        <v>-0.55043347184086056</v>
      </c>
      <c r="M870" s="15">
        <f t="shared" si="165"/>
        <v>-0.63684423205671881</v>
      </c>
      <c r="N870" s="15">
        <f t="shared" si="166"/>
        <v>-0.13846153846153841</v>
      </c>
      <c r="O870" s="15">
        <f t="shared" si="167"/>
        <v>-0.63670840595822897</v>
      </c>
      <c r="P870" s="18">
        <f>IF(SUMIFS('Daily NSE Equity Futures'!$J:$J,'Daily NSE Equity Futures'!$A:$A,$A870)=0,"",SUMIFS('Daily NSE Equity Futures'!$J:$J,'Daily NSE Equity Futures'!$A:$A,$A870))</f>
        <v>1230345</v>
      </c>
      <c r="Q870" s="7">
        <f>IF(SUMIFS('Daily BSE Equity Futures'!$J:$J,'Daily BSE Equity Futures'!$A:$A,$A870)=0,"",SUMIFS('Daily BSE Equity Futures'!$J:$J,'Daily BSE Equity Futures'!$A:$A,$A870))</f>
        <v>995</v>
      </c>
      <c r="R870" s="7">
        <f t="shared" si="162"/>
        <v>1231340</v>
      </c>
      <c r="S870" s="19">
        <f t="shared" si="163"/>
        <v>0.99919193723910538</v>
      </c>
      <c r="T870" s="19">
        <f t="shared" si="164"/>
        <v>8.0806276089463508E-4</v>
      </c>
    </row>
    <row r="871" spans="1:20" x14ac:dyDescent="0.2">
      <c r="A871" s="9">
        <v>45202</v>
      </c>
      <c r="B871" s="4" t="s">
        <v>223</v>
      </c>
      <c r="C871" s="8">
        <v>45200</v>
      </c>
      <c r="D871" s="4" t="s">
        <v>187</v>
      </c>
      <c r="E871" s="14">
        <f>IF(SUMIFS('Daily NSE Equity Futures'!$I:$I,'Daily NSE Equity Futures'!$A:$A,$A871)=0,"",SUMIFS('Daily NSE Equity Futures'!$I:$I,'Daily NSE Equity Futures'!$A:$A,$A871))</f>
        <v>824.24300000000005</v>
      </c>
      <c r="F871" s="6">
        <f>IF(SUMIFS('Daily BSE Equity Futures'!$I:$I,'Daily BSE Equity Futures'!$A:$A,$A871)=0,"",SUMIFS('Daily BSE Equity Futures'!$I:$I,'Daily BSE Equity Futures'!$A:$A,$A871))</f>
        <v>0.1206</v>
      </c>
      <c r="G871" s="6">
        <f t="shared" si="156"/>
        <v>824.36360000000002</v>
      </c>
      <c r="H871" s="15">
        <f t="shared" si="157"/>
        <v>0.99985370533099716</v>
      </c>
      <c r="I871" s="15">
        <f t="shared" si="158"/>
        <v>1.4629466900285262E-4</v>
      </c>
      <c r="J871" s="20">
        <f t="shared" si="159"/>
        <v>-0.2000027564591651</v>
      </c>
      <c r="K871" s="15">
        <f t="shared" si="160"/>
        <v>32.5</v>
      </c>
      <c r="L871" s="15">
        <f t="shared" si="161"/>
        <v>-0.19988849967519506</v>
      </c>
      <c r="M871" s="15">
        <f t="shared" si="165"/>
        <v>-0.18641721254743349</v>
      </c>
      <c r="N871" s="15">
        <f t="shared" si="166"/>
        <v>-0.81593406593406592</v>
      </c>
      <c r="O871" s="15">
        <f t="shared" si="167"/>
        <v>-0.18682407438461646</v>
      </c>
      <c r="P871" s="18">
        <f>IF(SUMIFS('Daily NSE Equity Futures'!$J:$J,'Daily NSE Equity Futures'!$A:$A,$A871)=0,"",SUMIFS('Daily NSE Equity Futures'!$J:$J,'Daily NSE Equity Futures'!$A:$A,$A871))</f>
        <v>995185</v>
      </c>
      <c r="Q871" s="7">
        <f>IF(SUMIFS('Daily BSE Equity Futures'!$J:$J,'Daily BSE Equity Futures'!$A:$A,$A871)=0,"",SUMIFS('Daily BSE Equity Futures'!$J:$J,'Daily BSE Equity Futures'!$A:$A,$A871))</f>
        <v>184</v>
      </c>
      <c r="R871" s="7">
        <f t="shared" si="162"/>
        <v>995369</v>
      </c>
      <c r="S871" s="19">
        <f t="shared" si="163"/>
        <v>0.99981514393154702</v>
      </c>
      <c r="T871" s="19">
        <f t="shared" si="164"/>
        <v>1.8485606845300586E-4</v>
      </c>
    </row>
    <row r="872" spans="1:20" x14ac:dyDescent="0.2">
      <c r="A872" s="9">
        <v>45203</v>
      </c>
      <c r="B872" s="4" t="s">
        <v>221</v>
      </c>
      <c r="C872" s="8">
        <v>45200</v>
      </c>
      <c r="D872" s="4" t="s">
        <v>187</v>
      </c>
      <c r="E872" s="14">
        <f>IF(SUMIFS('Daily NSE Equity Futures'!$I:$I,'Daily NSE Equity Futures'!$A:$A,$A872)=0,"",SUMIFS('Daily NSE Equity Futures'!$I:$I,'Daily NSE Equity Futures'!$A:$A,$A872))</f>
        <v>1068.2473</v>
      </c>
      <c r="F872" s="6">
        <f>IF(SUMIFS('Daily BSE Equity Futures'!$I:$I,'Daily BSE Equity Futures'!$A:$A,$A872)=0,"",SUMIFS('Daily BSE Equity Futures'!$I:$I,'Daily BSE Equity Futures'!$A:$A,$A872))</f>
        <v>0.15229999999999999</v>
      </c>
      <c r="G872" s="6">
        <f t="shared" si="156"/>
        <v>1068.3996</v>
      </c>
      <c r="H872" s="15">
        <f t="shared" si="157"/>
        <v>0.99985745033974183</v>
      </c>
      <c r="I872" s="15">
        <f t="shared" si="158"/>
        <v>1.4254966025820302E-4</v>
      </c>
      <c r="J872" s="20">
        <f t="shared" si="159"/>
        <v>8.519214120810803E-2</v>
      </c>
      <c r="K872" s="15">
        <f t="shared" si="160"/>
        <v>83.611111111111114</v>
      </c>
      <c r="L872" s="15">
        <f t="shared" si="161"/>
        <v>8.5344872424184315E-2</v>
      </c>
      <c r="M872" s="15">
        <f t="shared" si="165"/>
        <v>0.29603442188772</v>
      </c>
      <c r="N872" s="15">
        <f t="shared" si="166"/>
        <v>0.26285240464344928</v>
      </c>
      <c r="O872" s="15">
        <f t="shared" si="167"/>
        <v>0.29602956753549026</v>
      </c>
      <c r="P872" s="18">
        <f>IF(SUMIFS('Daily NSE Equity Futures'!$J:$J,'Daily NSE Equity Futures'!$A:$A,$A872)=0,"",SUMIFS('Daily NSE Equity Futures'!$J:$J,'Daily NSE Equity Futures'!$A:$A,$A872))</f>
        <v>1326984</v>
      </c>
      <c r="Q872" s="7">
        <f>IF(SUMIFS('Daily BSE Equity Futures'!$J:$J,'Daily BSE Equity Futures'!$A:$A,$A872)=0,"",SUMIFS('Daily BSE Equity Futures'!$J:$J,'Daily BSE Equity Futures'!$A:$A,$A872))</f>
        <v>234</v>
      </c>
      <c r="R872" s="7">
        <f t="shared" si="162"/>
        <v>1327218</v>
      </c>
      <c r="S872" s="19">
        <f t="shared" si="163"/>
        <v>0.99982369136042459</v>
      </c>
      <c r="T872" s="19">
        <f t="shared" si="164"/>
        <v>1.7630863957541262E-4</v>
      </c>
    </row>
    <row r="873" spans="1:20" x14ac:dyDescent="0.2">
      <c r="A873" s="9">
        <v>45204</v>
      </c>
      <c r="B873" s="4" t="s">
        <v>224</v>
      </c>
      <c r="C873" s="8">
        <v>45200</v>
      </c>
      <c r="D873" s="4" t="s">
        <v>187</v>
      </c>
      <c r="E873" s="14">
        <f>IF(SUMIFS('Daily NSE Equity Futures'!$I:$I,'Daily NSE Equity Futures'!$A:$A,$A873)=0,"",SUMIFS('Daily NSE Equity Futures'!$I:$I,'Daily NSE Equity Futures'!$A:$A,$A873))</f>
        <v>853.5385</v>
      </c>
      <c r="F873" s="6">
        <f>IF(SUMIFS('Daily BSE Equity Futures'!$I:$I,'Daily BSE Equity Futures'!$A:$A,$A873)=0,"",SUMIFS('Daily BSE Equity Futures'!$I:$I,'Daily BSE Equity Futures'!$A:$A,$A873))</f>
        <v>0.30830000000000002</v>
      </c>
      <c r="G873" s="6">
        <f t="shared" si="156"/>
        <v>853.84680000000003</v>
      </c>
      <c r="H873" s="15">
        <f t="shared" si="157"/>
        <v>0.9996389282011714</v>
      </c>
      <c r="I873" s="15">
        <f t="shared" si="158"/>
        <v>3.6107179882854864E-4</v>
      </c>
      <c r="J873" s="20" t="str">
        <f t="shared" si="159"/>
        <v/>
      </c>
      <c r="K873" s="15" t="str">
        <f t="shared" si="160"/>
        <v/>
      </c>
      <c r="L873" s="15" t="str">
        <f t="shared" si="161"/>
        <v/>
      </c>
      <c r="M873" s="15">
        <f t="shared" si="165"/>
        <v>-0.2009916617622155</v>
      </c>
      <c r="N873" s="15">
        <f t="shared" si="166"/>
        <v>1.024294156270519</v>
      </c>
      <c r="O873" s="15">
        <f t="shared" si="167"/>
        <v>-0.20081699768513572</v>
      </c>
      <c r="P873" s="18">
        <f>IF(SUMIFS('Daily NSE Equity Futures'!$J:$J,'Daily NSE Equity Futures'!$A:$A,$A873)=0,"",SUMIFS('Daily NSE Equity Futures'!$J:$J,'Daily NSE Equity Futures'!$A:$A,$A873))</f>
        <v>1051082</v>
      </c>
      <c r="Q873" s="7">
        <f>IF(SUMIFS('Daily BSE Equity Futures'!$J:$J,'Daily BSE Equity Futures'!$A:$A,$A873)=0,"",SUMIFS('Daily BSE Equity Futures'!$J:$J,'Daily BSE Equity Futures'!$A:$A,$A873))</f>
        <v>470</v>
      </c>
      <c r="R873" s="7">
        <f t="shared" si="162"/>
        <v>1051552</v>
      </c>
      <c r="S873" s="19">
        <f t="shared" si="163"/>
        <v>0.99955304159946445</v>
      </c>
      <c r="T873" s="19">
        <f t="shared" si="164"/>
        <v>4.469584005355893E-4</v>
      </c>
    </row>
    <row r="874" spans="1:20" x14ac:dyDescent="0.2">
      <c r="A874" s="9">
        <v>45205</v>
      </c>
      <c r="B874" s="4" t="s">
        <v>222</v>
      </c>
      <c r="C874" s="8">
        <v>45200</v>
      </c>
      <c r="D874" s="4" t="s">
        <v>187</v>
      </c>
      <c r="E874" s="14">
        <f>IF(SUMIFS('Daily NSE Equity Futures'!$I:$I,'Daily NSE Equity Futures'!$A:$A,$A874)=0,"",SUMIFS('Daily NSE Equity Futures'!$I:$I,'Daily NSE Equity Futures'!$A:$A,$A874))</f>
        <v>761.7473</v>
      </c>
      <c r="F874" s="6">
        <f>IF(SUMIFS('Daily BSE Equity Futures'!$I:$I,'Daily BSE Equity Futures'!$A:$A,$A874)=0,"",SUMIFS('Daily BSE Equity Futures'!$I:$I,'Daily BSE Equity Futures'!$A:$A,$A874))</f>
        <v>1.1728000000000001</v>
      </c>
      <c r="G874" s="6">
        <f t="shared" si="156"/>
        <v>762.92010000000005</v>
      </c>
      <c r="H874" s="15">
        <f t="shared" si="157"/>
        <v>0.99846274858926898</v>
      </c>
      <c r="I874" s="15">
        <f t="shared" si="158"/>
        <v>1.5372514107309533E-3</v>
      </c>
      <c r="J874" s="20">
        <f t="shared" si="159"/>
        <v>-0.13488317843513631</v>
      </c>
      <c r="K874" s="15">
        <f t="shared" si="160"/>
        <v>1302.1111111111113</v>
      </c>
      <c r="L874" s="15">
        <f t="shared" si="161"/>
        <v>-0.13355211446214343</v>
      </c>
      <c r="M874" s="15">
        <f t="shared" si="165"/>
        <v>-0.10754195622107265</v>
      </c>
      <c r="N874" s="15">
        <f t="shared" si="166"/>
        <v>2.8040869283165746</v>
      </c>
      <c r="O874" s="15">
        <f t="shared" si="167"/>
        <v>-0.1064906491422114</v>
      </c>
      <c r="P874" s="18">
        <f>IF(SUMIFS('Daily NSE Equity Futures'!$J:$J,'Daily NSE Equity Futures'!$A:$A,$A874)=0,"",SUMIFS('Daily NSE Equity Futures'!$J:$J,'Daily NSE Equity Futures'!$A:$A,$A874))</f>
        <v>919321</v>
      </c>
      <c r="Q874" s="7">
        <f>IF(SUMIFS('Daily BSE Equity Futures'!$J:$J,'Daily BSE Equity Futures'!$A:$A,$A874)=0,"",SUMIFS('Daily BSE Equity Futures'!$J:$J,'Daily BSE Equity Futures'!$A:$A,$A874))</f>
        <v>1778</v>
      </c>
      <c r="R874" s="7">
        <f t="shared" si="162"/>
        <v>921099</v>
      </c>
      <c r="S874" s="19">
        <f t="shared" si="163"/>
        <v>0.99806969717695926</v>
      </c>
      <c r="T874" s="19">
        <f t="shared" si="164"/>
        <v>1.9303028230407372E-3</v>
      </c>
    </row>
    <row r="875" spans="1:20" x14ac:dyDescent="0.2">
      <c r="A875" s="9">
        <v>45208</v>
      </c>
      <c r="B875" s="4" t="s">
        <v>225</v>
      </c>
      <c r="C875" s="8">
        <v>45200</v>
      </c>
      <c r="D875" s="4" t="s">
        <v>187</v>
      </c>
      <c r="E875" s="14">
        <f>IF(SUMIFS('Daily NSE Equity Futures'!$I:$I,'Daily NSE Equity Futures'!$A:$A,$A875)=0,"",SUMIFS('Daily NSE Equity Futures'!$I:$I,'Daily NSE Equity Futures'!$A:$A,$A875))</f>
        <v>771.27120000000002</v>
      </c>
      <c r="F875" s="6">
        <f>IF(SUMIFS('Daily BSE Equity Futures'!$I:$I,'Daily BSE Equity Futures'!$A:$A,$A875)=0,"",SUMIFS('Daily BSE Equity Futures'!$I:$I,'Daily BSE Equity Futures'!$A:$A,$A875))</f>
        <v>7.4099999999999999E-2</v>
      </c>
      <c r="G875" s="6">
        <f t="shared" si="156"/>
        <v>771.34530000000007</v>
      </c>
      <c r="H875" s="15">
        <f t="shared" si="157"/>
        <v>0.99990393407466149</v>
      </c>
      <c r="I875" s="15">
        <f t="shared" si="158"/>
        <v>9.6065925338496253E-5</v>
      </c>
      <c r="J875" s="20" t="str">
        <f t="shared" si="159"/>
        <v/>
      </c>
      <c r="K875" s="15" t="str">
        <f t="shared" si="160"/>
        <v/>
      </c>
      <c r="L875" s="15" t="str">
        <f t="shared" si="161"/>
        <v/>
      </c>
      <c r="M875" s="15">
        <f t="shared" si="165"/>
        <v>1.2502702667932075E-2</v>
      </c>
      <c r="N875" s="15">
        <f t="shared" si="166"/>
        <v>-0.93681787175989084</v>
      </c>
      <c r="O875" s="15">
        <f t="shared" si="167"/>
        <v>1.1043358275656834E-2</v>
      </c>
      <c r="P875" s="18">
        <f>IF(SUMIFS('Daily NSE Equity Futures'!$J:$J,'Daily NSE Equity Futures'!$A:$A,$A875)=0,"",SUMIFS('Daily NSE Equity Futures'!$J:$J,'Daily NSE Equity Futures'!$A:$A,$A875))</f>
        <v>959066</v>
      </c>
      <c r="Q875" s="7">
        <f>IF(SUMIFS('Daily BSE Equity Futures'!$J:$J,'Daily BSE Equity Futures'!$A:$A,$A875)=0,"",SUMIFS('Daily BSE Equity Futures'!$J:$J,'Daily BSE Equity Futures'!$A:$A,$A875))</f>
        <v>113</v>
      </c>
      <c r="R875" s="7">
        <f t="shared" si="162"/>
        <v>959179</v>
      </c>
      <c r="S875" s="19">
        <f t="shared" si="163"/>
        <v>0.99988219091535568</v>
      </c>
      <c r="T875" s="19">
        <f t="shared" si="164"/>
        <v>1.1780908464426348E-4</v>
      </c>
    </row>
    <row r="876" spans="1:20" x14ac:dyDescent="0.2">
      <c r="A876" s="9">
        <v>45209</v>
      </c>
      <c r="B876" s="4" t="s">
        <v>223</v>
      </c>
      <c r="C876" s="8">
        <v>45200</v>
      </c>
      <c r="D876" s="4" t="s">
        <v>187</v>
      </c>
      <c r="E876" s="14">
        <f>IF(SUMIFS('Daily NSE Equity Futures'!$I:$I,'Daily NSE Equity Futures'!$A:$A,$A876)=0,"",SUMIFS('Daily NSE Equity Futures'!$I:$I,'Daily NSE Equity Futures'!$A:$A,$A876))</f>
        <v>825.15</v>
      </c>
      <c r="F876" s="6">
        <f>IF(SUMIFS('Daily BSE Equity Futures'!$I:$I,'Daily BSE Equity Futures'!$A:$A,$A876)=0,"",SUMIFS('Daily BSE Equity Futures'!$I:$I,'Daily BSE Equity Futures'!$A:$A,$A876))</f>
        <v>0.1346</v>
      </c>
      <c r="G876" s="6">
        <f t="shared" si="156"/>
        <v>825.28459999999995</v>
      </c>
      <c r="H876" s="15">
        <f t="shared" si="157"/>
        <v>0.99983690474776821</v>
      </c>
      <c r="I876" s="15">
        <f t="shared" si="158"/>
        <v>1.6309525223177557E-4</v>
      </c>
      <c r="J876" s="20">
        <f t="shared" si="159"/>
        <v>-0.13402463036919943</v>
      </c>
      <c r="K876" s="15">
        <f t="shared" si="160"/>
        <v>48.851851851851848</v>
      </c>
      <c r="L876" s="15">
        <f t="shared" si="161"/>
        <v>-0.13388582506811864</v>
      </c>
      <c r="M876" s="15">
        <f t="shared" si="165"/>
        <v>6.9857139745396868E-2</v>
      </c>
      <c r="N876" s="15">
        <f t="shared" si="166"/>
        <v>0.81646423751686914</v>
      </c>
      <c r="O876" s="15">
        <f t="shared" si="167"/>
        <v>6.9928863247108453E-2</v>
      </c>
      <c r="P876" s="18">
        <f>IF(SUMIFS('Daily NSE Equity Futures'!$J:$J,'Daily NSE Equity Futures'!$A:$A,$A876)=0,"",SUMIFS('Daily NSE Equity Futures'!$J:$J,'Daily NSE Equity Futures'!$A:$A,$A876))</f>
        <v>1004808</v>
      </c>
      <c r="Q876" s="7">
        <f>IF(SUMIFS('Daily BSE Equity Futures'!$J:$J,'Daily BSE Equity Futures'!$A:$A,$A876)=0,"",SUMIFS('Daily BSE Equity Futures'!$J:$J,'Daily BSE Equity Futures'!$A:$A,$A876))</f>
        <v>204</v>
      </c>
      <c r="R876" s="7">
        <f t="shared" si="162"/>
        <v>1005012</v>
      </c>
      <c r="S876" s="19">
        <f t="shared" si="163"/>
        <v>0.99979701734904658</v>
      </c>
      <c r="T876" s="19">
        <f t="shared" si="164"/>
        <v>2.0298265095342144E-4</v>
      </c>
    </row>
    <row r="877" spans="1:20" x14ac:dyDescent="0.2">
      <c r="A877" s="9">
        <v>45210</v>
      </c>
      <c r="B877" s="4" t="s">
        <v>221</v>
      </c>
      <c r="C877" s="8">
        <v>45200</v>
      </c>
      <c r="D877" s="4" t="s">
        <v>187</v>
      </c>
      <c r="E877" s="14">
        <f>IF(SUMIFS('Daily NSE Equity Futures'!$I:$I,'Daily NSE Equity Futures'!$A:$A,$A877)=0,"",SUMIFS('Daily NSE Equity Futures'!$I:$I,'Daily NSE Equity Futures'!$A:$A,$A877))</f>
        <v>852.01880000000006</v>
      </c>
      <c r="F877" s="6">
        <f>IF(SUMIFS('Daily BSE Equity Futures'!$I:$I,'Daily BSE Equity Futures'!$A:$A,$A877)=0,"",SUMIFS('Daily BSE Equity Futures'!$I:$I,'Daily BSE Equity Futures'!$A:$A,$A877))</f>
        <v>8.3400000000000002E-2</v>
      </c>
      <c r="G877" s="6">
        <f t="shared" si="156"/>
        <v>852.10220000000004</v>
      </c>
      <c r="H877" s="15">
        <f t="shared" si="157"/>
        <v>0.99990212441653126</v>
      </c>
      <c r="I877" s="15">
        <f t="shared" si="158"/>
        <v>9.7875583468743542E-5</v>
      </c>
      <c r="J877" s="20">
        <f t="shared" si="159"/>
        <v>-9.8554682825740203E-2</v>
      </c>
      <c r="K877" s="15">
        <f t="shared" si="160"/>
        <v>29.888888888888889</v>
      </c>
      <c r="L877" s="15">
        <f t="shared" si="161"/>
        <v>-9.8469020043327582E-2</v>
      </c>
      <c r="M877" s="15">
        <f t="shared" si="165"/>
        <v>3.2562322002060329E-2</v>
      </c>
      <c r="N877" s="15">
        <f t="shared" si="166"/>
        <v>-0.38038632986627041</v>
      </c>
      <c r="O877" s="15">
        <f t="shared" si="167"/>
        <v>3.2494972037525161E-2</v>
      </c>
      <c r="P877" s="18">
        <f>IF(SUMIFS('Daily NSE Equity Futures'!$J:$J,'Daily NSE Equity Futures'!$A:$A,$A877)=0,"",SUMIFS('Daily NSE Equity Futures'!$J:$J,'Daily NSE Equity Futures'!$A:$A,$A877))</f>
        <v>1059604</v>
      </c>
      <c r="Q877" s="7">
        <f>IF(SUMIFS('Daily BSE Equity Futures'!$J:$J,'Daily BSE Equity Futures'!$A:$A,$A877)=0,"",SUMIFS('Daily BSE Equity Futures'!$J:$J,'Daily BSE Equity Futures'!$A:$A,$A877))</f>
        <v>125</v>
      </c>
      <c r="R877" s="7">
        <f t="shared" si="162"/>
        <v>1059729</v>
      </c>
      <c r="S877" s="19">
        <f t="shared" si="163"/>
        <v>0.99988204531535896</v>
      </c>
      <c r="T877" s="19">
        <f t="shared" si="164"/>
        <v>1.1795468464107333E-4</v>
      </c>
    </row>
    <row r="878" spans="1:20" x14ac:dyDescent="0.2">
      <c r="A878" s="9">
        <v>45211</v>
      </c>
      <c r="B878" s="4" t="s">
        <v>224</v>
      </c>
      <c r="C878" s="8">
        <v>45200</v>
      </c>
      <c r="D878" s="4" t="s">
        <v>187</v>
      </c>
      <c r="E878" s="14">
        <f>IF(SUMIFS('Daily NSE Equity Futures'!$I:$I,'Daily NSE Equity Futures'!$A:$A,$A878)=0,"",SUMIFS('Daily NSE Equity Futures'!$I:$I,'Daily NSE Equity Futures'!$A:$A,$A878))</f>
        <v>775.25070000000005</v>
      </c>
      <c r="F878" s="6">
        <f>IF(SUMIFS('Daily BSE Equity Futures'!$I:$I,'Daily BSE Equity Futures'!$A:$A,$A878)=0,"",SUMIFS('Daily BSE Equity Futures'!$I:$I,'Daily BSE Equity Futures'!$A:$A,$A878))</f>
        <v>0.2157</v>
      </c>
      <c r="G878" s="6">
        <f t="shared" si="156"/>
        <v>775.46640000000002</v>
      </c>
      <c r="H878" s="15">
        <f t="shared" si="157"/>
        <v>0.99972184481493975</v>
      </c>
      <c r="I878" s="15">
        <f t="shared" si="158"/>
        <v>2.7815518506024245E-4</v>
      </c>
      <c r="J878" s="20">
        <f t="shared" si="159"/>
        <v>-0.13513878039785021</v>
      </c>
      <c r="K878" s="15">
        <f t="shared" si="160"/>
        <v>118.83333333333334</v>
      </c>
      <c r="L878" s="15">
        <f t="shared" si="161"/>
        <v>-0.13489988500530792</v>
      </c>
      <c r="M878" s="15">
        <f t="shared" si="165"/>
        <v>-9.010141560256657E-2</v>
      </c>
      <c r="N878" s="15">
        <f t="shared" si="166"/>
        <v>1.5863309352517985</v>
      </c>
      <c r="O878" s="15">
        <f t="shared" si="167"/>
        <v>-8.9937333808080777E-2</v>
      </c>
      <c r="P878" s="18">
        <f>IF(SUMIFS('Daily NSE Equity Futures'!$J:$J,'Daily NSE Equity Futures'!$A:$A,$A878)=0,"",SUMIFS('Daily NSE Equity Futures'!$J:$J,'Daily NSE Equity Futures'!$A:$A,$A878))</f>
        <v>962740</v>
      </c>
      <c r="Q878" s="7">
        <f>IF(SUMIFS('Daily BSE Equity Futures'!$J:$J,'Daily BSE Equity Futures'!$A:$A,$A878)=0,"",SUMIFS('Daily BSE Equity Futures'!$J:$J,'Daily BSE Equity Futures'!$A:$A,$A878))</f>
        <v>324</v>
      </c>
      <c r="R878" s="7">
        <f t="shared" si="162"/>
        <v>963064</v>
      </c>
      <c r="S878" s="19">
        <f t="shared" si="163"/>
        <v>0.9996635737604147</v>
      </c>
      <c r="T878" s="19">
        <f t="shared" si="164"/>
        <v>3.364262395853235E-4</v>
      </c>
    </row>
    <row r="879" spans="1:20" x14ac:dyDescent="0.2">
      <c r="A879" s="9">
        <v>45212</v>
      </c>
      <c r="B879" s="4" t="s">
        <v>222</v>
      </c>
      <c r="C879" s="8">
        <v>45200</v>
      </c>
      <c r="D879" s="4" t="s">
        <v>187</v>
      </c>
      <c r="E879" s="14">
        <f>IF(SUMIFS('Daily NSE Equity Futures'!$I:$I,'Daily NSE Equity Futures'!$A:$A,$A879)=0,"",SUMIFS('Daily NSE Equity Futures'!$I:$I,'Daily NSE Equity Futures'!$A:$A,$A879))</f>
        <v>982.05250000000001</v>
      </c>
      <c r="F879" s="6">
        <f>IF(SUMIFS('Daily BSE Equity Futures'!$I:$I,'Daily BSE Equity Futures'!$A:$A,$A879)=0,"",SUMIFS('Daily BSE Equity Futures'!$I:$I,'Daily BSE Equity Futures'!$A:$A,$A879))</f>
        <v>1.5216000000000001</v>
      </c>
      <c r="G879" s="6">
        <f t="shared" si="156"/>
        <v>983.57410000000004</v>
      </c>
      <c r="H879" s="15">
        <f t="shared" si="157"/>
        <v>0.9984529889512137</v>
      </c>
      <c r="I879" s="15">
        <f t="shared" si="158"/>
        <v>1.5470110487862583E-3</v>
      </c>
      <c r="J879" s="20">
        <f t="shared" si="159"/>
        <v>9.1340057273398223E-2</v>
      </c>
      <c r="K879" s="15">
        <f t="shared" si="160"/>
        <v>562.55555555555554</v>
      </c>
      <c r="L879" s="15">
        <f t="shared" si="161"/>
        <v>9.3027708693110833E-2</v>
      </c>
      <c r="M879" s="15">
        <f t="shared" si="165"/>
        <v>0.26675474140171684</v>
      </c>
      <c r="N879" s="15">
        <f t="shared" si="166"/>
        <v>6.054242002781641</v>
      </c>
      <c r="O879" s="15">
        <f t="shared" si="167"/>
        <v>0.26836456099193984</v>
      </c>
      <c r="P879" s="18">
        <f>IF(SUMIFS('Daily NSE Equity Futures'!$J:$J,'Daily NSE Equity Futures'!$A:$A,$A879)=0,"",SUMIFS('Daily NSE Equity Futures'!$J:$J,'Daily NSE Equity Futures'!$A:$A,$A879))</f>
        <v>1226116</v>
      </c>
      <c r="Q879" s="7">
        <f>IF(SUMIFS('Daily BSE Equity Futures'!$J:$J,'Daily BSE Equity Futures'!$A:$A,$A879)=0,"",SUMIFS('Daily BSE Equity Futures'!$J:$J,'Daily BSE Equity Futures'!$A:$A,$A879))</f>
        <v>2298</v>
      </c>
      <c r="R879" s="7">
        <f t="shared" si="162"/>
        <v>1228414</v>
      </c>
      <c r="S879" s="19">
        <f t="shared" si="163"/>
        <v>0.9981292951724744</v>
      </c>
      <c r="T879" s="19">
        <f t="shared" si="164"/>
        <v>1.8707048275255736E-3</v>
      </c>
    </row>
    <row r="880" spans="1:20" x14ac:dyDescent="0.2">
      <c r="A880" s="9">
        <v>45215</v>
      </c>
      <c r="B880" s="4" t="s">
        <v>225</v>
      </c>
      <c r="C880" s="8">
        <v>45200</v>
      </c>
      <c r="D880" s="4" t="s">
        <v>187</v>
      </c>
      <c r="E880" s="14">
        <f>IF(SUMIFS('Daily NSE Equity Futures'!$I:$I,'Daily NSE Equity Futures'!$A:$A,$A880)=0,"",SUMIFS('Daily NSE Equity Futures'!$I:$I,'Daily NSE Equity Futures'!$A:$A,$A880))</f>
        <v>738.95920000000001</v>
      </c>
      <c r="F880" s="6">
        <f>IF(SUMIFS('Daily BSE Equity Futures'!$I:$I,'Daily BSE Equity Futures'!$A:$A,$A880)=0,"",SUMIFS('Daily BSE Equity Futures'!$I:$I,'Daily BSE Equity Futures'!$A:$A,$A880))</f>
        <v>0.14910000000000001</v>
      </c>
      <c r="G880" s="6">
        <f t="shared" si="156"/>
        <v>739.10829999999999</v>
      </c>
      <c r="H880" s="15">
        <f t="shared" si="157"/>
        <v>0.99979827042938096</v>
      </c>
      <c r="I880" s="15">
        <f t="shared" si="158"/>
        <v>2.017295706190825E-4</v>
      </c>
      <c r="J880" s="20" t="str">
        <f t="shared" si="159"/>
        <v/>
      </c>
      <c r="K880" s="15" t="str">
        <f t="shared" si="160"/>
        <v/>
      </c>
      <c r="L880" s="15" t="str">
        <f t="shared" si="161"/>
        <v/>
      </c>
      <c r="M880" s="15">
        <f t="shared" si="165"/>
        <v>-0.24753595148935525</v>
      </c>
      <c r="N880" s="15">
        <f t="shared" si="166"/>
        <v>-0.90201104100946372</v>
      </c>
      <c r="O880" s="15">
        <f t="shared" si="167"/>
        <v>-0.24854843168399821</v>
      </c>
      <c r="P880" s="18">
        <f>IF(SUMIFS('Daily NSE Equity Futures'!$J:$J,'Daily NSE Equity Futures'!$A:$A,$A880)=0,"",SUMIFS('Daily NSE Equity Futures'!$J:$J,'Daily NSE Equity Futures'!$A:$A,$A880))</f>
        <v>897912</v>
      </c>
      <c r="Q880" s="7">
        <f>IF(SUMIFS('Daily BSE Equity Futures'!$J:$J,'Daily BSE Equity Futures'!$A:$A,$A880)=0,"",SUMIFS('Daily BSE Equity Futures'!$J:$J,'Daily BSE Equity Futures'!$A:$A,$A880))</f>
        <v>225</v>
      </c>
      <c r="R880" s="7">
        <f t="shared" si="162"/>
        <v>898137</v>
      </c>
      <c r="S880" s="19">
        <f t="shared" si="163"/>
        <v>0.99974948142655296</v>
      </c>
      <c r="T880" s="19">
        <f t="shared" si="164"/>
        <v>2.5051857344703538E-4</v>
      </c>
    </row>
    <row r="881" spans="1:20" x14ac:dyDescent="0.2">
      <c r="A881" s="9">
        <v>45216</v>
      </c>
      <c r="B881" s="4" t="s">
        <v>223</v>
      </c>
      <c r="C881" s="8">
        <v>45200</v>
      </c>
      <c r="D881" s="4" t="s">
        <v>187</v>
      </c>
      <c r="E881" s="14">
        <f>IF(SUMIFS('Daily NSE Equity Futures'!$I:$I,'Daily NSE Equity Futures'!$A:$A,$A881)=0,"",SUMIFS('Daily NSE Equity Futures'!$I:$I,'Daily NSE Equity Futures'!$A:$A,$A881))</f>
        <v>777.72569999999996</v>
      </c>
      <c r="F881" s="6">
        <f>IF(SUMIFS('Daily BSE Equity Futures'!$I:$I,'Daily BSE Equity Futures'!$A:$A,$A881)=0,"",SUMIFS('Daily BSE Equity Futures'!$I:$I,'Daily BSE Equity Futures'!$A:$A,$A881))</f>
        <v>0.32700000000000001</v>
      </c>
      <c r="G881" s="6">
        <f t="shared" si="156"/>
        <v>778.05269999999996</v>
      </c>
      <c r="H881" s="15">
        <f t="shared" si="157"/>
        <v>0.99957971998554851</v>
      </c>
      <c r="I881" s="15">
        <f t="shared" si="158"/>
        <v>4.2028001445146328E-4</v>
      </c>
      <c r="J881" s="20">
        <f t="shared" si="159"/>
        <v>-0.19254133014582675</v>
      </c>
      <c r="K881" s="15">
        <f t="shared" si="160"/>
        <v>362.33333333333337</v>
      </c>
      <c r="L881" s="15">
        <f t="shared" si="161"/>
        <v>-0.19220258353077002</v>
      </c>
      <c r="M881" s="15">
        <f t="shared" si="165"/>
        <v>5.2460947776277633E-2</v>
      </c>
      <c r="N881" s="15">
        <f t="shared" si="166"/>
        <v>1.1931589537223339</v>
      </c>
      <c r="O881" s="15">
        <f t="shared" si="167"/>
        <v>5.2691060295223302E-2</v>
      </c>
      <c r="P881" s="18">
        <f>IF(SUMIFS('Daily NSE Equity Futures'!$J:$J,'Daily NSE Equity Futures'!$A:$A,$A881)=0,"",SUMIFS('Daily NSE Equity Futures'!$J:$J,'Daily NSE Equity Futures'!$A:$A,$A881))</f>
        <v>945521</v>
      </c>
      <c r="Q881" s="7">
        <f>IF(SUMIFS('Daily BSE Equity Futures'!$J:$J,'Daily BSE Equity Futures'!$A:$A,$A881)=0,"",SUMIFS('Daily BSE Equity Futures'!$J:$J,'Daily BSE Equity Futures'!$A:$A,$A881))</f>
        <v>493</v>
      </c>
      <c r="R881" s="7">
        <f t="shared" si="162"/>
        <v>946014</v>
      </c>
      <c r="S881" s="19">
        <f t="shared" si="163"/>
        <v>0.99947886606329295</v>
      </c>
      <c r="T881" s="19">
        <f t="shared" si="164"/>
        <v>5.2113393670706772E-4</v>
      </c>
    </row>
    <row r="882" spans="1:20" x14ac:dyDescent="0.2">
      <c r="A882" s="9">
        <v>45217</v>
      </c>
      <c r="B882" s="4" t="s">
        <v>221</v>
      </c>
      <c r="C882" s="8">
        <v>45200</v>
      </c>
      <c r="D882" s="4" t="s">
        <v>187</v>
      </c>
      <c r="E882" s="14">
        <f>IF(SUMIFS('Daily NSE Equity Futures'!$I:$I,'Daily NSE Equity Futures'!$A:$A,$A882)=0,"",SUMIFS('Daily NSE Equity Futures'!$I:$I,'Daily NSE Equity Futures'!$A:$A,$A882))</f>
        <v>1043.1262999999999</v>
      </c>
      <c r="F882" s="6">
        <f>IF(SUMIFS('Daily BSE Equity Futures'!$I:$I,'Daily BSE Equity Futures'!$A:$A,$A882)=0,"",SUMIFS('Daily BSE Equity Futures'!$I:$I,'Daily BSE Equity Futures'!$A:$A,$A882))</f>
        <v>0.14019999999999999</v>
      </c>
      <c r="G882" s="6">
        <f t="shared" si="156"/>
        <v>1043.2665</v>
      </c>
      <c r="H882" s="15">
        <f t="shared" si="157"/>
        <v>0.99986561439478783</v>
      </c>
      <c r="I882" s="15">
        <f t="shared" si="158"/>
        <v>1.3438560521209105E-4</v>
      </c>
      <c r="J882" s="20">
        <f t="shared" si="159"/>
        <v>-6.8723375230648309E-2</v>
      </c>
      <c r="K882" s="15">
        <f t="shared" si="160"/>
        <v>154.77777777777777</v>
      </c>
      <c r="L882" s="15">
        <f t="shared" si="161"/>
        <v>-6.8598956615208651E-2</v>
      </c>
      <c r="M882" s="15">
        <f t="shared" si="165"/>
        <v>0.34125219212892155</v>
      </c>
      <c r="N882" s="15">
        <f t="shared" si="166"/>
        <v>-0.57125382262996949</v>
      </c>
      <c r="O882" s="15">
        <f t="shared" si="167"/>
        <v>0.34086868408785165</v>
      </c>
      <c r="P882" s="18">
        <f>IF(SUMIFS('Daily NSE Equity Futures'!$J:$J,'Daily NSE Equity Futures'!$A:$A,$A882)=0,"",SUMIFS('Daily NSE Equity Futures'!$J:$J,'Daily NSE Equity Futures'!$A:$A,$A882))</f>
        <v>1284708</v>
      </c>
      <c r="Q882" s="7">
        <f>IF(SUMIFS('Daily BSE Equity Futures'!$J:$J,'Daily BSE Equity Futures'!$A:$A,$A882)=0,"",SUMIFS('Daily BSE Equity Futures'!$J:$J,'Daily BSE Equity Futures'!$A:$A,$A882))</f>
        <v>212</v>
      </c>
      <c r="R882" s="7">
        <f t="shared" si="162"/>
        <v>1284920</v>
      </c>
      <c r="S882" s="19">
        <f t="shared" si="163"/>
        <v>0.99983500918345114</v>
      </c>
      <c r="T882" s="19">
        <f t="shared" si="164"/>
        <v>1.6499081654889019E-4</v>
      </c>
    </row>
    <row r="883" spans="1:20" x14ac:dyDescent="0.2">
      <c r="A883" s="9">
        <v>45218</v>
      </c>
      <c r="B883" s="4" t="s">
        <v>224</v>
      </c>
      <c r="C883" s="8">
        <v>45200</v>
      </c>
      <c r="D883" s="4" t="s">
        <v>187</v>
      </c>
      <c r="E883" s="14">
        <f>IF(SUMIFS('Daily NSE Equity Futures'!$I:$I,'Daily NSE Equity Futures'!$A:$A,$A883)=0,"",SUMIFS('Daily NSE Equity Futures'!$I:$I,'Daily NSE Equity Futures'!$A:$A,$A883))</f>
        <v>1257.3987</v>
      </c>
      <c r="F883" s="6">
        <f>IF(SUMIFS('Daily BSE Equity Futures'!$I:$I,'Daily BSE Equity Futures'!$A:$A,$A883)=0,"",SUMIFS('Daily BSE Equity Futures'!$I:$I,'Daily BSE Equity Futures'!$A:$A,$A883))</f>
        <v>0.64480000000000004</v>
      </c>
      <c r="G883" s="6">
        <f t="shared" si="156"/>
        <v>1258.0435</v>
      </c>
      <c r="H883" s="15">
        <f t="shared" si="157"/>
        <v>0.99948745810458861</v>
      </c>
      <c r="I883" s="15">
        <f t="shared" si="158"/>
        <v>5.1254189541140673E-4</v>
      </c>
      <c r="J883" s="20">
        <f t="shared" si="159"/>
        <v>6.642926561757756E-2</v>
      </c>
      <c r="K883" s="15">
        <f t="shared" si="160"/>
        <v>357.22222222222223</v>
      </c>
      <c r="L883" s="15">
        <f t="shared" si="161"/>
        <v>6.6974506721579896E-2</v>
      </c>
      <c r="M883" s="15">
        <f t="shared" si="165"/>
        <v>0.20541366850783072</v>
      </c>
      <c r="N883" s="15">
        <f t="shared" si="166"/>
        <v>3.5991440798858783</v>
      </c>
      <c r="O883" s="15">
        <f t="shared" si="167"/>
        <v>0.20586973702309042</v>
      </c>
      <c r="P883" s="18">
        <f>IF(SUMIFS('Daily NSE Equity Futures'!$J:$J,'Daily NSE Equity Futures'!$A:$A,$A883)=0,"",SUMIFS('Daily NSE Equity Futures'!$J:$J,'Daily NSE Equity Futures'!$A:$A,$A883))</f>
        <v>1537700</v>
      </c>
      <c r="Q883" s="7">
        <f>IF(SUMIFS('Daily BSE Equity Futures'!$J:$J,'Daily BSE Equity Futures'!$A:$A,$A883)=0,"",SUMIFS('Daily BSE Equity Futures'!$J:$J,'Daily BSE Equity Futures'!$A:$A,$A883))</f>
        <v>982</v>
      </c>
      <c r="R883" s="7">
        <f t="shared" si="162"/>
        <v>1538682</v>
      </c>
      <c r="S883" s="19">
        <f t="shared" si="163"/>
        <v>0.99936179145528448</v>
      </c>
      <c r="T883" s="19">
        <f t="shared" si="164"/>
        <v>6.3820854471554223E-4</v>
      </c>
    </row>
    <row r="884" spans="1:20" x14ac:dyDescent="0.2">
      <c r="A884" s="9">
        <v>45219</v>
      </c>
      <c r="B884" s="4" t="s">
        <v>222</v>
      </c>
      <c r="C884" s="8">
        <v>45200</v>
      </c>
      <c r="D884" s="4" t="s">
        <v>187</v>
      </c>
      <c r="E884" s="14">
        <f>IF(SUMIFS('Daily NSE Equity Futures'!$I:$I,'Daily NSE Equity Futures'!$A:$A,$A884)=0,"",SUMIFS('Daily NSE Equity Futures'!$I:$I,'Daily NSE Equity Futures'!$A:$A,$A884))</f>
        <v>1665.5626</v>
      </c>
      <c r="F884" s="6">
        <f>IF(SUMIFS('Daily BSE Equity Futures'!$I:$I,'Daily BSE Equity Futures'!$A:$A,$A884)=0,"",SUMIFS('Daily BSE Equity Futures'!$I:$I,'Daily BSE Equity Futures'!$A:$A,$A884))</f>
        <v>2.2115999999999998</v>
      </c>
      <c r="G884" s="6">
        <f t="shared" si="156"/>
        <v>1667.7742000000001</v>
      </c>
      <c r="H884" s="15">
        <f t="shared" si="157"/>
        <v>0.99867392120588017</v>
      </c>
      <c r="I884" s="15">
        <f t="shared" si="158"/>
        <v>1.3260787941197314E-3</v>
      </c>
      <c r="J884" s="20">
        <f t="shared" si="159"/>
        <v>6.9300542724270997E-3</v>
      </c>
      <c r="K884" s="15">
        <f t="shared" si="160"/>
        <v>1227.6666666666665</v>
      </c>
      <c r="L884" s="15">
        <f t="shared" si="161"/>
        <v>8.2659986866584489E-3</v>
      </c>
      <c r="M884" s="15">
        <f t="shared" si="165"/>
        <v>0.32460976776896633</v>
      </c>
      <c r="N884" s="15">
        <f t="shared" si="166"/>
        <v>2.429900744416873</v>
      </c>
      <c r="O884" s="15">
        <f t="shared" si="167"/>
        <v>0.32568881759653001</v>
      </c>
      <c r="P884" s="18">
        <f>IF(SUMIFS('Daily NSE Equity Futures'!$J:$J,'Daily NSE Equity Futures'!$A:$A,$A884)=0,"",SUMIFS('Daily NSE Equity Futures'!$J:$J,'Daily NSE Equity Futures'!$A:$A,$A884))</f>
        <v>2112543</v>
      </c>
      <c r="Q884" s="7">
        <f>IF(SUMIFS('Daily BSE Equity Futures'!$J:$J,'Daily BSE Equity Futures'!$A:$A,$A884)=0,"",SUMIFS('Daily BSE Equity Futures'!$J:$J,'Daily BSE Equity Futures'!$A:$A,$A884))</f>
        <v>3381</v>
      </c>
      <c r="R884" s="7">
        <f t="shared" si="162"/>
        <v>2115924</v>
      </c>
      <c r="S884" s="19">
        <f t="shared" si="163"/>
        <v>0.9984021165221435</v>
      </c>
      <c r="T884" s="19">
        <f t="shared" si="164"/>
        <v>1.5978834778564825E-3</v>
      </c>
    </row>
    <row r="885" spans="1:20" x14ac:dyDescent="0.2">
      <c r="A885" s="9">
        <v>45222</v>
      </c>
      <c r="B885" s="4" t="s">
        <v>225</v>
      </c>
      <c r="C885" s="8">
        <v>45200</v>
      </c>
      <c r="D885" s="4" t="s">
        <v>187</v>
      </c>
      <c r="E885" s="14">
        <f>IF(SUMIFS('Daily NSE Equity Futures'!$I:$I,'Daily NSE Equity Futures'!$A:$A,$A885)=0,"",SUMIFS('Daily NSE Equity Futures'!$I:$I,'Daily NSE Equity Futures'!$A:$A,$A885))</f>
        <v>2684.7053000000001</v>
      </c>
      <c r="F885" s="6">
        <f>IF(SUMIFS('Daily BSE Equity Futures'!$I:$I,'Daily BSE Equity Futures'!$A:$A,$A885)=0,"",SUMIFS('Daily BSE Equity Futures'!$I:$I,'Daily BSE Equity Futures'!$A:$A,$A885))</f>
        <v>0.32590000000000002</v>
      </c>
      <c r="G885" s="6">
        <f t="shared" si="156"/>
        <v>2685.0311999999999</v>
      </c>
      <c r="H885" s="15">
        <f t="shared" si="157"/>
        <v>0.99987862338433919</v>
      </c>
      <c r="I885" s="15">
        <f t="shared" si="158"/>
        <v>1.213766156609279E-4</v>
      </c>
      <c r="J885" s="20" t="str">
        <f t="shared" si="159"/>
        <v/>
      </c>
      <c r="K885" s="15" t="str">
        <f t="shared" si="160"/>
        <v/>
      </c>
      <c r="L885" s="15" t="str">
        <f t="shared" si="161"/>
        <v/>
      </c>
      <c r="M885" s="15">
        <f t="shared" si="165"/>
        <v>0.61189096104823681</v>
      </c>
      <c r="N885" s="15">
        <f t="shared" si="166"/>
        <v>-0.85264062217399172</v>
      </c>
      <c r="O885" s="15">
        <f t="shared" si="167"/>
        <v>0.60994887677240706</v>
      </c>
      <c r="P885" s="18">
        <f>IF(SUMIFS('Daily NSE Equity Futures'!$J:$J,'Daily NSE Equity Futures'!$A:$A,$A885)=0,"",SUMIFS('Daily NSE Equity Futures'!$J:$J,'Daily NSE Equity Futures'!$A:$A,$A885))</f>
        <v>3398916</v>
      </c>
      <c r="Q885" s="7">
        <f>IF(SUMIFS('Daily BSE Equity Futures'!$J:$J,'Daily BSE Equity Futures'!$A:$A,$A885)=0,"",SUMIFS('Daily BSE Equity Futures'!$J:$J,'Daily BSE Equity Futures'!$A:$A,$A885))</f>
        <v>501</v>
      </c>
      <c r="R885" s="7">
        <f t="shared" si="162"/>
        <v>3399417</v>
      </c>
      <c r="S885" s="19">
        <f t="shared" si="163"/>
        <v>0.99985262178779477</v>
      </c>
      <c r="T885" s="19">
        <f t="shared" si="164"/>
        <v>1.4737821220521047E-4</v>
      </c>
    </row>
    <row r="886" spans="1:20" x14ac:dyDescent="0.2">
      <c r="A886" s="9">
        <v>45224</v>
      </c>
      <c r="B886" s="4" t="s">
        <v>221</v>
      </c>
      <c r="C886" s="8">
        <v>45200</v>
      </c>
      <c r="D886" s="4" t="s">
        <v>187</v>
      </c>
      <c r="E886" s="14">
        <f>IF(SUMIFS('Daily NSE Equity Futures'!$I:$I,'Daily NSE Equity Futures'!$A:$A,$A886)=0,"",SUMIFS('Daily NSE Equity Futures'!$I:$I,'Daily NSE Equity Futures'!$A:$A,$A886))</f>
        <v>2631.8490000000002</v>
      </c>
      <c r="F886" s="6">
        <f>IF(SUMIFS('Daily BSE Equity Futures'!$I:$I,'Daily BSE Equity Futures'!$A:$A,$A886)=0,"",SUMIFS('Daily BSE Equity Futures'!$I:$I,'Daily BSE Equity Futures'!$A:$A,$A886))</f>
        <v>0.83120000000000005</v>
      </c>
      <c r="G886" s="6">
        <f t="shared" si="156"/>
        <v>2632.6802000000002</v>
      </c>
      <c r="H886" s="15">
        <f t="shared" si="157"/>
        <v>0.99968427612286515</v>
      </c>
      <c r="I886" s="15">
        <f t="shared" si="158"/>
        <v>3.1572387713479211E-4</v>
      </c>
      <c r="J886" s="20">
        <f t="shared" si="159"/>
        <v>0.19135779668004949</v>
      </c>
      <c r="K886" s="15">
        <f t="shared" si="160"/>
        <v>922.55555555555566</v>
      </c>
      <c r="L886" s="15">
        <f t="shared" si="161"/>
        <v>0.19173357006128366</v>
      </c>
      <c r="M886" s="15">
        <f t="shared" si="165"/>
        <v>-1.968793371846056E-2</v>
      </c>
      <c r="N886" s="15">
        <f t="shared" si="166"/>
        <v>1.5504756060141149</v>
      </c>
      <c r="O886" s="15">
        <f t="shared" si="167"/>
        <v>-1.9497352581973604E-2</v>
      </c>
      <c r="P886" s="18">
        <f>IF(SUMIFS('Daily NSE Equity Futures'!$J:$J,'Daily NSE Equity Futures'!$A:$A,$A886)=0,"",SUMIFS('Daily NSE Equity Futures'!$J:$J,'Daily NSE Equity Futures'!$A:$A,$A886))</f>
        <v>3367618</v>
      </c>
      <c r="Q886" s="7">
        <f>IF(SUMIFS('Daily BSE Equity Futures'!$J:$J,'Daily BSE Equity Futures'!$A:$A,$A886)=0,"",SUMIFS('Daily BSE Equity Futures'!$J:$J,'Daily BSE Equity Futures'!$A:$A,$A886))</f>
        <v>1294</v>
      </c>
      <c r="R886" s="7">
        <f t="shared" si="162"/>
        <v>3368912</v>
      </c>
      <c r="S886" s="19">
        <f t="shared" si="163"/>
        <v>0.999615899732614</v>
      </c>
      <c r="T886" s="19">
        <f t="shared" si="164"/>
        <v>3.8410026738602848E-4</v>
      </c>
    </row>
    <row r="887" spans="1:20" x14ac:dyDescent="0.2">
      <c r="A887" s="9">
        <v>45225</v>
      </c>
      <c r="B887" s="4" t="s">
        <v>224</v>
      </c>
      <c r="C887" s="8">
        <v>45200</v>
      </c>
      <c r="D887" s="4" t="s">
        <v>187</v>
      </c>
      <c r="E887" s="14">
        <f>IF(SUMIFS('Daily NSE Equity Futures'!$I:$I,'Daily NSE Equity Futures'!$A:$A,$A887)=0,"",SUMIFS('Daily NSE Equity Futures'!$I:$I,'Daily NSE Equity Futures'!$A:$A,$A887))</f>
        <v>2893.2249999999999</v>
      </c>
      <c r="F887" s="6">
        <f>IF(SUMIFS('Daily BSE Equity Futures'!$I:$I,'Daily BSE Equity Futures'!$A:$A,$A887)=0,"",SUMIFS('Daily BSE Equity Futures'!$I:$I,'Daily BSE Equity Futures'!$A:$A,$A887))</f>
        <v>0.95009999999999994</v>
      </c>
      <c r="G887" s="6">
        <f t="shared" si="156"/>
        <v>2894.1750999999999</v>
      </c>
      <c r="H887" s="15">
        <f t="shared" si="157"/>
        <v>0.99967171993152726</v>
      </c>
      <c r="I887" s="15">
        <f t="shared" si="158"/>
        <v>3.2828006847270572E-4</v>
      </c>
      <c r="J887" s="20" t="str">
        <f t="shared" si="159"/>
        <v/>
      </c>
      <c r="K887" s="15" t="str">
        <f t="shared" si="160"/>
        <v/>
      </c>
      <c r="L887" s="15" t="str">
        <f t="shared" si="161"/>
        <v/>
      </c>
      <c r="M887" s="15">
        <f t="shared" si="165"/>
        <v>9.9312688531902671E-2</v>
      </c>
      <c r="N887" s="15">
        <f t="shared" si="166"/>
        <v>0.14304619826756482</v>
      </c>
      <c r="O887" s="15">
        <f t="shared" si="167"/>
        <v>9.9326496245157214E-2</v>
      </c>
      <c r="P887" s="18">
        <f>IF(SUMIFS('Daily NSE Equity Futures'!$J:$J,'Daily NSE Equity Futures'!$A:$A,$A887)=0,"",SUMIFS('Daily NSE Equity Futures'!$J:$J,'Daily NSE Equity Futures'!$A:$A,$A887))</f>
        <v>3787816</v>
      </c>
      <c r="Q887" s="7">
        <f>IF(SUMIFS('Daily BSE Equity Futures'!$J:$J,'Daily BSE Equity Futures'!$A:$A,$A887)=0,"",SUMIFS('Daily BSE Equity Futures'!$J:$J,'Daily BSE Equity Futures'!$A:$A,$A887))</f>
        <v>1500</v>
      </c>
      <c r="R887" s="7">
        <f t="shared" si="162"/>
        <v>3789316</v>
      </c>
      <c r="S887" s="19">
        <f t="shared" si="163"/>
        <v>0.99960415019491644</v>
      </c>
      <c r="T887" s="19">
        <f t="shared" si="164"/>
        <v>3.9584980508355596E-4</v>
      </c>
    </row>
    <row r="888" spans="1:20" x14ac:dyDescent="0.2">
      <c r="A888" s="9">
        <v>45226</v>
      </c>
      <c r="B888" s="4" t="s">
        <v>222</v>
      </c>
      <c r="C888" s="8">
        <v>45200</v>
      </c>
      <c r="D888" s="4" t="s">
        <v>187</v>
      </c>
      <c r="E888" s="14">
        <f>IF(SUMIFS('Daily NSE Equity Futures'!$I:$I,'Daily NSE Equity Futures'!$A:$A,$A888)=0,"",SUMIFS('Daily NSE Equity Futures'!$I:$I,'Daily NSE Equity Futures'!$A:$A,$A888))</f>
        <v>842.04750000000001</v>
      </c>
      <c r="F888" s="6">
        <f>IF(SUMIFS('Daily BSE Equity Futures'!$I:$I,'Daily BSE Equity Futures'!$A:$A,$A888)=0,"",SUMIFS('Daily BSE Equity Futures'!$I:$I,'Daily BSE Equity Futures'!$A:$A,$A888))</f>
        <v>1.4759</v>
      </c>
      <c r="G888" s="6">
        <f t="shared" si="156"/>
        <v>843.52340000000004</v>
      </c>
      <c r="H888" s="15">
        <f t="shared" si="157"/>
        <v>0.99825031528467378</v>
      </c>
      <c r="I888" s="15">
        <f t="shared" si="158"/>
        <v>1.7496847153262137E-3</v>
      </c>
      <c r="J888" s="20">
        <f t="shared" si="159"/>
        <v>-0.62229624558976127</v>
      </c>
      <c r="K888" s="15">
        <f t="shared" si="160"/>
        <v>775.78947368421052</v>
      </c>
      <c r="L888" s="15">
        <f t="shared" si="161"/>
        <v>-0.62163454723897327</v>
      </c>
      <c r="M888" s="15">
        <f t="shared" si="165"/>
        <v>-0.70895886078683823</v>
      </c>
      <c r="N888" s="15">
        <f t="shared" si="166"/>
        <v>0.55341542995474158</v>
      </c>
      <c r="O888" s="15">
        <f t="shared" si="167"/>
        <v>-0.70854444846823539</v>
      </c>
      <c r="P888" s="18">
        <f>IF(SUMIFS('Daily NSE Equity Futures'!$J:$J,'Daily NSE Equity Futures'!$A:$A,$A888)=0,"",SUMIFS('Daily NSE Equity Futures'!$J:$J,'Daily NSE Equity Futures'!$A:$A,$A888))</f>
        <v>1179232</v>
      </c>
      <c r="Q888" s="7">
        <f>IF(SUMIFS('Daily BSE Equity Futures'!$J:$J,'Daily BSE Equity Futures'!$A:$A,$A888)=0,"",SUMIFS('Daily BSE Equity Futures'!$J:$J,'Daily BSE Equity Futures'!$A:$A,$A888))</f>
        <v>2290</v>
      </c>
      <c r="R888" s="7">
        <f t="shared" si="162"/>
        <v>1181522</v>
      </c>
      <c r="S888" s="19">
        <f t="shared" si="163"/>
        <v>0.99806182195507154</v>
      </c>
      <c r="T888" s="19">
        <f t="shared" si="164"/>
        <v>1.9381780449284904E-3</v>
      </c>
    </row>
    <row r="889" spans="1:20" x14ac:dyDescent="0.2">
      <c r="A889" s="9">
        <v>45229</v>
      </c>
      <c r="B889" s="4" t="s">
        <v>225</v>
      </c>
      <c r="C889" s="8">
        <v>45200</v>
      </c>
      <c r="D889" s="4" t="s">
        <v>187</v>
      </c>
      <c r="E889" s="14">
        <f>IF(SUMIFS('Daily NSE Equity Futures'!$I:$I,'Daily NSE Equity Futures'!$A:$A,$A889)=0,"",SUMIFS('Daily NSE Equity Futures'!$I:$I,'Daily NSE Equity Futures'!$A:$A,$A889))</f>
        <v>891.41269999999997</v>
      </c>
      <c r="F889" s="6">
        <f>IF(SUMIFS('Daily BSE Equity Futures'!$I:$I,'Daily BSE Equity Futures'!$A:$A,$A889)=0,"",SUMIFS('Daily BSE Equity Futures'!$I:$I,'Daily BSE Equity Futures'!$A:$A,$A889))</f>
        <v>0.34560000000000002</v>
      </c>
      <c r="G889" s="6">
        <f t="shared" si="156"/>
        <v>891.75829999999996</v>
      </c>
      <c r="H889" s="15">
        <f t="shared" si="157"/>
        <v>0.99961245104194718</v>
      </c>
      <c r="I889" s="15">
        <f t="shared" si="158"/>
        <v>3.8754895805287156E-4</v>
      </c>
      <c r="J889" s="20" t="str">
        <f t="shared" si="159"/>
        <v/>
      </c>
      <c r="K889" s="15" t="str">
        <f t="shared" si="160"/>
        <v/>
      </c>
      <c r="L889" s="15" t="str">
        <f t="shared" si="161"/>
        <v/>
      </c>
      <c r="M889" s="15">
        <f t="shared" si="165"/>
        <v>5.8625196322060091E-2</v>
      </c>
      <c r="N889" s="15">
        <f t="shared" si="166"/>
        <v>-0.76583779388847484</v>
      </c>
      <c r="O889" s="15">
        <f t="shared" si="167"/>
        <v>5.7182646029736661E-2</v>
      </c>
      <c r="P889" s="18">
        <f>IF(SUMIFS('Daily NSE Equity Futures'!$J:$J,'Daily NSE Equity Futures'!$A:$A,$A889)=0,"",SUMIFS('Daily NSE Equity Futures'!$J:$J,'Daily NSE Equity Futures'!$A:$A,$A889))</f>
        <v>1261477</v>
      </c>
      <c r="Q889" s="7">
        <f>IF(SUMIFS('Daily BSE Equity Futures'!$J:$J,'Daily BSE Equity Futures'!$A:$A,$A889)=0,"",SUMIFS('Daily BSE Equity Futures'!$J:$J,'Daily BSE Equity Futures'!$A:$A,$A889))</f>
        <v>507</v>
      </c>
      <c r="R889" s="7">
        <f t="shared" si="162"/>
        <v>1261984</v>
      </c>
      <c r="S889" s="19">
        <f t="shared" si="163"/>
        <v>0.99959825164185911</v>
      </c>
      <c r="T889" s="19">
        <f t="shared" si="164"/>
        <v>4.0174835814083221E-4</v>
      </c>
    </row>
    <row r="890" spans="1:20" x14ac:dyDescent="0.2">
      <c r="A890" s="9">
        <v>45230</v>
      </c>
      <c r="B890" s="4" t="s">
        <v>223</v>
      </c>
      <c r="C890" s="8">
        <v>45200</v>
      </c>
      <c r="D890" s="4" t="s">
        <v>187</v>
      </c>
      <c r="E890" s="14">
        <f>IF(SUMIFS('Daily NSE Equity Futures'!$I:$I,'Daily NSE Equity Futures'!$A:$A,$A890)=0,"",SUMIFS('Daily NSE Equity Futures'!$I:$I,'Daily NSE Equity Futures'!$A:$A,$A890))</f>
        <v>843.29579999999999</v>
      </c>
      <c r="F890" s="6">
        <f>IF(SUMIFS('Daily BSE Equity Futures'!$I:$I,'Daily BSE Equity Futures'!$A:$A,$A890)=0,"",SUMIFS('Daily BSE Equity Futures'!$I:$I,'Daily BSE Equity Futures'!$A:$A,$A890))</f>
        <v>0.18010000000000001</v>
      </c>
      <c r="G890" s="6">
        <f t="shared" si="156"/>
        <v>843.47590000000002</v>
      </c>
      <c r="H890" s="15">
        <f t="shared" si="157"/>
        <v>0.999786478783804</v>
      </c>
      <c r="I890" s="15">
        <f t="shared" si="158"/>
        <v>2.1352121619598141E-4</v>
      </c>
      <c r="J890" s="20">
        <f t="shared" si="159"/>
        <v>6.0467042927059511E-2</v>
      </c>
      <c r="K890" s="15">
        <f t="shared" si="160"/>
        <v>199.11111111111111</v>
      </c>
      <c r="L890" s="15">
        <f t="shared" si="161"/>
        <v>6.0692323034116979E-2</v>
      </c>
      <c r="M890" s="15">
        <f t="shared" si="165"/>
        <v>-5.3978252721775255E-2</v>
      </c>
      <c r="N890" s="15">
        <f t="shared" si="166"/>
        <v>-0.47887731481481477</v>
      </c>
      <c r="O890" s="15">
        <f t="shared" si="167"/>
        <v>-5.414292191056691E-2</v>
      </c>
      <c r="P890" s="18">
        <f>IF(SUMIFS('Daily NSE Equity Futures'!$J:$J,'Daily NSE Equity Futures'!$A:$A,$A890)=0,"",SUMIFS('Daily NSE Equity Futures'!$J:$J,'Daily NSE Equity Futures'!$A:$A,$A890))</f>
        <v>1158394</v>
      </c>
      <c r="Q890" s="7">
        <f>IF(SUMIFS('Daily BSE Equity Futures'!$J:$J,'Daily BSE Equity Futures'!$A:$A,$A890)=0,"",SUMIFS('Daily BSE Equity Futures'!$J:$J,'Daily BSE Equity Futures'!$A:$A,$A890))</f>
        <v>281</v>
      </c>
      <c r="R890" s="7">
        <f t="shared" si="162"/>
        <v>1158675</v>
      </c>
      <c r="S890" s="19">
        <f t="shared" si="163"/>
        <v>0.99975748160614497</v>
      </c>
      <c r="T890" s="19">
        <f t="shared" si="164"/>
        <v>2.4251839385504994E-4</v>
      </c>
    </row>
    <row r="891" spans="1:20" x14ac:dyDescent="0.2">
      <c r="A891" s="9">
        <v>45231</v>
      </c>
      <c r="B891" s="4" t="s">
        <v>221</v>
      </c>
      <c r="C891" s="8">
        <v>45231</v>
      </c>
      <c r="D891" s="4" t="s">
        <v>187</v>
      </c>
      <c r="E891" s="14">
        <f>IF(SUMIFS('Daily NSE Equity Futures'!$I:$I,'Daily NSE Equity Futures'!$A:$A,$A891)=0,"",SUMIFS('Daily NSE Equity Futures'!$I:$I,'Daily NSE Equity Futures'!$A:$A,$A891))</f>
        <v>792.28980000000001</v>
      </c>
      <c r="F891" s="6">
        <f>IF(SUMIFS('Daily BSE Equity Futures'!$I:$I,'Daily BSE Equity Futures'!$A:$A,$A891)=0,"",SUMIFS('Daily BSE Equity Futures'!$I:$I,'Daily BSE Equity Futures'!$A:$A,$A891))</f>
        <v>0.25119999999999998</v>
      </c>
      <c r="G891" s="6">
        <f t="shared" si="156"/>
        <v>792.54100000000005</v>
      </c>
      <c r="H891" s="15">
        <f t="shared" si="157"/>
        <v>0.99968304478884995</v>
      </c>
      <c r="I891" s="15">
        <f t="shared" si="158"/>
        <v>3.1695521114995939E-4</v>
      </c>
      <c r="J891" s="20">
        <f t="shared" si="159"/>
        <v>-0.19836408722008148</v>
      </c>
      <c r="K891" s="15">
        <f t="shared" si="160"/>
        <v>250.19999999999996</v>
      </c>
      <c r="L891" s="15">
        <f t="shared" si="161"/>
        <v>-0.19811073533033385</v>
      </c>
      <c r="M891" s="15">
        <f t="shared" si="165"/>
        <v>-6.0484114826612423E-2</v>
      </c>
      <c r="N891" s="15">
        <f t="shared" si="166"/>
        <v>0.39478067740144351</v>
      </c>
      <c r="O891" s="15">
        <f t="shared" si="167"/>
        <v>-6.0386906134484608E-2</v>
      </c>
      <c r="P891" s="18">
        <f>IF(SUMIFS('Daily NSE Equity Futures'!$J:$J,'Daily NSE Equity Futures'!$A:$A,$A891)=0,"",SUMIFS('Daily NSE Equity Futures'!$J:$J,'Daily NSE Equity Futures'!$A:$A,$A891))</f>
        <v>1102827</v>
      </c>
      <c r="Q891" s="7">
        <f>IF(SUMIFS('Daily BSE Equity Futures'!$J:$J,'Daily BSE Equity Futures'!$A:$A,$A891)=0,"",SUMIFS('Daily BSE Equity Futures'!$J:$J,'Daily BSE Equity Futures'!$A:$A,$A891))</f>
        <v>394</v>
      </c>
      <c r="R891" s="7">
        <f t="shared" si="162"/>
        <v>1103221</v>
      </c>
      <c r="S891" s="19">
        <f t="shared" si="163"/>
        <v>0.99964286394113233</v>
      </c>
      <c r="T891" s="19">
        <f t="shared" si="164"/>
        <v>3.5713605886762489E-4</v>
      </c>
    </row>
    <row r="892" spans="1:20" x14ac:dyDescent="0.2">
      <c r="A892" s="9">
        <v>45232</v>
      </c>
      <c r="B892" s="4" t="s">
        <v>224</v>
      </c>
      <c r="C892" s="8">
        <v>45231</v>
      </c>
      <c r="D892" s="4" t="s">
        <v>187</v>
      </c>
      <c r="E892" s="14">
        <f>IF(SUMIFS('Daily NSE Equity Futures'!$I:$I,'Daily NSE Equity Futures'!$A:$A,$A892)=0,"",SUMIFS('Daily NSE Equity Futures'!$I:$I,'Daily NSE Equity Futures'!$A:$A,$A892))</f>
        <v>959.21680000000003</v>
      </c>
      <c r="F892" s="6">
        <f>IF(SUMIFS('Daily BSE Equity Futures'!$I:$I,'Daily BSE Equity Futures'!$A:$A,$A892)=0,"",SUMIFS('Daily BSE Equity Futures'!$I:$I,'Daily BSE Equity Futures'!$A:$A,$A892))</f>
        <v>0.34410000000000002</v>
      </c>
      <c r="G892" s="6">
        <f t="shared" si="156"/>
        <v>959.56090000000006</v>
      </c>
      <c r="H892" s="15">
        <f t="shared" si="157"/>
        <v>0.99964139847715761</v>
      </c>
      <c r="I892" s="15">
        <f t="shared" si="158"/>
        <v>3.5860152284237508E-4</v>
      </c>
      <c r="J892" s="20">
        <f t="shared" si="159"/>
        <v>0.24887272072026101</v>
      </c>
      <c r="K892" s="15">
        <f t="shared" si="160"/>
        <v>343.1</v>
      </c>
      <c r="L892" s="15">
        <f t="shared" si="161"/>
        <v>0.24931910245862654</v>
      </c>
      <c r="M892" s="15">
        <f t="shared" si="165"/>
        <v>0.21068932100350146</v>
      </c>
      <c r="N892" s="15">
        <f t="shared" si="166"/>
        <v>0.36982484076433142</v>
      </c>
      <c r="O892" s="15">
        <f t="shared" si="167"/>
        <v>0.21073975983576876</v>
      </c>
      <c r="P892" s="18">
        <f>IF(SUMIFS('Daily NSE Equity Futures'!$J:$J,'Daily NSE Equity Futures'!$A:$A,$A892)=0,"",SUMIFS('Daily NSE Equity Futures'!$J:$J,'Daily NSE Equity Futures'!$A:$A,$A892))</f>
        <v>1313677</v>
      </c>
      <c r="Q892" s="7">
        <f>IF(SUMIFS('Daily BSE Equity Futures'!$J:$J,'Daily BSE Equity Futures'!$A:$A,$A892)=0,"",SUMIFS('Daily BSE Equity Futures'!$J:$J,'Daily BSE Equity Futures'!$A:$A,$A892))</f>
        <v>537</v>
      </c>
      <c r="R892" s="7">
        <f t="shared" si="162"/>
        <v>1314214</v>
      </c>
      <c r="S892" s="19">
        <f t="shared" si="163"/>
        <v>0.9995913907476256</v>
      </c>
      <c r="T892" s="19">
        <f t="shared" si="164"/>
        <v>4.0860925237442305E-4</v>
      </c>
    </row>
    <row r="893" spans="1:20" x14ac:dyDescent="0.2">
      <c r="A893" s="9">
        <v>45233</v>
      </c>
      <c r="B893" s="4" t="s">
        <v>222</v>
      </c>
      <c r="C893" s="8">
        <v>45231</v>
      </c>
      <c r="D893" s="4" t="s">
        <v>187</v>
      </c>
      <c r="E893" s="14">
        <f>IF(SUMIFS('Daily NSE Equity Futures'!$I:$I,'Daily NSE Equity Futures'!$A:$A,$A893)=0,"",SUMIFS('Daily NSE Equity Futures'!$I:$I,'Daily NSE Equity Futures'!$A:$A,$A893))</f>
        <v>827.26300000000003</v>
      </c>
      <c r="F893" s="6">
        <f>IF(SUMIFS('Daily BSE Equity Futures'!$I:$I,'Daily BSE Equity Futures'!$A:$A,$A893)=0,"",SUMIFS('Daily BSE Equity Futures'!$I:$I,'Daily BSE Equity Futures'!$A:$A,$A893))</f>
        <v>0.87649999999999995</v>
      </c>
      <c r="G893" s="6">
        <f t="shared" si="156"/>
        <v>828.1395</v>
      </c>
      <c r="H893" s="15">
        <f t="shared" si="157"/>
        <v>0.99894160343758509</v>
      </c>
      <c r="I893" s="15">
        <f t="shared" si="158"/>
        <v>1.058396562414907E-3</v>
      </c>
      <c r="J893" s="20">
        <f t="shared" si="159"/>
        <v>-1.5282199200667979E-2</v>
      </c>
      <c r="K893" s="15">
        <f t="shared" si="160"/>
        <v>301.24137931034483</v>
      </c>
      <c r="L893" s="15">
        <f t="shared" si="161"/>
        <v>-1.4242275812116123E-2</v>
      </c>
      <c r="M893" s="15">
        <f t="shared" si="165"/>
        <v>-0.13756410438182487</v>
      </c>
      <c r="N893" s="15">
        <f t="shared" si="166"/>
        <v>1.5472246439988373</v>
      </c>
      <c r="O893" s="15">
        <f t="shared" si="167"/>
        <v>-0.13695993657098793</v>
      </c>
      <c r="P893" s="18">
        <f>IF(SUMIFS('Daily NSE Equity Futures'!$J:$J,'Daily NSE Equity Futures'!$A:$A,$A893)=0,"",SUMIFS('Daily NSE Equity Futures'!$J:$J,'Daily NSE Equity Futures'!$A:$A,$A893))</f>
        <v>1123746</v>
      </c>
      <c r="Q893" s="7">
        <f>IF(SUMIFS('Daily BSE Equity Futures'!$J:$J,'Daily BSE Equity Futures'!$A:$A,$A893)=0,"",SUMIFS('Daily BSE Equity Futures'!$J:$J,'Daily BSE Equity Futures'!$A:$A,$A893))</f>
        <v>1360</v>
      </c>
      <c r="R893" s="7">
        <f t="shared" si="162"/>
        <v>1125106</v>
      </c>
      <c r="S893" s="19">
        <f t="shared" si="163"/>
        <v>0.9987912250045774</v>
      </c>
      <c r="T893" s="19">
        <f t="shared" si="164"/>
        <v>1.2087749954226535E-3</v>
      </c>
    </row>
    <row r="894" spans="1:20" x14ac:dyDescent="0.2">
      <c r="A894" s="9">
        <v>45236</v>
      </c>
      <c r="B894" s="4" t="s">
        <v>225</v>
      </c>
      <c r="C894" s="8">
        <v>45231</v>
      </c>
      <c r="D894" s="4" t="s">
        <v>187</v>
      </c>
      <c r="E894" s="14">
        <f>IF(SUMIFS('Daily NSE Equity Futures'!$I:$I,'Daily NSE Equity Futures'!$A:$A,$A894)=0,"",SUMIFS('Daily NSE Equity Futures'!$I:$I,'Daily NSE Equity Futures'!$A:$A,$A894))</f>
        <v>797.02970000000005</v>
      </c>
      <c r="F894" s="6">
        <f>IF(SUMIFS('Daily BSE Equity Futures'!$I:$I,'Daily BSE Equity Futures'!$A:$A,$A894)=0,"",SUMIFS('Daily BSE Equity Futures'!$I:$I,'Daily BSE Equity Futures'!$A:$A,$A894))</f>
        <v>0.24390000000000001</v>
      </c>
      <c r="G894" s="6">
        <f t="shared" si="156"/>
        <v>797.2736000000001</v>
      </c>
      <c r="H894" s="15">
        <f t="shared" si="157"/>
        <v>0.99969408243293134</v>
      </c>
      <c r="I894" s="15">
        <f t="shared" si="158"/>
        <v>3.0591756706856968E-4</v>
      </c>
      <c r="J894" s="20" t="str">
        <f t="shared" si="159"/>
        <v/>
      </c>
      <c r="K894" s="15" t="str">
        <f t="shared" si="160"/>
        <v/>
      </c>
      <c r="L894" s="15" t="str">
        <f t="shared" si="161"/>
        <v/>
      </c>
      <c r="M894" s="15">
        <f t="shared" si="165"/>
        <v>-3.6546176971531397E-2</v>
      </c>
      <c r="N894" s="15">
        <f t="shared" si="166"/>
        <v>-0.7217341699942954</v>
      </c>
      <c r="O894" s="15">
        <f t="shared" si="167"/>
        <v>-3.7271377587954513E-2</v>
      </c>
      <c r="P894" s="18">
        <f>IF(SUMIFS('Daily NSE Equity Futures'!$J:$J,'Daily NSE Equity Futures'!$A:$A,$A894)=0,"",SUMIFS('Daily NSE Equity Futures'!$J:$J,'Daily NSE Equity Futures'!$A:$A,$A894))</f>
        <v>1097692</v>
      </c>
      <c r="Q894" s="7">
        <f>IF(SUMIFS('Daily BSE Equity Futures'!$J:$J,'Daily BSE Equity Futures'!$A:$A,$A894)=0,"",SUMIFS('Daily BSE Equity Futures'!$J:$J,'Daily BSE Equity Futures'!$A:$A,$A894))</f>
        <v>368</v>
      </c>
      <c r="R894" s="7">
        <f t="shared" si="162"/>
        <v>1098060</v>
      </c>
      <c r="S894" s="19">
        <f t="shared" si="163"/>
        <v>0.99966486348651262</v>
      </c>
      <c r="T894" s="19">
        <f t="shared" si="164"/>
        <v>3.3513651348742325E-4</v>
      </c>
    </row>
    <row r="895" spans="1:20" x14ac:dyDescent="0.2">
      <c r="A895" s="9">
        <v>45237</v>
      </c>
      <c r="B895" s="4" t="s">
        <v>223</v>
      </c>
      <c r="C895" s="8">
        <v>45231</v>
      </c>
      <c r="D895" s="4" t="s">
        <v>187</v>
      </c>
      <c r="E895" s="14">
        <f>IF(SUMIFS('Daily NSE Equity Futures'!$I:$I,'Daily NSE Equity Futures'!$A:$A,$A895)=0,"",SUMIFS('Daily NSE Equity Futures'!$I:$I,'Daily NSE Equity Futures'!$A:$A,$A895))</f>
        <v>826.37</v>
      </c>
      <c r="F895" s="6">
        <f>IF(SUMIFS('Daily BSE Equity Futures'!$I:$I,'Daily BSE Equity Futures'!$A:$A,$A895)=0,"",SUMIFS('Daily BSE Equity Futures'!$I:$I,'Daily BSE Equity Futures'!$A:$A,$A895))</f>
        <v>0.1348</v>
      </c>
      <c r="G895" s="6">
        <f t="shared" si="156"/>
        <v>826.50480000000005</v>
      </c>
      <c r="H895" s="15">
        <f t="shared" si="157"/>
        <v>0.9998369035485335</v>
      </c>
      <c r="I895" s="15">
        <f t="shared" si="158"/>
        <v>1.6309645146646455E-4</v>
      </c>
      <c r="J895" s="20">
        <f t="shared" si="159"/>
        <v>-0.23366953933558299</v>
      </c>
      <c r="K895" s="15">
        <f t="shared" si="160"/>
        <v>69.94736842105263</v>
      </c>
      <c r="L895" s="15">
        <f t="shared" si="161"/>
        <v>-0.23354588362743889</v>
      </c>
      <c r="M895" s="15">
        <f t="shared" si="165"/>
        <v>3.6812053553336721E-2</v>
      </c>
      <c r="N895" s="15">
        <f t="shared" si="166"/>
        <v>-0.44731447314473149</v>
      </c>
      <c r="O895" s="15">
        <f t="shared" si="167"/>
        <v>3.6663950744135976E-2</v>
      </c>
      <c r="P895" s="18">
        <f>IF(SUMIFS('Daily NSE Equity Futures'!$J:$J,'Daily NSE Equity Futures'!$A:$A,$A895)=0,"",SUMIFS('Daily NSE Equity Futures'!$J:$J,'Daily NSE Equity Futures'!$A:$A,$A895))</f>
        <v>1130730</v>
      </c>
      <c r="Q895" s="7">
        <f>IF(SUMIFS('Daily BSE Equity Futures'!$J:$J,'Daily BSE Equity Futures'!$A:$A,$A895)=0,"",SUMIFS('Daily BSE Equity Futures'!$J:$J,'Daily BSE Equity Futures'!$A:$A,$A895))</f>
        <v>207</v>
      </c>
      <c r="R895" s="7">
        <f t="shared" si="162"/>
        <v>1130937</v>
      </c>
      <c r="S895" s="19">
        <f t="shared" si="163"/>
        <v>0.99981696593178926</v>
      </c>
      <c r="T895" s="19">
        <f t="shared" si="164"/>
        <v>1.8303406821069609E-4</v>
      </c>
    </row>
    <row r="896" spans="1:20" x14ac:dyDescent="0.2">
      <c r="A896" s="9">
        <v>45238</v>
      </c>
      <c r="B896" s="4" t="s">
        <v>221</v>
      </c>
      <c r="C896" s="8">
        <v>45231</v>
      </c>
      <c r="D896" s="4" t="s">
        <v>187</v>
      </c>
      <c r="E896" s="14">
        <f>IF(SUMIFS('Daily NSE Equity Futures'!$I:$I,'Daily NSE Equity Futures'!$A:$A,$A896)=0,"",SUMIFS('Daily NSE Equity Futures'!$I:$I,'Daily NSE Equity Futures'!$A:$A,$A896))</f>
        <v>755.30100000000004</v>
      </c>
      <c r="F896" s="6">
        <f>IF(SUMIFS('Daily BSE Equity Futures'!$I:$I,'Daily BSE Equity Futures'!$A:$A,$A896)=0,"",SUMIFS('Daily BSE Equity Futures'!$I:$I,'Daily BSE Equity Futures'!$A:$A,$A896))</f>
        <v>8.0100000000000005E-2</v>
      </c>
      <c r="G896" s="6">
        <f t="shared" si="156"/>
        <v>755.38110000000006</v>
      </c>
      <c r="H896" s="15">
        <f t="shared" si="157"/>
        <v>0.9998939608099805</v>
      </c>
      <c r="I896" s="15">
        <f t="shared" si="158"/>
        <v>1.0603919001944846E-4</v>
      </c>
      <c r="J896" s="20" t="str">
        <f t="shared" si="159"/>
        <v/>
      </c>
      <c r="K896" s="15" t="str">
        <f t="shared" si="160"/>
        <v/>
      </c>
      <c r="L896" s="15" t="str">
        <f t="shared" si="161"/>
        <v/>
      </c>
      <c r="M896" s="15">
        <f t="shared" si="165"/>
        <v>-8.6001427931798102E-2</v>
      </c>
      <c r="N896" s="15">
        <f t="shared" si="166"/>
        <v>-0.40578635014836795</v>
      </c>
      <c r="O896" s="15">
        <f t="shared" si="167"/>
        <v>-8.6053583717844107E-2</v>
      </c>
      <c r="P896" s="18">
        <f>IF(SUMIFS('Daily NSE Equity Futures'!$J:$J,'Daily NSE Equity Futures'!$A:$A,$A896)=0,"",SUMIFS('Daily NSE Equity Futures'!$J:$J,'Daily NSE Equity Futures'!$A:$A,$A896))</f>
        <v>1035543</v>
      </c>
      <c r="Q896" s="7">
        <f>IF(SUMIFS('Daily BSE Equity Futures'!$J:$J,'Daily BSE Equity Futures'!$A:$A,$A896)=0,"",SUMIFS('Daily BSE Equity Futures'!$J:$J,'Daily BSE Equity Futures'!$A:$A,$A896))</f>
        <v>122</v>
      </c>
      <c r="R896" s="7">
        <f t="shared" si="162"/>
        <v>1035665</v>
      </c>
      <c r="S896" s="19">
        <f t="shared" si="163"/>
        <v>0.99988220129095795</v>
      </c>
      <c r="T896" s="19">
        <f t="shared" si="164"/>
        <v>1.1779870904201648E-4</v>
      </c>
    </row>
    <row r="897" spans="1:20" x14ac:dyDescent="0.2">
      <c r="A897" s="9">
        <v>45239</v>
      </c>
      <c r="B897" s="4" t="s">
        <v>224</v>
      </c>
      <c r="C897" s="8">
        <v>45231</v>
      </c>
      <c r="D897" s="4" t="s">
        <v>187</v>
      </c>
      <c r="E897" s="14">
        <f>IF(SUMIFS('Daily NSE Equity Futures'!$I:$I,'Daily NSE Equity Futures'!$A:$A,$A897)=0,"",SUMIFS('Daily NSE Equity Futures'!$I:$I,'Daily NSE Equity Futures'!$A:$A,$A897))</f>
        <v>832.25030000000004</v>
      </c>
      <c r="F897" s="6">
        <f>IF(SUMIFS('Daily BSE Equity Futures'!$I:$I,'Daily BSE Equity Futures'!$A:$A,$A897)=0,"",SUMIFS('Daily BSE Equity Futures'!$I:$I,'Daily BSE Equity Futures'!$A:$A,$A897))</f>
        <v>0.47539999999999999</v>
      </c>
      <c r="G897" s="6">
        <f t="shared" si="156"/>
        <v>832.72570000000007</v>
      </c>
      <c r="H897" s="15">
        <f t="shared" si="157"/>
        <v>0.99942910372527227</v>
      </c>
      <c r="I897" s="15">
        <f t="shared" si="158"/>
        <v>5.7089627472768037E-4</v>
      </c>
      <c r="J897" s="20">
        <f t="shared" si="159"/>
        <v>-0.15347018105509158</v>
      </c>
      <c r="K897" s="15">
        <f t="shared" si="160"/>
        <v>249.21052631578948</v>
      </c>
      <c r="L897" s="15">
        <f t="shared" si="161"/>
        <v>-0.15298826120885289</v>
      </c>
      <c r="M897" s="15">
        <f t="shared" si="165"/>
        <v>0.10187898599366352</v>
      </c>
      <c r="N897" s="15">
        <f t="shared" si="166"/>
        <v>4.9350811485642945</v>
      </c>
      <c r="O897" s="15">
        <f t="shared" si="167"/>
        <v>0.10239149483618259</v>
      </c>
      <c r="P897" s="18">
        <f>IF(SUMIFS('Daily NSE Equity Futures'!$J:$J,'Daily NSE Equity Futures'!$A:$A,$A897)=0,"",SUMIFS('Daily NSE Equity Futures'!$J:$J,'Daily NSE Equity Futures'!$A:$A,$A897))</f>
        <v>1128230</v>
      </c>
      <c r="Q897" s="7">
        <f>IF(SUMIFS('Daily BSE Equity Futures'!$J:$J,'Daily BSE Equity Futures'!$A:$A,$A897)=0,"",SUMIFS('Daily BSE Equity Futures'!$J:$J,'Daily BSE Equity Futures'!$A:$A,$A897))</f>
        <v>731</v>
      </c>
      <c r="R897" s="7">
        <f t="shared" si="162"/>
        <v>1128961</v>
      </c>
      <c r="S897" s="19">
        <f t="shared" si="163"/>
        <v>0.99935250199076853</v>
      </c>
      <c r="T897" s="19">
        <f t="shared" si="164"/>
        <v>6.474980092314969E-4</v>
      </c>
    </row>
    <row r="898" spans="1:20" x14ac:dyDescent="0.2">
      <c r="A898" s="9">
        <v>45240</v>
      </c>
      <c r="B898" s="4" t="s">
        <v>222</v>
      </c>
      <c r="C898" s="8">
        <v>45231</v>
      </c>
      <c r="D898" s="4" t="s">
        <v>187</v>
      </c>
      <c r="E898" s="14">
        <f>IF(SUMIFS('Daily NSE Equity Futures'!$I:$I,'Daily NSE Equity Futures'!$A:$A,$A898)=0,"",SUMIFS('Daily NSE Equity Futures'!$I:$I,'Daily NSE Equity Futures'!$A:$A,$A898))</f>
        <v>784.59040000000005</v>
      </c>
      <c r="F898" s="6">
        <f>IF(SUMIFS('Daily BSE Equity Futures'!$I:$I,'Daily BSE Equity Futures'!$A:$A,$A898)=0,"",SUMIFS('Daily BSE Equity Futures'!$I:$I,'Daily BSE Equity Futures'!$A:$A,$A898))</f>
        <v>1.0426</v>
      </c>
      <c r="G898" s="6">
        <f t="shared" ref="G898:G961" si="168">IF(OR(E898="",F898=""),"",E898+F898)</f>
        <v>785.63300000000004</v>
      </c>
      <c r="H898" s="15">
        <f t="shared" ref="H898:H961" si="169">IF(G898="","",E898/G898)</f>
        <v>0.99867291725271212</v>
      </c>
      <c r="I898" s="15">
        <f t="shared" ref="I898:I961" si="170">IF(G898="","",F898/G898)</f>
        <v>1.3270827472878558E-3</v>
      </c>
      <c r="J898" s="20">
        <f t="shared" ref="J898:J961" si="171">IFERROR(IF(OR(E898="",INDEX(E:E,MATCH(DATE(YEAR($A898)-1,MONTH($A898),DAY($A898)),$A:$A,0))=""),"",E898/INDEX(E:E,MATCH(DATE(YEAR($A898)-1,MONTH($A898),DAY($A898)),$A:$A,0))-1),"")</f>
        <v>-0.1221019414808775</v>
      </c>
      <c r="K898" s="15">
        <f t="shared" ref="K898:K961" si="172">IFERROR(IF(OR(F898="",INDEX(F:F,MATCH(DATE(YEAR($A898)-1,MONTH($A898),DAY($A898)),$A:$A,0))=""),"",F898/INDEX(F:F,MATCH(DATE(YEAR($A898)-1,MONTH($A898),DAY($A898)),$A:$A,0))-1),"")</f>
        <v>1041.5999999999999</v>
      </c>
      <c r="L898" s="15">
        <f t="shared" ref="L898:L961" si="173">IFERROR(IF(OR(G898="",INDEX(G:G,MATCH(DATE(YEAR($A898)-1,MONTH($A898),DAY($A898)),$A:$A,0))=""),"",G898/INDEX(G:G,MATCH(DATE(YEAR($A898)-1,MONTH($A898),DAY($A898)),$A:$A,0))-1),"")</f>
        <v>-0.12093633355663325</v>
      </c>
      <c r="M898" s="15">
        <f t="shared" si="165"/>
        <v>-5.726630558138579E-2</v>
      </c>
      <c r="N898" s="15">
        <f t="shared" si="166"/>
        <v>1.1931005469078673</v>
      </c>
      <c r="O898" s="15">
        <f t="shared" si="167"/>
        <v>-5.655247580325673E-2</v>
      </c>
      <c r="P898" s="18">
        <f>IF(SUMIFS('Daily NSE Equity Futures'!$J:$J,'Daily NSE Equity Futures'!$A:$A,$A898)=0,"",SUMIFS('Daily NSE Equity Futures'!$J:$J,'Daily NSE Equity Futures'!$A:$A,$A898))</f>
        <v>1072041</v>
      </c>
      <c r="Q898" s="7">
        <f>IF(SUMIFS('Daily BSE Equity Futures'!$J:$J,'Daily BSE Equity Futures'!$A:$A,$A898)=0,"",SUMIFS('Daily BSE Equity Futures'!$J:$J,'Daily BSE Equity Futures'!$A:$A,$A898))</f>
        <v>1608</v>
      </c>
      <c r="R898" s="7">
        <f t="shared" ref="R898:R961" si="174">IF(OR(P898="",Q898=""),"",P898+Q898)</f>
        <v>1073649</v>
      </c>
      <c r="S898" s="19">
        <f t="shared" ref="S898:S961" si="175">IF(R898="","",P898/R898)</f>
        <v>0.99850230382555194</v>
      </c>
      <c r="T898" s="19">
        <f t="shared" ref="T898:T961" si="176">IF(R898="","",Q898/R898)</f>
        <v>1.4976961744480738E-3</v>
      </c>
    </row>
    <row r="899" spans="1:20" x14ac:dyDescent="0.2">
      <c r="A899" s="9">
        <v>45242</v>
      </c>
      <c r="B899" s="4" t="s">
        <v>227</v>
      </c>
      <c r="C899" s="8">
        <v>45231</v>
      </c>
      <c r="D899" s="4" t="s">
        <v>187</v>
      </c>
      <c r="E899" s="14">
        <f>IF(SUMIFS('Daily NSE Equity Futures'!$I:$I,'Daily NSE Equity Futures'!$A:$A,$A899)=0,"",SUMIFS('Daily NSE Equity Futures'!$I:$I,'Daily NSE Equity Futures'!$A:$A,$A899))</f>
        <v>143.71799999999999</v>
      </c>
      <c r="F899" s="6">
        <f>IF(SUMIFS('Daily BSE Equity Futures'!$I:$I,'Daily BSE Equity Futures'!$A:$A,$A899)=0,"",SUMIFS('Daily BSE Equity Futures'!$I:$I,'Daily BSE Equity Futures'!$A:$A,$A899))</f>
        <v>9.3299999999999994E-2</v>
      </c>
      <c r="G899" s="6">
        <f t="shared" si="168"/>
        <v>143.81129999999999</v>
      </c>
      <c r="H899" s="15">
        <f t="shared" si="169"/>
        <v>0.99935123317847763</v>
      </c>
      <c r="I899" s="15">
        <f t="shared" si="170"/>
        <v>6.4876682152236994E-4</v>
      </c>
      <c r="J899" s="20" t="str">
        <f t="shared" si="171"/>
        <v/>
      </c>
      <c r="K899" s="15" t="str">
        <f t="shared" si="172"/>
        <v/>
      </c>
      <c r="L899" s="15" t="str">
        <f t="shared" si="173"/>
        <v/>
      </c>
      <c r="M899" s="15">
        <f t="shared" ref="M899:M962" si="177">IF(OR(E899="",E898=""),"",E899/E898-1)</f>
        <v>-0.81682416710681149</v>
      </c>
      <c r="N899" s="15">
        <f t="shared" ref="N899:N962" si="178">IF(OR(F899="",F898=""),"",F899/F898-1)</f>
        <v>-0.91051218108574716</v>
      </c>
      <c r="O899" s="15">
        <f t="shared" ref="O899:O962" si="179">IF(OR(G899="",G898=""),"",G899/G898-1)</f>
        <v>-0.81694849885379051</v>
      </c>
      <c r="P899" s="18">
        <f>IF(SUMIFS('Daily NSE Equity Futures'!$J:$J,'Daily NSE Equity Futures'!$A:$A,$A899)=0,"",SUMIFS('Daily NSE Equity Futures'!$J:$J,'Daily NSE Equity Futures'!$A:$A,$A899))</f>
        <v>190210</v>
      </c>
      <c r="Q899" s="7">
        <f>IF(SUMIFS('Daily BSE Equity Futures'!$J:$J,'Daily BSE Equity Futures'!$A:$A,$A899)=0,"",SUMIFS('Daily BSE Equity Futures'!$J:$J,'Daily BSE Equity Futures'!$A:$A,$A899))</f>
        <v>142</v>
      </c>
      <c r="R899" s="7">
        <f t="shared" si="174"/>
        <v>190352</v>
      </c>
      <c r="S899" s="19">
        <f t="shared" si="175"/>
        <v>0.99925401361687816</v>
      </c>
      <c r="T899" s="19">
        <f t="shared" si="176"/>
        <v>7.4598638312179538E-4</v>
      </c>
    </row>
    <row r="900" spans="1:20" x14ac:dyDescent="0.2">
      <c r="A900" s="9">
        <v>45243</v>
      </c>
      <c r="B900" s="4" t="s">
        <v>225</v>
      </c>
      <c r="C900" s="8">
        <v>45231</v>
      </c>
      <c r="D900" s="4" t="s">
        <v>187</v>
      </c>
      <c r="E900" s="14">
        <f>IF(SUMIFS('Daily NSE Equity Futures'!$I:$I,'Daily NSE Equity Futures'!$A:$A,$A900)=0,"",SUMIFS('Daily NSE Equity Futures'!$I:$I,'Daily NSE Equity Futures'!$A:$A,$A900))</f>
        <v>702.44489999999996</v>
      </c>
      <c r="F900" s="6">
        <f>IF(SUMIFS('Daily BSE Equity Futures'!$I:$I,'Daily BSE Equity Futures'!$A:$A,$A900)=0,"",SUMIFS('Daily BSE Equity Futures'!$I:$I,'Daily BSE Equity Futures'!$A:$A,$A900))</f>
        <v>0.12709999999999999</v>
      </c>
      <c r="G900" s="6">
        <f t="shared" si="168"/>
        <v>702.572</v>
      </c>
      <c r="H900" s="15">
        <f t="shared" si="169"/>
        <v>0.99981909327442586</v>
      </c>
      <c r="I900" s="15">
        <f t="shared" si="170"/>
        <v>1.8090672557403368E-4</v>
      </c>
      <c r="J900" s="20" t="str">
        <f t="shared" si="171"/>
        <v/>
      </c>
      <c r="K900" s="15" t="str">
        <f t="shared" si="172"/>
        <v/>
      </c>
      <c r="L900" s="15" t="str">
        <f t="shared" si="173"/>
        <v/>
      </c>
      <c r="M900" s="15">
        <f t="shared" si="177"/>
        <v>3.8876612532876882</v>
      </c>
      <c r="N900" s="15">
        <f t="shared" si="178"/>
        <v>0.36227224008574499</v>
      </c>
      <c r="O900" s="15">
        <f t="shared" si="179"/>
        <v>3.8853740978629636</v>
      </c>
      <c r="P900" s="18">
        <f>IF(SUMIFS('Daily NSE Equity Futures'!$J:$J,'Daily NSE Equity Futures'!$A:$A,$A900)=0,"",SUMIFS('Daily NSE Equity Futures'!$J:$J,'Daily NSE Equity Futures'!$A:$A,$A900))</f>
        <v>944104</v>
      </c>
      <c r="Q900" s="7">
        <f>IF(SUMIFS('Daily BSE Equity Futures'!$J:$J,'Daily BSE Equity Futures'!$A:$A,$A900)=0,"",SUMIFS('Daily BSE Equity Futures'!$J:$J,'Daily BSE Equity Futures'!$A:$A,$A900))</f>
        <v>184</v>
      </c>
      <c r="R900" s="7">
        <f t="shared" si="174"/>
        <v>944288</v>
      </c>
      <c r="S900" s="19">
        <f t="shared" si="175"/>
        <v>0.99980514419329691</v>
      </c>
      <c r="T900" s="19">
        <f t="shared" si="176"/>
        <v>1.9485580670303975E-4</v>
      </c>
    </row>
    <row r="901" spans="1:20" x14ac:dyDescent="0.2">
      <c r="A901" s="9">
        <v>45245</v>
      </c>
      <c r="B901" s="4" t="s">
        <v>221</v>
      </c>
      <c r="C901" s="8">
        <v>45231</v>
      </c>
      <c r="D901" s="4" t="s">
        <v>187</v>
      </c>
      <c r="E901" s="14">
        <f>IF(SUMIFS('Daily NSE Equity Futures'!$I:$I,'Daily NSE Equity Futures'!$A:$A,$A901)=0,"",SUMIFS('Daily NSE Equity Futures'!$I:$I,'Daily NSE Equity Futures'!$A:$A,$A901))</f>
        <v>1084.1916000000001</v>
      </c>
      <c r="F901" s="6">
        <f>IF(SUMIFS('Daily BSE Equity Futures'!$I:$I,'Daily BSE Equity Futures'!$A:$A,$A901)=0,"",SUMIFS('Daily BSE Equity Futures'!$I:$I,'Daily BSE Equity Futures'!$A:$A,$A901))</f>
        <v>0.19209999999999999</v>
      </c>
      <c r="G901" s="6">
        <f t="shared" si="168"/>
        <v>1084.3837000000001</v>
      </c>
      <c r="H901" s="15">
        <f t="shared" si="169"/>
        <v>0.99982284868354254</v>
      </c>
      <c r="I901" s="15">
        <f t="shared" si="170"/>
        <v>1.771513164574495E-4</v>
      </c>
      <c r="J901" s="20">
        <f t="shared" si="171"/>
        <v>0.34761184848608773</v>
      </c>
      <c r="K901" s="15">
        <f t="shared" si="172"/>
        <v>191.1</v>
      </c>
      <c r="L901" s="15">
        <f t="shared" si="173"/>
        <v>0.34784894666954891</v>
      </c>
      <c r="M901" s="15">
        <f t="shared" si="177"/>
        <v>0.5434542979812369</v>
      </c>
      <c r="N901" s="15">
        <f t="shared" si="178"/>
        <v>0.51140833988985057</v>
      </c>
      <c r="O901" s="15">
        <f t="shared" si="179"/>
        <v>0.54344850065189054</v>
      </c>
      <c r="P901" s="18">
        <f>IF(SUMIFS('Daily NSE Equity Futures'!$J:$J,'Daily NSE Equity Futures'!$A:$A,$A901)=0,"",SUMIFS('Daily NSE Equity Futures'!$J:$J,'Daily NSE Equity Futures'!$A:$A,$A901))</f>
        <v>1439167</v>
      </c>
      <c r="Q901" s="7">
        <f>IF(SUMIFS('Daily BSE Equity Futures'!$J:$J,'Daily BSE Equity Futures'!$A:$A,$A901)=0,"",SUMIFS('Daily BSE Equity Futures'!$J:$J,'Daily BSE Equity Futures'!$A:$A,$A901))</f>
        <v>293</v>
      </c>
      <c r="R901" s="7">
        <f t="shared" si="174"/>
        <v>1439460</v>
      </c>
      <c r="S901" s="19">
        <f t="shared" si="175"/>
        <v>0.99979645144707041</v>
      </c>
      <c r="T901" s="19">
        <f t="shared" si="176"/>
        <v>2.0354855292957082E-4</v>
      </c>
    </row>
    <row r="902" spans="1:20" x14ac:dyDescent="0.2">
      <c r="A902" s="9">
        <v>45246</v>
      </c>
      <c r="B902" s="4" t="s">
        <v>224</v>
      </c>
      <c r="C902" s="8">
        <v>45231</v>
      </c>
      <c r="D902" s="4" t="s">
        <v>187</v>
      </c>
      <c r="E902" s="14">
        <f>IF(SUMIFS('Daily NSE Equity Futures'!$I:$I,'Daily NSE Equity Futures'!$A:$A,$A902)=0,"",SUMIFS('Daily NSE Equity Futures'!$I:$I,'Daily NSE Equity Futures'!$A:$A,$A902))</f>
        <v>1022.4648999999999</v>
      </c>
      <c r="F902" s="6">
        <f>IF(SUMIFS('Daily BSE Equity Futures'!$I:$I,'Daily BSE Equity Futures'!$A:$A,$A902)=0,"",SUMIFS('Daily BSE Equity Futures'!$I:$I,'Daily BSE Equity Futures'!$A:$A,$A902))</f>
        <v>0.50249999999999995</v>
      </c>
      <c r="G902" s="6">
        <f t="shared" si="168"/>
        <v>1022.9674</v>
      </c>
      <c r="H902" s="15">
        <f t="shared" si="169"/>
        <v>0.99950878200028659</v>
      </c>
      <c r="I902" s="15">
        <f t="shared" si="170"/>
        <v>4.9121799971338278E-4</v>
      </c>
      <c r="J902" s="20">
        <f t="shared" si="171"/>
        <v>4.354801358281768E-2</v>
      </c>
      <c r="K902" s="15">
        <f t="shared" si="172"/>
        <v>501.49999999999994</v>
      </c>
      <c r="L902" s="15">
        <f t="shared" si="173"/>
        <v>4.4059809489244595E-2</v>
      </c>
      <c r="M902" s="15">
        <f t="shared" si="177"/>
        <v>-5.6933387050775996E-2</v>
      </c>
      <c r="N902" s="15">
        <f t="shared" si="178"/>
        <v>1.6158250910983862</v>
      </c>
      <c r="O902" s="15">
        <f t="shared" si="179"/>
        <v>-5.6637055684256477E-2</v>
      </c>
      <c r="P902" s="18">
        <f>IF(SUMIFS('Daily NSE Equity Futures'!$J:$J,'Daily NSE Equity Futures'!$A:$A,$A902)=0,"",SUMIFS('Daily NSE Equity Futures'!$J:$J,'Daily NSE Equity Futures'!$A:$A,$A902))</f>
        <v>1342930</v>
      </c>
      <c r="Q902" s="7">
        <f>IF(SUMIFS('Daily BSE Equity Futures'!$J:$J,'Daily BSE Equity Futures'!$A:$A,$A902)=0,"",SUMIFS('Daily BSE Equity Futures'!$J:$J,'Daily BSE Equity Futures'!$A:$A,$A902))</f>
        <v>760</v>
      </c>
      <c r="R902" s="7">
        <f t="shared" si="174"/>
        <v>1343690</v>
      </c>
      <c r="S902" s="19">
        <f t="shared" si="175"/>
        <v>0.99943439334965656</v>
      </c>
      <c r="T902" s="19">
        <f t="shared" si="176"/>
        <v>5.6560665034345722E-4</v>
      </c>
    </row>
    <row r="903" spans="1:20" x14ac:dyDescent="0.2">
      <c r="A903" s="9">
        <v>45247</v>
      </c>
      <c r="B903" s="4" t="s">
        <v>222</v>
      </c>
      <c r="C903" s="8">
        <v>45231</v>
      </c>
      <c r="D903" s="4" t="s">
        <v>187</v>
      </c>
      <c r="E903" s="14">
        <f>IF(SUMIFS('Daily NSE Equity Futures'!$I:$I,'Daily NSE Equity Futures'!$A:$A,$A903)=0,"",SUMIFS('Daily NSE Equity Futures'!$I:$I,'Daily NSE Equity Futures'!$A:$A,$A903))</f>
        <v>1019.5546000000001</v>
      </c>
      <c r="F903" s="6">
        <f>IF(SUMIFS('Daily BSE Equity Futures'!$I:$I,'Daily BSE Equity Futures'!$A:$A,$A903)=0,"",SUMIFS('Daily BSE Equity Futures'!$I:$I,'Daily BSE Equity Futures'!$A:$A,$A903))</f>
        <v>1.5485</v>
      </c>
      <c r="G903" s="6">
        <f t="shared" si="168"/>
        <v>1021.1031</v>
      </c>
      <c r="H903" s="15">
        <f t="shared" si="169"/>
        <v>0.99848350279222542</v>
      </c>
      <c r="I903" s="15">
        <f t="shared" si="170"/>
        <v>1.5164972077746114E-3</v>
      </c>
      <c r="J903" s="20">
        <f t="shared" si="171"/>
        <v>0.24156868399306086</v>
      </c>
      <c r="K903" s="15">
        <f t="shared" si="172"/>
        <v>1547.5</v>
      </c>
      <c r="L903" s="15">
        <f t="shared" si="173"/>
        <v>0.24345286486481221</v>
      </c>
      <c r="M903" s="15">
        <f t="shared" si="177"/>
        <v>-2.8463568773851033E-3</v>
      </c>
      <c r="N903" s="15">
        <f t="shared" si="178"/>
        <v>2.0815920398009955</v>
      </c>
      <c r="O903" s="15">
        <f t="shared" si="179"/>
        <v>-1.8224432176430216E-3</v>
      </c>
      <c r="P903" s="18">
        <f>IF(SUMIFS('Daily NSE Equity Futures'!$J:$J,'Daily NSE Equity Futures'!$A:$A,$A903)=0,"",SUMIFS('Daily NSE Equity Futures'!$J:$J,'Daily NSE Equity Futures'!$A:$A,$A903))</f>
        <v>1375772</v>
      </c>
      <c r="Q903" s="7">
        <f>IF(SUMIFS('Daily BSE Equity Futures'!$J:$J,'Daily BSE Equity Futures'!$A:$A,$A903)=0,"",SUMIFS('Daily BSE Equity Futures'!$J:$J,'Daily BSE Equity Futures'!$A:$A,$A903))</f>
        <v>2241</v>
      </c>
      <c r="R903" s="7">
        <f t="shared" si="174"/>
        <v>1378013</v>
      </c>
      <c r="S903" s="19">
        <f t="shared" si="175"/>
        <v>0.998373745385566</v>
      </c>
      <c r="T903" s="19">
        <f t="shared" si="176"/>
        <v>1.6262546144339713E-3</v>
      </c>
    </row>
    <row r="904" spans="1:20" x14ac:dyDescent="0.2">
      <c r="A904" s="9">
        <v>45250</v>
      </c>
      <c r="B904" s="4" t="s">
        <v>225</v>
      </c>
      <c r="C904" s="8">
        <v>45231</v>
      </c>
      <c r="D904" s="4" t="s">
        <v>187</v>
      </c>
      <c r="E904" s="14">
        <f>IF(SUMIFS('Daily NSE Equity Futures'!$I:$I,'Daily NSE Equity Futures'!$A:$A,$A904)=0,"",SUMIFS('Daily NSE Equity Futures'!$I:$I,'Daily NSE Equity Futures'!$A:$A,$A904))</f>
        <v>755.87300000000005</v>
      </c>
      <c r="F904" s="6">
        <f>IF(SUMIFS('Daily BSE Equity Futures'!$I:$I,'Daily BSE Equity Futures'!$A:$A,$A904)=0,"",SUMIFS('Daily BSE Equity Futures'!$I:$I,'Daily BSE Equity Futures'!$A:$A,$A904))</f>
        <v>1.181</v>
      </c>
      <c r="G904" s="6">
        <f t="shared" si="168"/>
        <v>757.05400000000009</v>
      </c>
      <c r="H904" s="15">
        <f t="shared" si="169"/>
        <v>0.99844000560065727</v>
      </c>
      <c r="I904" s="15">
        <f t="shared" si="170"/>
        <v>1.5599943993427152E-3</v>
      </c>
      <c r="J904" s="20" t="str">
        <f t="shared" si="171"/>
        <v/>
      </c>
      <c r="K904" s="15" t="str">
        <f t="shared" si="172"/>
        <v/>
      </c>
      <c r="L904" s="15" t="str">
        <f t="shared" si="173"/>
        <v/>
      </c>
      <c r="M904" s="15">
        <f t="shared" si="177"/>
        <v>-0.25862430516227375</v>
      </c>
      <c r="N904" s="15">
        <f t="shared" si="178"/>
        <v>-0.23732644494672261</v>
      </c>
      <c r="O904" s="15">
        <f t="shared" si="179"/>
        <v>-0.25859200701672524</v>
      </c>
      <c r="P904" s="18">
        <f>IF(SUMIFS('Daily NSE Equity Futures'!$J:$J,'Daily NSE Equity Futures'!$A:$A,$A904)=0,"",SUMIFS('Daily NSE Equity Futures'!$J:$J,'Daily NSE Equity Futures'!$A:$A,$A904))</f>
        <v>1003250</v>
      </c>
      <c r="Q904" s="7">
        <f>IF(SUMIFS('Daily BSE Equity Futures'!$J:$J,'Daily BSE Equity Futures'!$A:$A,$A904)=0,"",SUMIFS('Daily BSE Equity Futures'!$J:$J,'Daily BSE Equity Futures'!$A:$A,$A904))</f>
        <v>1613</v>
      </c>
      <c r="R904" s="7">
        <f t="shared" si="174"/>
        <v>1004863</v>
      </c>
      <c r="S904" s="19">
        <f t="shared" si="175"/>
        <v>0.99839480605813924</v>
      </c>
      <c r="T904" s="19">
        <f t="shared" si="176"/>
        <v>1.6051939418607313E-3</v>
      </c>
    </row>
    <row r="905" spans="1:20" x14ac:dyDescent="0.2">
      <c r="A905" s="9">
        <v>45251</v>
      </c>
      <c r="B905" s="4" t="s">
        <v>223</v>
      </c>
      <c r="C905" s="8">
        <v>45231</v>
      </c>
      <c r="D905" s="4" t="s">
        <v>187</v>
      </c>
      <c r="E905" s="14">
        <f>IF(SUMIFS('Daily NSE Equity Futures'!$I:$I,'Daily NSE Equity Futures'!$A:$A,$A905)=0,"",SUMIFS('Daily NSE Equity Futures'!$I:$I,'Daily NSE Equity Futures'!$A:$A,$A905))</f>
        <v>795.76679999999999</v>
      </c>
      <c r="F905" s="6">
        <f>IF(SUMIFS('Daily BSE Equity Futures'!$I:$I,'Daily BSE Equity Futures'!$A:$A,$A905)=0,"",SUMIFS('Daily BSE Equity Futures'!$I:$I,'Daily BSE Equity Futures'!$A:$A,$A905))</f>
        <v>8.3500000000000005E-2</v>
      </c>
      <c r="G905" s="6">
        <f t="shared" si="168"/>
        <v>795.85029999999995</v>
      </c>
      <c r="H905" s="15">
        <f t="shared" si="169"/>
        <v>0.99989508077084355</v>
      </c>
      <c r="I905" s="15">
        <f t="shared" si="170"/>
        <v>1.0491922915653862E-4</v>
      </c>
      <c r="J905" s="20">
        <f t="shared" si="171"/>
        <v>-0.51993116836061182</v>
      </c>
      <c r="K905" s="15">
        <f t="shared" si="172"/>
        <v>42.947368421052637</v>
      </c>
      <c r="L905" s="15">
        <f t="shared" si="173"/>
        <v>-0.51988134494948368</v>
      </c>
      <c r="M905" s="15">
        <f t="shared" si="177"/>
        <v>5.2778442939488412E-2</v>
      </c>
      <c r="N905" s="15">
        <f t="shared" si="178"/>
        <v>-0.92929720575783237</v>
      </c>
      <c r="O905" s="15">
        <f t="shared" si="179"/>
        <v>5.1246410427789657E-2</v>
      </c>
      <c r="P905" s="18">
        <f>IF(SUMIFS('Daily NSE Equity Futures'!$J:$J,'Daily NSE Equity Futures'!$A:$A,$A905)=0,"",SUMIFS('Daily NSE Equity Futures'!$J:$J,'Daily NSE Equity Futures'!$A:$A,$A905))</f>
        <v>1048151</v>
      </c>
      <c r="Q905" s="7">
        <f>IF(SUMIFS('Daily BSE Equity Futures'!$J:$J,'Daily BSE Equity Futures'!$A:$A,$A905)=0,"",SUMIFS('Daily BSE Equity Futures'!$J:$J,'Daily BSE Equity Futures'!$A:$A,$A905))</f>
        <v>126</v>
      </c>
      <c r="R905" s="7">
        <f t="shared" si="174"/>
        <v>1048277</v>
      </c>
      <c r="S905" s="19">
        <f t="shared" si="175"/>
        <v>0.99987980276205624</v>
      </c>
      <c r="T905" s="19">
        <f t="shared" si="176"/>
        <v>1.2019723794378776E-4</v>
      </c>
    </row>
    <row r="906" spans="1:20" x14ac:dyDescent="0.2">
      <c r="A906" s="9">
        <v>45252</v>
      </c>
      <c r="B906" s="4" t="s">
        <v>221</v>
      </c>
      <c r="C906" s="8">
        <v>45231</v>
      </c>
      <c r="D906" s="4" t="s">
        <v>187</v>
      </c>
      <c r="E906" s="14">
        <f>IF(SUMIFS('Daily NSE Equity Futures'!$I:$I,'Daily NSE Equity Futures'!$A:$A,$A906)=0,"",SUMIFS('Daily NSE Equity Futures'!$I:$I,'Daily NSE Equity Futures'!$A:$A,$A906))</f>
        <v>1037.5001999999999</v>
      </c>
      <c r="F906" s="6">
        <f>IF(SUMIFS('Daily BSE Equity Futures'!$I:$I,'Daily BSE Equity Futures'!$A:$A,$A906)=0,"",SUMIFS('Daily BSE Equity Futures'!$I:$I,'Daily BSE Equity Futures'!$A:$A,$A906))</f>
        <v>0.27339999999999998</v>
      </c>
      <c r="G906" s="6">
        <f t="shared" si="168"/>
        <v>1037.7736</v>
      </c>
      <c r="H906" s="15">
        <f t="shared" si="169"/>
        <v>0.99973655140196283</v>
      </c>
      <c r="I906" s="15">
        <f t="shared" si="170"/>
        <v>2.6344859803718266E-4</v>
      </c>
      <c r="J906" s="20">
        <f t="shared" si="171"/>
        <v>-0.40063334700948161</v>
      </c>
      <c r="K906" s="15">
        <f t="shared" si="172"/>
        <v>272.39999999999998</v>
      </c>
      <c r="L906" s="15">
        <f t="shared" si="173"/>
        <v>-0.4004757494417085</v>
      </c>
      <c r="M906" s="15">
        <f t="shared" si="177"/>
        <v>0.30377417102598403</v>
      </c>
      <c r="N906" s="15">
        <f t="shared" si="178"/>
        <v>2.2742514970059875</v>
      </c>
      <c r="O906" s="15">
        <f t="shared" si="179"/>
        <v>0.30398091198809629</v>
      </c>
      <c r="P906" s="18">
        <f>IF(SUMIFS('Daily NSE Equity Futures'!$J:$J,'Daily NSE Equity Futures'!$A:$A,$A906)=0,"",SUMIFS('Daily NSE Equity Futures'!$J:$J,'Daily NSE Equity Futures'!$A:$A,$A906))</f>
        <v>1399853</v>
      </c>
      <c r="Q906" s="7">
        <f>IF(SUMIFS('Daily BSE Equity Futures'!$J:$J,'Daily BSE Equity Futures'!$A:$A,$A906)=0,"",SUMIFS('Daily BSE Equity Futures'!$J:$J,'Daily BSE Equity Futures'!$A:$A,$A906))</f>
        <v>405</v>
      </c>
      <c r="R906" s="7">
        <f t="shared" si="174"/>
        <v>1400258</v>
      </c>
      <c r="S906" s="19">
        <f t="shared" si="175"/>
        <v>0.99971076758711608</v>
      </c>
      <c r="T906" s="19">
        <f t="shared" si="176"/>
        <v>2.8923241288391141E-4</v>
      </c>
    </row>
    <row r="907" spans="1:20" x14ac:dyDescent="0.2">
      <c r="A907" s="9">
        <v>45253</v>
      </c>
      <c r="B907" s="4" t="s">
        <v>224</v>
      </c>
      <c r="C907" s="8">
        <v>45231</v>
      </c>
      <c r="D907" s="4" t="s">
        <v>187</v>
      </c>
      <c r="E907" s="14">
        <f>IF(SUMIFS('Daily NSE Equity Futures'!$I:$I,'Daily NSE Equity Futures'!$A:$A,$A907)=0,"",SUMIFS('Daily NSE Equity Futures'!$I:$I,'Daily NSE Equity Futures'!$A:$A,$A907))</f>
        <v>954.673</v>
      </c>
      <c r="F907" s="6">
        <f>IF(SUMIFS('Daily BSE Equity Futures'!$I:$I,'Daily BSE Equity Futures'!$A:$A,$A907)=0,"",SUMIFS('Daily BSE Equity Futures'!$I:$I,'Daily BSE Equity Futures'!$A:$A,$A907))</f>
        <v>0.40889999999999999</v>
      </c>
      <c r="G907" s="6">
        <f t="shared" si="168"/>
        <v>955.08190000000002</v>
      </c>
      <c r="H907" s="15">
        <f t="shared" si="169"/>
        <v>0.99957186917687368</v>
      </c>
      <c r="I907" s="15">
        <f t="shared" si="170"/>
        <v>4.2813082312626797E-4</v>
      </c>
      <c r="J907" s="20">
        <f t="shared" si="171"/>
        <v>-0.45819855544283228</v>
      </c>
      <c r="K907" s="15">
        <f t="shared" si="172"/>
        <v>214.21052631578948</v>
      </c>
      <c r="L907" s="15">
        <f t="shared" si="173"/>
        <v>-0.45796707866527409</v>
      </c>
      <c r="M907" s="15">
        <f t="shared" si="177"/>
        <v>-7.9833430393555505E-2</v>
      </c>
      <c r="N907" s="15">
        <f t="shared" si="178"/>
        <v>0.49561082662765177</v>
      </c>
      <c r="O907" s="15">
        <f t="shared" si="179"/>
        <v>-7.9681830410794796E-2</v>
      </c>
      <c r="P907" s="18">
        <f>IF(SUMIFS('Daily NSE Equity Futures'!$J:$J,'Daily NSE Equity Futures'!$A:$A,$A907)=0,"",SUMIFS('Daily NSE Equity Futures'!$J:$J,'Daily NSE Equity Futures'!$A:$A,$A907))</f>
        <v>1276611</v>
      </c>
      <c r="Q907" s="7">
        <f>IF(SUMIFS('Daily BSE Equity Futures'!$J:$J,'Daily BSE Equity Futures'!$A:$A,$A907)=0,"",SUMIFS('Daily BSE Equity Futures'!$J:$J,'Daily BSE Equity Futures'!$A:$A,$A907))</f>
        <v>582</v>
      </c>
      <c r="R907" s="7">
        <f t="shared" si="174"/>
        <v>1277193</v>
      </c>
      <c r="S907" s="19">
        <f t="shared" si="175"/>
        <v>0.99954431319307258</v>
      </c>
      <c r="T907" s="19">
        <f t="shared" si="176"/>
        <v>4.5568680692737904E-4</v>
      </c>
    </row>
    <row r="908" spans="1:20" x14ac:dyDescent="0.2">
      <c r="A908" s="9">
        <v>45254</v>
      </c>
      <c r="B908" s="4" t="s">
        <v>222</v>
      </c>
      <c r="C908" s="8">
        <v>45231</v>
      </c>
      <c r="D908" s="4" t="s">
        <v>187</v>
      </c>
      <c r="E908" s="14">
        <f>IF(SUMIFS('Daily NSE Equity Futures'!$I:$I,'Daily NSE Equity Futures'!$A:$A,$A908)=0,"",SUMIFS('Daily NSE Equity Futures'!$I:$I,'Daily NSE Equity Futures'!$A:$A,$A908))</f>
        <v>1565.5515</v>
      </c>
      <c r="F908" s="6">
        <f>IF(SUMIFS('Daily BSE Equity Futures'!$I:$I,'Daily BSE Equity Futures'!$A:$A,$A908)=0,"",SUMIFS('Daily BSE Equity Futures'!$I:$I,'Daily BSE Equity Futures'!$A:$A,$A908))</f>
        <v>1.6392</v>
      </c>
      <c r="G908" s="6">
        <f t="shared" si="168"/>
        <v>1567.1907000000001</v>
      </c>
      <c r="H908" s="15">
        <f t="shared" si="169"/>
        <v>0.99895405198614307</v>
      </c>
      <c r="I908" s="15">
        <f t="shared" si="170"/>
        <v>1.0459480138568969E-3</v>
      </c>
      <c r="J908" s="20">
        <f t="shared" si="171"/>
        <v>-0.24046845956788332</v>
      </c>
      <c r="K908" s="15">
        <f t="shared" si="172"/>
        <v>861.73684210526312</v>
      </c>
      <c r="L908" s="15">
        <f t="shared" si="173"/>
        <v>-0.23967389811977313</v>
      </c>
      <c r="M908" s="15">
        <f t="shared" si="177"/>
        <v>0.63988245189714177</v>
      </c>
      <c r="N908" s="15">
        <f t="shared" si="178"/>
        <v>3.0088041085840063</v>
      </c>
      <c r="O908" s="15">
        <f t="shared" si="179"/>
        <v>0.64089666027594072</v>
      </c>
      <c r="P908" s="18">
        <f>IF(SUMIFS('Daily NSE Equity Futures'!$J:$J,'Daily NSE Equity Futures'!$A:$A,$A908)=0,"",SUMIFS('Daily NSE Equity Futures'!$J:$J,'Daily NSE Equity Futures'!$A:$A,$A908))</f>
        <v>2143216</v>
      </c>
      <c r="Q908" s="7">
        <f>IF(SUMIFS('Daily BSE Equity Futures'!$J:$J,'Daily BSE Equity Futures'!$A:$A,$A908)=0,"",SUMIFS('Daily BSE Equity Futures'!$J:$J,'Daily BSE Equity Futures'!$A:$A,$A908))</f>
        <v>2438</v>
      </c>
      <c r="R908" s="7">
        <f t="shared" si="174"/>
        <v>2145654</v>
      </c>
      <c r="S908" s="19">
        <f t="shared" si="175"/>
        <v>0.99886374970055747</v>
      </c>
      <c r="T908" s="19">
        <f t="shared" si="176"/>
        <v>1.1362502994425011E-3</v>
      </c>
    </row>
    <row r="909" spans="1:20" x14ac:dyDescent="0.2">
      <c r="A909" s="9">
        <v>45258</v>
      </c>
      <c r="B909" s="4" t="s">
        <v>223</v>
      </c>
      <c r="C909" s="8">
        <v>45231</v>
      </c>
      <c r="D909" s="4" t="s">
        <v>187</v>
      </c>
      <c r="E909" s="14">
        <f>IF(SUMIFS('Daily NSE Equity Futures'!$I:$I,'Daily NSE Equity Futures'!$A:$A,$A909)=0,"",SUMIFS('Daily NSE Equity Futures'!$I:$I,'Daily NSE Equity Futures'!$A:$A,$A909))</f>
        <v>2671.1676000000002</v>
      </c>
      <c r="F909" s="6">
        <f>IF(SUMIFS('Daily BSE Equity Futures'!$I:$I,'Daily BSE Equity Futures'!$A:$A,$A909)=0,"",SUMIFS('Daily BSE Equity Futures'!$I:$I,'Daily BSE Equity Futures'!$A:$A,$A909))</f>
        <v>8.8999999999999996E-2</v>
      </c>
      <c r="G909" s="6">
        <f t="shared" si="168"/>
        <v>2671.2566000000002</v>
      </c>
      <c r="H909" s="15">
        <f t="shared" si="169"/>
        <v>0.999966682347177</v>
      </c>
      <c r="I909" s="15">
        <f t="shared" si="170"/>
        <v>3.3317652823019695E-5</v>
      </c>
      <c r="J909" s="20">
        <f t="shared" si="171"/>
        <v>2.7864228614715465</v>
      </c>
      <c r="K909" s="15">
        <f t="shared" si="172"/>
        <v>43.5</v>
      </c>
      <c r="L909" s="15">
        <f t="shared" si="173"/>
        <v>2.7865382854398559</v>
      </c>
      <c r="M909" s="15">
        <f t="shared" si="177"/>
        <v>0.70621509416969053</v>
      </c>
      <c r="N909" s="15">
        <f t="shared" si="178"/>
        <v>-0.94570522205954122</v>
      </c>
      <c r="O909" s="15">
        <f t="shared" si="179"/>
        <v>0.70448727139588052</v>
      </c>
      <c r="P909" s="18">
        <f>IF(SUMIFS('Daily NSE Equity Futures'!$J:$J,'Daily NSE Equity Futures'!$A:$A,$A909)=0,"",SUMIFS('Daily NSE Equity Futures'!$J:$J,'Daily NSE Equity Futures'!$A:$A,$A909))</f>
        <v>3587506</v>
      </c>
      <c r="Q909" s="7">
        <f>IF(SUMIFS('Daily BSE Equity Futures'!$J:$J,'Daily BSE Equity Futures'!$A:$A,$A909)=0,"",SUMIFS('Daily BSE Equity Futures'!$J:$J,'Daily BSE Equity Futures'!$A:$A,$A909))</f>
        <v>134</v>
      </c>
      <c r="R909" s="7">
        <f t="shared" si="174"/>
        <v>3587640</v>
      </c>
      <c r="S909" s="19">
        <f t="shared" si="175"/>
        <v>0.99996264954120262</v>
      </c>
      <c r="T909" s="19">
        <f t="shared" si="176"/>
        <v>3.735045879742672E-5</v>
      </c>
    </row>
    <row r="910" spans="1:20" x14ac:dyDescent="0.2">
      <c r="A910" s="9">
        <v>45259</v>
      </c>
      <c r="B910" s="4" t="s">
        <v>221</v>
      </c>
      <c r="C910" s="8">
        <v>45231</v>
      </c>
      <c r="D910" s="4" t="s">
        <v>187</v>
      </c>
      <c r="E910" s="14">
        <f>IF(SUMIFS('Daily NSE Equity Futures'!$I:$I,'Daily NSE Equity Futures'!$A:$A,$A910)=0,"",SUMIFS('Daily NSE Equity Futures'!$I:$I,'Daily NSE Equity Futures'!$A:$A,$A910))</f>
        <v>2655.4843000000001</v>
      </c>
      <c r="F910" s="6">
        <f>IF(SUMIFS('Daily BSE Equity Futures'!$I:$I,'Daily BSE Equity Futures'!$A:$A,$A910)=0,"",SUMIFS('Daily BSE Equity Futures'!$I:$I,'Daily BSE Equity Futures'!$A:$A,$A910))</f>
        <v>0.2747</v>
      </c>
      <c r="G910" s="6">
        <f t="shared" si="168"/>
        <v>2655.759</v>
      </c>
      <c r="H910" s="15">
        <f t="shared" si="169"/>
        <v>0.99989656440964714</v>
      </c>
      <c r="I910" s="15">
        <f t="shared" si="170"/>
        <v>1.034355903528897E-4</v>
      </c>
      <c r="J910" s="20">
        <f t="shared" si="171"/>
        <v>3.0285192938466832</v>
      </c>
      <c r="K910" s="15">
        <f t="shared" si="172"/>
        <v>273.7</v>
      </c>
      <c r="L910" s="15">
        <f t="shared" si="173"/>
        <v>3.0289299171096848</v>
      </c>
      <c r="M910" s="15">
        <f t="shared" si="177"/>
        <v>-5.8713275797446229E-3</v>
      </c>
      <c r="N910" s="15">
        <f t="shared" si="178"/>
        <v>2.0865168539325842</v>
      </c>
      <c r="O910" s="15">
        <f t="shared" si="179"/>
        <v>-5.8016141167419599E-3</v>
      </c>
      <c r="P910" s="18">
        <f>IF(SUMIFS('Daily NSE Equity Futures'!$J:$J,'Daily NSE Equity Futures'!$A:$A,$A910)=0,"",SUMIFS('Daily NSE Equity Futures'!$J:$J,'Daily NSE Equity Futures'!$A:$A,$A910))</f>
        <v>3544578</v>
      </c>
      <c r="Q910" s="7">
        <f>IF(SUMIFS('Daily BSE Equity Futures'!$J:$J,'Daily BSE Equity Futures'!$A:$A,$A910)=0,"",SUMIFS('Daily BSE Equity Futures'!$J:$J,'Daily BSE Equity Futures'!$A:$A,$A910))</f>
        <v>392</v>
      </c>
      <c r="R910" s="7">
        <f t="shared" si="174"/>
        <v>3544970</v>
      </c>
      <c r="S910" s="19">
        <f t="shared" si="175"/>
        <v>0.99988942078494314</v>
      </c>
      <c r="T910" s="19">
        <f t="shared" si="176"/>
        <v>1.10579215056827E-4</v>
      </c>
    </row>
    <row r="911" spans="1:20" x14ac:dyDescent="0.2">
      <c r="A911" s="9">
        <v>45260</v>
      </c>
      <c r="B911" s="4" t="s">
        <v>224</v>
      </c>
      <c r="C911" s="8">
        <v>45231</v>
      </c>
      <c r="D911" s="4" t="s">
        <v>187</v>
      </c>
      <c r="E911" s="14">
        <f>IF(SUMIFS('Daily NSE Equity Futures'!$I:$I,'Daily NSE Equity Futures'!$A:$A,$A911)=0,"",SUMIFS('Daily NSE Equity Futures'!$I:$I,'Daily NSE Equity Futures'!$A:$A,$A911))</f>
        <v>3064.4387999999999</v>
      </c>
      <c r="F911" s="6">
        <f>IF(SUMIFS('Daily BSE Equity Futures'!$I:$I,'Daily BSE Equity Futures'!$A:$A,$A911)=0,"",SUMIFS('Daily BSE Equity Futures'!$I:$I,'Daily BSE Equity Futures'!$A:$A,$A911))</f>
        <v>0.58530000000000004</v>
      </c>
      <c r="G911" s="6">
        <f t="shared" si="168"/>
        <v>3065.0241000000001</v>
      </c>
      <c r="H911" s="15">
        <f t="shared" si="169"/>
        <v>0.99980903902191176</v>
      </c>
      <c r="I911" s="15">
        <f t="shared" si="170"/>
        <v>1.9096097808823101E-4</v>
      </c>
      <c r="J911" s="20">
        <f t="shared" si="171"/>
        <v>2.6447466074456361</v>
      </c>
      <c r="K911" s="15">
        <f t="shared" si="172"/>
        <v>584.30000000000007</v>
      </c>
      <c r="L911" s="15">
        <f t="shared" si="173"/>
        <v>2.6454384089885696</v>
      </c>
      <c r="M911" s="15">
        <f t="shared" si="177"/>
        <v>0.15400373483661722</v>
      </c>
      <c r="N911" s="15">
        <f t="shared" si="178"/>
        <v>1.1306880232981436</v>
      </c>
      <c r="O911" s="15">
        <f t="shared" si="179"/>
        <v>0.15410475875258256</v>
      </c>
      <c r="P911" s="18">
        <f>IF(SUMIFS('Daily NSE Equity Futures'!$J:$J,'Daily NSE Equity Futures'!$A:$A,$A911)=0,"",SUMIFS('Daily NSE Equity Futures'!$J:$J,'Daily NSE Equity Futures'!$A:$A,$A911))</f>
        <v>4025436</v>
      </c>
      <c r="Q911" s="7">
        <f>IF(SUMIFS('Daily BSE Equity Futures'!$J:$J,'Daily BSE Equity Futures'!$A:$A,$A911)=0,"",SUMIFS('Daily BSE Equity Futures'!$J:$J,'Daily BSE Equity Futures'!$A:$A,$A911))</f>
        <v>851</v>
      </c>
      <c r="R911" s="7">
        <f t="shared" si="174"/>
        <v>4026287</v>
      </c>
      <c r="S911" s="19">
        <f t="shared" si="175"/>
        <v>0.99978863901157566</v>
      </c>
      <c r="T911" s="19">
        <f t="shared" si="176"/>
        <v>2.1136098842432246E-4</v>
      </c>
    </row>
    <row r="912" spans="1:20" x14ac:dyDescent="0.2">
      <c r="A912" s="9">
        <v>45261</v>
      </c>
      <c r="B912" s="4" t="s">
        <v>222</v>
      </c>
      <c r="C912" s="8">
        <v>45261</v>
      </c>
      <c r="D912" s="4" t="s">
        <v>187</v>
      </c>
      <c r="E912" s="14">
        <f>IF(SUMIFS('Daily NSE Equity Futures'!$I:$I,'Daily NSE Equity Futures'!$A:$A,$A912)=0,"",SUMIFS('Daily NSE Equity Futures'!$I:$I,'Daily NSE Equity Futures'!$A:$A,$A912))</f>
        <v>1131.5582999999999</v>
      </c>
      <c r="F912" s="6">
        <f>IF(SUMIFS('Daily BSE Equity Futures'!$I:$I,'Daily BSE Equity Futures'!$A:$A,$A912)=0,"",SUMIFS('Daily BSE Equity Futures'!$I:$I,'Daily BSE Equity Futures'!$A:$A,$A912))</f>
        <v>1.4306000000000001</v>
      </c>
      <c r="G912" s="6">
        <f t="shared" si="168"/>
        <v>1132.9888999999998</v>
      </c>
      <c r="H912" s="15">
        <f t="shared" si="169"/>
        <v>0.99873732213969624</v>
      </c>
      <c r="I912" s="15">
        <f t="shared" si="170"/>
        <v>1.262677860303839E-3</v>
      </c>
      <c r="J912" s="20">
        <f t="shared" si="171"/>
        <v>0.33683775890667311</v>
      </c>
      <c r="K912" s="15">
        <f t="shared" si="172"/>
        <v>1429.6000000000001</v>
      </c>
      <c r="L912" s="15">
        <f t="shared" si="173"/>
        <v>0.33852630708433495</v>
      </c>
      <c r="M912" s="15">
        <f t="shared" si="177"/>
        <v>-0.63074534234457547</v>
      </c>
      <c r="N912" s="15">
        <f t="shared" si="178"/>
        <v>1.4442166410387833</v>
      </c>
      <c r="O912" s="15">
        <f t="shared" si="179"/>
        <v>-0.63034910557473278</v>
      </c>
      <c r="P912" s="18">
        <f>IF(SUMIFS('Daily NSE Equity Futures'!$J:$J,'Daily NSE Equity Futures'!$A:$A,$A912)=0,"",SUMIFS('Daily NSE Equity Futures'!$J:$J,'Daily NSE Equity Futures'!$A:$A,$A912))</f>
        <v>1449728</v>
      </c>
      <c r="Q912" s="7">
        <f>IF(SUMIFS('Daily BSE Equity Futures'!$J:$J,'Daily BSE Equity Futures'!$A:$A,$A912)=0,"",SUMIFS('Daily BSE Equity Futures'!$J:$J,'Daily BSE Equity Futures'!$A:$A,$A912))</f>
        <v>2082</v>
      </c>
      <c r="R912" s="7">
        <f t="shared" si="174"/>
        <v>1451810</v>
      </c>
      <c r="S912" s="19">
        <f t="shared" si="175"/>
        <v>0.99856592804843614</v>
      </c>
      <c r="T912" s="19">
        <f t="shared" si="176"/>
        <v>1.4340719515639098E-3</v>
      </c>
    </row>
    <row r="913" spans="1:20" x14ac:dyDescent="0.2">
      <c r="A913" s="9">
        <v>45264</v>
      </c>
      <c r="B913" s="4" t="s">
        <v>225</v>
      </c>
      <c r="C913" s="8">
        <v>45261</v>
      </c>
      <c r="D913" s="4" t="s">
        <v>187</v>
      </c>
      <c r="E913" s="14">
        <f>IF(SUMIFS('Daily NSE Equity Futures'!$I:$I,'Daily NSE Equity Futures'!$A:$A,$A913)=0,"",SUMIFS('Daily NSE Equity Futures'!$I:$I,'Daily NSE Equity Futures'!$A:$A,$A913))</f>
        <v>1452.7720999999999</v>
      </c>
      <c r="F913" s="6">
        <f>IF(SUMIFS('Daily BSE Equity Futures'!$I:$I,'Daily BSE Equity Futures'!$A:$A,$A913)=0,"",SUMIFS('Daily BSE Equity Futures'!$I:$I,'Daily BSE Equity Futures'!$A:$A,$A913))</f>
        <v>0.56220000000000003</v>
      </c>
      <c r="G913" s="6">
        <f t="shared" si="168"/>
        <v>1453.3343</v>
      </c>
      <c r="H913" s="15">
        <f t="shared" si="169"/>
        <v>0.99961316539491285</v>
      </c>
      <c r="I913" s="15">
        <f t="shared" si="170"/>
        <v>3.8683460508707465E-4</v>
      </c>
      <c r="J913" s="20" t="str">
        <f t="shared" si="171"/>
        <v/>
      </c>
      <c r="K913" s="15" t="str">
        <f t="shared" si="172"/>
        <v/>
      </c>
      <c r="L913" s="15" t="str">
        <f t="shared" si="173"/>
        <v/>
      </c>
      <c r="M913" s="15">
        <f t="shared" si="177"/>
        <v>0.28386853775010978</v>
      </c>
      <c r="N913" s="15">
        <f t="shared" si="178"/>
        <v>-0.60701803439116453</v>
      </c>
      <c r="O913" s="15">
        <f t="shared" si="179"/>
        <v>0.28274363499942523</v>
      </c>
      <c r="P913" s="18">
        <f>IF(SUMIFS('Daily NSE Equity Futures'!$J:$J,'Daily NSE Equity Futures'!$A:$A,$A913)=0,"",SUMIFS('Daily NSE Equity Futures'!$J:$J,'Daily NSE Equity Futures'!$A:$A,$A913))</f>
        <v>1848889</v>
      </c>
      <c r="Q913" s="7">
        <f>IF(SUMIFS('Daily BSE Equity Futures'!$J:$J,'Daily BSE Equity Futures'!$A:$A,$A913)=0,"",SUMIFS('Daily BSE Equity Futures'!$J:$J,'Daily BSE Equity Futures'!$A:$A,$A913))</f>
        <v>750</v>
      </c>
      <c r="R913" s="7">
        <f t="shared" si="174"/>
        <v>1849639</v>
      </c>
      <c r="S913" s="19">
        <f t="shared" si="175"/>
        <v>0.99959451547031608</v>
      </c>
      <c r="T913" s="19">
        <f t="shared" si="176"/>
        <v>4.0548452968390048E-4</v>
      </c>
    </row>
    <row r="914" spans="1:20" x14ac:dyDescent="0.2">
      <c r="A914" s="9">
        <v>45265</v>
      </c>
      <c r="B914" s="4" t="s">
        <v>223</v>
      </c>
      <c r="C914" s="8">
        <v>45261</v>
      </c>
      <c r="D914" s="4" t="s">
        <v>187</v>
      </c>
      <c r="E914" s="14">
        <f>IF(SUMIFS('Daily NSE Equity Futures'!$I:$I,'Daily NSE Equity Futures'!$A:$A,$A914)=0,"",SUMIFS('Daily NSE Equity Futures'!$I:$I,'Daily NSE Equity Futures'!$A:$A,$A914))</f>
        <v>1367.1436000000001</v>
      </c>
      <c r="F914" s="6">
        <f>IF(SUMIFS('Daily BSE Equity Futures'!$I:$I,'Daily BSE Equity Futures'!$A:$A,$A914)=0,"",SUMIFS('Daily BSE Equity Futures'!$I:$I,'Daily BSE Equity Futures'!$A:$A,$A914))</f>
        <v>0.1181</v>
      </c>
      <c r="G914" s="6">
        <f t="shared" si="168"/>
        <v>1367.2617</v>
      </c>
      <c r="H914" s="15">
        <f t="shared" si="169"/>
        <v>0.99991362297356834</v>
      </c>
      <c r="I914" s="15">
        <f t="shared" si="170"/>
        <v>8.6377026431735777E-5</v>
      </c>
      <c r="J914" s="20">
        <f t="shared" si="171"/>
        <v>0.86375259272285843</v>
      </c>
      <c r="K914" s="15">
        <f t="shared" si="172"/>
        <v>117.1</v>
      </c>
      <c r="L914" s="15">
        <f t="shared" si="173"/>
        <v>0.86391105106779498</v>
      </c>
      <c r="M914" s="15">
        <f t="shared" si="177"/>
        <v>-5.8941454065644439E-2</v>
      </c>
      <c r="N914" s="15">
        <f t="shared" si="178"/>
        <v>-0.78993240839558876</v>
      </c>
      <c r="O914" s="15">
        <f t="shared" si="179"/>
        <v>-5.922422666278504E-2</v>
      </c>
      <c r="P914" s="18">
        <f>IF(SUMIFS('Daily NSE Equity Futures'!$J:$J,'Daily NSE Equity Futures'!$A:$A,$A914)=0,"",SUMIFS('Daily NSE Equity Futures'!$J:$J,'Daily NSE Equity Futures'!$A:$A,$A914))</f>
        <v>1727586</v>
      </c>
      <c r="Q914" s="7">
        <f>IF(SUMIFS('Daily BSE Equity Futures'!$J:$J,'Daily BSE Equity Futures'!$A:$A,$A914)=0,"",SUMIFS('Daily BSE Equity Futures'!$J:$J,'Daily BSE Equity Futures'!$A:$A,$A914))</f>
        <v>168</v>
      </c>
      <c r="R914" s="7">
        <f t="shared" si="174"/>
        <v>1727754</v>
      </c>
      <c r="S914" s="19">
        <f t="shared" si="175"/>
        <v>0.99990276393514355</v>
      </c>
      <c r="T914" s="19">
        <f t="shared" si="176"/>
        <v>9.7236064856455264E-5</v>
      </c>
    </row>
    <row r="915" spans="1:20" x14ac:dyDescent="0.2">
      <c r="A915" s="9">
        <v>45266</v>
      </c>
      <c r="B915" s="4" t="s">
        <v>221</v>
      </c>
      <c r="C915" s="8">
        <v>45261</v>
      </c>
      <c r="D915" s="4" t="s">
        <v>187</v>
      </c>
      <c r="E915" s="14">
        <f>IF(SUMIFS('Daily NSE Equity Futures'!$I:$I,'Daily NSE Equity Futures'!$A:$A,$A915)=0,"",SUMIFS('Daily NSE Equity Futures'!$I:$I,'Daily NSE Equity Futures'!$A:$A,$A915))</f>
        <v>1250.1948</v>
      </c>
      <c r="F915" s="6">
        <f>IF(SUMIFS('Daily BSE Equity Futures'!$I:$I,'Daily BSE Equity Futures'!$A:$A,$A915)=0,"",SUMIFS('Daily BSE Equity Futures'!$I:$I,'Daily BSE Equity Futures'!$A:$A,$A915))</f>
        <v>0.18260000000000001</v>
      </c>
      <c r="G915" s="6">
        <f t="shared" si="168"/>
        <v>1250.3774000000001</v>
      </c>
      <c r="H915" s="15">
        <f t="shared" si="169"/>
        <v>0.99985396409116156</v>
      </c>
      <c r="I915" s="15">
        <f t="shared" si="170"/>
        <v>1.4603590883840352E-4</v>
      </c>
      <c r="J915" s="20">
        <f t="shared" si="171"/>
        <v>0.77075748000134836</v>
      </c>
      <c r="K915" s="15">
        <f t="shared" si="172"/>
        <v>181.6</v>
      </c>
      <c r="L915" s="15">
        <f t="shared" si="173"/>
        <v>0.77101360351127091</v>
      </c>
      <c r="M915" s="15">
        <f t="shared" si="177"/>
        <v>-8.5542440457608171E-2</v>
      </c>
      <c r="N915" s="15">
        <f t="shared" si="178"/>
        <v>0.5461473327688402</v>
      </c>
      <c r="O915" s="15">
        <f t="shared" si="179"/>
        <v>-8.5487876973369459E-2</v>
      </c>
      <c r="P915" s="18">
        <f>IF(SUMIFS('Daily NSE Equity Futures'!$J:$J,'Daily NSE Equity Futures'!$A:$A,$A915)=0,"",SUMIFS('Daily NSE Equity Futures'!$J:$J,'Daily NSE Equity Futures'!$A:$A,$A915))</f>
        <v>1573864</v>
      </c>
      <c r="Q915" s="7">
        <f>IF(SUMIFS('Daily BSE Equity Futures'!$J:$J,'Daily BSE Equity Futures'!$A:$A,$A915)=0,"",SUMIFS('Daily BSE Equity Futures'!$J:$J,'Daily BSE Equity Futures'!$A:$A,$A915))</f>
        <v>251</v>
      </c>
      <c r="R915" s="7">
        <f t="shared" si="174"/>
        <v>1574115</v>
      </c>
      <c r="S915" s="19">
        <f t="shared" si="175"/>
        <v>0.99984054532229216</v>
      </c>
      <c r="T915" s="19">
        <f t="shared" si="176"/>
        <v>1.5945467770779137E-4</v>
      </c>
    </row>
    <row r="916" spans="1:20" x14ac:dyDescent="0.2">
      <c r="A916" s="9">
        <v>45267</v>
      </c>
      <c r="B916" s="4" t="s">
        <v>224</v>
      </c>
      <c r="C916" s="8">
        <v>45261</v>
      </c>
      <c r="D916" s="4" t="s">
        <v>187</v>
      </c>
      <c r="E916" s="14">
        <f>IF(SUMIFS('Daily NSE Equity Futures'!$I:$I,'Daily NSE Equity Futures'!$A:$A,$A916)=0,"",SUMIFS('Daily NSE Equity Futures'!$I:$I,'Daily NSE Equity Futures'!$A:$A,$A916))</f>
        <v>1098.9842000000001</v>
      </c>
      <c r="F916" s="6">
        <f>IF(SUMIFS('Daily BSE Equity Futures'!$I:$I,'Daily BSE Equity Futures'!$A:$A,$A916)=0,"",SUMIFS('Daily BSE Equity Futures'!$I:$I,'Daily BSE Equity Futures'!$A:$A,$A916))</f>
        <v>0.55300000000000005</v>
      </c>
      <c r="G916" s="6">
        <f t="shared" si="168"/>
        <v>1099.5372000000002</v>
      </c>
      <c r="H916" s="15">
        <f t="shared" si="169"/>
        <v>0.99949706112717229</v>
      </c>
      <c r="I916" s="15">
        <f t="shared" si="170"/>
        <v>5.0293887282758601E-4</v>
      </c>
      <c r="J916" s="20">
        <f t="shared" si="171"/>
        <v>0.54494099758794579</v>
      </c>
      <c r="K916" s="15">
        <f t="shared" si="172"/>
        <v>552</v>
      </c>
      <c r="L916" s="15">
        <f t="shared" si="173"/>
        <v>0.54571622650506524</v>
      </c>
      <c r="M916" s="15">
        <f t="shared" si="177"/>
        <v>-0.12094963120947222</v>
      </c>
      <c r="N916" s="15">
        <f t="shared" si="178"/>
        <v>2.0284775465498357</v>
      </c>
      <c r="O916" s="15">
        <f t="shared" si="179"/>
        <v>-0.12063573765808611</v>
      </c>
      <c r="P916" s="18">
        <f>IF(SUMIFS('Daily NSE Equity Futures'!$J:$J,'Daily NSE Equity Futures'!$A:$A,$A916)=0,"",SUMIFS('Daily NSE Equity Futures'!$J:$J,'Daily NSE Equity Futures'!$A:$A,$A916))</f>
        <v>1373560</v>
      </c>
      <c r="Q916" s="7">
        <f>IF(SUMIFS('Daily BSE Equity Futures'!$J:$J,'Daily BSE Equity Futures'!$A:$A,$A916)=0,"",SUMIFS('Daily BSE Equity Futures'!$J:$J,'Daily BSE Equity Futures'!$A:$A,$A916))</f>
        <v>784</v>
      </c>
      <c r="R916" s="7">
        <f t="shared" si="174"/>
        <v>1374344</v>
      </c>
      <c r="S916" s="19">
        <f t="shared" si="175"/>
        <v>0.99942954602341194</v>
      </c>
      <c r="T916" s="19">
        <f t="shared" si="176"/>
        <v>5.7045397658810309E-4</v>
      </c>
    </row>
    <row r="917" spans="1:20" x14ac:dyDescent="0.2">
      <c r="A917" s="9">
        <v>45268</v>
      </c>
      <c r="B917" s="4" t="s">
        <v>222</v>
      </c>
      <c r="C917" s="8">
        <v>45261</v>
      </c>
      <c r="D917" s="4" t="s">
        <v>187</v>
      </c>
      <c r="E917" s="14">
        <f>IF(SUMIFS('Daily NSE Equity Futures'!$I:$I,'Daily NSE Equity Futures'!$A:$A,$A917)=0,"",SUMIFS('Daily NSE Equity Futures'!$I:$I,'Daily NSE Equity Futures'!$A:$A,$A917))</f>
        <v>1252.7898</v>
      </c>
      <c r="F917" s="6">
        <f>IF(SUMIFS('Daily BSE Equity Futures'!$I:$I,'Daily BSE Equity Futures'!$A:$A,$A917)=0,"",SUMIFS('Daily BSE Equity Futures'!$I:$I,'Daily BSE Equity Futures'!$A:$A,$A917))</f>
        <v>4.0122999999999998</v>
      </c>
      <c r="G917" s="6">
        <f t="shared" si="168"/>
        <v>1256.8021000000001</v>
      </c>
      <c r="H917" s="15">
        <f t="shared" si="169"/>
        <v>0.99680753238715936</v>
      </c>
      <c r="I917" s="15">
        <f t="shared" si="170"/>
        <v>3.1924676128405574E-3</v>
      </c>
      <c r="J917" s="20">
        <f t="shared" si="171"/>
        <v>0.7396879117784414</v>
      </c>
      <c r="K917" s="15">
        <f t="shared" si="172"/>
        <v>4011.2999999999997</v>
      </c>
      <c r="L917" s="15">
        <f t="shared" si="173"/>
        <v>0.74525717296305682</v>
      </c>
      <c r="M917" s="15">
        <f t="shared" si="177"/>
        <v>0.13995251251109875</v>
      </c>
      <c r="N917" s="15">
        <f t="shared" si="178"/>
        <v>6.2555153707052433</v>
      </c>
      <c r="O917" s="15">
        <f t="shared" si="179"/>
        <v>0.14302826680170511</v>
      </c>
      <c r="P917" s="18">
        <f>IF(SUMIFS('Daily NSE Equity Futures'!$J:$J,'Daily NSE Equity Futures'!$A:$A,$A917)=0,"",SUMIFS('Daily NSE Equity Futures'!$J:$J,'Daily NSE Equity Futures'!$A:$A,$A917))</f>
        <v>1558546</v>
      </c>
      <c r="Q917" s="7">
        <f>IF(SUMIFS('Daily BSE Equity Futures'!$J:$J,'Daily BSE Equity Futures'!$A:$A,$A917)=0,"",SUMIFS('Daily BSE Equity Futures'!$J:$J,'Daily BSE Equity Futures'!$A:$A,$A917))</f>
        <v>5417</v>
      </c>
      <c r="R917" s="7">
        <f t="shared" si="174"/>
        <v>1563963</v>
      </c>
      <c r="S917" s="19">
        <f t="shared" si="175"/>
        <v>0.99653636307252791</v>
      </c>
      <c r="T917" s="19">
        <f t="shared" si="176"/>
        <v>3.4636369274720692E-3</v>
      </c>
    </row>
    <row r="918" spans="1:20" x14ac:dyDescent="0.2">
      <c r="A918" s="9">
        <v>45271</v>
      </c>
      <c r="B918" s="4" t="s">
        <v>225</v>
      </c>
      <c r="C918" s="8">
        <v>45261</v>
      </c>
      <c r="D918" s="4" t="s">
        <v>187</v>
      </c>
      <c r="E918" s="14">
        <f>IF(SUMIFS('Daily NSE Equity Futures'!$I:$I,'Daily NSE Equity Futures'!$A:$A,$A918)=0,"",SUMIFS('Daily NSE Equity Futures'!$I:$I,'Daily NSE Equity Futures'!$A:$A,$A918))</f>
        <v>908.00559999999996</v>
      </c>
      <c r="F918" s="6">
        <f>IF(SUMIFS('Daily BSE Equity Futures'!$I:$I,'Daily BSE Equity Futures'!$A:$A,$A918)=0,"",SUMIFS('Daily BSE Equity Futures'!$I:$I,'Daily BSE Equity Futures'!$A:$A,$A918))</f>
        <v>1.1001000000000001</v>
      </c>
      <c r="G918" s="6">
        <f t="shared" si="168"/>
        <v>909.10569999999996</v>
      </c>
      <c r="H918" s="15">
        <f t="shared" si="169"/>
        <v>0.99878990968816939</v>
      </c>
      <c r="I918" s="15">
        <f t="shared" si="170"/>
        <v>1.2100903118306267E-3</v>
      </c>
      <c r="J918" s="20" t="str">
        <f t="shared" si="171"/>
        <v/>
      </c>
      <c r="K918" s="15" t="str">
        <f t="shared" si="172"/>
        <v/>
      </c>
      <c r="L918" s="15" t="str">
        <f t="shared" si="173"/>
        <v/>
      </c>
      <c r="M918" s="15">
        <f t="shared" si="177"/>
        <v>-0.27521312833166434</v>
      </c>
      <c r="N918" s="15">
        <f t="shared" si="178"/>
        <v>-0.72581810931385982</v>
      </c>
      <c r="O918" s="15">
        <f t="shared" si="179"/>
        <v>-0.27665167013963465</v>
      </c>
      <c r="P918" s="18">
        <f>IF(SUMIFS('Daily NSE Equity Futures'!$J:$J,'Daily NSE Equity Futures'!$A:$A,$A918)=0,"",SUMIFS('Daily NSE Equity Futures'!$J:$J,'Daily NSE Equity Futures'!$A:$A,$A918))</f>
        <v>1130591</v>
      </c>
      <c r="Q918" s="7">
        <f>IF(SUMIFS('Daily BSE Equity Futures'!$J:$J,'Daily BSE Equity Futures'!$A:$A,$A918)=0,"",SUMIFS('Daily BSE Equity Futures'!$J:$J,'Daily BSE Equity Futures'!$A:$A,$A918))</f>
        <v>1415</v>
      </c>
      <c r="R918" s="7">
        <f t="shared" si="174"/>
        <v>1132006</v>
      </c>
      <c r="S918" s="19">
        <f t="shared" si="175"/>
        <v>0.99875000662540658</v>
      </c>
      <c r="T918" s="19">
        <f t="shared" si="176"/>
        <v>1.249993374593421E-3</v>
      </c>
    </row>
    <row r="919" spans="1:20" x14ac:dyDescent="0.2">
      <c r="A919" s="9">
        <v>45272</v>
      </c>
      <c r="B919" s="4" t="s">
        <v>223</v>
      </c>
      <c r="C919" s="8">
        <v>45261</v>
      </c>
      <c r="D919" s="4" t="s">
        <v>187</v>
      </c>
      <c r="E919" s="14">
        <f>IF(SUMIFS('Daily NSE Equity Futures'!$I:$I,'Daily NSE Equity Futures'!$A:$A,$A919)=0,"",SUMIFS('Daily NSE Equity Futures'!$I:$I,'Daily NSE Equity Futures'!$A:$A,$A919))</f>
        <v>977.68420000000003</v>
      </c>
      <c r="F919" s="6">
        <f>IF(SUMIFS('Daily BSE Equity Futures'!$I:$I,'Daily BSE Equity Futures'!$A:$A,$A919)=0,"",SUMIFS('Daily BSE Equity Futures'!$I:$I,'Daily BSE Equity Futures'!$A:$A,$A919))</f>
        <v>0.40389999999999998</v>
      </c>
      <c r="G919" s="6">
        <f t="shared" si="168"/>
        <v>978.08810000000005</v>
      </c>
      <c r="H919" s="15">
        <f t="shared" si="169"/>
        <v>0.99958705151407112</v>
      </c>
      <c r="I919" s="15">
        <f t="shared" si="170"/>
        <v>4.1294848592882377E-4</v>
      </c>
      <c r="J919" s="20">
        <f t="shared" si="171"/>
        <v>0.40013003361111088</v>
      </c>
      <c r="K919" s="15">
        <f t="shared" si="172"/>
        <v>200.95</v>
      </c>
      <c r="L919" s="15">
        <f t="shared" si="173"/>
        <v>0.40070444218175183</v>
      </c>
      <c r="M919" s="15">
        <f t="shared" si="177"/>
        <v>7.6738072981047845E-2</v>
      </c>
      <c r="N919" s="15">
        <f t="shared" si="178"/>
        <v>-0.63285155894918654</v>
      </c>
      <c r="O919" s="15">
        <f t="shared" si="179"/>
        <v>7.58794054420735E-2</v>
      </c>
      <c r="P919" s="18">
        <f>IF(SUMIFS('Daily NSE Equity Futures'!$J:$J,'Daily NSE Equity Futures'!$A:$A,$A919)=0,"",SUMIFS('Daily NSE Equity Futures'!$J:$J,'Daily NSE Equity Futures'!$A:$A,$A919))</f>
        <v>1227338</v>
      </c>
      <c r="Q919" s="7">
        <f>IF(SUMIFS('Daily BSE Equity Futures'!$J:$J,'Daily BSE Equity Futures'!$A:$A,$A919)=0,"",SUMIFS('Daily BSE Equity Futures'!$J:$J,'Daily BSE Equity Futures'!$A:$A,$A919))</f>
        <v>552</v>
      </c>
      <c r="R919" s="7">
        <f t="shared" si="174"/>
        <v>1227890</v>
      </c>
      <c r="S919" s="19">
        <f t="shared" si="175"/>
        <v>0.99955044833006212</v>
      </c>
      <c r="T919" s="19">
        <f t="shared" si="176"/>
        <v>4.495516699378609E-4</v>
      </c>
    </row>
    <row r="920" spans="1:20" x14ac:dyDescent="0.2">
      <c r="A920" s="9">
        <v>45273</v>
      </c>
      <c r="B920" s="4" t="s">
        <v>221</v>
      </c>
      <c r="C920" s="8">
        <v>45261</v>
      </c>
      <c r="D920" s="4" t="s">
        <v>187</v>
      </c>
      <c r="E920" s="14">
        <f>IF(SUMIFS('Daily NSE Equity Futures'!$I:$I,'Daily NSE Equity Futures'!$A:$A,$A920)=0,"",SUMIFS('Daily NSE Equity Futures'!$I:$I,'Daily NSE Equity Futures'!$A:$A,$A920))</f>
        <v>1104.0914</v>
      </c>
      <c r="F920" s="6">
        <f>IF(SUMIFS('Daily BSE Equity Futures'!$I:$I,'Daily BSE Equity Futures'!$A:$A,$A920)=0,"",SUMIFS('Daily BSE Equity Futures'!$I:$I,'Daily BSE Equity Futures'!$A:$A,$A920))</f>
        <v>0.73329999999999995</v>
      </c>
      <c r="G920" s="6">
        <f t="shared" si="168"/>
        <v>1104.8247000000001</v>
      </c>
      <c r="H920" s="15">
        <f t="shared" si="169"/>
        <v>0.9993362747954494</v>
      </c>
      <c r="I920" s="15">
        <f t="shared" si="170"/>
        <v>6.6372520455054988E-4</v>
      </c>
      <c r="J920" s="20">
        <f t="shared" si="171"/>
        <v>0.69782820538883583</v>
      </c>
      <c r="K920" s="15">
        <f t="shared" si="172"/>
        <v>732.3</v>
      </c>
      <c r="L920" s="15">
        <f t="shared" si="173"/>
        <v>0.69895323262144893</v>
      </c>
      <c r="M920" s="15">
        <f t="shared" si="177"/>
        <v>0.12929246478566392</v>
      </c>
      <c r="N920" s="15">
        <f t="shared" si="178"/>
        <v>0.81554840307006682</v>
      </c>
      <c r="O920" s="15">
        <f t="shared" si="179"/>
        <v>0.12957585313633824</v>
      </c>
      <c r="P920" s="18">
        <f>IF(SUMIFS('Daily NSE Equity Futures'!$J:$J,'Daily NSE Equity Futures'!$A:$A,$A920)=0,"",SUMIFS('Daily NSE Equity Futures'!$J:$J,'Daily NSE Equity Futures'!$A:$A,$A920))</f>
        <v>1340849</v>
      </c>
      <c r="Q920" s="7">
        <f>IF(SUMIFS('Daily BSE Equity Futures'!$J:$J,'Daily BSE Equity Futures'!$A:$A,$A920)=0,"",SUMIFS('Daily BSE Equity Futures'!$J:$J,'Daily BSE Equity Futures'!$A:$A,$A920))</f>
        <v>994</v>
      </c>
      <c r="R920" s="7">
        <f t="shared" si="174"/>
        <v>1341843</v>
      </c>
      <c r="S920" s="19">
        <f t="shared" si="175"/>
        <v>0.99925922779341547</v>
      </c>
      <c r="T920" s="19">
        <f t="shared" si="176"/>
        <v>7.4077220658452596E-4</v>
      </c>
    </row>
    <row r="921" spans="1:20" x14ac:dyDescent="0.2">
      <c r="A921" s="9">
        <v>45274</v>
      </c>
      <c r="B921" s="4" t="s">
        <v>224</v>
      </c>
      <c r="C921" s="8">
        <v>45261</v>
      </c>
      <c r="D921" s="4" t="s">
        <v>187</v>
      </c>
      <c r="E921" s="14">
        <f>IF(SUMIFS('Daily NSE Equity Futures'!$I:$I,'Daily NSE Equity Futures'!$A:$A,$A921)=0,"",SUMIFS('Daily NSE Equity Futures'!$I:$I,'Daily NSE Equity Futures'!$A:$A,$A921))</f>
        <v>1367.6079</v>
      </c>
      <c r="F921" s="6">
        <f>IF(SUMIFS('Daily BSE Equity Futures'!$I:$I,'Daily BSE Equity Futures'!$A:$A,$A921)=0,"",SUMIFS('Daily BSE Equity Futures'!$I:$I,'Daily BSE Equity Futures'!$A:$A,$A921))</f>
        <v>2.0642999999999998</v>
      </c>
      <c r="G921" s="6">
        <f t="shared" si="168"/>
        <v>1369.6722</v>
      </c>
      <c r="H921" s="15">
        <f t="shared" si="169"/>
        <v>0.99849285106319596</v>
      </c>
      <c r="I921" s="15">
        <f t="shared" si="170"/>
        <v>1.5071489368040031E-3</v>
      </c>
      <c r="J921" s="20">
        <f t="shared" si="171"/>
        <v>0.90652916947686157</v>
      </c>
      <c r="K921" s="15">
        <f t="shared" si="172"/>
        <v>2063.2999999999997</v>
      </c>
      <c r="L921" s="15">
        <f t="shared" si="173"/>
        <v>0.90940426827500209</v>
      </c>
      <c r="M921" s="15">
        <f t="shared" si="177"/>
        <v>0.23867272220397684</v>
      </c>
      <c r="N921" s="15">
        <f t="shared" si="178"/>
        <v>1.8150825037501703</v>
      </c>
      <c r="O921" s="15">
        <f t="shared" si="179"/>
        <v>0.23971902510868892</v>
      </c>
      <c r="P921" s="18">
        <f>IF(SUMIFS('Daily NSE Equity Futures'!$J:$J,'Daily NSE Equity Futures'!$A:$A,$A921)=0,"",SUMIFS('Daily NSE Equity Futures'!$J:$J,'Daily NSE Equity Futures'!$A:$A,$A921))</f>
        <v>1669488</v>
      </c>
      <c r="Q921" s="7">
        <f>IF(SUMIFS('Daily BSE Equity Futures'!$J:$J,'Daily BSE Equity Futures'!$A:$A,$A921)=0,"",SUMIFS('Daily BSE Equity Futures'!$J:$J,'Daily BSE Equity Futures'!$A:$A,$A921))</f>
        <v>2779</v>
      </c>
      <c r="R921" s="7">
        <f t="shared" si="174"/>
        <v>1672267</v>
      </c>
      <c r="S921" s="19">
        <f t="shared" si="175"/>
        <v>0.99833818403400887</v>
      </c>
      <c r="T921" s="19">
        <f t="shared" si="176"/>
        <v>1.6618159659910767E-3</v>
      </c>
    </row>
    <row r="922" spans="1:20" x14ac:dyDescent="0.2">
      <c r="A922" s="9">
        <v>45275</v>
      </c>
      <c r="B922" s="4" t="s">
        <v>222</v>
      </c>
      <c r="C922" s="8">
        <v>45261</v>
      </c>
      <c r="D922" s="4" t="s">
        <v>187</v>
      </c>
      <c r="E922" s="14">
        <f>IF(SUMIFS('Daily NSE Equity Futures'!$I:$I,'Daily NSE Equity Futures'!$A:$A,$A922)=0,"",SUMIFS('Daily NSE Equity Futures'!$I:$I,'Daily NSE Equity Futures'!$A:$A,$A922))</f>
        <v>1499.2262000000001</v>
      </c>
      <c r="F922" s="6">
        <f>IF(SUMIFS('Daily BSE Equity Futures'!$I:$I,'Daily BSE Equity Futures'!$A:$A,$A922)=0,"",SUMIFS('Daily BSE Equity Futures'!$I:$I,'Daily BSE Equity Futures'!$A:$A,$A922))</f>
        <v>3.7008999999999999</v>
      </c>
      <c r="G922" s="6">
        <f t="shared" si="168"/>
        <v>1502.9271000000001</v>
      </c>
      <c r="H922" s="15">
        <f t="shared" si="169"/>
        <v>0.99753753858054717</v>
      </c>
      <c r="I922" s="15">
        <f t="shared" si="170"/>
        <v>2.4624614194527464E-3</v>
      </c>
      <c r="J922" s="20">
        <f t="shared" si="171"/>
        <v>0.68469228945366467</v>
      </c>
      <c r="K922" s="15">
        <f t="shared" si="172"/>
        <v>1849.4499999999998</v>
      </c>
      <c r="L922" s="15">
        <f t="shared" si="173"/>
        <v>0.68884722439159818</v>
      </c>
      <c r="M922" s="15">
        <f t="shared" si="177"/>
        <v>9.6239792121703971E-2</v>
      </c>
      <c r="N922" s="15">
        <f t="shared" si="178"/>
        <v>0.7928111224143779</v>
      </c>
      <c r="O922" s="15">
        <f t="shared" si="179"/>
        <v>9.7289628861562782E-2</v>
      </c>
      <c r="P922" s="18">
        <f>IF(SUMIFS('Daily NSE Equity Futures'!$J:$J,'Daily NSE Equity Futures'!$A:$A,$A922)=0,"",SUMIFS('Daily NSE Equity Futures'!$J:$J,'Daily NSE Equity Futures'!$A:$A,$A922))</f>
        <v>1829305</v>
      </c>
      <c r="Q922" s="7">
        <f>IF(SUMIFS('Daily BSE Equity Futures'!$J:$J,'Daily BSE Equity Futures'!$A:$A,$A922)=0,"",SUMIFS('Daily BSE Equity Futures'!$J:$J,'Daily BSE Equity Futures'!$A:$A,$A922))</f>
        <v>4943</v>
      </c>
      <c r="R922" s="7">
        <f t="shared" si="174"/>
        <v>1834248</v>
      </c>
      <c r="S922" s="19">
        <f t="shared" si="175"/>
        <v>0.99730516266066527</v>
      </c>
      <c r="T922" s="19">
        <f t="shared" si="176"/>
        <v>2.694837339334703E-3</v>
      </c>
    </row>
    <row r="923" spans="1:20" x14ac:dyDescent="0.2">
      <c r="A923" s="9">
        <v>45278</v>
      </c>
      <c r="B923" s="4" t="s">
        <v>225</v>
      </c>
      <c r="C923" s="8">
        <v>45261</v>
      </c>
      <c r="D923" s="4" t="s">
        <v>187</v>
      </c>
      <c r="E923" s="14">
        <f>IF(SUMIFS('Daily NSE Equity Futures'!$I:$I,'Daily NSE Equity Futures'!$A:$A,$A923)=0,"",SUMIFS('Daily NSE Equity Futures'!$I:$I,'Daily NSE Equity Futures'!$A:$A,$A923))</f>
        <v>1123.4241999999999</v>
      </c>
      <c r="F923" s="6">
        <f>IF(SUMIFS('Daily BSE Equity Futures'!$I:$I,'Daily BSE Equity Futures'!$A:$A,$A923)=0,"",SUMIFS('Daily BSE Equity Futures'!$I:$I,'Daily BSE Equity Futures'!$A:$A,$A923))</f>
        <v>1.2858000000000001</v>
      </c>
      <c r="G923" s="6">
        <f t="shared" si="168"/>
        <v>1124.71</v>
      </c>
      <c r="H923" s="15">
        <f t="shared" si="169"/>
        <v>0.99885677196788492</v>
      </c>
      <c r="I923" s="15">
        <f t="shared" si="170"/>
        <v>1.1432280321149453E-3</v>
      </c>
      <c r="J923" s="20" t="str">
        <f t="shared" si="171"/>
        <v/>
      </c>
      <c r="K923" s="15" t="str">
        <f t="shared" si="172"/>
        <v/>
      </c>
      <c r="L923" s="15" t="str">
        <f t="shared" si="173"/>
        <v/>
      </c>
      <c r="M923" s="15">
        <f t="shared" si="177"/>
        <v>-0.25066397585634514</v>
      </c>
      <c r="N923" s="15">
        <f t="shared" si="178"/>
        <v>-0.65257099624415682</v>
      </c>
      <c r="O923" s="15">
        <f t="shared" si="179"/>
        <v>-0.25165365638825732</v>
      </c>
      <c r="P923" s="18">
        <f>IF(SUMIFS('Daily NSE Equity Futures'!$J:$J,'Daily NSE Equity Futures'!$A:$A,$A923)=0,"",SUMIFS('Daily NSE Equity Futures'!$J:$J,'Daily NSE Equity Futures'!$A:$A,$A923))</f>
        <v>1375364</v>
      </c>
      <c r="Q923" s="7">
        <f>IF(SUMIFS('Daily BSE Equity Futures'!$J:$J,'Daily BSE Equity Futures'!$A:$A,$A923)=0,"",SUMIFS('Daily BSE Equity Futures'!$J:$J,'Daily BSE Equity Futures'!$A:$A,$A923))</f>
        <v>1703</v>
      </c>
      <c r="R923" s="7">
        <f t="shared" si="174"/>
        <v>1377067</v>
      </c>
      <c r="S923" s="19">
        <f t="shared" si="175"/>
        <v>0.99876331362235826</v>
      </c>
      <c r="T923" s="19">
        <f t="shared" si="176"/>
        <v>1.2366863776417561E-3</v>
      </c>
    </row>
    <row r="924" spans="1:20" x14ac:dyDescent="0.2">
      <c r="A924" s="9">
        <v>45279</v>
      </c>
      <c r="B924" s="4" t="s">
        <v>223</v>
      </c>
      <c r="C924" s="8">
        <v>45261</v>
      </c>
      <c r="D924" s="4" t="s">
        <v>187</v>
      </c>
      <c r="E924" s="14">
        <f>IF(SUMIFS('Daily NSE Equity Futures'!$I:$I,'Daily NSE Equity Futures'!$A:$A,$A924)=0,"",SUMIFS('Daily NSE Equity Futures'!$I:$I,'Daily NSE Equity Futures'!$A:$A,$A924))</f>
        <v>1204.231</v>
      </c>
      <c r="F924" s="6">
        <f>IF(SUMIFS('Daily BSE Equity Futures'!$I:$I,'Daily BSE Equity Futures'!$A:$A,$A924)=0,"",SUMIFS('Daily BSE Equity Futures'!$I:$I,'Daily BSE Equity Futures'!$A:$A,$A924))</f>
        <v>0.3407</v>
      </c>
      <c r="G924" s="6">
        <f t="shared" si="168"/>
        <v>1204.5717</v>
      </c>
      <c r="H924" s="15">
        <f t="shared" si="169"/>
        <v>0.999717160879672</v>
      </c>
      <c r="I924" s="15">
        <f t="shared" si="170"/>
        <v>2.8283912032799709E-4</v>
      </c>
      <c r="J924" s="20">
        <f t="shared" si="171"/>
        <v>0.65173713229495034</v>
      </c>
      <c r="K924" s="15">
        <f t="shared" si="172"/>
        <v>69.979166666666671</v>
      </c>
      <c r="L924" s="15">
        <f t="shared" si="173"/>
        <v>0.65219356274025331</v>
      </c>
      <c r="M924" s="15">
        <f t="shared" si="177"/>
        <v>7.1929018442009829E-2</v>
      </c>
      <c r="N924" s="15">
        <f t="shared" si="178"/>
        <v>-0.7350287758593872</v>
      </c>
      <c r="O924" s="15">
        <f t="shared" si="179"/>
        <v>7.1006481670830679E-2</v>
      </c>
      <c r="P924" s="18">
        <f>IF(SUMIFS('Daily NSE Equity Futures'!$J:$J,'Daily NSE Equity Futures'!$A:$A,$A924)=0,"",SUMIFS('Daily NSE Equity Futures'!$J:$J,'Daily NSE Equity Futures'!$A:$A,$A924))</f>
        <v>1484714</v>
      </c>
      <c r="Q924" s="7">
        <f>IF(SUMIFS('Daily BSE Equity Futures'!$J:$J,'Daily BSE Equity Futures'!$A:$A,$A924)=0,"",SUMIFS('Daily BSE Equity Futures'!$J:$J,'Daily BSE Equity Futures'!$A:$A,$A924))</f>
        <v>472</v>
      </c>
      <c r="R924" s="7">
        <f t="shared" si="174"/>
        <v>1485186</v>
      </c>
      <c r="S924" s="19">
        <f t="shared" si="175"/>
        <v>0.99968219468807273</v>
      </c>
      <c r="T924" s="19">
        <f t="shared" si="176"/>
        <v>3.1780531192726028E-4</v>
      </c>
    </row>
    <row r="925" spans="1:20" x14ac:dyDescent="0.2">
      <c r="A925" s="9">
        <v>45280</v>
      </c>
      <c r="B925" s="4" t="s">
        <v>221</v>
      </c>
      <c r="C925" s="8">
        <v>45261</v>
      </c>
      <c r="D925" s="4" t="s">
        <v>187</v>
      </c>
      <c r="E925" s="14">
        <f>IF(SUMIFS('Daily NSE Equity Futures'!$I:$I,'Daily NSE Equity Futures'!$A:$A,$A925)=0,"",SUMIFS('Daily NSE Equity Futures'!$I:$I,'Daily NSE Equity Futures'!$A:$A,$A925))</f>
        <v>1989.3818000000001</v>
      </c>
      <c r="F925" s="6">
        <f>IF(SUMIFS('Daily BSE Equity Futures'!$I:$I,'Daily BSE Equity Futures'!$A:$A,$A925)=0,"",SUMIFS('Daily BSE Equity Futures'!$I:$I,'Daily BSE Equity Futures'!$A:$A,$A925))</f>
        <v>1.1294999999999999</v>
      </c>
      <c r="G925" s="6">
        <f t="shared" si="168"/>
        <v>1990.5113000000001</v>
      </c>
      <c r="H925" s="15">
        <f t="shared" si="169"/>
        <v>0.99943255785586349</v>
      </c>
      <c r="I925" s="15">
        <f t="shared" si="170"/>
        <v>5.6744214413653412E-4</v>
      </c>
      <c r="J925" s="20">
        <f t="shared" si="171"/>
        <v>1.1849714893428671</v>
      </c>
      <c r="K925" s="15">
        <f t="shared" si="172"/>
        <v>388.48275862068965</v>
      </c>
      <c r="L925" s="15">
        <f t="shared" si="173"/>
        <v>1.1862050748665278</v>
      </c>
      <c r="M925" s="15">
        <f t="shared" si="177"/>
        <v>0.65199351287253027</v>
      </c>
      <c r="N925" s="15">
        <f t="shared" si="178"/>
        <v>2.3152333431171117</v>
      </c>
      <c r="O925" s="15">
        <f t="shared" si="179"/>
        <v>0.65246394216301118</v>
      </c>
      <c r="P925" s="18">
        <f>IF(SUMIFS('Daily NSE Equity Futures'!$J:$J,'Daily NSE Equity Futures'!$A:$A,$A925)=0,"",SUMIFS('Daily NSE Equity Futures'!$J:$J,'Daily NSE Equity Futures'!$A:$A,$A925))</f>
        <v>2416872</v>
      </c>
      <c r="Q925" s="7">
        <f>IF(SUMIFS('Daily BSE Equity Futures'!$J:$J,'Daily BSE Equity Futures'!$A:$A,$A925)=0,"",SUMIFS('Daily BSE Equity Futures'!$J:$J,'Daily BSE Equity Futures'!$A:$A,$A925))</f>
        <v>1549</v>
      </c>
      <c r="R925" s="7">
        <f t="shared" si="174"/>
        <v>2418421</v>
      </c>
      <c r="S925" s="19">
        <f t="shared" si="175"/>
        <v>0.99935949944199132</v>
      </c>
      <c r="T925" s="19">
        <f t="shared" si="176"/>
        <v>6.4050055800871726E-4</v>
      </c>
    </row>
    <row r="926" spans="1:20" x14ac:dyDescent="0.2">
      <c r="A926" s="9">
        <v>45281</v>
      </c>
      <c r="B926" s="4" t="s">
        <v>224</v>
      </c>
      <c r="C926" s="8">
        <v>45261</v>
      </c>
      <c r="D926" s="4" t="s">
        <v>187</v>
      </c>
      <c r="E926" s="14">
        <f>IF(SUMIFS('Daily NSE Equity Futures'!$I:$I,'Daily NSE Equity Futures'!$A:$A,$A926)=0,"",SUMIFS('Daily NSE Equity Futures'!$I:$I,'Daily NSE Equity Futures'!$A:$A,$A926))</f>
        <v>1816.6063999999999</v>
      </c>
      <c r="F926" s="6">
        <f>IF(SUMIFS('Daily BSE Equity Futures'!$I:$I,'Daily BSE Equity Futures'!$A:$A,$A926)=0,"",SUMIFS('Daily BSE Equity Futures'!$I:$I,'Daily BSE Equity Futures'!$A:$A,$A926))</f>
        <v>1.6311</v>
      </c>
      <c r="G926" s="6">
        <f t="shared" si="168"/>
        <v>1818.2375</v>
      </c>
      <c r="H926" s="15">
        <f t="shared" si="169"/>
        <v>0.99910292247299926</v>
      </c>
      <c r="I926" s="15">
        <f t="shared" si="170"/>
        <v>8.9707752700073562E-4</v>
      </c>
      <c r="J926" s="20">
        <f t="shared" si="171"/>
        <v>0.42587087036763327</v>
      </c>
      <c r="K926" s="15">
        <f t="shared" si="172"/>
        <v>561.44827586206895</v>
      </c>
      <c r="L926" s="15">
        <f t="shared" si="173"/>
        <v>0.42714788705309537</v>
      </c>
      <c r="M926" s="15">
        <f t="shared" si="177"/>
        <v>-8.6848788905176555E-2</v>
      </c>
      <c r="N926" s="15">
        <f t="shared" si="178"/>
        <v>0.44409030544488726</v>
      </c>
      <c r="O926" s="15">
        <f t="shared" si="179"/>
        <v>-8.6547511687072642E-2</v>
      </c>
      <c r="P926" s="18">
        <f>IF(SUMIFS('Daily NSE Equity Futures'!$J:$J,'Daily NSE Equity Futures'!$A:$A,$A926)=0,"",SUMIFS('Daily NSE Equity Futures'!$J:$J,'Daily NSE Equity Futures'!$A:$A,$A926))</f>
        <v>2224594</v>
      </c>
      <c r="Q926" s="7">
        <f>IF(SUMIFS('Daily BSE Equity Futures'!$J:$J,'Daily BSE Equity Futures'!$A:$A,$A926)=0,"",SUMIFS('Daily BSE Equity Futures'!$J:$J,'Daily BSE Equity Futures'!$A:$A,$A926))</f>
        <v>2279</v>
      </c>
      <c r="R926" s="7">
        <f t="shared" si="174"/>
        <v>2226873</v>
      </c>
      <c r="S926" s="19">
        <f t="shared" si="175"/>
        <v>0.99897659183976817</v>
      </c>
      <c r="T926" s="19">
        <f t="shared" si="176"/>
        <v>1.0234081602318588E-3</v>
      </c>
    </row>
    <row r="927" spans="1:20" x14ac:dyDescent="0.2">
      <c r="A927" s="9">
        <v>45282</v>
      </c>
      <c r="B927" s="4" t="s">
        <v>222</v>
      </c>
      <c r="C927" s="8">
        <v>45261</v>
      </c>
      <c r="D927" s="4" t="s">
        <v>187</v>
      </c>
      <c r="E927" s="14">
        <f>IF(SUMIFS('Daily NSE Equity Futures'!$I:$I,'Daily NSE Equity Futures'!$A:$A,$A927)=0,"",SUMIFS('Daily NSE Equity Futures'!$I:$I,'Daily NSE Equity Futures'!$A:$A,$A927))</f>
        <v>2615.7336</v>
      </c>
      <c r="F927" s="6">
        <f>IF(SUMIFS('Daily BSE Equity Futures'!$I:$I,'Daily BSE Equity Futures'!$A:$A,$A927)=0,"",SUMIFS('Daily BSE Equity Futures'!$I:$I,'Daily BSE Equity Futures'!$A:$A,$A927))</f>
        <v>2.7932000000000001</v>
      </c>
      <c r="G927" s="6">
        <f t="shared" si="168"/>
        <v>2618.5268000000001</v>
      </c>
      <c r="H927" s="15">
        <f t="shared" si="169"/>
        <v>0.99893329333119674</v>
      </c>
      <c r="I927" s="15">
        <f t="shared" si="170"/>
        <v>1.0667066688032369E-3</v>
      </c>
      <c r="J927" s="20">
        <f t="shared" si="171"/>
        <v>1.3243151502312731</v>
      </c>
      <c r="K927" s="15">
        <f t="shared" si="172"/>
        <v>1469.1052631578948</v>
      </c>
      <c r="L927" s="15">
        <f t="shared" si="173"/>
        <v>1.3267932319044915</v>
      </c>
      <c r="M927" s="15">
        <f t="shared" si="177"/>
        <v>0.43990112552724692</v>
      </c>
      <c r="N927" s="15">
        <f t="shared" si="178"/>
        <v>0.71246398136227085</v>
      </c>
      <c r="O927" s="15">
        <f t="shared" si="179"/>
        <v>0.44014563553991159</v>
      </c>
      <c r="P927" s="18">
        <f>IF(SUMIFS('Daily NSE Equity Futures'!$J:$J,'Daily NSE Equity Futures'!$A:$A,$A927)=0,"",SUMIFS('Daily NSE Equity Futures'!$J:$J,'Daily NSE Equity Futures'!$A:$A,$A927))</f>
        <v>3271992</v>
      </c>
      <c r="Q927" s="7">
        <f>IF(SUMIFS('Daily BSE Equity Futures'!$J:$J,'Daily BSE Equity Futures'!$A:$A,$A927)=0,"",SUMIFS('Daily BSE Equity Futures'!$J:$J,'Daily BSE Equity Futures'!$A:$A,$A927))</f>
        <v>3891</v>
      </c>
      <c r="R927" s="7">
        <f t="shared" si="174"/>
        <v>3275883</v>
      </c>
      <c r="S927" s="19">
        <f t="shared" si="175"/>
        <v>0.99881222864186536</v>
      </c>
      <c r="T927" s="19">
        <f t="shared" si="176"/>
        <v>1.1877713581345854E-3</v>
      </c>
    </row>
    <row r="928" spans="1:20" x14ac:dyDescent="0.2">
      <c r="A928" s="9">
        <v>45286</v>
      </c>
      <c r="B928" s="4" t="s">
        <v>223</v>
      </c>
      <c r="C928" s="8">
        <v>45261</v>
      </c>
      <c r="D928" s="4" t="s">
        <v>187</v>
      </c>
      <c r="E928" s="14">
        <f>IF(SUMIFS('Daily NSE Equity Futures'!$I:$I,'Daily NSE Equity Futures'!$A:$A,$A928)=0,"",SUMIFS('Daily NSE Equity Futures'!$I:$I,'Daily NSE Equity Futures'!$A:$A,$A928))</f>
        <v>2810.0254</v>
      </c>
      <c r="F928" s="6">
        <f>IF(SUMIFS('Daily BSE Equity Futures'!$I:$I,'Daily BSE Equity Futures'!$A:$A,$A928)=0,"",SUMIFS('Daily BSE Equity Futures'!$I:$I,'Daily BSE Equity Futures'!$A:$A,$A928))</f>
        <v>0.68840000000000001</v>
      </c>
      <c r="G928" s="6">
        <f t="shared" si="168"/>
        <v>2810.7138</v>
      </c>
      <c r="H928" s="15">
        <f t="shared" si="169"/>
        <v>0.99975508000850177</v>
      </c>
      <c r="I928" s="15">
        <f t="shared" si="170"/>
        <v>2.4491999149824502E-4</v>
      </c>
      <c r="J928" s="20">
        <f t="shared" si="171"/>
        <v>0.59277399546182541</v>
      </c>
      <c r="K928" s="15">
        <f t="shared" si="172"/>
        <v>361.31578947368422</v>
      </c>
      <c r="L928" s="15">
        <f t="shared" si="173"/>
        <v>0.59316247745836659</v>
      </c>
      <c r="M928" s="15">
        <f t="shared" si="177"/>
        <v>7.4278129852367147E-2</v>
      </c>
      <c r="N928" s="15">
        <f t="shared" si="178"/>
        <v>-0.75354432192467424</v>
      </c>
      <c r="O928" s="15">
        <f t="shared" si="179"/>
        <v>7.3395086122471476E-2</v>
      </c>
      <c r="P928" s="18">
        <f>IF(SUMIFS('Daily NSE Equity Futures'!$J:$J,'Daily NSE Equity Futures'!$A:$A,$A928)=0,"",SUMIFS('Daily NSE Equity Futures'!$J:$J,'Daily NSE Equity Futures'!$A:$A,$A928))</f>
        <v>3479895</v>
      </c>
      <c r="Q928" s="7">
        <f>IF(SUMIFS('Daily BSE Equity Futures'!$J:$J,'Daily BSE Equity Futures'!$A:$A,$A928)=0,"",SUMIFS('Daily BSE Equity Futures'!$J:$J,'Daily BSE Equity Futures'!$A:$A,$A928))</f>
        <v>931</v>
      </c>
      <c r="R928" s="7">
        <f t="shared" si="174"/>
        <v>3480826</v>
      </c>
      <c r="S928" s="19">
        <f t="shared" si="175"/>
        <v>0.99973253474893597</v>
      </c>
      <c r="T928" s="19">
        <f t="shared" si="176"/>
        <v>2.6746525106397158E-4</v>
      </c>
    </row>
    <row r="929" spans="1:20" x14ac:dyDescent="0.2">
      <c r="A929" s="9">
        <v>45287</v>
      </c>
      <c r="B929" s="4" t="s">
        <v>221</v>
      </c>
      <c r="C929" s="8">
        <v>45261</v>
      </c>
      <c r="D929" s="4" t="s">
        <v>187</v>
      </c>
      <c r="E929" s="14">
        <f>IF(SUMIFS('Daily NSE Equity Futures'!$I:$I,'Daily NSE Equity Futures'!$A:$A,$A929)=0,"",SUMIFS('Daily NSE Equity Futures'!$I:$I,'Daily NSE Equity Futures'!$A:$A,$A929))</f>
        <v>2694.4308999999998</v>
      </c>
      <c r="F929" s="6">
        <f>IF(SUMIFS('Daily BSE Equity Futures'!$I:$I,'Daily BSE Equity Futures'!$A:$A,$A929)=0,"",SUMIFS('Daily BSE Equity Futures'!$I:$I,'Daily BSE Equity Futures'!$A:$A,$A929))</f>
        <v>2.0827</v>
      </c>
      <c r="G929" s="6">
        <f t="shared" si="168"/>
        <v>2696.5135999999998</v>
      </c>
      <c r="H929" s="15">
        <f t="shared" si="169"/>
        <v>0.99922763230268896</v>
      </c>
      <c r="I929" s="15">
        <f t="shared" si="170"/>
        <v>7.7236769731107611E-4</v>
      </c>
      <c r="J929" s="20">
        <f t="shared" si="171"/>
        <v>0.4755282740262905</v>
      </c>
      <c r="K929" s="15">
        <f t="shared" si="172"/>
        <v>742.82142857142856</v>
      </c>
      <c r="L929" s="15">
        <f t="shared" si="173"/>
        <v>0.47666654107899653</v>
      </c>
      <c r="M929" s="15">
        <f t="shared" si="177"/>
        <v>-4.113646090174139E-2</v>
      </c>
      <c r="N929" s="15">
        <f t="shared" si="178"/>
        <v>2.0254212667054037</v>
      </c>
      <c r="O929" s="15">
        <f t="shared" si="179"/>
        <v>-4.063031960066521E-2</v>
      </c>
      <c r="P929" s="18">
        <f>IF(SUMIFS('Daily NSE Equity Futures'!$J:$J,'Daily NSE Equity Futures'!$A:$A,$A929)=0,"",SUMIFS('Daily NSE Equity Futures'!$J:$J,'Daily NSE Equity Futures'!$A:$A,$A929))</f>
        <v>3298616</v>
      </c>
      <c r="Q929" s="7">
        <f>IF(SUMIFS('Daily BSE Equity Futures'!$J:$J,'Daily BSE Equity Futures'!$A:$A,$A929)=0,"",SUMIFS('Daily BSE Equity Futures'!$J:$J,'Daily BSE Equity Futures'!$A:$A,$A929))</f>
        <v>2631</v>
      </c>
      <c r="R929" s="7">
        <f t="shared" si="174"/>
        <v>3301247</v>
      </c>
      <c r="S929" s="19">
        <f t="shared" si="175"/>
        <v>0.99920302843137765</v>
      </c>
      <c r="T929" s="19">
        <f t="shared" si="176"/>
        <v>7.9697156862240236E-4</v>
      </c>
    </row>
    <row r="930" spans="1:20" x14ac:dyDescent="0.2">
      <c r="A930" s="9">
        <v>45288</v>
      </c>
      <c r="B930" s="4" t="s">
        <v>224</v>
      </c>
      <c r="C930" s="8">
        <v>45261</v>
      </c>
      <c r="D930" s="4" t="s">
        <v>187</v>
      </c>
      <c r="E930" s="14">
        <f>IF(SUMIFS('Daily NSE Equity Futures'!$I:$I,'Daily NSE Equity Futures'!$A:$A,$A930)=0,"",SUMIFS('Daily NSE Equity Futures'!$I:$I,'Daily NSE Equity Futures'!$A:$A,$A930))</f>
        <v>3015.1925999999999</v>
      </c>
      <c r="F930" s="6">
        <f>IF(SUMIFS('Daily BSE Equity Futures'!$I:$I,'Daily BSE Equity Futures'!$A:$A,$A930)=0,"",SUMIFS('Daily BSE Equity Futures'!$I:$I,'Daily BSE Equity Futures'!$A:$A,$A930))</f>
        <v>2.2343999999999999</v>
      </c>
      <c r="G930" s="6">
        <f t="shared" si="168"/>
        <v>3017.4269999999997</v>
      </c>
      <c r="H930" s="15">
        <f t="shared" si="169"/>
        <v>0.99925950155546439</v>
      </c>
      <c r="I930" s="15">
        <f t="shared" si="170"/>
        <v>7.4049844453569224E-4</v>
      </c>
      <c r="J930" s="20">
        <f t="shared" si="171"/>
        <v>0.81173561958361695</v>
      </c>
      <c r="K930" s="15">
        <f t="shared" si="172"/>
        <v>2233.4</v>
      </c>
      <c r="L930" s="15">
        <f t="shared" si="173"/>
        <v>0.81307711174966069</v>
      </c>
      <c r="M930" s="15">
        <f t="shared" si="177"/>
        <v>0.11904617780326077</v>
      </c>
      <c r="N930" s="15">
        <f t="shared" si="178"/>
        <v>7.2838142795409677E-2</v>
      </c>
      <c r="O930" s="15">
        <f t="shared" si="179"/>
        <v>0.11901048820966453</v>
      </c>
      <c r="P930" s="18">
        <f>IF(SUMIFS('Daily NSE Equity Futures'!$J:$J,'Daily NSE Equity Futures'!$A:$A,$A930)=0,"",SUMIFS('Daily NSE Equity Futures'!$J:$J,'Daily NSE Equity Futures'!$A:$A,$A930))</f>
        <v>3620313</v>
      </c>
      <c r="Q930" s="7">
        <f>IF(SUMIFS('Daily BSE Equity Futures'!$J:$J,'Daily BSE Equity Futures'!$A:$A,$A930)=0,"",SUMIFS('Daily BSE Equity Futures'!$J:$J,'Daily BSE Equity Futures'!$A:$A,$A930))</f>
        <v>2799</v>
      </c>
      <c r="R930" s="7">
        <f t="shared" si="174"/>
        <v>3623112</v>
      </c>
      <c r="S930" s="19">
        <f t="shared" si="175"/>
        <v>0.99922745970867033</v>
      </c>
      <c r="T930" s="19">
        <f t="shared" si="176"/>
        <v>7.7254029132966357E-4</v>
      </c>
    </row>
    <row r="931" spans="1:20" x14ac:dyDescent="0.2">
      <c r="A931" s="9">
        <v>45289</v>
      </c>
      <c r="B931" s="4" t="s">
        <v>222</v>
      </c>
      <c r="C931" s="8">
        <v>45261</v>
      </c>
      <c r="D931" s="4" t="s">
        <v>187</v>
      </c>
      <c r="E931" s="14">
        <f>IF(SUMIFS('Daily NSE Equity Futures'!$I:$I,'Daily NSE Equity Futures'!$A:$A,$A931)=0,"",SUMIFS('Daily NSE Equity Futures'!$I:$I,'Daily NSE Equity Futures'!$A:$A,$A931))</f>
        <v>1207.2242000000001</v>
      </c>
      <c r="F931" s="6">
        <f>IF(SUMIFS('Daily BSE Equity Futures'!$I:$I,'Daily BSE Equity Futures'!$A:$A,$A931)=0,"",SUMIFS('Daily BSE Equity Futures'!$I:$I,'Daily BSE Equity Futures'!$A:$A,$A931))</f>
        <v>3.9346999999999999</v>
      </c>
      <c r="G931" s="6">
        <f t="shared" si="168"/>
        <v>1211.1589000000001</v>
      </c>
      <c r="H931" s="15">
        <f t="shared" si="169"/>
        <v>0.99675129332740731</v>
      </c>
      <c r="I931" s="15">
        <f t="shared" si="170"/>
        <v>3.2487066725926709E-3</v>
      </c>
      <c r="J931" s="20">
        <f t="shared" si="171"/>
        <v>-0.39261372315292764</v>
      </c>
      <c r="K931" s="15">
        <f t="shared" si="172"/>
        <v>217.59444444444446</v>
      </c>
      <c r="L931" s="15">
        <f t="shared" si="173"/>
        <v>-0.39063959053132868</v>
      </c>
      <c r="M931" s="15">
        <f t="shared" si="177"/>
        <v>-0.59961954005856866</v>
      </c>
      <c r="N931" s="15">
        <f t="shared" si="178"/>
        <v>0.76096491228070184</v>
      </c>
      <c r="O931" s="15">
        <f t="shared" si="179"/>
        <v>-0.59861202938795199</v>
      </c>
      <c r="P931" s="18">
        <f>IF(SUMIFS('Daily NSE Equity Futures'!$J:$J,'Daily NSE Equity Futures'!$A:$A,$A931)=0,"",SUMIFS('Daily NSE Equity Futures'!$J:$J,'Daily NSE Equity Futures'!$A:$A,$A931))</f>
        <v>1424152</v>
      </c>
      <c r="Q931" s="7">
        <f>IF(SUMIFS('Daily BSE Equity Futures'!$J:$J,'Daily BSE Equity Futures'!$A:$A,$A931)=0,"",SUMIFS('Daily BSE Equity Futures'!$J:$J,'Daily BSE Equity Futures'!$A:$A,$A931))</f>
        <v>5096</v>
      </c>
      <c r="R931" s="7">
        <f t="shared" si="174"/>
        <v>1429248</v>
      </c>
      <c r="S931" s="19">
        <f t="shared" si="175"/>
        <v>0.99643448862618667</v>
      </c>
      <c r="T931" s="19">
        <f t="shared" si="176"/>
        <v>3.5655113738133621E-3</v>
      </c>
    </row>
    <row r="932" spans="1:20" x14ac:dyDescent="0.2">
      <c r="A932" s="9">
        <v>45292</v>
      </c>
      <c r="B932" s="4" t="s">
        <v>225</v>
      </c>
      <c r="C932" s="8">
        <v>45292</v>
      </c>
      <c r="D932" s="4" t="s">
        <v>188</v>
      </c>
      <c r="E932" s="14">
        <f>IF(SUMIFS('Daily NSE Equity Futures'!$I:$I,'Daily NSE Equity Futures'!$A:$A,$A932)=0,"",SUMIFS('Daily NSE Equity Futures'!$I:$I,'Daily NSE Equity Futures'!$A:$A,$A932))</f>
        <v>967.99739999999997</v>
      </c>
      <c r="F932" s="6">
        <f>IF(SUMIFS('Daily BSE Equity Futures'!$I:$I,'Daily BSE Equity Futures'!$A:$A,$A932)=0,"",SUMIFS('Daily BSE Equity Futures'!$I:$I,'Daily BSE Equity Futures'!$A:$A,$A932))</f>
        <v>0.4723</v>
      </c>
      <c r="G932" s="6">
        <f t="shared" si="168"/>
        <v>968.46969999999999</v>
      </c>
      <c r="H932" s="15">
        <f t="shared" si="169"/>
        <v>0.99951232341084084</v>
      </c>
      <c r="I932" s="15">
        <f t="shared" si="170"/>
        <v>4.8767658915916523E-4</v>
      </c>
      <c r="J932" s="20" t="str">
        <f t="shared" si="171"/>
        <v/>
      </c>
      <c r="K932" s="15" t="str">
        <f t="shared" si="172"/>
        <v/>
      </c>
      <c r="L932" s="15" t="str">
        <f t="shared" si="173"/>
        <v/>
      </c>
      <c r="M932" s="15">
        <f t="shared" si="177"/>
        <v>-0.1981626942203446</v>
      </c>
      <c r="N932" s="15">
        <f t="shared" si="178"/>
        <v>-0.87996543573842989</v>
      </c>
      <c r="O932" s="15">
        <f t="shared" si="179"/>
        <v>-0.2003776713361064</v>
      </c>
      <c r="P932" s="18">
        <f>IF(SUMIFS('Daily NSE Equity Futures'!$J:$J,'Daily NSE Equity Futures'!$A:$A,$A932)=0,"",SUMIFS('Daily NSE Equity Futures'!$J:$J,'Daily NSE Equity Futures'!$A:$A,$A932))</f>
        <v>1130979</v>
      </c>
      <c r="Q932" s="7">
        <f>IF(SUMIFS('Daily BSE Equity Futures'!$J:$J,'Daily BSE Equity Futures'!$A:$A,$A932)=0,"",SUMIFS('Daily BSE Equity Futures'!$J:$J,'Daily BSE Equity Futures'!$A:$A,$A932))</f>
        <v>638</v>
      </c>
      <c r="R932" s="7">
        <f t="shared" si="174"/>
        <v>1131617</v>
      </c>
      <c r="S932" s="19">
        <f t="shared" si="175"/>
        <v>0.99943620500575725</v>
      </c>
      <c r="T932" s="19">
        <f t="shared" si="176"/>
        <v>5.6379499424275177E-4</v>
      </c>
    </row>
    <row r="933" spans="1:20" x14ac:dyDescent="0.2">
      <c r="A933" s="9">
        <v>45293</v>
      </c>
      <c r="B933" s="4" t="s">
        <v>223</v>
      </c>
      <c r="C933" s="8">
        <v>45292</v>
      </c>
      <c r="D933" s="4" t="s">
        <v>188</v>
      </c>
      <c r="E933" s="14">
        <f>IF(SUMIFS('Daily NSE Equity Futures'!$I:$I,'Daily NSE Equity Futures'!$A:$A,$A933)=0,"",SUMIFS('Daily NSE Equity Futures'!$I:$I,'Daily NSE Equity Futures'!$A:$A,$A933))</f>
        <v>1381.2511</v>
      </c>
      <c r="F933" s="6">
        <f>IF(SUMIFS('Daily BSE Equity Futures'!$I:$I,'Daily BSE Equity Futures'!$A:$A,$A933)=0,"",SUMIFS('Daily BSE Equity Futures'!$I:$I,'Daily BSE Equity Futures'!$A:$A,$A933))</f>
        <v>1.0163</v>
      </c>
      <c r="G933" s="6">
        <f t="shared" si="168"/>
        <v>1382.2674</v>
      </c>
      <c r="H933" s="15">
        <f t="shared" si="169"/>
        <v>0.99926475875796539</v>
      </c>
      <c r="I933" s="15">
        <f t="shared" si="170"/>
        <v>7.3524124203464545E-4</v>
      </c>
      <c r="J933" s="20">
        <f t="shared" si="171"/>
        <v>1.1619470389527371</v>
      </c>
      <c r="K933" s="15">
        <f t="shared" si="172"/>
        <v>533.8947368421052</v>
      </c>
      <c r="L933" s="15">
        <f t="shared" si="173"/>
        <v>1.1635313270227412</v>
      </c>
      <c r="M933" s="15">
        <f t="shared" si="177"/>
        <v>0.42691612601438811</v>
      </c>
      <c r="N933" s="15">
        <f t="shared" si="178"/>
        <v>1.151810290069871</v>
      </c>
      <c r="O933" s="15">
        <f t="shared" si="179"/>
        <v>0.42726963992781597</v>
      </c>
      <c r="P933" s="18">
        <f>IF(SUMIFS('Daily NSE Equity Futures'!$J:$J,'Daily NSE Equity Futures'!$A:$A,$A933)=0,"",SUMIFS('Daily NSE Equity Futures'!$J:$J,'Daily NSE Equity Futures'!$A:$A,$A933))</f>
        <v>1639988</v>
      </c>
      <c r="Q933" s="7">
        <f>IF(SUMIFS('Daily BSE Equity Futures'!$J:$J,'Daily BSE Equity Futures'!$A:$A,$A933)=0,"",SUMIFS('Daily BSE Equity Futures'!$J:$J,'Daily BSE Equity Futures'!$A:$A,$A933))</f>
        <v>1304</v>
      </c>
      <c r="R933" s="7">
        <f t="shared" si="174"/>
        <v>1641292</v>
      </c>
      <c r="S933" s="19">
        <f t="shared" si="175"/>
        <v>0.99920550395663899</v>
      </c>
      <c r="T933" s="19">
        <f t="shared" si="176"/>
        <v>7.9449604336096196E-4</v>
      </c>
    </row>
    <row r="934" spans="1:20" x14ac:dyDescent="0.2">
      <c r="A934" s="9">
        <v>45294</v>
      </c>
      <c r="B934" s="4" t="s">
        <v>221</v>
      </c>
      <c r="C934" s="8">
        <v>45292</v>
      </c>
      <c r="D934" s="4" t="s">
        <v>188</v>
      </c>
      <c r="E934" s="14">
        <f>IF(SUMIFS('Daily NSE Equity Futures'!$I:$I,'Daily NSE Equity Futures'!$A:$A,$A934)=0,"",SUMIFS('Daily NSE Equity Futures'!$I:$I,'Daily NSE Equity Futures'!$A:$A,$A934))</f>
        <v>1359.0419999999999</v>
      </c>
      <c r="F934" s="6">
        <f>IF(SUMIFS('Daily BSE Equity Futures'!$I:$I,'Daily BSE Equity Futures'!$A:$A,$A934)=0,"",SUMIFS('Daily BSE Equity Futures'!$I:$I,'Daily BSE Equity Futures'!$A:$A,$A934))</f>
        <v>1.2259</v>
      </c>
      <c r="G934" s="6">
        <f t="shared" si="168"/>
        <v>1360.2678999999998</v>
      </c>
      <c r="H934" s="15">
        <f t="shared" si="169"/>
        <v>0.99909878046817113</v>
      </c>
      <c r="I934" s="15">
        <f t="shared" si="170"/>
        <v>9.0121953182898762E-4</v>
      </c>
      <c r="J934" s="20">
        <f t="shared" si="171"/>
        <v>0.90316374740546168</v>
      </c>
      <c r="K934" s="15">
        <f t="shared" si="172"/>
        <v>644.21052631578948</v>
      </c>
      <c r="L934" s="15">
        <f t="shared" si="173"/>
        <v>0.90487539457113808</v>
      </c>
      <c r="M934" s="15">
        <f t="shared" si="177"/>
        <v>-1.6078973620364923E-2</v>
      </c>
      <c r="N934" s="15">
        <f t="shared" si="178"/>
        <v>0.20623831545803406</v>
      </c>
      <c r="O934" s="15">
        <f t="shared" si="179"/>
        <v>-1.59155167806172E-2</v>
      </c>
      <c r="P934" s="18">
        <f>IF(SUMIFS('Daily NSE Equity Futures'!$J:$J,'Daily NSE Equity Futures'!$A:$A,$A934)=0,"",SUMIFS('Daily NSE Equity Futures'!$J:$J,'Daily NSE Equity Futures'!$A:$A,$A934))</f>
        <v>1619641</v>
      </c>
      <c r="Q934" s="7">
        <f>IF(SUMIFS('Daily BSE Equity Futures'!$J:$J,'Daily BSE Equity Futures'!$A:$A,$A934)=0,"",SUMIFS('Daily BSE Equity Futures'!$J:$J,'Daily BSE Equity Futures'!$A:$A,$A934))</f>
        <v>1569</v>
      </c>
      <c r="R934" s="7">
        <f t="shared" si="174"/>
        <v>1621210</v>
      </c>
      <c r="S934" s="19">
        <f t="shared" si="175"/>
        <v>0.99903220434120199</v>
      </c>
      <c r="T934" s="19">
        <f t="shared" si="176"/>
        <v>9.6779565879805823E-4</v>
      </c>
    </row>
    <row r="935" spans="1:20" x14ac:dyDescent="0.2">
      <c r="A935" s="9">
        <v>45295</v>
      </c>
      <c r="B935" s="4" t="s">
        <v>224</v>
      </c>
      <c r="C935" s="8">
        <v>45292</v>
      </c>
      <c r="D935" s="4" t="s">
        <v>188</v>
      </c>
      <c r="E935" s="14">
        <f>IF(SUMIFS('Daily NSE Equity Futures'!$I:$I,'Daily NSE Equity Futures'!$A:$A,$A935)=0,"",SUMIFS('Daily NSE Equity Futures'!$I:$I,'Daily NSE Equity Futures'!$A:$A,$A935))</f>
        <v>1222.4953</v>
      </c>
      <c r="F935" s="6">
        <f>IF(SUMIFS('Daily BSE Equity Futures'!$I:$I,'Daily BSE Equity Futures'!$A:$A,$A935)=0,"",SUMIFS('Daily BSE Equity Futures'!$I:$I,'Daily BSE Equity Futures'!$A:$A,$A935))</f>
        <v>0.73760000000000003</v>
      </c>
      <c r="G935" s="6">
        <f t="shared" si="168"/>
        <v>1223.2329</v>
      </c>
      <c r="H935" s="15">
        <f t="shared" si="169"/>
        <v>0.99939700771619211</v>
      </c>
      <c r="I935" s="15">
        <f t="shared" si="170"/>
        <v>6.0299228380793224E-4</v>
      </c>
      <c r="J935" s="20">
        <f t="shared" si="171"/>
        <v>0.30710149636699247</v>
      </c>
      <c r="K935" s="15">
        <f t="shared" si="172"/>
        <v>387.21052631578948</v>
      </c>
      <c r="L935" s="15">
        <f t="shared" si="173"/>
        <v>0.30788748706528501</v>
      </c>
      <c r="M935" s="15">
        <f t="shared" si="177"/>
        <v>-0.10047275948793333</v>
      </c>
      <c r="N935" s="15">
        <f t="shared" si="178"/>
        <v>-0.39831960192511617</v>
      </c>
      <c r="O935" s="15">
        <f t="shared" si="179"/>
        <v>-0.1007411848798313</v>
      </c>
      <c r="P935" s="18">
        <f>IF(SUMIFS('Daily NSE Equity Futures'!$J:$J,'Daily NSE Equity Futures'!$A:$A,$A935)=0,"",SUMIFS('Daily NSE Equity Futures'!$J:$J,'Daily NSE Equity Futures'!$A:$A,$A935))</f>
        <v>1435620</v>
      </c>
      <c r="Q935" s="7">
        <f>IF(SUMIFS('Daily BSE Equity Futures'!$J:$J,'Daily BSE Equity Futures'!$A:$A,$A935)=0,"",SUMIFS('Daily BSE Equity Futures'!$J:$J,'Daily BSE Equity Futures'!$A:$A,$A935))</f>
        <v>969</v>
      </c>
      <c r="R935" s="7">
        <f t="shared" si="174"/>
        <v>1436589</v>
      </c>
      <c r="S935" s="19">
        <f t="shared" si="175"/>
        <v>0.9993254855772945</v>
      </c>
      <c r="T935" s="19">
        <f t="shared" si="176"/>
        <v>6.7451442270545015E-4</v>
      </c>
    </row>
    <row r="936" spans="1:20" x14ac:dyDescent="0.2">
      <c r="A936" s="9">
        <v>45296</v>
      </c>
      <c r="B936" s="4" t="s">
        <v>222</v>
      </c>
      <c r="C936" s="8">
        <v>45292</v>
      </c>
      <c r="D936" s="4" t="s">
        <v>188</v>
      </c>
      <c r="E936" s="14">
        <f>IF(SUMIFS('Daily NSE Equity Futures'!$I:$I,'Daily NSE Equity Futures'!$A:$A,$A936)=0,"",SUMIFS('Daily NSE Equity Futures'!$I:$I,'Daily NSE Equity Futures'!$A:$A,$A936))</f>
        <v>1341.0503000000001</v>
      </c>
      <c r="F936" s="6">
        <f>IF(SUMIFS('Daily BSE Equity Futures'!$I:$I,'Daily BSE Equity Futures'!$A:$A,$A936)=0,"",SUMIFS('Daily BSE Equity Futures'!$I:$I,'Daily BSE Equity Futures'!$A:$A,$A936))</f>
        <v>4.7988999999999997</v>
      </c>
      <c r="G936" s="6">
        <f t="shared" si="168"/>
        <v>1345.8492000000001</v>
      </c>
      <c r="H936" s="15">
        <f t="shared" si="169"/>
        <v>0.99643429590774357</v>
      </c>
      <c r="I936" s="15">
        <f t="shared" si="170"/>
        <v>3.5657040922563981E-3</v>
      </c>
      <c r="J936" s="20">
        <f t="shared" si="171"/>
        <v>0.40582097074953771</v>
      </c>
      <c r="K936" s="15">
        <f t="shared" si="172"/>
        <v>1653.7931034482758</v>
      </c>
      <c r="L936" s="15">
        <f t="shared" si="173"/>
        <v>0.41084736118395337</v>
      </c>
      <c r="M936" s="15">
        <f t="shared" si="177"/>
        <v>9.6977877951759828E-2</v>
      </c>
      <c r="N936" s="15">
        <f t="shared" si="178"/>
        <v>5.506100867678958</v>
      </c>
      <c r="O936" s="15">
        <f t="shared" si="179"/>
        <v>0.10023953737673352</v>
      </c>
      <c r="P936" s="18">
        <f>IF(SUMIFS('Daily NSE Equity Futures'!$J:$J,'Daily NSE Equity Futures'!$A:$A,$A936)=0,"",SUMIFS('Daily NSE Equity Futures'!$J:$J,'Daily NSE Equity Futures'!$A:$A,$A936))</f>
        <v>1582415</v>
      </c>
      <c r="Q936" s="7">
        <f>IF(SUMIFS('Daily BSE Equity Futures'!$J:$J,'Daily BSE Equity Futures'!$A:$A,$A936)=0,"",SUMIFS('Daily BSE Equity Futures'!$J:$J,'Daily BSE Equity Futures'!$A:$A,$A936))</f>
        <v>6197</v>
      </c>
      <c r="R936" s="7">
        <f t="shared" si="174"/>
        <v>1588612</v>
      </c>
      <c r="S936" s="19">
        <f t="shared" si="175"/>
        <v>0.99609911041840293</v>
      </c>
      <c r="T936" s="19">
        <f t="shared" si="176"/>
        <v>3.9008895815970169E-3</v>
      </c>
    </row>
    <row r="937" spans="1:20" x14ac:dyDescent="0.2">
      <c r="A937" s="9">
        <v>45299</v>
      </c>
      <c r="B937" s="4" t="s">
        <v>225</v>
      </c>
      <c r="C937" s="8">
        <v>45292</v>
      </c>
      <c r="D937" s="4" t="s">
        <v>188</v>
      </c>
      <c r="E937" s="14">
        <f>IF(SUMIFS('Daily NSE Equity Futures'!$I:$I,'Daily NSE Equity Futures'!$A:$A,$A937)=0,"",SUMIFS('Daily NSE Equity Futures'!$I:$I,'Daily NSE Equity Futures'!$A:$A,$A937))</f>
        <v>1204.0547999999999</v>
      </c>
      <c r="F937" s="6">
        <f>IF(SUMIFS('Daily BSE Equity Futures'!$I:$I,'Daily BSE Equity Futures'!$A:$A,$A937)=0,"",SUMIFS('Daily BSE Equity Futures'!$I:$I,'Daily BSE Equity Futures'!$A:$A,$A937))</f>
        <v>1.2351000000000001</v>
      </c>
      <c r="G937" s="6">
        <f t="shared" si="168"/>
        <v>1205.2899</v>
      </c>
      <c r="H937" s="15">
        <f t="shared" si="169"/>
        <v>0.99897526727802155</v>
      </c>
      <c r="I937" s="15">
        <f t="shared" si="170"/>
        <v>1.0247327219783391E-3</v>
      </c>
      <c r="J937" s="20" t="str">
        <f t="shared" si="171"/>
        <v/>
      </c>
      <c r="K937" s="15" t="str">
        <f t="shared" si="172"/>
        <v/>
      </c>
      <c r="L937" s="15" t="str">
        <f t="shared" si="173"/>
        <v/>
      </c>
      <c r="M937" s="15">
        <f t="shared" si="177"/>
        <v>-0.10215537776621819</v>
      </c>
      <c r="N937" s="15">
        <f t="shared" si="178"/>
        <v>-0.74262851903561233</v>
      </c>
      <c r="O937" s="15">
        <f t="shared" si="179"/>
        <v>-0.10443911546702267</v>
      </c>
      <c r="P937" s="18">
        <f>IF(SUMIFS('Daily NSE Equity Futures'!$J:$J,'Daily NSE Equity Futures'!$A:$A,$A937)=0,"",SUMIFS('Daily NSE Equity Futures'!$J:$J,'Daily NSE Equity Futures'!$A:$A,$A937))</f>
        <v>1454236</v>
      </c>
      <c r="Q937" s="7">
        <f>IF(SUMIFS('Daily BSE Equity Futures'!$J:$J,'Daily BSE Equity Futures'!$A:$A,$A937)=0,"",SUMIFS('Daily BSE Equity Futures'!$J:$J,'Daily BSE Equity Futures'!$A:$A,$A937))</f>
        <v>1565</v>
      </c>
      <c r="R937" s="7">
        <f t="shared" si="174"/>
        <v>1455801</v>
      </c>
      <c r="S937" s="19">
        <f t="shared" si="175"/>
        <v>0.99892499043481908</v>
      </c>
      <c r="T937" s="19">
        <f t="shared" si="176"/>
        <v>1.0750095651809555E-3</v>
      </c>
    </row>
    <row r="938" spans="1:20" x14ac:dyDescent="0.2">
      <c r="A938" s="9">
        <v>45300</v>
      </c>
      <c r="B938" s="4" t="s">
        <v>223</v>
      </c>
      <c r="C938" s="8">
        <v>45292</v>
      </c>
      <c r="D938" s="4" t="s">
        <v>188</v>
      </c>
      <c r="E938" s="14">
        <f>IF(SUMIFS('Daily NSE Equity Futures'!$I:$I,'Daily NSE Equity Futures'!$A:$A,$A938)=0,"",SUMIFS('Daily NSE Equity Futures'!$I:$I,'Daily NSE Equity Futures'!$A:$A,$A938))</f>
        <v>1222.7155</v>
      </c>
      <c r="F938" s="6">
        <f>IF(SUMIFS('Daily BSE Equity Futures'!$I:$I,'Daily BSE Equity Futures'!$A:$A,$A938)=0,"",SUMIFS('Daily BSE Equity Futures'!$I:$I,'Daily BSE Equity Futures'!$A:$A,$A938))</f>
        <v>0.92230000000000001</v>
      </c>
      <c r="G938" s="6">
        <f t="shared" si="168"/>
        <v>1223.6378</v>
      </c>
      <c r="H938" s="15">
        <f t="shared" si="169"/>
        <v>0.99924626388625792</v>
      </c>
      <c r="I938" s="15">
        <f t="shared" si="170"/>
        <v>7.5373611374215477E-4</v>
      </c>
      <c r="J938" s="20">
        <f t="shared" si="171"/>
        <v>0.36829895078640096</v>
      </c>
      <c r="K938" s="15">
        <f t="shared" si="172"/>
        <v>484.42105263157896</v>
      </c>
      <c r="L938" s="15">
        <f t="shared" si="173"/>
        <v>0.36932815356234205</v>
      </c>
      <c r="M938" s="15">
        <f t="shared" si="177"/>
        <v>1.5498214865303561E-2</v>
      </c>
      <c r="N938" s="15">
        <f t="shared" si="178"/>
        <v>-0.25325884543761645</v>
      </c>
      <c r="O938" s="15">
        <f t="shared" si="179"/>
        <v>1.5222810711348345E-2</v>
      </c>
      <c r="P938" s="18">
        <f>IF(SUMIFS('Daily NSE Equity Futures'!$J:$J,'Daily NSE Equity Futures'!$A:$A,$A938)=0,"",SUMIFS('Daily NSE Equity Futures'!$J:$J,'Daily NSE Equity Futures'!$A:$A,$A938))</f>
        <v>1455881</v>
      </c>
      <c r="Q938" s="7">
        <f>IF(SUMIFS('Daily BSE Equity Futures'!$J:$J,'Daily BSE Equity Futures'!$A:$A,$A938)=0,"",SUMIFS('Daily BSE Equity Futures'!$J:$J,'Daily BSE Equity Futures'!$A:$A,$A938))</f>
        <v>1189</v>
      </c>
      <c r="R938" s="7">
        <f t="shared" si="174"/>
        <v>1457070</v>
      </c>
      <c r="S938" s="19">
        <f t="shared" si="175"/>
        <v>0.99918397880678345</v>
      </c>
      <c r="T938" s="19">
        <f t="shared" si="176"/>
        <v>8.1602119321652362E-4</v>
      </c>
    </row>
    <row r="939" spans="1:20" x14ac:dyDescent="0.2">
      <c r="A939" s="9">
        <v>45301</v>
      </c>
      <c r="B939" s="4" t="s">
        <v>221</v>
      </c>
      <c r="C939" s="8">
        <v>45292</v>
      </c>
      <c r="D939" s="4" t="s">
        <v>188</v>
      </c>
      <c r="E939" s="14">
        <f>IF(SUMIFS('Daily NSE Equity Futures'!$I:$I,'Daily NSE Equity Futures'!$A:$A,$A939)=0,"",SUMIFS('Daily NSE Equity Futures'!$I:$I,'Daily NSE Equity Futures'!$A:$A,$A939))</f>
        <v>1102.7298000000001</v>
      </c>
      <c r="F939" s="6">
        <f>IF(SUMIFS('Daily BSE Equity Futures'!$I:$I,'Daily BSE Equity Futures'!$A:$A,$A939)=0,"",SUMIFS('Daily BSE Equity Futures'!$I:$I,'Daily BSE Equity Futures'!$A:$A,$A939))</f>
        <v>0.71840000000000004</v>
      </c>
      <c r="G939" s="6">
        <f t="shared" si="168"/>
        <v>1103.4482</v>
      </c>
      <c r="H939" s="15">
        <f t="shared" si="169"/>
        <v>0.99934894995524037</v>
      </c>
      <c r="I939" s="15">
        <f t="shared" si="170"/>
        <v>6.5105004475969055E-4</v>
      </c>
      <c r="J939" s="20">
        <f t="shared" si="171"/>
        <v>0.20764743123675777</v>
      </c>
      <c r="K939" s="15">
        <f t="shared" si="172"/>
        <v>255.57142857142861</v>
      </c>
      <c r="L939" s="15">
        <f t="shared" si="173"/>
        <v>0.2084304768317069</v>
      </c>
      <c r="M939" s="15">
        <f t="shared" si="177"/>
        <v>-9.8130513598625346E-2</v>
      </c>
      <c r="N939" s="15">
        <f t="shared" si="178"/>
        <v>-0.22107774043152983</v>
      </c>
      <c r="O939" s="15">
        <f t="shared" si="179"/>
        <v>-9.8223183363573718E-2</v>
      </c>
      <c r="P939" s="18">
        <f>IF(SUMIFS('Daily NSE Equity Futures'!$J:$J,'Daily NSE Equity Futures'!$A:$A,$A939)=0,"",SUMIFS('Daily NSE Equity Futures'!$J:$J,'Daily NSE Equity Futures'!$A:$A,$A939))</f>
        <v>1322147</v>
      </c>
      <c r="Q939" s="7">
        <f>IF(SUMIFS('Daily BSE Equity Futures'!$J:$J,'Daily BSE Equity Futures'!$A:$A,$A939)=0,"",SUMIFS('Daily BSE Equity Futures'!$J:$J,'Daily BSE Equity Futures'!$A:$A,$A939))</f>
        <v>941</v>
      </c>
      <c r="R939" s="7">
        <f t="shared" si="174"/>
        <v>1323088</v>
      </c>
      <c r="S939" s="19">
        <f t="shared" si="175"/>
        <v>0.99928878502412533</v>
      </c>
      <c r="T939" s="19">
        <f t="shared" si="176"/>
        <v>7.1121497587462053E-4</v>
      </c>
    </row>
    <row r="940" spans="1:20" x14ac:dyDescent="0.2">
      <c r="A940" s="9">
        <v>45302</v>
      </c>
      <c r="B940" s="4" t="s">
        <v>224</v>
      </c>
      <c r="C940" s="8">
        <v>45292</v>
      </c>
      <c r="D940" s="4" t="s">
        <v>188</v>
      </c>
      <c r="E940" s="14">
        <f>IF(SUMIFS('Daily NSE Equity Futures'!$I:$I,'Daily NSE Equity Futures'!$A:$A,$A940)=0,"",SUMIFS('Daily NSE Equity Futures'!$I:$I,'Daily NSE Equity Futures'!$A:$A,$A940))</f>
        <v>1117.4319</v>
      </c>
      <c r="F940" s="6">
        <f>IF(SUMIFS('Daily BSE Equity Futures'!$I:$I,'Daily BSE Equity Futures'!$A:$A,$A940)=0,"",SUMIFS('Daily BSE Equity Futures'!$I:$I,'Daily BSE Equity Futures'!$A:$A,$A940))</f>
        <v>1.3796999999999999</v>
      </c>
      <c r="G940" s="6">
        <f t="shared" si="168"/>
        <v>1118.8116</v>
      </c>
      <c r="H940" s="15">
        <f t="shared" si="169"/>
        <v>0.9987668165042265</v>
      </c>
      <c r="I940" s="15">
        <f t="shared" si="170"/>
        <v>1.233183495773551E-3</v>
      </c>
      <c r="J940" s="20">
        <f t="shared" si="171"/>
        <v>0.36364245422275321</v>
      </c>
      <c r="K940" s="15">
        <f t="shared" si="172"/>
        <v>725.15789473684208</v>
      </c>
      <c r="L940" s="15">
        <f t="shared" si="173"/>
        <v>0.36532298620913606</v>
      </c>
      <c r="M940" s="15">
        <f t="shared" si="177"/>
        <v>1.333245913912906E-2</v>
      </c>
      <c r="N940" s="15">
        <f t="shared" si="178"/>
        <v>0.9205178173719375</v>
      </c>
      <c r="O940" s="15">
        <f t="shared" si="179"/>
        <v>1.3923082207211834E-2</v>
      </c>
      <c r="P940" s="18">
        <f>IF(SUMIFS('Daily NSE Equity Futures'!$J:$J,'Daily NSE Equity Futures'!$A:$A,$A940)=0,"",SUMIFS('Daily NSE Equity Futures'!$J:$J,'Daily NSE Equity Futures'!$A:$A,$A940))</f>
        <v>1423452</v>
      </c>
      <c r="Q940" s="7">
        <f>IF(SUMIFS('Daily BSE Equity Futures'!$J:$J,'Daily BSE Equity Futures'!$A:$A,$A940)=0,"",SUMIFS('Daily BSE Equity Futures'!$J:$J,'Daily BSE Equity Futures'!$A:$A,$A940))</f>
        <v>1811</v>
      </c>
      <c r="R940" s="7">
        <f t="shared" si="174"/>
        <v>1425263</v>
      </c>
      <c r="S940" s="19">
        <f t="shared" si="175"/>
        <v>0.99872935731861423</v>
      </c>
      <c r="T940" s="19">
        <f t="shared" si="176"/>
        <v>1.2706426813858215E-3</v>
      </c>
    </row>
    <row r="941" spans="1:20" x14ac:dyDescent="0.2">
      <c r="A941" s="9">
        <v>45303</v>
      </c>
      <c r="B941" s="4" t="s">
        <v>222</v>
      </c>
      <c r="C941" s="8">
        <v>45292</v>
      </c>
      <c r="D941" s="4" t="s">
        <v>188</v>
      </c>
      <c r="E941" s="14">
        <f>IF(SUMIFS('Daily NSE Equity Futures'!$I:$I,'Daily NSE Equity Futures'!$A:$A,$A941)=0,"",SUMIFS('Daily NSE Equity Futures'!$I:$I,'Daily NSE Equity Futures'!$A:$A,$A941))</f>
        <v>1276.9585</v>
      </c>
      <c r="F941" s="6">
        <f>IF(SUMIFS('Daily BSE Equity Futures'!$I:$I,'Daily BSE Equity Futures'!$A:$A,$A941)=0,"",SUMIFS('Daily BSE Equity Futures'!$I:$I,'Daily BSE Equity Futures'!$A:$A,$A941))</f>
        <v>3.4055</v>
      </c>
      <c r="G941" s="6">
        <f t="shared" si="168"/>
        <v>1280.364</v>
      </c>
      <c r="H941" s="15">
        <f t="shared" si="169"/>
        <v>0.99734020950292257</v>
      </c>
      <c r="I941" s="15">
        <f t="shared" si="170"/>
        <v>2.6597904970773936E-3</v>
      </c>
      <c r="J941" s="20">
        <f t="shared" si="171"/>
        <v>0.64803032680845263</v>
      </c>
      <c r="K941" s="15">
        <f t="shared" si="172"/>
        <v>1791.3684210526317</v>
      </c>
      <c r="L941" s="15">
        <f t="shared" si="173"/>
        <v>0.65242138033204489</v>
      </c>
      <c r="M941" s="15">
        <f t="shared" si="177"/>
        <v>0.14276180946686767</v>
      </c>
      <c r="N941" s="15">
        <f t="shared" si="178"/>
        <v>1.4682902080162354</v>
      </c>
      <c r="O941" s="15">
        <f t="shared" si="179"/>
        <v>0.14439642921113793</v>
      </c>
      <c r="P941" s="18">
        <f>IF(SUMIFS('Daily NSE Equity Futures'!$J:$J,'Daily NSE Equity Futures'!$A:$A,$A941)=0,"",SUMIFS('Daily NSE Equity Futures'!$J:$J,'Daily NSE Equity Futures'!$A:$A,$A941))</f>
        <v>1536732</v>
      </c>
      <c r="Q941" s="7">
        <f>IF(SUMIFS('Daily BSE Equity Futures'!$J:$J,'Daily BSE Equity Futures'!$A:$A,$A941)=0,"",SUMIFS('Daily BSE Equity Futures'!$J:$J,'Daily BSE Equity Futures'!$A:$A,$A941))</f>
        <v>4576</v>
      </c>
      <c r="R941" s="7">
        <f t="shared" si="174"/>
        <v>1541308</v>
      </c>
      <c r="S941" s="19">
        <f t="shared" si="175"/>
        <v>0.99703109307159887</v>
      </c>
      <c r="T941" s="19">
        <f t="shared" si="176"/>
        <v>2.9689069284010725E-3</v>
      </c>
    </row>
    <row r="942" spans="1:20" x14ac:dyDescent="0.2">
      <c r="A942" s="9">
        <v>45306</v>
      </c>
      <c r="B942" s="4" t="s">
        <v>225</v>
      </c>
      <c r="C942" s="8">
        <v>45292</v>
      </c>
      <c r="D942" s="4" t="s">
        <v>188</v>
      </c>
      <c r="E942" s="14">
        <f>IF(SUMIFS('Daily NSE Equity Futures'!$I:$I,'Daily NSE Equity Futures'!$A:$A,$A942)=0,"",SUMIFS('Daily NSE Equity Futures'!$I:$I,'Daily NSE Equity Futures'!$A:$A,$A942))</f>
        <v>1200.7796000000001</v>
      </c>
      <c r="F942" s="6">
        <f>IF(SUMIFS('Daily BSE Equity Futures'!$I:$I,'Daily BSE Equity Futures'!$A:$A,$A942)=0,"",SUMIFS('Daily BSE Equity Futures'!$I:$I,'Daily BSE Equity Futures'!$A:$A,$A942))</f>
        <v>1.4594</v>
      </c>
      <c r="G942" s="6">
        <f t="shared" si="168"/>
        <v>1202.239</v>
      </c>
      <c r="H942" s="15">
        <f t="shared" si="169"/>
        <v>0.99878609827164155</v>
      </c>
      <c r="I942" s="15">
        <f t="shared" si="170"/>
        <v>1.2139017283585045E-3</v>
      </c>
      <c r="J942" s="20" t="str">
        <f t="shared" si="171"/>
        <v/>
      </c>
      <c r="K942" s="15" t="str">
        <f t="shared" si="172"/>
        <v/>
      </c>
      <c r="L942" s="15" t="str">
        <f t="shared" si="173"/>
        <v/>
      </c>
      <c r="M942" s="15">
        <f t="shared" si="177"/>
        <v>-5.9656519769436422E-2</v>
      </c>
      <c r="N942" s="15">
        <f t="shared" si="178"/>
        <v>-0.57145793569226244</v>
      </c>
      <c r="O942" s="15">
        <f t="shared" si="179"/>
        <v>-6.1017804311898849E-2</v>
      </c>
      <c r="P942" s="18">
        <f>IF(SUMIFS('Daily NSE Equity Futures'!$J:$J,'Daily NSE Equity Futures'!$A:$A,$A942)=0,"",SUMIFS('Daily NSE Equity Futures'!$J:$J,'Daily NSE Equity Futures'!$A:$A,$A942))</f>
        <v>1414022</v>
      </c>
      <c r="Q942" s="7">
        <f>IF(SUMIFS('Daily BSE Equity Futures'!$J:$J,'Daily BSE Equity Futures'!$A:$A,$A942)=0,"",SUMIFS('Daily BSE Equity Futures'!$J:$J,'Daily BSE Equity Futures'!$A:$A,$A942))</f>
        <v>1826</v>
      </c>
      <c r="R942" s="7">
        <f t="shared" si="174"/>
        <v>1415848</v>
      </c>
      <c r="S942" s="19">
        <f t="shared" si="175"/>
        <v>0.99871031353648132</v>
      </c>
      <c r="T942" s="19">
        <f t="shared" si="176"/>
        <v>1.2896864635186828E-3</v>
      </c>
    </row>
    <row r="943" spans="1:20" x14ac:dyDescent="0.2">
      <c r="A943" s="9">
        <v>45307</v>
      </c>
      <c r="B943" s="4" t="s">
        <v>223</v>
      </c>
      <c r="C943" s="8">
        <v>45292</v>
      </c>
      <c r="D943" s="4" t="s">
        <v>188</v>
      </c>
      <c r="E943" s="14">
        <f>IF(SUMIFS('Daily NSE Equity Futures'!$I:$I,'Daily NSE Equity Futures'!$A:$A,$A943)=0,"",SUMIFS('Daily NSE Equity Futures'!$I:$I,'Daily NSE Equity Futures'!$A:$A,$A943))</f>
        <v>1269.6576</v>
      </c>
      <c r="F943" s="6">
        <f>IF(SUMIFS('Daily BSE Equity Futures'!$I:$I,'Daily BSE Equity Futures'!$A:$A,$A943)=0,"",SUMIFS('Daily BSE Equity Futures'!$I:$I,'Daily BSE Equity Futures'!$A:$A,$A943))</f>
        <v>0.28449999999999998</v>
      </c>
      <c r="G943" s="6">
        <f t="shared" si="168"/>
        <v>1269.9421</v>
      </c>
      <c r="H943" s="15">
        <f t="shared" si="169"/>
        <v>0.99977597403850149</v>
      </c>
      <c r="I943" s="15">
        <f t="shared" si="170"/>
        <v>2.2402596149855966E-4</v>
      </c>
      <c r="J943" s="20">
        <f t="shared" si="171"/>
        <v>0.50253256848396299</v>
      </c>
      <c r="K943" s="15">
        <f t="shared" si="172"/>
        <v>100.60714285714285</v>
      </c>
      <c r="L943" s="15">
        <f t="shared" si="173"/>
        <v>0.50286427037642545</v>
      </c>
      <c r="M943" s="15">
        <f t="shared" si="177"/>
        <v>5.7361067759645445E-2</v>
      </c>
      <c r="N943" s="15">
        <f t="shared" si="178"/>
        <v>-0.80505687268740578</v>
      </c>
      <c r="O943" s="15">
        <f t="shared" si="179"/>
        <v>5.6314177131169485E-2</v>
      </c>
      <c r="P943" s="18">
        <f>IF(SUMIFS('Daily NSE Equity Futures'!$J:$J,'Daily NSE Equity Futures'!$A:$A,$A943)=0,"",SUMIFS('Daily NSE Equity Futures'!$J:$J,'Daily NSE Equity Futures'!$A:$A,$A943))</f>
        <v>1485862</v>
      </c>
      <c r="Q943" s="7">
        <f>IF(SUMIFS('Daily BSE Equity Futures'!$J:$J,'Daily BSE Equity Futures'!$A:$A,$A943)=0,"",SUMIFS('Daily BSE Equity Futures'!$J:$J,'Daily BSE Equity Futures'!$A:$A,$A943))</f>
        <v>386</v>
      </c>
      <c r="R943" s="7">
        <f t="shared" si="174"/>
        <v>1486248</v>
      </c>
      <c r="S943" s="19">
        <f t="shared" si="175"/>
        <v>0.9997402856050942</v>
      </c>
      <c r="T943" s="19">
        <f t="shared" si="176"/>
        <v>2.5971439490582996E-4</v>
      </c>
    </row>
    <row r="944" spans="1:20" x14ac:dyDescent="0.2">
      <c r="A944" s="9">
        <v>45308</v>
      </c>
      <c r="B944" s="4" t="s">
        <v>221</v>
      </c>
      <c r="C944" s="8">
        <v>45292</v>
      </c>
      <c r="D944" s="4" t="s">
        <v>188</v>
      </c>
      <c r="E944" s="14">
        <f>IF(SUMIFS('Daily NSE Equity Futures'!$I:$I,'Daily NSE Equity Futures'!$A:$A,$A944)=0,"",SUMIFS('Daily NSE Equity Futures'!$I:$I,'Daily NSE Equity Futures'!$A:$A,$A944))</f>
        <v>1964.2001</v>
      </c>
      <c r="F944" s="6">
        <f>IF(SUMIFS('Daily BSE Equity Futures'!$I:$I,'Daily BSE Equity Futures'!$A:$A,$A944)=0,"",SUMIFS('Daily BSE Equity Futures'!$I:$I,'Daily BSE Equity Futures'!$A:$A,$A944))</f>
        <v>2.0026999999999999</v>
      </c>
      <c r="G944" s="6">
        <f t="shared" si="168"/>
        <v>1966.2028</v>
      </c>
      <c r="H944" s="15">
        <f t="shared" si="169"/>
        <v>0.99898143772351455</v>
      </c>
      <c r="I944" s="15">
        <f t="shared" si="170"/>
        <v>1.0185622764854164E-3</v>
      </c>
      <c r="J944" s="20">
        <f t="shared" si="171"/>
        <v>1.2622950234349428</v>
      </c>
      <c r="K944" s="15">
        <f t="shared" si="172"/>
        <v>714.25</v>
      </c>
      <c r="L944" s="15">
        <f t="shared" si="173"/>
        <v>1.2645943580790573</v>
      </c>
      <c r="M944" s="15">
        <f t="shared" si="177"/>
        <v>0.54703134136321485</v>
      </c>
      <c r="N944" s="15">
        <f t="shared" si="178"/>
        <v>6.0393673110720565</v>
      </c>
      <c r="O944" s="15">
        <f t="shared" si="179"/>
        <v>0.54826176720970188</v>
      </c>
      <c r="P944" s="18">
        <f>IF(SUMIFS('Daily NSE Equity Futures'!$J:$J,'Daily NSE Equity Futures'!$A:$A,$A944)=0,"",SUMIFS('Daily NSE Equity Futures'!$J:$J,'Daily NSE Equity Futures'!$A:$A,$A944))</f>
        <v>2366433</v>
      </c>
      <c r="Q944" s="7">
        <f>IF(SUMIFS('Daily BSE Equity Futures'!$J:$J,'Daily BSE Equity Futures'!$A:$A,$A944)=0,"",SUMIFS('Daily BSE Equity Futures'!$J:$J,'Daily BSE Equity Futures'!$A:$A,$A944))</f>
        <v>2623</v>
      </c>
      <c r="R944" s="7">
        <f t="shared" si="174"/>
        <v>2369056</v>
      </c>
      <c r="S944" s="19">
        <f t="shared" si="175"/>
        <v>0.99889280793700108</v>
      </c>
      <c r="T944" s="19">
        <f t="shared" si="176"/>
        <v>1.107192062998933E-3</v>
      </c>
    </row>
    <row r="945" spans="1:20" x14ac:dyDescent="0.2">
      <c r="A945" s="9">
        <v>45309</v>
      </c>
      <c r="B945" s="4" t="s">
        <v>224</v>
      </c>
      <c r="C945" s="8">
        <v>45292</v>
      </c>
      <c r="D945" s="4" t="s">
        <v>188</v>
      </c>
      <c r="E945" s="14">
        <f>IF(SUMIFS('Daily NSE Equity Futures'!$I:$I,'Daily NSE Equity Futures'!$A:$A,$A945)=0,"",SUMIFS('Daily NSE Equity Futures'!$I:$I,'Daily NSE Equity Futures'!$A:$A,$A945))</f>
        <v>1990.6068</v>
      </c>
      <c r="F945" s="6">
        <f>IF(SUMIFS('Daily BSE Equity Futures'!$I:$I,'Daily BSE Equity Futures'!$A:$A,$A945)=0,"",SUMIFS('Daily BSE Equity Futures'!$I:$I,'Daily BSE Equity Futures'!$A:$A,$A945))</f>
        <v>1.3391999999999999</v>
      </c>
      <c r="G945" s="6">
        <f t="shared" si="168"/>
        <v>1991.9459999999999</v>
      </c>
      <c r="H945" s="15">
        <f t="shared" si="169"/>
        <v>0.99932769261817345</v>
      </c>
      <c r="I945" s="15">
        <f t="shared" si="170"/>
        <v>6.7230738182661582E-4</v>
      </c>
      <c r="J945" s="20">
        <f t="shared" si="171"/>
        <v>1.1854137033512488</v>
      </c>
      <c r="K945" s="15">
        <f t="shared" si="172"/>
        <v>460.79310344827587</v>
      </c>
      <c r="L945" s="15">
        <f t="shared" si="173"/>
        <v>1.1868769989964467</v>
      </c>
      <c r="M945" s="15">
        <f t="shared" si="177"/>
        <v>1.3443996871805419E-2</v>
      </c>
      <c r="N945" s="15">
        <f t="shared" si="178"/>
        <v>-0.33130274129924597</v>
      </c>
      <c r="O945" s="15">
        <f t="shared" si="179"/>
        <v>1.3092850849363069E-2</v>
      </c>
      <c r="P945" s="18">
        <f>IF(SUMIFS('Daily NSE Equity Futures'!$J:$J,'Daily NSE Equity Futures'!$A:$A,$A945)=0,"",SUMIFS('Daily NSE Equity Futures'!$J:$J,'Daily NSE Equity Futures'!$A:$A,$A945))</f>
        <v>2388977</v>
      </c>
      <c r="Q945" s="7">
        <f>IF(SUMIFS('Daily BSE Equity Futures'!$J:$J,'Daily BSE Equity Futures'!$A:$A,$A945)=0,"",SUMIFS('Daily BSE Equity Futures'!$J:$J,'Daily BSE Equity Futures'!$A:$A,$A945))</f>
        <v>1865</v>
      </c>
      <c r="R945" s="7">
        <f t="shared" si="174"/>
        <v>2390842</v>
      </c>
      <c r="S945" s="19">
        <f t="shared" si="175"/>
        <v>0.9992199400880527</v>
      </c>
      <c r="T945" s="19">
        <f t="shared" si="176"/>
        <v>7.8005991194733909E-4</v>
      </c>
    </row>
    <row r="946" spans="1:20" x14ac:dyDescent="0.2">
      <c r="A946" s="9">
        <v>45310</v>
      </c>
      <c r="B946" s="4" t="s">
        <v>222</v>
      </c>
      <c r="C946" s="8">
        <v>45292</v>
      </c>
      <c r="D946" s="4" t="s">
        <v>188</v>
      </c>
      <c r="E946" s="14">
        <f>IF(SUMIFS('Daily NSE Equity Futures'!$I:$I,'Daily NSE Equity Futures'!$A:$A,$A946)=0,"",SUMIFS('Daily NSE Equity Futures'!$I:$I,'Daily NSE Equity Futures'!$A:$A,$A946))</f>
        <v>1745.1069</v>
      </c>
      <c r="F946" s="6">
        <f>IF(SUMIFS('Daily BSE Equity Futures'!$I:$I,'Daily BSE Equity Futures'!$A:$A,$A946)=0,"",SUMIFS('Daily BSE Equity Futures'!$I:$I,'Daily BSE Equity Futures'!$A:$A,$A946))</f>
        <v>1.9952000000000001</v>
      </c>
      <c r="G946" s="6">
        <f t="shared" si="168"/>
        <v>1747.1021000000001</v>
      </c>
      <c r="H946" s="15">
        <f t="shared" si="169"/>
        <v>0.99885799461863156</v>
      </c>
      <c r="I946" s="15">
        <f t="shared" si="170"/>
        <v>1.1420053813683813E-3</v>
      </c>
      <c r="J946" s="20">
        <f t="shared" si="171"/>
        <v>0.72117906858848291</v>
      </c>
      <c r="K946" s="15">
        <f t="shared" si="172"/>
        <v>1994.2</v>
      </c>
      <c r="L946" s="15">
        <f t="shared" si="173"/>
        <v>0.72314521211595184</v>
      </c>
      <c r="M946" s="15">
        <f t="shared" si="177"/>
        <v>-0.12332917781653319</v>
      </c>
      <c r="N946" s="15">
        <f t="shared" si="178"/>
        <v>0.48984468339307052</v>
      </c>
      <c r="O946" s="15">
        <f t="shared" si="179"/>
        <v>-0.12291693650329871</v>
      </c>
      <c r="P946" s="18">
        <f>IF(SUMIFS('Daily NSE Equity Futures'!$J:$J,'Daily NSE Equity Futures'!$A:$A,$A946)=0,"",SUMIFS('Daily NSE Equity Futures'!$J:$J,'Daily NSE Equity Futures'!$A:$A,$A946))</f>
        <v>2092571</v>
      </c>
      <c r="Q946" s="7">
        <f>IF(SUMIFS('Daily BSE Equity Futures'!$J:$J,'Daily BSE Equity Futures'!$A:$A,$A946)=0,"",SUMIFS('Daily BSE Equity Futures'!$J:$J,'Daily BSE Equity Futures'!$A:$A,$A946))</f>
        <v>2752</v>
      </c>
      <c r="R946" s="7">
        <f t="shared" si="174"/>
        <v>2095323</v>
      </c>
      <c r="S946" s="19">
        <f t="shared" si="175"/>
        <v>0.99868659867714904</v>
      </c>
      <c r="T946" s="19">
        <f t="shared" si="176"/>
        <v>1.3134013228509398E-3</v>
      </c>
    </row>
    <row r="947" spans="1:20" x14ac:dyDescent="0.2">
      <c r="A947" s="9">
        <v>45311</v>
      </c>
      <c r="B947" s="4" t="s">
        <v>226</v>
      </c>
      <c r="C947" s="8">
        <v>45292</v>
      </c>
      <c r="D947" s="4" t="s">
        <v>188</v>
      </c>
      <c r="E947" s="14">
        <f>IF(SUMIFS('Daily NSE Equity Futures'!$I:$I,'Daily NSE Equity Futures'!$A:$A,$A947)=0,"",SUMIFS('Daily NSE Equity Futures'!$I:$I,'Daily NSE Equity Futures'!$A:$A,$A947))</f>
        <v>1151.6603</v>
      </c>
      <c r="F947" s="6">
        <f>IF(SUMIFS('Daily BSE Equity Futures'!$I:$I,'Daily BSE Equity Futures'!$A:$A,$A947)=0,"",SUMIFS('Daily BSE Equity Futures'!$I:$I,'Daily BSE Equity Futures'!$A:$A,$A947))</f>
        <v>1.5947</v>
      </c>
      <c r="G947" s="6">
        <f t="shared" si="168"/>
        <v>1153.2550000000001</v>
      </c>
      <c r="H947" s="15">
        <f t="shared" si="169"/>
        <v>0.99861721822146876</v>
      </c>
      <c r="I947" s="15">
        <f t="shared" si="170"/>
        <v>1.3827817785312007E-3</v>
      </c>
      <c r="J947" s="20">
        <f t="shared" si="171"/>
        <v>-0.25814485760457362</v>
      </c>
      <c r="K947" s="15">
        <f t="shared" si="172"/>
        <v>1593.7</v>
      </c>
      <c r="L947" s="15">
        <f t="shared" si="173"/>
        <v>-0.25711809191262924</v>
      </c>
      <c r="M947" s="15">
        <f t="shared" si="177"/>
        <v>-0.34006317893763416</v>
      </c>
      <c r="N947" s="15">
        <f t="shared" si="178"/>
        <v>-0.20073175621491579</v>
      </c>
      <c r="O947" s="15">
        <f t="shared" si="179"/>
        <v>-0.33990406170309106</v>
      </c>
      <c r="P947" s="18">
        <f>IF(SUMIFS('Daily NSE Equity Futures'!$J:$J,'Daily NSE Equity Futures'!$A:$A,$A947)=0,"",SUMIFS('Daily NSE Equity Futures'!$J:$J,'Daily NSE Equity Futures'!$A:$A,$A947))</f>
        <v>1371729</v>
      </c>
      <c r="Q947" s="7">
        <f>IF(SUMIFS('Daily BSE Equity Futures'!$J:$J,'Daily BSE Equity Futures'!$A:$A,$A947)=0,"",SUMIFS('Daily BSE Equity Futures'!$J:$J,'Daily BSE Equity Futures'!$A:$A,$A947))</f>
        <v>2083</v>
      </c>
      <c r="R947" s="7">
        <f t="shared" si="174"/>
        <v>1373812</v>
      </c>
      <c r="S947" s="19">
        <f t="shared" si="175"/>
        <v>0.99848378089578482</v>
      </c>
      <c r="T947" s="19">
        <f t="shared" si="176"/>
        <v>1.5162191042151327E-3</v>
      </c>
    </row>
    <row r="948" spans="1:20" x14ac:dyDescent="0.2">
      <c r="A948" s="9">
        <v>45314</v>
      </c>
      <c r="B948" s="4" t="s">
        <v>223</v>
      </c>
      <c r="C948" s="8">
        <v>45292</v>
      </c>
      <c r="D948" s="4" t="s">
        <v>188</v>
      </c>
      <c r="E948" s="14">
        <f>IF(SUMIFS('Daily NSE Equity Futures'!$I:$I,'Daily NSE Equity Futures'!$A:$A,$A948)=0,"",SUMIFS('Daily NSE Equity Futures'!$I:$I,'Daily NSE Equity Futures'!$A:$A,$A948))</f>
        <v>4144.5805</v>
      </c>
      <c r="F948" s="6">
        <f>IF(SUMIFS('Daily BSE Equity Futures'!$I:$I,'Daily BSE Equity Futures'!$A:$A,$A948)=0,"",SUMIFS('Daily BSE Equity Futures'!$I:$I,'Daily BSE Equity Futures'!$A:$A,$A948))</f>
        <v>1.0270999999999999</v>
      </c>
      <c r="G948" s="6">
        <f t="shared" si="168"/>
        <v>4145.6076000000003</v>
      </c>
      <c r="H948" s="15">
        <f t="shared" si="169"/>
        <v>0.99975224379654259</v>
      </c>
      <c r="I948" s="15">
        <f t="shared" si="170"/>
        <v>2.4775620345736529E-4</v>
      </c>
      <c r="J948" s="20">
        <f t="shared" si="171"/>
        <v>0.97414437900397099</v>
      </c>
      <c r="K948" s="15">
        <f t="shared" si="172"/>
        <v>1026.0999999999999</v>
      </c>
      <c r="L948" s="15">
        <f t="shared" si="173"/>
        <v>0.97463266617361244</v>
      </c>
      <c r="M948" s="15">
        <f t="shared" si="177"/>
        <v>2.5987873333829428</v>
      </c>
      <c r="N948" s="15">
        <f t="shared" si="178"/>
        <v>-0.35592901486172956</v>
      </c>
      <c r="O948" s="15">
        <f t="shared" si="179"/>
        <v>2.5947016054558616</v>
      </c>
      <c r="P948" s="18">
        <f>IF(SUMIFS('Daily NSE Equity Futures'!$J:$J,'Daily NSE Equity Futures'!$A:$A,$A948)=0,"",SUMIFS('Daily NSE Equity Futures'!$J:$J,'Daily NSE Equity Futures'!$A:$A,$A948))</f>
        <v>5056594</v>
      </c>
      <c r="Q948" s="7">
        <f>IF(SUMIFS('Daily BSE Equity Futures'!$J:$J,'Daily BSE Equity Futures'!$A:$A,$A948)=0,"",SUMIFS('Daily BSE Equity Futures'!$J:$J,'Daily BSE Equity Futures'!$A:$A,$A948))</f>
        <v>1393</v>
      </c>
      <c r="R948" s="7">
        <f t="shared" si="174"/>
        <v>5057987</v>
      </c>
      <c r="S948" s="19">
        <f t="shared" si="175"/>
        <v>0.99972459399361846</v>
      </c>
      <c r="T948" s="19">
        <f t="shared" si="176"/>
        <v>2.7540600638159015E-4</v>
      </c>
    </row>
    <row r="949" spans="1:20" x14ac:dyDescent="0.2">
      <c r="A949" s="9">
        <v>45315</v>
      </c>
      <c r="B949" s="4" t="s">
        <v>221</v>
      </c>
      <c r="C949" s="8">
        <v>45292</v>
      </c>
      <c r="D949" s="4" t="s">
        <v>188</v>
      </c>
      <c r="E949" s="14">
        <f>IF(SUMIFS('Daily NSE Equity Futures'!$I:$I,'Daily NSE Equity Futures'!$A:$A,$A949)=0,"",SUMIFS('Daily NSE Equity Futures'!$I:$I,'Daily NSE Equity Futures'!$A:$A,$A949))</f>
        <v>3989.5718999999999</v>
      </c>
      <c r="F949" s="6">
        <f>IF(SUMIFS('Daily BSE Equity Futures'!$I:$I,'Daily BSE Equity Futures'!$A:$A,$A949)=0,"",SUMIFS('Daily BSE Equity Futures'!$I:$I,'Daily BSE Equity Futures'!$A:$A,$A949))</f>
        <v>1.5948</v>
      </c>
      <c r="G949" s="6">
        <f t="shared" si="168"/>
        <v>3991.1666999999998</v>
      </c>
      <c r="H949" s="15">
        <f t="shared" si="169"/>
        <v>0.99960041759217932</v>
      </c>
      <c r="I949" s="15">
        <f t="shared" si="170"/>
        <v>3.995824078207508E-4</v>
      </c>
      <c r="J949" s="20">
        <f t="shared" si="171"/>
        <v>1.1100135806372418</v>
      </c>
      <c r="K949" s="15">
        <f t="shared" si="172"/>
        <v>838.36842105263156</v>
      </c>
      <c r="L949" s="15">
        <f t="shared" si="173"/>
        <v>1.1108549208287934</v>
      </c>
      <c r="M949" s="15">
        <f t="shared" si="177"/>
        <v>-3.7400311080940551E-2</v>
      </c>
      <c r="N949" s="15">
        <f t="shared" si="178"/>
        <v>0.55272125401616212</v>
      </c>
      <c r="O949" s="15">
        <f t="shared" si="179"/>
        <v>-3.7254104802393884E-2</v>
      </c>
      <c r="P949" s="18">
        <f>IF(SUMIFS('Daily NSE Equity Futures'!$J:$J,'Daily NSE Equity Futures'!$A:$A,$A949)=0,"",SUMIFS('Daily NSE Equity Futures'!$J:$J,'Daily NSE Equity Futures'!$A:$A,$A949))</f>
        <v>4975736</v>
      </c>
      <c r="Q949" s="7">
        <f>IF(SUMIFS('Daily BSE Equity Futures'!$J:$J,'Daily BSE Equity Futures'!$A:$A,$A949)=0,"",SUMIFS('Daily BSE Equity Futures'!$J:$J,'Daily BSE Equity Futures'!$A:$A,$A949))</f>
        <v>2141</v>
      </c>
      <c r="R949" s="7">
        <f t="shared" si="174"/>
        <v>4977877</v>
      </c>
      <c r="S949" s="19">
        <f t="shared" si="175"/>
        <v>0.99956989696611631</v>
      </c>
      <c r="T949" s="19">
        <f t="shared" si="176"/>
        <v>4.3010303388372193E-4</v>
      </c>
    </row>
    <row r="950" spans="1:20" x14ac:dyDescent="0.2">
      <c r="A950" s="9">
        <v>45316</v>
      </c>
      <c r="B950" s="4" t="s">
        <v>224</v>
      </c>
      <c r="C950" s="8">
        <v>45292</v>
      </c>
      <c r="D950" s="4" t="s">
        <v>188</v>
      </c>
      <c r="E950" s="14">
        <f>IF(SUMIFS('Daily NSE Equity Futures'!$I:$I,'Daily NSE Equity Futures'!$A:$A,$A950)=0,"",SUMIFS('Daily NSE Equity Futures'!$I:$I,'Daily NSE Equity Futures'!$A:$A,$A950))</f>
        <v>3738.8800999999999</v>
      </c>
      <c r="F950" s="6">
        <f>IF(SUMIFS('Daily BSE Equity Futures'!$I:$I,'Daily BSE Equity Futures'!$A:$A,$A950)=0,"",SUMIFS('Daily BSE Equity Futures'!$I:$I,'Daily BSE Equity Futures'!$A:$A,$A950))</f>
        <v>2.4735999999999998</v>
      </c>
      <c r="G950" s="6">
        <f t="shared" si="168"/>
        <v>3741.3536999999997</v>
      </c>
      <c r="H950" s="15">
        <f t="shared" si="169"/>
        <v>0.99933884893053559</v>
      </c>
      <c r="I950" s="15">
        <f t="shared" si="170"/>
        <v>6.6115106946450957E-4</v>
      </c>
      <c r="J950" s="20">
        <f t="shared" si="171"/>
        <v>0.54944200479277394</v>
      </c>
      <c r="K950" s="15">
        <f t="shared" si="172"/>
        <v>525.29787234042544</v>
      </c>
      <c r="L950" s="15">
        <f t="shared" si="173"/>
        <v>0.55046407786713103</v>
      </c>
      <c r="M950" s="15">
        <f t="shared" si="177"/>
        <v>-6.2836767022546924E-2</v>
      </c>
      <c r="N950" s="15">
        <f t="shared" si="178"/>
        <v>0.55104088286932518</v>
      </c>
      <c r="O950" s="15">
        <f t="shared" si="179"/>
        <v>-6.2591472313095808E-2</v>
      </c>
      <c r="P950" s="18">
        <f>IF(SUMIFS('Daily NSE Equity Futures'!$J:$J,'Daily NSE Equity Futures'!$A:$A,$A950)=0,"",SUMIFS('Daily NSE Equity Futures'!$J:$J,'Daily NSE Equity Futures'!$A:$A,$A950))</f>
        <v>4631797</v>
      </c>
      <c r="Q950" s="7">
        <f>IF(SUMIFS('Daily BSE Equity Futures'!$J:$J,'Daily BSE Equity Futures'!$A:$A,$A950)=0,"",SUMIFS('Daily BSE Equity Futures'!$J:$J,'Daily BSE Equity Futures'!$A:$A,$A950))</f>
        <v>3347</v>
      </c>
      <c r="R950" s="7">
        <f t="shared" si="174"/>
        <v>4635144</v>
      </c>
      <c r="S950" s="19">
        <f t="shared" si="175"/>
        <v>0.99927790808656647</v>
      </c>
      <c r="T950" s="19">
        <f t="shared" si="176"/>
        <v>7.220919134335417E-4</v>
      </c>
    </row>
    <row r="951" spans="1:20" x14ac:dyDescent="0.2">
      <c r="A951" s="9">
        <v>45320</v>
      </c>
      <c r="B951" s="4" t="s">
        <v>225</v>
      </c>
      <c r="C951" s="8">
        <v>45292</v>
      </c>
      <c r="D951" s="4" t="s">
        <v>188</v>
      </c>
      <c r="E951" s="14">
        <f>IF(SUMIFS('Daily NSE Equity Futures'!$I:$I,'Daily NSE Equity Futures'!$A:$A,$A951)=0,"",SUMIFS('Daily NSE Equity Futures'!$I:$I,'Daily NSE Equity Futures'!$A:$A,$A951))</f>
        <v>1614.932</v>
      </c>
      <c r="F951" s="6">
        <f>IF(SUMIFS('Daily BSE Equity Futures'!$I:$I,'Daily BSE Equity Futures'!$A:$A,$A951)=0,"",SUMIFS('Daily BSE Equity Futures'!$I:$I,'Daily BSE Equity Futures'!$A:$A,$A951))</f>
        <v>1.339</v>
      </c>
      <c r="G951" s="6">
        <f t="shared" si="168"/>
        <v>1616.271</v>
      </c>
      <c r="H951" s="15">
        <f t="shared" si="169"/>
        <v>0.99917154982054379</v>
      </c>
      <c r="I951" s="15">
        <f t="shared" si="170"/>
        <v>8.2845017945629162E-4</v>
      </c>
      <c r="J951" s="20" t="str">
        <f t="shared" si="171"/>
        <v/>
      </c>
      <c r="K951" s="15" t="str">
        <f t="shared" si="172"/>
        <v/>
      </c>
      <c r="L951" s="15" t="str">
        <f t="shared" si="173"/>
        <v/>
      </c>
      <c r="M951" s="15">
        <f t="shared" si="177"/>
        <v>-0.56807066372628534</v>
      </c>
      <c r="N951" s="15">
        <f t="shared" si="178"/>
        <v>-0.45868369987063384</v>
      </c>
      <c r="O951" s="15">
        <f t="shared" si="179"/>
        <v>-0.56799834241814662</v>
      </c>
      <c r="P951" s="18">
        <f>IF(SUMIFS('Daily NSE Equity Futures'!$J:$J,'Daily NSE Equity Futures'!$A:$A,$A951)=0,"",SUMIFS('Daily NSE Equity Futures'!$J:$J,'Daily NSE Equity Futures'!$A:$A,$A951))</f>
        <v>1919594</v>
      </c>
      <c r="Q951" s="7">
        <f>IF(SUMIFS('Daily BSE Equity Futures'!$J:$J,'Daily BSE Equity Futures'!$A:$A,$A951)=0,"",SUMIFS('Daily BSE Equity Futures'!$J:$J,'Daily BSE Equity Futures'!$A:$A,$A951))</f>
        <v>1778</v>
      </c>
      <c r="R951" s="7">
        <f t="shared" si="174"/>
        <v>1921372</v>
      </c>
      <c r="S951" s="19">
        <f t="shared" si="175"/>
        <v>0.99907461959474797</v>
      </c>
      <c r="T951" s="19">
        <f t="shared" si="176"/>
        <v>9.2538040525208033E-4</v>
      </c>
    </row>
    <row r="952" spans="1:20" x14ac:dyDescent="0.2">
      <c r="A952" s="9">
        <v>45321</v>
      </c>
      <c r="B952" s="4" t="s">
        <v>223</v>
      </c>
      <c r="C952" s="8">
        <v>45292</v>
      </c>
      <c r="D952" s="4" t="s">
        <v>188</v>
      </c>
      <c r="E952" s="14">
        <f>IF(SUMIFS('Daily NSE Equity Futures'!$I:$I,'Daily NSE Equity Futures'!$A:$A,$A952)=0,"",SUMIFS('Daily NSE Equity Futures'!$I:$I,'Daily NSE Equity Futures'!$A:$A,$A952))</f>
        <v>1424.9951000000001</v>
      </c>
      <c r="F952" s="6">
        <f>IF(SUMIFS('Daily BSE Equity Futures'!$I:$I,'Daily BSE Equity Futures'!$A:$A,$A952)=0,"",SUMIFS('Daily BSE Equity Futures'!$I:$I,'Daily BSE Equity Futures'!$A:$A,$A952))</f>
        <v>0.57709999999999995</v>
      </c>
      <c r="G952" s="6">
        <f t="shared" si="168"/>
        <v>1425.5722000000001</v>
      </c>
      <c r="H952" s="15">
        <f t="shared" si="169"/>
        <v>0.99959518009680604</v>
      </c>
      <c r="I952" s="15">
        <f t="shared" si="170"/>
        <v>4.0481990319395951E-4</v>
      </c>
      <c r="J952" s="20">
        <f t="shared" si="171"/>
        <v>0.1035048518758408</v>
      </c>
      <c r="K952" s="15">
        <f t="shared" si="172"/>
        <v>154.97297297297294</v>
      </c>
      <c r="L952" s="15">
        <f t="shared" si="173"/>
        <v>0.10394859042855731</v>
      </c>
      <c r="M952" s="15">
        <f t="shared" si="177"/>
        <v>-0.11761293973987752</v>
      </c>
      <c r="N952" s="15">
        <f t="shared" si="178"/>
        <v>-0.56900672143390585</v>
      </c>
      <c r="O952" s="15">
        <f t="shared" si="179"/>
        <v>-0.11798689699932741</v>
      </c>
      <c r="P952" s="18">
        <f>IF(SUMIFS('Daily NSE Equity Futures'!$J:$J,'Daily NSE Equity Futures'!$A:$A,$A952)=0,"",SUMIFS('Daily NSE Equity Futures'!$J:$J,'Daily NSE Equity Futures'!$A:$A,$A952))</f>
        <v>1660510</v>
      </c>
      <c r="Q952" s="7">
        <f>IF(SUMIFS('Daily BSE Equity Futures'!$J:$J,'Daily BSE Equity Futures'!$A:$A,$A952)=0,"",SUMIFS('Daily BSE Equity Futures'!$J:$J,'Daily BSE Equity Futures'!$A:$A,$A952))</f>
        <v>797</v>
      </c>
      <c r="R952" s="7">
        <f t="shared" si="174"/>
        <v>1661307</v>
      </c>
      <c r="S952" s="19">
        <f t="shared" si="175"/>
        <v>0.99952025724324278</v>
      </c>
      <c r="T952" s="19">
        <f t="shared" si="176"/>
        <v>4.7974275675717972E-4</v>
      </c>
    </row>
    <row r="953" spans="1:20" x14ac:dyDescent="0.2">
      <c r="A953" s="9">
        <v>45322</v>
      </c>
      <c r="B953" s="4" t="s">
        <v>221</v>
      </c>
      <c r="C953" s="8">
        <v>45292</v>
      </c>
      <c r="D953" s="4" t="s">
        <v>188</v>
      </c>
      <c r="E953" s="14">
        <f>IF(SUMIFS('Daily NSE Equity Futures'!$I:$I,'Daily NSE Equity Futures'!$A:$A,$A953)=0,"",SUMIFS('Daily NSE Equity Futures'!$I:$I,'Daily NSE Equity Futures'!$A:$A,$A953))</f>
        <v>1467.8965000000001</v>
      </c>
      <c r="F953" s="6">
        <f>IF(SUMIFS('Daily BSE Equity Futures'!$I:$I,'Daily BSE Equity Futures'!$A:$A,$A953)=0,"",SUMIFS('Daily BSE Equity Futures'!$I:$I,'Daily BSE Equity Futures'!$A:$A,$A953))</f>
        <v>0.75580000000000003</v>
      </c>
      <c r="G953" s="6">
        <f t="shared" si="168"/>
        <v>1468.6523</v>
      </c>
      <c r="H953" s="15">
        <f t="shared" si="169"/>
        <v>0.9994853785337755</v>
      </c>
      <c r="I953" s="15">
        <f t="shared" si="170"/>
        <v>5.1462146622451076E-4</v>
      </c>
      <c r="J953" s="20">
        <f t="shared" si="171"/>
        <v>0.36404506535379544</v>
      </c>
      <c r="K953" s="15">
        <f t="shared" si="172"/>
        <v>396.78947368421052</v>
      </c>
      <c r="L953" s="15">
        <f t="shared" si="173"/>
        <v>0.36474498409495881</v>
      </c>
      <c r="M953" s="15">
        <f t="shared" si="177"/>
        <v>3.0106349137621669E-2</v>
      </c>
      <c r="N953" s="15">
        <f t="shared" si="178"/>
        <v>0.30965170680991183</v>
      </c>
      <c r="O953" s="15">
        <f t="shared" si="179"/>
        <v>3.0219514662252811E-2</v>
      </c>
      <c r="P953" s="18">
        <f>IF(SUMIFS('Daily NSE Equity Futures'!$J:$J,'Daily NSE Equity Futures'!$A:$A,$A953)=0,"",SUMIFS('Daily NSE Equity Futures'!$J:$J,'Daily NSE Equity Futures'!$A:$A,$A953))</f>
        <v>1765379</v>
      </c>
      <c r="Q953" s="7">
        <f>IF(SUMIFS('Daily BSE Equity Futures'!$J:$J,'Daily BSE Equity Futures'!$A:$A,$A953)=0,"",SUMIFS('Daily BSE Equity Futures'!$J:$J,'Daily BSE Equity Futures'!$A:$A,$A953))</f>
        <v>1049</v>
      </c>
      <c r="R953" s="7">
        <f t="shared" si="174"/>
        <v>1766428</v>
      </c>
      <c r="S953" s="19">
        <f t="shared" si="175"/>
        <v>0.99940614618880586</v>
      </c>
      <c r="T953" s="19">
        <f t="shared" si="176"/>
        <v>5.9385381119411598E-4</v>
      </c>
    </row>
    <row r="954" spans="1:20" x14ac:dyDescent="0.2">
      <c r="A954" s="9">
        <v>45323</v>
      </c>
      <c r="B954" s="4" t="s">
        <v>224</v>
      </c>
      <c r="C954" s="8">
        <v>45323</v>
      </c>
      <c r="D954" s="4" t="s">
        <v>188</v>
      </c>
      <c r="E954" s="14">
        <f>IF(SUMIFS('Daily NSE Equity Futures'!$I:$I,'Daily NSE Equity Futures'!$A:$A,$A954)=0,"",SUMIFS('Daily NSE Equity Futures'!$I:$I,'Daily NSE Equity Futures'!$A:$A,$A954))</f>
        <v>1639.9351999999999</v>
      </c>
      <c r="F954" s="6">
        <f>IF(SUMIFS('Daily BSE Equity Futures'!$I:$I,'Daily BSE Equity Futures'!$A:$A,$A954)=0,"",SUMIFS('Daily BSE Equity Futures'!$I:$I,'Daily BSE Equity Futures'!$A:$A,$A954))</f>
        <v>1.3407</v>
      </c>
      <c r="G954" s="6">
        <f t="shared" si="168"/>
        <v>1641.2758999999999</v>
      </c>
      <c r="H954" s="15">
        <f t="shared" si="169"/>
        <v>0.999183135510611</v>
      </c>
      <c r="I954" s="15">
        <f t="shared" si="170"/>
        <v>8.1686448938901753E-4</v>
      </c>
      <c r="J954" s="20">
        <f t="shared" si="171"/>
        <v>-0.16978417433722748</v>
      </c>
      <c r="K954" s="15">
        <f t="shared" si="172"/>
        <v>1488.6666666666667</v>
      </c>
      <c r="L954" s="15">
        <f t="shared" si="173"/>
        <v>-0.16910582465723911</v>
      </c>
      <c r="M954" s="15">
        <f t="shared" si="177"/>
        <v>0.11720083806998649</v>
      </c>
      <c r="N954" s="15">
        <f t="shared" si="178"/>
        <v>0.77388197935961878</v>
      </c>
      <c r="O954" s="15">
        <f t="shared" si="179"/>
        <v>0.1175387802817589</v>
      </c>
      <c r="P954" s="18">
        <f>IF(SUMIFS('Daily NSE Equity Futures'!$J:$J,'Daily NSE Equity Futures'!$A:$A,$A954)=0,"",SUMIFS('Daily NSE Equity Futures'!$J:$J,'Daily NSE Equity Futures'!$A:$A,$A954))</f>
        <v>1950161</v>
      </c>
      <c r="Q954" s="7">
        <f>IF(SUMIFS('Daily BSE Equity Futures'!$J:$J,'Daily BSE Equity Futures'!$A:$A,$A954)=0,"",SUMIFS('Daily BSE Equity Futures'!$J:$J,'Daily BSE Equity Futures'!$A:$A,$A954))</f>
        <v>1852</v>
      </c>
      <c r="R954" s="7">
        <f t="shared" si="174"/>
        <v>1952013</v>
      </c>
      <c r="S954" s="19">
        <f t="shared" si="175"/>
        <v>0.99905123582681055</v>
      </c>
      <c r="T954" s="19">
        <f t="shared" si="176"/>
        <v>9.4876417318942032E-4</v>
      </c>
    </row>
    <row r="955" spans="1:20" x14ac:dyDescent="0.2">
      <c r="A955" s="9">
        <v>45324</v>
      </c>
      <c r="B955" s="4" t="s">
        <v>222</v>
      </c>
      <c r="C955" s="8">
        <v>45323</v>
      </c>
      <c r="D955" s="4" t="s">
        <v>188</v>
      </c>
      <c r="E955" s="14">
        <f>IF(SUMIFS('Daily NSE Equity Futures'!$I:$I,'Daily NSE Equity Futures'!$A:$A,$A955)=0,"",SUMIFS('Daily NSE Equity Futures'!$I:$I,'Daily NSE Equity Futures'!$A:$A,$A955))</f>
        <v>1848.3965000000001</v>
      </c>
      <c r="F955" s="6">
        <f>IF(SUMIFS('Daily BSE Equity Futures'!$I:$I,'Daily BSE Equity Futures'!$A:$A,$A955)=0,"",SUMIFS('Daily BSE Equity Futures'!$I:$I,'Daily BSE Equity Futures'!$A:$A,$A955))</f>
        <v>8.7166999999999994</v>
      </c>
      <c r="G955" s="6">
        <f t="shared" si="168"/>
        <v>1857.1132</v>
      </c>
      <c r="H955" s="15">
        <f t="shared" si="169"/>
        <v>0.99530631735319097</v>
      </c>
      <c r="I955" s="15">
        <f t="shared" si="170"/>
        <v>4.6936826468090363E-3</v>
      </c>
      <c r="J955" s="20">
        <f t="shared" si="171"/>
        <v>0.50181255403598257</v>
      </c>
      <c r="K955" s="15">
        <f t="shared" si="172"/>
        <v>2354.8648648648646</v>
      </c>
      <c r="L955" s="15">
        <f t="shared" si="173"/>
        <v>0.50889029143126052</v>
      </c>
      <c r="M955" s="15">
        <f t="shared" si="177"/>
        <v>0.12711557139574792</v>
      </c>
      <c r="N955" s="15">
        <f t="shared" si="178"/>
        <v>5.5016036398896091</v>
      </c>
      <c r="O955" s="15">
        <f t="shared" si="179"/>
        <v>0.13150579984754551</v>
      </c>
      <c r="P955" s="18">
        <f>IF(SUMIFS('Daily NSE Equity Futures'!$J:$J,'Daily NSE Equity Futures'!$A:$A,$A955)=0,"",SUMIFS('Daily NSE Equity Futures'!$J:$J,'Daily NSE Equity Futures'!$A:$A,$A955))</f>
        <v>2101026</v>
      </c>
      <c r="Q955" s="7">
        <f>IF(SUMIFS('Daily BSE Equity Futures'!$J:$J,'Daily BSE Equity Futures'!$A:$A,$A955)=0,"",SUMIFS('Daily BSE Equity Futures'!$J:$J,'Daily BSE Equity Futures'!$A:$A,$A955))</f>
        <v>11806</v>
      </c>
      <c r="R955" s="7">
        <f t="shared" si="174"/>
        <v>2112832</v>
      </c>
      <c r="S955" s="19">
        <f t="shared" si="175"/>
        <v>0.9944122391179232</v>
      </c>
      <c r="T955" s="19">
        <f t="shared" si="176"/>
        <v>5.5877608820767578E-3</v>
      </c>
    </row>
    <row r="956" spans="1:20" x14ac:dyDescent="0.2">
      <c r="A956" s="9">
        <v>45327</v>
      </c>
      <c r="B956" s="4" t="s">
        <v>225</v>
      </c>
      <c r="C956" s="8">
        <v>45323</v>
      </c>
      <c r="D956" s="4" t="s">
        <v>188</v>
      </c>
      <c r="E956" s="14">
        <f>IF(SUMIFS('Daily NSE Equity Futures'!$I:$I,'Daily NSE Equity Futures'!$A:$A,$A956)=0,"",SUMIFS('Daily NSE Equity Futures'!$I:$I,'Daily NSE Equity Futures'!$A:$A,$A956))</f>
        <v>1580.9694</v>
      </c>
      <c r="F956" s="6">
        <f>IF(SUMIFS('Daily BSE Equity Futures'!$I:$I,'Daily BSE Equity Futures'!$A:$A,$A956)=0,"",SUMIFS('Daily BSE Equity Futures'!$I:$I,'Daily BSE Equity Futures'!$A:$A,$A956))</f>
        <v>1.7108000000000001</v>
      </c>
      <c r="G956" s="6">
        <f t="shared" si="168"/>
        <v>1582.6802</v>
      </c>
      <c r="H956" s="15">
        <f t="shared" si="169"/>
        <v>0.9989190488387989</v>
      </c>
      <c r="I956" s="15">
        <f t="shared" si="170"/>
        <v>1.0809511612011069E-3</v>
      </c>
      <c r="J956" s="20" t="str">
        <f t="shared" si="171"/>
        <v/>
      </c>
      <c r="K956" s="15" t="str">
        <f t="shared" si="172"/>
        <v/>
      </c>
      <c r="L956" s="15" t="str">
        <f t="shared" si="173"/>
        <v/>
      </c>
      <c r="M956" s="15">
        <f t="shared" si="177"/>
        <v>-0.14468059206993744</v>
      </c>
      <c r="N956" s="15">
        <f t="shared" si="178"/>
        <v>-0.80373306411830159</v>
      </c>
      <c r="O956" s="15">
        <f t="shared" si="179"/>
        <v>-0.1477739752213274</v>
      </c>
      <c r="P956" s="18">
        <f>IF(SUMIFS('Daily NSE Equity Futures'!$J:$J,'Daily NSE Equity Futures'!$A:$A,$A956)=0,"",SUMIFS('Daily NSE Equity Futures'!$J:$J,'Daily NSE Equity Futures'!$A:$A,$A956))</f>
        <v>1780137</v>
      </c>
      <c r="Q956" s="7">
        <f>IF(SUMIFS('Daily BSE Equity Futures'!$J:$J,'Daily BSE Equity Futures'!$A:$A,$A956)=0,"",SUMIFS('Daily BSE Equity Futures'!$J:$J,'Daily BSE Equity Futures'!$A:$A,$A956))</f>
        <v>2256</v>
      </c>
      <c r="R956" s="7">
        <f t="shared" si="174"/>
        <v>1782393</v>
      </c>
      <c r="S956" s="19">
        <f t="shared" si="175"/>
        <v>0.99873428587298085</v>
      </c>
      <c r="T956" s="19">
        <f t="shared" si="176"/>
        <v>1.2657141270191255E-3</v>
      </c>
    </row>
    <row r="957" spans="1:20" x14ac:dyDescent="0.2">
      <c r="A957" s="9">
        <v>45328</v>
      </c>
      <c r="B957" s="4" t="s">
        <v>223</v>
      </c>
      <c r="C957" s="8">
        <v>45323</v>
      </c>
      <c r="D957" s="4" t="s">
        <v>188</v>
      </c>
      <c r="E957" s="14">
        <f>IF(SUMIFS('Daily NSE Equity Futures'!$I:$I,'Daily NSE Equity Futures'!$A:$A,$A957)=0,"",SUMIFS('Daily NSE Equity Futures'!$I:$I,'Daily NSE Equity Futures'!$A:$A,$A957))</f>
        <v>1332.0655999999999</v>
      </c>
      <c r="F957" s="6">
        <f>IF(SUMIFS('Daily BSE Equity Futures'!$I:$I,'Daily BSE Equity Futures'!$A:$A,$A957)=0,"",SUMIFS('Daily BSE Equity Futures'!$I:$I,'Daily BSE Equity Futures'!$A:$A,$A957))</f>
        <v>1.1512</v>
      </c>
      <c r="G957" s="6">
        <f t="shared" si="168"/>
        <v>1333.2167999999999</v>
      </c>
      <c r="H957" s="15">
        <f t="shared" si="169"/>
        <v>0.99913652453224411</v>
      </c>
      <c r="I957" s="15">
        <f t="shared" si="170"/>
        <v>8.6347546775588193E-4</v>
      </c>
      <c r="J957" s="20">
        <f t="shared" si="171"/>
        <v>0.64090935407774219</v>
      </c>
      <c r="K957" s="15">
        <f t="shared" si="172"/>
        <v>604.89473684210532</v>
      </c>
      <c r="L957" s="15">
        <f t="shared" si="173"/>
        <v>0.64232361965929741</v>
      </c>
      <c r="M957" s="15">
        <f t="shared" si="177"/>
        <v>-0.15743745577871404</v>
      </c>
      <c r="N957" s="15">
        <f t="shared" si="178"/>
        <v>-0.32709843348141221</v>
      </c>
      <c r="O957" s="15">
        <f t="shared" si="179"/>
        <v>-0.15762085100957235</v>
      </c>
      <c r="P957" s="18">
        <f>IF(SUMIFS('Daily NSE Equity Futures'!$J:$J,'Daily NSE Equity Futures'!$A:$A,$A957)=0,"",SUMIFS('Daily NSE Equity Futures'!$J:$J,'Daily NSE Equity Futures'!$A:$A,$A957))</f>
        <v>1536253</v>
      </c>
      <c r="Q957" s="7">
        <f>IF(SUMIFS('Daily BSE Equity Futures'!$J:$J,'Daily BSE Equity Futures'!$A:$A,$A957)=0,"",SUMIFS('Daily BSE Equity Futures'!$J:$J,'Daily BSE Equity Futures'!$A:$A,$A957))</f>
        <v>1517</v>
      </c>
      <c r="R957" s="7">
        <f t="shared" si="174"/>
        <v>1537770</v>
      </c>
      <c r="S957" s="19">
        <f t="shared" si="175"/>
        <v>0.9990135065712038</v>
      </c>
      <c r="T957" s="19">
        <f t="shared" si="176"/>
        <v>9.8649342879624392E-4</v>
      </c>
    </row>
    <row r="958" spans="1:20" x14ac:dyDescent="0.2">
      <c r="A958" s="9">
        <v>45329</v>
      </c>
      <c r="B958" s="4" t="s">
        <v>221</v>
      </c>
      <c r="C958" s="8">
        <v>45323</v>
      </c>
      <c r="D958" s="4" t="s">
        <v>188</v>
      </c>
      <c r="E958" s="14">
        <f>IF(SUMIFS('Daily NSE Equity Futures'!$I:$I,'Daily NSE Equity Futures'!$A:$A,$A958)=0,"",SUMIFS('Daily NSE Equity Futures'!$I:$I,'Daily NSE Equity Futures'!$A:$A,$A958))</f>
        <v>1410.9437</v>
      </c>
      <c r="F958" s="6">
        <f>IF(SUMIFS('Daily BSE Equity Futures'!$I:$I,'Daily BSE Equity Futures'!$A:$A,$A958)=0,"",SUMIFS('Daily BSE Equity Futures'!$I:$I,'Daily BSE Equity Futures'!$A:$A,$A958))</f>
        <v>0.74060000000000004</v>
      </c>
      <c r="G958" s="6">
        <f t="shared" si="168"/>
        <v>1411.6843000000001</v>
      </c>
      <c r="H958" s="15">
        <f t="shared" si="169"/>
        <v>0.99947537845395029</v>
      </c>
      <c r="I958" s="15">
        <f t="shared" si="170"/>
        <v>5.2462154604963733E-4</v>
      </c>
      <c r="J958" s="20">
        <f t="shared" si="171"/>
        <v>0.60004810542095477</v>
      </c>
      <c r="K958" s="15">
        <f t="shared" si="172"/>
        <v>388.78947368421052</v>
      </c>
      <c r="L958" s="15">
        <f t="shared" si="173"/>
        <v>0.60088451639300411</v>
      </c>
      <c r="M958" s="15">
        <f t="shared" si="177"/>
        <v>5.9214876504580571E-2</v>
      </c>
      <c r="N958" s="15">
        <f t="shared" si="178"/>
        <v>-0.35667129951355103</v>
      </c>
      <c r="O958" s="15">
        <f t="shared" si="179"/>
        <v>5.8855768994210189E-2</v>
      </c>
      <c r="P958" s="18">
        <f>IF(SUMIFS('Daily NSE Equity Futures'!$J:$J,'Daily NSE Equity Futures'!$A:$A,$A958)=0,"",SUMIFS('Daily NSE Equity Futures'!$J:$J,'Daily NSE Equity Futures'!$A:$A,$A958))</f>
        <v>1586981</v>
      </c>
      <c r="Q958" s="7">
        <f>IF(SUMIFS('Daily BSE Equity Futures'!$J:$J,'Daily BSE Equity Futures'!$A:$A,$A958)=0,"",SUMIFS('Daily BSE Equity Futures'!$J:$J,'Daily BSE Equity Futures'!$A:$A,$A958))</f>
        <v>993</v>
      </c>
      <c r="R958" s="7">
        <f t="shared" si="174"/>
        <v>1587974</v>
      </c>
      <c r="S958" s="19">
        <f t="shared" si="175"/>
        <v>0.99937467490021881</v>
      </c>
      <c r="T958" s="19">
        <f t="shared" si="176"/>
        <v>6.2532509978123062E-4</v>
      </c>
    </row>
    <row r="959" spans="1:20" x14ac:dyDescent="0.2">
      <c r="A959" s="9">
        <v>45330</v>
      </c>
      <c r="B959" s="4" t="s">
        <v>224</v>
      </c>
      <c r="C959" s="8">
        <v>45323</v>
      </c>
      <c r="D959" s="4" t="s">
        <v>188</v>
      </c>
      <c r="E959" s="14">
        <f>IF(SUMIFS('Daily NSE Equity Futures'!$I:$I,'Daily NSE Equity Futures'!$A:$A,$A959)=0,"",SUMIFS('Daily NSE Equity Futures'!$I:$I,'Daily NSE Equity Futures'!$A:$A,$A959))</f>
        <v>1798.3851999999999</v>
      </c>
      <c r="F959" s="6">
        <f>IF(SUMIFS('Daily BSE Equity Futures'!$I:$I,'Daily BSE Equity Futures'!$A:$A,$A959)=0,"",SUMIFS('Daily BSE Equity Futures'!$I:$I,'Daily BSE Equity Futures'!$A:$A,$A959))</f>
        <v>2.3645999999999998</v>
      </c>
      <c r="G959" s="6">
        <f t="shared" si="168"/>
        <v>1800.7498000000001</v>
      </c>
      <c r="H959" s="15">
        <f t="shared" si="169"/>
        <v>0.9986868803206308</v>
      </c>
      <c r="I959" s="15">
        <f t="shared" si="170"/>
        <v>1.313119679369116E-3</v>
      </c>
      <c r="J959" s="20">
        <f t="shared" si="171"/>
        <v>1.1518664998988313</v>
      </c>
      <c r="K959" s="15">
        <f t="shared" si="172"/>
        <v>1243.5263157894735</v>
      </c>
      <c r="L959" s="15">
        <f t="shared" si="173"/>
        <v>1.1546909748621155</v>
      </c>
      <c r="M959" s="15">
        <f t="shared" si="177"/>
        <v>0.27459742015220012</v>
      </c>
      <c r="N959" s="15">
        <f t="shared" si="178"/>
        <v>2.1928166351606801</v>
      </c>
      <c r="O959" s="15">
        <f t="shared" si="179"/>
        <v>0.27560375928244008</v>
      </c>
      <c r="P959" s="18">
        <f>IF(SUMIFS('Daily NSE Equity Futures'!$J:$J,'Daily NSE Equity Futures'!$A:$A,$A959)=0,"",SUMIFS('Daily NSE Equity Futures'!$J:$J,'Daily NSE Equity Futures'!$A:$A,$A959))</f>
        <v>2004311</v>
      </c>
      <c r="Q959" s="7">
        <f>IF(SUMIFS('Daily BSE Equity Futures'!$J:$J,'Daily BSE Equity Futures'!$A:$A,$A959)=0,"",SUMIFS('Daily BSE Equity Futures'!$J:$J,'Daily BSE Equity Futures'!$A:$A,$A959))</f>
        <v>3163</v>
      </c>
      <c r="R959" s="7">
        <f t="shared" si="174"/>
        <v>2007474</v>
      </c>
      <c r="S959" s="19">
        <f t="shared" si="175"/>
        <v>0.998424388061813</v>
      </c>
      <c r="T959" s="19">
        <f t="shared" si="176"/>
        <v>1.5756119381869953E-3</v>
      </c>
    </row>
    <row r="960" spans="1:20" x14ac:dyDescent="0.2">
      <c r="A960" s="9">
        <v>45331</v>
      </c>
      <c r="B960" s="4" t="s">
        <v>222</v>
      </c>
      <c r="C960" s="8">
        <v>45323</v>
      </c>
      <c r="D960" s="4" t="s">
        <v>188</v>
      </c>
      <c r="E960" s="14">
        <f>IF(SUMIFS('Daily NSE Equity Futures'!$I:$I,'Daily NSE Equity Futures'!$A:$A,$A960)=0,"",SUMIFS('Daily NSE Equity Futures'!$I:$I,'Daily NSE Equity Futures'!$A:$A,$A960))</f>
        <v>1617.4037000000001</v>
      </c>
      <c r="F960" s="6">
        <f>IF(SUMIFS('Daily BSE Equity Futures'!$I:$I,'Daily BSE Equity Futures'!$A:$A,$A960)=0,"",SUMIFS('Daily BSE Equity Futures'!$I:$I,'Daily BSE Equity Futures'!$A:$A,$A960))</f>
        <v>4.3193999999999999</v>
      </c>
      <c r="G960" s="6">
        <f t="shared" si="168"/>
        <v>1621.7231000000002</v>
      </c>
      <c r="H960" s="15">
        <f t="shared" si="169"/>
        <v>0.9973365366750957</v>
      </c>
      <c r="I960" s="15">
        <f t="shared" si="170"/>
        <v>2.6634633249042329E-3</v>
      </c>
      <c r="J960" s="20">
        <f t="shared" si="171"/>
        <v>1.0223744827789716</v>
      </c>
      <c r="K960" s="15">
        <f t="shared" si="172"/>
        <v>2272.3684210526317</v>
      </c>
      <c r="L960" s="15">
        <f t="shared" si="173"/>
        <v>1.0277705707248219</v>
      </c>
      <c r="M960" s="15">
        <f t="shared" si="177"/>
        <v>-0.10063555905597965</v>
      </c>
      <c r="N960" s="15">
        <f t="shared" si="178"/>
        <v>0.82669373255518908</v>
      </c>
      <c r="O960" s="15">
        <f t="shared" si="179"/>
        <v>-9.9417864713909676E-2</v>
      </c>
      <c r="P960" s="18">
        <f>IF(SUMIFS('Daily NSE Equity Futures'!$J:$J,'Daily NSE Equity Futures'!$A:$A,$A960)=0,"",SUMIFS('Daily NSE Equity Futures'!$J:$J,'Daily NSE Equity Futures'!$A:$A,$A960))</f>
        <v>1822121</v>
      </c>
      <c r="Q960" s="7">
        <f>IF(SUMIFS('Daily BSE Equity Futures'!$J:$J,'Daily BSE Equity Futures'!$A:$A,$A960)=0,"",SUMIFS('Daily BSE Equity Futures'!$J:$J,'Daily BSE Equity Futures'!$A:$A,$A960))</f>
        <v>5845</v>
      </c>
      <c r="R960" s="7">
        <f t="shared" si="174"/>
        <v>1827966</v>
      </c>
      <c r="S960" s="19">
        <f t="shared" si="175"/>
        <v>0.99680245693847702</v>
      </c>
      <c r="T960" s="19">
        <f t="shared" si="176"/>
        <v>3.197543061523026E-3</v>
      </c>
    </row>
    <row r="961" spans="1:20" x14ac:dyDescent="0.2">
      <c r="A961" s="9">
        <v>45334</v>
      </c>
      <c r="B961" s="4" t="s">
        <v>225</v>
      </c>
      <c r="C961" s="8">
        <v>45323</v>
      </c>
      <c r="D961" s="4" t="s">
        <v>188</v>
      </c>
      <c r="E961" s="14">
        <f>IF(SUMIFS('Daily NSE Equity Futures'!$I:$I,'Daily NSE Equity Futures'!$A:$A,$A961)=0,"",SUMIFS('Daily NSE Equity Futures'!$I:$I,'Daily NSE Equity Futures'!$A:$A,$A961))</f>
        <v>1400.0236</v>
      </c>
      <c r="F961" s="6">
        <f>IF(SUMIFS('Daily BSE Equity Futures'!$I:$I,'Daily BSE Equity Futures'!$A:$A,$A961)=0,"",SUMIFS('Daily BSE Equity Futures'!$I:$I,'Daily BSE Equity Futures'!$A:$A,$A961))</f>
        <v>0.67169999999999996</v>
      </c>
      <c r="G961" s="6">
        <f t="shared" si="168"/>
        <v>1400.6953000000001</v>
      </c>
      <c r="H961" s="15">
        <f t="shared" si="169"/>
        <v>0.99952045244957977</v>
      </c>
      <c r="I961" s="15">
        <f t="shared" si="170"/>
        <v>4.7954755042013773E-4</v>
      </c>
      <c r="J961" s="20" t="str">
        <f t="shared" si="171"/>
        <v/>
      </c>
      <c r="K961" s="15" t="str">
        <f t="shared" si="172"/>
        <v/>
      </c>
      <c r="L961" s="15" t="str">
        <f t="shared" si="173"/>
        <v/>
      </c>
      <c r="M961" s="15">
        <f t="shared" si="177"/>
        <v>-0.13440064468753232</v>
      </c>
      <c r="N961" s="15">
        <f t="shared" si="178"/>
        <v>-0.84449229059591613</v>
      </c>
      <c r="O961" s="15">
        <f t="shared" si="179"/>
        <v>-0.1362919477437301</v>
      </c>
      <c r="P961" s="18">
        <f>IF(SUMIFS('Daily NSE Equity Futures'!$J:$J,'Daily NSE Equity Futures'!$A:$A,$A961)=0,"",SUMIFS('Daily NSE Equity Futures'!$J:$J,'Daily NSE Equity Futures'!$A:$A,$A961))</f>
        <v>1631778</v>
      </c>
      <c r="Q961" s="7">
        <f>IF(SUMIFS('Daily BSE Equity Futures'!$J:$J,'Daily BSE Equity Futures'!$A:$A,$A961)=0,"",SUMIFS('Daily BSE Equity Futures'!$J:$J,'Daily BSE Equity Futures'!$A:$A,$A961))</f>
        <v>901</v>
      </c>
      <c r="R961" s="7">
        <f t="shared" si="174"/>
        <v>1632679</v>
      </c>
      <c r="S961" s="19">
        <f t="shared" si="175"/>
        <v>0.99944814626757617</v>
      </c>
      <c r="T961" s="19">
        <f t="shared" si="176"/>
        <v>5.5185373242382617E-4</v>
      </c>
    </row>
    <row r="962" spans="1:20" x14ac:dyDescent="0.2">
      <c r="A962" s="9">
        <v>45335</v>
      </c>
      <c r="B962" s="4" t="s">
        <v>223</v>
      </c>
      <c r="C962" s="8">
        <v>45323</v>
      </c>
      <c r="D962" s="4" t="s">
        <v>188</v>
      </c>
      <c r="E962" s="14">
        <f>IF(SUMIFS('Daily NSE Equity Futures'!$I:$I,'Daily NSE Equity Futures'!$A:$A,$A962)=0,"",SUMIFS('Daily NSE Equity Futures'!$I:$I,'Daily NSE Equity Futures'!$A:$A,$A962))</f>
        <v>1394.2529</v>
      </c>
      <c r="F962" s="6">
        <f>IF(SUMIFS('Daily BSE Equity Futures'!$I:$I,'Daily BSE Equity Futures'!$A:$A,$A962)=0,"",SUMIFS('Daily BSE Equity Futures'!$I:$I,'Daily BSE Equity Futures'!$A:$A,$A962))</f>
        <v>1.0269999999999999</v>
      </c>
      <c r="G962" s="6">
        <f t="shared" ref="G962:G1025" si="180">IF(OR(E962="",F962=""),"",E962+F962)</f>
        <v>1395.2799</v>
      </c>
      <c r="H962" s="15">
        <f t="shared" ref="H962:H1025" si="181">IF(G962="","",E962/G962)</f>
        <v>0.9992639469686333</v>
      </c>
      <c r="I962" s="15">
        <f t="shared" ref="I962:I1025" si="182">IF(G962="","",F962/G962)</f>
        <v>7.3605303136668125E-4</v>
      </c>
      <c r="J962" s="20">
        <f t="shared" ref="J962:J1025" si="183">IFERROR(IF(OR(E962="",INDEX(E:E,MATCH(DATE(YEAR($A962)-1,MONTH($A962),DAY($A962)),$A:$A,0))=""),"",E962/INDEX(E:E,MATCH(DATE(YEAR($A962)-1,MONTH($A962),DAY($A962)),$A:$A,0))-1),"")</f>
        <v>0.80941738633333049</v>
      </c>
      <c r="K962" s="15">
        <f t="shared" ref="K962:K1025" si="184">IFERROR(IF(OR(F962="",INDEX(F:F,MATCH(DATE(YEAR($A962)-1,MONTH($A962),DAY($A962)),$A:$A,0))=""),"",F962/INDEX(F:F,MATCH(DATE(YEAR($A962)-1,MONTH($A962),DAY($A962)),$A:$A,0))-1),"")</f>
        <v>539.52631578947364</v>
      </c>
      <c r="L962" s="15">
        <f t="shared" ref="L962:L1025" si="185">IFERROR(IF(OR(G962="",INDEX(G:G,MATCH(DATE(YEAR($A962)-1,MONTH($A962),DAY($A962)),$A:$A,0))=""),"",G962/INDEX(G:G,MATCH(DATE(YEAR($A962)-1,MONTH($A962),DAY($A962)),$A:$A,0))-1),"")</f>
        <v>0.81074572963864777</v>
      </c>
      <c r="M962" s="15">
        <f t="shared" si="177"/>
        <v>-4.1218590886611395E-3</v>
      </c>
      <c r="N962" s="15">
        <f t="shared" si="178"/>
        <v>0.52895637933601303</v>
      </c>
      <c r="O962" s="15">
        <f t="shared" si="179"/>
        <v>-3.8662227252422854E-3</v>
      </c>
      <c r="P962" s="18">
        <f>IF(SUMIFS('Daily NSE Equity Futures'!$J:$J,'Daily NSE Equity Futures'!$A:$A,$A962)=0,"",SUMIFS('Daily NSE Equity Futures'!$J:$J,'Daily NSE Equity Futures'!$A:$A,$A962))</f>
        <v>1657812</v>
      </c>
      <c r="Q962" s="7">
        <f>IF(SUMIFS('Daily BSE Equity Futures'!$J:$J,'Daily BSE Equity Futures'!$A:$A,$A962)=0,"",SUMIFS('Daily BSE Equity Futures'!$J:$J,'Daily BSE Equity Futures'!$A:$A,$A962))</f>
        <v>1351</v>
      </c>
      <c r="R962" s="7">
        <f t="shared" ref="R962:R1025" si="186">IF(OR(P962="",Q962=""),"",P962+Q962)</f>
        <v>1659163</v>
      </c>
      <c r="S962" s="19">
        <f t="shared" ref="S962:S1025" si="187">IF(R962="","",P962/R962)</f>
        <v>0.99918573401166733</v>
      </c>
      <c r="T962" s="19">
        <f t="shared" ref="T962:T1025" si="188">IF(R962="","",Q962/R962)</f>
        <v>8.1426598833267134E-4</v>
      </c>
    </row>
    <row r="963" spans="1:20" x14ac:dyDescent="0.2">
      <c r="A963" s="9">
        <v>45336</v>
      </c>
      <c r="B963" s="4" t="s">
        <v>221</v>
      </c>
      <c r="C963" s="8">
        <v>45323</v>
      </c>
      <c r="D963" s="4" t="s">
        <v>188</v>
      </c>
      <c r="E963" s="14">
        <f>IF(SUMIFS('Daily NSE Equity Futures'!$I:$I,'Daily NSE Equity Futures'!$A:$A,$A963)=0,"",SUMIFS('Daily NSE Equity Futures'!$I:$I,'Daily NSE Equity Futures'!$A:$A,$A963))</f>
        <v>1549.0590999999999</v>
      </c>
      <c r="F963" s="6">
        <f>IF(SUMIFS('Daily BSE Equity Futures'!$I:$I,'Daily BSE Equity Futures'!$A:$A,$A963)=0,"",SUMIFS('Daily BSE Equity Futures'!$I:$I,'Daily BSE Equity Futures'!$A:$A,$A963))</f>
        <v>1.9653</v>
      </c>
      <c r="G963" s="6">
        <f t="shared" si="180"/>
        <v>1551.0244</v>
      </c>
      <c r="H963" s="15">
        <f t="shared" si="181"/>
        <v>0.99873290194532072</v>
      </c>
      <c r="I963" s="15">
        <f t="shared" si="182"/>
        <v>1.2670980546792172E-3</v>
      </c>
      <c r="J963" s="20">
        <f t="shared" si="183"/>
        <v>0.89246620720627057</v>
      </c>
      <c r="K963" s="15">
        <f t="shared" si="184"/>
        <v>1033.3684210526317</v>
      </c>
      <c r="L963" s="15">
        <f t="shared" si="185"/>
        <v>0.8948627913687488</v>
      </c>
      <c r="M963" s="15">
        <f t="shared" ref="M963:M1026" si="189">IF(OR(E963="",E962=""),"",E963/E962-1)</f>
        <v>0.11103164999692661</v>
      </c>
      <c r="N963" s="15">
        <f t="shared" ref="N963:N1026" si="190">IF(OR(F963="",F962=""),"",F963/F962-1)</f>
        <v>0.91363193768257078</v>
      </c>
      <c r="O963" s="15">
        <f t="shared" ref="O963:O1026" si="191">IF(OR(G963="",G962=""),"",G963/G962-1)</f>
        <v>0.11162240637165355</v>
      </c>
      <c r="P963" s="18">
        <f>IF(SUMIFS('Daily NSE Equity Futures'!$J:$J,'Daily NSE Equity Futures'!$A:$A,$A963)=0,"",SUMIFS('Daily NSE Equity Futures'!$J:$J,'Daily NSE Equity Futures'!$A:$A,$A963))</f>
        <v>1823642</v>
      </c>
      <c r="Q963" s="7">
        <f>IF(SUMIFS('Daily BSE Equity Futures'!$J:$J,'Daily BSE Equity Futures'!$A:$A,$A963)=0,"",SUMIFS('Daily BSE Equity Futures'!$J:$J,'Daily BSE Equity Futures'!$A:$A,$A963))</f>
        <v>2614</v>
      </c>
      <c r="R963" s="7">
        <f t="shared" si="186"/>
        <v>1826256</v>
      </c>
      <c r="S963" s="19">
        <f t="shared" si="187"/>
        <v>0.99856865631105385</v>
      </c>
      <c r="T963" s="19">
        <f t="shared" si="188"/>
        <v>1.4313436889461281E-3</v>
      </c>
    </row>
    <row r="964" spans="1:20" x14ac:dyDescent="0.2">
      <c r="A964" s="9">
        <v>45337</v>
      </c>
      <c r="B964" s="4" t="s">
        <v>224</v>
      </c>
      <c r="C964" s="8">
        <v>45323</v>
      </c>
      <c r="D964" s="4" t="s">
        <v>188</v>
      </c>
      <c r="E964" s="14">
        <f>IF(SUMIFS('Daily NSE Equity Futures'!$I:$I,'Daily NSE Equity Futures'!$A:$A,$A964)=0,"",SUMIFS('Daily NSE Equity Futures'!$I:$I,'Daily NSE Equity Futures'!$A:$A,$A964))</f>
        <v>1429.4128000000001</v>
      </c>
      <c r="F964" s="6">
        <f>IF(SUMIFS('Daily BSE Equity Futures'!$I:$I,'Daily BSE Equity Futures'!$A:$A,$A964)=0,"",SUMIFS('Daily BSE Equity Futures'!$I:$I,'Daily BSE Equity Futures'!$A:$A,$A964))</f>
        <v>1.5053000000000001</v>
      </c>
      <c r="G964" s="6">
        <f t="shared" si="180"/>
        <v>1430.9181000000001</v>
      </c>
      <c r="H964" s="15">
        <f t="shared" si="181"/>
        <v>0.99894801805917466</v>
      </c>
      <c r="I964" s="15">
        <f t="shared" si="182"/>
        <v>1.0519819408252645E-3</v>
      </c>
      <c r="J964" s="20">
        <f t="shared" si="183"/>
        <v>0.70160229408314589</v>
      </c>
      <c r="K964" s="15">
        <f t="shared" si="184"/>
        <v>791.26315789473688</v>
      </c>
      <c r="L964" s="15">
        <f t="shared" si="185"/>
        <v>0.70339038132891596</v>
      </c>
      <c r="M964" s="15">
        <f t="shared" si="189"/>
        <v>-7.7238047276569244E-2</v>
      </c>
      <c r="N964" s="15">
        <f t="shared" si="190"/>
        <v>-0.23406095761461354</v>
      </c>
      <c r="O964" s="15">
        <f t="shared" si="191"/>
        <v>-7.7436757281187818E-2</v>
      </c>
      <c r="P964" s="18">
        <f>IF(SUMIFS('Daily NSE Equity Futures'!$J:$J,'Daily NSE Equity Futures'!$A:$A,$A964)=0,"",SUMIFS('Daily NSE Equity Futures'!$J:$J,'Daily NSE Equity Futures'!$A:$A,$A964))</f>
        <v>1641924</v>
      </c>
      <c r="Q964" s="7">
        <f>IF(SUMIFS('Daily BSE Equity Futures'!$J:$J,'Daily BSE Equity Futures'!$A:$A,$A964)=0,"",SUMIFS('Daily BSE Equity Futures'!$J:$J,'Daily BSE Equity Futures'!$A:$A,$A964))</f>
        <v>1998</v>
      </c>
      <c r="R964" s="7">
        <f t="shared" si="186"/>
        <v>1643922</v>
      </c>
      <c r="S964" s="19">
        <f t="shared" si="187"/>
        <v>0.99878461386854123</v>
      </c>
      <c r="T964" s="19">
        <f t="shared" si="188"/>
        <v>1.2153861314587919E-3</v>
      </c>
    </row>
    <row r="965" spans="1:20" x14ac:dyDescent="0.2">
      <c r="A965" s="9">
        <v>45338</v>
      </c>
      <c r="B965" s="4" t="s">
        <v>222</v>
      </c>
      <c r="C965" s="8">
        <v>45323</v>
      </c>
      <c r="D965" s="4" t="s">
        <v>188</v>
      </c>
      <c r="E965" s="14">
        <f>IF(SUMIFS('Daily NSE Equity Futures'!$I:$I,'Daily NSE Equity Futures'!$A:$A,$A965)=0,"",SUMIFS('Daily NSE Equity Futures'!$I:$I,'Daily NSE Equity Futures'!$A:$A,$A965))</f>
        <v>1430.5024000000001</v>
      </c>
      <c r="F965" s="6">
        <f>IF(SUMIFS('Daily BSE Equity Futures'!$I:$I,'Daily BSE Equity Futures'!$A:$A,$A965)=0,"",SUMIFS('Daily BSE Equity Futures'!$I:$I,'Daily BSE Equity Futures'!$A:$A,$A965))</f>
        <v>3.2987000000000002</v>
      </c>
      <c r="G965" s="6">
        <f t="shared" si="180"/>
        <v>1433.8011000000001</v>
      </c>
      <c r="H965" s="15">
        <f t="shared" si="181"/>
        <v>0.99769933221560503</v>
      </c>
      <c r="I965" s="15">
        <f t="shared" si="182"/>
        <v>2.3006677843949207E-3</v>
      </c>
      <c r="J965" s="20">
        <f t="shared" si="183"/>
        <v>0.50013428302877494</v>
      </c>
      <c r="K965" s="15">
        <f t="shared" si="184"/>
        <v>3297.7000000000003</v>
      </c>
      <c r="L965" s="15">
        <f t="shared" si="185"/>
        <v>0.50359197549371393</v>
      </c>
      <c r="M965" s="15">
        <f t="shared" si="189"/>
        <v>7.6227105284076835E-4</v>
      </c>
      <c r="N965" s="15">
        <f t="shared" si="190"/>
        <v>1.1913904205141832</v>
      </c>
      <c r="O965" s="15">
        <f t="shared" si="191"/>
        <v>2.0147903643121801E-3</v>
      </c>
      <c r="P965" s="18">
        <f>IF(SUMIFS('Daily NSE Equity Futures'!$J:$J,'Daily NSE Equity Futures'!$A:$A,$A965)=0,"",SUMIFS('Daily NSE Equity Futures'!$J:$J,'Daily NSE Equity Futures'!$A:$A,$A965))</f>
        <v>1639260</v>
      </c>
      <c r="Q965" s="7">
        <f>IF(SUMIFS('Daily BSE Equity Futures'!$J:$J,'Daily BSE Equity Futures'!$A:$A,$A965)=0,"",SUMIFS('Daily BSE Equity Futures'!$J:$J,'Daily BSE Equity Futures'!$A:$A,$A965))</f>
        <v>4352</v>
      </c>
      <c r="R965" s="7">
        <f t="shared" si="186"/>
        <v>1643612</v>
      </c>
      <c r="S965" s="19">
        <f t="shared" si="187"/>
        <v>0.99735217314061952</v>
      </c>
      <c r="T965" s="19">
        <f t="shared" si="188"/>
        <v>2.6478268593804377E-3</v>
      </c>
    </row>
    <row r="966" spans="1:20" x14ac:dyDescent="0.2">
      <c r="A966" s="9">
        <v>45341</v>
      </c>
      <c r="B966" s="4" t="s">
        <v>225</v>
      </c>
      <c r="C966" s="8">
        <v>45323</v>
      </c>
      <c r="D966" s="4" t="s">
        <v>188</v>
      </c>
      <c r="E966" s="14">
        <f>IF(SUMIFS('Daily NSE Equity Futures'!$I:$I,'Daily NSE Equity Futures'!$A:$A,$A966)=0,"",SUMIFS('Daily NSE Equity Futures'!$I:$I,'Daily NSE Equity Futures'!$A:$A,$A966))</f>
        <v>1159.4808</v>
      </c>
      <c r="F966" s="6">
        <f>IF(SUMIFS('Daily BSE Equity Futures'!$I:$I,'Daily BSE Equity Futures'!$A:$A,$A966)=0,"",SUMIFS('Daily BSE Equity Futures'!$I:$I,'Daily BSE Equity Futures'!$A:$A,$A966))</f>
        <v>2.1806999999999999</v>
      </c>
      <c r="G966" s="6">
        <f t="shared" si="180"/>
        <v>1161.6614999999999</v>
      </c>
      <c r="H966" s="15">
        <f t="shared" si="181"/>
        <v>0.99812277500803814</v>
      </c>
      <c r="I966" s="15">
        <f t="shared" si="182"/>
        <v>1.877224991961944E-3</v>
      </c>
      <c r="J966" s="20" t="str">
        <f t="shared" si="183"/>
        <v/>
      </c>
      <c r="K966" s="15" t="str">
        <f t="shared" si="184"/>
        <v/>
      </c>
      <c r="L966" s="15" t="str">
        <f t="shared" si="185"/>
        <v/>
      </c>
      <c r="M966" s="15">
        <f t="shared" si="189"/>
        <v>-0.18945903201560521</v>
      </c>
      <c r="N966" s="15">
        <f t="shared" si="190"/>
        <v>-0.33892139327613913</v>
      </c>
      <c r="O966" s="15">
        <f t="shared" si="191"/>
        <v>-0.18980289525513694</v>
      </c>
      <c r="P966" s="18">
        <f>IF(SUMIFS('Daily NSE Equity Futures'!$J:$J,'Daily NSE Equity Futures'!$A:$A,$A966)=0,"",SUMIFS('Daily NSE Equity Futures'!$J:$J,'Daily NSE Equity Futures'!$A:$A,$A966))</f>
        <v>1337081</v>
      </c>
      <c r="Q966" s="7">
        <f>IF(SUMIFS('Daily BSE Equity Futures'!$J:$J,'Daily BSE Equity Futures'!$A:$A,$A966)=0,"",SUMIFS('Daily BSE Equity Futures'!$J:$J,'Daily BSE Equity Futures'!$A:$A,$A966))</f>
        <v>2794</v>
      </c>
      <c r="R966" s="7">
        <f t="shared" si="186"/>
        <v>1339875</v>
      </c>
      <c r="S966" s="19">
        <f t="shared" si="187"/>
        <v>0.99791473085175852</v>
      </c>
      <c r="T966" s="19">
        <f t="shared" si="188"/>
        <v>2.0852691482414402E-3</v>
      </c>
    </row>
    <row r="967" spans="1:20" x14ac:dyDescent="0.2">
      <c r="A967" s="9">
        <v>45342</v>
      </c>
      <c r="B967" s="4" t="s">
        <v>223</v>
      </c>
      <c r="C967" s="8">
        <v>45323</v>
      </c>
      <c r="D967" s="4" t="s">
        <v>188</v>
      </c>
      <c r="E967" s="14">
        <f>IF(SUMIFS('Daily NSE Equity Futures'!$I:$I,'Daily NSE Equity Futures'!$A:$A,$A967)=0,"",SUMIFS('Daily NSE Equity Futures'!$I:$I,'Daily NSE Equity Futures'!$A:$A,$A967))</f>
        <v>1294.2216000000001</v>
      </c>
      <c r="F967" s="6">
        <f>IF(SUMIFS('Daily BSE Equity Futures'!$I:$I,'Daily BSE Equity Futures'!$A:$A,$A967)=0,"",SUMIFS('Daily BSE Equity Futures'!$I:$I,'Daily BSE Equity Futures'!$A:$A,$A967))</f>
        <v>0.94689999999999996</v>
      </c>
      <c r="G967" s="6">
        <f t="shared" si="180"/>
        <v>1295.1685</v>
      </c>
      <c r="H967" s="15">
        <f t="shared" si="181"/>
        <v>0.9992688982167186</v>
      </c>
      <c r="I967" s="15">
        <f t="shared" si="182"/>
        <v>7.3110178328148032E-4</v>
      </c>
      <c r="J967" s="20">
        <f t="shared" si="183"/>
        <v>-0.26966636803731436</v>
      </c>
      <c r="K967" s="15">
        <f t="shared" si="184"/>
        <v>497.36842105263156</v>
      </c>
      <c r="L967" s="15">
        <f t="shared" si="185"/>
        <v>-0.26913281277906531</v>
      </c>
      <c r="M967" s="15">
        <f t="shared" si="189"/>
        <v>0.11620787511099806</v>
      </c>
      <c r="N967" s="15">
        <f t="shared" si="190"/>
        <v>-0.56578162975191448</v>
      </c>
      <c r="O967" s="15">
        <f t="shared" si="191"/>
        <v>0.1149276273682136</v>
      </c>
      <c r="P967" s="18">
        <f>IF(SUMIFS('Daily NSE Equity Futures'!$J:$J,'Daily NSE Equity Futures'!$A:$A,$A967)=0,"",SUMIFS('Daily NSE Equity Futures'!$J:$J,'Daily NSE Equity Futures'!$A:$A,$A967))</f>
        <v>1512117</v>
      </c>
      <c r="Q967" s="7">
        <f>IF(SUMIFS('Daily BSE Equity Futures'!$J:$J,'Daily BSE Equity Futures'!$A:$A,$A967)=0,"",SUMIFS('Daily BSE Equity Futures'!$J:$J,'Daily BSE Equity Futures'!$A:$A,$A967))</f>
        <v>1228</v>
      </c>
      <c r="R967" s="7">
        <f t="shared" si="186"/>
        <v>1513345</v>
      </c>
      <c r="S967" s="19">
        <f t="shared" si="187"/>
        <v>0.99918855251115901</v>
      </c>
      <c r="T967" s="19">
        <f t="shared" si="188"/>
        <v>8.1144748884094502E-4</v>
      </c>
    </row>
    <row r="968" spans="1:20" x14ac:dyDescent="0.2">
      <c r="A968" s="9">
        <v>45343</v>
      </c>
      <c r="B968" s="4" t="s">
        <v>221</v>
      </c>
      <c r="C968" s="8">
        <v>45323</v>
      </c>
      <c r="D968" s="4" t="s">
        <v>188</v>
      </c>
      <c r="E968" s="14">
        <f>IF(SUMIFS('Daily NSE Equity Futures'!$I:$I,'Daily NSE Equity Futures'!$A:$A,$A968)=0,"",SUMIFS('Daily NSE Equity Futures'!$I:$I,'Daily NSE Equity Futures'!$A:$A,$A968))</f>
        <v>1473.2353000000001</v>
      </c>
      <c r="F968" s="6">
        <f>IF(SUMIFS('Daily BSE Equity Futures'!$I:$I,'Daily BSE Equity Futures'!$A:$A,$A968)=0,"",SUMIFS('Daily BSE Equity Futures'!$I:$I,'Daily BSE Equity Futures'!$A:$A,$A968))</f>
        <v>0.97419999999999995</v>
      </c>
      <c r="G968" s="6">
        <f t="shared" si="180"/>
        <v>1474.2095000000002</v>
      </c>
      <c r="H968" s="15">
        <f t="shared" si="181"/>
        <v>0.99933917126432836</v>
      </c>
      <c r="I968" s="15">
        <f t="shared" si="182"/>
        <v>6.6082873567155809E-4</v>
      </c>
      <c r="J968" s="20">
        <f t="shared" si="183"/>
        <v>-0.22118523125148282</v>
      </c>
      <c r="K968" s="15">
        <f t="shared" si="184"/>
        <v>1081.4444444444443</v>
      </c>
      <c r="L968" s="15">
        <f t="shared" si="185"/>
        <v>-0.22067059853137894</v>
      </c>
      <c r="M968" s="15">
        <f t="shared" si="189"/>
        <v>0.13831765750162095</v>
      </c>
      <c r="N968" s="15">
        <f t="shared" si="190"/>
        <v>2.8830921955856015E-2</v>
      </c>
      <c r="O968" s="15">
        <f t="shared" si="191"/>
        <v>0.13823761155401804</v>
      </c>
      <c r="P968" s="18">
        <f>IF(SUMIFS('Daily NSE Equity Futures'!$J:$J,'Daily NSE Equity Futures'!$A:$A,$A968)=0,"",SUMIFS('Daily NSE Equity Futures'!$J:$J,'Daily NSE Equity Futures'!$A:$A,$A968))</f>
        <v>1712973</v>
      </c>
      <c r="Q968" s="7">
        <f>IF(SUMIFS('Daily BSE Equity Futures'!$J:$J,'Daily BSE Equity Futures'!$A:$A,$A968)=0,"",SUMIFS('Daily BSE Equity Futures'!$J:$J,'Daily BSE Equity Futures'!$A:$A,$A968))</f>
        <v>1280</v>
      </c>
      <c r="R968" s="7">
        <f t="shared" si="186"/>
        <v>1714253</v>
      </c>
      <c r="S968" s="19">
        <f t="shared" si="187"/>
        <v>0.99925331908417248</v>
      </c>
      <c r="T968" s="19">
        <f t="shared" si="188"/>
        <v>7.4668091582747701E-4</v>
      </c>
    </row>
    <row r="969" spans="1:20" x14ac:dyDescent="0.2">
      <c r="A969" s="9">
        <v>45344</v>
      </c>
      <c r="B969" s="4" t="s">
        <v>224</v>
      </c>
      <c r="C969" s="8">
        <v>45323</v>
      </c>
      <c r="D969" s="4" t="s">
        <v>188</v>
      </c>
      <c r="E969" s="14">
        <f>IF(SUMIFS('Daily NSE Equity Futures'!$I:$I,'Daily NSE Equity Futures'!$A:$A,$A969)=0,"",SUMIFS('Daily NSE Equity Futures'!$I:$I,'Daily NSE Equity Futures'!$A:$A,$A969))</f>
        <v>1737.9780000000001</v>
      </c>
      <c r="F969" s="6">
        <f>IF(SUMIFS('Daily BSE Equity Futures'!$I:$I,'Daily BSE Equity Futures'!$A:$A,$A969)=0,"",SUMIFS('Daily BSE Equity Futures'!$I:$I,'Daily BSE Equity Futures'!$A:$A,$A969))</f>
        <v>1.8628</v>
      </c>
      <c r="G969" s="6">
        <f t="shared" si="180"/>
        <v>1739.8408000000002</v>
      </c>
      <c r="H969" s="15">
        <f t="shared" si="181"/>
        <v>0.99892932732695994</v>
      </c>
      <c r="I969" s="15">
        <f t="shared" si="182"/>
        <v>1.0706726730399701E-3</v>
      </c>
      <c r="J969" s="20">
        <f t="shared" si="183"/>
        <v>-6.0693226901718966E-2</v>
      </c>
      <c r="K969" s="15">
        <f t="shared" si="184"/>
        <v>664.28571428571433</v>
      </c>
      <c r="L969" s="15">
        <f t="shared" si="185"/>
        <v>-5.9687881850969404E-2</v>
      </c>
      <c r="M969" s="15">
        <f t="shared" si="189"/>
        <v>0.17970157245078222</v>
      </c>
      <c r="N969" s="15">
        <f t="shared" si="190"/>
        <v>0.91213303223157483</v>
      </c>
      <c r="O969" s="15">
        <f t="shared" si="191"/>
        <v>0.18018558420631536</v>
      </c>
      <c r="P969" s="18">
        <f>IF(SUMIFS('Daily NSE Equity Futures'!$J:$J,'Daily NSE Equity Futures'!$A:$A,$A969)=0,"",SUMIFS('Daily NSE Equity Futures'!$J:$J,'Daily NSE Equity Futures'!$A:$A,$A969))</f>
        <v>2001360</v>
      </c>
      <c r="Q969" s="7">
        <f>IF(SUMIFS('Daily BSE Equity Futures'!$J:$J,'Daily BSE Equity Futures'!$A:$A,$A969)=0,"",SUMIFS('Daily BSE Equity Futures'!$J:$J,'Daily BSE Equity Futures'!$A:$A,$A969))</f>
        <v>2466</v>
      </c>
      <c r="R969" s="7">
        <f t="shared" si="186"/>
        <v>2003826</v>
      </c>
      <c r="S969" s="19">
        <f t="shared" si="187"/>
        <v>0.99876935422536683</v>
      </c>
      <c r="T969" s="19">
        <f t="shared" si="188"/>
        <v>1.2306457746331268E-3</v>
      </c>
    </row>
    <row r="970" spans="1:20" x14ac:dyDescent="0.2">
      <c r="A970" s="9">
        <v>45345</v>
      </c>
      <c r="B970" s="4" t="s">
        <v>222</v>
      </c>
      <c r="C970" s="8">
        <v>45323</v>
      </c>
      <c r="D970" s="4" t="s">
        <v>188</v>
      </c>
      <c r="E970" s="14">
        <f>IF(SUMIFS('Daily NSE Equity Futures'!$I:$I,'Daily NSE Equity Futures'!$A:$A,$A970)=0,"",SUMIFS('Daily NSE Equity Futures'!$I:$I,'Daily NSE Equity Futures'!$A:$A,$A970))</f>
        <v>1784.4471000000001</v>
      </c>
      <c r="F970" s="6">
        <f>IF(SUMIFS('Daily BSE Equity Futures'!$I:$I,'Daily BSE Equity Futures'!$A:$A,$A970)=0,"",SUMIFS('Daily BSE Equity Futures'!$I:$I,'Daily BSE Equity Futures'!$A:$A,$A970))</f>
        <v>3.5998999999999999</v>
      </c>
      <c r="G970" s="6">
        <f t="shared" si="180"/>
        <v>1788.047</v>
      </c>
      <c r="H970" s="15">
        <f t="shared" si="181"/>
        <v>0.99798668603230234</v>
      </c>
      <c r="I970" s="15">
        <f t="shared" si="182"/>
        <v>2.0133139676977172E-3</v>
      </c>
      <c r="J970" s="20">
        <f t="shared" si="183"/>
        <v>-0.1423363910704406</v>
      </c>
      <c r="K970" s="15">
        <f t="shared" si="184"/>
        <v>1998.9444444444443</v>
      </c>
      <c r="L970" s="15">
        <f t="shared" si="185"/>
        <v>-0.14060690494588401</v>
      </c>
      <c r="M970" s="15">
        <f t="shared" si="189"/>
        <v>2.6737450071289803E-2</v>
      </c>
      <c r="N970" s="15">
        <f t="shared" si="190"/>
        <v>0.93252093622503751</v>
      </c>
      <c r="O970" s="15">
        <f t="shared" si="191"/>
        <v>2.7707247697605242E-2</v>
      </c>
      <c r="P970" s="18">
        <f>IF(SUMIFS('Daily NSE Equity Futures'!$J:$J,'Daily NSE Equity Futures'!$A:$A,$A970)=0,"",SUMIFS('Daily NSE Equity Futures'!$J:$J,'Daily NSE Equity Futures'!$A:$A,$A970))</f>
        <v>2029270</v>
      </c>
      <c r="Q970" s="7">
        <f>IF(SUMIFS('Daily BSE Equity Futures'!$J:$J,'Daily BSE Equity Futures'!$A:$A,$A970)=0,"",SUMIFS('Daily BSE Equity Futures'!$J:$J,'Daily BSE Equity Futures'!$A:$A,$A970))</f>
        <v>4673</v>
      </c>
      <c r="R970" s="7">
        <f t="shared" si="186"/>
        <v>2033943</v>
      </c>
      <c r="S970" s="19">
        <f t="shared" si="187"/>
        <v>0.99770249215440154</v>
      </c>
      <c r="T970" s="19">
        <f t="shared" si="188"/>
        <v>2.2975078455984262E-3</v>
      </c>
    </row>
    <row r="971" spans="1:20" x14ac:dyDescent="0.2">
      <c r="A971" s="9">
        <v>45348</v>
      </c>
      <c r="B971" s="4" t="s">
        <v>225</v>
      </c>
      <c r="C971" s="8">
        <v>45323</v>
      </c>
      <c r="D971" s="4" t="s">
        <v>188</v>
      </c>
      <c r="E971" s="14">
        <f>IF(SUMIFS('Daily NSE Equity Futures'!$I:$I,'Daily NSE Equity Futures'!$A:$A,$A971)=0,"",SUMIFS('Daily NSE Equity Futures'!$I:$I,'Daily NSE Equity Futures'!$A:$A,$A971))</f>
        <v>2698.5634</v>
      </c>
      <c r="F971" s="6">
        <f>IF(SUMIFS('Daily BSE Equity Futures'!$I:$I,'Daily BSE Equity Futures'!$A:$A,$A971)=0,"",SUMIFS('Daily BSE Equity Futures'!$I:$I,'Daily BSE Equity Futures'!$A:$A,$A971))</f>
        <v>1.5742</v>
      </c>
      <c r="G971" s="6">
        <f t="shared" si="180"/>
        <v>2700.1376</v>
      </c>
      <c r="H971" s="15">
        <f t="shared" si="181"/>
        <v>0.99941699267474371</v>
      </c>
      <c r="I971" s="15">
        <f t="shared" si="182"/>
        <v>5.8300732525631285E-4</v>
      </c>
      <c r="J971" s="20" t="str">
        <f t="shared" si="183"/>
        <v/>
      </c>
      <c r="K971" s="15" t="str">
        <f t="shared" si="184"/>
        <v/>
      </c>
      <c r="L971" s="15" t="str">
        <f t="shared" si="185"/>
        <v/>
      </c>
      <c r="M971" s="15">
        <f t="shared" si="189"/>
        <v>0.51226864612573819</v>
      </c>
      <c r="N971" s="15">
        <f t="shared" si="190"/>
        <v>-0.56271007527986883</v>
      </c>
      <c r="O971" s="15">
        <f t="shared" si="191"/>
        <v>0.51010437645095452</v>
      </c>
      <c r="P971" s="18">
        <f>IF(SUMIFS('Daily NSE Equity Futures'!$J:$J,'Daily NSE Equity Futures'!$A:$A,$A971)=0,"",SUMIFS('Daily NSE Equity Futures'!$J:$J,'Daily NSE Equity Futures'!$A:$A,$A971))</f>
        <v>3184936</v>
      </c>
      <c r="Q971" s="7">
        <f>IF(SUMIFS('Daily BSE Equity Futures'!$J:$J,'Daily BSE Equity Futures'!$A:$A,$A971)=0,"",SUMIFS('Daily BSE Equity Futures'!$J:$J,'Daily BSE Equity Futures'!$A:$A,$A971))</f>
        <v>2015</v>
      </c>
      <c r="R971" s="7">
        <f t="shared" si="186"/>
        <v>3186951</v>
      </c>
      <c r="S971" s="19">
        <f t="shared" si="187"/>
        <v>0.99936773423877556</v>
      </c>
      <c r="T971" s="19">
        <f t="shared" si="188"/>
        <v>6.3226576122444309E-4</v>
      </c>
    </row>
    <row r="972" spans="1:20" x14ac:dyDescent="0.2">
      <c r="A972" s="9">
        <v>45349</v>
      </c>
      <c r="B972" s="4" t="s">
        <v>223</v>
      </c>
      <c r="C972" s="8">
        <v>45323</v>
      </c>
      <c r="D972" s="4" t="s">
        <v>188</v>
      </c>
      <c r="E972" s="14">
        <f>IF(SUMIFS('Daily NSE Equity Futures'!$I:$I,'Daily NSE Equity Futures'!$A:$A,$A972)=0,"",SUMIFS('Daily NSE Equity Futures'!$I:$I,'Daily NSE Equity Futures'!$A:$A,$A972))</f>
        <v>3081.7491</v>
      </c>
      <c r="F972" s="6">
        <f>IF(SUMIFS('Daily BSE Equity Futures'!$I:$I,'Daily BSE Equity Futures'!$A:$A,$A972)=0,"",SUMIFS('Daily BSE Equity Futures'!$I:$I,'Daily BSE Equity Futures'!$A:$A,$A972))</f>
        <v>0.31069999999999998</v>
      </c>
      <c r="G972" s="6">
        <f t="shared" si="180"/>
        <v>3082.0598</v>
      </c>
      <c r="H972" s="15">
        <f t="shared" si="181"/>
        <v>0.99989919079441614</v>
      </c>
      <c r="I972" s="15">
        <f t="shared" si="182"/>
        <v>1.0080920558387607E-4</v>
      </c>
      <c r="J972" s="20">
        <f t="shared" si="183"/>
        <v>2.8580984285794946</v>
      </c>
      <c r="K972" s="15">
        <f t="shared" si="184"/>
        <v>344.22222222222223</v>
      </c>
      <c r="L972" s="15">
        <f t="shared" si="185"/>
        <v>2.8584830521736411</v>
      </c>
      <c r="M972" s="15">
        <f t="shared" si="189"/>
        <v>0.14199618211675147</v>
      </c>
      <c r="N972" s="15">
        <f t="shared" si="190"/>
        <v>-0.80262990725447847</v>
      </c>
      <c r="O972" s="15">
        <f t="shared" si="191"/>
        <v>0.1414454581870197</v>
      </c>
      <c r="P972" s="18">
        <f>IF(SUMIFS('Daily NSE Equity Futures'!$J:$J,'Daily NSE Equity Futures'!$A:$A,$A972)=0,"",SUMIFS('Daily NSE Equity Futures'!$J:$J,'Daily NSE Equity Futures'!$A:$A,$A972))</f>
        <v>3624809</v>
      </c>
      <c r="Q972" s="7">
        <f>IF(SUMIFS('Daily BSE Equity Futures'!$J:$J,'Daily BSE Equity Futures'!$A:$A,$A972)=0,"",SUMIFS('Daily BSE Equity Futures'!$J:$J,'Daily BSE Equity Futures'!$A:$A,$A972))</f>
        <v>423</v>
      </c>
      <c r="R972" s="7">
        <f t="shared" si="186"/>
        <v>3625232</v>
      </c>
      <c r="S972" s="19">
        <f t="shared" si="187"/>
        <v>0.99988331781248763</v>
      </c>
      <c r="T972" s="19">
        <f t="shared" si="188"/>
        <v>1.1668218751241301E-4</v>
      </c>
    </row>
    <row r="973" spans="1:20" x14ac:dyDescent="0.2">
      <c r="A973" s="9">
        <v>45350</v>
      </c>
      <c r="B973" s="4" t="s">
        <v>221</v>
      </c>
      <c r="C973" s="8">
        <v>45323</v>
      </c>
      <c r="D973" s="4" t="s">
        <v>188</v>
      </c>
      <c r="E973" s="14">
        <f>IF(SUMIFS('Daily NSE Equity Futures'!$I:$I,'Daily NSE Equity Futures'!$A:$A,$A973)=0,"",SUMIFS('Daily NSE Equity Futures'!$I:$I,'Daily NSE Equity Futures'!$A:$A,$A973))</f>
        <v>2948.8020000000001</v>
      </c>
      <c r="F973" s="6">
        <f>IF(SUMIFS('Daily BSE Equity Futures'!$I:$I,'Daily BSE Equity Futures'!$A:$A,$A973)=0,"",SUMIFS('Daily BSE Equity Futures'!$I:$I,'Daily BSE Equity Futures'!$A:$A,$A973))</f>
        <v>1.0016</v>
      </c>
      <c r="G973" s="6">
        <f t="shared" si="180"/>
        <v>2949.8036000000002</v>
      </c>
      <c r="H973" s="15">
        <f t="shared" si="181"/>
        <v>0.99966045197042952</v>
      </c>
      <c r="I973" s="15">
        <f t="shared" si="182"/>
        <v>3.3954802957051109E-4</v>
      </c>
      <c r="J973" s="20">
        <f t="shared" si="183"/>
        <v>2.5396392998605899</v>
      </c>
      <c r="K973" s="15">
        <f t="shared" si="184"/>
        <v>555.44444444444446</v>
      </c>
      <c r="L973" s="15">
        <f t="shared" si="185"/>
        <v>2.5408339351151197</v>
      </c>
      <c r="M973" s="15">
        <f t="shared" si="189"/>
        <v>-4.3140144017564497E-2</v>
      </c>
      <c r="N973" s="15">
        <f t="shared" si="190"/>
        <v>2.2236884454457679</v>
      </c>
      <c r="O973" s="15">
        <f t="shared" si="191"/>
        <v>-4.2911626828265881E-2</v>
      </c>
      <c r="P973" s="18">
        <f>IF(SUMIFS('Daily NSE Equity Futures'!$J:$J,'Daily NSE Equity Futures'!$A:$A,$A973)=0,"",SUMIFS('Daily NSE Equity Futures'!$J:$J,'Daily NSE Equity Futures'!$A:$A,$A973))</f>
        <v>3495489</v>
      </c>
      <c r="Q973" s="7">
        <f>IF(SUMIFS('Daily BSE Equity Futures'!$J:$J,'Daily BSE Equity Futures'!$A:$A,$A973)=0,"",SUMIFS('Daily BSE Equity Futures'!$J:$J,'Daily BSE Equity Futures'!$A:$A,$A973))</f>
        <v>1351</v>
      </c>
      <c r="R973" s="7">
        <f t="shared" si="186"/>
        <v>3496840</v>
      </c>
      <c r="S973" s="19">
        <f t="shared" si="187"/>
        <v>0.99961365118221024</v>
      </c>
      <c r="T973" s="19">
        <f t="shared" si="188"/>
        <v>3.863488177897759E-4</v>
      </c>
    </row>
    <row r="974" spans="1:20" x14ac:dyDescent="0.2">
      <c r="A974" s="9">
        <v>45351</v>
      </c>
      <c r="B974" s="4" t="s">
        <v>224</v>
      </c>
      <c r="C974" s="8">
        <v>45323</v>
      </c>
      <c r="D974" s="4" t="s">
        <v>188</v>
      </c>
      <c r="E974" s="14">
        <f>IF(SUMIFS('Daily NSE Equity Futures'!$I:$I,'Daily NSE Equity Futures'!$A:$A,$A974)=0,"",SUMIFS('Daily NSE Equity Futures'!$I:$I,'Daily NSE Equity Futures'!$A:$A,$A974))</f>
        <v>3482.8771000000002</v>
      </c>
      <c r="F974" s="6">
        <f>IF(SUMIFS('Daily BSE Equity Futures'!$I:$I,'Daily BSE Equity Futures'!$A:$A,$A974)=0,"",SUMIFS('Daily BSE Equity Futures'!$I:$I,'Daily BSE Equity Futures'!$A:$A,$A974))</f>
        <v>2.19</v>
      </c>
      <c r="G974" s="6">
        <f t="shared" si="180"/>
        <v>3485.0671000000002</v>
      </c>
      <c r="H974" s="15">
        <f t="shared" si="181"/>
        <v>0.9993716046385448</v>
      </c>
      <c r="I974" s="15">
        <f t="shared" si="182"/>
        <v>6.2839536145516389E-4</v>
      </c>
      <c r="J974" s="20">
        <f t="shared" si="183"/>
        <v>3.7818840244427019</v>
      </c>
      <c r="K974" s="15">
        <f t="shared" si="184"/>
        <v>2432.3333333333335</v>
      </c>
      <c r="L974" s="15">
        <f t="shared" si="185"/>
        <v>3.7848849150929258</v>
      </c>
      <c r="M974" s="15">
        <f t="shared" si="189"/>
        <v>0.18111595827729365</v>
      </c>
      <c r="N974" s="15">
        <f t="shared" si="190"/>
        <v>1.1865015974440891</v>
      </c>
      <c r="O974" s="15">
        <f t="shared" si="191"/>
        <v>0.18145733499003125</v>
      </c>
      <c r="P974" s="18">
        <f>IF(SUMIFS('Daily NSE Equity Futures'!$J:$J,'Daily NSE Equity Futures'!$A:$A,$A974)=0,"",SUMIFS('Daily NSE Equity Futures'!$J:$J,'Daily NSE Equity Futures'!$A:$A,$A974))</f>
        <v>4155282</v>
      </c>
      <c r="Q974" s="7">
        <f>IF(SUMIFS('Daily BSE Equity Futures'!$J:$J,'Daily BSE Equity Futures'!$A:$A,$A974)=0,"",SUMIFS('Daily BSE Equity Futures'!$J:$J,'Daily BSE Equity Futures'!$A:$A,$A974))</f>
        <v>2892</v>
      </c>
      <c r="R974" s="7">
        <f t="shared" si="186"/>
        <v>4158174</v>
      </c>
      <c r="S974" s="19">
        <f t="shared" si="187"/>
        <v>0.99930450240899005</v>
      </c>
      <c r="T974" s="19">
        <f t="shared" si="188"/>
        <v>6.9549759100989998E-4</v>
      </c>
    </row>
    <row r="975" spans="1:20" x14ac:dyDescent="0.2">
      <c r="A975" s="9">
        <v>45352</v>
      </c>
      <c r="B975" s="4" t="s">
        <v>222</v>
      </c>
      <c r="C975" s="8">
        <v>45352</v>
      </c>
      <c r="D975" s="4" t="s">
        <v>188</v>
      </c>
      <c r="E975" s="14">
        <f>IF(SUMIFS('Daily NSE Equity Futures'!$I:$I,'Daily NSE Equity Futures'!$A:$A,$A975)=0,"",SUMIFS('Daily NSE Equity Futures'!$I:$I,'Daily NSE Equity Futures'!$A:$A,$A975))</f>
        <v>1533.3110999999999</v>
      </c>
      <c r="F975" s="6">
        <f>IF(SUMIFS('Daily BSE Equity Futures'!$I:$I,'Daily BSE Equity Futures'!$A:$A,$A975)=0,"",SUMIFS('Daily BSE Equity Futures'!$I:$I,'Daily BSE Equity Futures'!$A:$A,$A975))</f>
        <v>4.6116999999999999</v>
      </c>
      <c r="G975" s="6">
        <f t="shared" si="180"/>
        <v>1537.9227999999998</v>
      </c>
      <c r="H975" s="15">
        <f t="shared" si="181"/>
        <v>0.99700134493096793</v>
      </c>
      <c r="I975" s="15">
        <f t="shared" si="182"/>
        <v>2.9986550690320741E-3</v>
      </c>
      <c r="J975" s="20">
        <f t="shared" si="183"/>
        <v>1.1051893716234389</v>
      </c>
      <c r="K975" s="15">
        <f t="shared" si="184"/>
        <v>5123.1111111111113</v>
      </c>
      <c r="L975" s="15">
        <f t="shared" si="185"/>
        <v>1.1115184859130753</v>
      </c>
      <c r="M975" s="15">
        <f t="shared" si="189"/>
        <v>-0.55975733395818073</v>
      </c>
      <c r="N975" s="15">
        <f t="shared" si="190"/>
        <v>1.1057990867579908</v>
      </c>
      <c r="O975" s="15">
        <f t="shared" si="191"/>
        <v>-0.55871070602916095</v>
      </c>
      <c r="P975" s="18">
        <f>IF(SUMIFS('Daily NSE Equity Futures'!$J:$J,'Daily NSE Equity Futures'!$A:$A,$A975)=0,"",SUMIFS('Daily NSE Equity Futures'!$J:$J,'Daily NSE Equity Futures'!$A:$A,$A975))</f>
        <v>1766049</v>
      </c>
      <c r="Q975" s="7">
        <f>IF(SUMIFS('Daily BSE Equity Futures'!$J:$J,'Daily BSE Equity Futures'!$A:$A,$A975)=0,"",SUMIFS('Daily BSE Equity Futures'!$J:$J,'Daily BSE Equity Futures'!$A:$A,$A975))</f>
        <v>6152</v>
      </c>
      <c r="R975" s="7">
        <f t="shared" si="186"/>
        <v>1772201</v>
      </c>
      <c r="S975" s="19">
        <f t="shared" si="187"/>
        <v>0.99652861046800001</v>
      </c>
      <c r="T975" s="19">
        <f t="shared" si="188"/>
        <v>3.4713895320000383E-3</v>
      </c>
    </row>
    <row r="976" spans="1:20" x14ac:dyDescent="0.2">
      <c r="A976" s="9">
        <v>45353</v>
      </c>
      <c r="B976" s="4" t="s">
        <v>226</v>
      </c>
      <c r="C976" s="8">
        <v>45352</v>
      </c>
      <c r="D976" s="4" t="s">
        <v>188</v>
      </c>
      <c r="E976" s="14">
        <f>IF(SUMIFS('Daily NSE Equity Futures'!$I:$I,'Daily NSE Equity Futures'!$A:$A,$A976)=0,"",SUMIFS('Daily NSE Equity Futures'!$I:$I,'Daily NSE Equity Futures'!$A:$A,$A976))</f>
        <v>204.89959999999999</v>
      </c>
      <c r="F976" s="6">
        <f>IF(SUMIFS('Daily BSE Equity Futures'!$I:$I,'Daily BSE Equity Futures'!$A:$A,$A976)=0,"",SUMIFS('Daily BSE Equity Futures'!$I:$I,'Daily BSE Equity Futures'!$A:$A,$A976))</f>
        <v>0.1812</v>
      </c>
      <c r="G976" s="6">
        <f t="shared" si="180"/>
        <v>205.08079999999998</v>
      </c>
      <c r="H976" s="15">
        <f t="shared" si="181"/>
        <v>0.99911644581062686</v>
      </c>
      <c r="I976" s="15">
        <f t="shared" si="182"/>
        <v>8.8355418937316422E-4</v>
      </c>
      <c r="J976" s="20">
        <f t="shared" si="183"/>
        <v>-0.73912988123447709</v>
      </c>
      <c r="K976" s="15">
        <f t="shared" si="184"/>
        <v>99.666666666666671</v>
      </c>
      <c r="L976" s="15">
        <f t="shared" si="185"/>
        <v>-0.73889978287567137</v>
      </c>
      <c r="M976" s="15">
        <f t="shared" si="189"/>
        <v>-0.86636788842133861</v>
      </c>
      <c r="N976" s="15">
        <f t="shared" si="190"/>
        <v>-0.96070863239152593</v>
      </c>
      <c r="O976" s="15">
        <f t="shared" si="191"/>
        <v>-0.8666507837714611</v>
      </c>
      <c r="P976" s="18">
        <f>IF(SUMIFS('Daily NSE Equity Futures'!$J:$J,'Daily NSE Equity Futures'!$A:$A,$A976)=0,"",SUMIFS('Daily NSE Equity Futures'!$J:$J,'Daily NSE Equity Futures'!$A:$A,$A976))</f>
        <v>222995</v>
      </c>
      <c r="Q976" s="7">
        <f>IF(SUMIFS('Daily BSE Equity Futures'!$J:$J,'Daily BSE Equity Futures'!$A:$A,$A976)=0,"",SUMIFS('Daily BSE Equity Futures'!$J:$J,'Daily BSE Equity Futures'!$A:$A,$A976))</f>
        <v>242</v>
      </c>
      <c r="R976" s="7">
        <f t="shared" si="186"/>
        <v>223237</v>
      </c>
      <c r="S976" s="19">
        <f t="shared" si="187"/>
        <v>0.99891595031289615</v>
      </c>
      <c r="T976" s="19">
        <f t="shared" si="188"/>
        <v>1.0840496871038403E-3</v>
      </c>
    </row>
    <row r="977" spans="1:20" x14ac:dyDescent="0.2">
      <c r="A977" s="9">
        <v>45355</v>
      </c>
      <c r="B977" s="4" t="s">
        <v>225</v>
      </c>
      <c r="C977" s="8">
        <v>45352</v>
      </c>
      <c r="D977" s="4" t="s">
        <v>188</v>
      </c>
      <c r="E977" s="14">
        <f>IF(SUMIFS('Daily NSE Equity Futures'!$I:$I,'Daily NSE Equity Futures'!$A:$A,$A977)=0,"",SUMIFS('Daily NSE Equity Futures'!$I:$I,'Daily NSE Equity Futures'!$A:$A,$A977))</f>
        <v>1261.4073000000001</v>
      </c>
      <c r="F977" s="6">
        <f>IF(SUMIFS('Daily BSE Equity Futures'!$I:$I,'Daily BSE Equity Futures'!$A:$A,$A977)=0,"",SUMIFS('Daily BSE Equity Futures'!$I:$I,'Daily BSE Equity Futures'!$A:$A,$A977))</f>
        <v>0.71730000000000005</v>
      </c>
      <c r="G977" s="6">
        <f t="shared" si="180"/>
        <v>1262.1246000000001</v>
      </c>
      <c r="H977" s="15">
        <f t="shared" si="181"/>
        <v>0.9994316725939737</v>
      </c>
      <c r="I977" s="15">
        <f t="shared" si="182"/>
        <v>5.6832740602631466E-4</v>
      </c>
      <c r="J977" s="20" t="str">
        <f t="shared" si="183"/>
        <v/>
      </c>
      <c r="K977" s="15" t="str">
        <f t="shared" si="184"/>
        <v/>
      </c>
      <c r="L977" s="15" t="str">
        <f t="shared" si="185"/>
        <v/>
      </c>
      <c r="M977" s="15">
        <f t="shared" si="189"/>
        <v>5.1562213884263324</v>
      </c>
      <c r="N977" s="15">
        <f t="shared" si="190"/>
        <v>2.9586092715231791</v>
      </c>
      <c r="O977" s="15">
        <f t="shared" si="191"/>
        <v>5.1542796790338254</v>
      </c>
      <c r="P977" s="18">
        <f>IF(SUMIFS('Daily NSE Equity Futures'!$J:$J,'Daily NSE Equity Futures'!$A:$A,$A977)=0,"",SUMIFS('Daily NSE Equity Futures'!$J:$J,'Daily NSE Equity Futures'!$A:$A,$A977))</f>
        <v>1386901</v>
      </c>
      <c r="Q977" s="7">
        <f>IF(SUMIFS('Daily BSE Equity Futures'!$J:$J,'Daily BSE Equity Futures'!$A:$A,$A977)=0,"",SUMIFS('Daily BSE Equity Futures'!$J:$J,'Daily BSE Equity Futures'!$A:$A,$A977))</f>
        <v>905</v>
      </c>
      <c r="R977" s="7">
        <f t="shared" si="186"/>
        <v>1387806</v>
      </c>
      <c r="S977" s="19">
        <f t="shared" si="187"/>
        <v>0.99934789156409465</v>
      </c>
      <c r="T977" s="19">
        <f t="shared" si="188"/>
        <v>6.5210843590530663E-4</v>
      </c>
    </row>
    <row r="978" spans="1:20" x14ac:dyDescent="0.2">
      <c r="A978" s="9">
        <v>45356</v>
      </c>
      <c r="B978" s="4" t="s">
        <v>223</v>
      </c>
      <c r="C978" s="8">
        <v>45352</v>
      </c>
      <c r="D978" s="4" t="s">
        <v>188</v>
      </c>
      <c r="E978" s="14">
        <f>IF(SUMIFS('Daily NSE Equity Futures'!$I:$I,'Daily NSE Equity Futures'!$A:$A,$A978)=0,"",SUMIFS('Daily NSE Equity Futures'!$I:$I,'Daily NSE Equity Futures'!$A:$A,$A978))</f>
        <v>1409.9774</v>
      </c>
      <c r="F978" s="6">
        <f>IF(SUMIFS('Daily BSE Equity Futures'!$I:$I,'Daily BSE Equity Futures'!$A:$A,$A978)=0,"",SUMIFS('Daily BSE Equity Futures'!$I:$I,'Daily BSE Equity Futures'!$A:$A,$A978))</f>
        <v>0.61580000000000001</v>
      </c>
      <c r="G978" s="6">
        <f t="shared" si="180"/>
        <v>1410.5932</v>
      </c>
      <c r="H978" s="15">
        <f t="shared" si="181"/>
        <v>0.99956344607360925</v>
      </c>
      <c r="I978" s="15">
        <f t="shared" si="182"/>
        <v>4.3655392639068444E-4</v>
      </c>
      <c r="J978" s="20" t="str">
        <f t="shared" si="183"/>
        <v/>
      </c>
      <c r="K978" s="15" t="str">
        <f t="shared" si="184"/>
        <v/>
      </c>
      <c r="L978" s="15" t="str">
        <f t="shared" si="185"/>
        <v/>
      </c>
      <c r="M978" s="15">
        <f t="shared" si="189"/>
        <v>0.11778122736407171</v>
      </c>
      <c r="N978" s="15">
        <f t="shared" si="190"/>
        <v>-0.14150285793949535</v>
      </c>
      <c r="O978" s="15">
        <f t="shared" si="191"/>
        <v>0.11763386911244722</v>
      </c>
      <c r="P978" s="18">
        <f>IF(SUMIFS('Daily NSE Equity Futures'!$J:$J,'Daily NSE Equity Futures'!$A:$A,$A978)=0,"",SUMIFS('Daily NSE Equity Futures'!$J:$J,'Daily NSE Equity Futures'!$A:$A,$A978))</f>
        <v>1543869</v>
      </c>
      <c r="Q978" s="7">
        <f>IF(SUMIFS('Daily BSE Equity Futures'!$J:$J,'Daily BSE Equity Futures'!$A:$A,$A978)=0,"",SUMIFS('Daily BSE Equity Futures'!$J:$J,'Daily BSE Equity Futures'!$A:$A,$A978))</f>
        <v>797</v>
      </c>
      <c r="R978" s="7">
        <f t="shared" si="186"/>
        <v>1544666</v>
      </c>
      <c r="S978" s="19">
        <f t="shared" si="187"/>
        <v>0.99948403085197701</v>
      </c>
      <c r="T978" s="19">
        <f t="shared" si="188"/>
        <v>5.1596914802293833E-4</v>
      </c>
    </row>
    <row r="979" spans="1:20" x14ac:dyDescent="0.2">
      <c r="A979" s="9">
        <v>45357</v>
      </c>
      <c r="B979" s="4" t="s">
        <v>221</v>
      </c>
      <c r="C979" s="8">
        <v>45352</v>
      </c>
      <c r="D979" s="4" t="s">
        <v>188</v>
      </c>
      <c r="E979" s="14">
        <f>IF(SUMIFS('Daily NSE Equity Futures'!$I:$I,'Daily NSE Equity Futures'!$A:$A,$A979)=0,"",SUMIFS('Daily NSE Equity Futures'!$I:$I,'Daily NSE Equity Futures'!$A:$A,$A979))</f>
        <v>1790.6949</v>
      </c>
      <c r="F979" s="6">
        <f>IF(SUMIFS('Daily BSE Equity Futures'!$I:$I,'Daily BSE Equity Futures'!$A:$A,$A979)=0,"",SUMIFS('Daily BSE Equity Futures'!$I:$I,'Daily BSE Equity Futures'!$A:$A,$A979))</f>
        <v>1.7395</v>
      </c>
      <c r="G979" s="6">
        <f t="shared" si="180"/>
        <v>1792.4343999999999</v>
      </c>
      <c r="H979" s="15">
        <f t="shared" si="181"/>
        <v>0.99902953212681034</v>
      </c>
      <c r="I979" s="15">
        <f t="shared" si="182"/>
        <v>9.7046787318966882E-4</v>
      </c>
      <c r="J979" s="20">
        <f t="shared" si="183"/>
        <v>1.2368783048294074</v>
      </c>
      <c r="K979" s="15">
        <f t="shared" si="184"/>
        <v>1931.7777777777778</v>
      </c>
      <c r="L979" s="15">
        <f t="shared" si="185"/>
        <v>1.2390487148639173</v>
      </c>
      <c r="M979" s="15">
        <f t="shared" si="189"/>
        <v>0.27001673927539538</v>
      </c>
      <c r="N979" s="15">
        <f t="shared" si="190"/>
        <v>1.8247807729782397</v>
      </c>
      <c r="O979" s="15">
        <f t="shared" si="191"/>
        <v>0.27069547761891943</v>
      </c>
      <c r="P979" s="18">
        <f>IF(SUMIFS('Daily NSE Equity Futures'!$J:$J,'Daily NSE Equity Futures'!$A:$A,$A979)=0,"",SUMIFS('Daily NSE Equity Futures'!$J:$J,'Daily NSE Equity Futures'!$A:$A,$A979))</f>
        <v>2051791</v>
      </c>
      <c r="Q979" s="7">
        <f>IF(SUMIFS('Daily BSE Equity Futures'!$J:$J,'Daily BSE Equity Futures'!$A:$A,$A979)=0,"",SUMIFS('Daily BSE Equity Futures'!$J:$J,'Daily BSE Equity Futures'!$A:$A,$A979))</f>
        <v>2181</v>
      </c>
      <c r="R979" s="7">
        <f t="shared" si="186"/>
        <v>2053972</v>
      </c>
      <c r="S979" s="19">
        <f t="shared" si="187"/>
        <v>0.99893815495050564</v>
      </c>
      <c r="T979" s="19">
        <f t="shared" si="188"/>
        <v>1.0618450494943455E-3</v>
      </c>
    </row>
    <row r="980" spans="1:20" x14ac:dyDescent="0.2">
      <c r="A980" s="9">
        <v>45358</v>
      </c>
      <c r="B980" s="4" t="s">
        <v>224</v>
      </c>
      <c r="C980" s="8">
        <v>45352</v>
      </c>
      <c r="D980" s="4" t="s">
        <v>188</v>
      </c>
      <c r="E980" s="14">
        <f>IF(SUMIFS('Daily NSE Equity Futures'!$I:$I,'Daily NSE Equity Futures'!$A:$A,$A980)=0,"",SUMIFS('Daily NSE Equity Futures'!$I:$I,'Daily NSE Equity Futures'!$A:$A,$A980))</f>
        <v>1345.5971999999999</v>
      </c>
      <c r="F980" s="6">
        <f>IF(SUMIFS('Daily BSE Equity Futures'!$I:$I,'Daily BSE Equity Futures'!$A:$A,$A980)=0,"",SUMIFS('Daily BSE Equity Futures'!$I:$I,'Daily BSE Equity Futures'!$A:$A,$A980))</f>
        <v>2.278</v>
      </c>
      <c r="G980" s="6">
        <f t="shared" si="180"/>
        <v>1347.8751999999999</v>
      </c>
      <c r="H980" s="15">
        <f t="shared" si="181"/>
        <v>0.99830993255161904</v>
      </c>
      <c r="I980" s="15">
        <f t="shared" si="182"/>
        <v>1.6900674483809777E-3</v>
      </c>
      <c r="J980" s="20" t="str">
        <f t="shared" si="183"/>
        <v/>
      </c>
      <c r="K980" s="15" t="str">
        <f t="shared" si="184"/>
        <v/>
      </c>
      <c r="L980" s="15" t="str">
        <f t="shared" si="185"/>
        <v/>
      </c>
      <c r="M980" s="15">
        <f t="shared" si="189"/>
        <v>-0.2485614383555792</v>
      </c>
      <c r="N980" s="15">
        <f t="shared" si="190"/>
        <v>0.30957171601034772</v>
      </c>
      <c r="O980" s="15">
        <f t="shared" si="191"/>
        <v>-0.248019788060305</v>
      </c>
      <c r="P980" s="18">
        <f>IF(SUMIFS('Daily NSE Equity Futures'!$J:$J,'Daily NSE Equity Futures'!$A:$A,$A980)=0,"",SUMIFS('Daily NSE Equity Futures'!$J:$J,'Daily NSE Equity Futures'!$A:$A,$A980))</f>
        <v>1493909</v>
      </c>
      <c r="Q980" s="7">
        <f>IF(SUMIFS('Daily BSE Equity Futures'!$J:$J,'Daily BSE Equity Futures'!$A:$A,$A980)=0,"",SUMIFS('Daily BSE Equity Futures'!$J:$J,'Daily BSE Equity Futures'!$A:$A,$A980))</f>
        <v>2920</v>
      </c>
      <c r="R980" s="7">
        <f t="shared" si="186"/>
        <v>1496829</v>
      </c>
      <c r="S980" s="19">
        <f t="shared" si="187"/>
        <v>0.99804920936192443</v>
      </c>
      <c r="T980" s="19">
        <f t="shared" si="188"/>
        <v>1.9507906380755583E-3</v>
      </c>
    </row>
    <row r="981" spans="1:20" x14ac:dyDescent="0.2">
      <c r="A981" s="9">
        <v>45362</v>
      </c>
      <c r="B981" s="4" t="s">
        <v>225</v>
      </c>
      <c r="C981" s="8">
        <v>45352</v>
      </c>
      <c r="D981" s="4" t="s">
        <v>188</v>
      </c>
      <c r="E981" s="14">
        <f>IF(SUMIFS('Daily NSE Equity Futures'!$I:$I,'Daily NSE Equity Futures'!$A:$A,$A981)=0,"",SUMIFS('Daily NSE Equity Futures'!$I:$I,'Daily NSE Equity Futures'!$A:$A,$A981))</f>
        <v>1293.1043</v>
      </c>
      <c r="F981" s="6">
        <f>IF(SUMIFS('Daily BSE Equity Futures'!$I:$I,'Daily BSE Equity Futures'!$A:$A,$A981)=0,"",SUMIFS('Daily BSE Equity Futures'!$I:$I,'Daily BSE Equity Futures'!$A:$A,$A981))</f>
        <v>0.64190000000000003</v>
      </c>
      <c r="G981" s="6">
        <f t="shared" si="180"/>
        <v>1293.7462</v>
      </c>
      <c r="H981" s="15">
        <f t="shared" si="181"/>
        <v>0.99950384395331937</v>
      </c>
      <c r="I981" s="15">
        <f t="shared" si="182"/>
        <v>4.9615604668056229E-4</v>
      </c>
      <c r="J981" s="20" t="str">
        <f t="shared" si="183"/>
        <v/>
      </c>
      <c r="K981" s="15" t="str">
        <f t="shared" si="184"/>
        <v/>
      </c>
      <c r="L981" s="15" t="str">
        <f t="shared" si="185"/>
        <v/>
      </c>
      <c r="M981" s="15">
        <f t="shared" si="189"/>
        <v>-3.901085703804974E-2</v>
      </c>
      <c r="N981" s="15">
        <f t="shared" si="190"/>
        <v>-0.71821773485513607</v>
      </c>
      <c r="O981" s="15">
        <f t="shared" si="191"/>
        <v>-4.0158762472964793E-2</v>
      </c>
      <c r="P981" s="18">
        <f>IF(SUMIFS('Daily NSE Equity Futures'!$J:$J,'Daily NSE Equity Futures'!$A:$A,$A981)=0,"",SUMIFS('Daily NSE Equity Futures'!$J:$J,'Daily NSE Equity Futures'!$A:$A,$A981))</f>
        <v>1448395</v>
      </c>
      <c r="Q981" s="7">
        <f>IF(SUMIFS('Daily BSE Equity Futures'!$J:$J,'Daily BSE Equity Futures'!$A:$A,$A981)=0,"",SUMIFS('Daily BSE Equity Futures'!$J:$J,'Daily BSE Equity Futures'!$A:$A,$A981))</f>
        <v>814</v>
      </c>
      <c r="R981" s="7">
        <f t="shared" si="186"/>
        <v>1449209</v>
      </c>
      <c r="S981" s="19">
        <f t="shared" si="187"/>
        <v>0.99943831428041086</v>
      </c>
      <c r="T981" s="19">
        <f t="shared" si="188"/>
        <v>5.6168571958910003E-4</v>
      </c>
    </row>
    <row r="982" spans="1:20" x14ac:dyDescent="0.2">
      <c r="A982" s="9">
        <v>45363</v>
      </c>
      <c r="B982" s="4" t="s">
        <v>223</v>
      </c>
      <c r="C982" s="8">
        <v>45352</v>
      </c>
      <c r="D982" s="4" t="s">
        <v>188</v>
      </c>
      <c r="E982" s="14">
        <f>IF(SUMIFS('Daily NSE Equity Futures'!$I:$I,'Daily NSE Equity Futures'!$A:$A,$A982)=0,"",SUMIFS('Daily NSE Equity Futures'!$I:$I,'Daily NSE Equity Futures'!$A:$A,$A982))</f>
        <v>1432.1158</v>
      </c>
      <c r="F982" s="6">
        <f>IF(SUMIFS('Daily BSE Equity Futures'!$I:$I,'Daily BSE Equity Futures'!$A:$A,$A982)=0,"",SUMIFS('Daily BSE Equity Futures'!$I:$I,'Daily BSE Equity Futures'!$A:$A,$A982))</f>
        <v>1.7414000000000001</v>
      </c>
      <c r="G982" s="6">
        <f t="shared" si="180"/>
        <v>1433.8572000000001</v>
      </c>
      <c r="H982" s="15">
        <f t="shared" si="181"/>
        <v>0.99878551364808144</v>
      </c>
      <c r="I982" s="15">
        <f t="shared" si="182"/>
        <v>1.2144863519184476E-3</v>
      </c>
      <c r="J982" s="20" t="str">
        <f t="shared" si="183"/>
        <v/>
      </c>
      <c r="K982" s="15" t="str">
        <f t="shared" si="184"/>
        <v/>
      </c>
      <c r="L982" s="15" t="str">
        <f t="shared" si="185"/>
        <v/>
      </c>
      <c r="M982" s="15">
        <f t="shared" si="189"/>
        <v>0.10750215585858003</v>
      </c>
      <c r="N982" s="15">
        <f t="shared" si="190"/>
        <v>1.7128836267331358</v>
      </c>
      <c r="O982" s="15">
        <f t="shared" si="191"/>
        <v>0.10829867558258344</v>
      </c>
      <c r="P982" s="18">
        <f>IF(SUMIFS('Daily NSE Equity Futures'!$J:$J,'Daily NSE Equity Futures'!$A:$A,$A982)=0,"",SUMIFS('Daily NSE Equity Futures'!$J:$J,'Daily NSE Equity Futures'!$A:$A,$A982))</f>
        <v>1657544</v>
      </c>
      <c r="Q982" s="7">
        <f>IF(SUMIFS('Daily BSE Equity Futures'!$J:$J,'Daily BSE Equity Futures'!$A:$A,$A982)=0,"",SUMIFS('Daily BSE Equity Futures'!$J:$J,'Daily BSE Equity Futures'!$A:$A,$A982))</f>
        <v>2215</v>
      </c>
      <c r="R982" s="7">
        <f t="shared" si="186"/>
        <v>1659759</v>
      </c>
      <c r="S982" s="19">
        <f t="shared" si="187"/>
        <v>0.99866546890241292</v>
      </c>
      <c r="T982" s="19">
        <f t="shared" si="188"/>
        <v>1.3345310975870592E-3</v>
      </c>
    </row>
    <row r="983" spans="1:20" x14ac:dyDescent="0.2">
      <c r="A983" s="9">
        <v>45364</v>
      </c>
      <c r="B983" s="4" t="s">
        <v>221</v>
      </c>
      <c r="C983" s="8">
        <v>45352</v>
      </c>
      <c r="D983" s="4" t="s">
        <v>188</v>
      </c>
      <c r="E983" s="14">
        <f>IF(SUMIFS('Daily NSE Equity Futures'!$I:$I,'Daily NSE Equity Futures'!$A:$A,$A983)=0,"",SUMIFS('Daily NSE Equity Futures'!$I:$I,'Daily NSE Equity Futures'!$A:$A,$A983))</f>
        <v>1970.1043999999999</v>
      </c>
      <c r="F983" s="6">
        <f>IF(SUMIFS('Daily BSE Equity Futures'!$I:$I,'Daily BSE Equity Futures'!$A:$A,$A983)=0,"",SUMIFS('Daily BSE Equity Futures'!$I:$I,'Daily BSE Equity Futures'!$A:$A,$A983))</f>
        <v>1.6388</v>
      </c>
      <c r="G983" s="6">
        <f t="shared" si="180"/>
        <v>1971.7431999999999</v>
      </c>
      <c r="H983" s="15">
        <f t="shared" si="181"/>
        <v>0.99916885728324056</v>
      </c>
      <c r="I983" s="15">
        <f t="shared" si="182"/>
        <v>8.3114271675946449E-4</v>
      </c>
      <c r="J983" s="20">
        <f t="shared" si="183"/>
        <v>0.71036569934840244</v>
      </c>
      <c r="K983" s="15">
        <f t="shared" si="184"/>
        <v>355.26086956521738</v>
      </c>
      <c r="L983" s="15">
        <f t="shared" si="185"/>
        <v>0.71178160378189781</v>
      </c>
      <c r="M983" s="15">
        <f t="shared" si="189"/>
        <v>0.37565998503752263</v>
      </c>
      <c r="N983" s="15">
        <f t="shared" si="190"/>
        <v>-5.8918111864017519E-2</v>
      </c>
      <c r="O983" s="15">
        <f t="shared" si="191"/>
        <v>0.37513219586999291</v>
      </c>
      <c r="P983" s="18">
        <f>IF(SUMIFS('Daily NSE Equity Futures'!$J:$J,'Daily NSE Equity Futures'!$A:$A,$A983)=0,"",SUMIFS('Daily NSE Equity Futures'!$J:$J,'Daily NSE Equity Futures'!$A:$A,$A983))</f>
        <v>2266699</v>
      </c>
      <c r="Q983" s="7">
        <f>IF(SUMIFS('Daily BSE Equity Futures'!$J:$J,'Daily BSE Equity Futures'!$A:$A,$A983)=0,"",SUMIFS('Daily BSE Equity Futures'!$J:$J,'Daily BSE Equity Futures'!$A:$A,$A983))</f>
        <v>2100</v>
      </c>
      <c r="R983" s="7">
        <f t="shared" si="186"/>
        <v>2268799</v>
      </c>
      <c r="S983" s="19">
        <f t="shared" si="187"/>
        <v>0.99907440015620597</v>
      </c>
      <c r="T983" s="19">
        <f t="shared" si="188"/>
        <v>9.2559984379400736E-4</v>
      </c>
    </row>
    <row r="984" spans="1:20" x14ac:dyDescent="0.2">
      <c r="A984" s="9">
        <v>45365</v>
      </c>
      <c r="B984" s="4" t="s">
        <v>224</v>
      </c>
      <c r="C984" s="8">
        <v>45352</v>
      </c>
      <c r="D984" s="4" t="s">
        <v>188</v>
      </c>
      <c r="E984" s="14">
        <f>IF(SUMIFS('Daily NSE Equity Futures'!$I:$I,'Daily NSE Equity Futures'!$A:$A,$A984)=0,"",SUMIFS('Daily NSE Equity Futures'!$I:$I,'Daily NSE Equity Futures'!$A:$A,$A984))</f>
        <v>1510.8153</v>
      </c>
      <c r="F984" s="6">
        <f>IF(SUMIFS('Daily BSE Equity Futures'!$I:$I,'Daily BSE Equity Futures'!$A:$A,$A984)=0,"",SUMIFS('Daily BSE Equity Futures'!$I:$I,'Daily BSE Equity Futures'!$A:$A,$A984))</f>
        <v>0.81120000000000003</v>
      </c>
      <c r="G984" s="6">
        <f t="shared" si="180"/>
        <v>1511.6265000000001</v>
      </c>
      <c r="H984" s="15">
        <f t="shared" si="181"/>
        <v>0.99946335950051146</v>
      </c>
      <c r="I984" s="15">
        <f t="shared" si="182"/>
        <v>5.3664049948846492E-4</v>
      </c>
      <c r="J984" s="20">
        <f t="shared" si="183"/>
        <v>0.44138329035050039</v>
      </c>
      <c r="K984" s="15">
        <f t="shared" si="184"/>
        <v>179.26666666666668</v>
      </c>
      <c r="L984" s="15">
        <f t="shared" si="185"/>
        <v>0.44215101888053243</v>
      </c>
      <c r="M984" s="15">
        <f t="shared" si="189"/>
        <v>-0.23312932045631696</v>
      </c>
      <c r="N984" s="15">
        <f t="shared" si="190"/>
        <v>-0.50500366121552354</v>
      </c>
      <c r="O984" s="15">
        <f t="shared" si="191"/>
        <v>-0.23335528683451268</v>
      </c>
      <c r="P984" s="18">
        <f>IF(SUMIFS('Daily NSE Equity Futures'!$J:$J,'Daily NSE Equity Futures'!$A:$A,$A984)=0,"",SUMIFS('Daily NSE Equity Futures'!$J:$J,'Daily NSE Equity Futures'!$A:$A,$A984))</f>
        <v>1728289</v>
      </c>
      <c r="Q984" s="7">
        <f>IF(SUMIFS('Daily BSE Equity Futures'!$J:$J,'Daily BSE Equity Futures'!$A:$A,$A984)=0,"",SUMIFS('Daily BSE Equity Futures'!$J:$J,'Daily BSE Equity Futures'!$A:$A,$A984))</f>
        <v>1071</v>
      </c>
      <c r="R984" s="7">
        <f t="shared" si="186"/>
        <v>1729360</v>
      </c>
      <c r="S984" s="19">
        <f t="shared" si="187"/>
        <v>0.99938069574871624</v>
      </c>
      <c r="T984" s="19">
        <f t="shared" si="188"/>
        <v>6.1930425128371193E-4</v>
      </c>
    </row>
    <row r="985" spans="1:20" x14ac:dyDescent="0.2">
      <c r="A985" s="9">
        <v>45366</v>
      </c>
      <c r="B985" s="4" t="s">
        <v>222</v>
      </c>
      <c r="C985" s="8">
        <v>45352</v>
      </c>
      <c r="D985" s="4" t="s">
        <v>188</v>
      </c>
      <c r="E985" s="14">
        <f>IF(SUMIFS('Daily NSE Equity Futures'!$I:$I,'Daily NSE Equity Futures'!$A:$A,$A985)=0,"",SUMIFS('Daily NSE Equity Futures'!$I:$I,'Daily NSE Equity Futures'!$A:$A,$A985))</f>
        <v>1751.0259000000001</v>
      </c>
      <c r="F985" s="6">
        <f>IF(SUMIFS('Daily BSE Equity Futures'!$I:$I,'Daily BSE Equity Futures'!$A:$A,$A985)=0,"",SUMIFS('Daily BSE Equity Futures'!$I:$I,'Daily BSE Equity Futures'!$A:$A,$A985))</f>
        <v>3.8839999999999999</v>
      </c>
      <c r="G985" s="6">
        <f t="shared" si="180"/>
        <v>1754.9099000000001</v>
      </c>
      <c r="H985" s="15">
        <f t="shared" si="181"/>
        <v>0.99778678096237305</v>
      </c>
      <c r="I985" s="15">
        <f t="shared" si="182"/>
        <v>2.2132190376269456E-3</v>
      </c>
      <c r="J985" s="20">
        <f t="shared" si="183"/>
        <v>1.0270954166672941</v>
      </c>
      <c r="K985" s="15">
        <f t="shared" si="184"/>
        <v>2156.7777777777778</v>
      </c>
      <c r="L985" s="15">
        <f t="shared" si="185"/>
        <v>1.0315875408552393</v>
      </c>
      <c r="M985" s="15">
        <f t="shared" si="189"/>
        <v>0.15899402130756823</v>
      </c>
      <c r="N985" s="15">
        <f t="shared" si="190"/>
        <v>3.7879684418145949</v>
      </c>
      <c r="O985" s="15">
        <f t="shared" si="191"/>
        <v>0.16094147595321995</v>
      </c>
      <c r="P985" s="18">
        <f>IF(SUMIFS('Daily NSE Equity Futures'!$J:$J,'Daily NSE Equity Futures'!$A:$A,$A985)=0,"",SUMIFS('Daily NSE Equity Futures'!$J:$J,'Daily NSE Equity Futures'!$A:$A,$A985))</f>
        <v>2001196</v>
      </c>
      <c r="Q985" s="7">
        <f>IF(SUMIFS('Daily BSE Equity Futures'!$J:$J,'Daily BSE Equity Futures'!$A:$A,$A985)=0,"",SUMIFS('Daily BSE Equity Futures'!$J:$J,'Daily BSE Equity Futures'!$A:$A,$A985))</f>
        <v>5152</v>
      </c>
      <c r="R985" s="7">
        <f t="shared" si="186"/>
        <v>2006348</v>
      </c>
      <c r="S985" s="19">
        <f t="shared" si="187"/>
        <v>0.99743215035477395</v>
      </c>
      <c r="T985" s="19">
        <f t="shared" si="188"/>
        <v>2.5678496452260524E-3</v>
      </c>
    </row>
    <row r="986" spans="1:20" x14ac:dyDescent="0.2">
      <c r="A986" s="9">
        <v>45369</v>
      </c>
      <c r="B986" s="4" t="s">
        <v>225</v>
      </c>
      <c r="C986" s="8">
        <v>45352</v>
      </c>
      <c r="D986" s="4" t="s">
        <v>188</v>
      </c>
      <c r="E986" s="14">
        <f>IF(SUMIFS('Daily NSE Equity Futures'!$I:$I,'Daily NSE Equity Futures'!$A:$A,$A986)=0,"",SUMIFS('Daily NSE Equity Futures'!$I:$I,'Daily NSE Equity Futures'!$A:$A,$A986))</f>
        <v>1193.8041000000001</v>
      </c>
      <c r="F986" s="6">
        <f>IF(SUMIFS('Daily BSE Equity Futures'!$I:$I,'Daily BSE Equity Futures'!$A:$A,$A986)=0,"",SUMIFS('Daily BSE Equity Futures'!$I:$I,'Daily BSE Equity Futures'!$A:$A,$A986))</f>
        <v>3.4733000000000001</v>
      </c>
      <c r="G986" s="6">
        <f t="shared" si="180"/>
        <v>1197.2774000000002</v>
      </c>
      <c r="H986" s="15">
        <f t="shared" si="181"/>
        <v>0.99709900145112562</v>
      </c>
      <c r="I986" s="15">
        <f t="shared" si="182"/>
        <v>2.9009985488743038E-3</v>
      </c>
      <c r="J986" s="20" t="str">
        <f t="shared" si="183"/>
        <v/>
      </c>
      <c r="K986" s="15" t="str">
        <f t="shared" si="184"/>
        <v/>
      </c>
      <c r="L986" s="15" t="str">
        <f t="shared" si="185"/>
        <v/>
      </c>
      <c r="M986" s="15">
        <f t="shared" si="189"/>
        <v>-0.31822590402574857</v>
      </c>
      <c r="N986" s="15">
        <f t="shared" si="190"/>
        <v>-0.10574150360453138</v>
      </c>
      <c r="O986" s="15">
        <f t="shared" si="191"/>
        <v>-0.31775562950553748</v>
      </c>
      <c r="P986" s="18">
        <f>IF(SUMIFS('Daily NSE Equity Futures'!$J:$J,'Daily NSE Equity Futures'!$A:$A,$A986)=0,"",SUMIFS('Daily NSE Equity Futures'!$J:$J,'Daily NSE Equity Futures'!$A:$A,$A986))</f>
        <v>1394032</v>
      </c>
      <c r="Q986" s="7">
        <f>IF(SUMIFS('Daily BSE Equity Futures'!$J:$J,'Daily BSE Equity Futures'!$A:$A,$A986)=0,"",SUMIFS('Daily BSE Equity Futures'!$J:$J,'Daily BSE Equity Futures'!$A:$A,$A986))</f>
        <v>4417</v>
      </c>
      <c r="R986" s="7">
        <f t="shared" si="186"/>
        <v>1398449</v>
      </c>
      <c r="S986" s="19">
        <f t="shared" si="187"/>
        <v>0.99684150083413836</v>
      </c>
      <c r="T986" s="19">
        <f t="shared" si="188"/>
        <v>3.1584991658616082E-3</v>
      </c>
    </row>
    <row r="987" spans="1:20" x14ac:dyDescent="0.2">
      <c r="A987" s="9">
        <v>45370</v>
      </c>
      <c r="B987" s="4" t="s">
        <v>223</v>
      </c>
      <c r="C987" s="8">
        <v>45352</v>
      </c>
      <c r="D987" s="4" t="s">
        <v>188</v>
      </c>
      <c r="E987" s="14">
        <f>IF(SUMIFS('Daily NSE Equity Futures'!$I:$I,'Daily NSE Equity Futures'!$A:$A,$A987)=0,"",SUMIFS('Daily NSE Equity Futures'!$I:$I,'Daily NSE Equity Futures'!$A:$A,$A987))</f>
        <v>1298.8696</v>
      </c>
      <c r="F987" s="6">
        <f>IF(SUMIFS('Daily BSE Equity Futures'!$I:$I,'Daily BSE Equity Futures'!$A:$A,$A987)=0,"",SUMIFS('Daily BSE Equity Futures'!$I:$I,'Daily BSE Equity Futures'!$A:$A,$A987))</f>
        <v>0.81320000000000003</v>
      </c>
      <c r="G987" s="6">
        <f t="shared" si="180"/>
        <v>1299.6828</v>
      </c>
      <c r="H987" s="15">
        <f t="shared" si="181"/>
        <v>0.9993743088698257</v>
      </c>
      <c r="I987" s="15">
        <f t="shared" si="182"/>
        <v>6.256911301742241E-4</v>
      </c>
      <c r="J987" s="20" t="str">
        <f t="shared" si="183"/>
        <v/>
      </c>
      <c r="K987" s="15" t="str">
        <f t="shared" si="184"/>
        <v/>
      </c>
      <c r="L987" s="15" t="str">
        <f t="shared" si="185"/>
        <v/>
      </c>
      <c r="M987" s="15">
        <f t="shared" si="189"/>
        <v>8.8008995780798571E-2</v>
      </c>
      <c r="N987" s="15">
        <f t="shared" si="190"/>
        <v>-0.76587107361874873</v>
      </c>
      <c r="O987" s="15">
        <f t="shared" si="191"/>
        <v>8.553189093855762E-2</v>
      </c>
      <c r="P987" s="18">
        <f>IF(SUMIFS('Daily NSE Equity Futures'!$J:$J,'Daily NSE Equity Futures'!$A:$A,$A987)=0,"",SUMIFS('Daily NSE Equity Futures'!$J:$J,'Daily NSE Equity Futures'!$A:$A,$A987))</f>
        <v>1522940</v>
      </c>
      <c r="Q987" s="7">
        <f>IF(SUMIFS('Daily BSE Equity Futures'!$J:$J,'Daily BSE Equity Futures'!$A:$A,$A987)=0,"",SUMIFS('Daily BSE Equity Futures'!$J:$J,'Daily BSE Equity Futures'!$A:$A,$A987))</f>
        <v>1080</v>
      </c>
      <c r="R987" s="7">
        <f t="shared" si="186"/>
        <v>1524020</v>
      </c>
      <c r="S987" s="19">
        <f t="shared" si="187"/>
        <v>0.99929134788257368</v>
      </c>
      <c r="T987" s="19">
        <f t="shared" si="188"/>
        <v>7.0865211742628044E-4</v>
      </c>
    </row>
    <row r="988" spans="1:20" x14ac:dyDescent="0.2">
      <c r="A988" s="9">
        <v>45371</v>
      </c>
      <c r="B988" s="4" t="s">
        <v>221</v>
      </c>
      <c r="C988" s="8">
        <v>45352</v>
      </c>
      <c r="D988" s="4" t="s">
        <v>188</v>
      </c>
      <c r="E988" s="14">
        <f>IF(SUMIFS('Daily NSE Equity Futures'!$I:$I,'Daily NSE Equity Futures'!$A:$A,$A988)=0,"",SUMIFS('Daily NSE Equity Futures'!$I:$I,'Daily NSE Equity Futures'!$A:$A,$A988))</f>
        <v>1516.2082</v>
      </c>
      <c r="F988" s="6">
        <f>IF(SUMIFS('Daily BSE Equity Futures'!$I:$I,'Daily BSE Equity Futures'!$A:$A,$A988)=0,"",SUMIFS('Daily BSE Equity Futures'!$I:$I,'Daily BSE Equity Futures'!$A:$A,$A988))</f>
        <v>0.53320000000000001</v>
      </c>
      <c r="G988" s="6">
        <f t="shared" si="180"/>
        <v>1516.7414000000001</v>
      </c>
      <c r="H988" s="15">
        <f t="shared" si="181"/>
        <v>0.99964845688263004</v>
      </c>
      <c r="I988" s="15">
        <f t="shared" si="182"/>
        <v>3.5154311736990894E-4</v>
      </c>
      <c r="J988" s="20">
        <f t="shared" si="183"/>
        <v>0.49847894634630374</v>
      </c>
      <c r="K988" s="15">
        <f t="shared" si="184"/>
        <v>196.48148148148147</v>
      </c>
      <c r="L988" s="15">
        <f t="shared" si="185"/>
        <v>0.49900191157800378</v>
      </c>
      <c r="M988" s="15">
        <f t="shared" si="189"/>
        <v>0.16732903749537287</v>
      </c>
      <c r="N988" s="15">
        <f t="shared" si="190"/>
        <v>-0.34431874077717661</v>
      </c>
      <c r="O988" s="15">
        <f t="shared" si="191"/>
        <v>0.16700890401873436</v>
      </c>
      <c r="P988" s="18">
        <f>IF(SUMIFS('Daily NSE Equity Futures'!$J:$J,'Daily NSE Equity Futures'!$A:$A,$A988)=0,"",SUMIFS('Daily NSE Equity Futures'!$J:$J,'Daily NSE Equity Futures'!$A:$A,$A988))</f>
        <v>1835018</v>
      </c>
      <c r="Q988" s="7">
        <f>IF(SUMIFS('Daily BSE Equity Futures'!$J:$J,'Daily BSE Equity Futures'!$A:$A,$A988)=0,"",SUMIFS('Daily BSE Equity Futures'!$J:$J,'Daily BSE Equity Futures'!$A:$A,$A988))</f>
        <v>717</v>
      </c>
      <c r="R988" s="7">
        <f t="shared" si="186"/>
        <v>1835735</v>
      </c>
      <c r="S988" s="19">
        <f t="shared" si="187"/>
        <v>0.99960942074972692</v>
      </c>
      <c r="T988" s="19">
        <f t="shared" si="188"/>
        <v>3.9057925027305142E-4</v>
      </c>
    </row>
    <row r="989" spans="1:20" x14ac:dyDescent="0.2">
      <c r="A989" s="9">
        <v>45372</v>
      </c>
      <c r="B989" s="4" t="s">
        <v>224</v>
      </c>
      <c r="C989" s="8">
        <v>45352</v>
      </c>
      <c r="D989" s="4" t="s">
        <v>188</v>
      </c>
      <c r="E989" s="14">
        <f>IF(SUMIFS('Daily NSE Equity Futures'!$I:$I,'Daily NSE Equity Futures'!$A:$A,$A989)=0,"",SUMIFS('Daily NSE Equity Futures'!$I:$I,'Daily NSE Equity Futures'!$A:$A,$A989))</f>
        <v>1725.7929999999999</v>
      </c>
      <c r="F989" s="6">
        <f>IF(SUMIFS('Daily BSE Equity Futures'!$I:$I,'Daily BSE Equity Futures'!$A:$A,$A989)=0,"",SUMIFS('Daily BSE Equity Futures'!$I:$I,'Daily BSE Equity Futures'!$A:$A,$A989))</f>
        <v>0.60150000000000003</v>
      </c>
      <c r="G989" s="6">
        <f t="shared" si="180"/>
        <v>1726.3944999999999</v>
      </c>
      <c r="H989" s="15">
        <f t="shared" si="181"/>
        <v>0.9996515860077172</v>
      </c>
      <c r="I989" s="15">
        <f t="shared" si="182"/>
        <v>3.4841399228276046E-4</v>
      </c>
      <c r="J989" s="20">
        <f t="shared" si="183"/>
        <v>1.0727290895580412</v>
      </c>
      <c r="K989" s="15">
        <f t="shared" si="184"/>
        <v>333.16666666666669</v>
      </c>
      <c r="L989" s="15">
        <f t="shared" si="185"/>
        <v>1.0734470265865421</v>
      </c>
      <c r="M989" s="15">
        <f t="shared" si="189"/>
        <v>0.13822956504258443</v>
      </c>
      <c r="N989" s="15">
        <f t="shared" si="190"/>
        <v>0.12809452363090768</v>
      </c>
      <c r="O989" s="15">
        <f t="shared" si="191"/>
        <v>0.13822600213853176</v>
      </c>
      <c r="P989" s="18">
        <f>IF(SUMIFS('Daily NSE Equity Futures'!$J:$J,'Daily NSE Equity Futures'!$A:$A,$A989)=0,"",SUMIFS('Daily NSE Equity Futures'!$J:$J,'Daily NSE Equity Futures'!$A:$A,$A989))</f>
        <v>2016317</v>
      </c>
      <c r="Q989" s="7">
        <f>IF(SUMIFS('Daily BSE Equity Futures'!$J:$J,'Daily BSE Equity Futures'!$A:$A,$A989)=0,"",SUMIFS('Daily BSE Equity Futures'!$J:$J,'Daily BSE Equity Futures'!$A:$A,$A989))</f>
        <v>810</v>
      </c>
      <c r="R989" s="7">
        <f t="shared" si="186"/>
        <v>2017127</v>
      </c>
      <c r="S989" s="19">
        <f t="shared" si="187"/>
        <v>0.99959843876959653</v>
      </c>
      <c r="T989" s="19">
        <f t="shared" si="188"/>
        <v>4.0156123040344013E-4</v>
      </c>
    </row>
    <row r="990" spans="1:20" x14ac:dyDescent="0.2">
      <c r="A990" s="9">
        <v>45373</v>
      </c>
      <c r="B990" s="4" t="s">
        <v>222</v>
      </c>
      <c r="C990" s="8">
        <v>45352</v>
      </c>
      <c r="D990" s="4" t="s">
        <v>188</v>
      </c>
      <c r="E990" s="14">
        <f>IF(SUMIFS('Daily NSE Equity Futures'!$I:$I,'Daily NSE Equity Futures'!$A:$A,$A990)=0,"",SUMIFS('Daily NSE Equity Futures'!$I:$I,'Daily NSE Equity Futures'!$A:$A,$A990))</f>
        <v>2568.9292</v>
      </c>
      <c r="F990" s="6">
        <f>IF(SUMIFS('Daily BSE Equity Futures'!$I:$I,'Daily BSE Equity Futures'!$A:$A,$A990)=0,"",SUMIFS('Daily BSE Equity Futures'!$I:$I,'Daily BSE Equity Futures'!$A:$A,$A990))</f>
        <v>2.2633999999999999</v>
      </c>
      <c r="G990" s="6">
        <f t="shared" si="180"/>
        <v>2571.1925999999999</v>
      </c>
      <c r="H990" s="15">
        <f t="shared" si="181"/>
        <v>0.99911970810743633</v>
      </c>
      <c r="I990" s="15">
        <f t="shared" si="182"/>
        <v>8.8029189256378542E-4</v>
      </c>
      <c r="J990" s="20">
        <f t="shared" si="183"/>
        <v>2.1571039869828859</v>
      </c>
      <c r="K990" s="15">
        <f t="shared" si="184"/>
        <v>2513.8888888888887</v>
      </c>
      <c r="L990" s="15">
        <f t="shared" si="185"/>
        <v>2.1598821136417903</v>
      </c>
      <c r="M990" s="15">
        <f t="shared" si="189"/>
        <v>0.48855001729639658</v>
      </c>
      <c r="N990" s="15">
        <f t="shared" si="190"/>
        <v>2.7629260182876139</v>
      </c>
      <c r="O990" s="15">
        <f t="shared" si="191"/>
        <v>0.48934244171885388</v>
      </c>
      <c r="P990" s="18">
        <f>IF(SUMIFS('Daily NSE Equity Futures'!$J:$J,'Daily NSE Equity Futures'!$A:$A,$A990)=0,"",SUMIFS('Daily NSE Equity Futures'!$J:$J,'Daily NSE Equity Futures'!$A:$A,$A990))</f>
        <v>3054730</v>
      </c>
      <c r="Q990" s="7">
        <f>IF(SUMIFS('Daily BSE Equity Futures'!$J:$J,'Daily BSE Equity Futures'!$A:$A,$A990)=0,"",SUMIFS('Daily BSE Equity Futures'!$J:$J,'Daily BSE Equity Futures'!$A:$A,$A990))</f>
        <v>3049</v>
      </c>
      <c r="R990" s="7">
        <f t="shared" si="186"/>
        <v>3057779</v>
      </c>
      <c r="S990" s="19">
        <f t="shared" si="187"/>
        <v>0.9990028710380966</v>
      </c>
      <c r="T990" s="19">
        <f t="shared" si="188"/>
        <v>9.9712896190339451E-4</v>
      </c>
    </row>
    <row r="991" spans="1:20" x14ac:dyDescent="0.2">
      <c r="A991" s="9">
        <v>45377</v>
      </c>
      <c r="B991" s="4" t="s">
        <v>223</v>
      </c>
      <c r="C991" s="8">
        <v>45352</v>
      </c>
      <c r="D991" s="4" t="s">
        <v>188</v>
      </c>
      <c r="E991" s="14">
        <f>IF(SUMIFS('Daily NSE Equity Futures'!$I:$I,'Daily NSE Equity Futures'!$A:$A,$A991)=0,"",SUMIFS('Daily NSE Equity Futures'!$I:$I,'Daily NSE Equity Futures'!$A:$A,$A991))</f>
        <v>3297.6752999999999</v>
      </c>
      <c r="F991" s="6">
        <f>IF(SUMIFS('Daily BSE Equity Futures'!$I:$I,'Daily BSE Equity Futures'!$A:$A,$A991)=0,"",SUMIFS('Daily BSE Equity Futures'!$I:$I,'Daily BSE Equity Futures'!$A:$A,$A991))</f>
        <v>0.3629</v>
      </c>
      <c r="G991" s="6">
        <f t="shared" si="180"/>
        <v>3298.0382</v>
      </c>
      <c r="H991" s="15">
        <f t="shared" si="181"/>
        <v>0.99988996488882387</v>
      </c>
      <c r="I991" s="15">
        <f t="shared" si="182"/>
        <v>1.100351111760925E-4</v>
      </c>
      <c r="J991" s="20" t="str">
        <f t="shared" si="183"/>
        <v/>
      </c>
      <c r="K991" s="15" t="str">
        <f t="shared" si="184"/>
        <v/>
      </c>
      <c r="L991" s="15" t="str">
        <f t="shared" si="185"/>
        <v/>
      </c>
      <c r="M991" s="15">
        <f t="shared" si="189"/>
        <v>0.28367698884033077</v>
      </c>
      <c r="N991" s="15">
        <f t="shared" si="190"/>
        <v>-0.83966598921975788</v>
      </c>
      <c r="O991" s="15">
        <f t="shared" si="191"/>
        <v>0.28268811912417613</v>
      </c>
      <c r="P991" s="18">
        <f>IF(SUMIFS('Daily NSE Equity Futures'!$J:$J,'Daily NSE Equity Futures'!$A:$A,$A991)=0,"",SUMIFS('Daily NSE Equity Futures'!$J:$J,'Daily NSE Equity Futures'!$A:$A,$A991))</f>
        <v>3903001</v>
      </c>
      <c r="Q991" s="7">
        <f>IF(SUMIFS('Daily BSE Equity Futures'!$J:$J,'Daily BSE Equity Futures'!$A:$A,$A991)=0,"",SUMIFS('Daily BSE Equity Futures'!$J:$J,'Daily BSE Equity Futures'!$A:$A,$A991))</f>
        <v>495</v>
      </c>
      <c r="R991" s="7">
        <f t="shared" si="186"/>
        <v>3903496</v>
      </c>
      <c r="S991" s="19">
        <f t="shared" si="187"/>
        <v>0.99987319059632696</v>
      </c>
      <c r="T991" s="19">
        <f t="shared" si="188"/>
        <v>1.2680940367301515E-4</v>
      </c>
    </row>
    <row r="992" spans="1:20" x14ac:dyDescent="0.2">
      <c r="A992" s="9">
        <v>45378</v>
      </c>
      <c r="B992" s="4" t="s">
        <v>221</v>
      </c>
      <c r="C992" s="8">
        <v>45352</v>
      </c>
      <c r="D992" s="4" t="s">
        <v>188</v>
      </c>
      <c r="E992" s="14">
        <f>IF(SUMIFS('Daily NSE Equity Futures'!$I:$I,'Daily NSE Equity Futures'!$A:$A,$A992)=0,"",SUMIFS('Daily NSE Equity Futures'!$I:$I,'Daily NSE Equity Futures'!$A:$A,$A992))</f>
        <v>3107.5816</v>
      </c>
      <c r="F992" s="6">
        <f>IF(SUMIFS('Daily BSE Equity Futures'!$I:$I,'Daily BSE Equity Futures'!$A:$A,$A992)=0,"",SUMIFS('Daily BSE Equity Futures'!$I:$I,'Daily BSE Equity Futures'!$A:$A,$A992))</f>
        <v>0.49170000000000003</v>
      </c>
      <c r="G992" s="6">
        <f t="shared" si="180"/>
        <v>3108.0733</v>
      </c>
      <c r="H992" s="15">
        <f t="shared" si="181"/>
        <v>0.99984179909785265</v>
      </c>
      <c r="I992" s="15">
        <f t="shared" si="182"/>
        <v>1.5820090214732066E-4</v>
      </c>
      <c r="J992" s="20">
        <f t="shared" si="183"/>
        <v>0.50853600218990458</v>
      </c>
      <c r="K992" s="15">
        <f t="shared" si="184"/>
        <v>272.16666666666669</v>
      </c>
      <c r="L992" s="15">
        <f t="shared" si="185"/>
        <v>0.50877337336051576</v>
      </c>
      <c r="M992" s="15">
        <f t="shared" si="189"/>
        <v>-5.7644759628093123E-2</v>
      </c>
      <c r="N992" s="15">
        <f t="shared" si="190"/>
        <v>0.35491871038853695</v>
      </c>
      <c r="O992" s="15">
        <f t="shared" si="191"/>
        <v>-5.7599363160802719E-2</v>
      </c>
      <c r="P992" s="18">
        <f>IF(SUMIFS('Daily NSE Equity Futures'!$J:$J,'Daily NSE Equity Futures'!$A:$A,$A992)=0,"",SUMIFS('Daily NSE Equity Futures'!$J:$J,'Daily NSE Equity Futures'!$A:$A,$A992))</f>
        <v>3750797</v>
      </c>
      <c r="Q992" s="7">
        <f>IF(SUMIFS('Daily BSE Equity Futures'!$J:$J,'Daily BSE Equity Futures'!$A:$A,$A992)=0,"",SUMIFS('Daily BSE Equity Futures'!$J:$J,'Daily BSE Equity Futures'!$A:$A,$A992))</f>
        <v>668</v>
      </c>
      <c r="R992" s="7">
        <f t="shared" si="186"/>
        <v>3751465</v>
      </c>
      <c r="S992" s="19">
        <f t="shared" si="187"/>
        <v>0.99982193623024607</v>
      </c>
      <c r="T992" s="19">
        <f t="shared" si="188"/>
        <v>1.7806376975394947E-4</v>
      </c>
    </row>
    <row r="993" spans="1:20" x14ac:dyDescent="0.2">
      <c r="A993" s="9">
        <v>45379</v>
      </c>
      <c r="B993" s="4" t="s">
        <v>224</v>
      </c>
      <c r="C993" s="8">
        <v>45352</v>
      </c>
      <c r="D993" s="4" t="s">
        <v>188</v>
      </c>
      <c r="E993" s="14">
        <f>IF(SUMIFS('Daily NSE Equity Futures'!$I:$I,'Daily NSE Equity Futures'!$A:$A,$A993)=0,"",SUMIFS('Daily NSE Equity Futures'!$I:$I,'Daily NSE Equity Futures'!$A:$A,$A993))</f>
        <v>3498.8957</v>
      </c>
      <c r="F993" s="6">
        <f>IF(SUMIFS('Daily BSE Equity Futures'!$I:$I,'Daily BSE Equity Futures'!$A:$A,$A993)=0,"",SUMIFS('Daily BSE Equity Futures'!$I:$I,'Daily BSE Equity Futures'!$A:$A,$A993))</f>
        <v>2.0253000000000001</v>
      </c>
      <c r="G993" s="6">
        <f t="shared" si="180"/>
        <v>3500.9209999999998</v>
      </c>
      <c r="H993" s="15">
        <f t="shared" si="181"/>
        <v>0.99942149508657874</v>
      </c>
      <c r="I993" s="15">
        <f t="shared" si="182"/>
        <v>5.7850491342135405E-4</v>
      </c>
      <c r="J993" s="20">
        <f t="shared" si="183"/>
        <v>0.96069850691636161</v>
      </c>
      <c r="K993" s="15">
        <f t="shared" si="184"/>
        <v>561.58333333333337</v>
      </c>
      <c r="L993" s="15">
        <f t="shared" si="185"/>
        <v>0.96182947949264741</v>
      </c>
      <c r="M993" s="15">
        <f t="shared" si="189"/>
        <v>0.12592238929462063</v>
      </c>
      <c r="N993" s="15">
        <f t="shared" si="190"/>
        <v>3.1189749847467967</v>
      </c>
      <c r="O993" s="15">
        <f t="shared" si="191"/>
        <v>0.12639589291539544</v>
      </c>
      <c r="P993" s="18">
        <f>IF(SUMIFS('Daily NSE Equity Futures'!$J:$J,'Daily NSE Equity Futures'!$A:$A,$A993)=0,"",SUMIFS('Daily NSE Equity Futures'!$J:$J,'Daily NSE Equity Futures'!$A:$A,$A993))</f>
        <v>4034301</v>
      </c>
      <c r="Q993" s="7">
        <f>IF(SUMIFS('Daily BSE Equity Futures'!$J:$J,'Daily BSE Equity Futures'!$A:$A,$A993)=0,"",SUMIFS('Daily BSE Equity Futures'!$J:$J,'Daily BSE Equity Futures'!$A:$A,$A993))</f>
        <v>2727</v>
      </c>
      <c r="R993" s="7">
        <f t="shared" si="186"/>
        <v>4037028</v>
      </c>
      <c r="S993" s="19">
        <f t="shared" si="187"/>
        <v>0.9993245030750344</v>
      </c>
      <c r="T993" s="19">
        <f t="shared" si="188"/>
        <v>6.7549692496559352E-4</v>
      </c>
    </row>
    <row r="994" spans="1:20" x14ac:dyDescent="0.2">
      <c r="A994" s="9">
        <v>45383</v>
      </c>
      <c r="B994" s="4" t="s">
        <v>225</v>
      </c>
      <c r="C994" s="8">
        <v>45383</v>
      </c>
      <c r="D994" s="4" t="s">
        <v>189</v>
      </c>
      <c r="E994" s="14">
        <f>IF(SUMIFS('Daily NSE Equity Futures'!$I:$I,'Daily NSE Equity Futures'!$A:$A,$A994)=0,"",SUMIFS('Daily NSE Equity Futures'!$I:$I,'Daily NSE Equity Futures'!$A:$A,$A994))</f>
        <v>1403.7618</v>
      </c>
      <c r="F994" s="6">
        <f>IF(SUMIFS('Daily BSE Equity Futures'!$I:$I,'Daily BSE Equity Futures'!$A:$A,$A994)=0,"",SUMIFS('Daily BSE Equity Futures'!$I:$I,'Daily BSE Equity Futures'!$A:$A,$A994))</f>
        <v>0.47549999999999998</v>
      </c>
      <c r="G994" s="6">
        <f t="shared" si="180"/>
        <v>1404.2373</v>
      </c>
      <c r="H994" s="15">
        <f t="shared" si="181"/>
        <v>0.99966138201855204</v>
      </c>
      <c r="I994" s="15">
        <f t="shared" si="182"/>
        <v>3.3861798144800738E-4</v>
      </c>
      <c r="J994" s="20" t="str">
        <f t="shared" si="183"/>
        <v/>
      </c>
      <c r="K994" s="15" t="str">
        <f t="shared" si="184"/>
        <v/>
      </c>
      <c r="L994" s="15" t="str">
        <f t="shared" si="185"/>
        <v/>
      </c>
      <c r="M994" s="15">
        <f t="shared" si="189"/>
        <v>-0.59879861523165723</v>
      </c>
      <c r="N994" s="15">
        <f t="shared" si="190"/>
        <v>-0.7652199674122353</v>
      </c>
      <c r="O994" s="15">
        <f t="shared" si="191"/>
        <v>-0.59889489080159186</v>
      </c>
      <c r="P994" s="18">
        <f>IF(SUMIFS('Daily NSE Equity Futures'!$J:$J,'Daily NSE Equity Futures'!$A:$A,$A994)=0,"",SUMIFS('Daily NSE Equity Futures'!$J:$J,'Daily NSE Equity Futures'!$A:$A,$A994))</f>
        <v>1572097</v>
      </c>
      <c r="Q994" s="7">
        <f>IF(SUMIFS('Daily BSE Equity Futures'!$J:$J,'Daily BSE Equity Futures'!$A:$A,$A994)=0,"",SUMIFS('Daily BSE Equity Futures'!$J:$J,'Daily BSE Equity Futures'!$A:$A,$A994))</f>
        <v>618</v>
      </c>
      <c r="R994" s="7">
        <f t="shared" si="186"/>
        <v>1572715</v>
      </c>
      <c r="S994" s="19">
        <f t="shared" si="187"/>
        <v>0.99960704895674046</v>
      </c>
      <c r="T994" s="19">
        <f t="shared" si="188"/>
        <v>3.9295104325958613E-4</v>
      </c>
    </row>
    <row r="995" spans="1:20" x14ac:dyDescent="0.2">
      <c r="A995" s="9">
        <v>45384</v>
      </c>
      <c r="B995" s="4" t="s">
        <v>223</v>
      </c>
      <c r="C995" s="8">
        <v>45383</v>
      </c>
      <c r="D995" s="4" t="s">
        <v>189</v>
      </c>
      <c r="E995" s="14">
        <f>IF(SUMIFS('Daily NSE Equity Futures'!$I:$I,'Daily NSE Equity Futures'!$A:$A,$A995)=0,"",SUMIFS('Daily NSE Equity Futures'!$I:$I,'Daily NSE Equity Futures'!$A:$A,$A995))</f>
        <v>1292.9933000000001</v>
      </c>
      <c r="F995" s="6">
        <f>IF(SUMIFS('Daily BSE Equity Futures'!$I:$I,'Daily BSE Equity Futures'!$A:$A,$A995)=0,"",SUMIFS('Daily BSE Equity Futures'!$I:$I,'Daily BSE Equity Futures'!$A:$A,$A995))</f>
        <v>0.29270000000000002</v>
      </c>
      <c r="G995" s="6">
        <f t="shared" si="180"/>
        <v>1293.2860000000001</v>
      </c>
      <c r="H995" s="15">
        <f t="shared" si="181"/>
        <v>0.99977367728406552</v>
      </c>
      <c r="I995" s="15">
        <f t="shared" si="182"/>
        <v>2.2632271593444914E-4</v>
      </c>
      <c r="J995" s="20" t="str">
        <f t="shared" si="183"/>
        <v/>
      </c>
      <c r="K995" s="15" t="str">
        <f t="shared" si="184"/>
        <v/>
      </c>
      <c r="L995" s="15" t="str">
        <f t="shared" si="185"/>
        <v/>
      </c>
      <c r="M995" s="15">
        <f t="shared" si="189"/>
        <v>-7.8908330458913989E-2</v>
      </c>
      <c r="N995" s="15">
        <f t="shared" si="190"/>
        <v>-0.38443743427970556</v>
      </c>
      <c r="O995" s="15">
        <f t="shared" si="191"/>
        <v>-7.9011788107323455E-2</v>
      </c>
      <c r="P995" s="18">
        <f>IF(SUMIFS('Daily NSE Equity Futures'!$J:$J,'Daily NSE Equity Futures'!$A:$A,$A995)=0,"",SUMIFS('Daily NSE Equity Futures'!$J:$J,'Daily NSE Equity Futures'!$A:$A,$A995))</f>
        <v>1453301</v>
      </c>
      <c r="Q995" s="7">
        <f>IF(SUMIFS('Daily BSE Equity Futures'!$J:$J,'Daily BSE Equity Futures'!$A:$A,$A995)=0,"",SUMIFS('Daily BSE Equity Futures'!$J:$J,'Daily BSE Equity Futures'!$A:$A,$A995))</f>
        <v>389</v>
      </c>
      <c r="R995" s="7">
        <f t="shared" si="186"/>
        <v>1453690</v>
      </c>
      <c r="S995" s="19">
        <f t="shared" si="187"/>
        <v>0.99973240512076167</v>
      </c>
      <c r="T995" s="19">
        <f t="shared" si="188"/>
        <v>2.6759487923835206E-4</v>
      </c>
    </row>
    <row r="996" spans="1:20" x14ac:dyDescent="0.2">
      <c r="A996" s="9">
        <v>45385</v>
      </c>
      <c r="B996" s="4" t="s">
        <v>221</v>
      </c>
      <c r="C996" s="8">
        <v>45383</v>
      </c>
      <c r="D996" s="4" t="s">
        <v>189</v>
      </c>
      <c r="E996" s="14">
        <f>IF(SUMIFS('Daily NSE Equity Futures'!$I:$I,'Daily NSE Equity Futures'!$A:$A,$A996)=0,"",SUMIFS('Daily NSE Equity Futures'!$I:$I,'Daily NSE Equity Futures'!$A:$A,$A996))</f>
        <v>1337.0728999999999</v>
      </c>
      <c r="F996" s="6">
        <f>IF(SUMIFS('Daily BSE Equity Futures'!$I:$I,'Daily BSE Equity Futures'!$A:$A,$A996)=0,"",SUMIFS('Daily BSE Equity Futures'!$I:$I,'Daily BSE Equity Futures'!$A:$A,$A996))</f>
        <v>0.54900000000000004</v>
      </c>
      <c r="G996" s="6">
        <f t="shared" si="180"/>
        <v>1337.6218999999999</v>
      </c>
      <c r="H996" s="15">
        <f t="shared" si="181"/>
        <v>0.99958957011693661</v>
      </c>
      <c r="I996" s="15">
        <f t="shared" si="182"/>
        <v>4.10429883063368E-4</v>
      </c>
      <c r="J996" s="20">
        <f t="shared" si="183"/>
        <v>0.91221030592266605</v>
      </c>
      <c r="K996" s="15" t="str">
        <f t="shared" si="184"/>
        <v/>
      </c>
      <c r="L996" s="15" t="str">
        <f t="shared" si="185"/>
        <v/>
      </c>
      <c r="M996" s="15">
        <f t="shared" si="189"/>
        <v>3.4091127927731613E-2</v>
      </c>
      <c r="N996" s="15">
        <f t="shared" si="190"/>
        <v>0.87564058763238806</v>
      </c>
      <c r="O996" s="15">
        <f t="shared" si="191"/>
        <v>3.42815896870452E-2</v>
      </c>
      <c r="P996" s="18">
        <f>IF(SUMIFS('Daily NSE Equity Futures'!$J:$J,'Daily NSE Equity Futures'!$A:$A,$A996)=0,"",SUMIFS('Daily NSE Equity Futures'!$J:$J,'Daily NSE Equity Futures'!$A:$A,$A996))</f>
        <v>1495173</v>
      </c>
      <c r="Q996" s="7">
        <f>IF(SUMIFS('Daily BSE Equity Futures'!$J:$J,'Daily BSE Equity Futures'!$A:$A,$A996)=0,"",SUMIFS('Daily BSE Equity Futures'!$J:$J,'Daily BSE Equity Futures'!$A:$A,$A996))</f>
        <v>729</v>
      </c>
      <c r="R996" s="7">
        <f t="shared" si="186"/>
        <v>1495902</v>
      </c>
      <c r="S996" s="19">
        <f t="shared" si="187"/>
        <v>0.99951266861064425</v>
      </c>
      <c r="T996" s="19">
        <f t="shared" si="188"/>
        <v>4.8733138935571984E-4</v>
      </c>
    </row>
    <row r="997" spans="1:20" x14ac:dyDescent="0.2">
      <c r="A997" s="9">
        <v>45386</v>
      </c>
      <c r="B997" s="4" t="s">
        <v>224</v>
      </c>
      <c r="C997" s="8">
        <v>45383</v>
      </c>
      <c r="D997" s="4" t="s">
        <v>189</v>
      </c>
      <c r="E997" s="14">
        <f>IF(SUMIFS('Daily NSE Equity Futures'!$I:$I,'Daily NSE Equity Futures'!$A:$A,$A997)=0,"",SUMIFS('Daily NSE Equity Futures'!$I:$I,'Daily NSE Equity Futures'!$A:$A,$A997))</f>
        <v>1630.2968000000001</v>
      </c>
      <c r="F997" s="6">
        <f>IF(SUMIFS('Daily BSE Equity Futures'!$I:$I,'Daily BSE Equity Futures'!$A:$A,$A997)=0,"",SUMIFS('Daily BSE Equity Futures'!$I:$I,'Daily BSE Equity Futures'!$A:$A,$A997))</f>
        <v>2.8525999999999998</v>
      </c>
      <c r="G997" s="6">
        <f t="shared" si="180"/>
        <v>1633.1494</v>
      </c>
      <c r="H997" s="15">
        <f t="shared" si="181"/>
        <v>0.99825331350579438</v>
      </c>
      <c r="I997" s="15">
        <f t="shared" si="182"/>
        <v>1.7466864942056127E-3</v>
      </c>
      <c r="J997" s="20" t="str">
        <f t="shared" si="183"/>
        <v/>
      </c>
      <c r="K997" s="15" t="str">
        <f t="shared" si="184"/>
        <v/>
      </c>
      <c r="L997" s="15" t="str">
        <f t="shared" si="185"/>
        <v/>
      </c>
      <c r="M997" s="15">
        <f t="shared" si="189"/>
        <v>0.21930285177420039</v>
      </c>
      <c r="N997" s="15">
        <f t="shared" si="190"/>
        <v>4.1959927140255004</v>
      </c>
      <c r="O997" s="15">
        <f t="shared" si="191"/>
        <v>0.22093500412934342</v>
      </c>
      <c r="P997" s="18">
        <f>IF(SUMIFS('Daily NSE Equity Futures'!$J:$J,'Daily NSE Equity Futures'!$A:$A,$A997)=0,"",SUMIFS('Daily NSE Equity Futures'!$J:$J,'Daily NSE Equity Futures'!$A:$A,$A997))</f>
        <v>1850020</v>
      </c>
      <c r="Q997" s="7">
        <f>IF(SUMIFS('Daily BSE Equity Futures'!$J:$J,'Daily BSE Equity Futures'!$A:$A,$A997)=0,"",SUMIFS('Daily BSE Equity Futures'!$J:$J,'Daily BSE Equity Futures'!$A:$A,$A997))</f>
        <v>3641</v>
      </c>
      <c r="R997" s="7">
        <f t="shared" si="186"/>
        <v>1853661</v>
      </c>
      <c r="S997" s="19">
        <f t="shared" si="187"/>
        <v>0.99803577892613593</v>
      </c>
      <c r="T997" s="19">
        <f t="shared" si="188"/>
        <v>1.9642210738640992E-3</v>
      </c>
    </row>
    <row r="998" spans="1:20" x14ac:dyDescent="0.2">
      <c r="A998" s="9">
        <v>45387</v>
      </c>
      <c r="B998" s="4" t="s">
        <v>222</v>
      </c>
      <c r="C998" s="8">
        <v>45383</v>
      </c>
      <c r="D998" s="4" t="s">
        <v>189</v>
      </c>
      <c r="E998" s="14">
        <f>IF(SUMIFS('Daily NSE Equity Futures'!$I:$I,'Daily NSE Equity Futures'!$A:$A,$A998)=0,"",SUMIFS('Daily NSE Equity Futures'!$I:$I,'Daily NSE Equity Futures'!$A:$A,$A998))</f>
        <v>1179.4156</v>
      </c>
      <c r="F998" s="6">
        <f>IF(SUMIFS('Daily BSE Equity Futures'!$I:$I,'Daily BSE Equity Futures'!$A:$A,$A998)=0,"",SUMIFS('Daily BSE Equity Futures'!$I:$I,'Daily BSE Equity Futures'!$A:$A,$A998))</f>
        <v>3.1072000000000002</v>
      </c>
      <c r="G998" s="6">
        <f t="shared" si="180"/>
        <v>1182.5228</v>
      </c>
      <c r="H998" s="15">
        <f t="shared" si="181"/>
        <v>0.99737239738633376</v>
      </c>
      <c r="I998" s="15">
        <f t="shared" si="182"/>
        <v>2.6276026136663076E-3</v>
      </c>
      <c r="J998" s="20">
        <f t="shared" si="183"/>
        <v>0.5547766102679812</v>
      </c>
      <c r="K998" s="15" t="str">
        <f t="shared" si="184"/>
        <v/>
      </c>
      <c r="L998" s="15" t="str">
        <f t="shared" si="185"/>
        <v/>
      </c>
      <c r="M998" s="15">
        <f t="shared" si="189"/>
        <v>-0.27656387474967747</v>
      </c>
      <c r="N998" s="15">
        <f t="shared" si="190"/>
        <v>8.9251910537755164E-2</v>
      </c>
      <c r="O998" s="15">
        <f t="shared" si="191"/>
        <v>-0.27592490925814872</v>
      </c>
      <c r="P998" s="18">
        <f>IF(SUMIFS('Daily NSE Equity Futures'!$J:$J,'Daily NSE Equity Futures'!$A:$A,$A998)=0,"",SUMIFS('Daily NSE Equity Futures'!$J:$J,'Daily NSE Equity Futures'!$A:$A,$A998))</f>
        <v>1373192</v>
      </c>
      <c r="Q998" s="7">
        <f>IF(SUMIFS('Daily BSE Equity Futures'!$J:$J,'Daily BSE Equity Futures'!$A:$A,$A998)=0,"",SUMIFS('Daily BSE Equity Futures'!$J:$J,'Daily BSE Equity Futures'!$A:$A,$A998))</f>
        <v>4036</v>
      </c>
      <c r="R998" s="7">
        <f t="shared" si="186"/>
        <v>1377228</v>
      </c>
      <c r="S998" s="19">
        <f t="shared" si="187"/>
        <v>0.99706947578759653</v>
      </c>
      <c r="T998" s="19">
        <f t="shared" si="188"/>
        <v>2.9305242124034654E-3</v>
      </c>
    </row>
    <row r="999" spans="1:20" x14ac:dyDescent="0.2">
      <c r="A999" s="9">
        <v>45390</v>
      </c>
      <c r="B999" s="4" t="s">
        <v>225</v>
      </c>
      <c r="C999" s="8">
        <v>45383</v>
      </c>
      <c r="D999" s="4" t="s">
        <v>189</v>
      </c>
      <c r="E999" s="14">
        <f>IF(SUMIFS('Daily NSE Equity Futures'!$I:$I,'Daily NSE Equity Futures'!$A:$A,$A999)=0,"",SUMIFS('Daily NSE Equity Futures'!$I:$I,'Daily NSE Equity Futures'!$A:$A,$A999))</f>
        <v>1256.2881</v>
      </c>
      <c r="F999" s="6">
        <f>IF(SUMIFS('Daily BSE Equity Futures'!$I:$I,'Daily BSE Equity Futures'!$A:$A,$A999)=0,"",SUMIFS('Daily BSE Equity Futures'!$I:$I,'Daily BSE Equity Futures'!$A:$A,$A999))</f>
        <v>0.74370000000000003</v>
      </c>
      <c r="G999" s="6">
        <f t="shared" si="180"/>
        <v>1257.0318</v>
      </c>
      <c r="H999" s="15">
        <f t="shared" si="181"/>
        <v>0.99940836818925349</v>
      </c>
      <c r="I999" s="15">
        <f t="shared" si="182"/>
        <v>5.9163181074655389E-4</v>
      </c>
      <c r="J999" s="20" t="str">
        <f t="shared" si="183"/>
        <v/>
      </c>
      <c r="K999" s="15" t="str">
        <f t="shared" si="184"/>
        <v/>
      </c>
      <c r="L999" s="15" t="str">
        <f t="shared" si="185"/>
        <v/>
      </c>
      <c r="M999" s="15">
        <f t="shared" si="189"/>
        <v>6.5178466352318942E-2</v>
      </c>
      <c r="N999" s="15">
        <f t="shared" si="190"/>
        <v>-0.76065267765190525</v>
      </c>
      <c r="O999" s="15">
        <f t="shared" si="191"/>
        <v>6.3008510279886298E-2</v>
      </c>
      <c r="P999" s="18">
        <f>IF(SUMIFS('Daily NSE Equity Futures'!$J:$J,'Daily NSE Equity Futures'!$A:$A,$A999)=0,"",SUMIFS('Daily NSE Equity Futures'!$J:$J,'Daily NSE Equity Futures'!$A:$A,$A999))</f>
        <v>1409168</v>
      </c>
      <c r="Q999" s="7">
        <f>IF(SUMIFS('Daily BSE Equity Futures'!$J:$J,'Daily BSE Equity Futures'!$A:$A,$A999)=0,"",SUMIFS('Daily BSE Equity Futures'!$J:$J,'Daily BSE Equity Futures'!$A:$A,$A999))</f>
        <v>938</v>
      </c>
      <c r="R999" s="7">
        <f t="shared" si="186"/>
        <v>1410106</v>
      </c>
      <c r="S999" s="19">
        <f t="shared" si="187"/>
        <v>0.99933480178085898</v>
      </c>
      <c r="T999" s="19">
        <f t="shared" si="188"/>
        <v>6.6519821914097239E-4</v>
      </c>
    </row>
    <row r="1000" spans="1:20" x14ac:dyDescent="0.2">
      <c r="A1000" s="9">
        <v>45391</v>
      </c>
      <c r="B1000" s="4" t="s">
        <v>223</v>
      </c>
      <c r="C1000" s="8">
        <v>45383</v>
      </c>
      <c r="D1000" s="4" t="s">
        <v>189</v>
      </c>
      <c r="E1000" s="14">
        <f>IF(SUMIFS('Daily NSE Equity Futures'!$I:$I,'Daily NSE Equity Futures'!$A:$A,$A1000)=0,"",SUMIFS('Daily NSE Equity Futures'!$I:$I,'Daily NSE Equity Futures'!$A:$A,$A1000))</f>
        <v>1347.3811000000001</v>
      </c>
      <c r="F1000" s="6">
        <f>IF(SUMIFS('Daily BSE Equity Futures'!$I:$I,'Daily BSE Equity Futures'!$A:$A,$A1000)=0,"",SUMIFS('Daily BSE Equity Futures'!$I:$I,'Daily BSE Equity Futures'!$A:$A,$A1000))</f>
        <v>0.3861</v>
      </c>
      <c r="G1000" s="6">
        <f t="shared" si="180"/>
        <v>1347.7672</v>
      </c>
      <c r="H1000" s="15">
        <f t="shared" si="181"/>
        <v>0.99971352619354448</v>
      </c>
      <c r="I1000" s="15">
        <f t="shared" si="182"/>
        <v>2.8647380645559559E-4</v>
      </c>
      <c r="J1000" s="20" t="str">
        <f t="shared" si="183"/>
        <v/>
      </c>
      <c r="K1000" s="15" t="str">
        <f t="shared" si="184"/>
        <v/>
      </c>
      <c r="L1000" s="15" t="str">
        <f t="shared" si="185"/>
        <v/>
      </c>
      <c r="M1000" s="15">
        <f t="shared" si="189"/>
        <v>7.2509641697632965E-2</v>
      </c>
      <c r="N1000" s="15">
        <f t="shared" si="190"/>
        <v>-0.48083904800322708</v>
      </c>
      <c r="O1000" s="15">
        <f t="shared" si="191"/>
        <v>7.2182263010371006E-2</v>
      </c>
      <c r="P1000" s="18">
        <f>IF(SUMIFS('Daily NSE Equity Futures'!$J:$J,'Daily NSE Equity Futures'!$A:$A,$A1000)=0,"",SUMIFS('Daily NSE Equity Futures'!$J:$J,'Daily NSE Equity Futures'!$A:$A,$A1000))</f>
        <v>1483056</v>
      </c>
      <c r="Q1000" s="7">
        <f>IF(SUMIFS('Daily BSE Equity Futures'!$J:$J,'Daily BSE Equity Futures'!$A:$A,$A1000)=0,"",SUMIFS('Daily BSE Equity Futures'!$J:$J,'Daily BSE Equity Futures'!$A:$A,$A1000))</f>
        <v>512</v>
      </c>
      <c r="R1000" s="7">
        <f t="shared" si="186"/>
        <v>1483568</v>
      </c>
      <c r="S1000" s="19">
        <f t="shared" si="187"/>
        <v>0.99965488605847519</v>
      </c>
      <c r="T1000" s="19">
        <f t="shared" si="188"/>
        <v>3.4511394152475652E-4</v>
      </c>
    </row>
    <row r="1001" spans="1:20" x14ac:dyDescent="0.2">
      <c r="A1001" s="9">
        <v>45392</v>
      </c>
      <c r="B1001" s="4" t="s">
        <v>221</v>
      </c>
      <c r="C1001" s="8">
        <v>45383</v>
      </c>
      <c r="D1001" s="4" t="s">
        <v>189</v>
      </c>
      <c r="E1001" s="14">
        <f>IF(SUMIFS('Daily NSE Equity Futures'!$I:$I,'Daily NSE Equity Futures'!$A:$A,$A1001)=0,"",SUMIFS('Daily NSE Equity Futures'!$I:$I,'Daily NSE Equity Futures'!$A:$A,$A1001))</f>
        <v>1413.6315999999999</v>
      </c>
      <c r="F1001" s="6">
        <f>IF(SUMIFS('Daily BSE Equity Futures'!$I:$I,'Daily BSE Equity Futures'!$A:$A,$A1001)=0,"",SUMIFS('Daily BSE Equity Futures'!$I:$I,'Daily BSE Equity Futures'!$A:$A,$A1001))</f>
        <v>0.34279999999999999</v>
      </c>
      <c r="G1001" s="6">
        <f t="shared" si="180"/>
        <v>1413.9743999999998</v>
      </c>
      <c r="H1001" s="15">
        <f t="shared" si="181"/>
        <v>0.999757562796045</v>
      </c>
      <c r="I1001" s="15">
        <f t="shared" si="182"/>
        <v>2.4243720395503626E-4</v>
      </c>
      <c r="J1001" s="20">
        <f t="shared" si="183"/>
        <v>1.1185837877710871</v>
      </c>
      <c r="K1001" s="15" t="str">
        <f t="shared" si="184"/>
        <v/>
      </c>
      <c r="L1001" s="15" t="str">
        <f t="shared" si="185"/>
        <v/>
      </c>
      <c r="M1001" s="15">
        <f t="shared" si="189"/>
        <v>4.9169830272964177E-2</v>
      </c>
      <c r="N1001" s="15">
        <f t="shared" si="190"/>
        <v>-0.11214711214711215</v>
      </c>
      <c r="O1001" s="15">
        <f t="shared" si="191"/>
        <v>4.9123617194423375E-2</v>
      </c>
      <c r="P1001" s="18">
        <f>IF(SUMIFS('Daily NSE Equity Futures'!$J:$J,'Daily NSE Equity Futures'!$A:$A,$A1001)=0,"",SUMIFS('Daily NSE Equity Futures'!$J:$J,'Daily NSE Equity Futures'!$A:$A,$A1001))</f>
        <v>1599878</v>
      </c>
      <c r="Q1001" s="7">
        <f>IF(SUMIFS('Daily BSE Equity Futures'!$J:$J,'Daily BSE Equity Futures'!$A:$A,$A1001)=0,"",SUMIFS('Daily BSE Equity Futures'!$J:$J,'Daily BSE Equity Futures'!$A:$A,$A1001))</f>
        <v>450</v>
      </c>
      <c r="R1001" s="7">
        <f t="shared" si="186"/>
        <v>1600328</v>
      </c>
      <c r="S1001" s="19">
        <f t="shared" si="187"/>
        <v>0.99971880764443288</v>
      </c>
      <c r="T1001" s="19">
        <f t="shared" si="188"/>
        <v>2.8119235556710873E-4</v>
      </c>
    </row>
    <row r="1002" spans="1:20" x14ac:dyDescent="0.2">
      <c r="A1002" s="9">
        <v>45394</v>
      </c>
      <c r="B1002" s="4" t="s">
        <v>222</v>
      </c>
      <c r="C1002" s="8">
        <v>45383</v>
      </c>
      <c r="D1002" s="4" t="s">
        <v>189</v>
      </c>
      <c r="E1002" s="14">
        <f>IF(SUMIFS('Daily NSE Equity Futures'!$I:$I,'Daily NSE Equity Futures'!$A:$A,$A1002)=0,"",SUMIFS('Daily NSE Equity Futures'!$I:$I,'Daily NSE Equity Futures'!$A:$A,$A1002))</f>
        <v>1531.9667999999999</v>
      </c>
      <c r="F1002" s="6">
        <f>IF(SUMIFS('Daily BSE Equity Futures'!$I:$I,'Daily BSE Equity Futures'!$A:$A,$A1002)=0,"",SUMIFS('Daily BSE Equity Futures'!$I:$I,'Daily BSE Equity Futures'!$A:$A,$A1002))</f>
        <v>4.5716000000000001</v>
      </c>
      <c r="G1002" s="6">
        <f t="shared" si="180"/>
        <v>1536.5383999999999</v>
      </c>
      <c r="H1002" s="15">
        <f t="shared" si="181"/>
        <v>0.99702474080699843</v>
      </c>
      <c r="I1002" s="15">
        <f t="shared" si="182"/>
        <v>2.97525919300162E-3</v>
      </c>
      <c r="J1002" s="20">
        <f t="shared" si="183"/>
        <v>1.3482913434311028</v>
      </c>
      <c r="K1002" s="15" t="str">
        <f t="shared" si="184"/>
        <v/>
      </c>
      <c r="L1002" s="15" t="str">
        <f t="shared" si="185"/>
        <v/>
      </c>
      <c r="M1002" s="15">
        <f t="shared" si="189"/>
        <v>8.3710069865444492E-2</v>
      </c>
      <c r="N1002" s="15">
        <f t="shared" si="190"/>
        <v>12.336056009334889</v>
      </c>
      <c r="O1002" s="15">
        <f t="shared" si="191"/>
        <v>8.6680494356899285E-2</v>
      </c>
      <c r="P1002" s="18">
        <f>IF(SUMIFS('Daily NSE Equity Futures'!$J:$J,'Daily NSE Equity Futures'!$A:$A,$A1002)=0,"",SUMIFS('Daily NSE Equity Futures'!$J:$J,'Daily NSE Equity Futures'!$A:$A,$A1002))</f>
        <v>1715403</v>
      </c>
      <c r="Q1002" s="7">
        <f>IF(SUMIFS('Daily BSE Equity Futures'!$J:$J,'Daily BSE Equity Futures'!$A:$A,$A1002)=0,"",SUMIFS('Daily BSE Equity Futures'!$J:$J,'Daily BSE Equity Futures'!$A:$A,$A1002))</f>
        <v>6142</v>
      </c>
      <c r="R1002" s="7">
        <f t="shared" si="186"/>
        <v>1721545</v>
      </c>
      <c r="S1002" s="19">
        <f t="shared" si="187"/>
        <v>0.99643227449761695</v>
      </c>
      <c r="T1002" s="19">
        <f t="shared" si="188"/>
        <v>3.5677255023830339E-3</v>
      </c>
    </row>
    <row r="1003" spans="1:20" x14ac:dyDescent="0.2">
      <c r="A1003" s="9">
        <v>45397</v>
      </c>
      <c r="B1003" s="4" t="s">
        <v>225</v>
      </c>
      <c r="C1003" s="8">
        <v>45383</v>
      </c>
      <c r="D1003" s="4" t="s">
        <v>189</v>
      </c>
      <c r="E1003" s="14">
        <f>IF(SUMIFS('Daily NSE Equity Futures'!$I:$I,'Daily NSE Equity Futures'!$A:$A,$A1003)=0,"",SUMIFS('Daily NSE Equity Futures'!$I:$I,'Daily NSE Equity Futures'!$A:$A,$A1003))</f>
        <v>1707.9602</v>
      </c>
      <c r="F1003" s="6">
        <f>IF(SUMIFS('Daily BSE Equity Futures'!$I:$I,'Daily BSE Equity Futures'!$A:$A,$A1003)=0,"",SUMIFS('Daily BSE Equity Futures'!$I:$I,'Daily BSE Equity Futures'!$A:$A,$A1003))</f>
        <v>0.76659999999999995</v>
      </c>
      <c r="G1003" s="6">
        <f t="shared" si="180"/>
        <v>1708.7267999999999</v>
      </c>
      <c r="H1003" s="15">
        <f t="shared" si="181"/>
        <v>0.99955136186779536</v>
      </c>
      <c r="I1003" s="15">
        <f t="shared" si="182"/>
        <v>4.4863813220463326E-4</v>
      </c>
      <c r="J1003" s="20" t="str">
        <f t="shared" si="183"/>
        <v/>
      </c>
      <c r="K1003" s="15" t="str">
        <f t="shared" si="184"/>
        <v/>
      </c>
      <c r="L1003" s="15" t="str">
        <f t="shared" si="185"/>
        <v/>
      </c>
      <c r="M1003" s="15">
        <f t="shared" si="189"/>
        <v>0.11488068801491003</v>
      </c>
      <c r="N1003" s="15">
        <f t="shared" si="190"/>
        <v>-0.83231253827981455</v>
      </c>
      <c r="O1003" s="15">
        <f t="shared" si="191"/>
        <v>0.11206254266082771</v>
      </c>
      <c r="P1003" s="18">
        <f>IF(SUMIFS('Daily NSE Equity Futures'!$J:$J,'Daily NSE Equity Futures'!$A:$A,$A1003)=0,"",SUMIFS('Daily NSE Equity Futures'!$J:$J,'Daily NSE Equity Futures'!$A:$A,$A1003))</f>
        <v>1899687</v>
      </c>
      <c r="Q1003" s="7">
        <f>IF(SUMIFS('Daily BSE Equity Futures'!$J:$J,'Daily BSE Equity Futures'!$A:$A,$A1003)=0,"",SUMIFS('Daily BSE Equity Futures'!$J:$J,'Daily BSE Equity Futures'!$A:$A,$A1003))</f>
        <v>1002</v>
      </c>
      <c r="R1003" s="7">
        <f t="shared" si="186"/>
        <v>1900689</v>
      </c>
      <c r="S1003" s="19">
        <f t="shared" si="187"/>
        <v>0.99947282275006588</v>
      </c>
      <c r="T1003" s="19">
        <f t="shared" si="188"/>
        <v>5.271772499341028E-4</v>
      </c>
    </row>
    <row r="1004" spans="1:20" x14ac:dyDescent="0.2">
      <c r="A1004" s="9">
        <v>45398</v>
      </c>
      <c r="B1004" s="4" t="s">
        <v>223</v>
      </c>
      <c r="C1004" s="8">
        <v>45383</v>
      </c>
      <c r="D1004" s="4" t="s">
        <v>189</v>
      </c>
      <c r="E1004" s="14">
        <f>IF(SUMIFS('Daily NSE Equity Futures'!$I:$I,'Daily NSE Equity Futures'!$A:$A,$A1004)=0,"",SUMIFS('Daily NSE Equity Futures'!$I:$I,'Daily NSE Equity Futures'!$A:$A,$A1004))</f>
        <v>1465.3018999999999</v>
      </c>
      <c r="F1004" s="6">
        <f>IF(SUMIFS('Daily BSE Equity Futures'!$I:$I,'Daily BSE Equity Futures'!$A:$A,$A1004)=0,"",SUMIFS('Daily BSE Equity Futures'!$I:$I,'Daily BSE Equity Futures'!$A:$A,$A1004))</f>
        <v>0.83779999999999999</v>
      </c>
      <c r="G1004" s="6">
        <f t="shared" si="180"/>
        <v>1466.1396999999999</v>
      </c>
      <c r="H1004" s="15">
        <f t="shared" si="181"/>
        <v>0.99942856741414199</v>
      </c>
      <c r="I1004" s="15">
        <f t="shared" si="182"/>
        <v>5.7143258585795067E-4</v>
      </c>
      <c r="J1004" s="20" t="str">
        <f t="shared" si="183"/>
        <v/>
      </c>
      <c r="K1004" s="15" t="str">
        <f t="shared" si="184"/>
        <v/>
      </c>
      <c r="L1004" s="15" t="str">
        <f t="shared" si="185"/>
        <v/>
      </c>
      <c r="M1004" s="15">
        <f t="shared" si="189"/>
        <v>-0.14207491486042823</v>
      </c>
      <c r="N1004" s="15">
        <f t="shared" si="190"/>
        <v>9.2877641534046429E-2</v>
      </c>
      <c r="O1004" s="15">
        <f t="shared" si="191"/>
        <v>-0.14196950618437076</v>
      </c>
      <c r="P1004" s="18">
        <f>IF(SUMIFS('Daily NSE Equity Futures'!$J:$J,'Daily NSE Equity Futures'!$A:$A,$A1004)=0,"",SUMIFS('Daily NSE Equity Futures'!$J:$J,'Daily NSE Equity Futures'!$A:$A,$A1004))</f>
        <v>1645795</v>
      </c>
      <c r="Q1004" s="7">
        <f>IF(SUMIFS('Daily BSE Equity Futures'!$J:$J,'Daily BSE Equity Futures'!$A:$A,$A1004)=0,"",SUMIFS('Daily BSE Equity Futures'!$J:$J,'Daily BSE Equity Futures'!$A:$A,$A1004))</f>
        <v>1108</v>
      </c>
      <c r="R1004" s="7">
        <f t="shared" si="186"/>
        <v>1646903</v>
      </c>
      <c r="S1004" s="19">
        <f t="shared" si="187"/>
        <v>0.99932722206468749</v>
      </c>
      <c r="T1004" s="19">
        <f t="shared" si="188"/>
        <v>6.7277793531252291E-4</v>
      </c>
    </row>
    <row r="1005" spans="1:20" x14ac:dyDescent="0.2">
      <c r="A1005" s="9">
        <v>45400</v>
      </c>
      <c r="B1005" s="4" t="s">
        <v>224</v>
      </c>
      <c r="C1005" s="8">
        <v>45383</v>
      </c>
      <c r="D1005" s="4" t="s">
        <v>189</v>
      </c>
      <c r="E1005" s="14">
        <f>IF(SUMIFS('Daily NSE Equity Futures'!$I:$I,'Daily NSE Equity Futures'!$A:$A,$A1005)=0,"",SUMIFS('Daily NSE Equity Futures'!$I:$I,'Daily NSE Equity Futures'!$A:$A,$A1005))</f>
        <v>2247.3013999999998</v>
      </c>
      <c r="F1005" s="6">
        <f>IF(SUMIFS('Daily BSE Equity Futures'!$I:$I,'Daily BSE Equity Futures'!$A:$A,$A1005)=0,"",SUMIFS('Daily BSE Equity Futures'!$I:$I,'Daily BSE Equity Futures'!$A:$A,$A1005))</f>
        <v>1.9779</v>
      </c>
      <c r="G1005" s="6">
        <f t="shared" si="180"/>
        <v>2249.2792999999997</v>
      </c>
      <c r="H1005" s="15">
        <f t="shared" si="181"/>
        <v>0.99912065166829223</v>
      </c>
      <c r="I1005" s="15">
        <f t="shared" si="182"/>
        <v>8.7934833170784984E-4</v>
      </c>
      <c r="J1005" s="20">
        <f t="shared" si="183"/>
        <v>1.7614672766393014</v>
      </c>
      <c r="K1005" s="15" t="str">
        <f t="shared" si="184"/>
        <v/>
      </c>
      <c r="L1005" s="15" t="str">
        <f t="shared" si="185"/>
        <v/>
      </c>
      <c r="M1005" s="15">
        <f t="shared" si="189"/>
        <v>0.53367807685228552</v>
      </c>
      <c r="N1005" s="15">
        <f t="shared" si="190"/>
        <v>1.3608259727858676</v>
      </c>
      <c r="O1005" s="15">
        <f t="shared" si="191"/>
        <v>0.53415073611334574</v>
      </c>
      <c r="P1005" s="18">
        <f>IF(SUMIFS('Daily NSE Equity Futures'!$J:$J,'Daily NSE Equity Futures'!$A:$A,$A1005)=0,"",SUMIFS('Daily NSE Equity Futures'!$J:$J,'Daily NSE Equity Futures'!$A:$A,$A1005))</f>
        <v>2521373</v>
      </c>
      <c r="Q1005" s="7">
        <f>IF(SUMIFS('Daily BSE Equity Futures'!$J:$J,'Daily BSE Equity Futures'!$A:$A,$A1005)=0,"",SUMIFS('Daily BSE Equity Futures'!$J:$J,'Daily BSE Equity Futures'!$A:$A,$A1005))</f>
        <v>2627</v>
      </c>
      <c r="R1005" s="7">
        <f t="shared" si="186"/>
        <v>2524000</v>
      </c>
      <c r="S1005" s="19">
        <f t="shared" si="187"/>
        <v>0.99895919175911252</v>
      </c>
      <c r="T1005" s="19">
        <f t="shared" si="188"/>
        <v>1.0408082408874802E-3</v>
      </c>
    </row>
    <row r="1006" spans="1:20" x14ac:dyDescent="0.2">
      <c r="A1006" s="9">
        <v>45401</v>
      </c>
      <c r="B1006" s="4" t="s">
        <v>222</v>
      </c>
      <c r="C1006" s="8">
        <v>45383</v>
      </c>
      <c r="D1006" s="4" t="s">
        <v>189</v>
      </c>
      <c r="E1006" s="14">
        <f>IF(SUMIFS('Daily NSE Equity Futures'!$I:$I,'Daily NSE Equity Futures'!$A:$A,$A1006)=0,"",SUMIFS('Daily NSE Equity Futures'!$I:$I,'Daily NSE Equity Futures'!$A:$A,$A1006))</f>
        <v>2165.1188000000002</v>
      </c>
      <c r="F1006" s="6">
        <f>IF(SUMIFS('Daily BSE Equity Futures'!$I:$I,'Daily BSE Equity Futures'!$A:$A,$A1006)=0,"",SUMIFS('Daily BSE Equity Futures'!$I:$I,'Daily BSE Equity Futures'!$A:$A,$A1006))</f>
        <v>5.6413000000000002</v>
      </c>
      <c r="G1006" s="6">
        <f t="shared" si="180"/>
        <v>2170.7601</v>
      </c>
      <c r="H1006" s="15">
        <f t="shared" si="181"/>
        <v>0.99740123286769466</v>
      </c>
      <c r="I1006" s="15">
        <f t="shared" si="182"/>
        <v>2.5987671323054076E-3</v>
      </c>
      <c r="J1006" s="20">
        <f t="shared" si="183"/>
        <v>1.9224974603338296</v>
      </c>
      <c r="K1006" s="15" t="str">
        <f t="shared" si="184"/>
        <v/>
      </c>
      <c r="L1006" s="15" t="str">
        <f t="shared" si="185"/>
        <v/>
      </c>
      <c r="M1006" s="15">
        <f t="shared" si="189"/>
        <v>-3.6569460598386838E-2</v>
      </c>
      <c r="N1006" s="15">
        <f t="shared" si="190"/>
        <v>1.8521664391526369</v>
      </c>
      <c r="O1006" s="15">
        <f t="shared" si="191"/>
        <v>-3.4908603835904106E-2</v>
      </c>
      <c r="P1006" s="18">
        <f>IF(SUMIFS('Daily NSE Equity Futures'!$J:$J,'Daily NSE Equity Futures'!$A:$A,$A1006)=0,"",SUMIFS('Daily NSE Equity Futures'!$J:$J,'Daily NSE Equity Futures'!$A:$A,$A1006))</f>
        <v>2504852</v>
      </c>
      <c r="Q1006" s="7">
        <f>IF(SUMIFS('Daily BSE Equity Futures'!$J:$J,'Daily BSE Equity Futures'!$A:$A,$A1006)=0,"",SUMIFS('Daily BSE Equity Futures'!$J:$J,'Daily BSE Equity Futures'!$A:$A,$A1006))</f>
        <v>7700</v>
      </c>
      <c r="R1006" s="7">
        <f t="shared" si="186"/>
        <v>2512552</v>
      </c>
      <c r="S1006" s="19">
        <f t="shared" si="187"/>
        <v>0.99693538680990479</v>
      </c>
      <c r="T1006" s="19">
        <f t="shared" si="188"/>
        <v>3.06461319009517E-3</v>
      </c>
    </row>
    <row r="1007" spans="1:20" x14ac:dyDescent="0.2">
      <c r="A1007" s="9">
        <v>45404</v>
      </c>
      <c r="B1007" s="4" t="s">
        <v>225</v>
      </c>
      <c r="C1007" s="8">
        <v>45383</v>
      </c>
      <c r="D1007" s="4" t="s">
        <v>189</v>
      </c>
      <c r="E1007" s="14">
        <f>IF(SUMIFS('Daily NSE Equity Futures'!$I:$I,'Daily NSE Equity Futures'!$A:$A,$A1007)=0,"",SUMIFS('Daily NSE Equity Futures'!$I:$I,'Daily NSE Equity Futures'!$A:$A,$A1007))</f>
        <v>3092.4245000000001</v>
      </c>
      <c r="F1007" s="6">
        <f>IF(SUMIFS('Daily BSE Equity Futures'!$I:$I,'Daily BSE Equity Futures'!$A:$A,$A1007)=0,"",SUMIFS('Daily BSE Equity Futures'!$I:$I,'Daily BSE Equity Futures'!$A:$A,$A1007))</f>
        <v>0.99450000000000005</v>
      </c>
      <c r="G1007" s="6">
        <f t="shared" si="180"/>
        <v>3093.4189999999999</v>
      </c>
      <c r="H1007" s="15">
        <f t="shared" si="181"/>
        <v>0.99967851105847616</v>
      </c>
      <c r="I1007" s="15">
        <f t="shared" si="182"/>
        <v>3.2148894152392548E-4</v>
      </c>
      <c r="J1007" s="20" t="str">
        <f t="shared" si="183"/>
        <v/>
      </c>
      <c r="K1007" s="15" t="str">
        <f t="shared" si="184"/>
        <v/>
      </c>
      <c r="L1007" s="15" t="str">
        <f t="shared" si="185"/>
        <v/>
      </c>
      <c r="M1007" s="15">
        <f t="shared" si="189"/>
        <v>0.42829321882937776</v>
      </c>
      <c r="N1007" s="15">
        <f t="shared" si="190"/>
        <v>-0.82371084679063333</v>
      </c>
      <c r="O1007" s="15">
        <f t="shared" si="191"/>
        <v>0.42503955181413189</v>
      </c>
      <c r="P1007" s="18">
        <f>IF(SUMIFS('Daily NSE Equity Futures'!$J:$J,'Daily NSE Equity Futures'!$A:$A,$A1007)=0,"",SUMIFS('Daily NSE Equity Futures'!$J:$J,'Daily NSE Equity Futures'!$A:$A,$A1007))</f>
        <v>3558099</v>
      </c>
      <c r="Q1007" s="7">
        <f>IF(SUMIFS('Daily BSE Equity Futures'!$J:$J,'Daily BSE Equity Futures'!$A:$A,$A1007)=0,"",SUMIFS('Daily BSE Equity Futures'!$J:$J,'Daily BSE Equity Futures'!$A:$A,$A1007))</f>
        <v>1292</v>
      </c>
      <c r="R1007" s="7">
        <f t="shared" si="186"/>
        <v>3559391</v>
      </c>
      <c r="S1007" s="19">
        <f t="shared" si="187"/>
        <v>0.99963701655704584</v>
      </c>
      <c r="T1007" s="19">
        <f t="shared" si="188"/>
        <v>3.6298344295414579E-4</v>
      </c>
    </row>
    <row r="1008" spans="1:20" x14ac:dyDescent="0.2">
      <c r="A1008" s="9">
        <v>45405</v>
      </c>
      <c r="B1008" s="4" t="s">
        <v>223</v>
      </c>
      <c r="C1008" s="8">
        <v>45383</v>
      </c>
      <c r="D1008" s="4" t="s">
        <v>189</v>
      </c>
      <c r="E1008" s="14">
        <f>IF(SUMIFS('Daily NSE Equity Futures'!$I:$I,'Daily NSE Equity Futures'!$A:$A,$A1008)=0,"",SUMIFS('Daily NSE Equity Futures'!$I:$I,'Daily NSE Equity Futures'!$A:$A,$A1008))</f>
        <v>3173.6837</v>
      </c>
      <c r="F1008" s="6">
        <f>IF(SUMIFS('Daily BSE Equity Futures'!$I:$I,'Daily BSE Equity Futures'!$A:$A,$A1008)=0,"",SUMIFS('Daily BSE Equity Futures'!$I:$I,'Daily BSE Equity Futures'!$A:$A,$A1008))</f>
        <v>0.27889999999999998</v>
      </c>
      <c r="G1008" s="6">
        <f t="shared" si="180"/>
        <v>3173.9625999999998</v>
      </c>
      <c r="H1008" s="15">
        <f t="shared" si="181"/>
        <v>0.99991212876925528</v>
      </c>
      <c r="I1008" s="15">
        <f t="shared" si="182"/>
        <v>8.7871230744810913E-5</v>
      </c>
      <c r="J1008" s="20" t="str">
        <f t="shared" si="183"/>
        <v/>
      </c>
      <c r="K1008" s="15" t="str">
        <f t="shared" si="184"/>
        <v/>
      </c>
      <c r="L1008" s="15" t="str">
        <f t="shared" si="185"/>
        <v/>
      </c>
      <c r="M1008" s="15">
        <f t="shared" si="189"/>
        <v>2.6276858173902129E-2</v>
      </c>
      <c r="N1008" s="15">
        <f t="shared" si="190"/>
        <v>-0.71955756661639025</v>
      </c>
      <c r="O1008" s="15">
        <f t="shared" si="191"/>
        <v>2.6037080654124134E-2</v>
      </c>
      <c r="P1008" s="18">
        <f>IF(SUMIFS('Daily NSE Equity Futures'!$J:$J,'Daily NSE Equity Futures'!$A:$A,$A1008)=0,"",SUMIFS('Daily NSE Equity Futures'!$J:$J,'Daily NSE Equity Futures'!$A:$A,$A1008))</f>
        <v>3664202</v>
      </c>
      <c r="Q1008" s="7">
        <f>IF(SUMIFS('Daily BSE Equity Futures'!$J:$J,'Daily BSE Equity Futures'!$A:$A,$A1008)=0,"",SUMIFS('Daily BSE Equity Futures'!$J:$J,'Daily BSE Equity Futures'!$A:$A,$A1008))</f>
        <v>375</v>
      </c>
      <c r="R1008" s="7">
        <f t="shared" si="186"/>
        <v>3664577</v>
      </c>
      <c r="S1008" s="19">
        <f t="shared" si="187"/>
        <v>0.99989766895333354</v>
      </c>
      <c r="T1008" s="19">
        <f t="shared" si="188"/>
        <v>1.0233104666650476E-4</v>
      </c>
    </row>
    <row r="1009" spans="1:20" x14ac:dyDescent="0.2">
      <c r="A1009" s="9">
        <v>45406</v>
      </c>
      <c r="B1009" s="4" t="s">
        <v>221</v>
      </c>
      <c r="C1009" s="8">
        <v>45383</v>
      </c>
      <c r="D1009" s="4" t="s">
        <v>189</v>
      </c>
      <c r="E1009" s="14">
        <f>IF(SUMIFS('Daily NSE Equity Futures'!$I:$I,'Daily NSE Equity Futures'!$A:$A,$A1009)=0,"",SUMIFS('Daily NSE Equity Futures'!$I:$I,'Daily NSE Equity Futures'!$A:$A,$A1009))</f>
        <v>3230.5691000000002</v>
      </c>
      <c r="F1009" s="6">
        <f>IF(SUMIFS('Daily BSE Equity Futures'!$I:$I,'Daily BSE Equity Futures'!$A:$A,$A1009)=0,"",SUMIFS('Daily BSE Equity Futures'!$I:$I,'Daily BSE Equity Futures'!$A:$A,$A1009))</f>
        <v>0.38300000000000001</v>
      </c>
      <c r="G1009" s="6">
        <f t="shared" si="180"/>
        <v>3230.9521</v>
      </c>
      <c r="H1009" s="15">
        <f t="shared" si="181"/>
        <v>0.99988145909065018</v>
      </c>
      <c r="I1009" s="15">
        <f t="shared" si="182"/>
        <v>1.1854090934990958E-4</v>
      </c>
      <c r="J1009" s="20">
        <f t="shared" si="183"/>
        <v>0.79859571678922703</v>
      </c>
      <c r="K1009" s="15" t="str">
        <f t="shared" si="184"/>
        <v/>
      </c>
      <c r="L1009" s="15" t="str">
        <f t="shared" si="185"/>
        <v/>
      </c>
      <c r="M1009" s="15">
        <f t="shared" si="189"/>
        <v>1.7924092435550598E-2</v>
      </c>
      <c r="N1009" s="15">
        <f t="shared" si="190"/>
        <v>0.3732520616708499</v>
      </c>
      <c r="O1009" s="15">
        <f t="shared" si="191"/>
        <v>1.7955315541525296E-2</v>
      </c>
      <c r="P1009" s="18">
        <f>IF(SUMIFS('Daily NSE Equity Futures'!$J:$J,'Daily NSE Equity Futures'!$A:$A,$A1009)=0,"",SUMIFS('Daily NSE Equity Futures'!$J:$J,'Daily NSE Equity Futures'!$A:$A,$A1009))</f>
        <v>3696424</v>
      </c>
      <c r="Q1009" s="7">
        <f>IF(SUMIFS('Daily BSE Equity Futures'!$J:$J,'Daily BSE Equity Futures'!$A:$A,$A1009)=0,"",SUMIFS('Daily BSE Equity Futures'!$J:$J,'Daily BSE Equity Futures'!$A:$A,$A1009))</f>
        <v>514</v>
      </c>
      <c r="R1009" s="7">
        <f t="shared" si="186"/>
        <v>3696938</v>
      </c>
      <c r="S1009" s="19">
        <f t="shared" si="187"/>
        <v>0.99986096602106933</v>
      </c>
      <c r="T1009" s="19">
        <f t="shared" si="188"/>
        <v>1.3903397893067182E-4</v>
      </c>
    </row>
    <row r="1010" spans="1:20" x14ac:dyDescent="0.2">
      <c r="A1010" s="9">
        <v>45407</v>
      </c>
      <c r="B1010" s="4" t="s">
        <v>224</v>
      </c>
      <c r="C1010" s="8">
        <v>45383</v>
      </c>
      <c r="D1010" s="4" t="s">
        <v>189</v>
      </c>
      <c r="E1010" s="14">
        <f>IF(SUMIFS('Daily NSE Equity Futures'!$I:$I,'Daily NSE Equity Futures'!$A:$A,$A1010)=0,"",SUMIFS('Daily NSE Equity Futures'!$I:$I,'Daily NSE Equity Futures'!$A:$A,$A1010))</f>
        <v>4148.6423999999997</v>
      </c>
      <c r="F1010" s="6">
        <f>IF(SUMIFS('Daily BSE Equity Futures'!$I:$I,'Daily BSE Equity Futures'!$A:$A,$A1010)=0,"",SUMIFS('Daily BSE Equity Futures'!$I:$I,'Daily BSE Equity Futures'!$A:$A,$A1010))</f>
        <v>0.81230000000000002</v>
      </c>
      <c r="G1010" s="6">
        <f t="shared" si="180"/>
        <v>4149.4546999999993</v>
      </c>
      <c r="H1010" s="15">
        <f t="shared" si="181"/>
        <v>0.99980423933776175</v>
      </c>
      <c r="I1010" s="15">
        <f t="shared" si="182"/>
        <v>1.9576066223834186E-4</v>
      </c>
      <c r="J1010" s="20">
        <f t="shared" si="183"/>
        <v>1.1796066639823337</v>
      </c>
      <c r="K1010" s="15" t="str">
        <f t="shared" si="184"/>
        <v/>
      </c>
      <c r="L1010" s="15" t="str">
        <f t="shared" si="185"/>
        <v/>
      </c>
      <c r="M1010" s="15">
        <f t="shared" si="189"/>
        <v>0.28418314903092456</v>
      </c>
      <c r="N1010" s="15">
        <f t="shared" si="190"/>
        <v>1.1208877284595302</v>
      </c>
      <c r="O1010" s="15">
        <f t="shared" si="191"/>
        <v>0.28428233275262715</v>
      </c>
      <c r="P1010" s="18">
        <f>IF(SUMIFS('Daily NSE Equity Futures'!$J:$J,'Daily NSE Equity Futures'!$A:$A,$A1010)=0,"",SUMIFS('Daily NSE Equity Futures'!$J:$J,'Daily NSE Equity Futures'!$A:$A,$A1010))</f>
        <v>4723929</v>
      </c>
      <c r="Q1010" s="7">
        <f>IF(SUMIFS('Daily BSE Equity Futures'!$J:$J,'Daily BSE Equity Futures'!$A:$A,$A1010)=0,"",SUMIFS('Daily BSE Equity Futures'!$J:$J,'Daily BSE Equity Futures'!$A:$A,$A1010))</f>
        <v>1078</v>
      </c>
      <c r="R1010" s="7">
        <f t="shared" si="186"/>
        <v>4725007</v>
      </c>
      <c r="S1010" s="19">
        <f t="shared" si="187"/>
        <v>0.99977185218984865</v>
      </c>
      <c r="T1010" s="19">
        <f t="shared" si="188"/>
        <v>2.2814781015139237E-4</v>
      </c>
    </row>
    <row r="1011" spans="1:20" x14ac:dyDescent="0.2">
      <c r="A1011" s="9">
        <v>45408</v>
      </c>
      <c r="B1011" s="4" t="s">
        <v>222</v>
      </c>
      <c r="C1011" s="8">
        <v>45383</v>
      </c>
      <c r="D1011" s="4" t="s">
        <v>189</v>
      </c>
      <c r="E1011" s="14">
        <f>IF(SUMIFS('Daily NSE Equity Futures'!$I:$I,'Daily NSE Equity Futures'!$A:$A,$A1011)=0,"",SUMIFS('Daily NSE Equity Futures'!$I:$I,'Daily NSE Equity Futures'!$A:$A,$A1011))</f>
        <v>1574.2941000000001</v>
      </c>
      <c r="F1011" s="6">
        <f>IF(SUMIFS('Daily BSE Equity Futures'!$I:$I,'Daily BSE Equity Futures'!$A:$A,$A1011)=0,"",SUMIFS('Daily BSE Equity Futures'!$I:$I,'Daily BSE Equity Futures'!$A:$A,$A1011))</f>
        <v>2.5280999999999998</v>
      </c>
      <c r="G1011" s="6">
        <f t="shared" si="180"/>
        <v>1576.8222000000001</v>
      </c>
      <c r="H1011" s="15">
        <f t="shared" si="181"/>
        <v>0.9983967120706444</v>
      </c>
      <c r="I1011" s="15">
        <f t="shared" si="182"/>
        <v>1.6032879293556368E-3</v>
      </c>
      <c r="J1011" s="20">
        <f t="shared" si="183"/>
        <v>-0.10622039553316309</v>
      </c>
      <c r="K1011" s="15">
        <f t="shared" si="184"/>
        <v>1329.578947368421</v>
      </c>
      <c r="L1011" s="15">
        <f t="shared" si="185"/>
        <v>-0.10478607396481698</v>
      </c>
      <c r="M1011" s="15">
        <f t="shared" si="189"/>
        <v>-0.62052788642376111</v>
      </c>
      <c r="N1011" s="15">
        <f t="shared" si="190"/>
        <v>2.1122737904715003</v>
      </c>
      <c r="O1011" s="15">
        <f t="shared" si="191"/>
        <v>-0.61999291135772605</v>
      </c>
      <c r="P1011" s="18">
        <f>IF(SUMIFS('Daily NSE Equity Futures'!$J:$J,'Daily NSE Equity Futures'!$A:$A,$A1011)=0,"",SUMIFS('Daily NSE Equity Futures'!$J:$J,'Daily NSE Equity Futures'!$A:$A,$A1011))</f>
        <v>2144578</v>
      </c>
      <c r="Q1011" s="7">
        <f>IF(SUMIFS('Daily BSE Equity Futures'!$J:$J,'Daily BSE Equity Futures'!$A:$A,$A1011)=0,"",SUMIFS('Daily BSE Equity Futures'!$J:$J,'Daily BSE Equity Futures'!$A:$A,$A1011))</f>
        <v>3371</v>
      </c>
      <c r="R1011" s="7">
        <f t="shared" si="186"/>
        <v>2147949</v>
      </c>
      <c r="S1011" s="19">
        <f t="shared" si="187"/>
        <v>0.99843059588472538</v>
      </c>
      <c r="T1011" s="19">
        <f t="shared" si="188"/>
        <v>1.5694041152746177E-3</v>
      </c>
    </row>
    <row r="1012" spans="1:20" x14ac:dyDescent="0.2">
      <c r="A1012" s="9">
        <v>45411</v>
      </c>
      <c r="B1012" s="4" t="s">
        <v>225</v>
      </c>
      <c r="C1012" s="8">
        <v>45383</v>
      </c>
      <c r="D1012" s="4" t="s">
        <v>189</v>
      </c>
      <c r="E1012" s="14">
        <f>IF(SUMIFS('Daily NSE Equity Futures'!$I:$I,'Daily NSE Equity Futures'!$A:$A,$A1012)=0,"",SUMIFS('Daily NSE Equity Futures'!$I:$I,'Daily NSE Equity Futures'!$A:$A,$A1012))</f>
        <v>1557.0130999999999</v>
      </c>
      <c r="F1012" s="6">
        <f>IF(SUMIFS('Daily BSE Equity Futures'!$I:$I,'Daily BSE Equity Futures'!$A:$A,$A1012)=0,"",SUMIFS('Daily BSE Equity Futures'!$I:$I,'Daily BSE Equity Futures'!$A:$A,$A1012))</f>
        <v>5.2035</v>
      </c>
      <c r="G1012" s="6">
        <f t="shared" si="180"/>
        <v>1562.2166</v>
      </c>
      <c r="H1012" s="15">
        <f t="shared" si="181"/>
        <v>0.99666915586481408</v>
      </c>
      <c r="I1012" s="15">
        <f t="shared" si="182"/>
        <v>3.3308441351858637E-3</v>
      </c>
      <c r="J1012" s="20" t="str">
        <f t="shared" si="183"/>
        <v/>
      </c>
      <c r="K1012" s="15" t="str">
        <f t="shared" si="184"/>
        <v/>
      </c>
      <c r="L1012" s="15" t="str">
        <f t="shared" si="185"/>
        <v/>
      </c>
      <c r="M1012" s="15">
        <f t="shared" si="189"/>
        <v>-1.0976983271423157E-2</v>
      </c>
      <c r="N1012" s="15">
        <f t="shared" si="190"/>
        <v>1.0582651002729326</v>
      </c>
      <c r="O1012" s="15">
        <f t="shared" si="191"/>
        <v>-9.2626803453174089E-3</v>
      </c>
      <c r="P1012" s="18">
        <f>IF(SUMIFS('Daily NSE Equity Futures'!$J:$J,'Daily NSE Equity Futures'!$A:$A,$A1012)=0,"",SUMIFS('Daily NSE Equity Futures'!$J:$J,'Daily NSE Equity Futures'!$A:$A,$A1012))</f>
        <v>2132809</v>
      </c>
      <c r="Q1012" s="7">
        <f>IF(SUMIFS('Daily BSE Equity Futures'!$J:$J,'Daily BSE Equity Futures'!$A:$A,$A1012)=0,"",SUMIFS('Daily BSE Equity Futures'!$J:$J,'Daily BSE Equity Futures'!$A:$A,$A1012))</f>
        <v>6273</v>
      </c>
      <c r="R1012" s="7">
        <f t="shared" si="186"/>
        <v>2139082</v>
      </c>
      <c r="S1012" s="19">
        <f t="shared" si="187"/>
        <v>0.99706743360002092</v>
      </c>
      <c r="T1012" s="19">
        <f t="shared" si="188"/>
        <v>2.9325663999790566E-3</v>
      </c>
    </row>
    <row r="1013" spans="1:20" x14ac:dyDescent="0.2">
      <c r="A1013" s="9">
        <v>45412</v>
      </c>
      <c r="B1013" s="4" t="s">
        <v>223</v>
      </c>
      <c r="C1013" s="8">
        <v>45383</v>
      </c>
      <c r="D1013" s="4" t="s">
        <v>189</v>
      </c>
      <c r="E1013" s="14">
        <f>IF(SUMIFS('Daily NSE Equity Futures'!$I:$I,'Daily NSE Equity Futures'!$A:$A,$A1013)=0,"",SUMIFS('Daily NSE Equity Futures'!$I:$I,'Daily NSE Equity Futures'!$A:$A,$A1013))</f>
        <v>1764.6717000000001</v>
      </c>
      <c r="F1013" s="6">
        <f>IF(SUMIFS('Daily BSE Equity Futures'!$I:$I,'Daily BSE Equity Futures'!$A:$A,$A1013)=0,"",SUMIFS('Daily BSE Equity Futures'!$I:$I,'Daily BSE Equity Futures'!$A:$A,$A1013))</f>
        <v>0.62160000000000004</v>
      </c>
      <c r="G1013" s="6">
        <f t="shared" si="180"/>
        <v>1765.2933</v>
      </c>
      <c r="H1013" s="15">
        <f t="shared" si="181"/>
        <v>0.99964787721111281</v>
      </c>
      <c r="I1013" s="15">
        <f t="shared" si="182"/>
        <v>3.5212278888726309E-4</v>
      </c>
      <c r="J1013" s="20" t="str">
        <f t="shared" si="183"/>
        <v/>
      </c>
      <c r="K1013" s="15" t="str">
        <f t="shared" si="184"/>
        <v/>
      </c>
      <c r="L1013" s="15" t="str">
        <f t="shared" si="185"/>
        <v/>
      </c>
      <c r="M1013" s="15">
        <f t="shared" si="189"/>
        <v>0.13336984769106963</v>
      </c>
      <c r="N1013" s="15">
        <f t="shared" si="190"/>
        <v>-0.88054194292303256</v>
      </c>
      <c r="O1013" s="15">
        <f t="shared" si="191"/>
        <v>0.12999266554970679</v>
      </c>
      <c r="P1013" s="18">
        <f>IF(SUMIFS('Daily NSE Equity Futures'!$J:$J,'Daily NSE Equity Futures'!$A:$A,$A1013)=0,"",SUMIFS('Daily NSE Equity Futures'!$J:$J,'Daily NSE Equity Futures'!$A:$A,$A1013))</f>
        <v>2313644</v>
      </c>
      <c r="Q1013" s="7">
        <f>IF(SUMIFS('Daily BSE Equity Futures'!$J:$J,'Daily BSE Equity Futures'!$A:$A,$A1013)=0,"",SUMIFS('Daily BSE Equity Futures'!$J:$J,'Daily BSE Equity Futures'!$A:$A,$A1013))</f>
        <v>789</v>
      </c>
      <c r="R1013" s="7">
        <f t="shared" si="186"/>
        <v>2314433</v>
      </c>
      <c r="S1013" s="19">
        <f t="shared" si="187"/>
        <v>0.99965909576989265</v>
      </c>
      <c r="T1013" s="19">
        <f t="shared" si="188"/>
        <v>3.4090423010733081E-4</v>
      </c>
    </row>
    <row r="1014" spans="1:20" x14ac:dyDescent="0.2">
      <c r="A1014" s="9">
        <v>45414</v>
      </c>
      <c r="B1014" s="4" t="s">
        <v>224</v>
      </c>
      <c r="C1014" s="8">
        <v>45413</v>
      </c>
      <c r="D1014" s="4" t="s">
        <v>189</v>
      </c>
      <c r="E1014" s="14">
        <f>IF(SUMIFS('Daily NSE Equity Futures'!$I:$I,'Daily NSE Equity Futures'!$A:$A,$A1014)=0,"",SUMIFS('Daily NSE Equity Futures'!$I:$I,'Daily NSE Equity Futures'!$A:$A,$A1014))</f>
        <v>1564.4032</v>
      </c>
      <c r="F1014" s="6">
        <f>IF(SUMIFS('Daily BSE Equity Futures'!$I:$I,'Daily BSE Equity Futures'!$A:$A,$A1014)=0,"",SUMIFS('Daily BSE Equity Futures'!$I:$I,'Daily BSE Equity Futures'!$A:$A,$A1014))</f>
        <v>0.76580000000000004</v>
      </c>
      <c r="G1014" s="6">
        <f t="shared" si="180"/>
        <v>1565.1689999999999</v>
      </c>
      <c r="H1014" s="15">
        <f t="shared" si="181"/>
        <v>0.9995107237620986</v>
      </c>
      <c r="I1014" s="15">
        <f t="shared" si="182"/>
        <v>4.8927623790146629E-4</v>
      </c>
      <c r="J1014" s="20">
        <f t="shared" si="183"/>
        <v>1.0505446961204887</v>
      </c>
      <c r="K1014" s="15" t="str">
        <f t="shared" si="184"/>
        <v/>
      </c>
      <c r="L1014" s="15" t="str">
        <f t="shared" si="185"/>
        <v/>
      </c>
      <c r="M1014" s="15">
        <f t="shared" si="189"/>
        <v>-0.11348768158972578</v>
      </c>
      <c r="N1014" s="15">
        <f t="shared" si="190"/>
        <v>0.23198198198198194</v>
      </c>
      <c r="O1014" s="15">
        <f t="shared" si="191"/>
        <v>-0.11336603384831301</v>
      </c>
      <c r="P1014" s="18">
        <f>IF(SUMIFS('Daily NSE Equity Futures'!$J:$J,'Daily NSE Equity Futures'!$A:$A,$A1014)=0,"",SUMIFS('Daily NSE Equity Futures'!$J:$J,'Daily NSE Equity Futures'!$A:$A,$A1014))</f>
        <v>2044555</v>
      </c>
      <c r="Q1014" s="7">
        <f>IF(SUMIFS('Daily BSE Equity Futures'!$J:$J,'Daily BSE Equity Futures'!$A:$A,$A1014)=0,"",SUMIFS('Daily BSE Equity Futures'!$J:$J,'Daily BSE Equity Futures'!$A:$A,$A1014))</f>
        <v>1004</v>
      </c>
      <c r="R1014" s="7">
        <f t="shared" si="186"/>
        <v>2045559</v>
      </c>
      <c r="S1014" s="19">
        <f t="shared" si="187"/>
        <v>0.99950918062006522</v>
      </c>
      <c r="T1014" s="19">
        <f t="shared" si="188"/>
        <v>4.9081937993477578E-4</v>
      </c>
    </row>
    <row r="1015" spans="1:20" x14ac:dyDescent="0.2">
      <c r="A1015" s="9">
        <v>45415</v>
      </c>
      <c r="B1015" s="4" t="s">
        <v>222</v>
      </c>
      <c r="C1015" s="8">
        <v>45413</v>
      </c>
      <c r="D1015" s="4" t="s">
        <v>189</v>
      </c>
      <c r="E1015" s="14">
        <f>IF(SUMIFS('Daily NSE Equity Futures'!$I:$I,'Daily NSE Equity Futures'!$A:$A,$A1015)=0,"",SUMIFS('Daily NSE Equity Futures'!$I:$I,'Daily NSE Equity Futures'!$A:$A,$A1015))</f>
        <v>1933.0719999999999</v>
      </c>
      <c r="F1015" s="6">
        <f>IF(SUMIFS('Daily BSE Equity Futures'!$I:$I,'Daily BSE Equity Futures'!$A:$A,$A1015)=0,"",SUMIFS('Daily BSE Equity Futures'!$I:$I,'Daily BSE Equity Futures'!$A:$A,$A1015))</f>
        <v>4.5669000000000004</v>
      </c>
      <c r="G1015" s="6">
        <f t="shared" si="180"/>
        <v>1937.6388999999999</v>
      </c>
      <c r="H1015" s="15">
        <f t="shared" si="181"/>
        <v>0.99764305929242025</v>
      </c>
      <c r="I1015" s="15">
        <f t="shared" si="182"/>
        <v>2.3569407075797254E-3</v>
      </c>
      <c r="J1015" s="20">
        <f t="shared" si="183"/>
        <v>1.6338746722937469</v>
      </c>
      <c r="K1015" s="15" t="str">
        <f t="shared" si="184"/>
        <v/>
      </c>
      <c r="L1015" s="15" t="str">
        <f t="shared" si="185"/>
        <v/>
      </c>
      <c r="M1015" s="15">
        <f t="shared" si="189"/>
        <v>0.23566098560780224</v>
      </c>
      <c r="N1015" s="15">
        <f t="shared" si="190"/>
        <v>4.9635675110995043</v>
      </c>
      <c r="O1015" s="15">
        <f t="shared" si="191"/>
        <v>0.23797423792574479</v>
      </c>
      <c r="P1015" s="18">
        <f>IF(SUMIFS('Daily NSE Equity Futures'!$J:$J,'Daily NSE Equity Futures'!$A:$A,$A1015)=0,"",SUMIFS('Daily NSE Equity Futures'!$J:$J,'Daily NSE Equity Futures'!$A:$A,$A1015))</f>
        <v>2613492</v>
      </c>
      <c r="Q1015" s="7">
        <f>IF(SUMIFS('Daily BSE Equity Futures'!$J:$J,'Daily BSE Equity Futures'!$A:$A,$A1015)=0,"",SUMIFS('Daily BSE Equity Futures'!$J:$J,'Daily BSE Equity Futures'!$A:$A,$A1015))</f>
        <v>6121</v>
      </c>
      <c r="R1015" s="7">
        <f t="shared" si="186"/>
        <v>2619613</v>
      </c>
      <c r="S1015" s="19">
        <f t="shared" si="187"/>
        <v>0.99766339531831605</v>
      </c>
      <c r="T1015" s="19">
        <f t="shared" si="188"/>
        <v>2.3366046816838976E-3</v>
      </c>
    </row>
    <row r="1016" spans="1:20" x14ac:dyDescent="0.2">
      <c r="A1016" s="9">
        <v>45418</v>
      </c>
      <c r="B1016" s="4" t="s">
        <v>225</v>
      </c>
      <c r="C1016" s="8">
        <v>45413</v>
      </c>
      <c r="D1016" s="4" t="s">
        <v>189</v>
      </c>
      <c r="E1016" s="14">
        <f>IF(SUMIFS('Daily NSE Equity Futures'!$I:$I,'Daily NSE Equity Futures'!$A:$A,$A1016)=0,"",SUMIFS('Daily NSE Equity Futures'!$I:$I,'Daily NSE Equity Futures'!$A:$A,$A1016))</f>
        <v>1627.0338999999999</v>
      </c>
      <c r="F1016" s="6">
        <f>IF(SUMIFS('Daily BSE Equity Futures'!$I:$I,'Daily BSE Equity Futures'!$A:$A,$A1016)=0,"",SUMIFS('Daily BSE Equity Futures'!$I:$I,'Daily BSE Equity Futures'!$A:$A,$A1016))</f>
        <v>0.999</v>
      </c>
      <c r="G1016" s="6">
        <f t="shared" si="180"/>
        <v>1628.0328999999999</v>
      </c>
      <c r="H1016" s="15">
        <f t="shared" si="181"/>
        <v>0.99938637603699532</v>
      </c>
      <c r="I1016" s="15">
        <f t="shared" si="182"/>
        <v>6.1362396300467881E-4</v>
      </c>
      <c r="J1016" s="20" t="str">
        <f t="shared" si="183"/>
        <v/>
      </c>
      <c r="K1016" s="15" t="str">
        <f t="shared" si="184"/>
        <v/>
      </c>
      <c r="L1016" s="15" t="str">
        <f t="shared" si="185"/>
        <v/>
      </c>
      <c r="M1016" s="15">
        <f t="shared" si="189"/>
        <v>-0.15831696905236847</v>
      </c>
      <c r="N1016" s="15">
        <f t="shared" si="190"/>
        <v>-0.78125205281481969</v>
      </c>
      <c r="O1016" s="15">
        <f t="shared" si="191"/>
        <v>-0.15978519010946779</v>
      </c>
      <c r="P1016" s="18">
        <f>IF(SUMIFS('Daily NSE Equity Futures'!$J:$J,'Daily NSE Equity Futures'!$A:$A,$A1016)=0,"",SUMIFS('Daily NSE Equity Futures'!$J:$J,'Daily NSE Equity Futures'!$A:$A,$A1016))</f>
        <v>2167704</v>
      </c>
      <c r="Q1016" s="7">
        <f>IF(SUMIFS('Daily BSE Equity Futures'!$J:$J,'Daily BSE Equity Futures'!$A:$A,$A1016)=0,"",SUMIFS('Daily BSE Equity Futures'!$J:$J,'Daily BSE Equity Futures'!$A:$A,$A1016))</f>
        <v>1283</v>
      </c>
      <c r="R1016" s="7">
        <f t="shared" si="186"/>
        <v>2168987</v>
      </c>
      <c r="S1016" s="19">
        <f t="shared" si="187"/>
        <v>0.99940847962666446</v>
      </c>
      <c r="T1016" s="19">
        <f t="shared" si="188"/>
        <v>5.915203733355709E-4</v>
      </c>
    </row>
    <row r="1017" spans="1:20" x14ac:dyDescent="0.2">
      <c r="A1017" s="9">
        <v>45419</v>
      </c>
      <c r="B1017" s="4" t="s">
        <v>223</v>
      </c>
      <c r="C1017" s="8">
        <v>45413</v>
      </c>
      <c r="D1017" s="4" t="s">
        <v>189</v>
      </c>
      <c r="E1017" s="14">
        <f>IF(SUMIFS('Daily NSE Equity Futures'!$I:$I,'Daily NSE Equity Futures'!$A:$A,$A1017)=0,"",SUMIFS('Daily NSE Equity Futures'!$I:$I,'Daily NSE Equity Futures'!$A:$A,$A1017))</f>
        <v>1587.1267</v>
      </c>
      <c r="F1017" s="6">
        <f>IF(SUMIFS('Daily BSE Equity Futures'!$I:$I,'Daily BSE Equity Futures'!$A:$A,$A1017)=0,"",SUMIFS('Daily BSE Equity Futures'!$I:$I,'Daily BSE Equity Futures'!$A:$A,$A1017))</f>
        <v>0.56510000000000005</v>
      </c>
      <c r="G1017" s="6">
        <f t="shared" si="180"/>
        <v>1587.6918000000001</v>
      </c>
      <c r="H1017" s="15">
        <f t="shared" si="181"/>
        <v>0.99964407449858972</v>
      </c>
      <c r="I1017" s="15">
        <f t="shared" si="182"/>
        <v>3.5592550141028633E-4</v>
      </c>
      <c r="J1017" s="20" t="str">
        <f t="shared" si="183"/>
        <v/>
      </c>
      <c r="K1017" s="15" t="str">
        <f t="shared" si="184"/>
        <v/>
      </c>
      <c r="L1017" s="15" t="str">
        <f t="shared" si="185"/>
        <v/>
      </c>
      <c r="M1017" s="15">
        <f t="shared" si="189"/>
        <v>-2.4527577452442717E-2</v>
      </c>
      <c r="N1017" s="15">
        <f t="shared" si="190"/>
        <v>-0.43433433433433433</v>
      </c>
      <c r="O1017" s="15">
        <f t="shared" si="191"/>
        <v>-2.4779044698666652E-2</v>
      </c>
      <c r="P1017" s="18">
        <f>IF(SUMIFS('Daily NSE Equity Futures'!$J:$J,'Daily NSE Equity Futures'!$A:$A,$A1017)=0,"",SUMIFS('Daily NSE Equity Futures'!$J:$J,'Daily NSE Equity Futures'!$A:$A,$A1017))</f>
        <v>2194002</v>
      </c>
      <c r="Q1017" s="7">
        <f>IF(SUMIFS('Daily BSE Equity Futures'!$J:$J,'Daily BSE Equity Futures'!$A:$A,$A1017)=0,"",SUMIFS('Daily BSE Equity Futures'!$J:$J,'Daily BSE Equity Futures'!$A:$A,$A1017))</f>
        <v>762</v>
      </c>
      <c r="R1017" s="7">
        <f t="shared" si="186"/>
        <v>2194764</v>
      </c>
      <c r="S1017" s="19">
        <f t="shared" si="187"/>
        <v>0.99965281005155904</v>
      </c>
      <c r="T1017" s="19">
        <f t="shared" si="188"/>
        <v>3.4718994844092576E-4</v>
      </c>
    </row>
    <row r="1018" spans="1:20" x14ac:dyDescent="0.2">
      <c r="A1018" s="9">
        <v>45420</v>
      </c>
      <c r="B1018" s="4" t="s">
        <v>221</v>
      </c>
      <c r="C1018" s="8">
        <v>45413</v>
      </c>
      <c r="D1018" s="4" t="s">
        <v>189</v>
      </c>
      <c r="E1018" s="14">
        <f>IF(SUMIFS('Daily NSE Equity Futures'!$I:$I,'Daily NSE Equity Futures'!$A:$A,$A1018)=0,"",SUMIFS('Daily NSE Equity Futures'!$I:$I,'Daily NSE Equity Futures'!$A:$A,$A1018))</f>
        <v>1522.4539</v>
      </c>
      <c r="F1018" s="6">
        <f>IF(SUMIFS('Daily BSE Equity Futures'!$I:$I,'Daily BSE Equity Futures'!$A:$A,$A1018)=0,"",SUMIFS('Daily BSE Equity Futures'!$I:$I,'Daily BSE Equity Futures'!$A:$A,$A1018))</f>
        <v>0.42559999999999998</v>
      </c>
      <c r="G1018" s="6">
        <f t="shared" si="180"/>
        <v>1522.8795</v>
      </c>
      <c r="H1018" s="15">
        <f t="shared" si="181"/>
        <v>0.99972052943125178</v>
      </c>
      <c r="I1018" s="15">
        <f t="shared" si="182"/>
        <v>2.7947056874821674E-4</v>
      </c>
      <c r="J1018" s="20">
        <f t="shared" si="183"/>
        <v>0.74541495129313651</v>
      </c>
      <c r="K1018" s="15" t="str">
        <f t="shared" si="184"/>
        <v/>
      </c>
      <c r="L1018" s="15" t="str">
        <f t="shared" si="185"/>
        <v/>
      </c>
      <c r="M1018" s="15">
        <f t="shared" si="189"/>
        <v>-4.0748353612852783E-2</v>
      </c>
      <c r="N1018" s="15">
        <f t="shared" si="190"/>
        <v>-0.24685896301539556</v>
      </c>
      <c r="O1018" s="15">
        <f t="shared" si="191"/>
        <v>-4.0821713634850321E-2</v>
      </c>
      <c r="P1018" s="18">
        <f>IF(SUMIFS('Daily NSE Equity Futures'!$J:$J,'Daily NSE Equity Futures'!$A:$A,$A1018)=0,"",SUMIFS('Daily NSE Equity Futures'!$J:$J,'Daily NSE Equity Futures'!$A:$A,$A1018))</f>
        <v>2112030</v>
      </c>
      <c r="Q1018" s="7">
        <f>IF(SUMIFS('Daily BSE Equity Futures'!$J:$J,'Daily BSE Equity Futures'!$A:$A,$A1018)=0,"",SUMIFS('Daily BSE Equity Futures'!$J:$J,'Daily BSE Equity Futures'!$A:$A,$A1018))</f>
        <v>567</v>
      </c>
      <c r="R1018" s="7">
        <f t="shared" si="186"/>
        <v>2112597</v>
      </c>
      <c r="S1018" s="19">
        <f t="shared" si="187"/>
        <v>0.99973160995684462</v>
      </c>
      <c r="T1018" s="19">
        <f t="shared" si="188"/>
        <v>2.6839004315541487E-4</v>
      </c>
    </row>
    <row r="1019" spans="1:20" x14ac:dyDescent="0.2">
      <c r="A1019" s="9">
        <v>45421</v>
      </c>
      <c r="B1019" s="4" t="s">
        <v>224</v>
      </c>
      <c r="C1019" s="8">
        <v>45413</v>
      </c>
      <c r="D1019" s="4" t="s">
        <v>189</v>
      </c>
      <c r="E1019" s="14">
        <f>IF(SUMIFS('Daily NSE Equity Futures'!$I:$I,'Daily NSE Equity Futures'!$A:$A,$A1019)=0,"",SUMIFS('Daily NSE Equity Futures'!$I:$I,'Daily NSE Equity Futures'!$A:$A,$A1019))</f>
        <v>1841.0843</v>
      </c>
      <c r="F1019" s="6">
        <f>IF(SUMIFS('Daily BSE Equity Futures'!$I:$I,'Daily BSE Equity Futures'!$A:$A,$A1019)=0,"",SUMIFS('Daily BSE Equity Futures'!$I:$I,'Daily BSE Equity Futures'!$A:$A,$A1019))</f>
        <v>0.98040000000000005</v>
      </c>
      <c r="G1019" s="6">
        <f t="shared" si="180"/>
        <v>1842.0646999999999</v>
      </c>
      <c r="H1019" s="15">
        <f t="shared" si="181"/>
        <v>0.99946777113746332</v>
      </c>
      <c r="I1019" s="15">
        <f t="shared" si="182"/>
        <v>5.3222886253669597E-4</v>
      </c>
      <c r="J1019" s="20">
        <f t="shared" si="183"/>
        <v>1.3496845683331902</v>
      </c>
      <c r="K1019" s="15">
        <f t="shared" si="184"/>
        <v>515</v>
      </c>
      <c r="L1019" s="15">
        <f t="shared" si="185"/>
        <v>1.3509301035087611</v>
      </c>
      <c r="M1019" s="15">
        <f t="shared" si="189"/>
        <v>0.20928738794652513</v>
      </c>
      <c r="N1019" s="15">
        <f t="shared" si="190"/>
        <v>1.3035714285714288</v>
      </c>
      <c r="O1019" s="15">
        <f t="shared" si="191"/>
        <v>0.20959320812973048</v>
      </c>
      <c r="P1019" s="18">
        <f>IF(SUMIFS('Daily NSE Equity Futures'!$J:$J,'Daily NSE Equity Futures'!$A:$A,$A1019)=0,"",SUMIFS('Daily NSE Equity Futures'!$J:$J,'Daily NSE Equity Futures'!$A:$A,$A1019))</f>
        <v>2659815</v>
      </c>
      <c r="Q1019" s="7">
        <f>IF(SUMIFS('Daily BSE Equity Futures'!$J:$J,'Daily BSE Equity Futures'!$A:$A,$A1019)=0,"",SUMIFS('Daily BSE Equity Futures'!$J:$J,'Daily BSE Equity Futures'!$A:$A,$A1019))</f>
        <v>1326</v>
      </c>
      <c r="R1019" s="7">
        <f t="shared" si="186"/>
        <v>2661141</v>
      </c>
      <c r="S1019" s="19">
        <f t="shared" si="187"/>
        <v>0.99950171749636718</v>
      </c>
      <c r="T1019" s="19">
        <f t="shared" si="188"/>
        <v>4.9828250363284025E-4</v>
      </c>
    </row>
    <row r="1020" spans="1:20" x14ac:dyDescent="0.2">
      <c r="A1020" s="9">
        <v>45422</v>
      </c>
      <c r="B1020" s="4" t="s">
        <v>222</v>
      </c>
      <c r="C1020" s="8">
        <v>45413</v>
      </c>
      <c r="D1020" s="4" t="s">
        <v>189</v>
      </c>
      <c r="E1020" s="14">
        <f>IF(SUMIFS('Daily NSE Equity Futures'!$I:$I,'Daily NSE Equity Futures'!$A:$A,$A1020)=0,"",SUMIFS('Daily NSE Equity Futures'!$I:$I,'Daily NSE Equity Futures'!$A:$A,$A1020))</f>
        <v>1341.1746000000001</v>
      </c>
      <c r="F1020" s="6">
        <f>IF(SUMIFS('Daily BSE Equity Futures'!$I:$I,'Daily BSE Equity Futures'!$A:$A,$A1020)=0,"",SUMIFS('Daily BSE Equity Futures'!$I:$I,'Daily BSE Equity Futures'!$A:$A,$A1020))</f>
        <v>2.3767</v>
      </c>
      <c r="G1020" s="6">
        <f t="shared" si="180"/>
        <v>1343.5513000000001</v>
      </c>
      <c r="H1020" s="15">
        <f t="shared" si="181"/>
        <v>0.99823103144628711</v>
      </c>
      <c r="I1020" s="15">
        <f t="shared" si="182"/>
        <v>1.7689685537128355E-3</v>
      </c>
      <c r="J1020" s="20">
        <f t="shared" si="183"/>
        <v>0.8195109205282487</v>
      </c>
      <c r="K1020" s="15">
        <f t="shared" si="184"/>
        <v>1249.8947368421052</v>
      </c>
      <c r="L1020" s="15">
        <f t="shared" si="185"/>
        <v>0.8227305835730423</v>
      </c>
      <c r="M1020" s="15">
        <f t="shared" si="189"/>
        <v>-0.27153004346406084</v>
      </c>
      <c r="N1020" s="15">
        <f t="shared" si="190"/>
        <v>1.4242146062831496</v>
      </c>
      <c r="O1020" s="15">
        <f t="shared" si="191"/>
        <v>-0.27062751921797312</v>
      </c>
      <c r="P1020" s="18">
        <f>IF(SUMIFS('Daily NSE Equity Futures'!$J:$J,'Daily NSE Equity Futures'!$A:$A,$A1020)=0,"",SUMIFS('Daily NSE Equity Futures'!$J:$J,'Daily NSE Equity Futures'!$A:$A,$A1020))</f>
        <v>1910479</v>
      </c>
      <c r="Q1020" s="7">
        <f>IF(SUMIFS('Daily BSE Equity Futures'!$J:$J,'Daily BSE Equity Futures'!$A:$A,$A1020)=0,"",SUMIFS('Daily BSE Equity Futures'!$J:$J,'Daily BSE Equity Futures'!$A:$A,$A1020))</f>
        <v>3259</v>
      </c>
      <c r="R1020" s="7">
        <f t="shared" si="186"/>
        <v>1913738</v>
      </c>
      <c r="S1020" s="19">
        <f t="shared" si="187"/>
        <v>0.99829705006641456</v>
      </c>
      <c r="T1020" s="19">
        <f t="shared" si="188"/>
        <v>1.702949933585475E-3</v>
      </c>
    </row>
    <row r="1021" spans="1:20" x14ac:dyDescent="0.2">
      <c r="A1021" s="9">
        <v>45425</v>
      </c>
      <c r="B1021" s="4" t="s">
        <v>225</v>
      </c>
      <c r="C1021" s="8">
        <v>45413</v>
      </c>
      <c r="D1021" s="4" t="s">
        <v>189</v>
      </c>
      <c r="E1021" s="14">
        <f>IF(SUMIFS('Daily NSE Equity Futures'!$I:$I,'Daily NSE Equity Futures'!$A:$A,$A1021)=0,"",SUMIFS('Daily NSE Equity Futures'!$I:$I,'Daily NSE Equity Futures'!$A:$A,$A1021))</f>
        <v>1599.7501</v>
      </c>
      <c r="F1021" s="6">
        <f>IF(SUMIFS('Daily BSE Equity Futures'!$I:$I,'Daily BSE Equity Futures'!$A:$A,$A1021)=0,"",SUMIFS('Daily BSE Equity Futures'!$I:$I,'Daily BSE Equity Futures'!$A:$A,$A1021))</f>
        <v>0.87780000000000002</v>
      </c>
      <c r="G1021" s="6">
        <f t="shared" si="180"/>
        <v>1600.6279</v>
      </c>
      <c r="H1021" s="15">
        <f t="shared" si="181"/>
        <v>0.99945159021656438</v>
      </c>
      <c r="I1021" s="15">
        <f t="shared" si="182"/>
        <v>5.4840978343561307E-4</v>
      </c>
      <c r="J1021" s="20" t="str">
        <f t="shared" si="183"/>
        <v/>
      </c>
      <c r="K1021" s="15" t="str">
        <f t="shared" si="184"/>
        <v/>
      </c>
      <c r="L1021" s="15" t="str">
        <f t="shared" si="185"/>
        <v/>
      </c>
      <c r="M1021" s="15">
        <f t="shared" si="189"/>
        <v>0.19279779083200643</v>
      </c>
      <c r="N1021" s="15">
        <f t="shared" si="190"/>
        <v>-0.63066436655867375</v>
      </c>
      <c r="O1021" s="15">
        <f t="shared" si="191"/>
        <v>0.19134111217040983</v>
      </c>
      <c r="P1021" s="18">
        <f>IF(SUMIFS('Daily NSE Equity Futures'!$J:$J,'Daily NSE Equity Futures'!$A:$A,$A1021)=0,"",SUMIFS('Daily NSE Equity Futures'!$J:$J,'Daily NSE Equity Futures'!$A:$A,$A1021))</f>
        <v>2211838</v>
      </c>
      <c r="Q1021" s="7">
        <f>IF(SUMIFS('Daily BSE Equity Futures'!$J:$J,'Daily BSE Equity Futures'!$A:$A,$A1021)=0,"",SUMIFS('Daily BSE Equity Futures'!$J:$J,'Daily BSE Equity Futures'!$A:$A,$A1021))</f>
        <v>1141</v>
      </c>
      <c r="R1021" s="7">
        <f t="shared" si="186"/>
        <v>2212979</v>
      </c>
      <c r="S1021" s="19">
        <f t="shared" si="187"/>
        <v>0.99948440541008299</v>
      </c>
      <c r="T1021" s="19">
        <f t="shared" si="188"/>
        <v>5.1559458991703034E-4</v>
      </c>
    </row>
    <row r="1022" spans="1:20" x14ac:dyDescent="0.2">
      <c r="A1022" s="9">
        <v>45426</v>
      </c>
      <c r="B1022" s="4" t="s">
        <v>223</v>
      </c>
      <c r="C1022" s="8">
        <v>45413</v>
      </c>
      <c r="D1022" s="4" t="s">
        <v>189</v>
      </c>
      <c r="E1022" s="14">
        <f>IF(SUMIFS('Daily NSE Equity Futures'!$I:$I,'Daily NSE Equity Futures'!$A:$A,$A1022)=0,"",SUMIFS('Daily NSE Equity Futures'!$I:$I,'Daily NSE Equity Futures'!$A:$A,$A1022))</f>
        <v>1344.0064</v>
      </c>
      <c r="F1022" s="6">
        <f>IF(SUMIFS('Daily BSE Equity Futures'!$I:$I,'Daily BSE Equity Futures'!$A:$A,$A1022)=0,"",SUMIFS('Daily BSE Equity Futures'!$I:$I,'Daily BSE Equity Futures'!$A:$A,$A1022))</f>
        <v>0.29870000000000002</v>
      </c>
      <c r="G1022" s="6">
        <f t="shared" si="180"/>
        <v>1344.3051</v>
      </c>
      <c r="H1022" s="15">
        <f t="shared" si="181"/>
        <v>0.99977780341679867</v>
      </c>
      <c r="I1022" s="15">
        <f t="shared" si="182"/>
        <v>2.2219658320123906E-4</v>
      </c>
      <c r="J1022" s="20" t="str">
        <f t="shared" si="183"/>
        <v/>
      </c>
      <c r="K1022" s="15" t="str">
        <f t="shared" si="184"/>
        <v/>
      </c>
      <c r="L1022" s="15" t="str">
        <f t="shared" si="185"/>
        <v/>
      </c>
      <c r="M1022" s="15">
        <f t="shared" si="189"/>
        <v>-0.15986478138054183</v>
      </c>
      <c r="N1022" s="15">
        <f t="shared" si="190"/>
        <v>-0.65971747550694926</v>
      </c>
      <c r="O1022" s="15">
        <f t="shared" si="191"/>
        <v>-0.16013890548827736</v>
      </c>
      <c r="P1022" s="18">
        <f>IF(SUMIFS('Daily NSE Equity Futures'!$J:$J,'Daily NSE Equity Futures'!$A:$A,$A1022)=0,"",SUMIFS('Daily NSE Equity Futures'!$J:$J,'Daily NSE Equity Futures'!$A:$A,$A1022))</f>
        <v>1851496</v>
      </c>
      <c r="Q1022" s="7">
        <f>IF(SUMIFS('Daily BSE Equity Futures'!$J:$J,'Daily BSE Equity Futures'!$A:$A,$A1022)=0,"",SUMIFS('Daily BSE Equity Futures'!$J:$J,'Daily BSE Equity Futures'!$A:$A,$A1022))</f>
        <v>402</v>
      </c>
      <c r="R1022" s="7">
        <f t="shared" si="186"/>
        <v>1851898</v>
      </c>
      <c r="S1022" s="19">
        <f t="shared" si="187"/>
        <v>0.99978292540949876</v>
      </c>
      <c r="T1022" s="19">
        <f t="shared" si="188"/>
        <v>2.170745905012047E-4</v>
      </c>
    </row>
    <row r="1023" spans="1:20" x14ac:dyDescent="0.2">
      <c r="A1023" s="9">
        <v>45427</v>
      </c>
      <c r="B1023" s="4" t="s">
        <v>221</v>
      </c>
      <c r="C1023" s="8">
        <v>45413</v>
      </c>
      <c r="D1023" s="4" t="s">
        <v>189</v>
      </c>
      <c r="E1023" s="14">
        <f>IF(SUMIFS('Daily NSE Equity Futures'!$I:$I,'Daily NSE Equity Futures'!$A:$A,$A1023)=0,"",SUMIFS('Daily NSE Equity Futures'!$I:$I,'Daily NSE Equity Futures'!$A:$A,$A1023))</f>
        <v>1338.5954999999999</v>
      </c>
      <c r="F1023" s="6">
        <f>IF(SUMIFS('Daily BSE Equity Futures'!$I:$I,'Daily BSE Equity Futures'!$A:$A,$A1023)=0,"",SUMIFS('Daily BSE Equity Futures'!$I:$I,'Daily BSE Equity Futures'!$A:$A,$A1023))</f>
        <v>0.36049999999999999</v>
      </c>
      <c r="G1023" s="6">
        <f t="shared" si="180"/>
        <v>1338.9559999999999</v>
      </c>
      <c r="H1023" s="15">
        <f t="shared" si="181"/>
        <v>0.99973076038346298</v>
      </c>
      <c r="I1023" s="15">
        <f t="shared" si="182"/>
        <v>2.6923961653706321E-4</v>
      </c>
      <c r="J1023" s="20">
        <f t="shared" si="183"/>
        <v>0.72951098836213224</v>
      </c>
      <c r="K1023" s="15">
        <f t="shared" si="184"/>
        <v>0.18859215298384435</v>
      </c>
      <c r="L1023" s="15">
        <f t="shared" si="185"/>
        <v>0.72929909940464421</v>
      </c>
      <c r="M1023" s="15">
        <f t="shared" si="189"/>
        <v>-4.0259480907234302E-3</v>
      </c>
      <c r="N1023" s="15">
        <f t="shared" si="190"/>
        <v>0.2068965517241379</v>
      </c>
      <c r="O1023" s="15">
        <f t="shared" si="191"/>
        <v>-3.9790818319443977E-3</v>
      </c>
      <c r="P1023" s="18">
        <f>IF(SUMIFS('Daily NSE Equity Futures'!$J:$J,'Daily NSE Equity Futures'!$A:$A,$A1023)=0,"",SUMIFS('Daily NSE Equity Futures'!$J:$J,'Daily NSE Equity Futures'!$A:$A,$A1023))</f>
        <v>1783524</v>
      </c>
      <c r="Q1023" s="7">
        <f>IF(SUMIFS('Daily BSE Equity Futures'!$J:$J,'Daily BSE Equity Futures'!$A:$A,$A1023)=0,"",SUMIFS('Daily BSE Equity Futures'!$J:$J,'Daily BSE Equity Futures'!$A:$A,$A1023))</f>
        <v>485</v>
      </c>
      <c r="R1023" s="7">
        <f t="shared" si="186"/>
        <v>1784009</v>
      </c>
      <c r="S1023" s="19">
        <f t="shared" si="187"/>
        <v>0.99972814038494195</v>
      </c>
      <c r="T1023" s="19">
        <f t="shared" si="188"/>
        <v>2.718596150579958E-4</v>
      </c>
    </row>
    <row r="1024" spans="1:20" x14ac:dyDescent="0.2">
      <c r="A1024" s="9">
        <v>45428</v>
      </c>
      <c r="B1024" s="4" t="s">
        <v>224</v>
      </c>
      <c r="C1024" s="8">
        <v>45413</v>
      </c>
      <c r="D1024" s="4" t="s">
        <v>189</v>
      </c>
      <c r="E1024" s="14">
        <f>IF(SUMIFS('Daily NSE Equity Futures'!$I:$I,'Daily NSE Equity Futures'!$A:$A,$A1024)=0,"",SUMIFS('Daily NSE Equity Futures'!$I:$I,'Daily NSE Equity Futures'!$A:$A,$A1024))</f>
        <v>2006.0208</v>
      </c>
      <c r="F1024" s="6">
        <f>IF(SUMIFS('Daily BSE Equity Futures'!$I:$I,'Daily BSE Equity Futures'!$A:$A,$A1024)=0,"",SUMIFS('Daily BSE Equity Futures'!$I:$I,'Daily BSE Equity Futures'!$A:$A,$A1024))</f>
        <v>1.2503</v>
      </c>
      <c r="G1024" s="6">
        <f t="shared" si="180"/>
        <v>2007.2710999999999</v>
      </c>
      <c r="H1024" s="15">
        <f t="shared" si="181"/>
        <v>0.99937711453126588</v>
      </c>
      <c r="I1024" s="15">
        <f t="shared" si="182"/>
        <v>6.2288546873414362E-4</v>
      </c>
      <c r="J1024" s="20">
        <f t="shared" si="183"/>
        <v>1.4653615379567109</v>
      </c>
      <c r="K1024" s="15">
        <f t="shared" si="184"/>
        <v>4.0132317562149158</v>
      </c>
      <c r="L1024" s="15">
        <f t="shared" si="185"/>
        <v>1.4661422409450622</v>
      </c>
      <c r="M1024" s="15">
        <f t="shared" si="189"/>
        <v>0.49860118310572554</v>
      </c>
      <c r="N1024" s="15">
        <f t="shared" si="190"/>
        <v>2.4682385575589461</v>
      </c>
      <c r="O1024" s="15">
        <f t="shared" si="191"/>
        <v>0.4991314875171402</v>
      </c>
      <c r="P1024" s="18">
        <f>IF(SUMIFS('Daily NSE Equity Futures'!$J:$J,'Daily NSE Equity Futures'!$A:$A,$A1024)=0,"",SUMIFS('Daily NSE Equity Futures'!$J:$J,'Daily NSE Equity Futures'!$A:$A,$A1024))</f>
        <v>2777415</v>
      </c>
      <c r="Q1024" s="7">
        <f>IF(SUMIFS('Daily BSE Equity Futures'!$J:$J,'Daily BSE Equity Futures'!$A:$A,$A1024)=0,"",SUMIFS('Daily BSE Equity Futures'!$J:$J,'Daily BSE Equity Futures'!$A:$A,$A1024))</f>
        <v>1700</v>
      </c>
      <c r="R1024" s="7">
        <f t="shared" si="186"/>
        <v>2779115</v>
      </c>
      <c r="S1024" s="19">
        <f t="shared" si="187"/>
        <v>0.99938829447503974</v>
      </c>
      <c r="T1024" s="19">
        <f t="shared" si="188"/>
        <v>6.1170552496028416E-4</v>
      </c>
    </row>
    <row r="1025" spans="1:20" x14ac:dyDescent="0.2">
      <c r="A1025" s="9">
        <v>45429</v>
      </c>
      <c r="B1025" s="4" t="s">
        <v>222</v>
      </c>
      <c r="C1025" s="8">
        <v>45413</v>
      </c>
      <c r="D1025" s="4" t="s">
        <v>189</v>
      </c>
      <c r="E1025" s="14">
        <f>IF(SUMIFS('Daily NSE Equity Futures'!$I:$I,'Daily NSE Equity Futures'!$A:$A,$A1025)=0,"",SUMIFS('Daily NSE Equity Futures'!$I:$I,'Daily NSE Equity Futures'!$A:$A,$A1025))</f>
        <v>1388.0246999999999</v>
      </c>
      <c r="F1025" s="6">
        <f>IF(SUMIFS('Daily BSE Equity Futures'!$I:$I,'Daily BSE Equity Futures'!$A:$A,$A1025)=0,"",SUMIFS('Daily BSE Equity Futures'!$I:$I,'Daily BSE Equity Futures'!$A:$A,$A1025))</f>
        <v>2.3576999999999999</v>
      </c>
      <c r="G1025" s="6">
        <f t="shared" si="180"/>
        <v>1390.3824</v>
      </c>
      <c r="H1025" s="15">
        <f t="shared" si="181"/>
        <v>0.99830427945578137</v>
      </c>
      <c r="I1025" s="15">
        <f t="shared" si="182"/>
        <v>1.6957205442186265E-3</v>
      </c>
      <c r="J1025" s="20">
        <f t="shared" si="183"/>
        <v>0.45203246929523799</v>
      </c>
      <c r="K1025" s="15">
        <f t="shared" si="184"/>
        <v>12.803864168618265</v>
      </c>
      <c r="L1025" s="15">
        <f t="shared" si="185"/>
        <v>0.4542390548665276</v>
      </c>
      <c r="M1025" s="15">
        <f t="shared" si="189"/>
        <v>-0.30807063416291602</v>
      </c>
      <c r="N1025" s="15">
        <f t="shared" si="190"/>
        <v>0.88570743021674803</v>
      </c>
      <c r="O1025" s="15">
        <f t="shared" si="191"/>
        <v>-0.30732704715372028</v>
      </c>
      <c r="P1025" s="18">
        <f>IF(SUMIFS('Daily NSE Equity Futures'!$J:$J,'Daily NSE Equity Futures'!$A:$A,$A1025)=0,"",SUMIFS('Daily NSE Equity Futures'!$J:$J,'Daily NSE Equity Futures'!$A:$A,$A1025))</f>
        <v>1815541</v>
      </c>
      <c r="Q1025" s="7">
        <f>IF(SUMIFS('Daily BSE Equity Futures'!$J:$J,'Daily BSE Equity Futures'!$A:$A,$A1025)=0,"",SUMIFS('Daily BSE Equity Futures'!$J:$J,'Daily BSE Equity Futures'!$A:$A,$A1025))</f>
        <v>3124</v>
      </c>
      <c r="R1025" s="7">
        <f t="shared" si="186"/>
        <v>1818665</v>
      </c>
      <c r="S1025" s="19">
        <f t="shared" si="187"/>
        <v>0.99828225649033764</v>
      </c>
      <c r="T1025" s="19">
        <f t="shared" si="188"/>
        <v>1.7177435096623072E-3</v>
      </c>
    </row>
    <row r="1026" spans="1:20" x14ac:dyDescent="0.2">
      <c r="A1026" s="9">
        <v>45430</v>
      </c>
      <c r="B1026" s="4" t="s">
        <v>226</v>
      </c>
      <c r="C1026" s="8">
        <v>45413</v>
      </c>
      <c r="D1026" s="4" t="s">
        <v>189</v>
      </c>
      <c r="E1026" s="14">
        <f>IF(SUMIFS('Daily NSE Equity Futures'!$I:$I,'Daily NSE Equity Futures'!$A:$A,$A1026)=0,"",SUMIFS('Daily NSE Equity Futures'!$I:$I,'Daily NSE Equity Futures'!$A:$A,$A1026))</f>
        <v>253.6628</v>
      </c>
      <c r="F1026" s="6">
        <f>IF(SUMIFS('Daily BSE Equity Futures'!$I:$I,'Daily BSE Equity Futures'!$A:$A,$A1026)=0,"",SUMIFS('Daily BSE Equity Futures'!$I:$I,'Daily BSE Equity Futures'!$A:$A,$A1026))</f>
        <v>0.1206</v>
      </c>
      <c r="G1026" s="6">
        <f t="shared" ref="G1026:G1089" si="192">IF(OR(E1026="",F1026=""),"",E1026+F1026)</f>
        <v>253.7834</v>
      </c>
      <c r="H1026" s="15">
        <f t="shared" ref="H1026:H1089" si="193">IF(G1026="","",E1026/G1026)</f>
        <v>0.99952479161363594</v>
      </c>
      <c r="I1026" s="15">
        <f t="shared" ref="I1026:I1089" si="194">IF(G1026="","",F1026/G1026)</f>
        <v>4.7520838636411997E-4</v>
      </c>
      <c r="J1026" s="20">
        <f t="shared" ref="J1026:J1089" si="195">IFERROR(IF(OR(E1026="",INDEX(E:E,MATCH(DATE(YEAR($A1026)-1,MONTH($A1026),DAY($A1026)),$A:$A,0))=""),"",E1026/INDEX(E:E,MATCH(DATE(YEAR($A1026)-1,MONTH($A1026),DAY($A1026)),$A:$A,0))-1),"")</f>
        <v>-0.74713025010960621</v>
      </c>
      <c r="K1026" s="15">
        <f t="shared" ref="K1026:K1089" si="196">IFERROR(IF(OR(F1026="",INDEX(F:F,MATCH(DATE(YEAR($A1026)-1,MONTH($A1026),DAY($A1026)),$A:$A,0))=""),"",F1026/INDEX(F:F,MATCH(DATE(YEAR($A1026)-1,MONTH($A1026),DAY($A1026)),$A:$A,0))-1),"")</f>
        <v>-0.35782747603833864</v>
      </c>
      <c r="L1026" s="15">
        <f t="shared" ref="L1026:L1089" si="197">IFERROR(IF(OR(G1026="",INDEX(G:G,MATCH(DATE(YEAR($A1026)-1,MONTH($A1026),DAY($A1026)),$A:$A,0))=""),"",G1026/INDEX(G:G,MATCH(DATE(YEAR($A1026)-1,MONTH($A1026),DAY($A1026)),$A:$A,0))-1),"")</f>
        <v>-0.74705738126467625</v>
      </c>
      <c r="M1026" s="15">
        <f t="shared" si="189"/>
        <v>-0.8172490734494855</v>
      </c>
      <c r="N1026" s="15">
        <f t="shared" si="190"/>
        <v>-0.94884845400178142</v>
      </c>
      <c r="O1026" s="15">
        <f t="shared" si="191"/>
        <v>-0.81747222922269436</v>
      </c>
      <c r="P1026" s="18">
        <f>IF(SUMIFS('Daily NSE Equity Futures'!$J:$J,'Daily NSE Equity Futures'!$A:$A,$A1026)=0,"",SUMIFS('Daily NSE Equity Futures'!$J:$J,'Daily NSE Equity Futures'!$A:$A,$A1026))</f>
        <v>313697</v>
      </c>
      <c r="Q1026" s="7">
        <f>IF(SUMIFS('Daily BSE Equity Futures'!$J:$J,'Daily BSE Equity Futures'!$A:$A,$A1026)=0,"",SUMIFS('Daily BSE Equity Futures'!$J:$J,'Daily BSE Equity Futures'!$A:$A,$A1026))</f>
        <v>158</v>
      </c>
      <c r="R1026" s="7">
        <f t="shared" ref="R1026:R1089" si="198">IF(OR(P1026="",Q1026=""),"",P1026+Q1026)</f>
        <v>313855</v>
      </c>
      <c r="S1026" s="19">
        <f t="shared" ref="S1026:S1089" si="199">IF(R1026="","",P1026/R1026)</f>
        <v>0.9994965828169059</v>
      </c>
      <c r="T1026" s="19">
        <f t="shared" ref="T1026:T1089" si="200">IF(R1026="","",Q1026/R1026)</f>
        <v>5.0341718309410393E-4</v>
      </c>
    </row>
    <row r="1027" spans="1:20" x14ac:dyDescent="0.2">
      <c r="A1027" s="9">
        <v>45433</v>
      </c>
      <c r="B1027" s="4" t="s">
        <v>223</v>
      </c>
      <c r="C1027" s="8">
        <v>45413</v>
      </c>
      <c r="D1027" s="4" t="s">
        <v>189</v>
      </c>
      <c r="E1027" s="14">
        <f>IF(SUMIFS('Daily NSE Equity Futures'!$I:$I,'Daily NSE Equity Futures'!$A:$A,$A1027)=0,"",SUMIFS('Daily NSE Equity Futures'!$I:$I,'Daily NSE Equity Futures'!$A:$A,$A1027))</f>
        <v>1530.4926</v>
      </c>
      <c r="F1027" s="6">
        <f>IF(SUMIFS('Daily BSE Equity Futures'!$I:$I,'Daily BSE Equity Futures'!$A:$A,$A1027)=0,"",SUMIFS('Daily BSE Equity Futures'!$I:$I,'Daily BSE Equity Futures'!$A:$A,$A1027))</f>
        <v>0.52190000000000003</v>
      </c>
      <c r="G1027" s="6">
        <f t="shared" si="192"/>
        <v>1531.0145</v>
      </c>
      <c r="H1027" s="15">
        <f t="shared" si="193"/>
        <v>0.99965911492020487</v>
      </c>
      <c r="I1027" s="15">
        <f t="shared" si="194"/>
        <v>3.4088507979512935E-4</v>
      </c>
      <c r="J1027" s="20" t="str">
        <f t="shared" si="195"/>
        <v/>
      </c>
      <c r="K1027" s="15" t="str">
        <f t="shared" si="196"/>
        <v/>
      </c>
      <c r="L1027" s="15" t="str">
        <f t="shared" si="197"/>
        <v/>
      </c>
      <c r="M1027" s="15">
        <f t="shared" ref="M1027:M1090" si="201">IF(OR(E1027="",E1026=""),"",E1027/E1026-1)</f>
        <v>5.0335713395894075</v>
      </c>
      <c r="N1027" s="15">
        <f t="shared" ref="N1027:N1090" si="202">IF(OR(F1027="",F1026=""),"",F1027/F1026-1)</f>
        <v>3.3275290215588722</v>
      </c>
      <c r="O1027" s="15">
        <f t="shared" ref="O1027:O1090" si="203">IF(OR(G1027="",G1026=""),"",G1027/G1026-1)</f>
        <v>5.0327606139723873</v>
      </c>
      <c r="P1027" s="18">
        <f>IF(SUMIFS('Daily NSE Equity Futures'!$J:$J,'Daily NSE Equity Futures'!$A:$A,$A1027)=0,"",SUMIFS('Daily NSE Equity Futures'!$J:$J,'Daily NSE Equity Futures'!$A:$A,$A1027))</f>
        <v>1991845</v>
      </c>
      <c r="Q1027" s="7">
        <f>IF(SUMIFS('Daily BSE Equity Futures'!$J:$J,'Daily BSE Equity Futures'!$A:$A,$A1027)=0,"",SUMIFS('Daily BSE Equity Futures'!$J:$J,'Daily BSE Equity Futures'!$A:$A,$A1027))</f>
        <v>685</v>
      </c>
      <c r="R1027" s="7">
        <f t="shared" si="198"/>
        <v>1992530</v>
      </c>
      <c r="S1027" s="19">
        <f t="shared" si="199"/>
        <v>0.99965621596663534</v>
      </c>
      <c r="T1027" s="19">
        <f t="shared" si="200"/>
        <v>3.4378403336461687E-4</v>
      </c>
    </row>
    <row r="1028" spans="1:20" x14ac:dyDescent="0.2">
      <c r="A1028" s="9">
        <v>45434</v>
      </c>
      <c r="B1028" s="4" t="s">
        <v>221</v>
      </c>
      <c r="C1028" s="8">
        <v>45413</v>
      </c>
      <c r="D1028" s="4" t="s">
        <v>189</v>
      </c>
      <c r="E1028" s="14">
        <f>IF(SUMIFS('Daily NSE Equity Futures'!$I:$I,'Daily NSE Equity Futures'!$A:$A,$A1028)=0,"",SUMIFS('Daily NSE Equity Futures'!$I:$I,'Daily NSE Equity Futures'!$A:$A,$A1028))</f>
        <v>1684.9474</v>
      </c>
      <c r="F1028" s="6">
        <f>IF(SUMIFS('Daily BSE Equity Futures'!$I:$I,'Daily BSE Equity Futures'!$A:$A,$A1028)=0,"",SUMIFS('Daily BSE Equity Futures'!$I:$I,'Daily BSE Equity Futures'!$A:$A,$A1028))</f>
        <v>0.53669999999999995</v>
      </c>
      <c r="G1028" s="6">
        <f t="shared" si="192"/>
        <v>1685.4841000000001</v>
      </c>
      <c r="H1028" s="15">
        <f t="shared" si="193"/>
        <v>0.99968157516288636</v>
      </c>
      <c r="I1028" s="15">
        <f t="shared" si="194"/>
        <v>3.1842483711356275E-4</v>
      </c>
      <c r="J1028" s="20">
        <f t="shared" si="195"/>
        <v>-6.4276753037821766E-2</v>
      </c>
      <c r="K1028" s="15">
        <f t="shared" si="196"/>
        <v>2.0033575825405707</v>
      </c>
      <c r="L1028" s="15">
        <f t="shared" si="197"/>
        <v>-6.4071581902199748E-2</v>
      </c>
      <c r="M1028" s="15">
        <f t="shared" si="201"/>
        <v>0.10091835791953518</v>
      </c>
      <c r="N1028" s="15">
        <f t="shared" si="202"/>
        <v>2.8357922973749616E-2</v>
      </c>
      <c r="O1028" s="15">
        <f t="shared" si="203"/>
        <v>0.10089362314987871</v>
      </c>
      <c r="P1028" s="18">
        <f>IF(SUMIFS('Daily NSE Equity Futures'!$J:$J,'Daily NSE Equity Futures'!$A:$A,$A1028)=0,"",SUMIFS('Daily NSE Equity Futures'!$J:$J,'Daily NSE Equity Futures'!$A:$A,$A1028))</f>
        <v>2200201</v>
      </c>
      <c r="Q1028" s="7">
        <f>IF(SUMIFS('Daily BSE Equity Futures'!$J:$J,'Daily BSE Equity Futures'!$A:$A,$A1028)=0,"",SUMIFS('Daily BSE Equity Futures'!$J:$J,'Daily BSE Equity Futures'!$A:$A,$A1028))</f>
        <v>678</v>
      </c>
      <c r="R1028" s="7">
        <f t="shared" si="198"/>
        <v>2200879</v>
      </c>
      <c r="S1028" s="19">
        <f t="shared" si="199"/>
        <v>0.99969194126528538</v>
      </c>
      <c r="T1028" s="19">
        <f t="shared" si="200"/>
        <v>3.0805873471462995E-4</v>
      </c>
    </row>
    <row r="1029" spans="1:20" x14ac:dyDescent="0.2">
      <c r="A1029" s="9">
        <v>45435</v>
      </c>
      <c r="B1029" s="4" t="s">
        <v>224</v>
      </c>
      <c r="C1029" s="8">
        <v>45413</v>
      </c>
      <c r="D1029" s="4" t="s">
        <v>189</v>
      </c>
      <c r="E1029" s="14">
        <f>IF(SUMIFS('Daily NSE Equity Futures'!$I:$I,'Daily NSE Equity Futures'!$A:$A,$A1029)=0,"",SUMIFS('Daily NSE Equity Futures'!$I:$I,'Daily NSE Equity Futures'!$A:$A,$A1029))</f>
        <v>2221.3548000000001</v>
      </c>
      <c r="F1029" s="6">
        <f>IF(SUMIFS('Daily BSE Equity Futures'!$I:$I,'Daily BSE Equity Futures'!$A:$A,$A1029)=0,"",SUMIFS('Daily BSE Equity Futures'!$I:$I,'Daily BSE Equity Futures'!$A:$A,$A1029))</f>
        <v>0.87260000000000004</v>
      </c>
      <c r="G1029" s="6">
        <f t="shared" si="192"/>
        <v>2222.2274000000002</v>
      </c>
      <c r="H1029" s="15">
        <f t="shared" si="193"/>
        <v>0.99960733091491893</v>
      </c>
      <c r="I1029" s="15">
        <f t="shared" si="194"/>
        <v>3.9266908508103174E-4</v>
      </c>
      <c r="J1029" s="20">
        <f t="shared" si="195"/>
        <v>0.19645541658625598</v>
      </c>
      <c r="K1029" s="15">
        <f t="shared" si="196"/>
        <v>3.31339594661394</v>
      </c>
      <c r="L1029" s="15">
        <f t="shared" si="197"/>
        <v>0.1967950071934994</v>
      </c>
      <c r="M1029" s="15">
        <f t="shared" si="201"/>
        <v>0.31835260851466352</v>
      </c>
      <c r="N1029" s="15">
        <f t="shared" si="202"/>
        <v>0.62586174771753322</v>
      </c>
      <c r="O1029" s="15">
        <f t="shared" si="203"/>
        <v>0.3184505270622251</v>
      </c>
      <c r="P1029" s="18">
        <f>IF(SUMIFS('Daily NSE Equity Futures'!$J:$J,'Daily NSE Equity Futures'!$A:$A,$A1029)=0,"",SUMIFS('Daily NSE Equity Futures'!$J:$J,'Daily NSE Equity Futures'!$A:$A,$A1029))</f>
        <v>3031532</v>
      </c>
      <c r="Q1029" s="7">
        <f>IF(SUMIFS('Daily BSE Equity Futures'!$J:$J,'Daily BSE Equity Futures'!$A:$A,$A1029)=0,"",SUMIFS('Daily BSE Equity Futures'!$J:$J,'Daily BSE Equity Futures'!$A:$A,$A1029))</f>
        <v>1148</v>
      </c>
      <c r="R1029" s="7">
        <f t="shared" si="198"/>
        <v>3032680</v>
      </c>
      <c r="S1029" s="19">
        <f t="shared" si="199"/>
        <v>0.99962145692918469</v>
      </c>
      <c r="T1029" s="19">
        <f t="shared" si="200"/>
        <v>3.7854307081525249E-4</v>
      </c>
    </row>
    <row r="1030" spans="1:20" x14ac:dyDescent="0.2">
      <c r="A1030" s="9">
        <v>45436</v>
      </c>
      <c r="B1030" s="4" t="s">
        <v>222</v>
      </c>
      <c r="C1030" s="8">
        <v>45413</v>
      </c>
      <c r="D1030" s="4" t="s">
        <v>189</v>
      </c>
      <c r="E1030" s="14">
        <f>IF(SUMIFS('Daily NSE Equity Futures'!$I:$I,'Daily NSE Equity Futures'!$A:$A,$A1030)=0,"",SUMIFS('Daily NSE Equity Futures'!$I:$I,'Daily NSE Equity Futures'!$A:$A,$A1030))</f>
        <v>2141.152</v>
      </c>
      <c r="F1030" s="6">
        <f>IF(SUMIFS('Daily BSE Equity Futures'!$I:$I,'Daily BSE Equity Futures'!$A:$A,$A1030)=0,"",SUMIFS('Daily BSE Equity Futures'!$I:$I,'Daily BSE Equity Futures'!$A:$A,$A1030))</f>
        <v>1.6476</v>
      </c>
      <c r="G1030" s="6">
        <f t="shared" si="192"/>
        <v>2142.7995999999998</v>
      </c>
      <c r="H1030" s="15">
        <f t="shared" si="193"/>
        <v>0.99923109935245469</v>
      </c>
      <c r="I1030" s="15">
        <f t="shared" si="194"/>
        <v>7.6890064754538882E-4</v>
      </c>
      <c r="J1030" s="20">
        <f t="shared" si="195"/>
        <v>0.14054015471040016</v>
      </c>
      <c r="K1030" s="15">
        <f t="shared" si="196"/>
        <v>12.045130641330166</v>
      </c>
      <c r="L1030" s="15">
        <f t="shared" si="197"/>
        <v>0.14134100562345431</v>
      </c>
      <c r="M1030" s="15">
        <f t="shared" si="201"/>
        <v>-3.6105353363631965E-2</v>
      </c>
      <c r="N1030" s="15">
        <f t="shared" si="202"/>
        <v>0.88815035526014197</v>
      </c>
      <c r="O1030" s="15">
        <f t="shared" si="203"/>
        <v>-3.5742426720145937E-2</v>
      </c>
      <c r="P1030" s="18">
        <f>IF(SUMIFS('Daily NSE Equity Futures'!$J:$J,'Daily NSE Equity Futures'!$A:$A,$A1030)=0,"",SUMIFS('Daily NSE Equity Futures'!$J:$J,'Daily NSE Equity Futures'!$A:$A,$A1030))</f>
        <v>2752980</v>
      </c>
      <c r="Q1030" s="7">
        <f>IF(SUMIFS('Daily BSE Equity Futures'!$J:$J,'Daily BSE Equity Futures'!$A:$A,$A1030)=0,"",SUMIFS('Daily BSE Equity Futures'!$J:$J,'Daily BSE Equity Futures'!$A:$A,$A1030))</f>
        <v>2167</v>
      </c>
      <c r="R1030" s="7">
        <f t="shared" si="198"/>
        <v>2755147</v>
      </c>
      <c r="S1030" s="19">
        <f t="shared" si="199"/>
        <v>0.9992134720942295</v>
      </c>
      <c r="T1030" s="19">
        <f t="shared" si="200"/>
        <v>7.8652790577054513E-4</v>
      </c>
    </row>
    <row r="1031" spans="1:20" x14ac:dyDescent="0.2">
      <c r="A1031" s="9">
        <v>45439</v>
      </c>
      <c r="B1031" s="4" t="s">
        <v>225</v>
      </c>
      <c r="C1031" s="8">
        <v>45413</v>
      </c>
      <c r="D1031" s="4" t="s">
        <v>189</v>
      </c>
      <c r="E1031" s="14">
        <f>IF(SUMIFS('Daily NSE Equity Futures'!$I:$I,'Daily NSE Equity Futures'!$A:$A,$A1031)=0,"",SUMIFS('Daily NSE Equity Futures'!$I:$I,'Daily NSE Equity Futures'!$A:$A,$A1031))</f>
        <v>3581.1509999999998</v>
      </c>
      <c r="F1031" s="6">
        <f>IF(SUMIFS('Daily BSE Equity Futures'!$I:$I,'Daily BSE Equity Futures'!$A:$A,$A1031)=0,"",SUMIFS('Daily BSE Equity Futures'!$I:$I,'Daily BSE Equity Futures'!$A:$A,$A1031))</f>
        <v>0.84079999999999999</v>
      </c>
      <c r="G1031" s="6">
        <f t="shared" si="192"/>
        <v>3581.9917999999998</v>
      </c>
      <c r="H1031" s="15">
        <f t="shared" si="193"/>
        <v>0.99976527026108775</v>
      </c>
      <c r="I1031" s="15">
        <f t="shared" si="194"/>
        <v>2.3472973891230014E-4</v>
      </c>
      <c r="J1031" s="20" t="str">
        <f t="shared" si="195"/>
        <v/>
      </c>
      <c r="K1031" s="15" t="str">
        <f t="shared" si="196"/>
        <v/>
      </c>
      <c r="L1031" s="15" t="str">
        <f t="shared" si="197"/>
        <v/>
      </c>
      <c r="M1031" s="15">
        <f t="shared" si="201"/>
        <v>0.67253469160526658</v>
      </c>
      <c r="N1031" s="15">
        <f t="shared" si="202"/>
        <v>-0.48968196164117506</v>
      </c>
      <c r="O1031" s="15">
        <f t="shared" si="203"/>
        <v>0.6716410624679976</v>
      </c>
      <c r="P1031" s="18">
        <f>IF(SUMIFS('Daily NSE Equity Futures'!$J:$J,'Daily NSE Equity Futures'!$A:$A,$A1031)=0,"",SUMIFS('Daily NSE Equity Futures'!$J:$J,'Daily NSE Equity Futures'!$A:$A,$A1031))</f>
        <v>4704651</v>
      </c>
      <c r="Q1031" s="7">
        <f>IF(SUMIFS('Daily BSE Equity Futures'!$J:$J,'Daily BSE Equity Futures'!$A:$A,$A1031)=0,"",SUMIFS('Daily BSE Equity Futures'!$J:$J,'Daily BSE Equity Futures'!$A:$A,$A1031))</f>
        <v>1059</v>
      </c>
      <c r="R1031" s="7">
        <f t="shared" si="198"/>
        <v>4705710</v>
      </c>
      <c r="S1031" s="19">
        <f t="shared" si="199"/>
        <v>0.99977495425769969</v>
      </c>
      <c r="T1031" s="19">
        <f t="shared" si="200"/>
        <v>2.2504574230031174E-4</v>
      </c>
    </row>
    <row r="1032" spans="1:20" x14ac:dyDescent="0.2">
      <c r="A1032" s="9">
        <v>45440</v>
      </c>
      <c r="B1032" s="4" t="s">
        <v>223</v>
      </c>
      <c r="C1032" s="8">
        <v>45413</v>
      </c>
      <c r="D1032" s="4" t="s">
        <v>189</v>
      </c>
      <c r="E1032" s="14">
        <f>IF(SUMIFS('Daily NSE Equity Futures'!$I:$I,'Daily NSE Equity Futures'!$A:$A,$A1032)=0,"",SUMIFS('Daily NSE Equity Futures'!$I:$I,'Daily NSE Equity Futures'!$A:$A,$A1032))</f>
        <v>3392.8013000000001</v>
      </c>
      <c r="F1032" s="6">
        <f>IF(SUMIFS('Daily BSE Equity Futures'!$I:$I,'Daily BSE Equity Futures'!$A:$A,$A1032)=0,"",SUMIFS('Daily BSE Equity Futures'!$I:$I,'Daily BSE Equity Futures'!$A:$A,$A1032))</f>
        <v>0.30070000000000002</v>
      </c>
      <c r="G1032" s="6">
        <f t="shared" si="192"/>
        <v>3393.1019999999999</v>
      </c>
      <c r="H1032" s="15">
        <f t="shared" si="193"/>
        <v>0.99991137902721472</v>
      </c>
      <c r="I1032" s="15">
        <f t="shared" si="194"/>
        <v>8.8620972785374567E-5</v>
      </c>
      <c r="J1032" s="20" t="str">
        <f t="shared" si="195"/>
        <v/>
      </c>
      <c r="K1032" s="15" t="str">
        <f t="shared" si="196"/>
        <v/>
      </c>
      <c r="L1032" s="15" t="str">
        <f t="shared" si="197"/>
        <v/>
      </c>
      <c r="M1032" s="15">
        <f t="shared" si="201"/>
        <v>-5.2594738395560503E-2</v>
      </c>
      <c r="N1032" s="15">
        <f t="shared" si="202"/>
        <v>-0.64236441484300655</v>
      </c>
      <c r="O1032" s="15">
        <f t="shared" si="203"/>
        <v>-5.2733174877731437E-2</v>
      </c>
      <c r="P1032" s="18">
        <f>IF(SUMIFS('Daily NSE Equity Futures'!$J:$J,'Daily NSE Equity Futures'!$A:$A,$A1032)=0,"",SUMIFS('Daily NSE Equity Futures'!$J:$J,'Daily NSE Equity Futures'!$A:$A,$A1032))</f>
        <v>4454378</v>
      </c>
      <c r="Q1032" s="7">
        <f>IF(SUMIFS('Daily BSE Equity Futures'!$J:$J,'Daily BSE Equity Futures'!$A:$A,$A1032)=0,"",SUMIFS('Daily BSE Equity Futures'!$J:$J,'Daily BSE Equity Futures'!$A:$A,$A1032))</f>
        <v>398</v>
      </c>
      <c r="R1032" s="7">
        <f t="shared" si="198"/>
        <v>4454776</v>
      </c>
      <c r="S1032" s="19">
        <f t="shared" si="199"/>
        <v>0.99991065768514509</v>
      </c>
      <c r="T1032" s="19">
        <f t="shared" si="200"/>
        <v>8.9342314854888322E-5</v>
      </c>
    </row>
    <row r="1033" spans="1:20" x14ac:dyDescent="0.2">
      <c r="A1033" s="9">
        <v>45441</v>
      </c>
      <c r="B1033" s="4" t="s">
        <v>221</v>
      </c>
      <c r="C1033" s="8">
        <v>45413</v>
      </c>
      <c r="D1033" s="4" t="s">
        <v>189</v>
      </c>
      <c r="E1033" s="14">
        <f>IF(SUMIFS('Daily NSE Equity Futures'!$I:$I,'Daily NSE Equity Futures'!$A:$A,$A1033)=0,"",SUMIFS('Daily NSE Equity Futures'!$I:$I,'Daily NSE Equity Futures'!$A:$A,$A1033))</f>
        <v>3325.2714999999998</v>
      </c>
      <c r="F1033" s="6">
        <f>IF(SUMIFS('Daily BSE Equity Futures'!$I:$I,'Daily BSE Equity Futures'!$A:$A,$A1033)=0,"",SUMIFS('Daily BSE Equity Futures'!$I:$I,'Daily BSE Equity Futures'!$A:$A,$A1033))</f>
        <v>0.72919999999999996</v>
      </c>
      <c r="G1033" s="6">
        <f t="shared" si="192"/>
        <v>3326.0007000000001</v>
      </c>
      <c r="H1033" s="15">
        <f t="shared" si="193"/>
        <v>0.99978075771300945</v>
      </c>
      <c r="I1033" s="15">
        <f t="shared" si="194"/>
        <v>2.192422869904988E-4</v>
      </c>
      <c r="J1033" s="20">
        <f t="shared" si="195"/>
        <v>3.5323216745186423</v>
      </c>
      <c r="K1033" s="15">
        <f t="shared" si="196"/>
        <v>5.3298611111111107</v>
      </c>
      <c r="L1033" s="15">
        <f t="shared" si="197"/>
        <v>3.5326038740808574</v>
      </c>
      <c r="M1033" s="15">
        <f t="shared" si="201"/>
        <v>-1.9903847596380086E-2</v>
      </c>
      <c r="N1033" s="15">
        <f t="shared" si="202"/>
        <v>1.4250083139341534</v>
      </c>
      <c r="O1033" s="15">
        <f t="shared" si="203"/>
        <v>-1.9775798075035711E-2</v>
      </c>
      <c r="P1033" s="18">
        <f>IF(SUMIFS('Daily NSE Equity Futures'!$J:$J,'Daily NSE Equity Futures'!$A:$A,$A1033)=0,"",SUMIFS('Daily NSE Equity Futures'!$J:$J,'Daily NSE Equity Futures'!$A:$A,$A1033))</f>
        <v>4462245</v>
      </c>
      <c r="Q1033" s="7">
        <f>IF(SUMIFS('Daily BSE Equity Futures'!$J:$J,'Daily BSE Equity Futures'!$A:$A,$A1033)=0,"",SUMIFS('Daily BSE Equity Futures'!$J:$J,'Daily BSE Equity Futures'!$A:$A,$A1033))</f>
        <v>967</v>
      </c>
      <c r="R1033" s="7">
        <f t="shared" si="198"/>
        <v>4463212</v>
      </c>
      <c r="S1033" s="19">
        <f t="shared" si="199"/>
        <v>0.99978333989064383</v>
      </c>
      <c r="T1033" s="19">
        <f t="shared" si="200"/>
        <v>2.1666010935622148E-4</v>
      </c>
    </row>
    <row r="1034" spans="1:20" x14ac:dyDescent="0.2">
      <c r="A1034" s="9">
        <v>45442</v>
      </c>
      <c r="B1034" s="4" t="s">
        <v>224</v>
      </c>
      <c r="C1034" s="8">
        <v>45413</v>
      </c>
      <c r="D1034" s="4" t="s">
        <v>189</v>
      </c>
      <c r="E1034" s="14">
        <f>IF(SUMIFS('Daily NSE Equity Futures'!$I:$I,'Daily NSE Equity Futures'!$A:$A,$A1034)=0,"",SUMIFS('Daily NSE Equity Futures'!$I:$I,'Daily NSE Equity Futures'!$A:$A,$A1034))</f>
        <v>3594.4313000000002</v>
      </c>
      <c r="F1034" s="6">
        <f>IF(SUMIFS('Daily BSE Equity Futures'!$I:$I,'Daily BSE Equity Futures'!$A:$A,$A1034)=0,"",SUMIFS('Daily BSE Equity Futures'!$I:$I,'Daily BSE Equity Futures'!$A:$A,$A1034))</f>
        <v>1.2848999999999999</v>
      </c>
      <c r="G1034" s="6">
        <f t="shared" si="192"/>
        <v>3595.7162000000003</v>
      </c>
      <c r="H1034" s="15">
        <f t="shared" si="193"/>
        <v>0.99964265811634412</v>
      </c>
      <c r="I1034" s="15">
        <f t="shared" si="194"/>
        <v>3.5734188365589027E-4</v>
      </c>
      <c r="J1034" s="20">
        <f t="shared" si="195"/>
        <v>4.7998328028483872</v>
      </c>
      <c r="K1034" s="15">
        <f t="shared" si="196"/>
        <v>15.451984635083225</v>
      </c>
      <c r="L1034" s="15">
        <f t="shared" si="197"/>
        <v>4.8011750081272888</v>
      </c>
      <c r="M1034" s="15">
        <f t="shared" si="201"/>
        <v>8.0943706401116478E-2</v>
      </c>
      <c r="N1034" s="15">
        <f t="shared" si="202"/>
        <v>0.76206801974766858</v>
      </c>
      <c r="O1034" s="15">
        <f t="shared" si="203"/>
        <v>8.1093037653299449E-2</v>
      </c>
      <c r="P1034" s="18">
        <f>IF(SUMIFS('Daily NSE Equity Futures'!$J:$J,'Daily NSE Equity Futures'!$A:$A,$A1034)=0,"",SUMIFS('Daily NSE Equity Futures'!$J:$J,'Daily NSE Equity Futures'!$A:$A,$A1034))</f>
        <v>4940065</v>
      </c>
      <c r="Q1034" s="7">
        <f>IF(SUMIFS('Daily BSE Equity Futures'!$J:$J,'Daily BSE Equity Futures'!$A:$A,$A1034)=0,"",SUMIFS('Daily BSE Equity Futures'!$J:$J,'Daily BSE Equity Futures'!$A:$A,$A1034))</f>
        <v>1713</v>
      </c>
      <c r="R1034" s="7">
        <f t="shared" si="198"/>
        <v>4941778</v>
      </c>
      <c r="S1034" s="19">
        <f t="shared" si="199"/>
        <v>0.99965336362742319</v>
      </c>
      <c r="T1034" s="19">
        <f t="shared" si="200"/>
        <v>3.4663637257683369E-4</v>
      </c>
    </row>
    <row r="1035" spans="1:20" x14ac:dyDescent="0.2">
      <c r="A1035" s="9">
        <v>45443</v>
      </c>
      <c r="B1035" s="4" t="s">
        <v>222</v>
      </c>
      <c r="C1035" s="8">
        <v>45413</v>
      </c>
      <c r="D1035" s="4" t="s">
        <v>189</v>
      </c>
      <c r="E1035" s="14">
        <f>IF(SUMIFS('Daily NSE Equity Futures'!$I:$I,'Daily NSE Equity Futures'!$A:$A,$A1035)=0,"",SUMIFS('Daily NSE Equity Futures'!$I:$I,'Daily NSE Equity Futures'!$A:$A,$A1035))</f>
        <v>1892.8112000000001</v>
      </c>
      <c r="F1035" s="6">
        <f>IF(SUMIFS('Daily BSE Equity Futures'!$I:$I,'Daily BSE Equity Futures'!$A:$A,$A1035)=0,"",SUMIFS('Daily BSE Equity Futures'!$I:$I,'Daily BSE Equity Futures'!$A:$A,$A1035))</f>
        <v>2.8418999999999999</v>
      </c>
      <c r="G1035" s="6">
        <f t="shared" si="192"/>
        <v>1895.6531</v>
      </c>
      <c r="H1035" s="15">
        <f t="shared" si="193"/>
        <v>0.99850083330119843</v>
      </c>
      <c r="I1035" s="15">
        <f t="shared" si="194"/>
        <v>1.4991666988015896E-3</v>
      </c>
      <c r="J1035" s="20">
        <f t="shared" si="195"/>
        <v>0.70865138662811278</v>
      </c>
      <c r="K1035" s="15">
        <f t="shared" si="196"/>
        <v>31.628013777267512</v>
      </c>
      <c r="L1035" s="15">
        <f t="shared" si="197"/>
        <v>0.71108225087124555</v>
      </c>
      <c r="M1035" s="15">
        <f t="shared" si="201"/>
        <v>-0.47340454107441143</v>
      </c>
      <c r="N1035" s="15">
        <f t="shared" si="202"/>
        <v>1.2117674527200561</v>
      </c>
      <c r="O1035" s="15">
        <f t="shared" si="203"/>
        <v>-0.47280235853986474</v>
      </c>
      <c r="P1035" s="18">
        <f>IF(SUMIFS('Daily NSE Equity Futures'!$J:$J,'Daily NSE Equity Futures'!$A:$A,$A1035)=0,"",SUMIFS('Daily NSE Equity Futures'!$J:$J,'Daily NSE Equity Futures'!$A:$A,$A1035))</f>
        <v>2604296</v>
      </c>
      <c r="Q1035" s="7">
        <f>IF(SUMIFS('Daily BSE Equity Futures'!$J:$J,'Daily BSE Equity Futures'!$A:$A,$A1035)=0,"",SUMIFS('Daily BSE Equity Futures'!$J:$J,'Daily BSE Equity Futures'!$A:$A,$A1035))</f>
        <v>3828</v>
      </c>
      <c r="R1035" s="7">
        <f t="shared" si="198"/>
        <v>2608124</v>
      </c>
      <c r="S1035" s="19">
        <f t="shared" si="199"/>
        <v>0.99853227837326752</v>
      </c>
      <c r="T1035" s="19">
        <f t="shared" si="200"/>
        <v>1.4677216267324712E-3</v>
      </c>
    </row>
    <row r="1036" spans="1:20" x14ac:dyDescent="0.2">
      <c r="A1036" s="9">
        <v>45446</v>
      </c>
      <c r="B1036" s="4" t="s">
        <v>225</v>
      </c>
      <c r="C1036" s="8">
        <v>45444</v>
      </c>
      <c r="D1036" s="4" t="s">
        <v>189</v>
      </c>
      <c r="E1036" s="14">
        <f>IF(SUMIFS('Daily NSE Equity Futures'!$I:$I,'Daily NSE Equity Futures'!$A:$A,$A1036)=0,"",SUMIFS('Daily NSE Equity Futures'!$I:$I,'Daily NSE Equity Futures'!$A:$A,$A1036))</f>
        <v>2543.4194000000002</v>
      </c>
      <c r="F1036" s="6">
        <f>IF(SUMIFS('Daily BSE Equity Futures'!$I:$I,'Daily BSE Equity Futures'!$A:$A,$A1036)=0,"",SUMIFS('Daily BSE Equity Futures'!$I:$I,'Daily BSE Equity Futures'!$A:$A,$A1036))</f>
        <v>2.0116999999999998</v>
      </c>
      <c r="G1036" s="6">
        <f t="shared" si="192"/>
        <v>2545.4311000000002</v>
      </c>
      <c r="H1036" s="15">
        <f t="shared" si="193"/>
        <v>0.9992096820063211</v>
      </c>
      <c r="I1036" s="15">
        <f t="shared" si="194"/>
        <v>7.9031799367894882E-4</v>
      </c>
      <c r="J1036" s="20" t="str">
        <f t="shared" si="195"/>
        <v/>
      </c>
      <c r="K1036" s="15" t="str">
        <f t="shared" si="196"/>
        <v/>
      </c>
      <c r="L1036" s="15" t="str">
        <f t="shared" si="197"/>
        <v/>
      </c>
      <c r="M1036" s="15">
        <f t="shared" si="201"/>
        <v>0.34372588243349367</v>
      </c>
      <c r="N1036" s="15">
        <f t="shared" si="202"/>
        <v>-0.29212850557725467</v>
      </c>
      <c r="O1036" s="15">
        <f t="shared" si="203"/>
        <v>0.34277263070970121</v>
      </c>
      <c r="P1036" s="18">
        <f>IF(SUMIFS('Daily NSE Equity Futures'!$J:$J,'Daily NSE Equity Futures'!$A:$A,$A1036)=0,"",SUMIFS('Daily NSE Equity Futures'!$J:$J,'Daily NSE Equity Futures'!$A:$A,$A1036))</f>
        <v>3303917</v>
      </c>
      <c r="Q1036" s="7">
        <f>IF(SUMIFS('Daily BSE Equity Futures'!$J:$J,'Daily BSE Equity Futures'!$A:$A,$A1036)=0,"",SUMIFS('Daily BSE Equity Futures'!$J:$J,'Daily BSE Equity Futures'!$A:$A,$A1036))</f>
        <v>2459</v>
      </c>
      <c r="R1036" s="7">
        <f t="shared" si="198"/>
        <v>3306376</v>
      </c>
      <c r="S1036" s="19">
        <f t="shared" si="199"/>
        <v>0.99925628543154199</v>
      </c>
      <c r="T1036" s="19">
        <f t="shared" si="200"/>
        <v>7.4371456845803382E-4</v>
      </c>
    </row>
    <row r="1037" spans="1:20" x14ac:dyDescent="0.2">
      <c r="A1037" s="9">
        <v>45447</v>
      </c>
      <c r="B1037" s="4" t="s">
        <v>223</v>
      </c>
      <c r="C1037" s="8">
        <v>45444</v>
      </c>
      <c r="D1037" s="4" t="s">
        <v>189</v>
      </c>
      <c r="E1037" s="14">
        <f>IF(SUMIFS('Daily NSE Equity Futures'!$I:$I,'Daily NSE Equity Futures'!$A:$A,$A1037)=0,"",SUMIFS('Daily NSE Equity Futures'!$I:$I,'Daily NSE Equity Futures'!$A:$A,$A1037))</f>
        <v>4699.3534</v>
      </c>
      <c r="F1037" s="6">
        <f>IF(SUMIFS('Daily BSE Equity Futures'!$I:$I,'Daily BSE Equity Futures'!$A:$A,$A1037)=0,"",SUMIFS('Daily BSE Equity Futures'!$I:$I,'Daily BSE Equity Futures'!$A:$A,$A1037))</f>
        <v>1.2830999999999999</v>
      </c>
      <c r="G1037" s="6">
        <f t="shared" si="192"/>
        <v>4700.6364999999996</v>
      </c>
      <c r="H1037" s="15">
        <f t="shared" si="193"/>
        <v>0.99972703696616416</v>
      </c>
      <c r="I1037" s="15">
        <f t="shared" si="194"/>
        <v>2.7296303383594965E-4</v>
      </c>
      <c r="J1037" s="20" t="str">
        <f t="shared" si="195"/>
        <v/>
      </c>
      <c r="K1037" s="15" t="str">
        <f t="shared" si="196"/>
        <v/>
      </c>
      <c r="L1037" s="15" t="str">
        <f t="shared" si="197"/>
        <v/>
      </c>
      <c r="M1037" s="15">
        <f t="shared" si="201"/>
        <v>0.84765178719640155</v>
      </c>
      <c r="N1037" s="15">
        <f t="shared" si="202"/>
        <v>-0.36218123974747729</v>
      </c>
      <c r="O1037" s="15">
        <f t="shared" si="203"/>
        <v>0.84669563438586071</v>
      </c>
      <c r="P1037" s="18">
        <f>IF(SUMIFS('Daily NSE Equity Futures'!$J:$J,'Daily NSE Equity Futures'!$A:$A,$A1037)=0,"",SUMIFS('Daily NSE Equity Futures'!$J:$J,'Daily NSE Equity Futures'!$A:$A,$A1037))</f>
        <v>6693439</v>
      </c>
      <c r="Q1037" s="7">
        <f>IF(SUMIFS('Daily BSE Equity Futures'!$J:$J,'Daily BSE Equity Futures'!$A:$A,$A1037)=0,"",SUMIFS('Daily BSE Equity Futures'!$J:$J,'Daily BSE Equity Futures'!$A:$A,$A1037))</f>
        <v>1758</v>
      </c>
      <c r="R1037" s="7">
        <f t="shared" si="198"/>
        <v>6695197</v>
      </c>
      <c r="S1037" s="19">
        <f t="shared" si="199"/>
        <v>0.99973742370836882</v>
      </c>
      <c r="T1037" s="19">
        <f t="shared" si="200"/>
        <v>2.6257629163114994E-4</v>
      </c>
    </row>
    <row r="1038" spans="1:20" x14ac:dyDescent="0.2">
      <c r="A1038" s="9">
        <v>45448</v>
      </c>
      <c r="B1038" s="4" t="s">
        <v>221</v>
      </c>
      <c r="C1038" s="8">
        <v>45444</v>
      </c>
      <c r="D1038" s="4" t="s">
        <v>189</v>
      </c>
      <c r="E1038" s="14">
        <f>IF(SUMIFS('Daily NSE Equity Futures'!$I:$I,'Daily NSE Equity Futures'!$A:$A,$A1038)=0,"",SUMIFS('Daily NSE Equity Futures'!$I:$I,'Daily NSE Equity Futures'!$A:$A,$A1038))</f>
        <v>3024.6758</v>
      </c>
      <c r="F1038" s="6">
        <f>IF(SUMIFS('Daily BSE Equity Futures'!$I:$I,'Daily BSE Equity Futures'!$A:$A,$A1038)=0,"",SUMIFS('Daily BSE Equity Futures'!$I:$I,'Daily BSE Equity Futures'!$A:$A,$A1038))</f>
        <v>1.0470999999999999</v>
      </c>
      <c r="G1038" s="6">
        <f t="shared" si="192"/>
        <v>3025.7228999999998</v>
      </c>
      <c r="H1038" s="15">
        <f t="shared" si="193"/>
        <v>0.99965393394087743</v>
      </c>
      <c r="I1038" s="15">
        <f t="shared" si="194"/>
        <v>3.4606605912259844E-4</v>
      </c>
      <c r="J1038" s="20">
        <f t="shared" si="195"/>
        <v>3.6576625298083858</v>
      </c>
      <c r="K1038" s="15">
        <f t="shared" si="196"/>
        <v>21.812636165577338</v>
      </c>
      <c r="L1038" s="15">
        <f t="shared" si="197"/>
        <v>3.6589456484064744</v>
      </c>
      <c r="M1038" s="15">
        <f t="shared" si="201"/>
        <v>-0.35636340948522838</v>
      </c>
      <c r="N1038" s="15">
        <f t="shared" si="202"/>
        <v>-0.1839295456316733</v>
      </c>
      <c r="O1038" s="15">
        <f t="shared" si="203"/>
        <v>-0.35631634141461477</v>
      </c>
      <c r="P1038" s="18">
        <f>IF(SUMIFS('Daily NSE Equity Futures'!$J:$J,'Daily NSE Equity Futures'!$A:$A,$A1038)=0,"",SUMIFS('Daily NSE Equity Futures'!$J:$J,'Daily NSE Equity Futures'!$A:$A,$A1038))</f>
        <v>4276631</v>
      </c>
      <c r="Q1038" s="7">
        <f>IF(SUMIFS('Daily BSE Equity Futures'!$J:$J,'Daily BSE Equity Futures'!$A:$A,$A1038)=0,"",SUMIFS('Daily BSE Equity Futures'!$J:$J,'Daily BSE Equity Futures'!$A:$A,$A1038))</f>
        <v>1418</v>
      </c>
      <c r="R1038" s="7">
        <f t="shared" si="198"/>
        <v>4278049</v>
      </c>
      <c r="S1038" s="19">
        <f t="shared" si="199"/>
        <v>0.99966854049591303</v>
      </c>
      <c r="T1038" s="19">
        <f t="shared" si="200"/>
        <v>3.3145950408702661E-4</v>
      </c>
    </row>
    <row r="1039" spans="1:20" x14ac:dyDescent="0.2">
      <c r="A1039" s="9">
        <v>45449</v>
      </c>
      <c r="B1039" s="4" t="s">
        <v>224</v>
      </c>
      <c r="C1039" s="8">
        <v>45444</v>
      </c>
      <c r="D1039" s="4" t="s">
        <v>189</v>
      </c>
      <c r="E1039" s="14">
        <f>IF(SUMIFS('Daily NSE Equity Futures'!$I:$I,'Daily NSE Equity Futures'!$A:$A,$A1039)=0,"",SUMIFS('Daily NSE Equity Futures'!$I:$I,'Daily NSE Equity Futures'!$A:$A,$A1039))</f>
        <v>2242.3434000000002</v>
      </c>
      <c r="F1039" s="6">
        <f>IF(SUMIFS('Daily BSE Equity Futures'!$I:$I,'Daily BSE Equity Futures'!$A:$A,$A1039)=0,"",SUMIFS('Daily BSE Equity Futures'!$I:$I,'Daily BSE Equity Futures'!$A:$A,$A1039))</f>
        <v>0.97440000000000004</v>
      </c>
      <c r="G1039" s="6">
        <f t="shared" si="192"/>
        <v>2243.3178000000003</v>
      </c>
      <c r="H1039" s="15">
        <f t="shared" si="193"/>
        <v>0.99956564335200293</v>
      </c>
      <c r="I1039" s="15">
        <f t="shared" si="194"/>
        <v>4.3435664799699797E-4</v>
      </c>
      <c r="J1039" s="20">
        <f t="shared" si="195"/>
        <v>2.3561885404162717</v>
      </c>
      <c r="K1039" s="15">
        <f t="shared" si="196"/>
        <v>21.87323943661972</v>
      </c>
      <c r="L1039" s="15">
        <f t="shared" si="197"/>
        <v>2.3574328840528223</v>
      </c>
      <c r="M1039" s="15">
        <f t="shared" si="201"/>
        <v>-0.25865000143155836</v>
      </c>
      <c r="N1039" s="15">
        <f t="shared" si="202"/>
        <v>-6.9429853882150616E-2</v>
      </c>
      <c r="O1039" s="15">
        <f t="shared" si="203"/>
        <v>-0.25858451876078925</v>
      </c>
      <c r="P1039" s="18">
        <f>IF(SUMIFS('Daily NSE Equity Futures'!$J:$J,'Daily NSE Equity Futures'!$A:$A,$A1039)=0,"",SUMIFS('Daily NSE Equity Futures'!$J:$J,'Daily NSE Equity Futures'!$A:$A,$A1039))</f>
        <v>3059321</v>
      </c>
      <c r="Q1039" s="7">
        <f>IF(SUMIFS('Daily BSE Equity Futures'!$J:$J,'Daily BSE Equity Futures'!$A:$A,$A1039)=0,"",SUMIFS('Daily BSE Equity Futures'!$J:$J,'Daily BSE Equity Futures'!$A:$A,$A1039))</f>
        <v>1281</v>
      </c>
      <c r="R1039" s="7">
        <f t="shared" si="198"/>
        <v>3060602</v>
      </c>
      <c r="S1039" s="19">
        <f t="shared" si="199"/>
        <v>0.99958145489024708</v>
      </c>
      <c r="T1039" s="19">
        <f t="shared" si="200"/>
        <v>4.1854510975291789E-4</v>
      </c>
    </row>
    <row r="1040" spans="1:20" x14ac:dyDescent="0.2">
      <c r="A1040" s="9">
        <v>45450</v>
      </c>
      <c r="B1040" s="4" t="s">
        <v>222</v>
      </c>
      <c r="C1040" s="8">
        <v>45444</v>
      </c>
      <c r="D1040" s="4" t="s">
        <v>189</v>
      </c>
      <c r="E1040" s="14">
        <f>IF(SUMIFS('Daily NSE Equity Futures'!$I:$I,'Daily NSE Equity Futures'!$A:$A,$A1040)=0,"",SUMIFS('Daily NSE Equity Futures'!$I:$I,'Daily NSE Equity Futures'!$A:$A,$A1040))</f>
        <v>1961.3182999999999</v>
      </c>
      <c r="F1040" s="6">
        <f>IF(SUMIFS('Daily BSE Equity Futures'!$I:$I,'Daily BSE Equity Futures'!$A:$A,$A1040)=0,"",SUMIFS('Daily BSE Equity Futures'!$I:$I,'Daily BSE Equity Futures'!$A:$A,$A1040))</f>
        <v>4.9676</v>
      </c>
      <c r="G1040" s="6">
        <f t="shared" si="192"/>
        <v>1966.2858999999999</v>
      </c>
      <c r="H1040" s="15">
        <f t="shared" si="193"/>
        <v>0.99747361256061495</v>
      </c>
      <c r="I1040" s="15">
        <f t="shared" si="194"/>
        <v>2.5263874393850866E-3</v>
      </c>
      <c r="J1040" s="20">
        <f t="shared" si="195"/>
        <v>1.8906659611894168</v>
      </c>
      <c r="K1040" s="15">
        <f t="shared" si="196"/>
        <v>72.703264094955486</v>
      </c>
      <c r="L1040" s="15">
        <f t="shared" si="197"/>
        <v>1.8976995522481976</v>
      </c>
      <c r="M1040" s="15">
        <f t="shared" si="201"/>
        <v>-0.12532652224454122</v>
      </c>
      <c r="N1040" s="15">
        <f t="shared" si="202"/>
        <v>4.0981116584564861</v>
      </c>
      <c r="O1040" s="15">
        <f t="shared" si="203"/>
        <v>-0.12349204379334944</v>
      </c>
      <c r="P1040" s="18">
        <f>IF(SUMIFS('Daily NSE Equity Futures'!$J:$J,'Daily NSE Equity Futures'!$A:$A,$A1040)=0,"",SUMIFS('Daily NSE Equity Futures'!$J:$J,'Daily NSE Equity Futures'!$A:$A,$A1040))</f>
        <v>2678916</v>
      </c>
      <c r="Q1040" s="7">
        <f>IF(SUMIFS('Daily BSE Equity Futures'!$J:$J,'Daily BSE Equity Futures'!$A:$A,$A1040)=0,"",SUMIFS('Daily BSE Equity Futures'!$J:$J,'Daily BSE Equity Futures'!$A:$A,$A1040))</f>
        <v>6500</v>
      </c>
      <c r="R1040" s="7">
        <f t="shared" si="198"/>
        <v>2685416</v>
      </c>
      <c r="S1040" s="19">
        <f t="shared" si="199"/>
        <v>0.99757951840608683</v>
      </c>
      <c r="T1040" s="19">
        <f t="shared" si="200"/>
        <v>2.4204815939131963E-3</v>
      </c>
    </row>
    <row r="1041" spans="1:20" x14ac:dyDescent="0.2">
      <c r="A1041" s="9">
        <v>45453</v>
      </c>
      <c r="B1041" s="4" t="s">
        <v>225</v>
      </c>
      <c r="C1041" s="8">
        <v>45444</v>
      </c>
      <c r="D1041" s="4" t="s">
        <v>189</v>
      </c>
      <c r="E1041" s="14">
        <f>IF(SUMIFS('Daily NSE Equity Futures'!$I:$I,'Daily NSE Equity Futures'!$A:$A,$A1041)=0,"",SUMIFS('Daily NSE Equity Futures'!$I:$I,'Daily NSE Equity Futures'!$A:$A,$A1041))</f>
        <v>1597.1489999999999</v>
      </c>
      <c r="F1041" s="6">
        <f>IF(SUMIFS('Daily BSE Equity Futures'!$I:$I,'Daily BSE Equity Futures'!$A:$A,$A1041)=0,"",SUMIFS('Daily BSE Equity Futures'!$I:$I,'Daily BSE Equity Futures'!$A:$A,$A1041))</f>
        <v>1.0499000000000001</v>
      </c>
      <c r="G1041" s="6">
        <f t="shared" si="192"/>
        <v>1598.1988999999999</v>
      </c>
      <c r="H1041" s="15">
        <f t="shared" si="193"/>
        <v>0.99934307300549385</v>
      </c>
      <c r="I1041" s="15">
        <f t="shared" si="194"/>
        <v>6.5692699450612822E-4</v>
      </c>
      <c r="J1041" s="20" t="str">
        <f t="shared" si="195"/>
        <v/>
      </c>
      <c r="K1041" s="15" t="str">
        <f t="shared" si="196"/>
        <v/>
      </c>
      <c r="L1041" s="15" t="str">
        <f t="shared" si="197"/>
        <v/>
      </c>
      <c r="M1041" s="15">
        <f t="shared" si="201"/>
        <v>-0.18567577735852459</v>
      </c>
      <c r="N1041" s="15">
        <f t="shared" si="202"/>
        <v>-0.78865045494806341</v>
      </c>
      <c r="O1041" s="15">
        <f t="shared" si="203"/>
        <v>-0.18719912501025415</v>
      </c>
      <c r="P1041" s="18">
        <f>IF(SUMIFS('Daily NSE Equity Futures'!$J:$J,'Daily NSE Equity Futures'!$A:$A,$A1041)=0,"",SUMIFS('Daily NSE Equity Futures'!$J:$J,'Daily NSE Equity Futures'!$A:$A,$A1041))</f>
        <v>2107811</v>
      </c>
      <c r="Q1041" s="7">
        <f>IF(SUMIFS('Daily BSE Equity Futures'!$J:$J,'Daily BSE Equity Futures'!$A:$A,$A1041)=0,"",SUMIFS('Daily BSE Equity Futures'!$J:$J,'Daily BSE Equity Futures'!$A:$A,$A1041))</f>
        <v>1324</v>
      </c>
      <c r="R1041" s="7">
        <f t="shared" si="198"/>
        <v>2109135</v>
      </c>
      <c r="S1041" s="19">
        <f t="shared" si="199"/>
        <v>0.99937225450243816</v>
      </c>
      <c r="T1041" s="19">
        <f t="shared" si="200"/>
        <v>6.2774549756179664E-4</v>
      </c>
    </row>
    <row r="1042" spans="1:20" x14ac:dyDescent="0.2">
      <c r="A1042" s="9">
        <v>45454</v>
      </c>
      <c r="B1042" s="4" t="s">
        <v>223</v>
      </c>
      <c r="C1042" s="8">
        <v>45444</v>
      </c>
      <c r="D1042" s="4" t="s">
        <v>189</v>
      </c>
      <c r="E1042" s="14">
        <f>IF(SUMIFS('Daily NSE Equity Futures'!$I:$I,'Daily NSE Equity Futures'!$A:$A,$A1042)=0,"",SUMIFS('Daily NSE Equity Futures'!$I:$I,'Daily NSE Equity Futures'!$A:$A,$A1042))</f>
        <v>1338.9268999999999</v>
      </c>
      <c r="F1042" s="6">
        <f>IF(SUMIFS('Daily BSE Equity Futures'!$I:$I,'Daily BSE Equity Futures'!$A:$A,$A1042)=0,"",SUMIFS('Daily BSE Equity Futures'!$I:$I,'Daily BSE Equity Futures'!$A:$A,$A1042))</f>
        <v>0.57550000000000001</v>
      </c>
      <c r="G1042" s="6">
        <f t="shared" si="192"/>
        <v>1339.5023999999999</v>
      </c>
      <c r="H1042" s="15">
        <f t="shared" si="193"/>
        <v>0.99957036284518797</v>
      </c>
      <c r="I1042" s="15">
        <f t="shared" si="194"/>
        <v>4.2963715481211535E-4</v>
      </c>
      <c r="J1042" s="20" t="str">
        <f t="shared" si="195"/>
        <v/>
      </c>
      <c r="K1042" s="15" t="str">
        <f t="shared" si="196"/>
        <v/>
      </c>
      <c r="L1042" s="15" t="str">
        <f t="shared" si="197"/>
        <v/>
      </c>
      <c r="M1042" s="15">
        <f t="shared" si="201"/>
        <v>-0.1616769005271268</v>
      </c>
      <c r="N1042" s="15">
        <f t="shared" si="202"/>
        <v>-0.45185255738641772</v>
      </c>
      <c r="O1042" s="15">
        <f t="shared" si="203"/>
        <v>-0.16186752474926625</v>
      </c>
      <c r="P1042" s="18">
        <f>IF(SUMIFS('Daily NSE Equity Futures'!$J:$J,'Daily NSE Equity Futures'!$A:$A,$A1042)=0,"",SUMIFS('Daily NSE Equity Futures'!$J:$J,'Daily NSE Equity Futures'!$A:$A,$A1042))</f>
        <v>1727988</v>
      </c>
      <c r="Q1042" s="7">
        <f>IF(SUMIFS('Daily BSE Equity Futures'!$J:$J,'Daily BSE Equity Futures'!$A:$A,$A1042)=0,"",SUMIFS('Daily BSE Equity Futures'!$J:$J,'Daily BSE Equity Futures'!$A:$A,$A1042))</f>
        <v>744</v>
      </c>
      <c r="R1042" s="7">
        <f t="shared" si="198"/>
        <v>1728732</v>
      </c>
      <c r="S1042" s="19">
        <f t="shared" si="199"/>
        <v>0.99956962675533279</v>
      </c>
      <c r="T1042" s="19">
        <f t="shared" si="200"/>
        <v>4.3037324466718962E-4</v>
      </c>
    </row>
    <row r="1043" spans="1:20" x14ac:dyDescent="0.2">
      <c r="A1043" s="9">
        <v>45455</v>
      </c>
      <c r="B1043" s="4" t="s">
        <v>221</v>
      </c>
      <c r="C1043" s="8">
        <v>45444</v>
      </c>
      <c r="D1043" s="4" t="s">
        <v>189</v>
      </c>
      <c r="E1043" s="14">
        <f>IF(SUMIFS('Daily NSE Equity Futures'!$I:$I,'Daily NSE Equity Futures'!$A:$A,$A1043)=0,"",SUMIFS('Daily NSE Equity Futures'!$I:$I,'Daily NSE Equity Futures'!$A:$A,$A1043))</f>
        <v>1473.3227999999999</v>
      </c>
      <c r="F1043" s="6">
        <f>IF(SUMIFS('Daily BSE Equity Futures'!$I:$I,'Daily BSE Equity Futures'!$A:$A,$A1043)=0,"",SUMIFS('Daily BSE Equity Futures'!$I:$I,'Daily BSE Equity Futures'!$A:$A,$A1043))</f>
        <v>0.75749999999999995</v>
      </c>
      <c r="G1043" s="6">
        <f t="shared" si="192"/>
        <v>1474.0802999999999</v>
      </c>
      <c r="H1043" s="15">
        <f t="shared" si="193"/>
        <v>0.99948612026088401</v>
      </c>
      <c r="I1043" s="15">
        <f t="shared" si="194"/>
        <v>5.1387973911597629E-4</v>
      </c>
      <c r="J1043" s="20">
        <f t="shared" si="195"/>
        <v>1.4484350898044771</v>
      </c>
      <c r="K1043" s="15">
        <f t="shared" si="196"/>
        <v>16.21590909090909</v>
      </c>
      <c r="L1043" s="15">
        <f t="shared" si="197"/>
        <v>1.4495148264013404</v>
      </c>
      <c r="M1043" s="15">
        <f t="shared" si="201"/>
        <v>0.10037583082392332</v>
      </c>
      <c r="N1043" s="15">
        <f t="shared" si="202"/>
        <v>0.31624674196350977</v>
      </c>
      <c r="O1043" s="15">
        <f t="shared" si="203"/>
        <v>0.10046857698799205</v>
      </c>
      <c r="P1043" s="18">
        <f>IF(SUMIFS('Daily NSE Equity Futures'!$J:$J,'Daily NSE Equity Futures'!$A:$A,$A1043)=0,"",SUMIFS('Daily NSE Equity Futures'!$J:$J,'Daily NSE Equity Futures'!$A:$A,$A1043))</f>
        <v>1925186</v>
      </c>
      <c r="Q1043" s="7">
        <f>IF(SUMIFS('Daily BSE Equity Futures'!$J:$J,'Daily BSE Equity Futures'!$A:$A,$A1043)=0,"",SUMIFS('Daily BSE Equity Futures'!$J:$J,'Daily BSE Equity Futures'!$A:$A,$A1043))</f>
        <v>978</v>
      </c>
      <c r="R1043" s="7">
        <f t="shared" si="198"/>
        <v>1926164</v>
      </c>
      <c r="S1043" s="19">
        <f t="shared" si="199"/>
        <v>0.99949225507277673</v>
      </c>
      <c r="T1043" s="19">
        <f t="shared" si="200"/>
        <v>5.077449272232271E-4</v>
      </c>
    </row>
    <row r="1044" spans="1:20" x14ac:dyDescent="0.2">
      <c r="A1044" s="9">
        <v>45456</v>
      </c>
      <c r="B1044" s="4" t="s">
        <v>224</v>
      </c>
      <c r="C1044" s="8">
        <v>45444</v>
      </c>
      <c r="D1044" s="4" t="s">
        <v>189</v>
      </c>
      <c r="E1044" s="14">
        <f>IF(SUMIFS('Daily NSE Equity Futures'!$I:$I,'Daily NSE Equity Futures'!$A:$A,$A1044)=0,"",SUMIFS('Daily NSE Equity Futures'!$I:$I,'Daily NSE Equity Futures'!$A:$A,$A1044))</f>
        <v>1348.5089</v>
      </c>
      <c r="F1044" s="6">
        <f>IF(SUMIFS('Daily BSE Equity Futures'!$I:$I,'Daily BSE Equity Futures'!$A:$A,$A1044)=0,"",SUMIFS('Daily BSE Equity Futures'!$I:$I,'Daily BSE Equity Futures'!$A:$A,$A1044))</f>
        <v>0.70299999999999996</v>
      </c>
      <c r="G1044" s="6">
        <f t="shared" si="192"/>
        <v>1349.2119</v>
      </c>
      <c r="H1044" s="15">
        <f t="shared" si="193"/>
        <v>0.99947895508481654</v>
      </c>
      <c r="I1044" s="15">
        <f t="shared" si="194"/>
        <v>5.210449151834489E-4</v>
      </c>
      <c r="J1044" s="20">
        <f t="shared" si="195"/>
        <v>0.86472914037314519</v>
      </c>
      <c r="K1044" s="15">
        <f t="shared" si="196"/>
        <v>10.036106750392463</v>
      </c>
      <c r="L1044" s="15">
        <f t="shared" si="197"/>
        <v>0.86553692892632461</v>
      </c>
      <c r="M1044" s="15">
        <f t="shared" si="201"/>
        <v>-8.4715922403427069E-2</v>
      </c>
      <c r="N1044" s="15">
        <f t="shared" si="202"/>
        <v>-7.1947194719471974E-2</v>
      </c>
      <c r="O1044" s="15">
        <f t="shared" si="203"/>
        <v>-8.4709360812975976E-2</v>
      </c>
      <c r="P1044" s="18">
        <f>IF(SUMIFS('Daily NSE Equity Futures'!$J:$J,'Daily NSE Equity Futures'!$A:$A,$A1044)=0,"",SUMIFS('Daily NSE Equity Futures'!$J:$J,'Daily NSE Equity Futures'!$A:$A,$A1044))</f>
        <v>1718288</v>
      </c>
      <c r="Q1044" s="7">
        <f>IF(SUMIFS('Daily BSE Equity Futures'!$J:$J,'Daily BSE Equity Futures'!$A:$A,$A1044)=0,"",SUMIFS('Daily BSE Equity Futures'!$J:$J,'Daily BSE Equity Futures'!$A:$A,$A1044))</f>
        <v>900</v>
      </c>
      <c r="R1044" s="7">
        <f t="shared" si="198"/>
        <v>1719188</v>
      </c>
      <c r="S1044" s="19">
        <f t="shared" si="199"/>
        <v>0.99947649704395336</v>
      </c>
      <c r="T1044" s="19">
        <f t="shared" si="200"/>
        <v>5.2350295604669181E-4</v>
      </c>
    </row>
    <row r="1045" spans="1:20" x14ac:dyDescent="0.2">
      <c r="A1045" s="9">
        <v>45457</v>
      </c>
      <c r="B1045" s="4" t="s">
        <v>222</v>
      </c>
      <c r="C1045" s="8">
        <v>45444</v>
      </c>
      <c r="D1045" s="4" t="s">
        <v>189</v>
      </c>
      <c r="E1045" s="14">
        <f>IF(SUMIFS('Daily NSE Equity Futures'!$I:$I,'Daily NSE Equity Futures'!$A:$A,$A1045)=0,"",SUMIFS('Daily NSE Equity Futures'!$I:$I,'Daily NSE Equity Futures'!$A:$A,$A1045))</f>
        <v>1375.5289</v>
      </c>
      <c r="F1045" s="6">
        <f>IF(SUMIFS('Daily BSE Equity Futures'!$I:$I,'Daily BSE Equity Futures'!$A:$A,$A1045)=0,"",SUMIFS('Daily BSE Equity Futures'!$I:$I,'Daily BSE Equity Futures'!$A:$A,$A1045))</f>
        <v>1.6234999999999999</v>
      </c>
      <c r="G1045" s="6">
        <f t="shared" si="192"/>
        <v>1377.1523999999999</v>
      </c>
      <c r="H1045" s="15">
        <f t="shared" si="193"/>
        <v>0.99882111812752172</v>
      </c>
      <c r="I1045" s="15">
        <f t="shared" si="194"/>
        <v>1.1788818724783111E-3</v>
      </c>
      <c r="J1045" s="20">
        <f t="shared" si="195"/>
        <v>1.0570689678635898</v>
      </c>
      <c r="K1045" s="15">
        <f t="shared" si="196"/>
        <v>26.058333333333334</v>
      </c>
      <c r="L1045" s="15">
        <f t="shared" si="197"/>
        <v>1.0593120924168429</v>
      </c>
      <c r="M1045" s="15">
        <f t="shared" si="201"/>
        <v>2.0036945992718325E-2</v>
      </c>
      <c r="N1045" s="15">
        <f t="shared" si="202"/>
        <v>1.3093883357041252</v>
      </c>
      <c r="O1045" s="15">
        <f t="shared" si="203"/>
        <v>2.0708755978212201E-2</v>
      </c>
      <c r="P1045" s="18">
        <f>IF(SUMIFS('Daily NSE Equity Futures'!$J:$J,'Daily NSE Equity Futures'!$A:$A,$A1045)=0,"",SUMIFS('Daily NSE Equity Futures'!$J:$J,'Daily NSE Equity Futures'!$A:$A,$A1045))</f>
        <v>1717106</v>
      </c>
      <c r="Q1045" s="7">
        <f>IF(SUMIFS('Daily BSE Equity Futures'!$J:$J,'Daily BSE Equity Futures'!$A:$A,$A1045)=0,"",SUMIFS('Daily BSE Equity Futures'!$J:$J,'Daily BSE Equity Futures'!$A:$A,$A1045))</f>
        <v>2075</v>
      </c>
      <c r="R1045" s="7">
        <f t="shared" si="198"/>
        <v>1719181</v>
      </c>
      <c r="S1045" s="19">
        <f t="shared" si="199"/>
        <v>0.99879302993692931</v>
      </c>
      <c r="T1045" s="19">
        <f t="shared" si="200"/>
        <v>1.2069700630707295E-3</v>
      </c>
    </row>
    <row r="1046" spans="1:20" x14ac:dyDescent="0.2">
      <c r="A1046" s="9">
        <v>45461</v>
      </c>
      <c r="B1046" s="4" t="s">
        <v>223</v>
      </c>
      <c r="C1046" s="8">
        <v>45444</v>
      </c>
      <c r="D1046" s="4" t="s">
        <v>189</v>
      </c>
      <c r="E1046" s="14">
        <f>IF(SUMIFS('Daily NSE Equity Futures'!$I:$I,'Daily NSE Equity Futures'!$A:$A,$A1046)=0,"",SUMIFS('Daily NSE Equity Futures'!$I:$I,'Daily NSE Equity Futures'!$A:$A,$A1046))</f>
        <v>1419.0569</v>
      </c>
      <c r="F1046" s="6">
        <f>IF(SUMIFS('Daily BSE Equity Futures'!$I:$I,'Daily BSE Equity Futures'!$A:$A,$A1046)=0,"",SUMIFS('Daily BSE Equity Futures'!$I:$I,'Daily BSE Equity Futures'!$A:$A,$A1046))</f>
        <v>0.2024</v>
      </c>
      <c r="G1046" s="6">
        <f t="shared" si="192"/>
        <v>1419.2592999999999</v>
      </c>
      <c r="H1046" s="15">
        <f t="shared" si="193"/>
        <v>0.9998573904007535</v>
      </c>
      <c r="I1046" s="15">
        <f t="shared" si="194"/>
        <v>1.4260959924659292E-4</v>
      </c>
      <c r="J1046" s="20" t="str">
        <f t="shared" si="195"/>
        <v/>
      </c>
      <c r="K1046" s="15" t="str">
        <f t="shared" si="196"/>
        <v/>
      </c>
      <c r="L1046" s="15" t="str">
        <f t="shared" si="197"/>
        <v/>
      </c>
      <c r="M1046" s="15">
        <f t="shared" si="201"/>
        <v>3.1644555050788004E-2</v>
      </c>
      <c r="N1046" s="15">
        <f t="shared" si="202"/>
        <v>-0.8753310748383123</v>
      </c>
      <c r="O1046" s="15">
        <f t="shared" si="203"/>
        <v>3.0575337921932233E-2</v>
      </c>
      <c r="P1046" s="18">
        <f>IF(SUMIFS('Daily NSE Equity Futures'!$J:$J,'Daily NSE Equity Futures'!$A:$A,$A1046)=0,"",SUMIFS('Daily NSE Equity Futures'!$J:$J,'Daily NSE Equity Futures'!$A:$A,$A1046))</f>
        <v>1765801</v>
      </c>
      <c r="Q1046" s="7">
        <f>IF(SUMIFS('Daily BSE Equity Futures'!$J:$J,'Daily BSE Equity Futures'!$A:$A,$A1046)=0,"",SUMIFS('Daily BSE Equity Futures'!$J:$J,'Daily BSE Equity Futures'!$A:$A,$A1046))</f>
        <v>261</v>
      </c>
      <c r="R1046" s="7">
        <f t="shared" si="198"/>
        <v>1766062</v>
      </c>
      <c r="S1046" s="19">
        <f t="shared" si="199"/>
        <v>0.99985221356894605</v>
      </c>
      <c r="T1046" s="19">
        <f t="shared" si="200"/>
        <v>1.4778643105394941E-4</v>
      </c>
    </row>
    <row r="1047" spans="1:20" x14ac:dyDescent="0.2">
      <c r="A1047" s="9">
        <v>45462</v>
      </c>
      <c r="B1047" s="4" t="s">
        <v>221</v>
      </c>
      <c r="C1047" s="8">
        <v>45444</v>
      </c>
      <c r="D1047" s="4" t="s">
        <v>189</v>
      </c>
      <c r="E1047" s="14">
        <f>IF(SUMIFS('Daily NSE Equity Futures'!$I:$I,'Daily NSE Equity Futures'!$A:$A,$A1047)=0,"",SUMIFS('Daily NSE Equity Futures'!$I:$I,'Daily NSE Equity Futures'!$A:$A,$A1047))</f>
        <v>2552.2645000000002</v>
      </c>
      <c r="F1047" s="6">
        <f>IF(SUMIFS('Daily BSE Equity Futures'!$I:$I,'Daily BSE Equity Futures'!$A:$A,$A1047)=0,"",SUMIFS('Daily BSE Equity Futures'!$I:$I,'Daily BSE Equity Futures'!$A:$A,$A1047))</f>
        <v>0.60819999999999996</v>
      </c>
      <c r="G1047" s="6">
        <f t="shared" si="192"/>
        <v>2552.8727000000003</v>
      </c>
      <c r="H1047" s="15">
        <f t="shared" si="193"/>
        <v>0.9997617585867089</v>
      </c>
      <c r="I1047" s="15">
        <f t="shared" si="194"/>
        <v>2.3824141329099562E-4</v>
      </c>
      <c r="J1047" s="20">
        <f t="shared" si="195"/>
        <v>1.9406594482802326</v>
      </c>
      <c r="K1047" s="15">
        <f t="shared" si="196"/>
        <v>0.49950690335305703</v>
      </c>
      <c r="L1047" s="15">
        <f t="shared" si="197"/>
        <v>1.9399862793798799</v>
      </c>
      <c r="M1047" s="15">
        <f t="shared" si="201"/>
        <v>0.79856389127173144</v>
      </c>
      <c r="N1047" s="15">
        <f t="shared" si="202"/>
        <v>2.0049407114624507</v>
      </c>
      <c r="O1047" s="15">
        <f t="shared" si="203"/>
        <v>0.79873593218659944</v>
      </c>
      <c r="P1047" s="18">
        <f>IF(SUMIFS('Daily NSE Equity Futures'!$J:$J,'Daily NSE Equity Futures'!$A:$A,$A1047)=0,"",SUMIFS('Daily NSE Equity Futures'!$J:$J,'Daily NSE Equity Futures'!$A:$A,$A1047))</f>
        <v>3213617</v>
      </c>
      <c r="Q1047" s="7">
        <f>IF(SUMIFS('Daily BSE Equity Futures'!$J:$J,'Daily BSE Equity Futures'!$A:$A,$A1047)=0,"",SUMIFS('Daily BSE Equity Futures'!$J:$J,'Daily BSE Equity Futures'!$A:$A,$A1047))</f>
        <v>784</v>
      </c>
      <c r="R1047" s="7">
        <f t="shared" si="198"/>
        <v>3214401</v>
      </c>
      <c r="S1047" s="19">
        <f t="shared" si="199"/>
        <v>0.99975609763685369</v>
      </c>
      <c r="T1047" s="19">
        <f t="shared" si="200"/>
        <v>2.4390236314635294E-4</v>
      </c>
    </row>
    <row r="1048" spans="1:20" x14ac:dyDescent="0.2">
      <c r="A1048" s="9">
        <v>45463</v>
      </c>
      <c r="B1048" s="4" t="s">
        <v>224</v>
      </c>
      <c r="C1048" s="8">
        <v>45444</v>
      </c>
      <c r="D1048" s="4" t="s">
        <v>189</v>
      </c>
      <c r="E1048" s="14">
        <f>IF(SUMIFS('Daily NSE Equity Futures'!$I:$I,'Daily NSE Equity Futures'!$A:$A,$A1048)=0,"",SUMIFS('Daily NSE Equity Futures'!$I:$I,'Daily NSE Equity Futures'!$A:$A,$A1048))</f>
        <v>1779.3674000000001</v>
      </c>
      <c r="F1048" s="6">
        <f>IF(SUMIFS('Daily BSE Equity Futures'!$I:$I,'Daily BSE Equity Futures'!$A:$A,$A1048)=0,"",SUMIFS('Daily BSE Equity Futures'!$I:$I,'Daily BSE Equity Futures'!$A:$A,$A1048))</f>
        <v>0.69269999999999998</v>
      </c>
      <c r="G1048" s="6">
        <f t="shared" si="192"/>
        <v>1780.0601000000001</v>
      </c>
      <c r="H1048" s="15">
        <f t="shared" si="193"/>
        <v>0.99961085583571019</v>
      </c>
      <c r="I1048" s="15">
        <f t="shared" si="194"/>
        <v>3.8914416428973379E-4</v>
      </c>
      <c r="J1048" s="20">
        <f t="shared" si="195"/>
        <v>1.0195956807509394</v>
      </c>
      <c r="K1048" s="15">
        <f t="shared" si="196"/>
        <v>6.6120879120879117</v>
      </c>
      <c r="L1048" s="15">
        <f t="shared" si="197"/>
        <v>1.0201732455699837</v>
      </c>
      <c r="M1048" s="15">
        <f t="shared" si="201"/>
        <v>-0.30282797883996748</v>
      </c>
      <c r="N1048" s="15">
        <f t="shared" si="202"/>
        <v>0.13893456099967127</v>
      </c>
      <c r="O1048" s="15">
        <f t="shared" si="203"/>
        <v>-0.30272273270813699</v>
      </c>
      <c r="P1048" s="18">
        <f>IF(SUMIFS('Daily NSE Equity Futures'!$J:$J,'Daily NSE Equity Futures'!$A:$A,$A1048)=0,"",SUMIFS('Daily NSE Equity Futures'!$J:$J,'Daily NSE Equity Futures'!$A:$A,$A1048))</f>
        <v>2300836</v>
      </c>
      <c r="Q1048" s="7">
        <f>IF(SUMIFS('Daily BSE Equity Futures'!$J:$J,'Daily BSE Equity Futures'!$A:$A,$A1048)=0,"",SUMIFS('Daily BSE Equity Futures'!$J:$J,'Daily BSE Equity Futures'!$A:$A,$A1048))</f>
        <v>877</v>
      </c>
      <c r="R1048" s="7">
        <f t="shared" si="198"/>
        <v>2301713</v>
      </c>
      <c r="S1048" s="19">
        <f t="shared" si="199"/>
        <v>0.99961897942966826</v>
      </c>
      <c r="T1048" s="19">
        <f t="shared" si="200"/>
        <v>3.8102057033174855E-4</v>
      </c>
    </row>
    <row r="1049" spans="1:20" x14ac:dyDescent="0.2">
      <c r="A1049" s="9">
        <v>45464</v>
      </c>
      <c r="B1049" s="4" t="s">
        <v>222</v>
      </c>
      <c r="C1049" s="8">
        <v>45444</v>
      </c>
      <c r="D1049" s="4" t="s">
        <v>189</v>
      </c>
      <c r="E1049" s="14">
        <f>IF(SUMIFS('Daily NSE Equity Futures'!$I:$I,'Daily NSE Equity Futures'!$A:$A,$A1049)=0,"",SUMIFS('Daily NSE Equity Futures'!$I:$I,'Daily NSE Equity Futures'!$A:$A,$A1049))</f>
        <v>2390.5376999999999</v>
      </c>
      <c r="F1049" s="6">
        <f>IF(SUMIFS('Daily BSE Equity Futures'!$I:$I,'Daily BSE Equity Futures'!$A:$A,$A1049)=0,"",SUMIFS('Daily BSE Equity Futures'!$I:$I,'Daily BSE Equity Futures'!$A:$A,$A1049))</f>
        <v>4.0972</v>
      </c>
      <c r="G1049" s="6">
        <f t="shared" si="192"/>
        <v>2394.6349</v>
      </c>
      <c r="H1049" s="15">
        <f t="shared" si="193"/>
        <v>0.99828900848308855</v>
      </c>
      <c r="I1049" s="15">
        <f t="shared" si="194"/>
        <v>1.7109915169114089E-3</v>
      </c>
      <c r="J1049" s="20">
        <f t="shared" si="195"/>
        <v>1.3841931236785787</v>
      </c>
      <c r="K1049" s="15">
        <f t="shared" si="196"/>
        <v>25.030495552731892</v>
      </c>
      <c r="L1049" s="15">
        <f t="shared" si="197"/>
        <v>1.3879045909105185</v>
      </c>
      <c r="M1049" s="15">
        <f t="shared" si="201"/>
        <v>0.34347617023892862</v>
      </c>
      <c r="N1049" s="15">
        <f t="shared" si="202"/>
        <v>4.9148260430200663</v>
      </c>
      <c r="O1049" s="15">
        <f t="shared" si="203"/>
        <v>0.34525508436484809</v>
      </c>
      <c r="P1049" s="18">
        <f>IF(SUMIFS('Daily NSE Equity Futures'!$J:$J,'Daily NSE Equity Futures'!$A:$A,$A1049)=0,"",SUMIFS('Daily NSE Equity Futures'!$J:$J,'Daily NSE Equity Futures'!$A:$A,$A1049))</f>
        <v>3184724</v>
      </c>
      <c r="Q1049" s="7">
        <f>IF(SUMIFS('Daily BSE Equity Futures'!$J:$J,'Daily BSE Equity Futures'!$A:$A,$A1049)=0,"",SUMIFS('Daily BSE Equity Futures'!$J:$J,'Daily BSE Equity Futures'!$A:$A,$A1049))</f>
        <v>5298</v>
      </c>
      <c r="R1049" s="7">
        <f t="shared" si="198"/>
        <v>3190022</v>
      </c>
      <c r="S1049" s="19">
        <f t="shared" si="199"/>
        <v>0.99833919640679591</v>
      </c>
      <c r="T1049" s="19">
        <f t="shared" si="200"/>
        <v>1.6608035932040594E-3</v>
      </c>
    </row>
    <row r="1050" spans="1:20" x14ac:dyDescent="0.2">
      <c r="A1050" s="9">
        <v>45467</v>
      </c>
      <c r="B1050" s="4" t="s">
        <v>225</v>
      </c>
      <c r="C1050" s="8">
        <v>45444</v>
      </c>
      <c r="D1050" s="4" t="s">
        <v>189</v>
      </c>
      <c r="E1050" s="14">
        <f>IF(SUMIFS('Daily NSE Equity Futures'!$I:$I,'Daily NSE Equity Futures'!$A:$A,$A1050)=0,"",SUMIFS('Daily NSE Equity Futures'!$I:$I,'Daily NSE Equity Futures'!$A:$A,$A1050))</f>
        <v>3475.8397</v>
      </c>
      <c r="F1050" s="6">
        <f>IF(SUMIFS('Daily BSE Equity Futures'!$I:$I,'Daily BSE Equity Futures'!$A:$A,$A1050)=0,"",SUMIFS('Daily BSE Equity Futures'!$I:$I,'Daily BSE Equity Futures'!$A:$A,$A1050))</f>
        <v>1.0205</v>
      </c>
      <c r="G1050" s="6">
        <f t="shared" si="192"/>
        <v>3476.8602000000001</v>
      </c>
      <c r="H1050" s="15">
        <f t="shared" si="193"/>
        <v>0.999706488054941</v>
      </c>
      <c r="I1050" s="15">
        <f t="shared" si="194"/>
        <v>2.9351194505893561E-4</v>
      </c>
      <c r="J1050" s="20" t="str">
        <f t="shared" si="195"/>
        <v/>
      </c>
      <c r="K1050" s="15" t="str">
        <f t="shared" si="196"/>
        <v/>
      </c>
      <c r="L1050" s="15" t="str">
        <f t="shared" si="197"/>
        <v/>
      </c>
      <c r="M1050" s="15">
        <f t="shared" si="201"/>
        <v>0.4539991149271565</v>
      </c>
      <c r="N1050" s="15">
        <f t="shared" si="202"/>
        <v>-0.7509274626574246</v>
      </c>
      <c r="O1050" s="15">
        <f t="shared" si="203"/>
        <v>0.451937495774408</v>
      </c>
      <c r="P1050" s="18">
        <f>IF(SUMIFS('Daily NSE Equity Futures'!$J:$J,'Daily NSE Equity Futures'!$A:$A,$A1050)=0,"",SUMIFS('Daily NSE Equity Futures'!$J:$J,'Daily NSE Equity Futures'!$A:$A,$A1050))</f>
        <v>4571308</v>
      </c>
      <c r="Q1050" s="7">
        <f>IF(SUMIFS('Daily BSE Equity Futures'!$J:$J,'Daily BSE Equity Futures'!$A:$A,$A1050)=0,"",SUMIFS('Daily BSE Equity Futures'!$J:$J,'Daily BSE Equity Futures'!$A:$A,$A1050))</f>
        <v>1222</v>
      </c>
      <c r="R1050" s="7">
        <f t="shared" si="198"/>
        <v>4572530</v>
      </c>
      <c r="S1050" s="19">
        <f t="shared" si="199"/>
        <v>0.99973275189009148</v>
      </c>
      <c r="T1050" s="19">
        <f t="shared" si="200"/>
        <v>2.672481099085189E-4</v>
      </c>
    </row>
    <row r="1051" spans="1:20" x14ac:dyDescent="0.2">
      <c r="A1051" s="9">
        <v>45468</v>
      </c>
      <c r="B1051" s="4" t="s">
        <v>223</v>
      </c>
      <c r="C1051" s="8">
        <v>45444</v>
      </c>
      <c r="D1051" s="4" t="s">
        <v>189</v>
      </c>
      <c r="E1051" s="14">
        <f>IF(SUMIFS('Daily NSE Equity Futures'!$I:$I,'Daily NSE Equity Futures'!$A:$A,$A1051)=0,"",SUMIFS('Daily NSE Equity Futures'!$I:$I,'Daily NSE Equity Futures'!$A:$A,$A1051))</f>
        <v>3721.4506000000001</v>
      </c>
      <c r="F1051" s="6">
        <f>IF(SUMIFS('Daily BSE Equity Futures'!$I:$I,'Daily BSE Equity Futures'!$A:$A,$A1051)=0,"",SUMIFS('Daily BSE Equity Futures'!$I:$I,'Daily BSE Equity Futures'!$A:$A,$A1051))</f>
        <v>0.74080000000000001</v>
      </c>
      <c r="G1051" s="6">
        <f t="shared" si="192"/>
        <v>3722.1914000000002</v>
      </c>
      <c r="H1051" s="15">
        <f t="shared" si="193"/>
        <v>0.99980097745645213</v>
      </c>
      <c r="I1051" s="15">
        <f t="shared" si="194"/>
        <v>1.9902254354786807E-4</v>
      </c>
      <c r="J1051" s="20" t="str">
        <f t="shared" si="195"/>
        <v/>
      </c>
      <c r="K1051" s="15" t="str">
        <f t="shared" si="196"/>
        <v/>
      </c>
      <c r="L1051" s="15" t="str">
        <f t="shared" si="197"/>
        <v/>
      </c>
      <c r="M1051" s="15">
        <f t="shared" si="201"/>
        <v>7.0662320819915969E-2</v>
      </c>
      <c r="N1051" s="15">
        <f t="shared" si="202"/>
        <v>-0.27408133268005874</v>
      </c>
      <c r="O1051" s="15">
        <f t="shared" si="203"/>
        <v>7.0561134439630413E-2</v>
      </c>
      <c r="P1051" s="18">
        <f>IF(SUMIFS('Daily NSE Equity Futures'!$J:$J,'Daily NSE Equity Futures'!$A:$A,$A1051)=0,"",SUMIFS('Daily NSE Equity Futures'!$J:$J,'Daily NSE Equity Futures'!$A:$A,$A1051))</f>
        <v>4848354</v>
      </c>
      <c r="Q1051" s="7">
        <f>IF(SUMIFS('Daily BSE Equity Futures'!$J:$J,'Daily BSE Equity Futures'!$A:$A,$A1051)=0,"",SUMIFS('Daily BSE Equity Futures'!$J:$J,'Daily BSE Equity Futures'!$A:$A,$A1051))</f>
        <v>948</v>
      </c>
      <c r="R1051" s="7">
        <f t="shared" si="198"/>
        <v>4849302</v>
      </c>
      <c r="S1051" s="19">
        <f t="shared" si="199"/>
        <v>0.99980450794774178</v>
      </c>
      <c r="T1051" s="19">
        <f t="shared" si="200"/>
        <v>1.9549205225824254E-4</v>
      </c>
    </row>
    <row r="1052" spans="1:20" x14ac:dyDescent="0.2">
      <c r="A1052" s="9">
        <v>45469</v>
      </c>
      <c r="B1052" s="4" t="s">
        <v>221</v>
      </c>
      <c r="C1052" s="8">
        <v>45444</v>
      </c>
      <c r="D1052" s="4" t="s">
        <v>189</v>
      </c>
      <c r="E1052" s="14">
        <f>IF(SUMIFS('Daily NSE Equity Futures'!$I:$I,'Daily NSE Equity Futures'!$A:$A,$A1052)=0,"",SUMIFS('Daily NSE Equity Futures'!$I:$I,'Daily NSE Equity Futures'!$A:$A,$A1052))</f>
        <v>3597.9432999999999</v>
      </c>
      <c r="F1052" s="6">
        <f>IF(SUMIFS('Daily BSE Equity Futures'!$I:$I,'Daily BSE Equity Futures'!$A:$A,$A1052)=0,"",SUMIFS('Daily BSE Equity Futures'!$I:$I,'Daily BSE Equity Futures'!$A:$A,$A1052))</f>
        <v>0.43430000000000002</v>
      </c>
      <c r="G1052" s="6">
        <f t="shared" si="192"/>
        <v>3598.3775999999998</v>
      </c>
      <c r="H1052" s="15">
        <f t="shared" si="193"/>
        <v>0.99987930671867231</v>
      </c>
      <c r="I1052" s="15">
        <f t="shared" si="194"/>
        <v>1.206932813276739E-4</v>
      </c>
      <c r="J1052" s="20">
        <f t="shared" si="195"/>
        <v>0.81843867244202717</v>
      </c>
      <c r="K1052" s="15">
        <f t="shared" si="196"/>
        <v>2.6071428571428577</v>
      </c>
      <c r="L1052" s="15">
        <f t="shared" si="197"/>
        <v>0.81854751103711654</v>
      </c>
      <c r="M1052" s="15">
        <f t="shared" si="201"/>
        <v>-3.318794558229532E-2</v>
      </c>
      <c r="N1052" s="15">
        <f t="shared" si="202"/>
        <v>-0.41374190064794814</v>
      </c>
      <c r="O1052" s="15">
        <f t="shared" si="203"/>
        <v>-3.326368439838967E-2</v>
      </c>
      <c r="P1052" s="18">
        <f>IF(SUMIFS('Daily NSE Equity Futures'!$J:$J,'Daily NSE Equity Futures'!$A:$A,$A1052)=0,"",SUMIFS('Daily NSE Equity Futures'!$J:$J,'Daily NSE Equity Futures'!$A:$A,$A1052))</f>
        <v>4720711</v>
      </c>
      <c r="Q1052" s="7">
        <f>IF(SUMIFS('Daily BSE Equity Futures'!$J:$J,'Daily BSE Equity Futures'!$A:$A,$A1052)=0,"",SUMIFS('Daily BSE Equity Futures'!$J:$J,'Daily BSE Equity Futures'!$A:$A,$A1052))</f>
        <v>553</v>
      </c>
      <c r="R1052" s="7">
        <f t="shared" si="198"/>
        <v>4721264</v>
      </c>
      <c r="S1052" s="19">
        <f t="shared" si="199"/>
        <v>0.99988287034997403</v>
      </c>
      <c r="T1052" s="19">
        <f t="shared" si="200"/>
        <v>1.1712965002592527E-4</v>
      </c>
    </row>
    <row r="1053" spans="1:20" x14ac:dyDescent="0.2">
      <c r="A1053" s="9">
        <v>45470</v>
      </c>
      <c r="B1053" s="4" t="s">
        <v>224</v>
      </c>
      <c r="C1053" s="8">
        <v>45444</v>
      </c>
      <c r="D1053" s="4" t="s">
        <v>189</v>
      </c>
      <c r="E1053" s="14">
        <f>IF(SUMIFS('Daily NSE Equity Futures'!$I:$I,'Daily NSE Equity Futures'!$A:$A,$A1053)=0,"",SUMIFS('Daily NSE Equity Futures'!$I:$I,'Daily NSE Equity Futures'!$A:$A,$A1053))</f>
        <v>4165.0788000000002</v>
      </c>
      <c r="F1053" s="6">
        <f>IF(SUMIFS('Daily BSE Equity Futures'!$I:$I,'Daily BSE Equity Futures'!$A:$A,$A1053)=0,"",SUMIFS('Daily BSE Equity Futures'!$I:$I,'Daily BSE Equity Futures'!$A:$A,$A1053))</f>
        <v>0.95230000000000004</v>
      </c>
      <c r="G1053" s="6">
        <f t="shared" si="192"/>
        <v>4166.0311000000002</v>
      </c>
      <c r="H1053" s="15">
        <f t="shared" si="193"/>
        <v>0.99977141313227358</v>
      </c>
      <c r="I1053" s="15">
        <f t="shared" si="194"/>
        <v>2.2858686772645552E-4</v>
      </c>
      <c r="J1053" s="20">
        <f t="shared" si="195"/>
        <v>0.90540408121140614</v>
      </c>
      <c r="K1053" s="15">
        <f t="shared" si="196"/>
        <v>6.1386806596701655</v>
      </c>
      <c r="L1053" s="15">
        <f t="shared" si="197"/>
        <v>0.90572343118413601</v>
      </c>
      <c r="M1053" s="15">
        <f t="shared" si="201"/>
        <v>0.15762769246530373</v>
      </c>
      <c r="N1053" s="15">
        <f t="shared" si="202"/>
        <v>1.1927239235551461</v>
      </c>
      <c r="O1053" s="15">
        <f t="shared" si="203"/>
        <v>0.15775262162592396</v>
      </c>
      <c r="P1053" s="18">
        <f>IF(SUMIFS('Daily NSE Equity Futures'!$J:$J,'Daily NSE Equity Futures'!$A:$A,$A1053)=0,"",SUMIFS('Daily NSE Equity Futures'!$J:$J,'Daily NSE Equity Futures'!$A:$A,$A1053))</f>
        <v>5545650</v>
      </c>
      <c r="Q1053" s="7">
        <f>IF(SUMIFS('Daily BSE Equity Futures'!$J:$J,'Daily BSE Equity Futures'!$A:$A,$A1053)=0,"",SUMIFS('Daily BSE Equity Futures'!$J:$J,'Daily BSE Equity Futures'!$A:$A,$A1053))</f>
        <v>1200</v>
      </c>
      <c r="R1053" s="7">
        <f t="shared" si="198"/>
        <v>5546850</v>
      </c>
      <c r="S1053" s="19">
        <f t="shared" si="199"/>
        <v>0.99978366099678195</v>
      </c>
      <c r="T1053" s="19">
        <f t="shared" si="200"/>
        <v>2.1633900321804268E-4</v>
      </c>
    </row>
    <row r="1054" spans="1:20" x14ac:dyDescent="0.2">
      <c r="A1054" s="9">
        <v>45471</v>
      </c>
      <c r="B1054" s="4" t="s">
        <v>222</v>
      </c>
      <c r="C1054" s="8">
        <v>45444</v>
      </c>
      <c r="D1054" s="4" t="s">
        <v>189</v>
      </c>
      <c r="E1054" s="14">
        <f>IF(SUMIFS('Daily NSE Equity Futures'!$I:$I,'Daily NSE Equity Futures'!$A:$A,$A1054)=0,"",SUMIFS('Daily NSE Equity Futures'!$I:$I,'Daily NSE Equity Futures'!$A:$A,$A1054))</f>
        <v>1752.6429000000001</v>
      </c>
      <c r="F1054" s="6">
        <f>IF(SUMIFS('Daily BSE Equity Futures'!$I:$I,'Daily BSE Equity Futures'!$A:$A,$A1054)=0,"",SUMIFS('Daily BSE Equity Futures'!$I:$I,'Daily BSE Equity Futures'!$A:$A,$A1054))</f>
        <v>3.4964</v>
      </c>
      <c r="G1054" s="6">
        <f t="shared" si="192"/>
        <v>1756.1393</v>
      </c>
      <c r="H1054" s="15">
        <f t="shared" si="193"/>
        <v>0.99800904176565042</v>
      </c>
      <c r="I1054" s="15">
        <f t="shared" si="194"/>
        <v>1.9909582343496327E-3</v>
      </c>
      <c r="J1054" s="20">
        <f t="shared" si="195"/>
        <v>-0.26120158914911018</v>
      </c>
      <c r="K1054" s="15">
        <f t="shared" si="196"/>
        <v>27.518760195758563</v>
      </c>
      <c r="L1054" s="15">
        <f t="shared" si="197"/>
        <v>-0.25976599332914907</v>
      </c>
      <c r="M1054" s="15">
        <f t="shared" si="201"/>
        <v>-0.57920534420621284</v>
      </c>
      <c r="N1054" s="15">
        <f t="shared" si="202"/>
        <v>2.671532080226819</v>
      </c>
      <c r="O1054" s="15">
        <f t="shared" si="203"/>
        <v>-0.57846226832056047</v>
      </c>
      <c r="P1054" s="18">
        <f>IF(SUMIFS('Daily NSE Equity Futures'!$J:$J,'Daily NSE Equity Futures'!$A:$A,$A1054)=0,"",SUMIFS('Daily NSE Equity Futures'!$J:$J,'Daily NSE Equity Futures'!$A:$A,$A1054))</f>
        <v>2307811</v>
      </c>
      <c r="Q1054" s="7">
        <f>IF(SUMIFS('Daily BSE Equity Futures'!$J:$J,'Daily BSE Equity Futures'!$A:$A,$A1054)=0,"",SUMIFS('Daily BSE Equity Futures'!$J:$J,'Daily BSE Equity Futures'!$A:$A,$A1054))</f>
        <v>4398</v>
      </c>
      <c r="R1054" s="7">
        <f t="shared" si="198"/>
        <v>2312209</v>
      </c>
      <c r="S1054" s="19">
        <f t="shared" si="199"/>
        <v>0.99809792280888099</v>
      </c>
      <c r="T1054" s="19">
        <f t="shared" si="200"/>
        <v>1.902077191118969E-3</v>
      </c>
    </row>
    <row r="1055" spans="1:20" x14ac:dyDescent="0.2">
      <c r="A1055" s="9">
        <v>45474</v>
      </c>
      <c r="B1055" s="4" t="s">
        <v>225</v>
      </c>
      <c r="C1055" s="8">
        <v>45474</v>
      </c>
      <c r="D1055" s="4" t="s">
        <v>190</v>
      </c>
      <c r="E1055" s="14">
        <f>IF(SUMIFS('Daily NSE Equity Futures'!$I:$I,'Daily NSE Equity Futures'!$A:$A,$A1055)=0,"",SUMIFS('Daily NSE Equity Futures'!$I:$I,'Daily NSE Equity Futures'!$A:$A,$A1055))</f>
        <v>1263.2738999999999</v>
      </c>
      <c r="F1055" s="6">
        <f>IF(SUMIFS('Daily BSE Equity Futures'!$I:$I,'Daily BSE Equity Futures'!$A:$A,$A1055)=0,"",SUMIFS('Daily BSE Equity Futures'!$I:$I,'Daily BSE Equity Futures'!$A:$A,$A1055))</f>
        <v>2.2161</v>
      </c>
      <c r="G1055" s="6">
        <f t="shared" si="192"/>
        <v>1265.49</v>
      </c>
      <c r="H1055" s="15">
        <f t="shared" si="193"/>
        <v>0.99824882061493958</v>
      </c>
      <c r="I1055" s="15">
        <f t="shared" si="194"/>
        <v>1.7511793850603324E-3</v>
      </c>
      <c r="J1055" s="20" t="str">
        <f t="shared" si="195"/>
        <v/>
      </c>
      <c r="K1055" s="15" t="str">
        <f t="shared" si="196"/>
        <v/>
      </c>
      <c r="L1055" s="15" t="str">
        <f t="shared" si="197"/>
        <v/>
      </c>
      <c r="M1055" s="15">
        <f t="shared" si="201"/>
        <v>-0.2792177459538393</v>
      </c>
      <c r="N1055" s="15">
        <f t="shared" si="202"/>
        <v>-0.36617663882850937</v>
      </c>
      <c r="O1055" s="15">
        <f t="shared" si="203"/>
        <v>-0.27939087747765801</v>
      </c>
      <c r="P1055" s="18">
        <f>IF(SUMIFS('Daily NSE Equity Futures'!$J:$J,'Daily NSE Equity Futures'!$A:$A,$A1055)=0,"",SUMIFS('Daily NSE Equity Futures'!$J:$J,'Daily NSE Equity Futures'!$A:$A,$A1055))</f>
        <v>1636114</v>
      </c>
      <c r="Q1055" s="7">
        <f>IF(SUMIFS('Daily BSE Equity Futures'!$J:$J,'Daily BSE Equity Futures'!$A:$A,$A1055)=0,"",SUMIFS('Daily BSE Equity Futures'!$J:$J,'Daily BSE Equity Futures'!$A:$A,$A1055))</f>
        <v>2580</v>
      </c>
      <c r="R1055" s="7">
        <f t="shared" si="198"/>
        <v>1638694</v>
      </c>
      <c r="S1055" s="19">
        <f t="shared" si="199"/>
        <v>0.99842557548877342</v>
      </c>
      <c r="T1055" s="19">
        <f t="shared" si="200"/>
        <v>1.5744245112266231E-3</v>
      </c>
    </row>
    <row r="1056" spans="1:20" x14ac:dyDescent="0.2">
      <c r="A1056" s="9">
        <v>45475</v>
      </c>
      <c r="B1056" s="4" t="s">
        <v>223</v>
      </c>
      <c r="C1056" s="8">
        <v>45474</v>
      </c>
      <c r="D1056" s="4" t="s">
        <v>190</v>
      </c>
      <c r="E1056" s="14">
        <f>IF(SUMIFS('Daily NSE Equity Futures'!$I:$I,'Daily NSE Equity Futures'!$A:$A,$A1056)=0,"",SUMIFS('Daily NSE Equity Futures'!$I:$I,'Daily NSE Equity Futures'!$A:$A,$A1056))</f>
        <v>1613.742</v>
      </c>
      <c r="F1056" s="6">
        <f>IF(SUMIFS('Daily BSE Equity Futures'!$I:$I,'Daily BSE Equity Futures'!$A:$A,$A1056)=0,"",SUMIFS('Daily BSE Equity Futures'!$I:$I,'Daily BSE Equity Futures'!$A:$A,$A1056))</f>
        <v>0.62770000000000004</v>
      </c>
      <c r="G1056" s="6">
        <f t="shared" si="192"/>
        <v>1614.3697</v>
      </c>
      <c r="H1056" s="15">
        <f t="shared" si="193"/>
        <v>0.99961117952102296</v>
      </c>
      <c r="I1056" s="15">
        <f t="shared" si="194"/>
        <v>3.8882047897702743E-4</v>
      </c>
      <c r="J1056" s="20" t="str">
        <f t="shared" si="195"/>
        <v/>
      </c>
      <c r="K1056" s="15" t="str">
        <f t="shared" si="196"/>
        <v/>
      </c>
      <c r="L1056" s="15" t="str">
        <f t="shared" si="197"/>
        <v/>
      </c>
      <c r="M1056" s="15">
        <f t="shared" si="201"/>
        <v>0.27742843416617724</v>
      </c>
      <c r="N1056" s="15">
        <f t="shared" si="202"/>
        <v>-0.71675465908578129</v>
      </c>
      <c r="O1056" s="15">
        <f t="shared" si="203"/>
        <v>0.2756874412282988</v>
      </c>
      <c r="P1056" s="18">
        <f>IF(SUMIFS('Daily NSE Equity Futures'!$J:$J,'Daily NSE Equity Futures'!$A:$A,$A1056)=0,"",SUMIFS('Daily NSE Equity Futures'!$J:$J,'Daily NSE Equity Futures'!$A:$A,$A1056))</f>
        <v>2112683</v>
      </c>
      <c r="Q1056" s="7">
        <f>IF(SUMIFS('Daily BSE Equity Futures'!$J:$J,'Daily BSE Equity Futures'!$A:$A,$A1056)=0,"",SUMIFS('Daily BSE Equity Futures'!$J:$J,'Daily BSE Equity Futures'!$A:$A,$A1056))</f>
        <v>783</v>
      </c>
      <c r="R1056" s="7">
        <f t="shared" si="198"/>
        <v>2113466</v>
      </c>
      <c r="S1056" s="19">
        <f t="shared" si="199"/>
        <v>0.9996295185254932</v>
      </c>
      <c r="T1056" s="19">
        <f t="shared" si="200"/>
        <v>3.7048147450680541E-4</v>
      </c>
    </row>
    <row r="1057" spans="1:20" x14ac:dyDescent="0.2">
      <c r="A1057" s="9">
        <v>45476</v>
      </c>
      <c r="B1057" s="4" t="s">
        <v>221</v>
      </c>
      <c r="C1057" s="8">
        <v>45474</v>
      </c>
      <c r="D1057" s="4" t="s">
        <v>190</v>
      </c>
      <c r="E1057" s="14">
        <f>IF(SUMIFS('Daily NSE Equity Futures'!$I:$I,'Daily NSE Equity Futures'!$A:$A,$A1057)=0,"",SUMIFS('Daily NSE Equity Futures'!$I:$I,'Daily NSE Equity Futures'!$A:$A,$A1057))</f>
        <v>1643.3090999999999</v>
      </c>
      <c r="F1057" s="6">
        <f>IF(SUMIFS('Daily BSE Equity Futures'!$I:$I,'Daily BSE Equity Futures'!$A:$A,$A1057)=0,"",SUMIFS('Daily BSE Equity Futures'!$I:$I,'Daily BSE Equity Futures'!$A:$A,$A1057))</f>
        <v>0.749</v>
      </c>
      <c r="G1057" s="6">
        <f t="shared" si="192"/>
        <v>1644.0581</v>
      </c>
      <c r="H1057" s="15">
        <f t="shared" si="193"/>
        <v>0.99954441999342969</v>
      </c>
      <c r="I1057" s="15">
        <f t="shared" si="194"/>
        <v>4.5558000657032742E-4</v>
      </c>
      <c r="J1057" s="20">
        <f t="shared" si="195"/>
        <v>0.85871923156925445</v>
      </c>
      <c r="K1057" s="15">
        <f t="shared" si="196"/>
        <v>8.024096385542169</v>
      </c>
      <c r="L1057" s="15">
        <f t="shared" si="197"/>
        <v>0.85939185332404877</v>
      </c>
      <c r="M1057" s="15">
        <f t="shared" si="201"/>
        <v>1.832207378874684E-2</v>
      </c>
      <c r="N1057" s="15">
        <f t="shared" si="202"/>
        <v>0.19324518081886244</v>
      </c>
      <c r="O1057" s="15">
        <f t="shared" si="203"/>
        <v>1.8390087475006478E-2</v>
      </c>
      <c r="P1057" s="18">
        <f>IF(SUMIFS('Daily NSE Equity Futures'!$J:$J,'Daily NSE Equity Futures'!$A:$A,$A1057)=0,"",SUMIFS('Daily NSE Equity Futures'!$J:$J,'Daily NSE Equity Futures'!$A:$A,$A1057))</f>
        <v>2099814</v>
      </c>
      <c r="Q1057" s="7">
        <f>IF(SUMIFS('Daily BSE Equity Futures'!$J:$J,'Daily BSE Equity Futures'!$A:$A,$A1057)=0,"",SUMIFS('Daily BSE Equity Futures'!$J:$J,'Daily BSE Equity Futures'!$A:$A,$A1057))</f>
        <v>926</v>
      </c>
      <c r="R1057" s="7">
        <f t="shared" si="198"/>
        <v>2100740</v>
      </c>
      <c r="S1057" s="19">
        <f t="shared" si="199"/>
        <v>0.99955920294753275</v>
      </c>
      <c r="T1057" s="19">
        <f t="shared" si="200"/>
        <v>4.4079705246722581E-4</v>
      </c>
    </row>
    <row r="1058" spans="1:20" x14ac:dyDescent="0.2">
      <c r="A1058" s="9">
        <v>45477</v>
      </c>
      <c r="B1058" s="4" t="s">
        <v>224</v>
      </c>
      <c r="C1058" s="8">
        <v>45474</v>
      </c>
      <c r="D1058" s="4" t="s">
        <v>190</v>
      </c>
      <c r="E1058" s="14">
        <f>IF(SUMIFS('Daily NSE Equity Futures'!$I:$I,'Daily NSE Equity Futures'!$A:$A,$A1058)=0,"",SUMIFS('Daily NSE Equity Futures'!$I:$I,'Daily NSE Equity Futures'!$A:$A,$A1058))</f>
        <v>1426.5137999999999</v>
      </c>
      <c r="F1058" s="6">
        <f>IF(SUMIFS('Daily BSE Equity Futures'!$I:$I,'Daily BSE Equity Futures'!$A:$A,$A1058)=0,"",SUMIFS('Daily BSE Equity Futures'!$I:$I,'Daily BSE Equity Futures'!$A:$A,$A1058))</f>
        <v>0.59109999999999996</v>
      </c>
      <c r="G1058" s="6">
        <f t="shared" si="192"/>
        <v>1427.1049</v>
      </c>
      <c r="H1058" s="15">
        <f t="shared" si="193"/>
        <v>0.9995858047996331</v>
      </c>
      <c r="I1058" s="15">
        <f t="shared" si="194"/>
        <v>4.1419520036684054E-4</v>
      </c>
      <c r="J1058" s="20">
        <f t="shared" si="195"/>
        <v>0.51940117533304542</v>
      </c>
      <c r="K1058" s="15">
        <f t="shared" si="196"/>
        <v>7.5172910662824197</v>
      </c>
      <c r="L1058" s="15">
        <f t="shared" si="197"/>
        <v>0.51991841396509586</v>
      </c>
      <c r="M1058" s="15">
        <f t="shared" si="201"/>
        <v>-0.13192606308819199</v>
      </c>
      <c r="N1058" s="15">
        <f t="shared" si="202"/>
        <v>-0.21081441922563426</v>
      </c>
      <c r="O1058" s="15">
        <f t="shared" si="203"/>
        <v>-0.13196200304599937</v>
      </c>
      <c r="P1058" s="18">
        <f>IF(SUMIFS('Daily NSE Equity Futures'!$J:$J,'Daily NSE Equity Futures'!$A:$A,$A1058)=0,"",SUMIFS('Daily NSE Equity Futures'!$J:$J,'Daily NSE Equity Futures'!$A:$A,$A1058))</f>
        <v>1831897</v>
      </c>
      <c r="Q1058" s="7">
        <f>IF(SUMIFS('Daily BSE Equity Futures'!$J:$J,'Daily BSE Equity Futures'!$A:$A,$A1058)=0,"",SUMIFS('Daily BSE Equity Futures'!$J:$J,'Daily BSE Equity Futures'!$A:$A,$A1058))</f>
        <v>746</v>
      </c>
      <c r="R1058" s="7">
        <f t="shared" si="198"/>
        <v>1832643</v>
      </c>
      <c r="S1058" s="19">
        <f t="shared" si="199"/>
        <v>0.99959293763160639</v>
      </c>
      <c r="T1058" s="19">
        <f t="shared" si="200"/>
        <v>4.0706236839362602E-4</v>
      </c>
    </row>
    <row r="1059" spans="1:20" x14ac:dyDescent="0.2">
      <c r="A1059" s="9">
        <v>45478</v>
      </c>
      <c r="B1059" s="4" t="s">
        <v>222</v>
      </c>
      <c r="C1059" s="8">
        <v>45474</v>
      </c>
      <c r="D1059" s="4" t="s">
        <v>190</v>
      </c>
      <c r="E1059" s="14">
        <f>IF(SUMIFS('Daily NSE Equity Futures'!$I:$I,'Daily NSE Equity Futures'!$A:$A,$A1059)=0,"",SUMIFS('Daily NSE Equity Futures'!$I:$I,'Daily NSE Equity Futures'!$A:$A,$A1059))</f>
        <v>1498.3795</v>
      </c>
      <c r="F1059" s="6">
        <f>IF(SUMIFS('Daily BSE Equity Futures'!$I:$I,'Daily BSE Equity Futures'!$A:$A,$A1059)=0,"",SUMIFS('Daily BSE Equity Futures'!$I:$I,'Daily BSE Equity Futures'!$A:$A,$A1059))</f>
        <v>2.3094999999999999</v>
      </c>
      <c r="G1059" s="6">
        <f t="shared" si="192"/>
        <v>1500.6890000000001</v>
      </c>
      <c r="H1059" s="15">
        <f t="shared" si="193"/>
        <v>0.99846104022885485</v>
      </c>
      <c r="I1059" s="15">
        <f t="shared" si="194"/>
        <v>1.5389597711451205E-3</v>
      </c>
      <c r="J1059" s="20">
        <f t="shared" si="195"/>
        <v>0.74062042629288194</v>
      </c>
      <c r="K1059" s="15">
        <f t="shared" si="196"/>
        <v>27.477188655980267</v>
      </c>
      <c r="L1059" s="15">
        <f t="shared" si="197"/>
        <v>0.74313907650005517</v>
      </c>
      <c r="M1059" s="15">
        <f t="shared" si="201"/>
        <v>5.0378552243939057E-2</v>
      </c>
      <c r="N1059" s="15">
        <f t="shared" si="202"/>
        <v>2.9071223143292166</v>
      </c>
      <c r="O1059" s="15">
        <f t="shared" si="203"/>
        <v>5.1561801798872597E-2</v>
      </c>
      <c r="P1059" s="18">
        <f>IF(SUMIFS('Daily NSE Equity Futures'!$J:$J,'Daily NSE Equity Futures'!$A:$A,$A1059)=0,"",SUMIFS('Daily NSE Equity Futures'!$J:$J,'Daily NSE Equity Futures'!$A:$A,$A1059))</f>
        <v>1933414</v>
      </c>
      <c r="Q1059" s="7">
        <f>IF(SUMIFS('Daily BSE Equity Futures'!$J:$J,'Daily BSE Equity Futures'!$A:$A,$A1059)=0,"",SUMIFS('Daily BSE Equity Futures'!$J:$J,'Daily BSE Equity Futures'!$A:$A,$A1059))</f>
        <v>2898</v>
      </c>
      <c r="R1059" s="7">
        <f t="shared" si="198"/>
        <v>1936312</v>
      </c>
      <c r="S1059" s="19">
        <f t="shared" si="199"/>
        <v>0.99850334037076671</v>
      </c>
      <c r="T1059" s="19">
        <f t="shared" si="200"/>
        <v>1.4966596292333054E-3</v>
      </c>
    </row>
    <row r="1060" spans="1:20" x14ac:dyDescent="0.2">
      <c r="A1060" s="9">
        <v>45481</v>
      </c>
      <c r="B1060" s="4" t="s">
        <v>225</v>
      </c>
      <c r="C1060" s="8">
        <v>45474</v>
      </c>
      <c r="D1060" s="4" t="s">
        <v>190</v>
      </c>
      <c r="E1060" s="14">
        <f>IF(SUMIFS('Daily NSE Equity Futures'!$I:$I,'Daily NSE Equity Futures'!$A:$A,$A1060)=0,"",SUMIFS('Daily NSE Equity Futures'!$I:$I,'Daily NSE Equity Futures'!$A:$A,$A1060))</f>
        <v>1417.0231000000001</v>
      </c>
      <c r="F1060" s="6">
        <f>IF(SUMIFS('Daily BSE Equity Futures'!$I:$I,'Daily BSE Equity Futures'!$A:$A,$A1060)=0,"",SUMIFS('Daily BSE Equity Futures'!$I:$I,'Daily BSE Equity Futures'!$A:$A,$A1060))</f>
        <v>0.64890000000000003</v>
      </c>
      <c r="G1060" s="6">
        <f t="shared" si="192"/>
        <v>1417.672</v>
      </c>
      <c r="H1060" s="15">
        <f t="shared" si="193"/>
        <v>0.99954227776241622</v>
      </c>
      <c r="I1060" s="15">
        <f t="shared" si="194"/>
        <v>4.5772223758386993E-4</v>
      </c>
      <c r="J1060" s="20" t="str">
        <f t="shared" si="195"/>
        <v/>
      </c>
      <c r="K1060" s="15" t="str">
        <f t="shared" si="196"/>
        <v/>
      </c>
      <c r="L1060" s="15" t="str">
        <f t="shared" si="197"/>
        <v/>
      </c>
      <c r="M1060" s="15">
        <f t="shared" si="201"/>
        <v>-5.4296258057454638E-2</v>
      </c>
      <c r="N1060" s="15">
        <f t="shared" si="202"/>
        <v>-0.71903009309374322</v>
      </c>
      <c r="O1060" s="15">
        <f t="shared" si="203"/>
        <v>-5.5319256688094676E-2</v>
      </c>
      <c r="P1060" s="18">
        <f>IF(SUMIFS('Daily NSE Equity Futures'!$J:$J,'Daily NSE Equity Futures'!$A:$A,$A1060)=0,"",SUMIFS('Daily NSE Equity Futures'!$J:$J,'Daily NSE Equity Futures'!$A:$A,$A1060))</f>
        <v>1812785</v>
      </c>
      <c r="Q1060" s="7">
        <f>IF(SUMIFS('Daily BSE Equity Futures'!$J:$J,'Daily BSE Equity Futures'!$A:$A,$A1060)=0,"",SUMIFS('Daily BSE Equity Futures'!$J:$J,'Daily BSE Equity Futures'!$A:$A,$A1060))</f>
        <v>787</v>
      </c>
      <c r="R1060" s="7">
        <f t="shared" si="198"/>
        <v>1813572</v>
      </c>
      <c r="S1060" s="19">
        <f t="shared" si="199"/>
        <v>0.99956604976256802</v>
      </c>
      <c r="T1060" s="19">
        <f t="shared" si="200"/>
        <v>4.3395023743198505E-4</v>
      </c>
    </row>
    <row r="1061" spans="1:20" x14ac:dyDescent="0.2">
      <c r="A1061" s="9">
        <v>45482</v>
      </c>
      <c r="B1061" s="4" t="s">
        <v>223</v>
      </c>
      <c r="C1061" s="8">
        <v>45474</v>
      </c>
      <c r="D1061" s="4" t="s">
        <v>190</v>
      </c>
      <c r="E1061" s="14">
        <f>IF(SUMIFS('Daily NSE Equity Futures'!$I:$I,'Daily NSE Equity Futures'!$A:$A,$A1061)=0,"",SUMIFS('Daily NSE Equity Futures'!$I:$I,'Daily NSE Equity Futures'!$A:$A,$A1061))</f>
        <v>1239.7883999999999</v>
      </c>
      <c r="F1061" s="6">
        <f>IF(SUMIFS('Daily BSE Equity Futures'!$I:$I,'Daily BSE Equity Futures'!$A:$A,$A1061)=0,"",SUMIFS('Daily BSE Equity Futures'!$I:$I,'Daily BSE Equity Futures'!$A:$A,$A1061))</f>
        <v>0.60060000000000002</v>
      </c>
      <c r="G1061" s="6">
        <f t="shared" si="192"/>
        <v>1240.3889999999999</v>
      </c>
      <c r="H1061" s="15">
        <f t="shared" si="193"/>
        <v>0.99951579706043836</v>
      </c>
      <c r="I1061" s="15">
        <f t="shared" si="194"/>
        <v>4.8420293956170208E-4</v>
      </c>
      <c r="J1061" s="20" t="str">
        <f t="shared" si="195"/>
        <v/>
      </c>
      <c r="K1061" s="15" t="str">
        <f t="shared" si="196"/>
        <v/>
      </c>
      <c r="L1061" s="15" t="str">
        <f t="shared" si="197"/>
        <v/>
      </c>
      <c r="M1061" s="15">
        <f t="shared" si="201"/>
        <v>-0.12507537809369529</v>
      </c>
      <c r="N1061" s="15">
        <f t="shared" si="202"/>
        <v>-7.4433656957928807E-2</v>
      </c>
      <c r="O1061" s="15">
        <f t="shared" si="203"/>
        <v>-0.12505219825178193</v>
      </c>
      <c r="P1061" s="18">
        <f>IF(SUMIFS('Daily NSE Equity Futures'!$J:$J,'Daily NSE Equity Futures'!$A:$A,$A1061)=0,"",SUMIFS('Daily NSE Equity Futures'!$J:$J,'Daily NSE Equity Futures'!$A:$A,$A1061))</f>
        <v>1616820</v>
      </c>
      <c r="Q1061" s="7">
        <f>IF(SUMIFS('Daily BSE Equity Futures'!$J:$J,'Daily BSE Equity Futures'!$A:$A,$A1061)=0,"",SUMIFS('Daily BSE Equity Futures'!$J:$J,'Daily BSE Equity Futures'!$A:$A,$A1061))</f>
        <v>779</v>
      </c>
      <c r="R1061" s="7">
        <f t="shared" si="198"/>
        <v>1617599</v>
      </c>
      <c r="S1061" s="19">
        <f t="shared" si="199"/>
        <v>0.99951842205639341</v>
      </c>
      <c r="T1061" s="19">
        <f t="shared" si="200"/>
        <v>4.815779436065428E-4</v>
      </c>
    </row>
    <row r="1062" spans="1:20" x14ac:dyDescent="0.2">
      <c r="A1062" s="9">
        <v>45483</v>
      </c>
      <c r="B1062" s="4" t="s">
        <v>221</v>
      </c>
      <c r="C1062" s="8">
        <v>45474</v>
      </c>
      <c r="D1062" s="4" t="s">
        <v>190</v>
      </c>
      <c r="E1062" s="14">
        <f>IF(SUMIFS('Daily NSE Equity Futures'!$I:$I,'Daily NSE Equity Futures'!$A:$A,$A1062)=0,"",SUMIFS('Daily NSE Equity Futures'!$I:$I,'Daily NSE Equity Futures'!$A:$A,$A1062))</f>
        <v>1794.4691</v>
      </c>
      <c r="F1062" s="6">
        <f>IF(SUMIFS('Daily BSE Equity Futures'!$I:$I,'Daily BSE Equity Futures'!$A:$A,$A1062)=0,"",SUMIFS('Daily BSE Equity Futures'!$I:$I,'Daily BSE Equity Futures'!$A:$A,$A1062))</f>
        <v>1.0186999999999999</v>
      </c>
      <c r="G1062" s="6">
        <f t="shared" si="192"/>
        <v>1795.4878000000001</v>
      </c>
      <c r="H1062" s="15">
        <f t="shared" si="193"/>
        <v>0.99943263329330334</v>
      </c>
      <c r="I1062" s="15">
        <f t="shared" si="194"/>
        <v>5.6736670669664253E-4</v>
      </c>
      <c r="J1062" s="20">
        <f t="shared" si="195"/>
        <v>1.1038545929478332</v>
      </c>
      <c r="K1062" s="15">
        <f t="shared" si="196"/>
        <v>7.6038851351351351</v>
      </c>
      <c r="L1062" s="15">
        <f t="shared" si="197"/>
        <v>1.1047567591519445</v>
      </c>
      <c r="M1062" s="15">
        <f t="shared" si="201"/>
        <v>0.44739949171971616</v>
      </c>
      <c r="N1062" s="15">
        <f t="shared" si="202"/>
        <v>0.69613719613719605</v>
      </c>
      <c r="O1062" s="15">
        <f t="shared" si="203"/>
        <v>0.44751993124737499</v>
      </c>
      <c r="P1062" s="18">
        <f>IF(SUMIFS('Daily NSE Equity Futures'!$J:$J,'Daily NSE Equity Futures'!$A:$A,$A1062)=0,"",SUMIFS('Daily NSE Equity Futures'!$J:$J,'Daily NSE Equity Futures'!$A:$A,$A1062))</f>
        <v>2353001</v>
      </c>
      <c r="Q1062" s="7">
        <f>IF(SUMIFS('Daily BSE Equity Futures'!$J:$J,'Daily BSE Equity Futures'!$A:$A,$A1062)=0,"",SUMIFS('Daily BSE Equity Futures'!$J:$J,'Daily BSE Equity Futures'!$A:$A,$A1062))</f>
        <v>1286</v>
      </c>
      <c r="R1062" s="7">
        <f t="shared" si="198"/>
        <v>2354287</v>
      </c>
      <c r="S1062" s="19">
        <f t="shared" si="199"/>
        <v>0.99945376243423167</v>
      </c>
      <c r="T1062" s="19">
        <f t="shared" si="200"/>
        <v>5.4623756576831965E-4</v>
      </c>
    </row>
    <row r="1063" spans="1:20" x14ac:dyDescent="0.2">
      <c r="A1063" s="9">
        <v>45484</v>
      </c>
      <c r="B1063" s="4" t="s">
        <v>224</v>
      </c>
      <c r="C1063" s="8">
        <v>45474</v>
      </c>
      <c r="D1063" s="4" t="s">
        <v>190</v>
      </c>
      <c r="E1063" s="14">
        <f>IF(SUMIFS('Daily NSE Equity Futures'!$I:$I,'Daily NSE Equity Futures'!$A:$A,$A1063)=0,"",SUMIFS('Daily NSE Equity Futures'!$I:$I,'Daily NSE Equity Futures'!$A:$A,$A1063))</f>
        <v>1470.6284000000001</v>
      </c>
      <c r="F1063" s="6">
        <f>IF(SUMIFS('Daily BSE Equity Futures'!$I:$I,'Daily BSE Equity Futures'!$A:$A,$A1063)=0,"",SUMIFS('Daily BSE Equity Futures'!$I:$I,'Daily BSE Equity Futures'!$A:$A,$A1063))</f>
        <v>1.3191999999999999</v>
      </c>
      <c r="G1063" s="6">
        <f t="shared" si="192"/>
        <v>1471.9476</v>
      </c>
      <c r="H1063" s="15">
        <f t="shared" si="193"/>
        <v>0.99910377244407345</v>
      </c>
      <c r="I1063" s="15">
        <f t="shared" si="194"/>
        <v>8.9622755592658318E-4</v>
      </c>
      <c r="J1063" s="20">
        <f t="shared" si="195"/>
        <v>0.73455233231805117</v>
      </c>
      <c r="K1063" s="15">
        <f t="shared" si="196"/>
        <v>8.6081573197377992</v>
      </c>
      <c r="L1063" s="15">
        <f t="shared" si="197"/>
        <v>0.735827179988219</v>
      </c>
      <c r="M1063" s="15">
        <f t="shared" si="201"/>
        <v>-0.18046602195602024</v>
      </c>
      <c r="N1063" s="15">
        <f t="shared" si="202"/>
        <v>0.29498380288603121</v>
      </c>
      <c r="O1063" s="15">
        <f t="shared" si="203"/>
        <v>-0.1801962675547002</v>
      </c>
      <c r="P1063" s="18">
        <f>IF(SUMIFS('Daily NSE Equity Futures'!$J:$J,'Daily NSE Equity Futures'!$A:$A,$A1063)=0,"",SUMIFS('Daily NSE Equity Futures'!$J:$J,'Daily NSE Equity Futures'!$A:$A,$A1063))</f>
        <v>1921681</v>
      </c>
      <c r="Q1063" s="7">
        <f>IF(SUMIFS('Daily BSE Equity Futures'!$J:$J,'Daily BSE Equity Futures'!$A:$A,$A1063)=0,"",SUMIFS('Daily BSE Equity Futures'!$J:$J,'Daily BSE Equity Futures'!$A:$A,$A1063))</f>
        <v>1654</v>
      </c>
      <c r="R1063" s="7">
        <f t="shared" si="198"/>
        <v>1923335</v>
      </c>
      <c r="S1063" s="19">
        <f t="shared" si="199"/>
        <v>0.99914003540724838</v>
      </c>
      <c r="T1063" s="19">
        <f t="shared" si="200"/>
        <v>8.5996459275165273E-4</v>
      </c>
    </row>
    <row r="1064" spans="1:20" x14ac:dyDescent="0.2">
      <c r="A1064" s="9">
        <v>45485</v>
      </c>
      <c r="B1064" s="4" t="s">
        <v>222</v>
      </c>
      <c r="C1064" s="8">
        <v>45474</v>
      </c>
      <c r="D1064" s="4" t="s">
        <v>190</v>
      </c>
      <c r="E1064" s="14">
        <f>IF(SUMIFS('Daily NSE Equity Futures'!$I:$I,'Daily NSE Equity Futures'!$A:$A,$A1064)=0,"",SUMIFS('Daily NSE Equity Futures'!$I:$I,'Daily NSE Equity Futures'!$A:$A,$A1064))</f>
        <v>1722.6393</v>
      </c>
      <c r="F1064" s="6">
        <f>IF(SUMIFS('Daily BSE Equity Futures'!$I:$I,'Daily BSE Equity Futures'!$A:$A,$A1064)=0,"",SUMIFS('Daily BSE Equity Futures'!$I:$I,'Daily BSE Equity Futures'!$A:$A,$A1064))</f>
        <v>6.4210000000000003</v>
      </c>
      <c r="G1064" s="6">
        <f t="shared" si="192"/>
        <v>1729.0603000000001</v>
      </c>
      <c r="H1064" s="15">
        <f t="shared" si="193"/>
        <v>0.99628642216815688</v>
      </c>
      <c r="I1064" s="15">
        <f t="shared" si="194"/>
        <v>3.7135778318431113E-3</v>
      </c>
      <c r="J1064" s="20">
        <f t="shared" si="195"/>
        <v>0.94742336872816457</v>
      </c>
      <c r="K1064" s="15">
        <f t="shared" si="196"/>
        <v>57.585766423357668</v>
      </c>
      <c r="L1064" s="15">
        <f t="shared" si="197"/>
        <v>0.9544400752721427</v>
      </c>
      <c r="M1064" s="15">
        <f t="shared" si="201"/>
        <v>0.17136273174107064</v>
      </c>
      <c r="N1064" s="15">
        <f t="shared" si="202"/>
        <v>3.8673438447543971</v>
      </c>
      <c r="O1064" s="15">
        <f t="shared" si="203"/>
        <v>0.17467517186073755</v>
      </c>
      <c r="P1064" s="18">
        <f>IF(SUMIFS('Daily NSE Equity Futures'!$J:$J,'Daily NSE Equity Futures'!$A:$A,$A1064)=0,"",SUMIFS('Daily NSE Equity Futures'!$J:$J,'Daily NSE Equity Futures'!$A:$A,$A1064))</f>
        <v>2256330</v>
      </c>
      <c r="Q1064" s="7">
        <f>IF(SUMIFS('Daily BSE Equity Futures'!$J:$J,'Daily BSE Equity Futures'!$A:$A,$A1064)=0,"",SUMIFS('Daily BSE Equity Futures'!$J:$J,'Daily BSE Equity Futures'!$A:$A,$A1064))</f>
        <v>7983</v>
      </c>
      <c r="R1064" s="7">
        <f t="shared" si="198"/>
        <v>2264313</v>
      </c>
      <c r="S1064" s="19">
        <f t="shared" si="199"/>
        <v>0.99647442734286296</v>
      </c>
      <c r="T1064" s="19">
        <f t="shared" si="200"/>
        <v>3.5255726571370655E-3</v>
      </c>
    </row>
    <row r="1065" spans="1:20" x14ac:dyDescent="0.2">
      <c r="A1065" s="9">
        <v>45488</v>
      </c>
      <c r="B1065" s="4" t="s">
        <v>225</v>
      </c>
      <c r="C1065" s="8">
        <v>45474</v>
      </c>
      <c r="D1065" s="4" t="s">
        <v>190</v>
      </c>
      <c r="E1065" s="14">
        <f>IF(SUMIFS('Daily NSE Equity Futures'!$I:$I,'Daily NSE Equity Futures'!$A:$A,$A1065)=0,"",SUMIFS('Daily NSE Equity Futures'!$I:$I,'Daily NSE Equity Futures'!$A:$A,$A1065))</f>
        <v>1465.7219</v>
      </c>
      <c r="F1065" s="6">
        <f>IF(SUMIFS('Daily BSE Equity Futures'!$I:$I,'Daily BSE Equity Futures'!$A:$A,$A1065)=0,"",SUMIFS('Daily BSE Equity Futures'!$I:$I,'Daily BSE Equity Futures'!$A:$A,$A1065))</f>
        <v>2.6882999999999999</v>
      </c>
      <c r="G1065" s="6">
        <f t="shared" si="192"/>
        <v>1468.4102</v>
      </c>
      <c r="H1065" s="15">
        <f t="shared" si="193"/>
        <v>0.99816924453398648</v>
      </c>
      <c r="I1065" s="15">
        <f t="shared" si="194"/>
        <v>1.8307554660135156E-3</v>
      </c>
      <c r="J1065" s="20" t="str">
        <f t="shared" si="195"/>
        <v/>
      </c>
      <c r="K1065" s="15" t="str">
        <f t="shared" si="196"/>
        <v/>
      </c>
      <c r="L1065" s="15" t="str">
        <f t="shared" si="197"/>
        <v/>
      </c>
      <c r="M1065" s="15">
        <f t="shared" si="201"/>
        <v>-0.14914172688385785</v>
      </c>
      <c r="N1065" s="15">
        <f t="shared" si="202"/>
        <v>-0.58132689612209942</v>
      </c>
      <c r="O1065" s="15">
        <f t="shared" si="203"/>
        <v>-0.15074668014759229</v>
      </c>
      <c r="P1065" s="18">
        <f>IF(SUMIFS('Daily NSE Equity Futures'!$J:$J,'Daily NSE Equity Futures'!$A:$A,$A1065)=0,"",SUMIFS('Daily NSE Equity Futures'!$J:$J,'Daily NSE Equity Futures'!$A:$A,$A1065))</f>
        <v>1905093</v>
      </c>
      <c r="Q1065" s="7">
        <f>IF(SUMIFS('Daily BSE Equity Futures'!$J:$J,'Daily BSE Equity Futures'!$A:$A,$A1065)=0,"",SUMIFS('Daily BSE Equity Futures'!$J:$J,'Daily BSE Equity Futures'!$A:$A,$A1065))</f>
        <v>3017</v>
      </c>
      <c r="R1065" s="7">
        <f t="shared" si="198"/>
        <v>1908110</v>
      </c>
      <c r="S1065" s="19">
        <f t="shared" si="199"/>
        <v>0.9984188542589264</v>
      </c>
      <c r="T1065" s="19">
        <f t="shared" si="200"/>
        <v>1.5811457410736278E-3</v>
      </c>
    </row>
    <row r="1066" spans="1:20" x14ac:dyDescent="0.2">
      <c r="A1066" s="9">
        <v>45489</v>
      </c>
      <c r="B1066" s="4" t="s">
        <v>223</v>
      </c>
      <c r="C1066" s="8">
        <v>45474</v>
      </c>
      <c r="D1066" s="4" t="s">
        <v>190</v>
      </c>
      <c r="E1066" s="14">
        <f>IF(SUMIFS('Daily NSE Equity Futures'!$I:$I,'Daily NSE Equity Futures'!$A:$A,$A1066)=0,"",SUMIFS('Daily NSE Equity Futures'!$I:$I,'Daily NSE Equity Futures'!$A:$A,$A1066))</f>
        <v>1383.9717000000001</v>
      </c>
      <c r="F1066" s="6">
        <f>IF(SUMIFS('Daily BSE Equity Futures'!$I:$I,'Daily BSE Equity Futures'!$A:$A,$A1066)=0,"",SUMIFS('Daily BSE Equity Futures'!$I:$I,'Daily BSE Equity Futures'!$A:$A,$A1066))</f>
        <v>0.67020000000000002</v>
      </c>
      <c r="G1066" s="6">
        <f t="shared" si="192"/>
        <v>1384.6419000000001</v>
      </c>
      <c r="H1066" s="15">
        <f t="shared" si="193"/>
        <v>0.9995159759357275</v>
      </c>
      <c r="I1066" s="15">
        <f t="shared" si="194"/>
        <v>4.8402406427250252E-4</v>
      </c>
      <c r="J1066" s="20" t="str">
        <f t="shared" si="195"/>
        <v/>
      </c>
      <c r="K1066" s="15" t="str">
        <f t="shared" si="196"/>
        <v/>
      </c>
      <c r="L1066" s="15" t="str">
        <f t="shared" si="197"/>
        <v/>
      </c>
      <c r="M1066" s="15">
        <f t="shared" si="201"/>
        <v>-5.5774700507647434E-2</v>
      </c>
      <c r="N1066" s="15">
        <f t="shared" si="202"/>
        <v>-0.75069746680058025</v>
      </c>
      <c r="O1066" s="15">
        <f t="shared" si="203"/>
        <v>-5.7046934160495444E-2</v>
      </c>
      <c r="P1066" s="18">
        <f>IF(SUMIFS('Daily NSE Equity Futures'!$J:$J,'Daily NSE Equity Futures'!$A:$A,$A1066)=0,"",SUMIFS('Daily NSE Equity Futures'!$J:$J,'Daily NSE Equity Futures'!$A:$A,$A1066))</f>
        <v>1785746</v>
      </c>
      <c r="Q1066" s="7">
        <f>IF(SUMIFS('Daily BSE Equity Futures'!$J:$J,'Daily BSE Equity Futures'!$A:$A,$A1066)=0,"",SUMIFS('Daily BSE Equity Futures'!$J:$J,'Daily BSE Equity Futures'!$A:$A,$A1066))</f>
        <v>814</v>
      </c>
      <c r="R1066" s="7">
        <f t="shared" si="198"/>
        <v>1786560</v>
      </c>
      <c r="S1066" s="19">
        <f t="shared" si="199"/>
        <v>0.99954437578362887</v>
      </c>
      <c r="T1066" s="19">
        <f t="shared" si="200"/>
        <v>4.5562421637112665E-4</v>
      </c>
    </row>
    <row r="1067" spans="1:20" x14ac:dyDescent="0.2">
      <c r="A1067" s="9">
        <v>45491</v>
      </c>
      <c r="B1067" s="4" t="s">
        <v>224</v>
      </c>
      <c r="C1067" s="8">
        <v>45474</v>
      </c>
      <c r="D1067" s="4" t="s">
        <v>190</v>
      </c>
      <c r="E1067" s="14">
        <f>IF(SUMIFS('Daily NSE Equity Futures'!$I:$I,'Daily NSE Equity Futures'!$A:$A,$A1067)=0,"",SUMIFS('Daily NSE Equity Futures'!$I:$I,'Daily NSE Equity Futures'!$A:$A,$A1067))</f>
        <v>2291.5652</v>
      </c>
      <c r="F1067" s="6">
        <f>IF(SUMIFS('Daily BSE Equity Futures'!$I:$I,'Daily BSE Equity Futures'!$A:$A,$A1067)=0,"",SUMIFS('Daily BSE Equity Futures'!$I:$I,'Daily BSE Equity Futures'!$A:$A,$A1067))</f>
        <v>1.8616999999999999</v>
      </c>
      <c r="G1067" s="6">
        <f t="shared" si="192"/>
        <v>2293.4268999999999</v>
      </c>
      <c r="H1067" s="15">
        <f t="shared" si="193"/>
        <v>0.99918824532842099</v>
      </c>
      <c r="I1067" s="15">
        <f t="shared" si="194"/>
        <v>8.1175467157902441E-4</v>
      </c>
      <c r="J1067" s="20">
        <f t="shared" si="195"/>
        <v>1.0765003930876027</v>
      </c>
      <c r="K1067" s="15">
        <f t="shared" si="196"/>
        <v>3.231136363636363</v>
      </c>
      <c r="L1067" s="15">
        <f t="shared" si="197"/>
        <v>1.0773591164144407</v>
      </c>
      <c r="M1067" s="15">
        <f t="shared" si="201"/>
        <v>0.65578905984855029</v>
      </c>
      <c r="N1067" s="15">
        <f t="shared" si="202"/>
        <v>1.7778275141748732</v>
      </c>
      <c r="O1067" s="15">
        <f t="shared" si="203"/>
        <v>0.65633215346148321</v>
      </c>
      <c r="P1067" s="18">
        <f>IF(SUMIFS('Daily NSE Equity Futures'!$J:$J,'Daily NSE Equity Futures'!$A:$A,$A1067)=0,"",SUMIFS('Daily NSE Equity Futures'!$J:$J,'Daily NSE Equity Futures'!$A:$A,$A1067))</f>
        <v>2947593</v>
      </c>
      <c r="Q1067" s="7">
        <f>IF(SUMIFS('Daily BSE Equity Futures'!$J:$J,'Daily BSE Equity Futures'!$A:$A,$A1067)=0,"",SUMIFS('Daily BSE Equity Futures'!$J:$J,'Daily BSE Equity Futures'!$A:$A,$A1067))</f>
        <v>2268</v>
      </c>
      <c r="R1067" s="7">
        <f t="shared" si="198"/>
        <v>2949861</v>
      </c>
      <c r="S1067" s="19">
        <f t="shared" si="199"/>
        <v>0.99923115021351849</v>
      </c>
      <c r="T1067" s="19">
        <f t="shared" si="200"/>
        <v>7.6884978648146475E-4</v>
      </c>
    </row>
    <row r="1068" spans="1:20" x14ac:dyDescent="0.2">
      <c r="A1068" s="9">
        <v>45492</v>
      </c>
      <c r="B1068" s="4" t="s">
        <v>222</v>
      </c>
      <c r="C1068" s="8">
        <v>45474</v>
      </c>
      <c r="D1068" s="4" t="s">
        <v>190</v>
      </c>
      <c r="E1068" s="14">
        <f>IF(SUMIFS('Daily NSE Equity Futures'!$I:$I,'Daily NSE Equity Futures'!$A:$A,$A1068)=0,"",SUMIFS('Daily NSE Equity Futures'!$I:$I,'Daily NSE Equity Futures'!$A:$A,$A1068))</f>
        <v>2188.9034999999999</v>
      </c>
      <c r="F1068" s="6">
        <f>IF(SUMIFS('Daily BSE Equity Futures'!$I:$I,'Daily BSE Equity Futures'!$A:$A,$A1068)=0,"",SUMIFS('Daily BSE Equity Futures'!$I:$I,'Daily BSE Equity Futures'!$A:$A,$A1068))</f>
        <v>5.0762</v>
      </c>
      <c r="G1068" s="6">
        <f t="shared" si="192"/>
        <v>2193.9796999999999</v>
      </c>
      <c r="H1068" s="15">
        <f t="shared" si="193"/>
        <v>0.99768630493709676</v>
      </c>
      <c r="I1068" s="15">
        <f t="shared" si="194"/>
        <v>2.3136950629032713E-3</v>
      </c>
      <c r="J1068" s="20">
        <f t="shared" si="195"/>
        <v>1.2964836546943497</v>
      </c>
      <c r="K1068" s="15">
        <f t="shared" si="196"/>
        <v>19.744585206375152</v>
      </c>
      <c r="L1068" s="15">
        <f t="shared" si="197"/>
        <v>1.3012185557968325</v>
      </c>
      <c r="M1068" s="15">
        <f t="shared" si="201"/>
        <v>-4.4799816300230111E-2</v>
      </c>
      <c r="N1068" s="15">
        <f t="shared" si="202"/>
        <v>1.7266476875973575</v>
      </c>
      <c r="O1068" s="15">
        <f t="shared" si="203"/>
        <v>-4.336183551348427E-2</v>
      </c>
      <c r="P1068" s="18">
        <f>IF(SUMIFS('Daily NSE Equity Futures'!$J:$J,'Daily NSE Equity Futures'!$A:$A,$A1068)=0,"",SUMIFS('Daily NSE Equity Futures'!$J:$J,'Daily NSE Equity Futures'!$A:$A,$A1068))</f>
        <v>2895906</v>
      </c>
      <c r="Q1068" s="7">
        <f>IF(SUMIFS('Daily BSE Equity Futures'!$J:$J,'Daily BSE Equity Futures'!$A:$A,$A1068)=0,"",SUMIFS('Daily BSE Equity Futures'!$J:$J,'Daily BSE Equity Futures'!$A:$A,$A1068))</f>
        <v>6267</v>
      </c>
      <c r="R1068" s="7">
        <f t="shared" si="198"/>
        <v>2902173</v>
      </c>
      <c r="S1068" s="19">
        <f t="shared" si="199"/>
        <v>0.99784058359029593</v>
      </c>
      <c r="T1068" s="19">
        <f t="shared" si="200"/>
        <v>2.1594164097040389E-3</v>
      </c>
    </row>
    <row r="1069" spans="1:20" x14ac:dyDescent="0.2">
      <c r="A1069" s="9">
        <v>45495</v>
      </c>
      <c r="B1069" s="4" t="s">
        <v>225</v>
      </c>
      <c r="C1069" s="8">
        <v>45474</v>
      </c>
      <c r="D1069" s="4" t="s">
        <v>190</v>
      </c>
      <c r="E1069" s="14">
        <f>IF(SUMIFS('Daily NSE Equity Futures'!$I:$I,'Daily NSE Equity Futures'!$A:$A,$A1069)=0,"",SUMIFS('Daily NSE Equity Futures'!$I:$I,'Daily NSE Equity Futures'!$A:$A,$A1069))</f>
        <v>3499.9994000000002</v>
      </c>
      <c r="F1069" s="6">
        <f>IF(SUMIFS('Daily BSE Equity Futures'!$I:$I,'Daily BSE Equity Futures'!$A:$A,$A1069)=0,"",SUMIFS('Daily BSE Equity Futures'!$I:$I,'Daily BSE Equity Futures'!$A:$A,$A1069))</f>
        <v>7.0107999999999997</v>
      </c>
      <c r="G1069" s="6">
        <f t="shared" si="192"/>
        <v>3507.0102000000002</v>
      </c>
      <c r="H1069" s="15">
        <f t="shared" si="193"/>
        <v>0.99800091827505943</v>
      </c>
      <c r="I1069" s="15">
        <f t="shared" si="194"/>
        <v>1.9990817249405206E-3</v>
      </c>
      <c r="J1069" s="20" t="str">
        <f t="shared" si="195"/>
        <v/>
      </c>
      <c r="K1069" s="15" t="str">
        <f t="shared" si="196"/>
        <v/>
      </c>
      <c r="L1069" s="15" t="str">
        <f t="shared" si="197"/>
        <v/>
      </c>
      <c r="M1069" s="15">
        <f t="shared" si="201"/>
        <v>0.59897382410873767</v>
      </c>
      <c r="N1069" s="15">
        <f t="shared" si="202"/>
        <v>0.38111185532484915</v>
      </c>
      <c r="O1069" s="15">
        <f t="shared" si="203"/>
        <v>0.59846975794716806</v>
      </c>
      <c r="P1069" s="18">
        <f>IF(SUMIFS('Daily NSE Equity Futures'!$J:$J,'Daily NSE Equity Futures'!$A:$A,$A1069)=0,"",SUMIFS('Daily NSE Equity Futures'!$J:$J,'Daily NSE Equity Futures'!$A:$A,$A1069))</f>
        <v>4585219</v>
      </c>
      <c r="Q1069" s="7">
        <f>IF(SUMIFS('Daily BSE Equity Futures'!$J:$J,'Daily BSE Equity Futures'!$A:$A,$A1069)=0,"",SUMIFS('Daily BSE Equity Futures'!$J:$J,'Daily BSE Equity Futures'!$A:$A,$A1069))</f>
        <v>7905</v>
      </c>
      <c r="R1069" s="7">
        <f t="shared" si="198"/>
        <v>4593124</v>
      </c>
      <c r="S1069" s="19">
        <f t="shared" si="199"/>
        <v>0.99827894914223958</v>
      </c>
      <c r="T1069" s="19">
        <f t="shared" si="200"/>
        <v>1.7210508577604263E-3</v>
      </c>
    </row>
    <row r="1070" spans="1:20" x14ac:dyDescent="0.2">
      <c r="A1070" s="9">
        <v>45496</v>
      </c>
      <c r="B1070" s="4" t="s">
        <v>223</v>
      </c>
      <c r="C1070" s="8">
        <v>45474</v>
      </c>
      <c r="D1070" s="4" t="s">
        <v>190</v>
      </c>
      <c r="E1070" s="14">
        <f>IF(SUMIFS('Daily NSE Equity Futures'!$I:$I,'Daily NSE Equity Futures'!$A:$A,$A1070)=0,"",SUMIFS('Daily NSE Equity Futures'!$I:$I,'Daily NSE Equity Futures'!$A:$A,$A1070))</f>
        <v>4777.9350000000004</v>
      </c>
      <c r="F1070" s="6">
        <f>IF(SUMIFS('Daily BSE Equity Futures'!$I:$I,'Daily BSE Equity Futures'!$A:$A,$A1070)=0,"",SUMIFS('Daily BSE Equity Futures'!$I:$I,'Daily BSE Equity Futures'!$A:$A,$A1070))</f>
        <v>2.1547999999999998</v>
      </c>
      <c r="G1070" s="6">
        <f t="shared" si="192"/>
        <v>4780.0898000000007</v>
      </c>
      <c r="H1070" s="15">
        <f t="shared" si="193"/>
        <v>0.99954921348967118</v>
      </c>
      <c r="I1070" s="15">
        <f t="shared" si="194"/>
        <v>4.5078651032873891E-4</v>
      </c>
      <c r="J1070" s="20" t="str">
        <f t="shared" si="195"/>
        <v/>
      </c>
      <c r="K1070" s="15" t="str">
        <f t="shared" si="196"/>
        <v/>
      </c>
      <c r="L1070" s="15" t="str">
        <f t="shared" si="197"/>
        <v/>
      </c>
      <c r="M1070" s="15">
        <f t="shared" si="201"/>
        <v>0.36512451973563209</v>
      </c>
      <c r="N1070" s="15">
        <f t="shared" si="202"/>
        <v>-0.69264563245278721</v>
      </c>
      <c r="O1070" s="15">
        <f t="shared" si="203"/>
        <v>0.3630099507552047</v>
      </c>
      <c r="P1070" s="18">
        <f>IF(SUMIFS('Daily NSE Equity Futures'!$J:$J,'Daily NSE Equity Futures'!$A:$A,$A1070)=0,"",SUMIFS('Daily NSE Equity Futures'!$J:$J,'Daily NSE Equity Futures'!$A:$A,$A1070))</f>
        <v>6331313</v>
      </c>
      <c r="Q1070" s="7">
        <f>IF(SUMIFS('Daily BSE Equity Futures'!$J:$J,'Daily BSE Equity Futures'!$A:$A,$A1070)=0,"",SUMIFS('Daily BSE Equity Futures'!$J:$J,'Daily BSE Equity Futures'!$A:$A,$A1070))</f>
        <v>2662</v>
      </c>
      <c r="R1070" s="7">
        <f t="shared" si="198"/>
        <v>6333975</v>
      </c>
      <c r="S1070" s="19">
        <f t="shared" si="199"/>
        <v>0.99957972679083829</v>
      </c>
      <c r="T1070" s="19">
        <f t="shared" si="200"/>
        <v>4.2027320916170334E-4</v>
      </c>
    </row>
    <row r="1071" spans="1:20" x14ac:dyDescent="0.2">
      <c r="A1071" s="9">
        <v>45497</v>
      </c>
      <c r="B1071" s="4" t="s">
        <v>221</v>
      </c>
      <c r="C1071" s="8">
        <v>45474</v>
      </c>
      <c r="D1071" s="4" t="s">
        <v>190</v>
      </c>
      <c r="E1071" s="14">
        <f>IF(SUMIFS('Daily NSE Equity Futures'!$I:$I,'Daily NSE Equity Futures'!$A:$A,$A1071)=0,"",SUMIFS('Daily NSE Equity Futures'!$I:$I,'Daily NSE Equity Futures'!$A:$A,$A1071))</f>
        <v>4435.8657999999996</v>
      </c>
      <c r="F1071" s="6">
        <f>IF(SUMIFS('Daily BSE Equity Futures'!$I:$I,'Daily BSE Equity Futures'!$A:$A,$A1071)=0,"",SUMIFS('Daily BSE Equity Futures'!$I:$I,'Daily BSE Equity Futures'!$A:$A,$A1071))</f>
        <v>0.68379999999999996</v>
      </c>
      <c r="G1071" s="6">
        <f t="shared" si="192"/>
        <v>4436.5495999999994</v>
      </c>
      <c r="H1071" s="15">
        <f t="shared" si="193"/>
        <v>0.99984587121487389</v>
      </c>
      <c r="I1071" s="15">
        <f t="shared" si="194"/>
        <v>1.5412878512617104E-4</v>
      </c>
      <c r="J1071" s="20">
        <f t="shared" si="195"/>
        <v>1.1143049977228587</v>
      </c>
      <c r="K1071" s="15">
        <f t="shared" si="196"/>
        <v>1.2015453960077269</v>
      </c>
      <c r="L1071" s="15">
        <f t="shared" si="197"/>
        <v>1.1143179112249935</v>
      </c>
      <c r="M1071" s="15">
        <f t="shared" si="201"/>
        <v>-7.1593523143366533E-2</v>
      </c>
      <c r="N1071" s="15">
        <f t="shared" si="202"/>
        <v>-0.682661963987377</v>
      </c>
      <c r="O1071" s="15">
        <f t="shared" si="203"/>
        <v>-7.1868984553386639E-2</v>
      </c>
      <c r="P1071" s="18">
        <f>IF(SUMIFS('Daily NSE Equity Futures'!$J:$J,'Daily NSE Equity Futures'!$A:$A,$A1071)=0,"",SUMIFS('Daily NSE Equity Futures'!$J:$J,'Daily NSE Equity Futures'!$A:$A,$A1071))</f>
        <v>5839150</v>
      </c>
      <c r="Q1071" s="7">
        <f>IF(SUMIFS('Daily BSE Equity Futures'!$J:$J,'Daily BSE Equity Futures'!$A:$A,$A1071)=0,"",SUMIFS('Daily BSE Equity Futures'!$J:$J,'Daily BSE Equity Futures'!$A:$A,$A1071))</f>
        <v>859</v>
      </c>
      <c r="R1071" s="7">
        <f t="shared" si="198"/>
        <v>5840009</v>
      </c>
      <c r="S1071" s="19">
        <f t="shared" si="199"/>
        <v>0.99985291118558206</v>
      </c>
      <c r="T1071" s="19">
        <f t="shared" si="200"/>
        <v>1.4708881441792299E-4</v>
      </c>
    </row>
    <row r="1072" spans="1:20" x14ac:dyDescent="0.2">
      <c r="A1072" s="9">
        <v>45498</v>
      </c>
      <c r="B1072" s="4" t="s">
        <v>224</v>
      </c>
      <c r="C1072" s="8">
        <v>45474</v>
      </c>
      <c r="D1072" s="4" t="s">
        <v>190</v>
      </c>
      <c r="E1072" s="14">
        <f>IF(SUMIFS('Daily NSE Equity Futures'!$I:$I,'Daily NSE Equity Futures'!$A:$A,$A1072)=0,"",SUMIFS('Daily NSE Equity Futures'!$I:$I,'Daily NSE Equity Futures'!$A:$A,$A1072))</f>
        <v>4004.5771</v>
      </c>
      <c r="F1072" s="6">
        <f>IF(SUMIFS('Daily BSE Equity Futures'!$I:$I,'Daily BSE Equity Futures'!$A:$A,$A1072)=0,"",SUMIFS('Daily BSE Equity Futures'!$I:$I,'Daily BSE Equity Futures'!$A:$A,$A1072))</f>
        <v>1.1547000000000001</v>
      </c>
      <c r="G1072" s="6">
        <f t="shared" si="192"/>
        <v>4005.7318</v>
      </c>
      <c r="H1072" s="15">
        <f t="shared" si="193"/>
        <v>0.99971173806493985</v>
      </c>
      <c r="I1072" s="15">
        <f t="shared" si="194"/>
        <v>2.8826193506015555E-4</v>
      </c>
      <c r="J1072" s="20">
        <f t="shared" si="195"/>
        <v>0.80339305168669495</v>
      </c>
      <c r="K1072" s="15">
        <f t="shared" si="196"/>
        <v>3.0487377279102388</v>
      </c>
      <c r="L1072" s="15">
        <f t="shared" si="197"/>
        <v>0.80368139540622119</v>
      </c>
      <c r="M1072" s="15">
        <f t="shared" si="201"/>
        <v>-9.7227625777136839E-2</v>
      </c>
      <c r="N1072" s="15">
        <f t="shared" si="202"/>
        <v>0.68865165252997973</v>
      </c>
      <c r="O1072" s="15">
        <f t="shared" si="203"/>
        <v>-9.7106499158715498E-2</v>
      </c>
      <c r="P1072" s="18">
        <f>IF(SUMIFS('Daily NSE Equity Futures'!$J:$J,'Daily NSE Equity Futures'!$A:$A,$A1072)=0,"",SUMIFS('Daily NSE Equity Futures'!$J:$J,'Daily NSE Equity Futures'!$A:$A,$A1072))</f>
        <v>5346108</v>
      </c>
      <c r="Q1072" s="7">
        <f>IF(SUMIFS('Daily BSE Equity Futures'!$J:$J,'Daily BSE Equity Futures'!$A:$A,$A1072)=0,"",SUMIFS('Daily BSE Equity Futures'!$J:$J,'Daily BSE Equity Futures'!$A:$A,$A1072))</f>
        <v>1451</v>
      </c>
      <c r="R1072" s="7">
        <f t="shared" si="198"/>
        <v>5347559</v>
      </c>
      <c r="S1072" s="19">
        <f t="shared" si="199"/>
        <v>0.99972866124525228</v>
      </c>
      <c r="T1072" s="19">
        <f t="shared" si="200"/>
        <v>2.7133875474772697E-4</v>
      </c>
    </row>
    <row r="1073" spans="1:20" x14ac:dyDescent="0.2">
      <c r="A1073" s="9">
        <v>45499</v>
      </c>
      <c r="B1073" s="4" t="s">
        <v>222</v>
      </c>
      <c r="C1073" s="8">
        <v>45474</v>
      </c>
      <c r="D1073" s="4" t="s">
        <v>190</v>
      </c>
      <c r="E1073" s="14">
        <f>IF(SUMIFS('Daily NSE Equity Futures'!$I:$I,'Daily NSE Equity Futures'!$A:$A,$A1073)=0,"",SUMIFS('Daily NSE Equity Futures'!$I:$I,'Daily NSE Equity Futures'!$A:$A,$A1073))</f>
        <v>2052.1563999999998</v>
      </c>
      <c r="F1073" s="6">
        <f>IF(SUMIFS('Daily BSE Equity Futures'!$I:$I,'Daily BSE Equity Futures'!$A:$A,$A1073)=0,"",SUMIFS('Daily BSE Equity Futures'!$I:$I,'Daily BSE Equity Futures'!$A:$A,$A1073))</f>
        <v>7.6207000000000003</v>
      </c>
      <c r="G1073" s="6">
        <f t="shared" si="192"/>
        <v>2059.7770999999998</v>
      </c>
      <c r="H1073" s="15">
        <f t="shared" si="193"/>
        <v>0.99630023073855911</v>
      </c>
      <c r="I1073" s="15">
        <f t="shared" si="194"/>
        <v>3.6997692614409595E-3</v>
      </c>
      <c r="J1073" s="20">
        <f t="shared" si="195"/>
        <v>-1.8856410347617758E-2</v>
      </c>
      <c r="K1073" s="15">
        <f t="shared" si="196"/>
        <v>25.488355926312131</v>
      </c>
      <c r="L1073" s="15">
        <f t="shared" si="197"/>
        <v>-1.5348364663223868E-2</v>
      </c>
      <c r="M1073" s="15">
        <f t="shared" si="201"/>
        <v>-0.48754728682836446</v>
      </c>
      <c r="N1073" s="15">
        <f t="shared" si="202"/>
        <v>5.5997228717415775</v>
      </c>
      <c r="O1073" s="15">
        <f t="shared" si="203"/>
        <v>-0.48579255855322123</v>
      </c>
      <c r="P1073" s="18">
        <f>IF(SUMIFS('Daily NSE Equity Futures'!$J:$J,'Daily NSE Equity Futures'!$A:$A,$A1073)=0,"",SUMIFS('Daily NSE Equity Futures'!$J:$J,'Daily NSE Equity Futures'!$A:$A,$A1073))</f>
        <v>2691643</v>
      </c>
      <c r="Q1073" s="7">
        <f>IF(SUMIFS('Daily BSE Equity Futures'!$J:$J,'Daily BSE Equity Futures'!$A:$A,$A1073)=0,"",SUMIFS('Daily BSE Equity Futures'!$J:$J,'Daily BSE Equity Futures'!$A:$A,$A1073))</f>
        <v>9402</v>
      </c>
      <c r="R1073" s="7">
        <f t="shared" si="198"/>
        <v>2701045</v>
      </c>
      <c r="S1073" s="19">
        <f t="shared" si="199"/>
        <v>0.99651912500532203</v>
      </c>
      <c r="T1073" s="19">
        <f t="shared" si="200"/>
        <v>3.4808749946779859E-3</v>
      </c>
    </row>
    <row r="1074" spans="1:20" x14ac:dyDescent="0.2">
      <c r="A1074" s="9">
        <v>45502</v>
      </c>
      <c r="B1074" s="4" t="s">
        <v>225</v>
      </c>
      <c r="C1074" s="8">
        <v>45474</v>
      </c>
      <c r="D1074" s="4" t="s">
        <v>190</v>
      </c>
      <c r="E1074" s="14">
        <f>IF(SUMIFS('Daily NSE Equity Futures'!$I:$I,'Daily NSE Equity Futures'!$A:$A,$A1074)=0,"",SUMIFS('Daily NSE Equity Futures'!$I:$I,'Daily NSE Equity Futures'!$A:$A,$A1074))</f>
        <v>2117.8681000000001</v>
      </c>
      <c r="F1074" s="6">
        <f>IF(SUMIFS('Daily BSE Equity Futures'!$I:$I,'Daily BSE Equity Futures'!$A:$A,$A1074)=0,"",SUMIFS('Daily BSE Equity Futures'!$I:$I,'Daily BSE Equity Futures'!$A:$A,$A1074))</f>
        <v>4.8154000000000003</v>
      </c>
      <c r="G1074" s="6">
        <f t="shared" si="192"/>
        <v>2122.6835000000001</v>
      </c>
      <c r="H1074" s="15">
        <f t="shared" si="193"/>
        <v>0.99773145643238859</v>
      </c>
      <c r="I1074" s="15">
        <f t="shared" si="194"/>
        <v>2.2685435676114691E-3</v>
      </c>
      <c r="J1074" s="20" t="str">
        <f t="shared" si="195"/>
        <v/>
      </c>
      <c r="K1074" s="15" t="str">
        <f t="shared" si="196"/>
        <v/>
      </c>
      <c r="L1074" s="15" t="str">
        <f t="shared" si="197"/>
        <v/>
      </c>
      <c r="M1074" s="15">
        <f t="shared" si="201"/>
        <v>3.2020805041955036E-2</v>
      </c>
      <c r="N1074" s="15">
        <f t="shared" si="202"/>
        <v>-0.36811578988806803</v>
      </c>
      <c r="O1074" s="15">
        <f t="shared" si="203"/>
        <v>3.0540391967655234E-2</v>
      </c>
      <c r="P1074" s="18">
        <f>IF(SUMIFS('Daily NSE Equity Futures'!$J:$J,'Daily NSE Equity Futures'!$A:$A,$A1074)=0,"",SUMIFS('Daily NSE Equity Futures'!$J:$J,'Daily NSE Equity Futures'!$A:$A,$A1074))</f>
        <v>2699090</v>
      </c>
      <c r="Q1074" s="7">
        <f>IF(SUMIFS('Daily BSE Equity Futures'!$J:$J,'Daily BSE Equity Futures'!$A:$A,$A1074)=0,"",SUMIFS('Daily BSE Equity Futures'!$J:$J,'Daily BSE Equity Futures'!$A:$A,$A1074))</f>
        <v>5581</v>
      </c>
      <c r="R1074" s="7">
        <f t="shared" si="198"/>
        <v>2704671</v>
      </c>
      <c r="S1074" s="19">
        <f t="shared" si="199"/>
        <v>0.99793653276128591</v>
      </c>
      <c r="T1074" s="19">
        <f t="shared" si="200"/>
        <v>2.0634672387140618E-3</v>
      </c>
    </row>
    <row r="1075" spans="1:20" x14ac:dyDescent="0.2">
      <c r="A1075" s="9">
        <v>45503</v>
      </c>
      <c r="B1075" s="4" t="s">
        <v>223</v>
      </c>
      <c r="C1075" s="8">
        <v>45474</v>
      </c>
      <c r="D1075" s="4" t="s">
        <v>190</v>
      </c>
      <c r="E1075" s="14">
        <f>IF(SUMIFS('Daily NSE Equity Futures'!$I:$I,'Daily NSE Equity Futures'!$A:$A,$A1075)=0,"",SUMIFS('Daily NSE Equity Futures'!$I:$I,'Daily NSE Equity Futures'!$A:$A,$A1075))</f>
        <v>1663.4845</v>
      </c>
      <c r="F1075" s="6">
        <f>IF(SUMIFS('Daily BSE Equity Futures'!$I:$I,'Daily BSE Equity Futures'!$A:$A,$A1075)=0,"",SUMIFS('Daily BSE Equity Futures'!$I:$I,'Daily BSE Equity Futures'!$A:$A,$A1075))</f>
        <v>0.51349999999999996</v>
      </c>
      <c r="G1075" s="6">
        <f t="shared" si="192"/>
        <v>1663.998</v>
      </c>
      <c r="H1075" s="15">
        <f t="shared" si="193"/>
        <v>0.99969140587909355</v>
      </c>
      <c r="I1075" s="15">
        <f t="shared" si="194"/>
        <v>3.0859412090639528E-4</v>
      </c>
      <c r="J1075" s="20" t="str">
        <f t="shared" si="195"/>
        <v/>
      </c>
      <c r="K1075" s="15" t="str">
        <f t="shared" si="196"/>
        <v/>
      </c>
      <c r="L1075" s="15" t="str">
        <f t="shared" si="197"/>
        <v/>
      </c>
      <c r="M1075" s="15">
        <f t="shared" si="201"/>
        <v>-0.21454763873160942</v>
      </c>
      <c r="N1075" s="15">
        <f t="shared" si="202"/>
        <v>-0.8933629605017237</v>
      </c>
      <c r="O1075" s="15">
        <f t="shared" si="203"/>
        <v>-0.21608756086340708</v>
      </c>
      <c r="P1075" s="18">
        <f>IF(SUMIFS('Daily NSE Equity Futures'!$J:$J,'Daily NSE Equity Futures'!$A:$A,$A1075)=0,"",SUMIFS('Daily NSE Equity Futures'!$J:$J,'Daily NSE Equity Futures'!$A:$A,$A1075))</f>
        <v>2096087</v>
      </c>
      <c r="Q1075" s="7">
        <f>IF(SUMIFS('Daily BSE Equity Futures'!$J:$J,'Daily BSE Equity Futures'!$A:$A,$A1075)=0,"",SUMIFS('Daily BSE Equity Futures'!$J:$J,'Daily BSE Equity Futures'!$A:$A,$A1075))</f>
        <v>633</v>
      </c>
      <c r="R1075" s="7">
        <f t="shared" si="198"/>
        <v>2096720</v>
      </c>
      <c r="S1075" s="19">
        <f t="shared" si="199"/>
        <v>0.99969809988935099</v>
      </c>
      <c r="T1075" s="19">
        <f t="shared" si="200"/>
        <v>3.0190011064901368E-4</v>
      </c>
    </row>
    <row r="1076" spans="1:20" x14ac:dyDescent="0.2">
      <c r="A1076" s="9">
        <v>45504</v>
      </c>
      <c r="B1076" s="4" t="s">
        <v>221</v>
      </c>
      <c r="C1076" s="8">
        <v>45474</v>
      </c>
      <c r="D1076" s="4" t="s">
        <v>190</v>
      </c>
      <c r="E1076" s="14">
        <f>IF(SUMIFS('Daily NSE Equity Futures'!$I:$I,'Daily NSE Equity Futures'!$A:$A,$A1076)=0,"",SUMIFS('Daily NSE Equity Futures'!$I:$I,'Daily NSE Equity Futures'!$A:$A,$A1076))</f>
        <v>1596.5299</v>
      </c>
      <c r="F1076" s="6">
        <f>IF(SUMIFS('Daily BSE Equity Futures'!$I:$I,'Daily BSE Equity Futures'!$A:$A,$A1076)=0,"",SUMIFS('Daily BSE Equity Futures'!$I:$I,'Daily BSE Equity Futures'!$A:$A,$A1076))</f>
        <v>1.6444000000000001</v>
      </c>
      <c r="G1076" s="6">
        <f t="shared" si="192"/>
        <v>1598.1742999999999</v>
      </c>
      <c r="H1076" s="15">
        <f t="shared" si="193"/>
        <v>0.99897107593333223</v>
      </c>
      <c r="I1076" s="15">
        <f t="shared" si="194"/>
        <v>1.0289240666678222E-3</v>
      </c>
      <c r="J1076" s="20">
        <f t="shared" si="195"/>
        <v>0.8572630771730998</v>
      </c>
      <c r="K1076" s="15">
        <f t="shared" si="196"/>
        <v>7.4762886597938145</v>
      </c>
      <c r="L1076" s="15">
        <f t="shared" si="197"/>
        <v>0.85875653910296057</v>
      </c>
      <c r="M1076" s="15">
        <f t="shared" si="201"/>
        <v>-4.0249608577657359E-2</v>
      </c>
      <c r="N1076" s="15">
        <f t="shared" si="202"/>
        <v>2.2023369036027267</v>
      </c>
      <c r="O1076" s="15">
        <f t="shared" si="203"/>
        <v>-3.9557559564374567E-2</v>
      </c>
      <c r="P1076" s="18">
        <f>IF(SUMIFS('Daily NSE Equity Futures'!$J:$J,'Daily NSE Equity Futures'!$A:$A,$A1076)=0,"",SUMIFS('Daily NSE Equity Futures'!$J:$J,'Daily NSE Equity Futures'!$A:$A,$A1076))</f>
        <v>1993055</v>
      </c>
      <c r="Q1076" s="7">
        <f>IF(SUMIFS('Daily BSE Equity Futures'!$J:$J,'Daily BSE Equity Futures'!$A:$A,$A1076)=0,"",SUMIFS('Daily BSE Equity Futures'!$J:$J,'Daily BSE Equity Futures'!$A:$A,$A1076))</f>
        <v>2021</v>
      </c>
      <c r="R1076" s="7">
        <f t="shared" si="198"/>
        <v>1995076</v>
      </c>
      <c r="S1076" s="19">
        <f t="shared" si="199"/>
        <v>0.99898700600879364</v>
      </c>
      <c r="T1076" s="19">
        <f t="shared" si="200"/>
        <v>1.0129939912063501E-3</v>
      </c>
    </row>
    <row r="1077" spans="1:20" x14ac:dyDescent="0.2">
      <c r="A1077" s="9">
        <v>45505</v>
      </c>
      <c r="B1077" s="4" t="s">
        <v>224</v>
      </c>
      <c r="C1077" s="8">
        <v>45505</v>
      </c>
      <c r="D1077" s="4" t="s">
        <v>190</v>
      </c>
      <c r="E1077" s="14">
        <f>IF(SUMIFS('Daily NSE Equity Futures'!$I:$I,'Daily NSE Equity Futures'!$A:$A,$A1077)=0,"",SUMIFS('Daily NSE Equity Futures'!$I:$I,'Daily NSE Equity Futures'!$A:$A,$A1077))</f>
        <v>1746.2016000000001</v>
      </c>
      <c r="F1077" s="6">
        <f>IF(SUMIFS('Daily BSE Equity Futures'!$I:$I,'Daily BSE Equity Futures'!$A:$A,$A1077)=0,"",SUMIFS('Daily BSE Equity Futures'!$I:$I,'Daily BSE Equity Futures'!$A:$A,$A1077))</f>
        <v>2.15</v>
      </c>
      <c r="G1077" s="6">
        <f t="shared" si="192"/>
        <v>1748.3516000000002</v>
      </c>
      <c r="H1077" s="15">
        <f t="shared" si="193"/>
        <v>0.9987702702362613</v>
      </c>
      <c r="I1077" s="15">
        <f t="shared" si="194"/>
        <v>1.2297297637385979E-3</v>
      </c>
      <c r="J1077" s="20">
        <f t="shared" si="195"/>
        <v>1.0796613663655634</v>
      </c>
      <c r="K1077" s="15">
        <f t="shared" si="196"/>
        <v>19.574162679425836</v>
      </c>
      <c r="L1077" s="15">
        <f t="shared" si="197"/>
        <v>1.08196282466968</v>
      </c>
      <c r="M1077" s="15">
        <f t="shared" si="201"/>
        <v>9.3748134626229218E-2</v>
      </c>
      <c r="N1077" s="15">
        <f t="shared" si="202"/>
        <v>0.30746776939917275</v>
      </c>
      <c r="O1077" s="15">
        <f t="shared" si="203"/>
        <v>9.3968035901966562E-2</v>
      </c>
      <c r="P1077" s="18">
        <f>IF(SUMIFS('Daily NSE Equity Futures'!$J:$J,'Daily NSE Equity Futures'!$A:$A,$A1077)=0,"",SUMIFS('Daily NSE Equity Futures'!$J:$J,'Daily NSE Equity Futures'!$A:$A,$A1077))</f>
        <v>2220293</v>
      </c>
      <c r="Q1077" s="7">
        <f>IF(SUMIFS('Daily BSE Equity Futures'!$J:$J,'Daily BSE Equity Futures'!$A:$A,$A1077)=0,"",SUMIFS('Daily BSE Equity Futures'!$J:$J,'Daily BSE Equity Futures'!$A:$A,$A1077))</f>
        <v>2631</v>
      </c>
      <c r="R1077" s="7">
        <f t="shared" si="198"/>
        <v>2222924</v>
      </c>
      <c r="S1077" s="19">
        <f t="shared" si="199"/>
        <v>0.99881642377337232</v>
      </c>
      <c r="T1077" s="19">
        <f t="shared" si="200"/>
        <v>1.1835762266276309E-3</v>
      </c>
    </row>
    <row r="1078" spans="1:20" x14ac:dyDescent="0.2">
      <c r="A1078" s="9">
        <v>45506</v>
      </c>
      <c r="B1078" s="4" t="s">
        <v>222</v>
      </c>
      <c r="C1078" s="8">
        <v>45505</v>
      </c>
      <c r="D1078" s="4" t="s">
        <v>190</v>
      </c>
      <c r="E1078" s="14">
        <f>IF(SUMIFS('Daily NSE Equity Futures'!$I:$I,'Daily NSE Equity Futures'!$A:$A,$A1078)=0,"",SUMIFS('Daily NSE Equity Futures'!$I:$I,'Daily NSE Equity Futures'!$A:$A,$A1078))</f>
        <v>1801.4227000000001</v>
      </c>
      <c r="F1078" s="6">
        <f>IF(SUMIFS('Daily BSE Equity Futures'!$I:$I,'Daily BSE Equity Futures'!$A:$A,$A1078)=0,"",SUMIFS('Daily BSE Equity Futures'!$I:$I,'Daily BSE Equity Futures'!$A:$A,$A1078))</f>
        <v>3.9788999999999999</v>
      </c>
      <c r="G1078" s="6">
        <f t="shared" si="192"/>
        <v>1805.4016000000001</v>
      </c>
      <c r="H1078" s="15">
        <f t="shared" si="193"/>
        <v>0.99779611361815557</v>
      </c>
      <c r="I1078" s="15">
        <f t="shared" si="194"/>
        <v>2.2038863818443495E-3</v>
      </c>
      <c r="J1078" s="20">
        <f t="shared" si="195"/>
        <v>0.62395905302041421</v>
      </c>
      <c r="K1078" s="15">
        <f t="shared" si="196"/>
        <v>6.8649930816366869</v>
      </c>
      <c r="L1078" s="15">
        <f t="shared" si="197"/>
        <v>0.62680405552682639</v>
      </c>
      <c r="M1078" s="15">
        <f t="shared" si="201"/>
        <v>3.162355366069991E-2</v>
      </c>
      <c r="N1078" s="15">
        <f t="shared" si="202"/>
        <v>0.85065116279069763</v>
      </c>
      <c r="O1078" s="15">
        <f t="shared" si="203"/>
        <v>3.2630736288970619E-2</v>
      </c>
      <c r="P1078" s="18">
        <f>IF(SUMIFS('Daily NSE Equity Futures'!$J:$J,'Daily NSE Equity Futures'!$A:$A,$A1078)=0,"",SUMIFS('Daily NSE Equity Futures'!$J:$J,'Daily NSE Equity Futures'!$A:$A,$A1078))</f>
        <v>2342021</v>
      </c>
      <c r="Q1078" s="7">
        <f>IF(SUMIFS('Daily BSE Equity Futures'!$J:$J,'Daily BSE Equity Futures'!$A:$A,$A1078)=0,"",SUMIFS('Daily BSE Equity Futures'!$J:$J,'Daily BSE Equity Futures'!$A:$A,$A1078))</f>
        <v>4910</v>
      </c>
      <c r="R1078" s="7">
        <f t="shared" si="198"/>
        <v>2346931</v>
      </c>
      <c r="S1078" s="19">
        <f t="shared" si="199"/>
        <v>0.9979079061122802</v>
      </c>
      <c r="T1078" s="19">
        <f t="shared" si="200"/>
        <v>2.0920938877197499E-3</v>
      </c>
    </row>
    <row r="1079" spans="1:20" x14ac:dyDescent="0.2">
      <c r="A1079" s="9">
        <v>45509</v>
      </c>
      <c r="B1079" s="4" t="s">
        <v>225</v>
      </c>
      <c r="C1079" s="8">
        <v>45505</v>
      </c>
      <c r="D1079" s="4" t="s">
        <v>190</v>
      </c>
      <c r="E1079" s="14">
        <f>IF(SUMIFS('Daily NSE Equity Futures'!$I:$I,'Daily NSE Equity Futures'!$A:$A,$A1079)=0,"",SUMIFS('Daily NSE Equity Futures'!$I:$I,'Daily NSE Equity Futures'!$A:$A,$A1079))</f>
        <v>2388.0463</v>
      </c>
      <c r="F1079" s="6">
        <f>IF(SUMIFS('Daily BSE Equity Futures'!$I:$I,'Daily BSE Equity Futures'!$A:$A,$A1079)=0,"",SUMIFS('Daily BSE Equity Futures'!$I:$I,'Daily BSE Equity Futures'!$A:$A,$A1079))</f>
        <v>3.2686999999999999</v>
      </c>
      <c r="G1079" s="6">
        <f t="shared" si="192"/>
        <v>2391.3150000000001</v>
      </c>
      <c r="H1079" s="15">
        <f t="shared" si="193"/>
        <v>0.99863309517984866</v>
      </c>
      <c r="I1079" s="15">
        <f t="shared" si="194"/>
        <v>1.3669048201512557E-3</v>
      </c>
      <c r="J1079" s="20" t="str">
        <f t="shared" si="195"/>
        <v/>
      </c>
      <c r="K1079" s="15" t="str">
        <f t="shared" si="196"/>
        <v/>
      </c>
      <c r="L1079" s="15" t="str">
        <f t="shared" si="197"/>
        <v/>
      </c>
      <c r="M1079" s="15">
        <f t="shared" si="201"/>
        <v>0.32564461411527668</v>
      </c>
      <c r="N1079" s="15">
        <f t="shared" si="202"/>
        <v>-0.17849154288873803</v>
      </c>
      <c r="O1079" s="15">
        <f t="shared" si="203"/>
        <v>0.32453355530426031</v>
      </c>
      <c r="P1079" s="18">
        <f>IF(SUMIFS('Daily NSE Equity Futures'!$J:$J,'Daily NSE Equity Futures'!$A:$A,$A1079)=0,"",SUMIFS('Daily NSE Equity Futures'!$J:$J,'Daily NSE Equity Futures'!$A:$A,$A1079))</f>
        <v>3279577</v>
      </c>
      <c r="Q1079" s="7">
        <f>IF(SUMIFS('Daily BSE Equity Futures'!$J:$J,'Daily BSE Equity Futures'!$A:$A,$A1079)=0,"",SUMIFS('Daily BSE Equity Futures'!$J:$J,'Daily BSE Equity Futures'!$A:$A,$A1079))</f>
        <v>3942</v>
      </c>
      <c r="R1079" s="7">
        <f t="shared" si="198"/>
        <v>3283519</v>
      </c>
      <c r="S1079" s="19">
        <f t="shared" si="199"/>
        <v>0.99879945875141884</v>
      </c>
      <c r="T1079" s="19">
        <f t="shared" si="200"/>
        <v>1.2005412485811716E-3</v>
      </c>
    </row>
    <row r="1080" spans="1:20" x14ac:dyDescent="0.2">
      <c r="A1080" s="9">
        <v>45510</v>
      </c>
      <c r="B1080" s="4" t="s">
        <v>223</v>
      </c>
      <c r="C1080" s="8">
        <v>45505</v>
      </c>
      <c r="D1080" s="4" t="s">
        <v>190</v>
      </c>
      <c r="E1080" s="14">
        <f>IF(SUMIFS('Daily NSE Equity Futures'!$I:$I,'Daily NSE Equity Futures'!$A:$A,$A1080)=0,"",SUMIFS('Daily NSE Equity Futures'!$I:$I,'Daily NSE Equity Futures'!$A:$A,$A1080))</f>
        <v>1734.6799000000001</v>
      </c>
      <c r="F1080" s="6">
        <f>IF(SUMIFS('Daily BSE Equity Futures'!$I:$I,'Daily BSE Equity Futures'!$A:$A,$A1080)=0,"",SUMIFS('Daily BSE Equity Futures'!$I:$I,'Daily BSE Equity Futures'!$A:$A,$A1080))</f>
        <v>0.66259999999999997</v>
      </c>
      <c r="G1080" s="6">
        <f t="shared" si="192"/>
        <v>1735.3425000000002</v>
      </c>
      <c r="H1080" s="15">
        <f t="shared" si="193"/>
        <v>0.99961817335770886</v>
      </c>
      <c r="I1080" s="15">
        <f t="shared" si="194"/>
        <v>3.8182664229107502E-4</v>
      </c>
      <c r="J1080" s="20" t="str">
        <f t="shared" si="195"/>
        <v/>
      </c>
      <c r="K1080" s="15" t="str">
        <f t="shared" si="196"/>
        <v/>
      </c>
      <c r="L1080" s="15" t="str">
        <f t="shared" si="197"/>
        <v/>
      </c>
      <c r="M1080" s="15">
        <f t="shared" si="201"/>
        <v>-0.27359871540179093</v>
      </c>
      <c r="N1080" s="15">
        <f t="shared" si="202"/>
        <v>-0.79728944228592402</v>
      </c>
      <c r="O1080" s="15">
        <f t="shared" si="203"/>
        <v>-0.27431455078063738</v>
      </c>
      <c r="P1080" s="18">
        <f>IF(SUMIFS('Daily NSE Equity Futures'!$J:$J,'Daily NSE Equity Futures'!$A:$A,$A1080)=0,"",SUMIFS('Daily NSE Equity Futures'!$J:$J,'Daily NSE Equity Futures'!$A:$A,$A1080))</f>
        <v>2348411</v>
      </c>
      <c r="Q1080" s="7">
        <f>IF(SUMIFS('Daily BSE Equity Futures'!$J:$J,'Daily BSE Equity Futures'!$A:$A,$A1080)=0,"",SUMIFS('Daily BSE Equity Futures'!$J:$J,'Daily BSE Equity Futures'!$A:$A,$A1080))</f>
        <v>841</v>
      </c>
      <c r="R1080" s="7">
        <f t="shared" si="198"/>
        <v>2349252</v>
      </c>
      <c r="S1080" s="19">
        <f t="shared" si="199"/>
        <v>0.99964201371330108</v>
      </c>
      <c r="T1080" s="19">
        <f t="shared" si="200"/>
        <v>3.5798628669891523E-4</v>
      </c>
    </row>
    <row r="1081" spans="1:20" x14ac:dyDescent="0.2">
      <c r="A1081" s="9">
        <v>45511</v>
      </c>
      <c r="B1081" s="4" t="s">
        <v>221</v>
      </c>
      <c r="C1081" s="8">
        <v>45505</v>
      </c>
      <c r="D1081" s="4" t="s">
        <v>190</v>
      </c>
      <c r="E1081" s="14">
        <f>IF(SUMIFS('Daily NSE Equity Futures'!$I:$I,'Daily NSE Equity Futures'!$A:$A,$A1081)=0,"",SUMIFS('Daily NSE Equity Futures'!$I:$I,'Daily NSE Equity Futures'!$A:$A,$A1081))</f>
        <v>1648.1935000000001</v>
      </c>
      <c r="F1081" s="6">
        <f>IF(SUMIFS('Daily BSE Equity Futures'!$I:$I,'Daily BSE Equity Futures'!$A:$A,$A1081)=0,"",SUMIFS('Daily BSE Equity Futures'!$I:$I,'Daily BSE Equity Futures'!$A:$A,$A1081))</f>
        <v>0.65939999999999999</v>
      </c>
      <c r="G1081" s="6">
        <f t="shared" si="192"/>
        <v>1648.8529000000001</v>
      </c>
      <c r="H1081" s="15">
        <f t="shared" si="193"/>
        <v>0.99960008561103297</v>
      </c>
      <c r="I1081" s="15">
        <f t="shared" si="194"/>
        <v>3.9991438896702061E-4</v>
      </c>
      <c r="J1081" s="20">
        <f t="shared" si="195"/>
        <v>1.1077788754503923</v>
      </c>
      <c r="K1081" s="15">
        <f t="shared" si="196"/>
        <v>5.133953488372093</v>
      </c>
      <c r="L1081" s="15">
        <f t="shared" si="197"/>
        <v>1.1083322997449065</v>
      </c>
      <c r="M1081" s="15">
        <f t="shared" si="201"/>
        <v>-4.9857267614618728E-2</v>
      </c>
      <c r="N1081" s="15">
        <f t="shared" si="202"/>
        <v>-4.8294597041955711E-3</v>
      </c>
      <c r="O1081" s="15">
        <f t="shared" si="203"/>
        <v>-4.9840074797914635E-2</v>
      </c>
      <c r="P1081" s="18">
        <f>IF(SUMIFS('Daily NSE Equity Futures'!$J:$J,'Daily NSE Equity Futures'!$A:$A,$A1081)=0,"",SUMIFS('Daily NSE Equity Futures'!$J:$J,'Daily NSE Equity Futures'!$A:$A,$A1081))</f>
        <v>2179017</v>
      </c>
      <c r="Q1081" s="7">
        <f>IF(SUMIFS('Daily BSE Equity Futures'!$J:$J,'Daily BSE Equity Futures'!$A:$A,$A1081)=0,"",SUMIFS('Daily BSE Equity Futures'!$J:$J,'Daily BSE Equity Futures'!$A:$A,$A1081))</f>
        <v>835</v>
      </c>
      <c r="R1081" s="7">
        <f t="shared" si="198"/>
        <v>2179852</v>
      </c>
      <c r="S1081" s="19">
        <f t="shared" si="199"/>
        <v>0.99961694647159527</v>
      </c>
      <c r="T1081" s="19">
        <f t="shared" si="200"/>
        <v>3.8305352840468069E-4</v>
      </c>
    </row>
    <row r="1082" spans="1:20" x14ac:dyDescent="0.2">
      <c r="A1082" s="9">
        <v>45512</v>
      </c>
      <c r="B1082" s="4" t="s">
        <v>224</v>
      </c>
      <c r="C1082" s="8">
        <v>45505</v>
      </c>
      <c r="D1082" s="4" t="s">
        <v>190</v>
      </c>
      <c r="E1082" s="14">
        <f>IF(SUMIFS('Daily NSE Equity Futures'!$I:$I,'Daily NSE Equity Futures'!$A:$A,$A1082)=0,"",SUMIFS('Daily NSE Equity Futures'!$I:$I,'Daily NSE Equity Futures'!$A:$A,$A1082))</f>
        <v>1623.0875000000001</v>
      </c>
      <c r="F1082" s="6">
        <f>IF(SUMIFS('Daily BSE Equity Futures'!$I:$I,'Daily BSE Equity Futures'!$A:$A,$A1082)=0,"",SUMIFS('Daily BSE Equity Futures'!$I:$I,'Daily BSE Equity Futures'!$A:$A,$A1082))</f>
        <v>1.1577999999999999</v>
      </c>
      <c r="G1082" s="6">
        <f t="shared" si="192"/>
        <v>1624.2453</v>
      </c>
      <c r="H1082" s="15">
        <f t="shared" si="193"/>
        <v>0.99928717663520406</v>
      </c>
      <c r="I1082" s="15">
        <f t="shared" si="194"/>
        <v>7.1282336479594553E-4</v>
      </c>
      <c r="J1082" s="20">
        <f t="shared" si="195"/>
        <v>0.89497069433447152</v>
      </c>
      <c r="K1082" s="15">
        <f t="shared" si="196"/>
        <v>6.7341349365397454</v>
      </c>
      <c r="L1082" s="15">
        <f t="shared" si="197"/>
        <v>0.89599106310630572</v>
      </c>
      <c r="M1082" s="15">
        <f t="shared" si="201"/>
        <v>-1.5232434783901239E-2</v>
      </c>
      <c r="N1082" s="15">
        <f t="shared" si="202"/>
        <v>0.75583864118895971</v>
      </c>
      <c r="O1082" s="15">
        <f t="shared" si="203"/>
        <v>-1.4924072365703478E-2</v>
      </c>
      <c r="P1082" s="18">
        <f>IF(SUMIFS('Daily NSE Equity Futures'!$J:$J,'Daily NSE Equity Futures'!$A:$A,$A1082)=0,"",SUMIFS('Daily NSE Equity Futures'!$J:$J,'Daily NSE Equity Futures'!$A:$A,$A1082))</f>
        <v>2168965</v>
      </c>
      <c r="Q1082" s="7">
        <f>IF(SUMIFS('Daily BSE Equity Futures'!$J:$J,'Daily BSE Equity Futures'!$A:$A,$A1082)=0,"",SUMIFS('Daily BSE Equity Futures'!$J:$J,'Daily BSE Equity Futures'!$A:$A,$A1082))</f>
        <v>1470</v>
      </c>
      <c r="R1082" s="7">
        <f t="shared" si="198"/>
        <v>2170435</v>
      </c>
      <c r="S1082" s="19">
        <f t="shared" si="199"/>
        <v>0.99932271641399073</v>
      </c>
      <c r="T1082" s="19">
        <f t="shared" si="200"/>
        <v>6.7728358600925619E-4</v>
      </c>
    </row>
    <row r="1083" spans="1:20" x14ac:dyDescent="0.2">
      <c r="A1083" s="9">
        <v>45513</v>
      </c>
      <c r="B1083" s="4" t="s">
        <v>222</v>
      </c>
      <c r="C1083" s="8">
        <v>45505</v>
      </c>
      <c r="D1083" s="4" t="s">
        <v>190</v>
      </c>
      <c r="E1083" s="14">
        <f>IF(SUMIFS('Daily NSE Equity Futures'!$I:$I,'Daily NSE Equity Futures'!$A:$A,$A1083)=0,"",SUMIFS('Daily NSE Equity Futures'!$I:$I,'Daily NSE Equity Futures'!$A:$A,$A1083))</f>
        <v>1395.9887000000001</v>
      </c>
      <c r="F1083" s="6">
        <f>IF(SUMIFS('Daily BSE Equity Futures'!$I:$I,'Daily BSE Equity Futures'!$A:$A,$A1083)=0,"",SUMIFS('Daily BSE Equity Futures'!$I:$I,'Daily BSE Equity Futures'!$A:$A,$A1083))</f>
        <v>4.95</v>
      </c>
      <c r="G1083" s="6">
        <f t="shared" si="192"/>
        <v>1400.9387000000002</v>
      </c>
      <c r="H1083" s="15">
        <f t="shared" si="193"/>
        <v>0.9964666548222274</v>
      </c>
      <c r="I1083" s="15">
        <f t="shared" si="194"/>
        <v>3.533345177772589E-3</v>
      </c>
      <c r="J1083" s="20">
        <f t="shared" si="195"/>
        <v>0.56329363550685185</v>
      </c>
      <c r="K1083" s="15">
        <f t="shared" si="196"/>
        <v>22.152478952291862</v>
      </c>
      <c r="L1083" s="15">
        <f t="shared" si="197"/>
        <v>0.5684613515779906</v>
      </c>
      <c r="M1083" s="15">
        <f t="shared" si="201"/>
        <v>-0.13991778015664591</v>
      </c>
      <c r="N1083" s="15">
        <f t="shared" si="202"/>
        <v>3.2753498013473834</v>
      </c>
      <c r="O1083" s="15">
        <f t="shared" si="203"/>
        <v>-0.13748329762751965</v>
      </c>
      <c r="P1083" s="18">
        <f>IF(SUMIFS('Daily NSE Equity Futures'!$J:$J,'Daily NSE Equity Futures'!$A:$A,$A1083)=0,"",SUMIFS('Daily NSE Equity Futures'!$J:$J,'Daily NSE Equity Futures'!$A:$A,$A1083))</f>
        <v>1828556</v>
      </c>
      <c r="Q1083" s="7">
        <f>IF(SUMIFS('Daily BSE Equity Futures'!$J:$J,'Daily BSE Equity Futures'!$A:$A,$A1083)=0,"",SUMIFS('Daily BSE Equity Futures'!$J:$J,'Daily BSE Equity Futures'!$A:$A,$A1083))</f>
        <v>6211</v>
      </c>
      <c r="R1083" s="7">
        <f t="shared" si="198"/>
        <v>1834767</v>
      </c>
      <c r="S1083" s="19">
        <f t="shared" si="199"/>
        <v>0.99661482902188669</v>
      </c>
      <c r="T1083" s="19">
        <f t="shared" si="200"/>
        <v>3.3851709781132972E-3</v>
      </c>
    </row>
    <row r="1084" spans="1:20" x14ac:dyDescent="0.2">
      <c r="A1084" s="9">
        <v>45516</v>
      </c>
      <c r="B1084" s="4" t="s">
        <v>225</v>
      </c>
      <c r="C1084" s="8">
        <v>45505</v>
      </c>
      <c r="D1084" s="4" t="s">
        <v>190</v>
      </c>
      <c r="E1084" s="14">
        <f>IF(SUMIFS('Daily NSE Equity Futures'!$I:$I,'Daily NSE Equity Futures'!$A:$A,$A1084)=0,"",SUMIFS('Daily NSE Equity Futures'!$I:$I,'Daily NSE Equity Futures'!$A:$A,$A1084))</f>
        <v>1492.1972000000001</v>
      </c>
      <c r="F1084" s="6">
        <f>IF(SUMIFS('Daily BSE Equity Futures'!$I:$I,'Daily BSE Equity Futures'!$A:$A,$A1084)=0,"",SUMIFS('Daily BSE Equity Futures'!$I:$I,'Daily BSE Equity Futures'!$A:$A,$A1084))</f>
        <v>3.2565</v>
      </c>
      <c r="G1084" s="6">
        <f t="shared" si="192"/>
        <v>1495.4537</v>
      </c>
      <c r="H1084" s="15">
        <f t="shared" si="193"/>
        <v>0.99782239998470035</v>
      </c>
      <c r="I1084" s="15">
        <f t="shared" si="194"/>
        <v>2.1776000152997047E-3</v>
      </c>
      <c r="J1084" s="20" t="str">
        <f t="shared" si="195"/>
        <v/>
      </c>
      <c r="K1084" s="15" t="str">
        <f t="shared" si="196"/>
        <v/>
      </c>
      <c r="L1084" s="15" t="str">
        <f t="shared" si="197"/>
        <v/>
      </c>
      <c r="M1084" s="15">
        <f t="shared" si="201"/>
        <v>6.8917821469471674E-2</v>
      </c>
      <c r="N1084" s="15">
        <f t="shared" si="202"/>
        <v>-0.34212121212121216</v>
      </c>
      <c r="O1084" s="15">
        <f t="shared" si="203"/>
        <v>6.7465478682257718E-2</v>
      </c>
      <c r="P1084" s="18">
        <f>IF(SUMIFS('Daily NSE Equity Futures'!$J:$J,'Daily NSE Equity Futures'!$A:$A,$A1084)=0,"",SUMIFS('Daily NSE Equity Futures'!$J:$J,'Daily NSE Equity Futures'!$A:$A,$A1084))</f>
        <v>1944460</v>
      </c>
      <c r="Q1084" s="7">
        <f>IF(SUMIFS('Daily BSE Equity Futures'!$J:$J,'Daily BSE Equity Futures'!$A:$A,$A1084)=0,"",SUMIFS('Daily BSE Equity Futures'!$J:$J,'Daily BSE Equity Futures'!$A:$A,$A1084))</f>
        <v>3845</v>
      </c>
      <c r="R1084" s="7">
        <f t="shared" si="198"/>
        <v>1948305</v>
      </c>
      <c r="S1084" s="19">
        <f t="shared" si="199"/>
        <v>0.99802648969232233</v>
      </c>
      <c r="T1084" s="19">
        <f t="shared" si="200"/>
        <v>1.9735103076776992E-3</v>
      </c>
    </row>
    <row r="1085" spans="1:20" x14ac:dyDescent="0.2">
      <c r="A1085" s="9">
        <v>45517</v>
      </c>
      <c r="B1085" s="4" t="s">
        <v>223</v>
      </c>
      <c r="C1085" s="8">
        <v>45505</v>
      </c>
      <c r="D1085" s="4" t="s">
        <v>190</v>
      </c>
      <c r="E1085" s="14">
        <f>IF(SUMIFS('Daily NSE Equity Futures'!$I:$I,'Daily NSE Equity Futures'!$A:$A,$A1085)=0,"",SUMIFS('Daily NSE Equity Futures'!$I:$I,'Daily NSE Equity Futures'!$A:$A,$A1085))</f>
        <v>1505.5528999999999</v>
      </c>
      <c r="F1085" s="6">
        <f>IF(SUMIFS('Daily BSE Equity Futures'!$I:$I,'Daily BSE Equity Futures'!$A:$A,$A1085)=0,"",SUMIFS('Daily BSE Equity Futures'!$I:$I,'Daily BSE Equity Futures'!$A:$A,$A1085))</f>
        <v>0.61829999999999996</v>
      </c>
      <c r="G1085" s="6">
        <f t="shared" si="192"/>
        <v>1506.1712</v>
      </c>
      <c r="H1085" s="15">
        <f t="shared" si="193"/>
        <v>0.99958948889741084</v>
      </c>
      <c r="I1085" s="15">
        <f t="shared" si="194"/>
        <v>4.1051110258913458E-4</v>
      </c>
      <c r="J1085" s="20" t="str">
        <f t="shared" si="195"/>
        <v/>
      </c>
      <c r="K1085" s="15" t="str">
        <f t="shared" si="196"/>
        <v/>
      </c>
      <c r="L1085" s="15" t="str">
        <f t="shared" si="197"/>
        <v/>
      </c>
      <c r="M1085" s="15">
        <f t="shared" si="201"/>
        <v>8.9503585719097334E-3</v>
      </c>
      <c r="N1085" s="15">
        <f t="shared" si="202"/>
        <v>-0.81013357899585448</v>
      </c>
      <c r="O1085" s="15">
        <f t="shared" si="203"/>
        <v>7.1667213769306404E-3</v>
      </c>
      <c r="P1085" s="18">
        <f>IF(SUMIFS('Daily NSE Equity Futures'!$J:$J,'Daily NSE Equity Futures'!$A:$A,$A1085)=0,"",SUMIFS('Daily NSE Equity Futures'!$J:$J,'Daily NSE Equity Futures'!$A:$A,$A1085))</f>
        <v>1968753</v>
      </c>
      <c r="Q1085" s="7">
        <f>IF(SUMIFS('Daily BSE Equity Futures'!$J:$J,'Daily BSE Equity Futures'!$A:$A,$A1085)=0,"",SUMIFS('Daily BSE Equity Futures'!$J:$J,'Daily BSE Equity Futures'!$A:$A,$A1085))</f>
        <v>777</v>
      </c>
      <c r="R1085" s="7">
        <f t="shared" si="198"/>
        <v>1969530</v>
      </c>
      <c r="S1085" s="19">
        <f t="shared" si="199"/>
        <v>0.99960548963458284</v>
      </c>
      <c r="T1085" s="19">
        <f t="shared" si="200"/>
        <v>3.9451036541712997E-4</v>
      </c>
    </row>
    <row r="1086" spans="1:20" x14ac:dyDescent="0.2">
      <c r="A1086" s="9">
        <v>45518</v>
      </c>
      <c r="B1086" s="4" t="s">
        <v>221</v>
      </c>
      <c r="C1086" s="8">
        <v>45505</v>
      </c>
      <c r="D1086" s="4" t="s">
        <v>190</v>
      </c>
      <c r="E1086" s="14">
        <f>IF(SUMIFS('Daily NSE Equity Futures'!$I:$I,'Daily NSE Equity Futures'!$A:$A,$A1086)=0,"",SUMIFS('Daily NSE Equity Futures'!$I:$I,'Daily NSE Equity Futures'!$A:$A,$A1086))</f>
        <v>1241.9041</v>
      </c>
      <c r="F1086" s="6">
        <f>IF(SUMIFS('Daily BSE Equity Futures'!$I:$I,'Daily BSE Equity Futures'!$A:$A,$A1086)=0,"",SUMIFS('Daily BSE Equity Futures'!$I:$I,'Daily BSE Equity Futures'!$A:$A,$A1086))</f>
        <v>0.53190000000000004</v>
      </c>
      <c r="G1086" s="6">
        <f t="shared" si="192"/>
        <v>1242.4359999999999</v>
      </c>
      <c r="H1086" s="15">
        <f t="shared" si="193"/>
        <v>0.99957188941724162</v>
      </c>
      <c r="I1086" s="15">
        <f t="shared" si="194"/>
        <v>4.281105827583876E-4</v>
      </c>
      <c r="J1086" s="20">
        <f t="shared" si="195"/>
        <v>0.41427059112648634</v>
      </c>
      <c r="K1086" s="15">
        <f t="shared" si="196"/>
        <v>2.0870574579222287</v>
      </c>
      <c r="L1086" s="15">
        <f t="shared" si="197"/>
        <v>0.4145987507396427</v>
      </c>
      <c r="M1086" s="15">
        <f t="shared" si="201"/>
        <v>-0.17511759301184304</v>
      </c>
      <c r="N1086" s="15">
        <f t="shared" si="202"/>
        <v>-0.13973799126637543</v>
      </c>
      <c r="O1086" s="15">
        <f t="shared" si="203"/>
        <v>-0.1751030692925214</v>
      </c>
      <c r="P1086" s="18">
        <f>IF(SUMIFS('Daily NSE Equity Futures'!$J:$J,'Daily NSE Equity Futures'!$A:$A,$A1086)=0,"",SUMIFS('Daily NSE Equity Futures'!$J:$J,'Daily NSE Equity Futures'!$A:$A,$A1086))</f>
        <v>1605863</v>
      </c>
      <c r="Q1086" s="7">
        <f>IF(SUMIFS('Daily BSE Equity Futures'!$J:$J,'Daily BSE Equity Futures'!$A:$A,$A1086)=0,"",SUMIFS('Daily BSE Equity Futures'!$J:$J,'Daily BSE Equity Futures'!$A:$A,$A1086))</f>
        <v>673</v>
      </c>
      <c r="R1086" s="7">
        <f t="shared" si="198"/>
        <v>1606536</v>
      </c>
      <c r="S1086" s="19">
        <f t="shared" si="199"/>
        <v>0.99958108626261721</v>
      </c>
      <c r="T1086" s="19">
        <f t="shared" si="200"/>
        <v>4.1891373738279131E-4</v>
      </c>
    </row>
    <row r="1087" spans="1:20" x14ac:dyDescent="0.2">
      <c r="A1087" s="9">
        <v>45520</v>
      </c>
      <c r="B1087" s="4" t="s">
        <v>222</v>
      </c>
      <c r="C1087" s="8">
        <v>45505</v>
      </c>
      <c r="D1087" s="4" t="s">
        <v>190</v>
      </c>
      <c r="E1087" s="14">
        <f>IF(SUMIFS('Daily NSE Equity Futures'!$I:$I,'Daily NSE Equity Futures'!$A:$A,$A1087)=0,"",SUMIFS('Daily NSE Equity Futures'!$I:$I,'Daily NSE Equity Futures'!$A:$A,$A1087))</f>
        <v>1576.52</v>
      </c>
      <c r="F1087" s="6">
        <f>IF(SUMIFS('Daily BSE Equity Futures'!$I:$I,'Daily BSE Equity Futures'!$A:$A,$A1087)=0,"",SUMIFS('Daily BSE Equity Futures'!$I:$I,'Daily BSE Equity Futures'!$A:$A,$A1087))</f>
        <v>5.6032999999999999</v>
      </c>
      <c r="G1087" s="6">
        <f t="shared" si="192"/>
        <v>1582.1233</v>
      </c>
      <c r="H1087" s="15">
        <f t="shared" si="193"/>
        <v>0.99645836705647406</v>
      </c>
      <c r="I1087" s="15">
        <f t="shared" si="194"/>
        <v>3.5416329435259564E-3</v>
      </c>
      <c r="J1087" s="20">
        <f t="shared" si="195"/>
        <v>0.92335494238609361</v>
      </c>
      <c r="K1087" s="15">
        <f t="shared" si="196"/>
        <v>37.64344827586207</v>
      </c>
      <c r="L1087" s="15">
        <f t="shared" si="197"/>
        <v>0.92984957982690997</v>
      </c>
      <c r="M1087" s="15">
        <f t="shared" si="201"/>
        <v>0.26943779314360916</v>
      </c>
      <c r="N1087" s="15">
        <f t="shared" si="202"/>
        <v>9.5344989659710464</v>
      </c>
      <c r="O1087" s="15">
        <f t="shared" si="203"/>
        <v>0.27340426388160033</v>
      </c>
      <c r="P1087" s="18">
        <f>IF(SUMIFS('Daily NSE Equity Futures'!$J:$J,'Daily NSE Equity Futures'!$A:$A,$A1087)=0,"",SUMIFS('Daily NSE Equity Futures'!$J:$J,'Daily NSE Equity Futures'!$A:$A,$A1087))</f>
        <v>2106080</v>
      </c>
      <c r="Q1087" s="7">
        <f>IF(SUMIFS('Daily BSE Equity Futures'!$J:$J,'Daily BSE Equity Futures'!$A:$A,$A1087)=0,"",SUMIFS('Daily BSE Equity Futures'!$J:$J,'Daily BSE Equity Futures'!$A:$A,$A1087))</f>
        <v>6994</v>
      </c>
      <c r="R1087" s="7">
        <f t="shared" si="198"/>
        <v>2113074</v>
      </c>
      <c r="S1087" s="19">
        <f t="shared" si="199"/>
        <v>0.9966901301137584</v>
      </c>
      <c r="T1087" s="19">
        <f t="shared" si="200"/>
        <v>3.309869886241561E-3</v>
      </c>
    </row>
    <row r="1088" spans="1:20" x14ac:dyDescent="0.2">
      <c r="A1088" s="9">
        <v>45523</v>
      </c>
      <c r="B1088" s="4" t="s">
        <v>225</v>
      </c>
      <c r="C1088" s="8">
        <v>45505</v>
      </c>
      <c r="D1088" s="4" t="s">
        <v>190</v>
      </c>
      <c r="E1088" s="14">
        <f>IF(SUMIFS('Daily NSE Equity Futures'!$I:$I,'Daily NSE Equity Futures'!$A:$A,$A1088)=0,"",SUMIFS('Daily NSE Equity Futures'!$I:$I,'Daily NSE Equity Futures'!$A:$A,$A1088))</f>
        <v>1199.287</v>
      </c>
      <c r="F1088" s="6">
        <f>IF(SUMIFS('Daily BSE Equity Futures'!$I:$I,'Daily BSE Equity Futures'!$A:$A,$A1088)=0,"",SUMIFS('Daily BSE Equity Futures'!$I:$I,'Daily BSE Equity Futures'!$A:$A,$A1088))</f>
        <v>1.0109999999999999</v>
      </c>
      <c r="G1088" s="6">
        <f t="shared" si="192"/>
        <v>1200.298</v>
      </c>
      <c r="H1088" s="15">
        <f t="shared" si="193"/>
        <v>0.9991577091688898</v>
      </c>
      <c r="I1088" s="15">
        <f t="shared" si="194"/>
        <v>8.4229083111027423E-4</v>
      </c>
      <c r="J1088" s="20" t="str">
        <f t="shared" si="195"/>
        <v/>
      </c>
      <c r="K1088" s="15" t="str">
        <f t="shared" si="196"/>
        <v/>
      </c>
      <c r="L1088" s="15" t="str">
        <f t="shared" si="197"/>
        <v/>
      </c>
      <c r="M1088" s="15">
        <f t="shared" si="201"/>
        <v>-0.2392820896658463</v>
      </c>
      <c r="N1088" s="15">
        <f t="shared" si="202"/>
        <v>-0.81957061017614619</v>
      </c>
      <c r="O1088" s="15">
        <f t="shared" si="203"/>
        <v>-0.24133725860683553</v>
      </c>
      <c r="P1088" s="18">
        <f>IF(SUMIFS('Daily NSE Equity Futures'!$J:$J,'Daily NSE Equity Futures'!$A:$A,$A1088)=0,"",SUMIFS('Daily NSE Equity Futures'!$J:$J,'Daily NSE Equity Futures'!$A:$A,$A1088))</f>
        <v>1539286</v>
      </c>
      <c r="Q1088" s="7">
        <f>IF(SUMIFS('Daily BSE Equity Futures'!$J:$J,'Daily BSE Equity Futures'!$A:$A,$A1088)=0,"",SUMIFS('Daily BSE Equity Futures'!$J:$J,'Daily BSE Equity Futures'!$A:$A,$A1088))</f>
        <v>1218</v>
      </c>
      <c r="R1088" s="7">
        <f t="shared" si="198"/>
        <v>1540504</v>
      </c>
      <c r="S1088" s="19">
        <f t="shared" si="199"/>
        <v>0.99920934966738162</v>
      </c>
      <c r="T1088" s="19">
        <f t="shared" si="200"/>
        <v>7.9065033261841583E-4</v>
      </c>
    </row>
    <row r="1089" spans="1:20" x14ac:dyDescent="0.2">
      <c r="A1089" s="9">
        <v>45524</v>
      </c>
      <c r="B1089" s="4" t="s">
        <v>223</v>
      </c>
      <c r="C1089" s="8">
        <v>45505</v>
      </c>
      <c r="D1089" s="4" t="s">
        <v>190</v>
      </c>
      <c r="E1089" s="14">
        <f>IF(SUMIFS('Daily NSE Equity Futures'!$I:$I,'Daily NSE Equity Futures'!$A:$A,$A1089)=0,"",SUMIFS('Daily NSE Equity Futures'!$I:$I,'Daily NSE Equity Futures'!$A:$A,$A1089))</f>
        <v>1367.1010000000001</v>
      </c>
      <c r="F1089" s="6">
        <f>IF(SUMIFS('Daily BSE Equity Futures'!$I:$I,'Daily BSE Equity Futures'!$A:$A,$A1089)=0,"",SUMIFS('Daily BSE Equity Futures'!$I:$I,'Daily BSE Equity Futures'!$A:$A,$A1089))</f>
        <v>0.55449999999999999</v>
      </c>
      <c r="G1089" s="6">
        <f t="shared" si="192"/>
        <v>1367.6555000000001</v>
      </c>
      <c r="H1089" s="15">
        <f t="shared" si="193"/>
        <v>0.99959456164216798</v>
      </c>
      <c r="I1089" s="15">
        <f t="shared" si="194"/>
        <v>4.0543835783207098E-4</v>
      </c>
      <c r="J1089" s="20" t="str">
        <f t="shared" si="195"/>
        <v/>
      </c>
      <c r="K1089" s="15" t="str">
        <f t="shared" si="196"/>
        <v/>
      </c>
      <c r="L1089" s="15" t="str">
        <f t="shared" si="197"/>
        <v/>
      </c>
      <c r="M1089" s="15">
        <f t="shared" si="201"/>
        <v>0.13992814063689507</v>
      </c>
      <c r="N1089" s="15">
        <f t="shared" si="202"/>
        <v>-0.45153313550939655</v>
      </c>
      <c r="O1089" s="15">
        <f t="shared" si="203"/>
        <v>0.13942995822704041</v>
      </c>
      <c r="P1089" s="18">
        <f>IF(SUMIFS('Daily NSE Equity Futures'!$J:$J,'Daily NSE Equity Futures'!$A:$A,$A1089)=0,"",SUMIFS('Daily NSE Equity Futures'!$J:$J,'Daily NSE Equity Futures'!$A:$A,$A1089))</f>
        <v>1759218</v>
      </c>
      <c r="Q1089" s="7">
        <f>IF(SUMIFS('Daily BSE Equity Futures'!$J:$J,'Daily BSE Equity Futures'!$A:$A,$A1089)=0,"",SUMIFS('Daily BSE Equity Futures'!$J:$J,'Daily BSE Equity Futures'!$A:$A,$A1089))</f>
        <v>687</v>
      </c>
      <c r="R1089" s="7">
        <f t="shared" si="198"/>
        <v>1759905</v>
      </c>
      <c r="S1089" s="19">
        <f t="shared" si="199"/>
        <v>0.99960963802023406</v>
      </c>
      <c r="T1089" s="19">
        <f t="shared" si="200"/>
        <v>3.9036197976595325E-4</v>
      </c>
    </row>
    <row r="1090" spans="1:20" x14ac:dyDescent="0.2">
      <c r="A1090" s="9">
        <v>45525</v>
      </c>
      <c r="B1090" s="4" t="s">
        <v>221</v>
      </c>
      <c r="C1090" s="8">
        <v>45505</v>
      </c>
      <c r="D1090" s="4" t="s">
        <v>190</v>
      </c>
      <c r="E1090" s="14">
        <f>IF(SUMIFS('Daily NSE Equity Futures'!$I:$I,'Daily NSE Equity Futures'!$A:$A,$A1090)=0,"",SUMIFS('Daily NSE Equity Futures'!$I:$I,'Daily NSE Equity Futures'!$A:$A,$A1090))</f>
        <v>1316.3390999999999</v>
      </c>
      <c r="F1090" s="6">
        <f>IF(SUMIFS('Daily BSE Equity Futures'!$I:$I,'Daily BSE Equity Futures'!$A:$A,$A1090)=0,"",SUMIFS('Daily BSE Equity Futures'!$I:$I,'Daily BSE Equity Futures'!$A:$A,$A1090))</f>
        <v>0.37369999999999998</v>
      </c>
      <c r="G1090" s="6">
        <f t="shared" ref="G1090:G1153" si="204">IF(OR(E1090="",F1090=""),"",E1090+F1090)</f>
        <v>1316.7128</v>
      </c>
      <c r="H1090" s="15">
        <f t="shared" ref="H1090:H1153" si="205">IF(G1090="","",E1090/G1090)</f>
        <v>0.9997161871594169</v>
      </c>
      <c r="I1090" s="15">
        <f t="shared" ref="I1090:I1153" si="206">IF(G1090="","",F1090/G1090)</f>
        <v>2.8381284058300336E-4</v>
      </c>
      <c r="J1090" s="20">
        <f t="shared" ref="J1090:J1153" si="207">IFERROR(IF(OR(E1090="",INDEX(E:E,MATCH(DATE(YEAR($A1090)-1,MONTH($A1090),DAY($A1090)),$A:$A,0))=""),"",E1090/INDEX(E:E,MATCH(DATE(YEAR($A1090)-1,MONTH($A1090),DAY($A1090)),$A:$A,0))-1),"")</f>
        <v>0.76432410219238522</v>
      </c>
      <c r="K1090" s="15">
        <f t="shared" ref="K1090:K1153" si="208">IFERROR(IF(OR(F1090="",INDEX(F:F,MATCH(DATE(YEAR($A1090)-1,MONTH($A1090),DAY($A1090)),$A:$A,0))=""),"",F1090/INDEX(F:F,MATCH(DATE(YEAR($A1090)-1,MONTH($A1090),DAY($A1090)),$A:$A,0))-1),"")</f>
        <v>0.23089591567852441</v>
      </c>
      <c r="L1090" s="15">
        <f t="shared" ref="L1090:L1153" si="209">IFERROR(IF(OR(G1090="",INDEX(G:G,MATCH(DATE(YEAR($A1090)-1,MONTH($A1090),DAY($A1090)),$A:$A,0))=""),"",G1090/INDEX(G:G,MATCH(DATE(YEAR($A1090)-1,MONTH($A1090),DAY($A1090)),$A:$A,0))-1),"")</f>
        <v>0.7641071262295005</v>
      </c>
      <c r="M1090" s="15">
        <f t="shared" si="201"/>
        <v>-3.7131053228693589E-2</v>
      </c>
      <c r="N1090" s="15">
        <f t="shared" si="202"/>
        <v>-0.32605951307484227</v>
      </c>
      <c r="O1090" s="15">
        <f t="shared" si="203"/>
        <v>-3.7248195908984427E-2</v>
      </c>
      <c r="P1090" s="18">
        <f>IF(SUMIFS('Daily NSE Equity Futures'!$J:$J,'Daily NSE Equity Futures'!$A:$A,$A1090)=0,"",SUMIFS('Daily NSE Equity Futures'!$J:$J,'Daily NSE Equity Futures'!$A:$A,$A1090))</f>
        <v>1669968</v>
      </c>
      <c r="Q1090" s="7">
        <f>IF(SUMIFS('Daily BSE Equity Futures'!$J:$J,'Daily BSE Equity Futures'!$A:$A,$A1090)=0,"",SUMIFS('Daily BSE Equity Futures'!$J:$J,'Daily BSE Equity Futures'!$A:$A,$A1090))</f>
        <v>465</v>
      </c>
      <c r="R1090" s="7">
        <f t="shared" ref="R1090:R1153" si="210">IF(OR(P1090="",Q1090=""),"",P1090+Q1090)</f>
        <v>1670433</v>
      </c>
      <c r="S1090" s="19">
        <f t="shared" ref="S1090:S1153" si="211">IF(R1090="","",P1090/R1090)</f>
        <v>0.99972162906264428</v>
      </c>
      <c r="T1090" s="19">
        <f t="shared" ref="T1090:T1153" si="212">IF(R1090="","",Q1090/R1090)</f>
        <v>2.7837093735576344E-4</v>
      </c>
    </row>
    <row r="1091" spans="1:20" x14ac:dyDescent="0.2">
      <c r="A1091" s="9">
        <v>45526</v>
      </c>
      <c r="B1091" s="4" t="s">
        <v>224</v>
      </c>
      <c r="C1091" s="8">
        <v>45505</v>
      </c>
      <c r="D1091" s="4" t="s">
        <v>190</v>
      </c>
      <c r="E1091" s="14">
        <f>IF(SUMIFS('Daily NSE Equity Futures'!$I:$I,'Daily NSE Equity Futures'!$A:$A,$A1091)=0,"",SUMIFS('Daily NSE Equity Futures'!$I:$I,'Daily NSE Equity Futures'!$A:$A,$A1091))</f>
        <v>1504.3956000000001</v>
      </c>
      <c r="F1091" s="6">
        <f>IF(SUMIFS('Daily BSE Equity Futures'!$I:$I,'Daily BSE Equity Futures'!$A:$A,$A1091)=0,"",SUMIFS('Daily BSE Equity Futures'!$I:$I,'Daily BSE Equity Futures'!$A:$A,$A1091))</f>
        <v>0.80610000000000004</v>
      </c>
      <c r="G1091" s="6">
        <f t="shared" si="204"/>
        <v>1505.2017000000001</v>
      </c>
      <c r="H1091" s="15">
        <f t="shared" si="205"/>
        <v>0.99946445715547627</v>
      </c>
      <c r="I1091" s="15">
        <f t="shared" si="206"/>
        <v>5.3554284452376046E-4</v>
      </c>
      <c r="J1091" s="20">
        <f t="shared" si="207"/>
        <v>0.91672759977326379</v>
      </c>
      <c r="K1091" s="15">
        <f t="shared" si="208"/>
        <v>5.0563486100676185</v>
      </c>
      <c r="L1091" s="15">
        <f t="shared" si="209"/>
        <v>0.91742948053413831</v>
      </c>
      <c r="M1091" s="15">
        <f t="shared" ref="M1091:M1154" si="213">IF(OR(E1091="",E1090=""),"",E1091/E1090-1)</f>
        <v>0.14286326372892821</v>
      </c>
      <c r="N1091" s="15">
        <f t="shared" ref="N1091:N1154" si="214">IF(OR(F1091="",F1090=""),"",F1091/F1090-1)</f>
        <v>1.1570778699491573</v>
      </c>
      <c r="O1091" s="15">
        <f t="shared" ref="O1091:O1154" si="215">IF(OR(G1091="",G1090=""),"",G1091/G1090-1)</f>
        <v>0.14315111085728049</v>
      </c>
      <c r="P1091" s="18">
        <f>IF(SUMIFS('Daily NSE Equity Futures'!$J:$J,'Daily NSE Equity Futures'!$A:$A,$A1091)=0,"",SUMIFS('Daily NSE Equity Futures'!$J:$J,'Daily NSE Equity Futures'!$A:$A,$A1091))</f>
        <v>1949203</v>
      </c>
      <c r="Q1091" s="7">
        <f>IF(SUMIFS('Daily BSE Equity Futures'!$J:$J,'Daily BSE Equity Futures'!$A:$A,$A1091)=0,"",SUMIFS('Daily BSE Equity Futures'!$J:$J,'Daily BSE Equity Futures'!$A:$A,$A1091))</f>
        <v>995</v>
      </c>
      <c r="R1091" s="7">
        <f t="shared" si="210"/>
        <v>1950198</v>
      </c>
      <c r="S1091" s="19">
        <f t="shared" si="211"/>
        <v>0.99948979539513427</v>
      </c>
      <c r="T1091" s="19">
        <f t="shared" si="212"/>
        <v>5.102046048657624E-4</v>
      </c>
    </row>
    <row r="1092" spans="1:20" x14ac:dyDescent="0.2">
      <c r="A1092" s="9">
        <v>45527</v>
      </c>
      <c r="B1092" s="4" t="s">
        <v>222</v>
      </c>
      <c r="C1092" s="8">
        <v>45505</v>
      </c>
      <c r="D1092" s="4" t="s">
        <v>190</v>
      </c>
      <c r="E1092" s="14">
        <f>IF(SUMIFS('Daily NSE Equity Futures'!$I:$I,'Daily NSE Equity Futures'!$A:$A,$A1092)=0,"",SUMIFS('Daily NSE Equity Futures'!$I:$I,'Daily NSE Equity Futures'!$A:$A,$A1092))</f>
        <v>1589.6880000000001</v>
      </c>
      <c r="F1092" s="6">
        <f>IF(SUMIFS('Daily BSE Equity Futures'!$I:$I,'Daily BSE Equity Futures'!$A:$A,$A1092)=0,"",SUMIFS('Daily BSE Equity Futures'!$I:$I,'Daily BSE Equity Futures'!$A:$A,$A1092))</f>
        <v>2.5720000000000001</v>
      </c>
      <c r="G1092" s="6">
        <f t="shared" si="204"/>
        <v>1592.26</v>
      </c>
      <c r="H1092" s="15">
        <f t="shared" si="205"/>
        <v>0.99838468591812901</v>
      </c>
      <c r="I1092" s="15">
        <f t="shared" si="206"/>
        <v>1.6153140818710512E-3</v>
      </c>
      <c r="J1092" s="20">
        <f t="shared" si="207"/>
        <v>0.61046786688643584</v>
      </c>
      <c r="K1092" s="15">
        <f t="shared" si="208"/>
        <v>8.248471772743617</v>
      </c>
      <c r="L1092" s="15">
        <f t="shared" si="209"/>
        <v>0.61261915557724711</v>
      </c>
      <c r="M1092" s="15">
        <f t="shared" si="213"/>
        <v>5.6695459625114575E-2</v>
      </c>
      <c r="N1092" s="15">
        <f t="shared" si="214"/>
        <v>2.1906711326138195</v>
      </c>
      <c r="O1092" s="15">
        <f t="shared" si="215"/>
        <v>5.7838295027171416E-2</v>
      </c>
      <c r="P1092" s="18">
        <f>IF(SUMIFS('Daily NSE Equity Futures'!$J:$J,'Daily NSE Equity Futures'!$A:$A,$A1092)=0,"",SUMIFS('Daily NSE Equity Futures'!$J:$J,'Daily NSE Equity Futures'!$A:$A,$A1092))</f>
        <v>2020760</v>
      </c>
      <c r="Q1092" s="7">
        <f>IF(SUMIFS('Daily BSE Equity Futures'!$J:$J,'Daily BSE Equity Futures'!$A:$A,$A1092)=0,"",SUMIFS('Daily BSE Equity Futures'!$J:$J,'Daily BSE Equity Futures'!$A:$A,$A1092))</f>
        <v>3169</v>
      </c>
      <c r="R1092" s="7">
        <f t="shared" si="210"/>
        <v>2023929</v>
      </c>
      <c r="S1092" s="19">
        <f t="shared" si="211"/>
        <v>0.99843423361194983</v>
      </c>
      <c r="T1092" s="19">
        <f t="shared" si="212"/>
        <v>1.5657663880501737E-3</v>
      </c>
    </row>
    <row r="1093" spans="1:20" x14ac:dyDescent="0.2">
      <c r="A1093" s="9">
        <v>45530</v>
      </c>
      <c r="B1093" s="4" t="s">
        <v>225</v>
      </c>
      <c r="C1093" s="8">
        <v>45505</v>
      </c>
      <c r="D1093" s="4" t="s">
        <v>190</v>
      </c>
      <c r="E1093" s="14">
        <f>IF(SUMIFS('Daily NSE Equity Futures'!$I:$I,'Daily NSE Equity Futures'!$A:$A,$A1093)=0,"",SUMIFS('Daily NSE Equity Futures'!$I:$I,'Daily NSE Equity Futures'!$A:$A,$A1093))</f>
        <v>3440.7021</v>
      </c>
      <c r="F1093" s="6">
        <f>IF(SUMIFS('Daily BSE Equity Futures'!$I:$I,'Daily BSE Equity Futures'!$A:$A,$A1093)=0,"",SUMIFS('Daily BSE Equity Futures'!$I:$I,'Daily BSE Equity Futures'!$A:$A,$A1093))</f>
        <v>2.2199</v>
      </c>
      <c r="G1093" s="6">
        <f t="shared" si="204"/>
        <v>3442.922</v>
      </c>
      <c r="H1093" s="15">
        <f t="shared" si="205"/>
        <v>0.99935522791396381</v>
      </c>
      <c r="I1093" s="15">
        <f t="shared" si="206"/>
        <v>6.4477208603622149E-4</v>
      </c>
      <c r="J1093" s="20" t="str">
        <f t="shared" si="207"/>
        <v/>
      </c>
      <c r="K1093" s="15" t="str">
        <f t="shared" si="208"/>
        <v/>
      </c>
      <c r="L1093" s="15" t="str">
        <f t="shared" si="209"/>
        <v/>
      </c>
      <c r="M1093" s="15">
        <f t="shared" si="213"/>
        <v>1.1643882950616722</v>
      </c>
      <c r="N1093" s="15">
        <f t="shared" si="214"/>
        <v>-0.1368973561430793</v>
      </c>
      <c r="O1093" s="15">
        <f t="shared" si="215"/>
        <v>1.1622863100247449</v>
      </c>
      <c r="P1093" s="18">
        <f>IF(SUMIFS('Daily NSE Equity Futures'!$J:$J,'Daily NSE Equity Futures'!$A:$A,$A1093)=0,"",SUMIFS('Daily NSE Equity Futures'!$J:$J,'Daily NSE Equity Futures'!$A:$A,$A1093))</f>
        <v>4400105</v>
      </c>
      <c r="Q1093" s="7">
        <f>IF(SUMIFS('Daily BSE Equity Futures'!$J:$J,'Daily BSE Equity Futures'!$A:$A,$A1093)=0,"",SUMIFS('Daily BSE Equity Futures'!$J:$J,'Daily BSE Equity Futures'!$A:$A,$A1093))</f>
        <v>2582</v>
      </c>
      <c r="R1093" s="7">
        <f t="shared" si="210"/>
        <v>4402687</v>
      </c>
      <c r="S1093" s="19">
        <f t="shared" si="211"/>
        <v>0.99941353995866611</v>
      </c>
      <c r="T1093" s="19">
        <f t="shared" si="212"/>
        <v>5.8646004133384912E-4</v>
      </c>
    </row>
    <row r="1094" spans="1:20" x14ac:dyDescent="0.2">
      <c r="A1094" s="9">
        <v>45531</v>
      </c>
      <c r="B1094" s="4" t="s">
        <v>223</v>
      </c>
      <c r="C1094" s="8">
        <v>45505</v>
      </c>
      <c r="D1094" s="4" t="s">
        <v>190</v>
      </c>
      <c r="E1094" s="14">
        <f>IF(SUMIFS('Daily NSE Equity Futures'!$I:$I,'Daily NSE Equity Futures'!$A:$A,$A1094)=0,"",SUMIFS('Daily NSE Equity Futures'!$I:$I,'Daily NSE Equity Futures'!$A:$A,$A1094))</f>
        <v>3509.8103999999998</v>
      </c>
      <c r="F1094" s="6">
        <f>IF(SUMIFS('Daily BSE Equity Futures'!$I:$I,'Daily BSE Equity Futures'!$A:$A,$A1094)=0,"",SUMIFS('Daily BSE Equity Futures'!$I:$I,'Daily BSE Equity Futures'!$A:$A,$A1094))</f>
        <v>0.89</v>
      </c>
      <c r="G1094" s="6">
        <f t="shared" si="204"/>
        <v>3510.7003999999997</v>
      </c>
      <c r="H1094" s="15">
        <f t="shared" si="205"/>
        <v>0.9997464893330118</v>
      </c>
      <c r="I1094" s="15">
        <f t="shared" si="206"/>
        <v>2.5351066698827394E-4</v>
      </c>
      <c r="J1094" s="20" t="str">
        <f t="shared" si="207"/>
        <v/>
      </c>
      <c r="K1094" s="15" t="str">
        <f t="shared" si="208"/>
        <v/>
      </c>
      <c r="L1094" s="15" t="str">
        <f t="shared" si="209"/>
        <v/>
      </c>
      <c r="M1094" s="15">
        <f t="shared" si="213"/>
        <v>2.0085522661203337E-2</v>
      </c>
      <c r="N1094" s="15">
        <f t="shared" si="214"/>
        <v>-0.59908103968647231</v>
      </c>
      <c r="O1094" s="15">
        <f t="shared" si="215"/>
        <v>1.9686301345194446E-2</v>
      </c>
      <c r="P1094" s="18">
        <f>IF(SUMIFS('Daily NSE Equity Futures'!$J:$J,'Daily NSE Equity Futures'!$A:$A,$A1094)=0,"",SUMIFS('Daily NSE Equity Futures'!$J:$J,'Daily NSE Equity Futures'!$A:$A,$A1094))</f>
        <v>4476359</v>
      </c>
      <c r="Q1094" s="7">
        <f>IF(SUMIFS('Daily BSE Equity Futures'!$J:$J,'Daily BSE Equity Futures'!$A:$A,$A1094)=0,"",SUMIFS('Daily BSE Equity Futures'!$J:$J,'Daily BSE Equity Futures'!$A:$A,$A1094))</f>
        <v>1091</v>
      </c>
      <c r="R1094" s="7">
        <f t="shared" si="210"/>
        <v>4477450</v>
      </c>
      <c r="S1094" s="19">
        <f t="shared" si="211"/>
        <v>0.99975633452076518</v>
      </c>
      <c r="T1094" s="19">
        <f t="shared" si="212"/>
        <v>2.4366547923483232E-4</v>
      </c>
    </row>
    <row r="1095" spans="1:20" x14ac:dyDescent="0.2">
      <c r="A1095" s="9">
        <v>45532</v>
      </c>
      <c r="B1095" s="4" t="s">
        <v>221</v>
      </c>
      <c r="C1095" s="8">
        <v>45505</v>
      </c>
      <c r="D1095" s="4" t="s">
        <v>190</v>
      </c>
      <c r="E1095" s="14">
        <f>IF(SUMIFS('Daily NSE Equity Futures'!$I:$I,'Daily NSE Equity Futures'!$A:$A,$A1095)=0,"",SUMIFS('Daily NSE Equity Futures'!$I:$I,'Daily NSE Equity Futures'!$A:$A,$A1095))</f>
        <v>3501.6165999999998</v>
      </c>
      <c r="F1095" s="6">
        <f>IF(SUMIFS('Daily BSE Equity Futures'!$I:$I,'Daily BSE Equity Futures'!$A:$A,$A1095)=0,"",SUMIFS('Daily BSE Equity Futures'!$I:$I,'Daily BSE Equity Futures'!$A:$A,$A1095))</f>
        <v>1.4194</v>
      </c>
      <c r="G1095" s="6">
        <f t="shared" si="204"/>
        <v>3503.0360000000001</v>
      </c>
      <c r="H1095" s="15">
        <f t="shared" si="205"/>
        <v>0.99959480861743921</v>
      </c>
      <c r="I1095" s="15">
        <f t="shared" si="206"/>
        <v>4.051913825607273E-4</v>
      </c>
      <c r="J1095" s="20">
        <f t="shared" si="207"/>
        <v>0.87432921963484356</v>
      </c>
      <c r="K1095" s="15">
        <f t="shared" si="208"/>
        <v>10.123824451410659</v>
      </c>
      <c r="L1095" s="15">
        <f t="shared" si="209"/>
        <v>0.87496092756462907</v>
      </c>
      <c r="M1095" s="15">
        <f t="shared" si="213"/>
        <v>-2.3345420595938249E-3</v>
      </c>
      <c r="N1095" s="15">
        <f t="shared" si="214"/>
        <v>0.59483146067415738</v>
      </c>
      <c r="O1095" s="15">
        <f t="shared" si="215"/>
        <v>-2.1831541079380123E-3</v>
      </c>
      <c r="P1095" s="18">
        <f>IF(SUMIFS('Daily NSE Equity Futures'!$J:$J,'Daily NSE Equity Futures'!$A:$A,$A1095)=0,"",SUMIFS('Daily NSE Equity Futures'!$J:$J,'Daily NSE Equity Futures'!$A:$A,$A1095))</f>
        <v>4464963</v>
      </c>
      <c r="Q1095" s="7">
        <f>IF(SUMIFS('Daily BSE Equity Futures'!$J:$J,'Daily BSE Equity Futures'!$A:$A,$A1095)=0,"",SUMIFS('Daily BSE Equity Futures'!$J:$J,'Daily BSE Equity Futures'!$A:$A,$A1095))</f>
        <v>1734</v>
      </c>
      <c r="R1095" s="7">
        <f t="shared" si="210"/>
        <v>4466697</v>
      </c>
      <c r="S1095" s="19">
        <f t="shared" si="211"/>
        <v>0.99961179368110264</v>
      </c>
      <c r="T1095" s="19">
        <f t="shared" si="212"/>
        <v>3.8820631889738657E-4</v>
      </c>
    </row>
    <row r="1096" spans="1:20" x14ac:dyDescent="0.2">
      <c r="A1096" s="9">
        <v>45533</v>
      </c>
      <c r="B1096" s="4" t="s">
        <v>224</v>
      </c>
      <c r="C1096" s="8">
        <v>45505</v>
      </c>
      <c r="D1096" s="4" t="s">
        <v>190</v>
      </c>
      <c r="E1096" s="14">
        <f>IF(SUMIFS('Daily NSE Equity Futures'!$I:$I,'Daily NSE Equity Futures'!$A:$A,$A1096)=0,"",SUMIFS('Daily NSE Equity Futures'!$I:$I,'Daily NSE Equity Futures'!$A:$A,$A1096))</f>
        <v>3915.9403000000002</v>
      </c>
      <c r="F1096" s="6">
        <f>IF(SUMIFS('Daily BSE Equity Futures'!$I:$I,'Daily BSE Equity Futures'!$A:$A,$A1096)=0,"",SUMIFS('Daily BSE Equity Futures'!$I:$I,'Daily BSE Equity Futures'!$A:$A,$A1096))</f>
        <v>1.9109</v>
      </c>
      <c r="G1096" s="6">
        <f t="shared" si="204"/>
        <v>3917.8512000000001</v>
      </c>
      <c r="H1096" s="15">
        <f t="shared" si="205"/>
        <v>0.9995122581480379</v>
      </c>
      <c r="I1096" s="15">
        <f t="shared" si="206"/>
        <v>4.8774185196211639E-4</v>
      </c>
      <c r="J1096" s="20">
        <f t="shared" si="207"/>
        <v>0.97077823776724959</v>
      </c>
      <c r="K1096" s="15">
        <f t="shared" si="208"/>
        <v>11.280848329048844</v>
      </c>
      <c r="L1096" s="15">
        <f t="shared" si="209"/>
        <v>0.9715855451022104</v>
      </c>
      <c r="M1096" s="15">
        <f t="shared" si="213"/>
        <v>0.11832354804349521</v>
      </c>
      <c r="N1096" s="15">
        <f t="shared" si="214"/>
        <v>0.3462730731294914</v>
      </c>
      <c r="O1096" s="15">
        <f t="shared" si="215"/>
        <v>0.11841591122671868</v>
      </c>
      <c r="P1096" s="18">
        <f>IF(SUMIFS('Daily NSE Equity Futures'!$J:$J,'Daily NSE Equity Futures'!$A:$A,$A1096)=0,"",SUMIFS('Daily NSE Equity Futures'!$J:$J,'Daily NSE Equity Futures'!$A:$A,$A1096))</f>
        <v>5022569</v>
      </c>
      <c r="Q1096" s="7">
        <f>IF(SUMIFS('Daily BSE Equity Futures'!$J:$J,'Daily BSE Equity Futures'!$A:$A,$A1096)=0,"",SUMIFS('Daily BSE Equity Futures'!$J:$J,'Daily BSE Equity Futures'!$A:$A,$A1096))</f>
        <v>2330</v>
      </c>
      <c r="R1096" s="7">
        <f t="shared" si="210"/>
        <v>5024899</v>
      </c>
      <c r="S1096" s="19">
        <f t="shared" si="211"/>
        <v>0.99953630908800351</v>
      </c>
      <c r="T1096" s="19">
        <f t="shared" si="212"/>
        <v>4.6369091199644012E-4</v>
      </c>
    </row>
    <row r="1097" spans="1:20" x14ac:dyDescent="0.2">
      <c r="A1097" s="9">
        <v>45534</v>
      </c>
      <c r="B1097" s="4" t="s">
        <v>222</v>
      </c>
      <c r="C1097" s="8">
        <v>45505</v>
      </c>
      <c r="D1097" s="4" t="s">
        <v>190</v>
      </c>
      <c r="E1097" s="14">
        <f>IF(SUMIFS('Daily NSE Equity Futures'!$I:$I,'Daily NSE Equity Futures'!$A:$A,$A1097)=0,"",SUMIFS('Daily NSE Equity Futures'!$I:$I,'Daily NSE Equity Futures'!$A:$A,$A1097))</f>
        <v>1692.4477999999999</v>
      </c>
      <c r="F1097" s="6">
        <f>IF(SUMIFS('Daily BSE Equity Futures'!$I:$I,'Daily BSE Equity Futures'!$A:$A,$A1097)=0,"",SUMIFS('Daily BSE Equity Futures'!$I:$I,'Daily BSE Equity Futures'!$A:$A,$A1097))</f>
        <v>7.3297999999999996</v>
      </c>
      <c r="G1097" s="6">
        <f t="shared" si="204"/>
        <v>1699.7775999999999</v>
      </c>
      <c r="H1097" s="15">
        <f t="shared" si="205"/>
        <v>0.99568778880248809</v>
      </c>
      <c r="I1097" s="15">
        <f t="shared" si="206"/>
        <v>4.3122111975119571E-3</v>
      </c>
      <c r="J1097" s="20">
        <f t="shared" si="207"/>
        <v>-0.12786213685159187</v>
      </c>
      <c r="K1097" s="15">
        <f t="shared" si="208"/>
        <v>22.790327815644272</v>
      </c>
      <c r="L1097" s="15">
        <f t="shared" si="209"/>
        <v>-0.12422405115035862</v>
      </c>
      <c r="M1097" s="15">
        <f t="shared" si="213"/>
        <v>-0.56780551531901557</v>
      </c>
      <c r="N1097" s="15">
        <f t="shared" si="214"/>
        <v>2.8357841854623471</v>
      </c>
      <c r="O1097" s="15">
        <f t="shared" si="215"/>
        <v>-0.56614544217503715</v>
      </c>
      <c r="P1097" s="18">
        <f>IF(SUMIFS('Daily NSE Equity Futures'!$J:$J,'Daily NSE Equity Futures'!$A:$A,$A1097)=0,"",SUMIFS('Daily NSE Equity Futures'!$J:$J,'Daily NSE Equity Futures'!$A:$A,$A1097))</f>
        <v>2106638</v>
      </c>
      <c r="Q1097" s="7">
        <f>IF(SUMIFS('Daily BSE Equity Futures'!$J:$J,'Daily BSE Equity Futures'!$A:$A,$A1097)=0,"",SUMIFS('Daily BSE Equity Futures'!$J:$J,'Daily BSE Equity Futures'!$A:$A,$A1097))</f>
        <v>8891</v>
      </c>
      <c r="R1097" s="7">
        <f t="shared" si="210"/>
        <v>2115529</v>
      </c>
      <c r="S1097" s="19">
        <f t="shared" si="211"/>
        <v>0.99579726867369811</v>
      </c>
      <c r="T1097" s="19">
        <f t="shared" si="212"/>
        <v>4.2027313263018375E-3</v>
      </c>
    </row>
    <row r="1098" spans="1:20" x14ac:dyDescent="0.2">
      <c r="A1098" s="9">
        <v>45537</v>
      </c>
      <c r="B1098" s="4" t="s">
        <v>225</v>
      </c>
      <c r="C1098" s="8">
        <v>45536</v>
      </c>
      <c r="D1098" s="4" t="s">
        <v>190</v>
      </c>
      <c r="E1098" s="14">
        <f>IF(SUMIFS('Daily NSE Equity Futures'!$I:$I,'Daily NSE Equity Futures'!$A:$A,$A1098)=0,"",SUMIFS('Daily NSE Equity Futures'!$I:$I,'Daily NSE Equity Futures'!$A:$A,$A1098))</f>
        <v>1302.9108000000001</v>
      </c>
      <c r="F1098" s="6">
        <f>IF(SUMIFS('Daily BSE Equity Futures'!$I:$I,'Daily BSE Equity Futures'!$A:$A,$A1098)=0,"",SUMIFS('Daily BSE Equity Futures'!$I:$I,'Daily BSE Equity Futures'!$A:$A,$A1098))</f>
        <v>1.6581999999999999</v>
      </c>
      <c r="G1098" s="6">
        <f t="shared" si="204"/>
        <v>1304.5690000000002</v>
      </c>
      <c r="H1098" s="15">
        <f t="shared" si="205"/>
        <v>0.99872892886462883</v>
      </c>
      <c r="I1098" s="15">
        <f t="shared" si="206"/>
        <v>1.2710711353711452E-3</v>
      </c>
      <c r="J1098" s="20" t="str">
        <f t="shared" si="207"/>
        <v/>
      </c>
      <c r="K1098" s="15" t="str">
        <f t="shared" si="208"/>
        <v/>
      </c>
      <c r="L1098" s="15" t="str">
        <f t="shared" si="209"/>
        <v/>
      </c>
      <c r="M1098" s="15">
        <f t="shared" si="213"/>
        <v>-0.2301618992325789</v>
      </c>
      <c r="N1098" s="15">
        <f t="shared" si="214"/>
        <v>-0.77377281781221863</v>
      </c>
      <c r="O1098" s="15">
        <f t="shared" si="215"/>
        <v>-0.23250606432276777</v>
      </c>
      <c r="P1098" s="18">
        <f>IF(SUMIFS('Daily NSE Equity Futures'!$J:$J,'Daily NSE Equity Futures'!$A:$A,$A1098)=0,"",SUMIFS('Daily NSE Equity Futures'!$J:$J,'Daily NSE Equity Futures'!$A:$A,$A1098))</f>
        <v>1643495</v>
      </c>
      <c r="Q1098" s="7">
        <f>IF(SUMIFS('Daily BSE Equity Futures'!$J:$J,'Daily BSE Equity Futures'!$A:$A,$A1098)=0,"",SUMIFS('Daily BSE Equity Futures'!$J:$J,'Daily BSE Equity Futures'!$A:$A,$A1098))</f>
        <v>1937</v>
      </c>
      <c r="R1098" s="7">
        <f t="shared" si="210"/>
        <v>1645432</v>
      </c>
      <c r="S1098" s="19">
        <f t="shared" si="211"/>
        <v>0.99882280154998804</v>
      </c>
      <c r="T1098" s="19">
        <f t="shared" si="212"/>
        <v>1.1771984500119118E-3</v>
      </c>
    </row>
    <row r="1099" spans="1:20" x14ac:dyDescent="0.2">
      <c r="A1099" s="9">
        <v>45538</v>
      </c>
      <c r="B1099" s="4" t="s">
        <v>223</v>
      </c>
      <c r="C1099" s="8">
        <v>45536</v>
      </c>
      <c r="D1099" s="4" t="s">
        <v>190</v>
      </c>
      <c r="E1099" s="14">
        <f>IF(SUMIFS('Daily NSE Equity Futures'!$I:$I,'Daily NSE Equity Futures'!$A:$A,$A1099)=0,"",SUMIFS('Daily NSE Equity Futures'!$I:$I,'Daily NSE Equity Futures'!$A:$A,$A1099))</f>
        <v>1218.6829</v>
      </c>
      <c r="F1099" s="6">
        <f>IF(SUMIFS('Daily BSE Equity Futures'!$I:$I,'Daily BSE Equity Futures'!$A:$A,$A1099)=0,"",SUMIFS('Daily BSE Equity Futures'!$I:$I,'Daily BSE Equity Futures'!$A:$A,$A1099))</f>
        <v>0.32490000000000002</v>
      </c>
      <c r="G1099" s="6">
        <f t="shared" si="204"/>
        <v>1219.0078000000001</v>
      </c>
      <c r="H1099" s="15">
        <f t="shared" si="205"/>
        <v>0.99973347176285499</v>
      </c>
      <c r="I1099" s="15">
        <f t="shared" si="206"/>
        <v>2.6652823714499611E-4</v>
      </c>
      <c r="J1099" s="20" t="str">
        <f t="shared" si="207"/>
        <v/>
      </c>
      <c r="K1099" s="15" t="str">
        <f t="shared" si="208"/>
        <v/>
      </c>
      <c r="L1099" s="15" t="str">
        <f t="shared" si="209"/>
        <v/>
      </c>
      <c r="M1099" s="15">
        <f t="shared" si="213"/>
        <v>-6.4645945063929178E-2</v>
      </c>
      <c r="N1099" s="15">
        <f t="shared" si="214"/>
        <v>-0.80406464841394287</v>
      </c>
      <c r="O1099" s="15">
        <f t="shared" si="215"/>
        <v>-6.558579883471094E-2</v>
      </c>
      <c r="P1099" s="18">
        <f>IF(SUMIFS('Daily NSE Equity Futures'!$J:$J,'Daily NSE Equity Futures'!$A:$A,$A1099)=0,"",SUMIFS('Daily NSE Equity Futures'!$J:$J,'Daily NSE Equity Futures'!$A:$A,$A1099))</f>
        <v>1509179</v>
      </c>
      <c r="Q1099" s="7">
        <f>IF(SUMIFS('Daily BSE Equity Futures'!$J:$J,'Daily BSE Equity Futures'!$A:$A,$A1099)=0,"",SUMIFS('Daily BSE Equity Futures'!$J:$J,'Daily BSE Equity Futures'!$A:$A,$A1099))</f>
        <v>391</v>
      </c>
      <c r="R1099" s="7">
        <f t="shared" si="210"/>
        <v>1509570</v>
      </c>
      <c r="S1099" s="19">
        <f t="shared" si="211"/>
        <v>0.99974098584365079</v>
      </c>
      <c r="T1099" s="19">
        <f t="shared" si="212"/>
        <v>2.5901415634915905E-4</v>
      </c>
    </row>
    <row r="1100" spans="1:20" x14ac:dyDescent="0.2">
      <c r="A1100" s="9">
        <v>45539</v>
      </c>
      <c r="B1100" s="4" t="s">
        <v>221</v>
      </c>
      <c r="C1100" s="8">
        <v>45536</v>
      </c>
      <c r="D1100" s="4" t="s">
        <v>190</v>
      </c>
      <c r="E1100" s="14">
        <f>IF(SUMIFS('Daily NSE Equity Futures'!$I:$I,'Daily NSE Equity Futures'!$A:$A,$A1100)=0,"",SUMIFS('Daily NSE Equity Futures'!$I:$I,'Daily NSE Equity Futures'!$A:$A,$A1100))</f>
        <v>1332.0648000000001</v>
      </c>
      <c r="F1100" s="6">
        <f>IF(SUMIFS('Daily BSE Equity Futures'!$I:$I,'Daily BSE Equity Futures'!$A:$A,$A1100)=0,"",SUMIFS('Daily BSE Equity Futures'!$I:$I,'Daily BSE Equity Futures'!$A:$A,$A1100))</f>
        <v>0.69130000000000003</v>
      </c>
      <c r="G1100" s="6">
        <f t="shared" si="204"/>
        <v>1332.7561000000001</v>
      </c>
      <c r="H1100" s="15">
        <f t="shared" si="205"/>
        <v>0.9994813004419939</v>
      </c>
      <c r="I1100" s="15">
        <f t="shared" si="206"/>
        <v>5.1869955800614982E-4</v>
      </c>
      <c r="J1100" s="20">
        <f t="shared" si="207"/>
        <v>0.48265494966174982</v>
      </c>
      <c r="K1100" s="15">
        <f t="shared" si="208"/>
        <v>2.6231656184486374</v>
      </c>
      <c r="L1100" s="15">
        <f t="shared" si="209"/>
        <v>0.48310943333404932</v>
      </c>
      <c r="M1100" s="15">
        <f t="shared" si="213"/>
        <v>9.3036424815676089E-2</v>
      </c>
      <c r="N1100" s="15">
        <f t="shared" si="214"/>
        <v>1.1277316097260695</v>
      </c>
      <c r="O1100" s="15">
        <f t="shared" si="215"/>
        <v>9.3312200299292547E-2</v>
      </c>
      <c r="P1100" s="18">
        <f>IF(SUMIFS('Daily NSE Equity Futures'!$J:$J,'Daily NSE Equity Futures'!$A:$A,$A1100)=0,"",SUMIFS('Daily NSE Equity Futures'!$J:$J,'Daily NSE Equity Futures'!$A:$A,$A1100))</f>
        <v>1700881</v>
      </c>
      <c r="Q1100" s="7">
        <f>IF(SUMIFS('Daily BSE Equity Futures'!$J:$J,'Daily BSE Equity Futures'!$A:$A,$A1100)=0,"",SUMIFS('Daily BSE Equity Futures'!$J:$J,'Daily BSE Equity Futures'!$A:$A,$A1100))</f>
        <v>844</v>
      </c>
      <c r="R1100" s="7">
        <f t="shared" si="210"/>
        <v>1701725</v>
      </c>
      <c r="S1100" s="19">
        <f t="shared" si="211"/>
        <v>0.99950403267272914</v>
      </c>
      <c r="T1100" s="19">
        <f t="shared" si="212"/>
        <v>4.9596732727085749E-4</v>
      </c>
    </row>
    <row r="1101" spans="1:20" x14ac:dyDescent="0.2">
      <c r="A1101" s="9">
        <v>45540</v>
      </c>
      <c r="B1101" s="4" t="s">
        <v>224</v>
      </c>
      <c r="C1101" s="8">
        <v>45536</v>
      </c>
      <c r="D1101" s="4" t="s">
        <v>190</v>
      </c>
      <c r="E1101" s="14">
        <f>IF(SUMIFS('Daily NSE Equity Futures'!$I:$I,'Daily NSE Equity Futures'!$A:$A,$A1101)=0,"",SUMIFS('Daily NSE Equity Futures'!$I:$I,'Daily NSE Equity Futures'!$A:$A,$A1101))</f>
        <v>1192.1913999999999</v>
      </c>
      <c r="F1101" s="6">
        <f>IF(SUMIFS('Daily BSE Equity Futures'!$I:$I,'Daily BSE Equity Futures'!$A:$A,$A1101)=0,"",SUMIFS('Daily BSE Equity Futures'!$I:$I,'Daily BSE Equity Futures'!$A:$A,$A1101))</f>
        <v>0.65969999999999995</v>
      </c>
      <c r="G1101" s="6">
        <f t="shared" si="204"/>
        <v>1192.8510999999999</v>
      </c>
      <c r="H1101" s="15">
        <f t="shared" si="205"/>
        <v>0.99944695528218075</v>
      </c>
      <c r="I1101" s="15">
        <f t="shared" si="206"/>
        <v>5.5304471781934903E-4</v>
      </c>
      <c r="J1101" s="20">
        <f t="shared" si="207"/>
        <v>0.50171384549341513</v>
      </c>
      <c r="K1101" s="15">
        <f t="shared" si="208"/>
        <v>4.3373786407766985</v>
      </c>
      <c r="L1101" s="15">
        <f t="shared" si="209"/>
        <v>0.50231092574559422</v>
      </c>
      <c r="M1101" s="15">
        <f t="shared" si="213"/>
        <v>-0.10500495171105806</v>
      </c>
      <c r="N1101" s="15">
        <f t="shared" si="214"/>
        <v>-4.5710979314335431E-2</v>
      </c>
      <c r="O1101" s="15">
        <f t="shared" si="215"/>
        <v>-0.10497419595378343</v>
      </c>
      <c r="P1101" s="18">
        <f>IF(SUMIFS('Daily NSE Equity Futures'!$J:$J,'Daily NSE Equity Futures'!$A:$A,$A1101)=0,"",SUMIFS('Daily NSE Equity Futures'!$J:$J,'Daily NSE Equity Futures'!$A:$A,$A1101))</f>
        <v>1501543</v>
      </c>
      <c r="Q1101" s="7">
        <f>IF(SUMIFS('Daily BSE Equity Futures'!$J:$J,'Daily BSE Equity Futures'!$A:$A,$A1101)=0,"",SUMIFS('Daily BSE Equity Futures'!$J:$J,'Daily BSE Equity Futures'!$A:$A,$A1101))</f>
        <v>805</v>
      </c>
      <c r="R1101" s="7">
        <f t="shared" si="210"/>
        <v>1502348</v>
      </c>
      <c r="S1101" s="19">
        <f t="shared" si="211"/>
        <v>0.99946417208263327</v>
      </c>
      <c r="T1101" s="19">
        <f t="shared" si="212"/>
        <v>5.3582791736668197E-4</v>
      </c>
    </row>
    <row r="1102" spans="1:20" x14ac:dyDescent="0.2">
      <c r="A1102" s="9">
        <v>45541</v>
      </c>
      <c r="B1102" s="4" t="s">
        <v>222</v>
      </c>
      <c r="C1102" s="8">
        <v>45536</v>
      </c>
      <c r="D1102" s="4" t="s">
        <v>190</v>
      </c>
      <c r="E1102" s="14">
        <f>IF(SUMIFS('Daily NSE Equity Futures'!$I:$I,'Daily NSE Equity Futures'!$A:$A,$A1102)=0,"",SUMIFS('Daily NSE Equity Futures'!$I:$I,'Daily NSE Equity Futures'!$A:$A,$A1102))</f>
        <v>1760.7623000000001</v>
      </c>
      <c r="F1102" s="6">
        <f>IF(SUMIFS('Daily BSE Equity Futures'!$I:$I,'Daily BSE Equity Futures'!$A:$A,$A1102)=0,"",SUMIFS('Daily BSE Equity Futures'!$I:$I,'Daily BSE Equity Futures'!$A:$A,$A1102))</f>
        <v>7.0133000000000001</v>
      </c>
      <c r="G1102" s="6">
        <f t="shared" si="204"/>
        <v>1767.7756000000002</v>
      </c>
      <c r="H1102" s="15">
        <f t="shared" si="205"/>
        <v>0.9960326978152656</v>
      </c>
      <c r="I1102" s="15">
        <f t="shared" si="206"/>
        <v>3.9673021847343067E-3</v>
      </c>
      <c r="J1102" s="20">
        <f t="shared" si="207"/>
        <v>0.93419116387018764</v>
      </c>
      <c r="K1102" s="15">
        <f t="shared" si="208"/>
        <v>23.309532062391682</v>
      </c>
      <c r="L1102" s="15">
        <f t="shared" si="209"/>
        <v>0.941280025986585</v>
      </c>
      <c r="M1102" s="15">
        <f t="shared" si="213"/>
        <v>0.47691243201385292</v>
      </c>
      <c r="N1102" s="15">
        <f t="shared" si="214"/>
        <v>9.6310444141276346</v>
      </c>
      <c r="O1102" s="15">
        <f t="shared" si="215"/>
        <v>0.48197507635278236</v>
      </c>
      <c r="P1102" s="18">
        <f>IF(SUMIFS('Daily NSE Equity Futures'!$J:$J,'Daily NSE Equity Futures'!$A:$A,$A1102)=0,"",SUMIFS('Daily NSE Equity Futures'!$J:$J,'Daily NSE Equity Futures'!$A:$A,$A1102))</f>
        <v>2347228</v>
      </c>
      <c r="Q1102" s="7">
        <f>IF(SUMIFS('Daily BSE Equity Futures'!$J:$J,'Daily BSE Equity Futures'!$A:$A,$A1102)=0,"",SUMIFS('Daily BSE Equity Futures'!$J:$J,'Daily BSE Equity Futures'!$A:$A,$A1102))</f>
        <v>8604</v>
      </c>
      <c r="R1102" s="7">
        <f t="shared" si="210"/>
        <v>2355832</v>
      </c>
      <c r="S1102" s="19">
        <f t="shared" si="211"/>
        <v>0.99634778710875815</v>
      </c>
      <c r="T1102" s="19">
        <f t="shared" si="212"/>
        <v>3.6522128912418201E-3</v>
      </c>
    </row>
    <row r="1103" spans="1:20" x14ac:dyDescent="0.2">
      <c r="A1103" s="9">
        <v>45544</v>
      </c>
      <c r="B1103" s="4" t="s">
        <v>225</v>
      </c>
      <c r="C1103" s="8">
        <v>45536</v>
      </c>
      <c r="D1103" s="4" t="s">
        <v>190</v>
      </c>
      <c r="E1103" s="14">
        <f>IF(SUMIFS('Daily NSE Equity Futures'!$I:$I,'Daily NSE Equity Futures'!$A:$A,$A1103)=0,"",SUMIFS('Daily NSE Equity Futures'!$I:$I,'Daily NSE Equity Futures'!$A:$A,$A1103))</f>
        <v>1262.2424000000001</v>
      </c>
      <c r="F1103" s="6">
        <f>IF(SUMIFS('Daily BSE Equity Futures'!$I:$I,'Daily BSE Equity Futures'!$A:$A,$A1103)=0,"",SUMIFS('Daily BSE Equity Futures'!$I:$I,'Daily BSE Equity Futures'!$A:$A,$A1103))</f>
        <v>2.1107999999999998</v>
      </c>
      <c r="G1103" s="6">
        <f t="shared" si="204"/>
        <v>1264.3532</v>
      </c>
      <c r="H1103" s="15">
        <f t="shared" si="205"/>
        <v>0.99833052979183357</v>
      </c>
      <c r="I1103" s="15">
        <f t="shared" si="206"/>
        <v>1.6694702081665152E-3</v>
      </c>
      <c r="J1103" s="20" t="str">
        <f t="shared" si="207"/>
        <v/>
      </c>
      <c r="K1103" s="15" t="str">
        <f t="shared" si="208"/>
        <v/>
      </c>
      <c r="L1103" s="15" t="str">
        <f t="shared" si="209"/>
        <v/>
      </c>
      <c r="M1103" s="15">
        <f t="shared" si="213"/>
        <v>-0.28312731366408739</v>
      </c>
      <c r="N1103" s="15">
        <f t="shared" si="214"/>
        <v>-0.69902898778036016</v>
      </c>
      <c r="O1103" s="15">
        <f t="shared" si="215"/>
        <v>-0.28477732128444366</v>
      </c>
      <c r="P1103" s="18">
        <f>IF(SUMIFS('Daily NSE Equity Futures'!$J:$J,'Daily NSE Equity Futures'!$A:$A,$A1103)=0,"",SUMIFS('Daily NSE Equity Futures'!$J:$J,'Daily NSE Equity Futures'!$A:$A,$A1103))</f>
        <v>1643248</v>
      </c>
      <c r="Q1103" s="7">
        <f>IF(SUMIFS('Daily BSE Equity Futures'!$J:$J,'Daily BSE Equity Futures'!$A:$A,$A1103)=0,"",SUMIFS('Daily BSE Equity Futures'!$J:$J,'Daily BSE Equity Futures'!$A:$A,$A1103))</f>
        <v>2492</v>
      </c>
      <c r="R1103" s="7">
        <f t="shared" si="210"/>
        <v>1645740</v>
      </c>
      <c r="S1103" s="19">
        <f t="shared" si="211"/>
        <v>0.9984857875484584</v>
      </c>
      <c r="T1103" s="19">
        <f t="shared" si="212"/>
        <v>1.5142124515415557E-3</v>
      </c>
    </row>
    <row r="1104" spans="1:20" x14ac:dyDescent="0.2">
      <c r="A1104" s="9">
        <v>45545</v>
      </c>
      <c r="B1104" s="4" t="s">
        <v>223</v>
      </c>
      <c r="C1104" s="8">
        <v>45536</v>
      </c>
      <c r="D1104" s="4" t="s">
        <v>190</v>
      </c>
      <c r="E1104" s="14">
        <f>IF(SUMIFS('Daily NSE Equity Futures'!$I:$I,'Daily NSE Equity Futures'!$A:$A,$A1104)=0,"",SUMIFS('Daily NSE Equity Futures'!$I:$I,'Daily NSE Equity Futures'!$A:$A,$A1104))</f>
        <v>1248.9649999999999</v>
      </c>
      <c r="F1104" s="6">
        <f>IF(SUMIFS('Daily BSE Equity Futures'!$I:$I,'Daily BSE Equity Futures'!$A:$A,$A1104)=0,"",SUMIFS('Daily BSE Equity Futures'!$I:$I,'Daily BSE Equity Futures'!$A:$A,$A1104))</f>
        <v>0.98960000000000004</v>
      </c>
      <c r="G1104" s="6">
        <f t="shared" si="204"/>
        <v>1249.9546</v>
      </c>
      <c r="H1104" s="15">
        <f t="shared" si="205"/>
        <v>0.99920829124513788</v>
      </c>
      <c r="I1104" s="15">
        <f t="shared" si="206"/>
        <v>7.9170875486197655E-4</v>
      </c>
      <c r="J1104" s="20" t="str">
        <f t="shared" si="207"/>
        <v/>
      </c>
      <c r="K1104" s="15" t="str">
        <f t="shared" si="208"/>
        <v/>
      </c>
      <c r="L1104" s="15" t="str">
        <f t="shared" si="209"/>
        <v/>
      </c>
      <c r="M1104" s="15">
        <f t="shared" si="213"/>
        <v>-1.0518898747182148E-2</v>
      </c>
      <c r="N1104" s="15">
        <f t="shared" si="214"/>
        <v>-0.53117301497062719</v>
      </c>
      <c r="O1104" s="15">
        <f t="shared" si="215"/>
        <v>-1.1388115282976341E-2</v>
      </c>
      <c r="P1104" s="18">
        <f>IF(SUMIFS('Daily NSE Equity Futures'!$J:$J,'Daily NSE Equity Futures'!$A:$A,$A1104)=0,"",SUMIFS('Daily NSE Equity Futures'!$J:$J,'Daily NSE Equity Futures'!$A:$A,$A1104))</f>
        <v>1621244</v>
      </c>
      <c r="Q1104" s="7">
        <f>IF(SUMIFS('Daily BSE Equity Futures'!$J:$J,'Daily BSE Equity Futures'!$A:$A,$A1104)=0,"",SUMIFS('Daily BSE Equity Futures'!$J:$J,'Daily BSE Equity Futures'!$A:$A,$A1104))</f>
        <v>1210</v>
      </c>
      <c r="R1104" s="7">
        <f t="shared" si="210"/>
        <v>1622454</v>
      </c>
      <c r="S1104" s="19">
        <f t="shared" si="211"/>
        <v>0.99925421614418652</v>
      </c>
      <c r="T1104" s="19">
        <f t="shared" si="212"/>
        <v>7.4578385581347756E-4</v>
      </c>
    </row>
    <row r="1105" spans="1:20" x14ac:dyDescent="0.2">
      <c r="A1105" s="9">
        <v>45546</v>
      </c>
      <c r="B1105" s="4" t="s">
        <v>221</v>
      </c>
      <c r="C1105" s="8">
        <v>45536</v>
      </c>
      <c r="D1105" s="4" t="s">
        <v>190</v>
      </c>
      <c r="E1105" s="14">
        <f>IF(SUMIFS('Daily NSE Equity Futures'!$I:$I,'Daily NSE Equity Futures'!$A:$A,$A1105)=0,"",SUMIFS('Daily NSE Equity Futures'!$I:$I,'Daily NSE Equity Futures'!$A:$A,$A1105))</f>
        <v>1279.0092999999999</v>
      </c>
      <c r="F1105" s="6">
        <f>IF(SUMIFS('Daily BSE Equity Futures'!$I:$I,'Daily BSE Equity Futures'!$A:$A,$A1105)=0,"",SUMIFS('Daily BSE Equity Futures'!$I:$I,'Daily BSE Equity Futures'!$A:$A,$A1105))</f>
        <v>0.86370000000000002</v>
      </c>
      <c r="G1105" s="6">
        <f t="shared" si="204"/>
        <v>1279.873</v>
      </c>
      <c r="H1105" s="15">
        <f t="shared" si="205"/>
        <v>0.99932516741895472</v>
      </c>
      <c r="I1105" s="15">
        <f t="shared" si="206"/>
        <v>6.7483258104515057E-4</v>
      </c>
      <c r="J1105" s="20">
        <f t="shared" si="207"/>
        <v>0.38816562138953392</v>
      </c>
      <c r="K1105" s="15">
        <f t="shared" si="208"/>
        <v>4.2030120481927709</v>
      </c>
      <c r="L1105" s="15">
        <f t="shared" si="209"/>
        <v>0.38885280768719488</v>
      </c>
      <c r="M1105" s="15">
        <f t="shared" si="213"/>
        <v>2.4055357836288538E-2</v>
      </c>
      <c r="N1105" s="15">
        <f t="shared" si="214"/>
        <v>-0.12722312045270823</v>
      </c>
      <c r="O1105" s="15">
        <f t="shared" si="215"/>
        <v>2.3935589340604801E-2</v>
      </c>
      <c r="P1105" s="18">
        <f>IF(SUMIFS('Daily NSE Equity Futures'!$J:$J,'Daily NSE Equity Futures'!$A:$A,$A1105)=0,"",SUMIFS('Daily NSE Equity Futures'!$J:$J,'Daily NSE Equity Futures'!$A:$A,$A1105))</f>
        <v>1677740</v>
      </c>
      <c r="Q1105" s="7">
        <f>IF(SUMIFS('Daily BSE Equity Futures'!$J:$J,'Daily BSE Equity Futures'!$A:$A,$A1105)=0,"",SUMIFS('Daily BSE Equity Futures'!$J:$J,'Daily BSE Equity Futures'!$A:$A,$A1105))</f>
        <v>1068</v>
      </c>
      <c r="R1105" s="7">
        <f t="shared" si="210"/>
        <v>1678808</v>
      </c>
      <c r="S1105" s="19">
        <f t="shared" si="211"/>
        <v>0.99936383433960285</v>
      </c>
      <c r="T1105" s="19">
        <f t="shared" si="212"/>
        <v>6.3616566039713894E-4</v>
      </c>
    </row>
    <row r="1106" spans="1:20" x14ac:dyDescent="0.2">
      <c r="A1106" s="9">
        <v>45547</v>
      </c>
      <c r="B1106" s="4" t="s">
        <v>224</v>
      </c>
      <c r="C1106" s="8">
        <v>45536</v>
      </c>
      <c r="D1106" s="4" t="s">
        <v>190</v>
      </c>
      <c r="E1106" s="14">
        <f>IF(SUMIFS('Daily NSE Equity Futures'!$I:$I,'Daily NSE Equity Futures'!$A:$A,$A1106)=0,"",SUMIFS('Daily NSE Equity Futures'!$I:$I,'Daily NSE Equity Futures'!$A:$A,$A1106))</f>
        <v>1842.1359</v>
      </c>
      <c r="F1106" s="6">
        <f>IF(SUMIFS('Daily BSE Equity Futures'!$I:$I,'Daily BSE Equity Futures'!$A:$A,$A1106)=0,"",SUMIFS('Daily BSE Equity Futures'!$I:$I,'Daily BSE Equity Futures'!$A:$A,$A1106))</f>
        <v>2.6032000000000002</v>
      </c>
      <c r="G1106" s="6">
        <f t="shared" si="204"/>
        <v>1844.7391</v>
      </c>
      <c r="H1106" s="15">
        <f t="shared" si="205"/>
        <v>0.99858885194117697</v>
      </c>
      <c r="I1106" s="15">
        <f t="shared" si="206"/>
        <v>1.4111480588230607E-3</v>
      </c>
      <c r="J1106" s="20">
        <f t="shared" si="207"/>
        <v>0.37242261359125628</v>
      </c>
      <c r="K1106" s="15">
        <f t="shared" si="208"/>
        <v>7.8604492852280465</v>
      </c>
      <c r="L1106" s="15">
        <f t="shared" si="209"/>
        <v>0.37406127913775711</v>
      </c>
      <c r="M1106" s="15">
        <f t="shared" si="213"/>
        <v>0.44028342874441972</v>
      </c>
      <c r="N1106" s="15">
        <f t="shared" si="214"/>
        <v>2.0140094940372815</v>
      </c>
      <c r="O1106" s="15">
        <f t="shared" si="215"/>
        <v>0.44134543036691909</v>
      </c>
      <c r="P1106" s="18">
        <f>IF(SUMIFS('Daily NSE Equity Futures'!$J:$J,'Daily NSE Equity Futures'!$A:$A,$A1106)=0,"",SUMIFS('Daily NSE Equity Futures'!$J:$J,'Daily NSE Equity Futures'!$A:$A,$A1106))</f>
        <v>2407995</v>
      </c>
      <c r="Q1106" s="7">
        <f>IF(SUMIFS('Daily BSE Equity Futures'!$J:$J,'Daily BSE Equity Futures'!$A:$A,$A1106)=0,"",SUMIFS('Daily BSE Equity Futures'!$J:$J,'Daily BSE Equity Futures'!$A:$A,$A1106))</f>
        <v>3169</v>
      </c>
      <c r="R1106" s="7">
        <f t="shared" si="210"/>
        <v>2411164</v>
      </c>
      <c r="S1106" s="19">
        <f t="shared" si="211"/>
        <v>0.99868569703263654</v>
      </c>
      <c r="T1106" s="19">
        <f t="shared" si="212"/>
        <v>1.3143029673634808E-3</v>
      </c>
    </row>
    <row r="1107" spans="1:20" x14ac:dyDescent="0.2">
      <c r="A1107" s="9">
        <v>45548</v>
      </c>
      <c r="B1107" s="4" t="s">
        <v>222</v>
      </c>
      <c r="C1107" s="8">
        <v>45536</v>
      </c>
      <c r="D1107" s="4" t="s">
        <v>190</v>
      </c>
      <c r="E1107" s="14">
        <f>IF(SUMIFS('Daily NSE Equity Futures'!$I:$I,'Daily NSE Equity Futures'!$A:$A,$A1107)=0,"",SUMIFS('Daily NSE Equity Futures'!$I:$I,'Daily NSE Equity Futures'!$A:$A,$A1107))</f>
        <v>1305.6726000000001</v>
      </c>
      <c r="F1107" s="6">
        <f>IF(SUMIFS('Daily BSE Equity Futures'!$I:$I,'Daily BSE Equity Futures'!$A:$A,$A1107)=0,"",SUMIFS('Daily BSE Equity Futures'!$I:$I,'Daily BSE Equity Futures'!$A:$A,$A1107))</f>
        <v>4.1509999999999998</v>
      </c>
      <c r="G1107" s="6">
        <f t="shared" si="204"/>
        <v>1309.8236000000002</v>
      </c>
      <c r="H1107" s="15">
        <f t="shared" si="205"/>
        <v>0.99683087096613621</v>
      </c>
      <c r="I1107" s="15">
        <f t="shared" si="206"/>
        <v>3.169129033863796E-3</v>
      </c>
      <c r="J1107" s="20">
        <f t="shared" si="207"/>
        <v>0.18068322997654596</v>
      </c>
      <c r="K1107" s="15">
        <f t="shared" si="208"/>
        <v>23.063768115942029</v>
      </c>
      <c r="L1107" s="15">
        <f t="shared" si="209"/>
        <v>0.18425213537662133</v>
      </c>
      <c r="M1107" s="15">
        <f t="shared" si="213"/>
        <v>-0.29121809091283646</v>
      </c>
      <c r="N1107" s="15">
        <f t="shared" si="214"/>
        <v>0.59457590657652104</v>
      </c>
      <c r="O1107" s="15">
        <f t="shared" si="215"/>
        <v>-0.28996810443276222</v>
      </c>
      <c r="P1107" s="18">
        <f>IF(SUMIFS('Daily NSE Equity Futures'!$J:$J,'Daily NSE Equity Futures'!$A:$A,$A1107)=0,"",SUMIFS('Daily NSE Equity Futures'!$J:$J,'Daily NSE Equity Futures'!$A:$A,$A1107))</f>
        <v>1643295</v>
      </c>
      <c r="Q1107" s="7">
        <f>IF(SUMIFS('Daily BSE Equity Futures'!$J:$J,'Daily BSE Equity Futures'!$A:$A,$A1107)=0,"",SUMIFS('Daily BSE Equity Futures'!$J:$J,'Daily BSE Equity Futures'!$A:$A,$A1107))</f>
        <v>4990</v>
      </c>
      <c r="R1107" s="7">
        <f t="shared" si="210"/>
        <v>1648285</v>
      </c>
      <c r="S1107" s="19">
        <f t="shared" si="211"/>
        <v>0.99697261092590173</v>
      </c>
      <c r="T1107" s="19">
        <f t="shared" si="212"/>
        <v>3.0273890740982294E-3</v>
      </c>
    </row>
    <row r="1108" spans="1:20" x14ac:dyDescent="0.2">
      <c r="A1108" s="9">
        <v>45551</v>
      </c>
      <c r="B1108" s="4" t="s">
        <v>225</v>
      </c>
      <c r="C1108" s="8">
        <v>45536</v>
      </c>
      <c r="D1108" s="4" t="s">
        <v>190</v>
      </c>
      <c r="E1108" s="14">
        <f>IF(SUMIFS('Daily NSE Equity Futures'!$I:$I,'Daily NSE Equity Futures'!$A:$A,$A1108)=0,"",SUMIFS('Daily NSE Equity Futures'!$I:$I,'Daily NSE Equity Futures'!$A:$A,$A1108))</f>
        <v>1274.9911</v>
      </c>
      <c r="F1108" s="6">
        <f>IF(SUMIFS('Daily BSE Equity Futures'!$I:$I,'Daily BSE Equity Futures'!$A:$A,$A1108)=0,"",SUMIFS('Daily BSE Equity Futures'!$I:$I,'Daily BSE Equity Futures'!$A:$A,$A1108))</f>
        <v>2.1156999999999999</v>
      </c>
      <c r="G1108" s="6">
        <f t="shared" si="204"/>
        <v>1277.1068</v>
      </c>
      <c r="H1108" s="15">
        <f t="shared" si="205"/>
        <v>0.99834336486188935</v>
      </c>
      <c r="I1108" s="15">
        <f t="shared" si="206"/>
        <v>1.6566351381106105E-3</v>
      </c>
      <c r="J1108" s="20" t="str">
        <f t="shared" si="207"/>
        <v/>
      </c>
      <c r="K1108" s="15" t="str">
        <f t="shared" si="208"/>
        <v/>
      </c>
      <c r="L1108" s="15" t="str">
        <f t="shared" si="209"/>
        <v/>
      </c>
      <c r="M1108" s="15">
        <f t="shared" si="213"/>
        <v>-2.3498616728267252E-2</v>
      </c>
      <c r="N1108" s="15">
        <f t="shared" si="214"/>
        <v>-0.49031558660563723</v>
      </c>
      <c r="O1108" s="15">
        <f t="shared" si="215"/>
        <v>-2.4978019941005902E-2</v>
      </c>
      <c r="P1108" s="18">
        <f>IF(SUMIFS('Daily NSE Equity Futures'!$J:$J,'Daily NSE Equity Futures'!$A:$A,$A1108)=0,"",SUMIFS('Daily NSE Equity Futures'!$J:$J,'Daily NSE Equity Futures'!$A:$A,$A1108))</f>
        <v>1564146</v>
      </c>
      <c r="Q1108" s="7">
        <f>IF(SUMIFS('Daily BSE Equity Futures'!$J:$J,'Daily BSE Equity Futures'!$A:$A,$A1108)=0,"",SUMIFS('Daily BSE Equity Futures'!$J:$J,'Daily BSE Equity Futures'!$A:$A,$A1108))</f>
        <v>2446</v>
      </c>
      <c r="R1108" s="7">
        <f t="shared" si="210"/>
        <v>1566592</v>
      </c>
      <c r="S1108" s="19">
        <f t="shared" si="211"/>
        <v>0.9984386489909306</v>
      </c>
      <c r="T1108" s="19">
        <f t="shared" si="212"/>
        <v>1.5613510090693684E-3</v>
      </c>
    </row>
    <row r="1109" spans="1:20" x14ac:dyDescent="0.2">
      <c r="A1109" s="9">
        <v>45552</v>
      </c>
      <c r="B1109" s="4" t="s">
        <v>223</v>
      </c>
      <c r="C1109" s="8">
        <v>45536</v>
      </c>
      <c r="D1109" s="4" t="s">
        <v>190</v>
      </c>
      <c r="E1109" s="14">
        <f>IF(SUMIFS('Daily NSE Equity Futures'!$I:$I,'Daily NSE Equity Futures'!$A:$A,$A1109)=0,"",SUMIFS('Daily NSE Equity Futures'!$I:$I,'Daily NSE Equity Futures'!$A:$A,$A1109))</f>
        <v>1106.777</v>
      </c>
      <c r="F1109" s="6">
        <f>IF(SUMIFS('Daily BSE Equity Futures'!$I:$I,'Daily BSE Equity Futures'!$A:$A,$A1109)=0,"",SUMIFS('Daily BSE Equity Futures'!$I:$I,'Daily BSE Equity Futures'!$A:$A,$A1109))</f>
        <v>0.55859999999999999</v>
      </c>
      <c r="G1109" s="6">
        <f t="shared" si="204"/>
        <v>1107.3356000000001</v>
      </c>
      <c r="H1109" s="15">
        <f t="shared" si="205"/>
        <v>0.9994955458850957</v>
      </c>
      <c r="I1109" s="15">
        <f t="shared" si="206"/>
        <v>5.0445411490428009E-4</v>
      </c>
      <c r="J1109" s="20" t="str">
        <f t="shared" si="207"/>
        <v/>
      </c>
      <c r="K1109" s="15" t="str">
        <f t="shared" si="208"/>
        <v/>
      </c>
      <c r="L1109" s="15" t="str">
        <f t="shared" si="209"/>
        <v/>
      </c>
      <c r="M1109" s="15">
        <f t="shared" si="213"/>
        <v>-0.13193354839888682</v>
      </c>
      <c r="N1109" s="15">
        <f t="shared" si="214"/>
        <v>-0.73597390934442508</v>
      </c>
      <c r="O1109" s="15">
        <f t="shared" si="215"/>
        <v>-0.13293422288566614</v>
      </c>
      <c r="P1109" s="18">
        <f>IF(SUMIFS('Daily NSE Equity Futures'!$J:$J,'Daily NSE Equity Futures'!$A:$A,$A1109)=0,"",SUMIFS('Daily NSE Equity Futures'!$J:$J,'Daily NSE Equity Futures'!$A:$A,$A1109))</f>
        <v>1360361</v>
      </c>
      <c r="Q1109" s="7">
        <f>IF(SUMIFS('Daily BSE Equity Futures'!$J:$J,'Daily BSE Equity Futures'!$A:$A,$A1109)=0,"",SUMIFS('Daily BSE Equity Futures'!$J:$J,'Daily BSE Equity Futures'!$A:$A,$A1109))</f>
        <v>671</v>
      </c>
      <c r="R1109" s="7">
        <f t="shared" si="210"/>
        <v>1361032</v>
      </c>
      <c r="S1109" s="19">
        <f t="shared" si="211"/>
        <v>0.99950699175331659</v>
      </c>
      <c r="T1109" s="19">
        <f t="shared" si="212"/>
        <v>4.9300824668339904E-4</v>
      </c>
    </row>
    <row r="1110" spans="1:20" x14ac:dyDescent="0.2">
      <c r="A1110" s="9">
        <v>45553</v>
      </c>
      <c r="B1110" s="4" t="s">
        <v>221</v>
      </c>
      <c r="C1110" s="8">
        <v>45536</v>
      </c>
      <c r="D1110" s="4" t="s">
        <v>190</v>
      </c>
      <c r="E1110" s="14">
        <f>IF(SUMIFS('Daily NSE Equity Futures'!$I:$I,'Daily NSE Equity Futures'!$A:$A,$A1110)=0,"",SUMIFS('Daily NSE Equity Futures'!$I:$I,'Daily NSE Equity Futures'!$A:$A,$A1110))</f>
        <v>1653.8751</v>
      </c>
      <c r="F1110" s="6">
        <f>IF(SUMIFS('Daily BSE Equity Futures'!$I:$I,'Daily BSE Equity Futures'!$A:$A,$A1110)=0,"",SUMIFS('Daily BSE Equity Futures'!$I:$I,'Daily BSE Equity Futures'!$A:$A,$A1110))</f>
        <v>0.74470000000000003</v>
      </c>
      <c r="G1110" s="6">
        <f t="shared" si="204"/>
        <v>1654.6197999999999</v>
      </c>
      <c r="H1110" s="15">
        <f t="shared" si="205"/>
        <v>0.9995499268170247</v>
      </c>
      <c r="I1110" s="15">
        <f t="shared" si="206"/>
        <v>4.5007318297532765E-4</v>
      </c>
      <c r="J1110" s="20">
        <f t="shared" si="207"/>
        <v>0.93041360542470852</v>
      </c>
      <c r="K1110" s="15">
        <f t="shared" si="208"/>
        <v>6.0856327307326357</v>
      </c>
      <c r="L1110" s="15">
        <f t="shared" si="209"/>
        <v>0.93104593607574526</v>
      </c>
      <c r="M1110" s="15">
        <f t="shared" si="213"/>
        <v>0.49431647025552561</v>
      </c>
      <c r="N1110" s="15">
        <f t="shared" si="214"/>
        <v>0.3331543143573219</v>
      </c>
      <c r="O1110" s="15">
        <f t="shared" si="215"/>
        <v>0.49423517134281592</v>
      </c>
      <c r="P1110" s="18">
        <f>IF(SUMIFS('Daily NSE Equity Futures'!$J:$J,'Daily NSE Equity Futures'!$A:$A,$A1110)=0,"",SUMIFS('Daily NSE Equity Futures'!$J:$J,'Daily NSE Equity Futures'!$A:$A,$A1110))</f>
        <v>2071203</v>
      </c>
      <c r="Q1110" s="7">
        <f>IF(SUMIFS('Daily BSE Equity Futures'!$J:$J,'Daily BSE Equity Futures'!$A:$A,$A1110)=0,"",SUMIFS('Daily BSE Equity Futures'!$J:$J,'Daily BSE Equity Futures'!$A:$A,$A1110))</f>
        <v>894</v>
      </c>
      <c r="R1110" s="7">
        <f t="shared" si="210"/>
        <v>2072097</v>
      </c>
      <c r="S1110" s="19">
        <f t="shared" si="211"/>
        <v>0.99956855301658176</v>
      </c>
      <c r="T1110" s="19">
        <f t="shared" si="212"/>
        <v>4.3144698341824732E-4</v>
      </c>
    </row>
    <row r="1111" spans="1:20" x14ac:dyDescent="0.2">
      <c r="A1111" s="9">
        <v>45554</v>
      </c>
      <c r="B1111" s="4" t="s">
        <v>224</v>
      </c>
      <c r="C1111" s="8">
        <v>45536</v>
      </c>
      <c r="D1111" s="4" t="s">
        <v>190</v>
      </c>
      <c r="E1111" s="14">
        <f>IF(SUMIFS('Daily NSE Equity Futures'!$I:$I,'Daily NSE Equity Futures'!$A:$A,$A1111)=0,"",SUMIFS('Daily NSE Equity Futures'!$I:$I,'Daily NSE Equity Futures'!$A:$A,$A1111))</f>
        <v>2324.1682999999998</v>
      </c>
      <c r="F1111" s="6">
        <f>IF(SUMIFS('Daily BSE Equity Futures'!$I:$I,'Daily BSE Equity Futures'!$A:$A,$A1111)=0,"",SUMIFS('Daily BSE Equity Futures'!$I:$I,'Daily BSE Equity Futures'!$A:$A,$A1111))</f>
        <v>1.8507</v>
      </c>
      <c r="G1111" s="6">
        <f t="shared" si="204"/>
        <v>2326.0189999999998</v>
      </c>
      <c r="H1111" s="15">
        <f t="shared" si="205"/>
        <v>0.99920434871770181</v>
      </c>
      <c r="I1111" s="15">
        <f t="shared" si="206"/>
        <v>7.9565128229821007E-4</v>
      </c>
      <c r="J1111" s="20" t="str">
        <f t="shared" si="207"/>
        <v/>
      </c>
      <c r="K1111" s="15" t="str">
        <f t="shared" si="208"/>
        <v/>
      </c>
      <c r="L1111" s="15" t="str">
        <f t="shared" si="209"/>
        <v/>
      </c>
      <c r="M1111" s="15">
        <f t="shared" si="213"/>
        <v>0.4052864693349576</v>
      </c>
      <c r="N1111" s="15">
        <f t="shared" si="214"/>
        <v>1.4851618101248825</v>
      </c>
      <c r="O1111" s="15">
        <f t="shared" si="215"/>
        <v>0.40577249226680334</v>
      </c>
      <c r="P1111" s="18">
        <f>IF(SUMIFS('Daily NSE Equity Futures'!$J:$J,'Daily NSE Equity Futures'!$A:$A,$A1111)=0,"",SUMIFS('Daily NSE Equity Futures'!$J:$J,'Daily NSE Equity Futures'!$A:$A,$A1111))</f>
        <v>2977166</v>
      </c>
      <c r="Q1111" s="7">
        <f>IF(SUMIFS('Daily BSE Equity Futures'!$J:$J,'Daily BSE Equity Futures'!$A:$A,$A1111)=0,"",SUMIFS('Daily BSE Equity Futures'!$J:$J,'Daily BSE Equity Futures'!$A:$A,$A1111))</f>
        <v>2212</v>
      </c>
      <c r="R1111" s="7">
        <f t="shared" si="210"/>
        <v>2979378</v>
      </c>
      <c r="S1111" s="19">
        <f t="shared" si="211"/>
        <v>0.99925756315579961</v>
      </c>
      <c r="T1111" s="19">
        <f t="shared" si="212"/>
        <v>7.4243684420036669E-4</v>
      </c>
    </row>
    <row r="1112" spans="1:20" x14ac:dyDescent="0.2">
      <c r="A1112" s="9">
        <v>45555</v>
      </c>
      <c r="B1112" s="4" t="s">
        <v>222</v>
      </c>
      <c r="C1112" s="8">
        <v>45536</v>
      </c>
      <c r="D1112" s="4" t="s">
        <v>190</v>
      </c>
      <c r="E1112" s="14">
        <f>IF(SUMIFS('Daily NSE Equity Futures'!$I:$I,'Daily NSE Equity Futures'!$A:$A,$A1112)=0,"",SUMIFS('Daily NSE Equity Futures'!$I:$I,'Daily NSE Equity Futures'!$A:$A,$A1112))</f>
        <v>2918.1613000000002</v>
      </c>
      <c r="F1112" s="6">
        <f>IF(SUMIFS('Daily BSE Equity Futures'!$I:$I,'Daily BSE Equity Futures'!$A:$A,$A1112)=0,"",SUMIFS('Daily BSE Equity Futures'!$I:$I,'Daily BSE Equity Futures'!$A:$A,$A1112))</f>
        <v>16.486599999999999</v>
      </c>
      <c r="G1112" s="6">
        <f t="shared" si="204"/>
        <v>2934.6479000000004</v>
      </c>
      <c r="H1112" s="15">
        <f t="shared" si="205"/>
        <v>0.99438208583728216</v>
      </c>
      <c r="I1112" s="15">
        <f t="shared" si="206"/>
        <v>5.6179141627177819E-3</v>
      </c>
      <c r="J1112" s="20">
        <f t="shared" si="207"/>
        <v>1.4618429528874191</v>
      </c>
      <c r="K1112" s="15">
        <f t="shared" si="208"/>
        <v>38.688493018777081</v>
      </c>
      <c r="L1112" s="15">
        <f t="shared" si="209"/>
        <v>1.4748842062191061</v>
      </c>
      <c r="M1112" s="15">
        <f t="shared" si="213"/>
        <v>0.25557228364228202</v>
      </c>
      <c r="N1112" s="15">
        <f t="shared" si="214"/>
        <v>7.9083049656886573</v>
      </c>
      <c r="O1112" s="15">
        <f t="shared" si="215"/>
        <v>0.26166119021383771</v>
      </c>
      <c r="P1112" s="18">
        <f>IF(SUMIFS('Daily NSE Equity Futures'!$J:$J,'Daily NSE Equity Futures'!$A:$A,$A1112)=0,"",SUMIFS('Daily NSE Equity Futures'!$J:$J,'Daily NSE Equity Futures'!$A:$A,$A1112))</f>
        <v>3752194</v>
      </c>
      <c r="Q1112" s="7">
        <f>IF(SUMIFS('Daily BSE Equity Futures'!$J:$J,'Daily BSE Equity Futures'!$A:$A,$A1112)=0,"",SUMIFS('Daily BSE Equity Futures'!$J:$J,'Daily BSE Equity Futures'!$A:$A,$A1112))</f>
        <v>19616</v>
      </c>
      <c r="R1112" s="7">
        <f t="shared" si="210"/>
        <v>3771810</v>
      </c>
      <c r="S1112" s="19">
        <f t="shared" si="211"/>
        <v>0.99479931385727272</v>
      </c>
      <c r="T1112" s="19">
        <f t="shared" si="212"/>
        <v>5.2006861427272314E-3</v>
      </c>
    </row>
    <row r="1113" spans="1:20" x14ac:dyDescent="0.2">
      <c r="A1113" s="9">
        <v>45558</v>
      </c>
      <c r="B1113" s="4" t="s">
        <v>225</v>
      </c>
      <c r="C1113" s="8">
        <v>45536</v>
      </c>
      <c r="D1113" s="4" t="s">
        <v>190</v>
      </c>
      <c r="E1113" s="14">
        <f>IF(SUMIFS('Daily NSE Equity Futures'!$I:$I,'Daily NSE Equity Futures'!$A:$A,$A1113)=0,"",SUMIFS('Daily NSE Equity Futures'!$I:$I,'Daily NSE Equity Futures'!$A:$A,$A1113))</f>
        <v>3598.0221999999999</v>
      </c>
      <c r="F1113" s="6">
        <f>IF(SUMIFS('Daily BSE Equity Futures'!$I:$I,'Daily BSE Equity Futures'!$A:$A,$A1113)=0,"",SUMIFS('Daily BSE Equity Futures'!$I:$I,'Daily BSE Equity Futures'!$A:$A,$A1113))</f>
        <v>2.5369000000000002</v>
      </c>
      <c r="G1113" s="6">
        <f t="shared" si="204"/>
        <v>3600.5590999999999</v>
      </c>
      <c r="H1113" s="15">
        <f t="shared" si="205"/>
        <v>0.9992954149815233</v>
      </c>
      <c r="I1113" s="15">
        <f t="shared" si="206"/>
        <v>7.0458501847671384E-4</v>
      </c>
      <c r="J1113" s="20" t="str">
        <f t="shared" si="207"/>
        <v/>
      </c>
      <c r="K1113" s="15" t="str">
        <f t="shared" si="208"/>
        <v/>
      </c>
      <c r="L1113" s="15" t="str">
        <f t="shared" si="209"/>
        <v/>
      </c>
      <c r="M1113" s="15">
        <f t="shared" si="213"/>
        <v>0.23297577827517602</v>
      </c>
      <c r="N1113" s="15">
        <f t="shared" si="214"/>
        <v>-0.84612351849380707</v>
      </c>
      <c r="O1113" s="15">
        <f t="shared" si="215"/>
        <v>0.22691349105287872</v>
      </c>
      <c r="P1113" s="18">
        <f>IF(SUMIFS('Daily NSE Equity Futures'!$J:$J,'Daily NSE Equity Futures'!$A:$A,$A1113)=0,"",SUMIFS('Daily NSE Equity Futures'!$J:$J,'Daily NSE Equity Futures'!$A:$A,$A1113))</f>
        <v>4510718</v>
      </c>
      <c r="Q1113" s="7">
        <f>IF(SUMIFS('Daily BSE Equity Futures'!$J:$J,'Daily BSE Equity Futures'!$A:$A,$A1113)=0,"",SUMIFS('Daily BSE Equity Futures'!$J:$J,'Daily BSE Equity Futures'!$A:$A,$A1113))</f>
        <v>2862</v>
      </c>
      <c r="R1113" s="7">
        <f t="shared" si="210"/>
        <v>4513580</v>
      </c>
      <c r="S1113" s="19">
        <f t="shared" si="211"/>
        <v>0.99936591353205217</v>
      </c>
      <c r="T1113" s="19">
        <f t="shared" si="212"/>
        <v>6.3408646794783745E-4</v>
      </c>
    </row>
    <row r="1114" spans="1:20" x14ac:dyDescent="0.2">
      <c r="A1114" s="9">
        <v>45559</v>
      </c>
      <c r="B1114" s="4" t="s">
        <v>223</v>
      </c>
      <c r="C1114" s="8">
        <v>45536</v>
      </c>
      <c r="D1114" s="4" t="s">
        <v>190</v>
      </c>
      <c r="E1114" s="14">
        <f>IF(SUMIFS('Daily NSE Equity Futures'!$I:$I,'Daily NSE Equity Futures'!$A:$A,$A1114)=0,"",SUMIFS('Daily NSE Equity Futures'!$I:$I,'Daily NSE Equity Futures'!$A:$A,$A1114))</f>
        <v>3813.7961</v>
      </c>
      <c r="F1114" s="6">
        <f>IF(SUMIFS('Daily BSE Equity Futures'!$I:$I,'Daily BSE Equity Futures'!$A:$A,$A1114)=0,"",SUMIFS('Daily BSE Equity Futures'!$I:$I,'Daily BSE Equity Futures'!$A:$A,$A1114))</f>
        <v>1.6284000000000001</v>
      </c>
      <c r="G1114" s="6">
        <f t="shared" si="204"/>
        <v>3815.4245000000001</v>
      </c>
      <c r="H1114" s="15">
        <f t="shared" si="205"/>
        <v>0.99957320607444855</v>
      </c>
      <c r="I1114" s="15">
        <f t="shared" si="206"/>
        <v>4.2679392555140328E-4</v>
      </c>
      <c r="J1114" s="20" t="str">
        <f t="shared" si="207"/>
        <v/>
      </c>
      <c r="K1114" s="15" t="str">
        <f t="shared" si="208"/>
        <v/>
      </c>
      <c r="L1114" s="15" t="str">
        <f t="shared" si="209"/>
        <v/>
      </c>
      <c r="M1114" s="15">
        <f t="shared" si="213"/>
        <v>5.9970141373780317E-2</v>
      </c>
      <c r="N1114" s="15">
        <f t="shared" si="214"/>
        <v>-0.35811423390752495</v>
      </c>
      <c r="O1114" s="15">
        <f t="shared" si="215"/>
        <v>5.9675565386497986E-2</v>
      </c>
      <c r="P1114" s="18">
        <f>IF(SUMIFS('Daily NSE Equity Futures'!$J:$J,'Daily NSE Equity Futures'!$A:$A,$A1114)=0,"",SUMIFS('Daily NSE Equity Futures'!$J:$J,'Daily NSE Equity Futures'!$A:$A,$A1114))</f>
        <v>4715774</v>
      </c>
      <c r="Q1114" s="7">
        <f>IF(SUMIFS('Daily BSE Equity Futures'!$J:$J,'Daily BSE Equity Futures'!$A:$A,$A1114)=0,"",SUMIFS('Daily BSE Equity Futures'!$J:$J,'Daily BSE Equity Futures'!$A:$A,$A1114))</f>
        <v>1917</v>
      </c>
      <c r="R1114" s="7">
        <f t="shared" si="210"/>
        <v>4717691</v>
      </c>
      <c r="S1114" s="19">
        <f t="shared" si="211"/>
        <v>0.99959365715134796</v>
      </c>
      <c r="T1114" s="19">
        <f t="shared" si="212"/>
        <v>4.0634284865202064E-4</v>
      </c>
    </row>
    <row r="1115" spans="1:20" x14ac:dyDescent="0.2">
      <c r="A1115" s="9">
        <v>45560</v>
      </c>
      <c r="B1115" s="4" t="s">
        <v>221</v>
      </c>
      <c r="C1115" s="8">
        <v>45536</v>
      </c>
      <c r="D1115" s="4" t="s">
        <v>190</v>
      </c>
      <c r="E1115" s="14">
        <f>IF(SUMIFS('Daily NSE Equity Futures'!$I:$I,'Daily NSE Equity Futures'!$A:$A,$A1115)=0,"",SUMIFS('Daily NSE Equity Futures'!$I:$I,'Daily NSE Equity Futures'!$A:$A,$A1115))</f>
        <v>3566.7910999999999</v>
      </c>
      <c r="F1115" s="6">
        <f>IF(SUMIFS('Daily BSE Equity Futures'!$I:$I,'Daily BSE Equity Futures'!$A:$A,$A1115)=0,"",SUMIFS('Daily BSE Equity Futures'!$I:$I,'Daily BSE Equity Futures'!$A:$A,$A1115))</f>
        <v>0.73609999999999998</v>
      </c>
      <c r="G1115" s="6">
        <f t="shared" si="204"/>
        <v>3567.5272</v>
      </c>
      <c r="H1115" s="15">
        <f t="shared" si="205"/>
        <v>0.99979366660470026</v>
      </c>
      <c r="I1115" s="15">
        <f t="shared" si="206"/>
        <v>2.0633339529969104E-4</v>
      </c>
      <c r="J1115" s="20">
        <f t="shared" si="207"/>
        <v>0.66473638659916556</v>
      </c>
      <c r="K1115" s="15">
        <f t="shared" si="208"/>
        <v>1.296723868954758</v>
      </c>
      <c r="L1115" s="15">
        <f t="shared" si="209"/>
        <v>0.66483091000200423</v>
      </c>
      <c r="M1115" s="15">
        <f t="shared" si="213"/>
        <v>-6.4766178768707716E-2</v>
      </c>
      <c r="N1115" s="15">
        <f t="shared" si="214"/>
        <v>-0.5479611888970769</v>
      </c>
      <c r="O1115" s="15">
        <f t="shared" si="215"/>
        <v>-6.4972403463887218E-2</v>
      </c>
      <c r="P1115" s="18">
        <f>IF(SUMIFS('Daily NSE Equity Futures'!$J:$J,'Daily NSE Equity Futures'!$A:$A,$A1115)=0,"",SUMIFS('Daily NSE Equity Futures'!$J:$J,'Daily NSE Equity Futures'!$A:$A,$A1115))</f>
        <v>4450865</v>
      </c>
      <c r="Q1115" s="7">
        <f>IF(SUMIFS('Daily BSE Equity Futures'!$J:$J,'Daily BSE Equity Futures'!$A:$A,$A1115)=0,"",SUMIFS('Daily BSE Equity Futures'!$J:$J,'Daily BSE Equity Futures'!$A:$A,$A1115))</f>
        <v>864</v>
      </c>
      <c r="R1115" s="7">
        <f t="shared" si="210"/>
        <v>4451729</v>
      </c>
      <c r="S1115" s="19">
        <f t="shared" si="211"/>
        <v>0.9998059181050778</v>
      </c>
      <c r="T1115" s="19">
        <f t="shared" si="212"/>
        <v>1.9408189492217518E-4</v>
      </c>
    </row>
    <row r="1116" spans="1:20" x14ac:dyDescent="0.2">
      <c r="A1116" s="9">
        <v>45561</v>
      </c>
      <c r="B1116" s="4" t="s">
        <v>224</v>
      </c>
      <c r="C1116" s="8">
        <v>45536</v>
      </c>
      <c r="D1116" s="4" t="s">
        <v>190</v>
      </c>
      <c r="E1116" s="14">
        <f>IF(SUMIFS('Daily NSE Equity Futures'!$I:$I,'Daily NSE Equity Futures'!$A:$A,$A1116)=0,"",SUMIFS('Daily NSE Equity Futures'!$I:$I,'Daily NSE Equity Futures'!$A:$A,$A1116))</f>
        <v>3747.1651000000002</v>
      </c>
      <c r="F1116" s="6">
        <f>IF(SUMIFS('Daily BSE Equity Futures'!$I:$I,'Daily BSE Equity Futures'!$A:$A,$A1116)=0,"",SUMIFS('Daily BSE Equity Futures'!$I:$I,'Daily BSE Equity Futures'!$A:$A,$A1116))</f>
        <v>2.6846999999999999</v>
      </c>
      <c r="G1116" s="6">
        <f t="shared" si="204"/>
        <v>3749.8498</v>
      </c>
      <c r="H1116" s="15">
        <f t="shared" si="205"/>
        <v>0.9992840513238691</v>
      </c>
      <c r="I1116" s="15">
        <f t="shared" si="206"/>
        <v>7.1594867613097456E-4</v>
      </c>
      <c r="J1116" s="20">
        <f t="shared" si="207"/>
        <v>0.77113505091989798</v>
      </c>
      <c r="K1116" s="15">
        <f t="shared" si="208"/>
        <v>8.6780821917808222</v>
      </c>
      <c r="L1116" s="15">
        <f t="shared" si="209"/>
        <v>0.77217164136746996</v>
      </c>
      <c r="M1116" s="15">
        <f t="shared" si="213"/>
        <v>5.0570385240672033E-2</v>
      </c>
      <c r="N1116" s="15">
        <f t="shared" si="214"/>
        <v>2.6471946746365984</v>
      </c>
      <c r="O1116" s="15">
        <f t="shared" si="215"/>
        <v>5.1106155546620569E-2</v>
      </c>
      <c r="P1116" s="18">
        <f>IF(SUMIFS('Daily NSE Equity Futures'!$J:$J,'Daily NSE Equity Futures'!$A:$A,$A1116)=0,"",SUMIFS('Daily NSE Equity Futures'!$J:$J,'Daily NSE Equity Futures'!$A:$A,$A1116))</f>
        <v>4752116</v>
      </c>
      <c r="Q1116" s="7">
        <f>IF(SUMIFS('Daily BSE Equity Futures'!$J:$J,'Daily BSE Equity Futures'!$A:$A,$A1116)=0,"",SUMIFS('Daily BSE Equity Futures'!$J:$J,'Daily BSE Equity Futures'!$A:$A,$A1116))</f>
        <v>3139</v>
      </c>
      <c r="R1116" s="7">
        <f t="shared" si="210"/>
        <v>4755255</v>
      </c>
      <c r="S1116" s="19">
        <f t="shared" si="211"/>
        <v>0.99933988818685859</v>
      </c>
      <c r="T1116" s="19">
        <f t="shared" si="212"/>
        <v>6.601118131414614E-4</v>
      </c>
    </row>
    <row r="1117" spans="1:20" x14ac:dyDescent="0.2">
      <c r="A1117" s="9">
        <v>45562</v>
      </c>
      <c r="B1117" s="4" t="s">
        <v>222</v>
      </c>
      <c r="C1117" s="8">
        <v>45536</v>
      </c>
      <c r="D1117" s="4" t="s">
        <v>190</v>
      </c>
      <c r="E1117" s="14">
        <f>IF(SUMIFS('Daily NSE Equity Futures'!$I:$I,'Daily NSE Equity Futures'!$A:$A,$A1117)=0,"",SUMIFS('Daily NSE Equity Futures'!$I:$I,'Daily NSE Equity Futures'!$A:$A,$A1117))</f>
        <v>1846.1687999999999</v>
      </c>
      <c r="F1117" s="6">
        <f>IF(SUMIFS('Daily BSE Equity Futures'!$I:$I,'Daily BSE Equity Futures'!$A:$A,$A1117)=0,"",SUMIFS('Daily BSE Equity Futures'!$I:$I,'Daily BSE Equity Futures'!$A:$A,$A1117))</f>
        <v>5.4484000000000004</v>
      </c>
      <c r="G1117" s="6">
        <f t="shared" si="204"/>
        <v>1851.6171999999999</v>
      </c>
      <c r="H1117" s="15">
        <f t="shared" si="205"/>
        <v>0.99705749114881848</v>
      </c>
      <c r="I1117" s="15">
        <f t="shared" si="206"/>
        <v>2.9425088511815514E-3</v>
      </c>
      <c r="J1117" s="20">
        <f t="shared" si="207"/>
        <v>-0.14401533880702322</v>
      </c>
      <c r="K1117" s="15">
        <f t="shared" si="208"/>
        <v>12.06884144878868</v>
      </c>
      <c r="L1117" s="15">
        <f t="shared" si="209"/>
        <v>-0.14165507908696995</v>
      </c>
      <c r="M1117" s="15">
        <f t="shared" si="213"/>
        <v>-0.50731586393137573</v>
      </c>
      <c r="N1117" s="15">
        <f t="shared" si="214"/>
        <v>1.0294260066301639</v>
      </c>
      <c r="O1117" s="15">
        <f t="shared" si="215"/>
        <v>-0.50621563562359218</v>
      </c>
      <c r="P1117" s="18">
        <f>IF(SUMIFS('Daily NSE Equity Futures'!$J:$J,'Daily NSE Equity Futures'!$A:$A,$A1117)=0,"",SUMIFS('Daily NSE Equity Futures'!$J:$J,'Daily NSE Equity Futures'!$A:$A,$A1117))</f>
        <v>2267082</v>
      </c>
      <c r="Q1117" s="7">
        <f>IF(SUMIFS('Daily BSE Equity Futures'!$J:$J,'Daily BSE Equity Futures'!$A:$A,$A1117)=0,"",SUMIFS('Daily BSE Equity Futures'!$J:$J,'Daily BSE Equity Futures'!$A:$A,$A1117))</f>
        <v>6349</v>
      </c>
      <c r="R1117" s="7">
        <f t="shared" si="210"/>
        <v>2273431</v>
      </c>
      <c r="S1117" s="19">
        <f t="shared" si="211"/>
        <v>0.99720730473016339</v>
      </c>
      <c r="T1117" s="19">
        <f t="shared" si="212"/>
        <v>2.7926952698366478E-3</v>
      </c>
    </row>
    <row r="1118" spans="1:20" x14ac:dyDescent="0.2">
      <c r="A1118" s="9">
        <v>45565</v>
      </c>
      <c r="B1118" s="4" t="s">
        <v>225</v>
      </c>
      <c r="C1118" s="8">
        <v>45536</v>
      </c>
      <c r="D1118" s="4" t="s">
        <v>190</v>
      </c>
      <c r="E1118" s="14">
        <f>IF(SUMIFS('Daily NSE Equity Futures'!$I:$I,'Daily NSE Equity Futures'!$A:$A,$A1118)=0,"",SUMIFS('Daily NSE Equity Futures'!$I:$I,'Daily NSE Equity Futures'!$A:$A,$A1118))</f>
        <v>1679.8306</v>
      </c>
      <c r="F1118" s="6">
        <f>IF(SUMIFS('Daily BSE Equity Futures'!$I:$I,'Daily BSE Equity Futures'!$A:$A,$A1118)=0,"",SUMIFS('Daily BSE Equity Futures'!$I:$I,'Daily BSE Equity Futures'!$A:$A,$A1118))</f>
        <v>2.5196000000000001</v>
      </c>
      <c r="G1118" s="6">
        <f t="shared" si="204"/>
        <v>1682.3502000000001</v>
      </c>
      <c r="H1118" s="15">
        <f t="shared" si="205"/>
        <v>0.99850233322408133</v>
      </c>
      <c r="I1118" s="15">
        <f t="shared" si="206"/>
        <v>1.497666775918593E-3</v>
      </c>
      <c r="J1118" s="20" t="str">
        <f t="shared" si="207"/>
        <v/>
      </c>
      <c r="K1118" s="15" t="str">
        <f t="shared" si="208"/>
        <v/>
      </c>
      <c r="L1118" s="15" t="str">
        <f t="shared" si="209"/>
        <v/>
      </c>
      <c r="M1118" s="15">
        <f t="shared" si="213"/>
        <v>-9.0099128530392147E-2</v>
      </c>
      <c r="N1118" s="15">
        <f t="shared" si="214"/>
        <v>-0.53755230893473316</v>
      </c>
      <c r="O1118" s="15">
        <f t="shared" si="215"/>
        <v>-9.1415763474221201E-2</v>
      </c>
      <c r="P1118" s="18">
        <f>IF(SUMIFS('Daily NSE Equity Futures'!$J:$J,'Daily NSE Equity Futures'!$A:$A,$A1118)=0,"",SUMIFS('Daily NSE Equity Futures'!$J:$J,'Daily NSE Equity Futures'!$A:$A,$A1118))</f>
        <v>2123827</v>
      </c>
      <c r="Q1118" s="7">
        <f>IF(SUMIFS('Daily BSE Equity Futures'!$J:$J,'Daily BSE Equity Futures'!$A:$A,$A1118)=0,"",SUMIFS('Daily BSE Equity Futures'!$J:$J,'Daily BSE Equity Futures'!$A:$A,$A1118))</f>
        <v>2906</v>
      </c>
      <c r="R1118" s="7">
        <f t="shared" si="210"/>
        <v>2126733</v>
      </c>
      <c r="S1118" s="19">
        <f t="shared" si="211"/>
        <v>0.99863358493990551</v>
      </c>
      <c r="T1118" s="19">
        <f t="shared" si="212"/>
        <v>1.3664150600945207E-3</v>
      </c>
    </row>
    <row r="1119" spans="1:20" x14ac:dyDescent="0.2">
      <c r="A1119" s="9">
        <v>45566</v>
      </c>
      <c r="B1119" s="4" t="s">
        <v>223</v>
      </c>
      <c r="C1119" s="8">
        <v>45566</v>
      </c>
      <c r="D1119" s="4" t="s">
        <v>191</v>
      </c>
      <c r="E1119" s="14">
        <f>IF(SUMIFS('Daily NSE Equity Futures'!$I:$I,'Daily NSE Equity Futures'!$A:$A,$A1119)=0,"",SUMIFS('Daily NSE Equity Futures'!$I:$I,'Daily NSE Equity Futures'!$A:$A,$A1119))</f>
        <v>1302.1442</v>
      </c>
      <c r="F1119" s="6">
        <f>IF(SUMIFS('Daily BSE Equity Futures'!$I:$I,'Daily BSE Equity Futures'!$A:$A,$A1119)=0,"",SUMIFS('Daily BSE Equity Futures'!$I:$I,'Daily BSE Equity Futures'!$A:$A,$A1119))</f>
        <v>0.85470000000000002</v>
      </c>
      <c r="G1119" s="6">
        <f t="shared" si="204"/>
        <v>1302.9989</v>
      </c>
      <c r="H1119" s="15">
        <f t="shared" si="205"/>
        <v>0.99934405163350482</v>
      </c>
      <c r="I1119" s="15">
        <f t="shared" si="206"/>
        <v>6.5594836649516739E-4</v>
      </c>
      <c r="J1119" s="20" t="str">
        <f t="shared" si="207"/>
        <v/>
      </c>
      <c r="K1119" s="15" t="str">
        <f t="shared" si="208"/>
        <v/>
      </c>
      <c r="L1119" s="15" t="str">
        <f t="shared" si="209"/>
        <v/>
      </c>
      <c r="M1119" s="15">
        <f t="shared" si="213"/>
        <v>-0.22483600429709993</v>
      </c>
      <c r="N1119" s="15">
        <f t="shared" si="214"/>
        <v>-0.66077948880774728</v>
      </c>
      <c r="O1119" s="15">
        <f t="shared" si="215"/>
        <v>-0.22548890237002972</v>
      </c>
      <c r="P1119" s="18">
        <f>IF(SUMIFS('Daily NSE Equity Futures'!$J:$J,'Daily NSE Equity Futures'!$A:$A,$A1119)=0,"",SUMIFS('Daily NSE Equity Futures'!$J:$J,'Daily NSE Equity Futures'!$A:$A,$A1119))</f>
        <v>1610046</v>
      </c>
      <c r="Q1119" s="7">
        <f>IF(SUMIFS('Daily BSE Equity Futures'!$J:$J,'Daily BSE Equity Futures'!$A:$A,$A1119)=0,"",SUMIFS('Daily BSE Equity Futures'!$J:$J,'Daily BSE Equity Futures'!$A:$A,$A1119))</f>
        <v>1010</v>
      </c>
      <c r="R1119" s="7">
        <f t="shared" si="210"/>
        <v>1611056</v>
      </c>
      <c r="S1119" s="19">
        <f t="shared" si="211"/>
        <v>0.99937308200335684</v>
      </c>
      <c r="T1119" s="19">
        <f t="shared" si="212"/>
        <v>6.2691799664319555E-4</v>
      </c>
    </row>
    <row r="1120" spans="1:20" x14ac:dyDescent="0.2">
      <c r="A1120" s="9">
        <v>45568</v>
      </c>
      <c r="B1120" s="4" t="s">
        <v>224</v>
      </c>
      <c r="C1120" s="8">
        <v>45566</v>
      </c>
      <c r="D1120" s="4" t="s">
        <v>191</v>
      </c>
      <c r="E1120" s="14">
        <f>IF(SUMIFS('Daily NSE Equity Futures'!$I:$I,'Daily NSE Equity Futures'!$A:$A,$A1120)=0,"",SUMIFS('Daily NSE Equity Futures'!$I:$I,'Daily NSE Equity Futures'!$A:$A,$A1120))</f>
        <v>1959.2236</v>
      </c>
      <c r="F1120" s="6">
        <f>IF(SUMIFS('Daily BSE Equity Futures'!$I:$I,'Daily BSE Equity Futures'!$A:$A,$A1120)=0,"",SUMIFS('Daily BSE Equity Futures'!$I:$I,'Daily BSE Equity Futures'!$A:$A,$A1120))</f>
        <v>2.1063999999999998</v>
      </c>
      <c r="G1120" s="6">
        <f t="shared" si="204"/>
        <v>1961.33</v>
      </c>
      <c r="H1120" s="15">
        <f t="shared" si="205"/>
        <v>0.99892603488449172</v>
      </c>
      <c r="I1120" s="15">
        <f t="shared" si="206"/>
        <v>1.073965115508354E-3</v>
      </c>
      <c r="J1120" s="20">
        <f t="shared" si="207"/>
        <v>1.3769975601855275</v>
      </c>
      <c r="K1120" s="15">
        <f t="shared" si="208"/>
        <v>16.466003316749585</v>
      </c>
      <c r="L1120" s="15">
        <f t="shared" si="209"/>
        <v>1.3792050012882662</v>
      </c>
      <c r="M1120" s="15">
        <f t="shared" si="213"/>
        <v>0.5046133907442818</v>
      </c>
      <c r="N1120" s="15">
        <f t="shared" si="214"/>
        <v>1.4644904644904644</v>
      </c>
      <c r="O1120" s="15">
        <f t="shared" si="215"/>
        <v>0.50524302054284154</v>
      </c>
      <c r="P1120" s="18">
        <f>IF(SUMIFS('Daily NSE Equity Futures'!$J:$J,'Daily NSE Equity Futures'!$A:$A,$A1120)=0,"",SUMIFS('Daily NSE Equity Futures'!$J:$J,'Daily NSE Equity Futures'!$A:$A,$A1120))</f>
        <v>2533443</v>
      </c>
      <c r="Q1120" s="7">
        <f>IF(SUMIFS('Daily BSE Equity Futures'!$J:$J,'Daily BSE Equity Futures'!$A:$A,$A1120)=0,"",SUMIFS('Daily BSE Equity Futures'!$J:$J,'Daily BSE Equity Futures'!$A:$A,$A1120))</f>
        <v>2530</v>
      </c>
      <c r="R1120" s="7">
        <f t="shared" si="210"/>
        <v>2535973</v>
      </c>
      <c r="S1120" s="19">
        <f t="shared" si="211"/>
        <v>0.99900235530898795</v>
      </c>
      <c r="T1120" s="19">
        <f t="shared" si="212"/>
        <v>9.9764469101208892E-4</v>
      </c>
    </row>
    <row r="1121" spans="1:20" x14ac:dyDescent="0.2">
      <c r="A1121" s="9">
        <v>45569</v>
      </c>
      <c r="B1121" s="4" t="s">
        <v>222</v>
      </c>
      <c r="C1121" s="8">
        <v>45566</v>
      </c>
      <c r="D1121" s="4" t="s">
        <v>191</v>
      </c>
      <c r="E1121" s="14">
        <f>IF(SUMIFS('Daily NSE Equity Futures'!$I:$I,'Daily NSE Equity Futures'!$A:$A,$A1121)=0,"",SUMIFS('Daily NSE Equity Futures'!$I:$I,'Daily NSE Equity Futures'!$A:$A,$A1121))</f>
        <v>1853.1511</v>
      </c>
      <c r="F1121" s="6">
        <f>IF(SUMIFS('Daily BSE Equity Futures'!$I:$I,'Daily BSE Equity Futures'!$A:$A,$A1121)=0,"",SUMIFS('Daily BSE Equity Futures'!$I:$I,'Daily BSE Equity Futures'!$A:$A,$A1121))</f>
        <v>9.5878999999999994</v>
      </c>
      <c r="G1121" s="6">
        <f t="shared" si="204"/>
        <v>1862.739</v>
      </c>
      <c r="H1121" s="15">
        <f t="shared" si="205"/>
        <v>0.99485279472862276</v>
      </c>
      <c r="I1121" s="15">
        <f t="shared" si="206"/>
        <v>5.1472052713772568E-3</v>
      </c>
      <c r="J1121" s="20">
        <f t="shared" si="207"/>
        <v>0.7347585151865117</v>
      </c>
      <c r="K1121" s="15">
        <f t="shared" si="208"/>
        <v>61.954038082731451</v>
      </c>
      <c r="L1121" s="15">
        <f t="shared" si="209"/>
        <v>0.74348530269011714</v>
      </c>
      <c r="M1121" s="15">
        <f t="shared" si="213"/>
        <v>-5.4140068545519782E-2</v>
      </c>
      <c r="N1121" s="15">
        <f t="shared" si="214"/>
        <v>3.551794530953285</v>
      </c>
      <c r="O1121" s="15">
        <f t="shared" si="215"/>
        <v>-5.0267420576853405E-2</v>
      </c>
      <c r="P1121" s="18">
        <f>IF(SUMIFS('Daily NSE Equity Futures'!$J:$J,'Daily NSE Equity Futures'!$A:$A,$A1121)=0,"",SUMIFS('Daily NSE Equity Futures'!$J:$J,'Daily NSE Equity Futures'!$A:$A,$A1121))</f>
        <v>2430316</v>
      </c>
      <c r="Q1121" s="7">
        <f>IF(SUMIFS('Daily BSE Equity Futures'!$J:$J,'Daily BSE Equity Futures'!$A:$A,$A1121)=0,"",SUMIFS('Daily BSE Equity Futures'!$J:$J,'Daily BSE Equity Futures'!$A:$A,$A1121))</f>
        <v>11598</v>
      </c>
      <c r="R1121" s="7">
        <f t="shared" si="210"/>
        <v>2441914</v>
      </c>
      <c r="S1121" s="19">
        <f t="shared" si="211"/>
        <v>0.99525044698543852</v>
      </c>
      <c r="T1121" s="19">
        <f t="shared" si="212"/>
        <v>4.7495530145615283E-3</v>
      </c>
    </row>
    <row r="1122" spans="1:20" x14ac:dyDescent="0.2">
      <c r="A1122" s="9">
        <v>45572</v>
      </c>
      <c r="B1122" s="4" t="s">
        <v>225</v>
      </c>
      <c r="C1122" s="8">
        <v>45566</v>
      </c>
      <c r="D1122" s="4" t="s">
        <v>191</v>
      </c>
      <c r="E1122" s="14">
        <f>IF(SUMIFS('Daily NSE Equity Futures'!$I:$I,'Daily NSE Equity Futures'!$A:$A,$A1122)=0,"",SUMIFS('Daily NSE Equity Futures'!$I:$I,'Daily NSE Equity Futures'!$A:$A,$A1122))</f>
        <v>1868.6795</v>
      </c>
      <c r="F1122" s="6">
        <f>IF(SUMIFS('Daily BSE Equity Futures'!$I:$I,'Daily BSE Equity Futures'!$A:$A,$A1122)=0,"",SUMIFS('Daily BSE Equity Futures'!$I:$I,'Daily BSE Equity Futures'!$A:$A,$A1122))</f>
        <v>4.5773999999999999</v>
      </c>
      <c r="G1122" s="6">
        <f t="shared" si="204"/>
        <v>1873.2568999999999</v>
      </c>
      <c r="H1122" s="15">
        <f t="shared" si="205"/>
        <v>0.99755644834405799</v>
      </c>
      <c r="I1122" s="15">
        <f t="shared" si="206"/>
        <v>2.4435516559421187E-3</v>
      </c>
      <c r="J1122" s="20" t="str">
        <f t="shared" si="207"/>
        <v/>
      </c>
      <c r="K1122" s="15" t="str">
        <f t="shared" si="208"/>
        <v/>
      </c>
      <c r="L1122" s="15" t="str">
        <f t="shared" si="209"/>
        <v/>
      </c>
      <c r="M1122" s="15">
        <f t="shared" si="213"/>
        <v>8.3794570232291754E-3</v>
      </c>
      <c r="N1122" s="15">
        <f t="shared" si="214"/>
        <v>-0.52258575913390837</v>
      </c>
      <c r="O1122" s="15">
        <f t="shared" si="215"/>
        <v>5.6464700637071097E-3</v>
      </c>
      <c r="P1122" s="18">
        <f>IF(SUMIFS('Daily NSE Equity Futures'!$J:$J,'Daily NSE Equity Futures'!$A:$A,$A1122)=0,"",SUMIFS('Daily NSE Equity Futures'!$J:$J,'Daily NSE Equity Futures'!$A:$A,$A1122))</f>
        <v>2473488</v>
      </c>
      <c r="Q1122" s="7">
        <f>IF(SUMIFS('Daily BSE Equity Futures'!$J:$J,'Daily BSE Equity Futures'!$A:$A,$A1122)=0,"",SUMIFS('Daily BSE Equity Futures'!$J:$J,'Daily BSE Equity Futures'!$A:$A,$A1122))</f>
        <v>5384</v>
      </c>
      <c r="R1122" s="7">
        <f t="shared" si="210"/>
        <v>2478872</v>
      </c>
      <c r="S1122" s="19">
        <f t="shared" si="211"/>
        <v>0.99782804436856765</v>
      </c>
      <c r="T1122" s="19">
        <f t="shared" si="212"/>
        <v>2.171955631432361E-3</v>
      </c>
    </row>
    <row r="1123" spans="1:20" x14ac:dyDescent="0.2">
      <c r="A1123" s="9">
        <v>45573</v>
      </c>
      <c r="B1123" s="4" t="s">
        <v>223</v>
      </c>
      <c r="C1123" s="8">
        <v>45566</v>
      </c>
      <c r="D1123" s="4" t="s">
        <v>191</v>
      </c>
      <c r="E1123" s="14">
        <f>IF(SUMIFS('Daily NSE Equity Futures'!$I:$I,'Daily NSE Equity Futures'!$A:$A,$A1123)=0,"",SUMIFS('Daily NSE Equity Futures'!$I:$I,'Daily NSE Equity Futures'!$A:$A,$A1123))</f>
        <v>1414.4592</v>
      </c>
      <c r="F1123" s="6">
        <f>IF(SUMIFS('Daily BSE Equity Futures'!$I:$I,'Daily BSE Equity Futures'!$A:$A,$A1123)=0,"",SUMIFS('Daily BSE Equity Futures'!$I:$I,'Daily BSE Equity Futures'!$A:$A,$A1123))</f>
        <v>0.83320000000000005</v>
      </c>
      <c r="G1123" s="6">
        <f t="shared" si="204"/>
        <v>1415.2924</v>
      </c>
      <c r="H1123" s="15">
        <f t="shared" si="205"/>
        <v>0.99941128773107235</v>
      </c>
      <c r="I1123" s="15">
        <f t="shared" si="206"/>
        <v>5.8871226892760818E-4</v>
      </c>
      <c r="J1123" s="20" t="str">
        <f t="shared" si="207"/>
        <v/>
      </c>
      <c r="K1123" s="15" t="str">
        <f t="shared" si="208"/>
        <v/>
      </c>
      <c r="L1123" s="15" t="str">
        <f t="shared" si="209"/>
        <v/>
      </c>
      <c r="M1123" s="15">
        <f t="shared" si="213"/>
        <v>-0.24307020010654579</v>
      </c>
      <c r="N1123" s="15">
        <f t="shared" si="214"/>
        <v>-0.81797526980381874</v>
      </c>
      <c r="O1123" s="15">
        <f t="shared" si="215"/>
        <v>-0.24447501034161401</v>
      </c>
      <c r="P1123" s="18">
        <f>IF(SUMIFS('Daily NSE Equity Futures'!$J:$J,'Daily NSE Equity Futures'!$A:$A,$A1123)=0,"",SUMIFS('Daily NSE Equity Futures'!$J:$J,'Daily NSE Equity Futures'!$A:$A,$A1123))</f>
        <v>1824531</v>
      </c>
      <c r="Q1123" s="7">
        <f>IF(SUMIFS('Daily BSE Equity Futures'!$J:$J,'Daily BSE Equity Futures'!$A:$A,$A1123)=0,"",SUMIFS('Daily BSE Equity Futures'!$J:$J,'Daily BSE Equity Futures'!$A:$A,$A1123))</f>
        <v>1020</v>
      </c>
      <c r="R1123" s="7">
        <f t="shared" si="210"/>
        <v>1825551</v>
      </c>
      <c r="S1123" s="19">
        <f t="shared" si="211"/>
        <v>0.99944126458258353</v>
      </c>
      <c r="T1123" s="19">
        <f t="shared" si="212"/>
        <v>5.5873541741644026E-4</v>
      </c>
    </row>
    <row r="1124" spans="1:20" x14ac:dyDescent="0.2">
      <c r="A1124" s="9">
        <v>45574</v>
      </c>
      <c r="B1124" s="4" t="s">
        <v>221</v>
      </c>
      <c r="C1124" s="8">
        <v>45566</v>
      </c>
      <c r="D1124" s="4" t="s">
        <v>191</v>
      </c>
      <c r="E1124" s="14">
        <f>IF(SUMIFS('Daily NSE Equity Futures'!$I:$I,'Daily NSE Equity Futures'!$A:$A,$A1124)=0,"",SUMIFS('Daily NSE Equity Futures'!$I:$I,'Daily NSE Equity Futures'!$A:$A,$A1124))</f>
        <v>1590.5644</v>
      </c>
      <c r="F1124" s="6">
        <f>IF(SUMIFS('Daily BSE Equity Futures'!$I:$I,'Daily BSE Equity Futures'!$A:$A,$A1124)=0,"",SUMIFS('Daily BSE Equity Futures'!$I:$I,'Daily BSE Equity Futures'!$A:$A,$A1124))</f>
        <v>0.92810000000000004</v>
      </c>
      <c r="G1124" s="6">
        <f t="shared" si="204"/>
        <v>1591.4925000000001</v>
      </c>
      <c r="H1124" s="15">
        <f t="shared" si="205"/>
        <v>0.99941683671145165</v>
      </c>
      <c r="I1124" s="15">
        <f t="shared" si="206"/>
        <v>5.8316328854832807E-4</v>
      </c>
      <c r="J1124" s="20">
        <f t="shared" si="207"/>
        <v>1.0622634424830073</v>
      </c>
      <c r="K1124" s="15">
        <f t="shared" si="208"/>
        <v>11.524966261808368</v>
      </c>
      <c r="L1124" s="15">
        <f t="shared" si="209"/>
        <v>1.0632685517108875</v>
      </c>
      <c r="M1124" s="15">
        <f t="shared" si="213"/>
        <v>0.1245035558466443</v>
      </c>
      <c r="N1124" s="15">
        <f t="shared" si="214"/>
        <v>0.11389822371579461</v>
      </c>
      <c r="O1124" s="15">
        <f t="shared" si="215"/>
        <v>0.12449731235750305</v>
      </c>
      <c r="P1124" s="18">
        <f>IF(SUMIFS('Daily NSE Equity Futures'!$J:$J,'Daily NSE Equity Futures'!$A:$A,$A1124)=0,"",SUMIFS('Daily NSE Equity Futures'!$J:$J,'Daily NSE Equity Futures'!$A:$A,$A1124))</f>
        <v>2042345</v>
      </c>
      <c r="Q1124" s="7">
        <f>IF(SUMIFS('Daily BSE Equity Futures'!$J:$J,'Daily BSE Equity Futures'!$A:$A,$A1124)=0,"",SUMIFS('Daily BSE Equity Futures'!$J:$J,'Daily BSE Equity Futures'!$A:$A,$A1124))</f>
        <v>1125</v>
      </c>
      <c r="R1124" s="7">
        <f t="shared" si="210"/>
        <v>2043470</v>
      </c>
      <c r="S1124" s="19">
        <f t="shared" si="211"/>
        <v>0.99944946585954286</v>
      </c>
      <c r="T1124" s="19">
        <f t="shared" si="212"/>
        <v>5.5053414045716357E-4</v>
      </c>
    </row>
    <row r="1125" spans="1:20" x14ac:dyDescent="0.2">
      <c r="A1125" s="9">
        <v>45575</v>
      </c>
      <c r="B1125" s="4" t="s">
        <v>224</v>
      </c>
      <c r="C1125" s="8">
        <v>45566</v>
      </c>
      <c r="D1125" s="4" t="s">
        <v>191</v>
      </c>
      <c r="E1125" s="14">
        <f>IF(SUMIFS('Daily NSE Equity Futures'!$I:$I,'Daily NSE Equity Futures'!$A:$A,$A1125)=0,"",SUMIFS('Daily NSE Equity Futures'!$I:$I,'Daily NSE Equity Futures'!$A:$A,$A1125))</f>
        <v>1166.4000000000001</v>
      </c>
      <c r="F1125" s="6">
        <f>IF(SUMIFS('Daily BSE Equity Futures'!$I:$I,'Daily BSE Equity Futures'!$A:$A,$A1125)=0,"",SUMIFS('Daily BSE Equity Futures'!$I:$I,'Daily BSE Equity Futures'!$A:$A,$A1125))</f>
        <v>0.89129999999999998</v>
      </c>
      <c r="G1125" s="6">
        <f t="shared" si="204"/>
        <v>1167.2913000000001</v>
      </c>
      <c r="H1125" s="15">
        <f t="shared" si="205"/>
        <v>0.99923643738285384</v>
      </c>
      <c r="I1125" s="15">
        <f t="shared" si="206"/>
        <v>7.6356261714620845E-4</v>
      </c>
      <c r="J1125" s="20">
        <f t="shared" si="207"/>
        <v>0.41356117069623721</v>
      </c>
      <c r="K1125" s="15">
        <f t="shared" si="208"/>
        <v>5.6218424962852893</v>
      </c>
      <c r="L1125" s="15">
        <f t="shared" si="209"/>
        <v>0.41441061665272816</v>
      </c>
      <c r="M1125" s="15">
        <f t="shared" si="213"/>
        <v>-0.26667540151156399</v>
      </c>
      <c r="N1125" s="15">
        <f t="shared" si="214"/>
        <v>-3.9650899687533769E-2</v>
      </c>
      <c r="O1125" s="15">
        <f t="shared" si="215"/>
        <v>-0.26654300915649931</v>
      </c>
      <c r="P1125" s="18">
        <f>IF(SUMIFS('Daily NSE Equity Futures'!$J:$J,'Daily NSE Equity Futures'!$A:$A,$A1125)=0,"",SUMIFS('Daily NSE Equity Futures'!$J:$J,'Daily NSE Equity Futures'!$A:$A,$A1125))</f>
        <v>1483072</v>
      </c>
      <c r="Q1125" s="7">
        <f>IF(SUMIFS('Daily BSE Equity Futures'!$J:$J,'Daily BSE Equity Futures'!$A:$A,$A1125)=0,"",SUMIFS('Daily BSE Equity Futures'!$J:$J,'Daily BSE Equity Futures'!$A:$A,$A1125))</f>
        <v>1095</v>
      </c>
      <c r="R1125" s="7">
        <f t="shared" si="210"/>
        <v>1484167</v>
      </c>
      <c r="S1125" s="19">
        <f t="shared" si="211"/>
        <v>0.99926221240601631</v>
      </c>
      <c r="T1125" s="19">
        <f t="shared" si="212"/>
        <v>7.3778759398369594E-4</v>
      </c>
    </row>
    <row r="1126" spans="1:20" x14ac:dyDescent="0.2">
      <c r="A1126" s="9">
        <v>45576</v>
      </c>
      <c r="B1126" s="4" t="s">
        <v>222</v>
      </c>
      <c r="C1126" s="8">
        <v>45566</v>
      </c>
      <c r="D1126" s="4" t="s">
        <v>191</v>
      </c>
      <c r="E1126" s="14">
        <f>IF(SUMIFS('Daily NSE Equity Futures'!$I:$I,'Daily NSE Equity Futures'!$A:$A,$A1126)=0,"",SUMIFS('Daily NSE Equity Futures'!$I:$I,'Daily NSE Equity Futures'!$A:$A,$A1126))</f>
        <v>1003.7554</v>
      </c>
      <c r="F1126" s="6">
        <f>IF(SUMIFS('Daily BSE Equity Futures'!$I:$I,'Daily BSE Equity Futures'!$A:$A,$A1126)=0,"",SUMIFS('Daily BSE Equity Futures'!$I:$I,'Daily BSE Equity Futures'!$A:$A,$A1126))</f>
        <v>2.8761999999999999</v>
      </c>
      <c r="G1126" s="6">
        <f t="shared" si="204"/>
        <v>1006.6316</v>
      </c>
      <c r="H1126" s="15">
        <f t="shared" si="205"/>
        <v>0.99714274815135939</v>
      </c>
      <c r="I1126" s="15">
        <f t="shared" si="206"/>
        <v>2.8572518486405549E-3</v>
      </c>
      <c r="J1126" s="20">
        <f t="shared" si="207"/>
        <v>0.17809067123870959</v>
      </c>
      <c r="K1126" s="15">
        <f t="shared" si="208"/>
        <v>33.486810551558747</v>
      </c>
      <c r="L1126" s="15">
        <f t="shared" si="209"/>
        <v>0.18135078163159313</v>
      </c>
      <c r="M1126" s="15">
        <f t="shared" si="213"/>
        <v>-0.13944152949245547</v>
      </c>
      <c r="N1126" s="15">
        <f t="shared" si="214"/>
        <v>2.2269718388870188</v>
      </c>
      <c r="O1126" s="15">
        <f t="shared" si="215"/>
        <v>-0.13763462470764587</v>
      </c>
      <c r="P1126" s="18">
        <f>IF(SUMIFS('Daily NSE Equity Futures'!$J:$J,'Daily NSE Equity Futures'!$A:$A,$A1126)=0,"",SUMIFS('Daily NSE Equity Futures'!$J:$J,'Daily NSE Equity Futures'!$A:$A,$A1126))</f>
        <v>1263976</v>
      </c>
      <c r="Q1126" s="7">
        <f>IF(SUMIFS('Daily BSE Equity Futures'!$J:$J,'Daily BSE Equity Futures'!$A:$A,$A1126)=0,"",SUMIFS('Daily BSE Equity Futures'!$J:$J,'Daily BSE Equity Futures'!$A:$A,$A1126))</f>
        <v>3527</v>
      </c>
      <c r="R1126" s="7">
        <f t="shared" si="210"/>
        <v>1267503</v>
      </c>
      <c r="S1126" s="19">
        <f t="shared" si="211"/>
        <v>0.9972173635880941</v>
      </c>
      <c r="T1126" s="19">
        <f t="shared" si="212"/>
        <v>2.7826364119059284E-3</v>
      </c>
    </row>
    <row r="1127" spans="1:20" x14ac:dyDescent="0.2">
      <c r="A1127" s="9">
        <v>45579</v>
      </c>
      <c r="B1127" s="4" t="s">
        <v>225</v>
      </c>
      <c r="C1127" s="8">
        <v>45566</v>
      </c>
      <c r="D1127" s="4" t="s">
        <v>191</v>
      </c>
      <c r="E1127" s="14">
        <f>IF(SUMIFS('Daily NSE Equity Futures'!$I:$I,'Daily NSE Equity Futures'!$A:$A,$A1127)=0,"",SUMIFS('Daily NSE Equity Futures'!$I:$I,'Daily NSE Equity Futures'!$A:$A,$A1127))</f>
        <v>1089.6737000000001</v>
      </c>
      <c r="F1127" s="6">
        <f>IF(SUMIFS('Daily BSE Equity Futures'!$I:$I,'Daily BSE Equity Futures'!$A:$A,$A1127)=0,"",SUMIFS('Daily BSE Equity Futures'!$I:$I,'Daily BSE Equity Futures'!$A:$A,$A1127))</f>
        <v>1.2594000000000001</v>
      </c>
      <c r="G1127" s="6">
        <f t="shared" si="204"/>
        <v>1090.9331</v>
      </c>
      <c r="H1127" s="15">
        <f t="shared" si="205"/>
        <v>0.99884557540696128</v>
      </c>
      <c r="I1127" s="15">
        <f t="shared" si="206"/>
        <v>1.1544245930387483E-3</v>
      </c>
      <c r="J1127" s="20" t="str">
        <f t="shared" si="207"/>
        <v/>
      </c>
      <c r="K1127" s="15" t="str">
        <f t="shared" si="208"/>
        <v/>
      </c>
      <c r="L1127" s="15" t="str">
        <f t="shared" si="209"/>
        <v/>
      </c>
      <c r="M1127" s="15">
        <f t="shared" si="213"/>
        <v>8.5596849591045743E-2</v>
      </c>
      <c r="N1127" s="15">
        <f t="shared" si="214"/>
        <v>-0.56213058897155965</v>
      </c>
      <c r="O1127" s="15">
        <f t="shared" si="215"/>
        <v>8.3746129169797401E-2</v>
      </c>
      <c r="P1127" s="18">
        <f>IF(SUMIFS('Daily NSE Equity Futures'!$J:$J,'Daily NSE Equity Futures'!$A:$A,$A1127)=0,"",SUMIFS('Daily NSE Equity Futures'!$J:$J,'Daily NSE Equity Futures'!$A:$A,$A1127))</f>
        <v>1380698</v>
      </c>
      <c r="Q1127" s="7">
        <f>IF(SUMIFS('Daily BSE Equity Futures'!$J:$J,'Daily BSE Equity Futures'!$A:$A,$A1127)=0,"",SUMIFS('Daily BSE Equity Futures'!$J:$J,'Daily BSE Equity Futures'!$A:$A,$A1127))</f>
        <v>1482</v>
      </c>
      <c r="R1127" s="7">
        <f t="shared" si="210"/>
        <v>1382180</v>
      </c>
      <c r="S1127" s="19">
        <f t="shared" si="211"/>
        <v>0.99892778075214517</v>
      </c>
      <c r="T1127" s="19">
        <f t="shared" si="212"/>
        <v>1.0722192478548379E-3</v>
      </c>
    </row>
    <row r="1128" spans="1:20" x14ac:dyDescent="0.2">
      <c r="A1128" s="9">
        <v>45580</v>
      </c>
      <c r="B1128" s="4" t="s">
        <v>223</v>
      </c>
      <c r="C1128" s="8">
        <v>45566</v>
      </c>
      <c r="D1128" s="4" t="s">
        <v>191</v>
      </c>
      <c r="E1128" s="14">
        <f>IF(SUMIFS('Daily NSE Equity Futures'!$I:$I,'Daily NSE Equity Futures'!$A:$A,$A1128)=0,"",SUMIFS('Daily NSE Equity Futures'!$I:$I,'Daily NSE Equity Futures'!$A:$A,$A1128))</f>
        <v>1172.0005000000001</v>
      </c>
      <c r="F1128" s="6">
        <f>IF(SUMIFS('Daily BSE Equity Futures'!$I:$I,'Daily BSE Equity Futures'!$A:$A,$A1128)=0,"",SUMIFS('Daily BSE Equity Futures'!$I:$I,'Daily BSE Equity Futures'!$A:$A,$A1128))</f>
        <v>0.38219999999999998</v>
      </c>
      <c r="G1128" s="6">
        <f t="shared" si="204"/>
        <v>1172.3827000000001</v>
      </c>
      <c r="H1128" s="15">
        <f t="shared" si="205"/>
        <v>0.99967399723656791</v>
      </c>
      <c r="I1128" s="15">
        <f t="shared" si="206"/>
        <v>3.2600276343211135E-4</v>
      </c>
      <c r="J1128" s="20" t="str">
        <f t="shared" si="207"/>
        <v/>
      </c>
      <c r="K1128" s="15" t="str">
        <f t="shared" si="208"/>
        <v/>
      </c>
      <c r="L1128" s="15" t="str">
        <f t="shared" si="209"/>
        <v/>
      </c>
      <c r="M1128" s="15">
        <f t="shared" si="213"/>
        <v>7.5551791329826479E-2</v>
      </c>
      <c r="N1128" s="15">
        <f t="shared" si="214"/>
        <v>-0.69652215340638401</v>
      </c>
      <c r="O1128" s="15">
        <f t="shared" si="215"/>
        <v>7.466049018037868E-2</v>
      </c>
      <c r="P1128" s="18">
        <f>IF(SUMIFS('Daily NSE Equity Futures'!$J:$J,'Daily NSE Equity Futures'!$A:$A,$A1128)=0,"",SUMIFS('Daily NSE Equity Futures'!$J:$J,'Daily NSE Equity Futures'!$A:$A,$A1128))</f>
        <v>1490958</v>
      </c>
      <c r="Q1128" s="7">
        <f>IF(SUMIFS('Daily BSE Equity Futures'!$J:$J,'Daily BSE Equity Futures'!$A:$A,$A1128)=0,"",SUMIFS('Daily BSE Equity Futures'!$J:$J,'Daily BSE Equity Futures'!$A:$A,$A1128))</f>
        <v>466</v>
      </c>
      <c r="R1128" s="7">
        <f t="shared" si="210"/>
        <v>1491424</v>
      </c>
      <c r="S1128" s="19">
        <f t="shared" si="211"/>
        <v>0.99968754693500972</v>
      </c>
      <c r="T1128" s="19">
        <f t="shared" si="212"/>
        <v>3.124530649902375E-4</v>
      </c>
    </row>
    <row r="1129" spans="1:20" x14ac:dyDescent="0.2">
      <c r="A1129" s="9">
        <v>45581</v>
      </c>
      <c r="B1129" s="4" t="s">
        <v>221</v>
      </c>
      <c r="C1129" s="8">
        <v>45566</v>
      </c>
      <c r="D1129" s="4" t="s">
        <v>191</v>
      </c>
      <c r="E1129" s="14">
        <f>IF(SUMIFS('Daily NSE Equity Futures'!$I:$I,'Daily NSE Equity Futures'!$A:$A,$A1129)=0,"",SUMIFS('Daily NSE Equity Futures'!$I:$I,'Daily NSE Equity Futures'!$A:$A,$A1129))</f>
        <v>1190.6389999999999</v>
      </c>
      <c r="F1129" s="6">
        <f>IF(SUMIFS('Daily BSE Equity Futures'!$I:$I,'Daily BSE Equity Futures'!$A:$A,$A1129)=0,"",SUMIFS('Daily BSE Equity Futures'!$I:$I,'Daily BSE Equity Futures'!$A:$A,$A1129))</f>
        <v>0.46870000000000001</v>
      </c>
      <c r="G1129" s="6">
        <f t="shared" si="204"/>
        <v>1191.1076999999998</v>
      </c>
      <c r="H1129" s="15">
        <f t="shared" si="205"/>
        <v>0.99960650073876622</v>
      </c>
      <c r="I1129" s="15">
        <f t="shared" si="206"/>
        <v>3.9349926123389184E-4</v>
      </c>
      <c r="J1129" s="20">
        <f t="shared" si="207"/>
        <v>0.61123780582202625</v>
      </c>
      <c r="K1129" s="15">
        <f t="shared" si="208"/>
        <v>2.1435278336686787</v>
      </c>
      <c r="L1129" s="15">
        <f t="shared" si="209"/>
        <v>0.6115469140314076</v>
      </c>
      <c r="M1129" s="15">
        <f t="shared" si="213"/>
        <v>1.5903150211966421E-2</v>
      </c>
      <c r="N1129" s="15">
        <f t="shared" si="214"/>
        <v>0.2263212977498692</v>
      </c>
      <c r="O1129" s="15">
        <f t="shared" si="215"/>
        <v>1.5971747109539969E-2</v>
      </c>
      <c r="P1129" s="18">
        <f>IF(SUMIFS('Daily NSE Equity Futures'!$J:$J,'Daily NSE Equity Futures'!$A:$A,$A1129)=0,"",SUMIFS('Daily NSE Equity Futures'!$J:$J,'Daily NSE Equity Futures'!$A:$A,$A1129))</f>
        <v>1501234</v>
      </c>
      <c r="Q1129" s="7">
        <f>IF(SUMIFS('Daily BSE Equity Futures'!$J:$J,'Daily BSE Equity Futures'!$A:$A,$A1129)=0,"",SUMIFS('Daily BSE Equity Futures'!$J:$J,'Daily BSE Equity Futures'!$A:$A,$A1129))</f>
        <v>573</v>
      </c>
      <c r="R1129" s="7">
        <f t="shared" si="210"/>
        <v>1501807</v>
      </c>
      <c r="S1129" s="19">
        <f t="shared" si="211"/>
        <v>0.999618459628967</v>
      </c>
      <c r="T1129" s="19">
        <f t="shared" si="212"/>
        <v>3.8154037103302888E-4</v>
      </c>
    </row>
    <row r="1130" spans="1:20" x14ac:dyDescent="0.2">
      <c r="A1130" s="9">
        <v>45582</v>
      </c>
      <c r="B1130" s="4" t="s">
        <v>224</v>
      </c>
      <c r="C1130" s="8">
        <v>45566</v>
      </c>
      <c r="D1130" s="4" t="s">
        <v>191</v>
      </c>
      <c r="E1130" s="14">
        <f>IF(SUMIFS('Daily NSE Equity Futures'!$I:$I,'Daily NSE Equity Futures'!$A:$A,$A1130)=0,"",SUMIFS('Daily NSE Equity Futures'!$I:$I,'Daily NSE Equity Futures'!$A:$A,$A1130))</f>
        <v>1502.8367000000001</v>
      </c>
      <c r="F1130" s="6">
        <f>IF(SUMIFS('Daily BSE Equity Futures'!$I:$I,'Daily BSE Equity Futures'!$A:$A,$A1130)=0,"",SUMIFS('Daily BSE Equity Futures'!$I:$I,'Daily BSE Equity Futures'!$A:$A,$A1130))</f>
        <v>1.1931</v>
      </c>
      <c r="G1130" s="6">
        <f t="shared" si="204"/>
        <v>1504.0298</v>
      </c>
      <c r="H1130" s="15">
        <f t="shared" si="205"/>
        <v>0.999206731143226</v>
      </c>
      <c r="I1130" s="15">
        <f t="shared" si="206"/>
        <v>7.9326885677398148E-4</v>
      </c>
      <c r="J1130" s="20">
        <f t="shared" si="207"/>
        <v>0.93234799878671892</v>
      </c>
      <c r="K1130" s="15">
        <f t="shared" si="208"/>
        <v>2.6486238532110091</v>
      </c>
      <c r="L1130" s="15">
        <f t="shared" si="209"/>
        <v>0.93306931522761904</v>
      </c>
      <c r="M1130" s="15">
        <f t="shared" si="213"/>
        <v>0.26221020813193596</v>
      </c>
      <c r="N1130" s="15">
        <f t="shared" si="214"/>
        <v>1.545551525496053</v>
      </c>
      <c r="O1130" s="15">
        <f t="shared" si="215"/>
        <v>0.26271520199222986</v>
      </c>
      <c r="P1130" s="18">
        <f>IF(SUMIFS('Daily NSE Equity Futures'!$J:$J,'Daily NSE Equity Futures'!$A:$A,$A1130)=0,"",SUMIFS('Daily NSE Equity Futures'!$J:$J,'Daily NSE Equity Futures'!$A:$A,$A1130))</f>
        <v>1929414</v>
      </c>
      <c r="Q1130" s="7">
        <f>IF(SUMIFS('Daily BSE Equity Futures'!$J:$J,'Daily BSE Equity Futures'!$A:$A,$A1130)=0,"",SUMIFS('Daily BSE Equity Futures'!$J:$J,'Daily BSE Equity Futures'!$A:$A,$A1130))</f>
        <v>1463</v>
      </c>
      <c r="R1130" s="7">
        <f t="shared" si="210"/>
        <v>1930877</v>
      </c>
      <c r="S1130" s="19">
        <f t="shared" si="211"/>
        <v>0.99924231320793611</v>
      </c>
      <c r="T1130" s="19">
        <f t="shared" si="212"/>
        <v>7.576867920639171E-4</v>
      </c>
    </row>
    <row r="1131" spans="1:20" x14ac:dyDescent="0.2">
      <c r="A1131" s="9">
        <v>45583</v>
      </c>
      <c r="B1131" s="4" t="s">
        <v>222</v>
      </c>
      <c r="C1131" s="8">
        <v>45566</v>
      </c>
      <c r="D1131" s="4" t="s">
        <v>191</v>
      </c>
      <c r="E1131" s="14">
        <f>IF(SUMIFS('Daily NSE Equity Futures'!$I:$I,'Daily NSE Equity Futures'!$A:$A,$A1131)=0,"",SUMIFS('Daily NSE Equity Futures'!$I:$I,'Daily NSE Equity Futures'!$A:$A,$A1131))</f>
        <v>1563.8846000000001</v>
      </c>
      <c r="F1131" s="6">
        <f>IF(SUMIFS('Daily BSE Equity Futures'!$I:$I,'Daily BSE Equity Futures'!$A:$A,$A1131)=0,"",SUMIFS('Daily BSE Equity Futures'!$I:$I,'Daily BSE Equity Futures'!$A:$A,$A1131))</f>
        <v>3.2864</v>
      </c>
      <c r="G1131" s="6">
        <f t="shared" si="204"/>
        <v>1567.171</v>
      </c>
      <c r="H1131" s="15">
        <f t="shared" si="205"/>
        <v>0.99790297293658448</v>
      </c>
      <c r="I1131" s="15">
        <f t="shared" si="206"/>
        <v>2.0970270634155428E-3</v>
      </c>
      <c r="J1131" s="20">
        <f t="shared" si="207"/>
        <v>0.49922842516769084</v>
      </c>
      <c r="K1131" s="15">
        <f t="shared" si="208"/>
        <v>22.440798858773181</v>
      </c>
      <c r="L1131" s="15">
        <f t="shared" si="209"/>
        <v>0.50217705638971455</v>
      </c>
      <c r="M1131" s="15">
        <f t="shared" si="213"/>
        <v>4.0621778800052022E-2</v>
      </c>
      <c r="N1131" s="15">
        <f t="shared" si="214"/>
        <v>1.7545050708239041</v>
      </c>
      <c r="O1131" s="15">
        <f t="shared" si="215"/>
        <v>4.1981349039759808E-2</v>
      </c>
      <c r="P1131" s="18">
        <f>IF(SUMIFS('Daily NSE Equity Futures'!$J:$J,'Daily NSE Equity Futures'!$A:$A,$A1131)=0,"",SUMIFS('Daily NSE Equity Futures'!$J:$J,'Daily NSE Equity Futures'!$A:$A,$A1131))</f>
        <v>2037410</v>
      </c>
      <c r="Q1131" s="7">
        <f>IF(SUMIFS('Daily BSE Equity Futures'!$J:$J,'Daily BSE Equity Futures'!$A:$A,$A1131)=0,"",SUMIFS('Daily BSE Equity Futures'!$J:$J,'Daily BSE Equity Futures'!$A:$A,$A1131))</f>
        <v>4051</v>
      </c>
      <c r="R1131" s="7">
        <f t="shared" si="210"/>
        <v>2041461</v>
      </c>
      <c r="S1131" s="19">
        <f t="shared" si="211"/>
        <v>0.99801563684047845</v>
      </c>
      <c r="T1131" s="19">
        <f t="shared" si="212"/>
        <v>1.9843631595215386E-3</v>
      </c>
    </row>
    <row r="1132" spans="1:20" x14ac:dyDescent="0.2">
      <c r="A1132" s="9">
        <v>45586</v>
      </c>
      <c r="B1132" s="4" t="s">
        <v>225</v>
      </c>
      <c r="C1132" s="8">
        <v>45566</v>
      </c>
      <c r="D1132" s="4" t="s">
        <v>191</v>
      </c>
      <c r="E1132" s="14">
        <f>IF(SUMIFS('Daily NSE Equity Futures'!$I:$I,'Daily NSE Equity Futures'!$A:$A,$A1132)=0,"",SUMIFS('Daily NSE Equity Futures'!$I:$I,'Daily NSE Equity Futures'!$A:$A,$A1132))</f>
        <v>1667.7014999999999</v>
      </c>
      <c r="F1132" s="6">
        <f>IF(SUMIFS('Daily BSE Equity Futures'!$I:$I,'Daily BSE Equity Futures'!$A:$A,$A1132)=0,"",SUMIFS('Daily BSE Equity Futures'!$I:$I,'Daily BSE Equity Futures'!$A:$A,$A1132))</f>
        <v>1.4191</v>
      </c>
      <c r="G1132" s="6">
        <f t="shared" si="204"/>
        <v>1669.1206</v>
      </c>
      <c r="H1132" s="15">
        <f t="shared" si="205"/>
        <v>0.99914979181252683</v>
      </c>
      <c r="I1132" s="15">
        <f t="shared" si="206"/>
        <v>8.5020818747309215E-4</v>
      </c>
      <c r="J1132" s="20" t="str">
        <f t="shared" si="207"/>
        <v/>
      </c>
      <c r="K1132" s="15" t="str">
        <f t="shared" si="208"/>
        <v/>
      </c>
      <c r="L1132" s="15" t="str">
        <f t="shared" si="209"/>
        <v/>
      </c>
      <c r="M1132" s="15">
        <f t="shared" si="213"/>
        <v>6.6383990225365563E-2</v>
      </c>
      <c r="N1132" s="15">
        <f t="shared" si="214"/>
        <v>-0.56819011684518017</v>
      </c>
      <c r="O1132" s="15">
        <f t="shared" si="215"/>
        <v>6.5053271149096092E-2</v>
      </c>
      <c r="P1132" s="18">
        <f>IF(SUMIFS('Daily NSE Equity Futures'!$J:$J,'Daily NSE Equity Futures'!$A:$A,$A1132)=0,"",SUMIFS('Daily NSE Equity Futures'!$J:$J,'Daily NSE Equity Futures'!$A:$A,$A1132))</f>
        <v>2182364</v>
      </c>
      <c r="Q1132" s="7">
        <f>IF(SUMIFS('Daily BSE Equity Futures'!$J:$J,'Daily BSE Equity Futures'!$A:$A,$A1132)=0,"",SUMIFS('Daily BSE Equity Futures'!$J:$J,'Daily BSE Equity Futures'!$A:$A,$A1132))</f>
        <v>1682</v>
      </c>
      <c r="R1132" s="7">
        <f t="shared" si="210"/>
        <v>2184046</v>
      </c>
      <c r="S1132" s="19">
        <f t="shared" si="211"/>
        <v>0.99922986970054661</v>
      </c>
      <c r="T1132" s="19">
        <f t="shared" si="212"/>
        <v>7.7013029945339974E-4</v>
      </c>
    </row>
    <row r="1133" spans="1:20" x14ac:dyDescent="0.2">
      <c r="A1133" s="9">
        <v>45587</v>
      </c>
      <c r="B1133" s="4" t="s">
        <v>223</v>
      </c>
      <c r="C1133" s="8">
        <v>45566</v>
      </c>
      <c r="D1133" s="4" t="s">
        <v>191</v>
      </c>
      <c r="E1133" s="14">
        <f>IF(SUMIFS('Daily NSE Equity Futures'!$I:$I,'Daily NSE Equity Futures'!$A:$A,$A1133)=0,"",SUMIFS('Daily NSE Equity Futures'!$I:$I,'Daily NSE Equity Futures'!$A:$A,$A1133))</f>
        <v>1549.1066000000001</v>
      </c>
      <c r="F1133" s="6">
        <f>IF(SUMIFS('Daily BSE Equity Futures'!$I:$I,'Daily BSE Equity Futures'!$A:$A,$A1133)=0,"",SUMIFS('Daily BSE Equity Futures'!$I:$I,'Daily BSE Equity Futures'!$A:$A,$A1133))</f>
        <v>0.373</v>
      </c>
      <c r="G1133" s="6">
        <f t="shared" si="204"/>
        <v>1549.4796000000001</v>
      </c>
      <c r="H1133" s="15">
        <f t="shared" si="205"/>
        <v>0.99975927401690212</v>
      </c>
      <c r="I1133" s="15">
        <f t="shared" si="206"/>
        <v>2.4072598309780909E-4</v>
      </c>
      <c r="J1133" s="20" t="str">
        <f t="shared" si="207"/>
        <v/>
      </c>
      <c r="K1133" s="15" t="str">
        <f t="shared" si="208"/>
        <v/>
      </c>
      <c r="L1133" s="15" t="str">
        <f t="shared" si="209"/>
        <v/>
      </c>
      <c r="M1133" s="15">
        <f t="shared" si="213"/>
        <v>-7.1112786071128364E-2</v>
      </c>
      <c r="N1133" s="15">
        <f t="shared" si="214"/>
        <v>-0.73715735325206122</v>
      </c>
      <c r="O1133" s="15">
        <f t="shared" si="215"/>
        <v>-7.1679062615367495E-2</v>
      </c>
      <c r="P1133" s="18">
        <f>IF(SUMIFS('Daily NSE Equity Futures'!$J:$J,'Daily NSE Equity Futures'!$A:$A,$A1133)=0,"",SUMIFS('Daily NSE Equity Futures'!$J:$J,'Daily NSE Equity Futures'!$A:$A,$A1133))</f>
        <v>2038522</v>
      </c>
      <c r="Q1133" s="7">
        <f>IF(SUMIFS('Daily BSE Equity Futures'!$J:$J,'Daily BSE Equity Futures'!$A:$A,$A1133)=0,"",SUMIFS('Daily BSE Equity Futures'!$J:$J,'Daily BSE Equity Futures'!$A:$A,$A1133))</f>
        <v>459</v>
      </c>
      <c r="R1133" s="7">
        <f t="shared" si="210"/>
        <v>2038981</v>
      </c>
      <c r="S1133" s="19">
        <f t="shared" si="211"/>
        <v>0.99977488755412625</v>
      </c>
      <c r="T1133" s="19">
        <f t="shared" si="212"/>
        <v>2.2511244587369869E-4</v>
      </c>
    </row>
    <row r="1134" spans="1:20" x14ac:dyDescent="0.2">
      <c r="A1134" s="9">
        <v>45588</v>
      </c>
      <c r="B1134" s="4" t="s">
        <v>221</v>
      </c>
      <c r="C1134" s="8">
        <v>45566</v>
      </c>
      <c r="D1134" s="4" t="s">
        <v>191</v>
      </c>
      <c r="E1134" s="14">
        <f>IF(SUMIFS('Daily NSE Equity Futures'!$I:$I,'Daily NSE Equity Futures'!$A:$A,$A1134)=0,"",SUMIFS('Daily NSE Equity Futures'!$I:$I,'Daily NSE Equity Futures'!$A:$A,$A1134))</f>
        <v>1717.5749000000001</v>
      </c>
      <c r="F1134" s="6">
        <f>IF(SUMIFS('Daily BSE Equity Futures'!$I:$I,'Daily BSE Equity Futures'!$A:$A,$A1134)=0,"",SUMIFS('Daily BSE Equity Futures'!$I:$I,'Daily BSE Equity Futures'!$A:$A,$A1134))</f>
        <v>0.39679999999999999</v>
      </c>
      <c r="G1134" s="6">
        <f t="shared" si="204"/>
        <v>1717.9717000000001</v>
      </c>
      <c r="H1134" s="15">
        <f t="shared" si="205"/>
        <v>0.99976902995549932</v>
      </c>
      <c r="I1134" s="15">
        <f t="shared" si="206"/>
        <v>2.3097004450073303E-4</v>
      </c>
      <c r="J1134" s="20">
        <f t="shared" si="207"/>
        <v>-0.3602370807700942</v>
      </c>
      <c r="K1134" s="15">
        <f t="shared" si="208"/>
        <v>0.21755139613378316</v>
      </c>
      <c r="L1134" s="15">
        <f t="shared" si="209"/>
        <v>-0.36016695076019967</v>
      </c>
      <c r="M1134" s="15">
        <f t="shared" si="213"/>
        <v>0.10875190900355092</v>
      </c>
      <c r="N1134" s="15">
        <f t="shared" si="214"/>
        <v>6.3806970509383332E-2</v>
      </c>
      <c r="O1134" s="15">
        <f t="shared" si="215"/>
        <v>0.1087410895890466</v>
      </c>
      <c r="P1134" s="18">
        <f>IF(SUMIFS('Daily NSE Equity Futures'!$J:$J,'Daily NSE Equity Futures'!$A:$A,$A1134)=0,"",SUMIFS('Daily NSE Equity Futures'!$J:$J,'Daily NSE Equity Futures'!$A:$A,$A1134))</f>
        <v>2247288</v>
      </c>
      <c r="Q1134" s="7">
        <f>IF(SUMIFS('Daily BSE Equity Futures'!$J:$J,'Daily BSE Equity Futures'!$A:$A,$A1134)=0,"",SUMIFS('Daily BSE Equity Futures'!$J:$J,'Daily BSE Equity Futures'!$A:$A,$A1134))</f>
        <v>491</v>
      </c>
      <c r="R1134" s="7">
        <f t="shared" si="210"/>
        <v>2247779</v>
      </c>
      <c r="S1134" s="19">
        <f t="shared" si="211"/>
        <v>0.99978156215535419</v>
      </c>
      <c r="T1134" s="19">
        <f t="shared" si="212"/>
        <v>2.1843784464575921E-4</v>
      </c>
    </row>
    <row r="1135" spans="1:20" x14ac:dyDescent="0.2">
      <c r="A1135" s="9">
        <v>45589</v>
      </c>
      <c r="B1135" s="4" t="s">
        <v>224</v>
      </c>
      <c r="C1135" s="8">
        <v>45566</v>
      </c>
      <c r="D1135" s="4" t="s">
        <v>191</v>
      </c>
      <c r="E1135" s="14">
        <f>IF(SUMIFS('Daily NSE Equity Futures'!$I:$I,'Daily NSE Equity Futures'!$A:$A,$A1135)=0,"",SUMIFS('Daily NSE Equity Futures'!$I:$I,'Daily NSE Equity Futures'!$A:$A,$A1135))</f>
        <v>1576.6862000000001</v>
      </c>
      <c r="F1135" s="6">
        <f>IF(SUMIFS('Daily BSE Equity Futures'!$I:$I,'Daily BSE Equity Futures'!$A:$A,$A1135)=0,"",SUMIFS('Daily BSE Equity Futures'!$I:$I,'Daily BSE Equity Futures'!$A:$A,$A1135))</f>
        <v>0.6744</v>
      </c>
      <c r="G1135" s="6">
        <f t="shared" si="204"/>
        <v>1577.3606000000002</v>
      </c>
      <c r="H1135" s="15">
        <f t="shared" si="205"/>
        <v>0.9995724503325365</v>
      </c>
      <c r="I1135" s="15">
        <f t="shared" si="206"/>
        <v>4.2754966746348292E-4</v>
      </c>
      <c r="J1135" s="20" t="str">
        <f t="shared" si="207"/>
        <v/>
      </c>
      <c r="K1135" s="15" t="str">
        <f t="shared" si="208"/>
        <v/>
      </c>
      <c r="L1135" s="15" t="str">
        <f t="shared" si="209"/>
        <v/>
      </c>
      <c r="M1135" s="15">
        <f t="shared" si="213"/>
        <v>-8.2027689156379702E-2</v>
      </c>
      <c r="N1135" s="15">
        <f t="shared" si="214"/>
        <v>0.69959677419354849</v>
      </c>
      <c r="O1135" s="15">
        <f t="shared" si="215"/>
        <v>-8.1847157319296815E-2</v>
      </c>
      <c r="P1135" s="18">
        <f>IF(SUMIFS('Daily NSE Equity Futures'!$J:$J,'Daily NSE Equity Futures'!$A:$A,$A1135)=0,"",SUMIFS('Daily NSE Equity Futures'!$J:$J,'Daily NSE Equity Futures'!$A:$A,$A1135))</f>
        <v>2077494</v>
      </c>
      <c r="Q1135" s="7">
        <f>IF(SUMIFS('Daily BSE Equity Futures'!$J:$J,'Daily BSE Equity Futures'!$A:$A,$A1135)=0,"",SUMIFS('Daily BSE Equity Futures'!$J:$J,'Daily BSE Equity Futures'!$A:$A,$A1135))</f>
        <v>843</v>
      </c>
      <c r="R1135" s="7">
        <f t="shared" si="210"/>
        <v>2078337</v>
      </c>
      <c r="S1135" s="19">
        <f t="shared" si="211"/>
        <v>0.99959438724326233</v>
      </c>
      <c r="T1135" s="19">
        <f t="shared" si="212"/>
        <v>4.0561275673771868E-4</v>
      </c>
    </row>
    <row r="1136" spans="1:20" x14ac:dyDescent="0.2">
      <c r="A1136" s="9">
        <v>45590</v>
      </c>
      <c r="B1136" s="4" t="s">
        <v>222</v>
      </c>
      <c r="C1136" s="8">
        <v>45566</v>
      </c>
      <c r="D1136" s="4" t="s">
        <v>191</v>
      </c>
      <c r="E1136" s="14">
        <f>IF(SUMIFS('Daily NSE Equity Futures'!$I:$I,'Daily NSE Equity Futures'!$A:$A,$A1136)=0,"",SUMIFS('Daily NSE Equity Futures'!$I:$I,'Daily NSE Equity Futures'!$A:$A,$A1136))</f>
        <v>2270.5898999999999</v>
      </c>
      <c r="F1136" s="6">
        <f>IF(SUMIFS('Daily BSE Equity Futures'!$I:$I,'Daily BSE Equity Futures'!$A:$A,$A1136)=0,"",SUMIFS('Daily BSE Equity Futures'!$I:$I,'Daily BSE Equity Futures'!$A:$A,$A1136))</f>
        <v>2.9977999999999998</v>
      </c>
      <c r="G1136" s="6">
        <f t="shared" si="204"/>
        <v>2273.5877</v>
      </c>
      <c r="H1136" s="15">
        <f t="shared" si="205"/>
        <v>0.99868146718070294</v>
      </c>
      <c r="I1136" s="15">
        <f t="shared" si="206"/>
        <v>1.3185328192970079E-3</v>
      </c>
      <c r="J1136" s="20">
        <f t="shared" si="207"/>
        <v>-0.13726437193015262</v>
      </c>
      <c r="K1136" s="15">
        <f t="shared" si="208"/>
        <v>2.6065928777670835</v>
      </c>
      <c r="L1136" s="15">
        <f t="shared" si="209"/>
        <v>-0.13639807068097376</v>
      </c>
      <c r="M1136" s="15">
        <f t="shared" si="213"/>
        <v>0.44010260253435329</v>
      </c>
      <c r="N1136" s="15">
        <f t="shared" si="214"/>
        <v>3.4451364175563457</v>
      </c>
      <c r="O1136" s="15">
        <f t="shared" si="215"/>
        <v>0.44138740374268237</v>
      </c>
      <c r="P1136" s="18">
        <f>IF(SUMIFS('Daily NSE Equity Futures'!$J:$J,'Daily NSE Equity Futures'!$A:$A,$A1136)=0,"",SUMIFS('Daily NSE Equity Futures'!$J:$J,'Daily NSE Equity Futures'!$A:$A,$A1136))</f>
        <v>3071966</v>
      </c>
      <c r="Q1136" s="7">
        <f>IF(SUMIFS('Daily BSE Equity Futures'!$J:$J,'Daily BSE Equity Futures'!$A:$A,$A1136)=0,"",SUMIFS('Daily BSE Equity Futures'!$J:$J,'Daily BSE Equity Futures'!$A:$A,$A1136))</f>
        <v>3771</v>
      </c>
      <c r="R1136" s="7">
        <f t="shared" si="210"/>
        <v>3075737</v>
      </c>
      <c r="S1136" s="19">
        <f t="shared" si="211"/>
        <v>0.99877395238929723</v>
      </c>
      <c r="T1136" s="19">
        <f t="shared" si="212"/>
        <v>1.2260476107027356E-3</v>
      </c>
    </row>
    <row r="1137" spans="1:20" x14ac:dyDescent="0.2">
      <c r="A1137" s="9">
        <v>45593</v>
      </c>
      <c r="B1137" s="4" t="s">
        <v>225</v>
      </c>
      <c r="C1137" s="8">
        <v>45566</v>
      </c>
      <c r="D1137" s="4" t="s">
        <v>191</v>
      </c>
      <c r="E1137" s="14">
        <f>IF(SUMIFS('Daily NSE Equity Futures'!$I:$I,'Daily NSE Equity Futures'!$A:$A,$A1137)=0,"",SUMIFS('Daily NSE Equity Futures'!$I:$I,'Daily NSE Equity Futures'!$A:$A,$A1137))</f>
        <v>3319.5003999999999</v>
      </c>
      <c r="F1137" s="6">
        <f>IF(SUMIFS('Daily BSE Equity Futures'!$I:$I,'Daily BSE Equity Futures'!$A:$A,$A1137)=0,"",SUMIFS('Daily BSE Equity Futures'!$I:$I,'Daily BSE Equity Futures'!$A:$A,$A1137))</f>
        <v>1.6021000000000001</v>
      </c>
      <c r="G1137" s="6">
        <f t="shared" si="204"/>
        <v>3321.1025</v>
      </c>
      <c r="H1137" s="15">
        <f t="shared" si="205"/>
        <v>0.99951759995362988</v>
      </c>
      <c r="I1137" s="15">
        <f t="shared" si="206"/>
        <v>4.8240004637014369E-4</v>
      </c>
      <c r="J1137" s="20" t="str">
        <f t="shared" si="207"/>
        <v/>
      </c>
      <c r="K1137" s="15" t="str">
        <f t="shared" si="208"/>
        <v/>
      </c>
      <c r="L1137" s="15" t="str">
        <f t="shared" si="209"/>
        <v/>
      </c>
      <c r="M1137" s="15">
        <f t="shared" si="213"/>
        <v>0.46195506286714294</v>
      </c>
      <c r="N1137" s="15">
        <f t="shared" si="214"/>
        <v>-0.46557475482020139</v>
      </c>
      <c r="O1137" s="15">
        <f t="shared" si="215"/>
        <v>0.46073208436164559</v>
      </c>
      <c r="P1137" s="18">
        <f>IF(SUMIFS('Daily NSE Equity Futures'!$J:$J,'Daily NSE Equity Futures'!$A:$A,$A1137)=0,"",SUMIFS('Daily NSE Equity Futures'!$J:$J,'Daily NSE Equity Futures'!$A:$A,$A1137))</f>
        <v>4463840</v>
      </c>
      <c r="Q1137" s="7">
        <f>IF(SUMIFS('Daily BSE Equity Futures'!$J:$J,'Daily BSE Equity Futures'!$A:$A,$A1137)=0,"",SUMIFS('Daily BSE Equity Futures'!$J:$J,'Daily BSE Equity Futures'!$A:$A,$A1137))</f>
        <v>1898</v>
      </c>
      <c r="R1137" s="7">
        <f t="shared" si="210"/>
        <v>4465738</v>
      </c>
      <c r="S1137" s="19">
        <f t="shared" si="211"/>
        <v>0.99957498626206909</v>
      </c>
      <c r="T1137" s="19">
        <f t="shared" si="212"/>
        <v>4.2501373793088623E-4</v>
      </c>
    </row>
    <row r="1138" spans="1:20" x14ac:dyDescent="0.2">
      <c r="A1138" s="9">
        <v>45594</v>
      </c>
      <c r="B1138" s="4" t="s">
        <v>223</v>
      </c>
      <c r="C1138" s="8">
        <v>45566</v>
      </c>
      <c r="D1138" s="4" t="s">
        <v>191</v>
      </c>
      <c r="E1138" s="14">
        <f>IF(SUMIFS('Daily NSE Equity Futures'!$I:$I,'Daily NSE Equity Futures'!$A:$A,$A1138)=0,"",SUMIFS('Daily NSE Equity Futures'!$I:$I,'Daily NSE Equity Futures'!$A:$A,$A1138))</f>
        <v>3926.8843000000002</v>
      </c>
      <c r="F1138" s="6">
        <f>IF(SUMIFS('Daily BSE Equity Futures'!$I:$I,'Daily BSE Equity Futures'!$A:$A,$A1138)=0,"",SUMIFS('Daily BSE Equity Futures'!$I:$I,'Daily BSE Equity Futures'!$A:$A,$A1138))</f>
        <v>0.79120000000000001</v>
      </c>
      <c r="G1138" s="6">
        <f t="shared" si="204"/>
        <v>3927.6755000000003</v>
      </c>
      <c r="H1138" s="15">
        <f t="shared" si="205"/>
        <v>0.9997985576965307</v>
      </c>
      <c r="I1138" s="15">
        <f t="shared" si="206"/>
        <v>2.0144230346931662E-4</v>
      </c>
      <c r="J1138" s="20" t="str">
        <f t="shared" si="207"/>
        <v/>
      </c>
      <c r="K1138" s="15" t="str">
        <f t="shared" si="208"/>
        <v/>
      </c>
      <c r="L1138" s="15" t="str">
        <f t="shared" si="209"/>
        <v/>
      </c>
      <c r="M1138" s="15">
        <f t="shared" si="213"/>
        <v>0.18297449218563133</v>
      </c>
      <c r="N1138" s="15">
        <f t="shared" si="214"/>
        <v>-0.50614818051307653</v>
      </c>
      <c r="O1138" s="15">
        <f t="shared" si="215"/>
        <v>0.18264205937636691</v>
      </c>
      <c r="P1138" s="18">
        <f>IF(SUMIFS('Daily NSE Equity Futures'!$J:$J,'Daily NSE Equity Futures'!$A:$A,$A1138)=0,"",SUMIFS('Daily NSE Equity Futures'!$J:$J,'Daily NSE Equity Futures'!$A:$A,$A1138))</f>
        <v>5313198</v>
      </c>
      <c r="Q1138" s="7">
        <f>IF(SUMIFS('Daily BSE Equity Futures'!$J:$J,'Daily BSE Equity Futures'!$A:$A,$A1138)=0,"",SUMIFS('Daily BSE Equity Futures'!$J:$J,'Daily BSE Equity Futures'!$A:$A,$A1138))</f>
        <v>977</v>
      </c>
      <c r="R1138" s="7">
        <f t="shared" si="210"/>
        <v>5314175</v>
      </c>
      <c r="S1138" s="19">
        <f t="shared" si="211"/>
        <v>0.99981615208381358</v>
      </c>
      <c r="T1138" s="19">
        <f t="shared" si="212"/>
        <v>1.8384791618642594E-4</v>
      </c>
    </row>
    <row r="1139" spans="1:20" x14ac:dyDescent="0.2">
      <c r="A1139" s="9">
        <v>45595</v>
      </c>
      <c r="B1139" s="4" t="s">
        <v>221</v>
      </c>
      <c r="C1139" s="8">
        <v>45566</v>
      </c>
      <c r="D1139" s="4" t="s">
        <v>191</v>
      </c>
      <c r="E1139" s="14">
        <f>IF(SUMIFS('Daily NSE Equity Futures'!$I:$I,'Daily NSE Equity Futures'!$A:$A,$A1139)=0,"",SUMIFS('Daily NSE Equity Futures'!$I:$I,'Daily NSE Equity Futures'!$A:$A,$A1139))</f>
        <v>3219.9481999999998</v>
      </c>
      <c r="F1139" s="6">
        <f>IF(SUMIFS('Daily BSE Equity Futures'!$I:$I,'Daily BSE Equity Futures'!$A:$A,$A1139)=0,"",SUMIFS('Daily BSE Equity Futures'!$I:$I,'Daily BSE Equity Futures'!$A:$A,$A1139))</f>
        <v>0.46960000000000002</v>
      </c>
      <c r="G1139" s="6">
        <f t="shared" si="204"/>
        <v>3220.4177999999997</v>
      </c>
      <c r="H1139" s="15">
        <f t="shared" si="205"/>
        <v>0.99985418041100138</v>
      </c>
      <c r="I1139" s="15">
        <f t="shared" si="206"/>
        <v>1.4581958899866968E-4</v>
      </c>
      <c r="J1139" s="20">
        <f t="shared" si="207"/>
        <v>2.6121856913189592</v>
      </c>
      <c r="K1139" s="15">
        <f t="shared" si="208"/>
        <v>0.35879629629629628</v>
      </c>
      <c r="L1139" s="15">
        <f t="shared" si="209"/>
        <v>2.6113123926068305</v>
      </c>
      <c r="M1139" s="15">
        <f t="shared" si="213"/>
        <v>-0.18002468267272365</v>
      </c>
      <c r="N1139" s="15">
        <f t="shared" si="214"/>
        <v>-0.40647118301314455</v>
      </c>
      <c r="O1139" s="15">
        <f t="shared" si="215"/>
        <v>-0.18007029857736478</v>
      </c>
      <c r="P1139" s="18">
        <f>IF(SUMIFS('Daily NSE Equity Futures'!$J:$J,'Daily NSE Equity Futures'!$A:$A,$A1139)=0,"",SUMIFS('Daily NSE Equity Futures'!$J:$J,'Daily NSE Equity Futures'!$A:$A,$A1139))</f>
        <v>4274887</v>
      </c>
      <c r="Q1139" s="7">
        <f>IF(SUMIFS('Daily BSE Equity Futures'!$J:$J,'Daily BSE Equity Futures'!$A:$A,$A1139)=0,"",SUMIFS('Daily BSE Equity Futures'!$J:$J,'Daily BSE Equity Futures'!$A:$A,$A1139))</f>
        <v>570</v>
      </c>
      <c r="R1139" s="7">
        <f t="shared" si="210"/>
        <v>4275457</v>
      </c>
      <c r="S1139" s="19">
        <f t="shared" si="211"/>
        <v>0.99986668091855446</v>
      </c>
      <c r="T1139" s="19">
        <f t="shared" si="212"/>
        <v>1.3331908144556244E-4</v>
      </c>
    </row>
    <row r="1140" spans="1:20" x14ac:dyDescent="0.2">
      <c r="A1140" s="9">
        <v>45596</v>
      </c>
      <c r="B1140" s="4" t="s">
        <v>224</v>
      </c>
      <c r="C1140" s="8">
        <v>45566</v>
      </c>
      <c r="D1140" s="4" t="s">
        <v>191</v>
      </c>
      <c r="E1140" s="14">
        <f>IF(SUMIFS('Daily NSE Equity Futures'!$I:$I,'Daily NSE Equity Futures'!$A:$A,$A1140)=0,"",SUMIFS('Daily NSE Equity Futures'!$I:$I,'Daily NSE Equity Futures'!$A:$A,$A1140))</f>
        <v>3118.3042999999998</v>
      </c>
      <c r="F1140" s="6">
        <f>IF(SUMIFS('Daily BSE Equity Futures'!$I:$I,'Daily BSE Equity Futures'!$A:$A,$A1140)=0,"",SUMIFS('Daily BSE Equity Futures'!$I:$I,'Daily BSE Equity Futures'!$A:$A,$A1140))</f>
        <v>1.4846999999999999</v>
      </c>
      <c r="G1140" s="6">
        <f t="shared" si="204"/>
        <v>3119.7889999999998</v>
      </c>
      <c r="H1140" s="15">
        <f t="shared" si="205"/>
        <v>0.9995241024312862</v>
      </c>
      <c r="I1140" s="15">
        <f t="shared" si="206"/>
        <v>4.7589756871378161E-4</v>
      </c>
      <c r="J1140" s="20">
        <f t="shared" si="207"/>
        <v>2.6977586038018924</v>
      </c>
      <c r="K1140" s="15">
        <f t="shared" si="208"/>
        <v>7.2437534702942799</v>
      </c>
      <c r="L1140" s="15">
        <f t="shared" si="209"/>
        <v>2.6987292701546064</v>
      </c>
      <c r="M1140" s="15">
        <f t="shared" si="213"/>
        <v>-3.1566936387361744E-2</v>
      </c>
      <c r="N1140" s="15">
        <f t="shared" si="214"/>
        <v>2.1616269165247015</v>
      </c>
      <c r="O1140" s="15">
        <f t="shared" si="215"/>
        <v>-3.1247125761135752E-2</v>
      </c>
      <c r="P1140" s="18">
        <f>IF(SUMIFS('Daily NSE Equity Futures'!$J:$J,'Daily NSE Equity Futures'!$A:$A,$A1140)=0,"",SUMIFS('Daily NSE Equity Futures'!$J:$J,'Daily NSE Equity Futures'!$A:$A,$A1140))</f>
        <v>4260525</v>
      </c>
      <c r="Q1140" s="7">
        <f>IF(SUMIFS('Daily BSE Equity Futures'!$J:$J,'Daily BSE Equity Futures'!$A:$A,$A1140)=0,"",SUMIFS('Daily BSE Equity Futures'!$J:$J,'Daily BSE Equity Futures'!$A:$A,$A1140))</f>
        <v>1858</v>
      </c>
      <c r="R1140" s="7">
        <f t="shared" si="210"/>
        <v>4262383</v>
      </c>
      <c r="S1140" s="19">
        <f t="shared" si="211"/>
        <v>0.99956409360679221</v>
      </c>
      <c r="T1140" s="19">
        <f t="shared" si="212"/>
        <v>4.3590639320774318E-4</v>
      </c>
    </row>
    <row r="1141" spans="1:20" x14ac:dyDescent="0.2">
      <c r="A1141" s="9">
        <v>45597</v>
      </c>
      <c r="B1141" s="4" t="s">
        <v>222</v>
      </c>
      <c r="C1141" s="8">
        <v>45597</v>
      </c>
      <c r="D1141" s="4" t="s">
        <v>191</v>
      </c>
      <c r="E1141" s="14">
        <f>IF(SUMIFS('Daily NSE Equity Futures'!$I:$I,'Daily NSE Equity Futures'!$A:$A,$A1141)=0,"",SUMIFS('Daily NSE Equity Futures'!$I:$I,'Daily NSE Equity Futures'!$A:$A,$A1141))</f>
        <v>170.23410000000001</v>
      </c>
      <c r="F1141" s="6">
        <f>IF(SUMIFS('Daily BSE Equity Futures'!$I:$I,'Daily BSE Equity Futures'!$A:$A,$A1141)=0,"",SUMIFS('Daily BSE Equity Futures'!$I:$I,'Daily BSE Equity Futures'!$A:$A,$A1141))</f>
        <v>0.2535</v>
      </c>
      <c r="G1141" s="6">
        <f t="shared" si="204"/>
        <v>170.48760000000001</v>
      </c>
      <c r="H1141" s="15">
        <f t="shared" si="205"/>
        <v>0.99851308834190877</v>
      </c>
      <c r="I1141" s="15">
        <f t="shared" si="206"/>
        <v>1.4869116580912627E-3</v>
      </c>
      <c r="J1141" s="20">
        <f t="shared" si="207"/>
        <v>-0.78513657502595646</v>
      </c>
      <c r="K1141" s="15">
        <f t="shared" si="208"/>
        <v>9.1560509554140523E-3</v>
      </c>
      <c r="L1141" s="15">
        <f t="shared" si="209"/>
        <v>-0.78488481983897362</v>
      </c>
      <c r="M1141" s="15">
        <f t="shared" si="213"/>
        <v>-0.94540811812368664</v>
      </c>
      <c r="N1141" s="15">
        <f t="shared" si="214"/>
        <v>-0.82925843604768645</v>
      </c>
      <c r="O1141" s="15">
        <f t="shared" si="215"/>
        <v>-0.94535284277237974</v>
      </c>
      <c r="P1141" s="18">
        <f>IF(SUMIFS('Daily NSE Equity Futures'!$J:$J,'Daily NSE Equity Futures'!$A:$A,$A1141)=0,"",SUMIFS('Daily NSE Equity Futures'!$J:$J,'Daily NSE Equity Futures'!$A:$A,$A1141))</f>
        <v>263675</v>
      </c>
      <c r="Q1141" s="7">
        <f>IF(SUMIFS('Daily BSE Equity Futures'!$J:$J,'Daily BSE Equity Futures'!$A:$A,$A1141)=0,"",SUMIFS('Daily BSE Equity Futures'!$J:$J,'Daily BSE Equity Futures'!$A:$A,$A1141))</f>
        <v>310</v>
      </c>
      <c r="R1141" s="7">
        <f t="shared" si="210"/>
        <v>263985</v>
      </c>
      <c r="S1141" s="19">
        <f t="shared" si="211"/>
        <v>0.99882569085364703</v>
      </c>
      <c r="T1141" s="19">
        <f t="shared" si="212"/>
        <v>1.1743091463530125E-3</v>
      </c>
    </row>
    <row r="1142" spans="1:20" x14ac:dyDescent="0.2">
      <c r="A1142" s="9">
        <v>45600</v>
      </c>
      <c r="B1142" s="4" t="s">
        <v>225</v>
      </c>
      <c r="C1142" s="8">
        <v>45597</v>
      </c>
      <c r="D1142" s="4" t="s">
        <v>191</v>
      </c>
      <c r="E1142" s="14">
        <f>IF(SUMIFS('Daily NSE Equity Futures'!$I:$I,'Daily NSE Equity Futures'!$A:$A,$A1142)=0,"",SUMIFS('Daily NSE Equity Futures'!$I:$I,'Daily NSE Equity Futures'!$A:$A,$A1142))</f>
        <v>1274.2103</v>
      </c>
      <c r="F1142" s="6">
        <f>IF(SUMIFS('Daily BSE Equity Futures'!$I:$I,'Daily BSE Equity Futures'!$A:$A,$A1142)=0,"",SUMIFS('Daily BSE Equity Futures'!$I:$I,'Daily BSE Equity Futures'!$A:$A,$A1142))</f>
        <v>1.5616000000000001</v>
      </c>
      <c r="G1142" s="6">
        <f t="shared" si="204"/>
        <v>1275.7719</v>
      </c>
      <c r="H1142" s="15">
        <f t="shared" si="205"/>
        <v>0.9987759567364668</v>
      </c>
      <c r="I1142" s="15">
        <f t="shared" si="206"/>
        <v>1.2240432635332384E-3</v>
      </c>
      <c r="J1142" s="20" t="str">
        <f t="shared" si="207"/>
        <v/>
      </c>
      <c r="K1142" s="15" t="str">
        <f t="shared" si="208"/>
        <v/>
      </c>
      <c r="L1142" s="15" t="str">
        <f t="shared" si="209"/>
        <v/>
      </c>
      <c r="M1142" s="15">
        <f t="shared" si="213"/>
        <v>6.4850473553770946</v>
      </c>
      <c r="N1142" s="15">
        <f t="shared" si="214"/>
        <v>5.1601577909270224</v>
      </c>
      <c r="O1142" s="15">
        <f t="shared" si="215"/>
        <v>6.4830773616380304</v>
      </c>
      <c r="P1142" s="18">
        <f>IF(SUMIFS('Daily NSE Equity Futures'!$J:$J,'Daily NSE Equity Futures'!$A:$A,$A1142)=0,"",SUMIFS('Daily NSE Equity Futures'!$J:$J,'Daily NSE Equity Futures'!$A:$A,$A1142))</f>
        <v>1955216</v>
      </c>
      <c r="Q1142" s="7">
        <f>IF(SUMIFS('Daily BSE Equity Futures'!$J:$J,'Daily BSE Equity Futures'!$A:$A,$A1142)=0,"",SUMIFS('Daily BSE Equity Futures'!$J:$J,'Daily BSE Equity Futures'!$A:$A,$A1142))</f>
        <v>1939</v>
      </c>
      <c r="R1142" s="7">
        <f t="shared" si="210"/>
        <v>1957155</v>
      </c>
      <c r="S1142" s="19">
        <f t="shared" si="211"/>
        <v>0.99900927621981905</v>
      </c>
      <c r="T1142" s="19">
        <f t="shared" si="212"/>
        <v>9.9072378018092593E-4</v>
      </c>
    </row>
    <row r="1143" spans="1:20" x14ac:dyDescent="0.2">
      <c r="A1143" s="9">
        <v>45601</v>
      </c>
      <c r="B1143" s="4" t="s">
        <v>223</v>
      </c>
      <c r="C1143" s="8">
        <v>45597</v>
      </c>
      <c r="D1143" s="4" t="s">
        <v>191</v>
      </c>
      <c r="E1143" s="14">
        <f>IF(SUMIFS('Daily NSE Equity Futures'!$I:$I,'Daily NSE Equity Futures'!$A:$A,$A1143)=0,"",SUMIFS('Daily NSE Equity Futures'!$I:$I,'Daily NSE Equity Futures'!$A:$A,$A1143))</f>
        <v>1389.0069000000001</v>
      </c>
      <c r="F1143" s="6">
        <f>IF(SUMIFS('Daily BSE Equity Futures'!$I:$I,'Daily BSE Equity Futures'!$A:$A,$A1143)=0,"",SUMIFS('Daily BSE Equity Futures'!$I:$I,'Daily BSE Equity Futures'!$A:$A,$A1143))</f>
        <v>0.755</v>
      </c>
      <c r="G1143" s="6">
        <f t="shared" si="204"/>
        <v>1389.7619000000002</v>
      </c>
      <c r="H1143" s="15">
        <f t="shared" si="205"/>
        <v>0.99945674147492447</v>
      </c>
      <c r="I1143" s="15">
        <f t="shared" si="206"/>
        <v>5.4325852507541037E-4</v>
      </c>
      <c r="J1143" s="20" t="str">
        <f t="shared" si="207"/>
        <v/>
      </c>
      <c r="K1143" s="15" t="str">
        <f t="shared" si="208"/>
        <v/>
      </c>
      <c r="L1143" s="15" t="str">
        <f t="shared" si="209"/>
        <v/>
      </c>
      <c r="M1143" s="15">
        <f t="shared" si="213"/>
        <v>9.0092349747918465E-2</v>
      </c>
      <c r="N1143" s="15">
        <f t="shared" si="214"/>
        <v>-0.51652151639344268</v>
      </c>
      <c r="O1143" s="15">
        <f t="shared" si="215"/>
        <v>8.9349828131502385E-2</v>
      </c>
      <c r="P1143" s="18">
        <f>IF(SUMIFS('Daily NSE Equity Futures'!$J:$J,'Daily NSE Equity Futures'!$A:$A,$A1143)=0,"",SUMIFS('Daily NSE Equity Futures'!$J:$J,'Daily NSE Equity Futures'!$A:$A,$A1143))</f>
        <v>2039573</v>
      </c>
      <c r="Q1143" s="7">
        <f>IF(SUMIFS('Daily BSE Equity Futures'!$J:$J,'Daily BSE Equity Futures'!$A:$A,$A1143)=0,"",SUMIFS('Daily BSE Equity Futures'!$J:$J,'Daily BSE Equity Futures'!$A:$A,$A1143))</f>
        <v>942</v>
      </c>
      <c r="R1143" s="7">
        <f t="shared" si="210"/>
        <v>2040515</v>
      </c>
      <c r="S1143" s="19">
        <f t="shared" si="211"/>
        <v>0.99953835183764883</v>
      </c>
      <c r="T1143" s="19">
        <f t="shared" si="212"/>
        <v>4.6164816235117113E-4</v>
      </c>
    </row>
    <row r="1144" spans="1:20" x14ac:dyDescent="0.2">
      <c r="A1144" s="9">
        <v>45602</v>
      </c>
      <c r="B1144" s="4" t="s">
        <v>221</v>
      </c>
      <c r="C1144" s="8">
        <v>45597</v>
      </c>
      <c r="D1144" s="4" t="s">
        <v>191</v>
      </c>
      <c r="E1144" s="14">
        <f>IF(SUMIFS('Daily NSE Equity Futures'!$I:$I,'Daily NSE Equity Futures'!$A:$A,$A1144)=0,"",SUMIFS('Daily NSE Equity Futures'!$I:$I,'Daily NSE Equity Futures'!$A:$A,$A1144))</f>
        <v>1446.1998000000001</v>
      </c>
      <c r="F1144" s="6">
        <f>IF(SUMIFS('Daily BSE Equity Futures'!$I:$I,'Daily BSE Equity Futures'!$A:$A,$A1144)=0,"",SUMIFS('Daily BSE Equity Futures'!$I:$I,'Daily BSE Equity Futures'!$A:$A,$A1144))</f>
        <v>1.1656</v>
      </c>
      <c r="G1144" s="6">
        <f t="shared" si="204"/>
        <v>1447.3654000000001</v>
      </c>
      <c r="H1144" s="15">
        <f t="shared" si="205"/>
        <v>0.99919467468270273</v>
      </c>
      <c r="I1144" s="15">
        <f t="shared" si="206"/>
        <v>8.0532531729720768E-4</v>
      </c>
      <c r="J1144" s="20">
        <f t="shared" si="207"/>
        <v>0.81448671235212444</v>
      </c>
      <c r="K1144" s="15">
        <f t="shared" si="208"/>
        <v>3.7790077900779009</v>
      </c>
      <c r="L1144" s="15">
        <f t="shared" si="209"/>
        <v>0.8153936114277458</v>
      </c>
      <c r="M1144" s="15">
        <f t="shared" si="213"/>
        <v>4.1175389409512597E-2</v>
      </c>
      <c r="N1144" s="15">
        <f t="shared" si="214"/>
        <v>0.54384105960264906</v>
      </c>
      <c r="O1144" s="15">
        <f t="shared" si="215"/>
        <v>4.1448466820107832E-2</v>
      </c>
      <c r="P1144" s="18">
        <f>IF(SUMIFS('Daily NSE Equity Futures'!$J:$J,'Daily NSE Equity Futures'!$A:$A,$A1144)=0,"",SUMIFS('Daily NSE Equity Futures'!$J:$J,'Daily NSE Equity Futures'!$A:$A,$A1144))</f>
        <v>2125989</v>
      </c>
      <c r="Q1144" s="7">
        <f>IF(SUMIFS('Daily BSE Equity Futures'!$J:$J,'Daily BSE Equity Futures'!$A:$A,$A1144)=0,"",SUMIFS('Daily BSE Equity Futures'!$J:$J,'Daily BSE Equity Futures'!$A:$A,$A1144))</f>
        <v>1455</v>
      </c>
      <c r="R1144" s="7">
        <f t="shared" si="210"/>
        <v>2127444</v>
      </c>
      <c r="S1144" s="19">
        <f t="shared" si="211"/>
        <v>0.99931608070529709</v>
      </c>
      <c r="T1144" s="19">
        <f t="shared" si="212"/>
        <v>6.8391929470293931E-4</v>
      </c>
    </row>
    <row r="1145" spans="1:20" x14ac:dyDescent="0.2">
      <c r="A1145" s="9">
        <v>45603</v>
      </c>
      <c r="B1145" s="4" t="s">
        <v>224</v>
      </c>
      <c r="C1145" s="8">
        <v>45597</v>
      </c>
      <c r="D1145" s="4" t="s">
        <v>191</v>
      </c>
      <c r="E1145" s="14">
        <f>IF(SUMIFS('Daily NSE Equity Futures'!$I:$I,'Daily NSE Equity Futures'!$A:$A,$A1145)=0,"",SUMIFS('Daily NSE Equity Futures'!$I:$I,'Daily NSE Equity Futures'!$A:$A,$A1145))</f>
        <v>1229.8387</v>
      </c>
      <c r="F1145" s="6">
        <f>IF(SUMIFS('Daily BSE Equity Futures'!$I:$I,'Daily BSE Equity Futures'!$A:$A,$A1145)=0,"",SUMIFS('Daily BSE Equity Futures'!$I:$I,'Daily BSE Equity Futures'!$A:$A,$A1145))</f>
        <v>1.4742</v>
      </c>
      <c r="G1145" s="6">
        <f t="shared" si="204"/>
        <v>1231.3129000000001</v>
      </c>
      <c r="H1145" s="15">
        <f t="shared" si="205"/>
        <v>0.99880274136655267</v>
      </c>
      <c r="I1145" s="15">
        <f t="shared" si="206"/>
        <v>1.1972586334472739E-3</v>
      </c>
      <c r="J1145" s="20">
        <f t="shared" si="207"/>
        <v>0.48824219175429895</v>
      </c>
      <c r="K1145" s="15">
        <f t="shared" si="208"/>
        <v>9.9362017804154306</v>
      </c>
      <c r="L1145" s="15">
        <f t="shared" si="209"/>
        <v>0.48978312043680816</v>
      </c>
      <c r="M1145" s="15">
        <f t="shared" si="213"/>
        <v>-0.14960664494629305</v>
      </c>
      <c r="N1145" s="15">
        <f t="shared" si="214"/>
        <v>0.26475634866163356</v>
      </c>
      <c r="O1145" s="15">
        <f t="shared" si="215"/>
        <v>-0.14927294793698953</v>
      </c>
      <c r="P1145" s="18">
        <f>IF(SUMIFS('Daily NSE Equity Futures'!$J:$J,'Daily NSE Equity Futures'!$A:$A,$A1145)=0,"",SUMIFS('Daily NSE Equity Futures'!$J:$J,'Daily NSE Equity Futures'!$A:$A,$A1145))</f>
        <v>1815653</v>
      </c>
      <c r="Q1145" s="7">
        <f>IF(SUMIFS('Daily BSE Equity Futures'!$J:$J,'Daily BSE Equity Futures'!$A:$A,$A1145)=0,"",SUMIFS('Daily BSE Equity Futures'!$J:$J,'Daily BSE Equity Futures'!$A:$A,$A1145))</f>
        <v>1851</v>
      </c>
      <c r="R1145" s="7">
        <f t="shared" si="210"/>
        <v>1817504</v>
      </c>
      <c r="S1145" s="19">
        <f t="shared" si="211"/>
        <v>0.99898157032941881</v>
      </c>
      <c r="T1145" s="19">
        <f t="shared" si="212"/>
        <v>1.0184296705811927E-3</v>
      </c>
    </row>
    <row r="1146" spans="1:20" x14ac:dyDescent="0.2">
      <c r="A1146" s="9">
        <v>45604</v>
      </c>
      <c r="B1146" s="4" t="s">
        <v>222</v>
      </c>
      <c r="C1146" s="8">
        <v>45597</v>
      </c>
      <c r="D1146" s="4" t="s">
        <v>191</v>
      </c>
      <c r="E1146" s="14">
        <f>IF(SUMIFS('Daily NSE Equity Futures'!$I:$I,'Daily NSE Equity Futures'!$A:$A,$A1146)=0,"",SUMIFS('Daily NSE Equity Futures'!$I:$I,'Daily NSE Equity Futures'!$A:$A,$A1146))</f>
        <v>1207.4163000000001</v>
      </c>
      <c r="F1146" s="6">
        <f>IF(SUMIFS('Daily BSE Equity Futures'!$I:$I,'Daily BSE Equity Futures'!$A:$A,$A1146)=0,"",SUMIFS('Daily BSE Equity Futures'!$I:$I,'Daily BSE Equity Futures'!$A:$A,$A1146))</f>
        <v>2.6040000000000001</v>
      </c>
      <c r="G1146" s="6">
        <f t="shared" si="204"/>
        <v>1210.0203000000001</v>
      </c>
      <c r="H1146" s="15">
        <f t="shared" si="205"/>
        <v>0.99784796998860259</v>
      </c>
      <c r="I1146" s="15">
        <f t="shared" si="206"/>
        <v>2.1520300113973293E-3</v>
      </c>
      <c r="J1146" s="20">
        <f t="shared" si="207"/>
        <v>0.59858956892682524</v>
      </c>
      <c r="K1146" s="15">
        <f t="shared" si="208"/>
        <v>31.509363295880149</v>
      </c>
      <c r="L1146" s="15">
        <f t="shared" si="209"/>
        <v>0.60186732233570583</v>
      </c>
      <c r="M1146" s="15">
        <f t="shared" si="213"/>
        <v>-1.8231984405759794E-2</v>
      </c>
      <c r="N1146" s="15">
        <f t="shared" si="214"/>
        <v>0.76638176638176647</v>
      </c>
      <c r="O1146" s="15">
        <f t="shared" si="215"/>
        <v>-1.7292598818708038E-2</v>
      </c>
      <c r="P1146" s="18">
        <f>IF(SUMIFS('Daily NSE Equity Futures'!$J:$J,'Daily NSE Equity Futures'!$A:$A,$A1146)=0,"",SUMIFS('Daily NSE Equity Futures'!$J:$J,'Daily NSE Equity Futures'!$A:$A,$A1146))</f>
        <v>1825378</v>
      </c>
      <c r="Q1146" s="7">
        <f>IF(SUMIFS('Daily BSE Equity Futures'!$J:$J,'Daily BSE Equity Futures'!$A:$A,$A1146)=0,"",SUMIFS('Daily BSE Equity Futures'!$J:$J,'Daily BSE Equity Futures'!$A:$A,$A1146))</f>
        <v>3241</v>
      </c>
      <c r="R1146" s="7">
        <f t="shared" si="210"/>
        <v>1828619</v>
      </c>
      <c r="S1146" s="19">
        <f t="shared" si="211"/>
        <v>0.99822762423446332</v>
      </c>
      <c r="T1146" s="19">
        <f t="shared" si="212"/>
        <v>1.7723757655367248E-3</v>
      </c>
    </row>
    <row r="1147" spans="1:20" x14ac:dyDescent="0.2">
      <c r="A1147" s="9">
        <v>45607</v>
      </c>
      <c r="B1147" s="4" t="s">
        <v>225</v>
      </c>
      <c r="C1147" s="8">
        <v>45597</v>
      </c>
      <c r="D1147" s="4" t="s">
        <v>191</v>
      </c>
      <c r="E1147" s="14">
        <f>IF(SUMIFS('Daily NSE Equity Futures'!$I:$I,'Daily NSE Equity Futures'!$A:$A,$A1147)=0,"",SUMIFS('Daily NSE Equity Futures'!$I:$I,'Daily NSE Equity Futures'!$A:$A,$A1147))</f>
        <v>1212.2036000000001</v>
      </c>
      <c r="F1147" s="6">
        <f>IF(SUMIFS('Daily BSE Equity Futures'!$I:$I,'Daily BSE Equity Futures'!$A:$A,$A1147)=0,"",SUMIFS('Daily BSE Equity Futures'!$I:$I,'Daily BSE Equity Futures'!$A:$A,$A1147))</f>
        <v>5.2487000000000004</v>
      </c>
      <c r="G1147" s="6">
        <f t="shared" si="204"/>
        <v>1217.4523000000002</v>
      </c>
      <c r="H1147" s="15">
        <f t="shared" si="205"/>
        <v>0.99568878386446835</v>
      </c>
      <c r="I1147" s="15">
        <f t="shared" si="206"/>
        <v>4.3112161355315518E-3</v>
      </c>
      <c r="J1147" s="20" t="str">
        <f t="shared" si="207"/>
        <v/>
      </c>
      <c r="K1147" s="15" t="str">
        <f t="shared" si="208"/>
        <v/>
      </c>
      <c r="L1147" s="15" t="str">
        <f t="shared" si="209"/>
        <v/>
      </c>
      <c r="M1147" s="15">
        <f t="shared" si="213"/>
        <v>3.964912516088992E-3</v>
      </c>
      <c r="N1147" s="15">
        <f t="shared" si="214"/>
        <v>1.0156298003072197</v>
      </c>
      <c r="O1147" s="15">
        <f t="shared" si="215"/>
        <v>6.142045716092559E-3</v>
      </c>
      <c r="P1147" s="18">
        <f>IF(SUMIFS('Daily NSE Equity Futures'!$J:$J,'Daily NSE Equity Futures'!$A:$A,$A1147)=0,"",SUMIFS('Daily NSE Equity Futures'!$J:$J,'Daily NSE Equity Futures'!$A:$A,$A1147))</f>
        <v>1864086</v>
      </c>
      <c r="Q1147" s="7">
        <f>IF(SUMIFS('Daily BSE Equity Futures'!$J:$J,'Daily BSE Equity Futures'!$A:$A,$A1147)=0,"",SUMIFS('Daily BSE Equity Futures'!$J:$J,'Daily BSE Equity Futures'!$A:$A,$A1147))</f>
        <v>6024</v>
      </c>
      <c r="R1147" s="7">
        <f t="shared" si="210"/>
        <v>1870110</v>
      </c>
      <c r="S1147" s="19">
        <f t="shared" si="211"/>
        <v>0.99677879910807388</v>
      </c>
      <c r="T1147" s="19">
        <f t="shared" si="212"/>
        <v>3.2212008919261432E-3</v>
      </c>
    </row>
    <row r="1148" spans="1:20" x14ac:dyDescent="0.2">
      <c r="A1148" s="9">
        <v>45608</v>
      </c>
      <c r="B1148" s="4" t="s">
        <v>223</v>
      </c>
      <c r="C1148" s="8">
        <v>45597</v>
      </c>
      <c r="D1148" s="4" t="s">
        <v>191</v>
      </c>
      <c r="E1148" s="14">
        <f>IF(SUMIFS('Daily NSE Equity Futures'!$I:$I,'Daily NSE Equity Futures'!$A:$A,$A1148)=0,"",SUMIFS('Daily NSE Equity Futures'!$I:$I,'Daily NSE Equity Futures'!$A:$A,$A1148))</f>
        <v>1255.6465000000001</v>
      </c>
      <c r="F1148" s="6">
        <f>IF(SUMIFS('Daily BSE Equity Futures'!$I:$I,'Daily BSE Equity Futures'!$A:$A,$A1148)=0,"",SUMIFS('Daily BSE Equity Futures'!$I:$I,'Daily BSE Equity Futures'!$A:$A,$A1148))</f>
        <v>0.7137</v>
      </c>
      <c r="G1148" s="6">
        <f t="shared" si="204"/>
        <v>1256.3602000000001</v>
      </c>
      <c r="H1148" s="15">
        <f t="shared" si="205"/>
        <v>0.99943193042886902</v>
      </c>
      <c r="I1148" s="15">
        <f t="shared" si="206"/>
        <v>5.6806957113095431E-4</v>
      </c>
      <c r="J1148" s="20">
        <f t="shared" si="207"/>
        <v>7.7368770787236123</v>
      </c>
      <c r="K1148" s="15">
        <f t="shared" si="208"/>
        <v>6.64951768488746</v>
      </c>
      <c r="L1148" s="15">
        <f t="shared" si="209"/>
        <v>7.736171636025821</v>
      </c>
      <c r="M1148" s="15">
        <f t="shared" si="213"/>
        <v>3.5837956594090281E-2</v>
      </c>
      <c r="N1148" s="15">
        <f t="shared" si="214"/>
        <v>-0.86402347247889955</v>
      </c>
      <c r="O1148" s="15">
        <f t="shared" si="215"/>
        <v>3.195845948132825E-2</v>
      </c>
      <c r="P1148" s="18">
        <f>IF(SUMIFS('Daily NSE Equity Futures'!$J:$J,'Daily NSE Equity Futures'!$A:$A,$A1148)=0,"",SUMIFS('Daily NSE Equity Futures'!$J:$J,'Daily NSE Equity Futures'!$A:$A,$A1148))</f>
        <v>1859822</v>
      </c>
      <c r="Q1148" s="7">
        <f>IF(SUMIFS('Daily BSE Equity Futures'!$J:$J,'Daily BSE Equity Futures'!$A:$A,$A1148)=0,"",SUMIFS('Daily BSE Equity Futures'!$J:$J,'Daily BSE Equity Futures'!$A:$A,$A1148))</f>
        <v>898</v>
      </c>
      <c r="R1148" s="7">
        <f t="shared" si="210"/>
        <v>1860720</v>
      </c>
      <c r="S1148" s="19">
        <f t="shared" si="211"/>
        <v>0.99951739111741689</v>
      </c>
      <c r="T1148" s="19">
        <f t="shared" si="212"/>
        <v>4.8260888258308613E-4</v>
      </c>
    </row>
    <row r="1149" spans="1:20" x14ac:dyDescent="0.2">
      <c r="A1149" s="9">
        <v>45609</v>
      </c>
      <c r="B1149" s="4" t="s">
        <v>221</v>
      </c>
      <c r="C1149" s="8">
        <v>45597</v>
      </c>
      <c r="D1149" s="4" t="s">
        <v>191</v>
      </c>
      <c r="E1149" s="14">
        <f>IF(SUMIFS('Daily NSE Equity Futures'!$I:$I,'Daily NSE Equity Futures'!$A:$A,$A1149)=0,"",SUMIFS('Daily NSE Equity Futures'!$I:$I,'Daily NSE Equity Futures'!$A:$A,$A1149))</f>
        <v>1325.5005000000001</v>
      </c>
      <c r="F1149" s="6">
        <f>IF(SUMIFS('Daily BSE Equity Futures'!$I:$I,'Daily BSE Equity Futures'!$A:$A,$A1149)=0,"",SUMIFS('Daily BSE Equity Futures'!$I:$I,'Daily BSE Equity Futures'!$A:$A,$A1149))</f>
        <v>0.87590000000000001</v>
      </c>
      <c r="G1149" s="6">
        <f t="shared" si="204"/>
        <v>1326.3764000000001</v>
      </c>
      <c r="H1149" s="15">
        <f t="shared" si="205"/>
        <v>0.99933962938423815</v>
      </c>
      <c r="I1149" s="15">
        <f t="shared" si="206"/>
        <v>6.6037061576186063E-4</v>
      </c>
      <c r="J1149" s="20">
        <f t="shared" si="207"/>
        <v>0.88698145576969845</v>
      </c>
      <c r="K1149" s="15">
        <f t="shared" si="208"/>
        <v>5.8914240755310781</v>
      </c>
      <c r="L1149" s="15">
        <f t="shared" si="209"/>
        <v>0.8878867930973624</v>
      </c>
      <c r="M1149" s="15">
        <f t="shared" si="213"/>
        <v>5.5631899583202804E-2</v>
      </c>
      <c r="N1149" s="15">
        <f t="shared" si="214"/>
        <v>0.22726635841389942</v>
      </c>
      <c r="O1149" s="15">
        <f t="shared" si="215"/>
        <v>5.5729399896621956E-2</v>
      </c>
      <c r="P1149" s="18">
        <f>IF(SUMIFS('Daily NSE Equity Futures'!$J:$J,'Daily NSE Equity Futures'!$A:$A,$A1149)=0,"",SUMIFS('Daily NSE Equity Futures'!$J:$J,'Daily NSE Equity Futures'!$A:$A,$A1149))</f>
        <v>2020521</v>
      </c>
      <c r="Q1149" s="7">
        <f>IF(SUMIFS('Daily BSE Equity Futures'!$J:$J,'Daily BSE Equity Futures'!$A:$A,$A1149)=0,"",SUMIFS('Daily BSE Equity Futures'!$J:$J,'Daily BSE Equity Futures'!$A:$A,$A1149))</f>
        <v>1122</v>
      </c>
      <c r="R1149" s="7">
        <f t="shared" si="210"/>
        <v>2021643</v>
      </c>
      <c r="S1149" s="19">
        <f t="shared" si="211"/>
        <v>0.99944500586898877</v>
      </c>
      <c r="T1149" s="19">
        <f t="shared" si="212"/>
        <v>5.5499413101126158E-4</v>
      </c>
    </row>
    <row r="1150" spans="1:20" x14ac:dyDescent="0.2">
      <c r="A1150" s="9">
        <v>45610</v>
      </c>
      <c r="B1150" s="4" t="s">
        <v>224</v>
      </c>
      <c r="C1150" s="8">
        <v>45597</v>
      </c>
      <c r="D1150" s="4" t="s">
        <v>191</v>
      </c>
      <c r="E1150" s="14">
        <f>IF(SUMIFS('Daily NSE Equity Futures'!$I:$I,'Daily NSE Equity Futures'!$A:$A,$A1150)=0,"",SUMIFS('Daily NSE Equity Futures'!$I:$I,'Daily NSE Equity Futures'!$A:$A,$A1150))</f>
        <v>1102.7128</v>
      </c>
      <c r="F1150" s="6">
        <f>IF(SUMIFS('Daily BSE Equity Futures'!$I:$I,'Daily BSE Equity Futures'!$A:$A,$A1150)=0,"",SUMIFS('Daily BSE Equity Futures'!$I:$I,'Daily BSE Equity Futures'!$A:$A,$A1150))</f>
        <v>2.1008</v>
      </c>
      <c r="G1150" s="6">
        <f t="shared" si="204"/>
        <v>1104.8136</v>
      </c>
      <c r="H1150" s="15">
        <f t="shared" si="205"/>
        <v>0.99809850277006007</v>
      </c>
      <c r="I1150" s="15">
        <f t="shared" si="206"/>
        <v>1.9014972299399647E-3</v>
      </c>
      <c r="J1150" s="20" t="str">
        <f t="shared" si="207"/>
        <v/>
      </c>
      <c r="K1150" s="15" t="str">
        <f t="shared" si="208"/>
        <v/>
      </c>
      <c r="L1150" s="15" t="str">
        <f t="shared" si="209"/>
        <v/>
      </c>
      <c r="M1150" s="15">
        <f t="shared" si="213"/>
        <v>-0.16807817122664237</v>
      </c>
      <c r="N1150" s="15">
        <f t="shared" si="214"/>
        <v>1.3984473113369105</v>
      </c>
      <c r="O1150" s="15">
        <f t="shared" si="215"/>
        <v>-0.16704368382911527</v>
      </c>
      <c r="P1150" s="18">
        <f>IF(SUMIFS('Daily NSE Equity Futures'!$J:$J,'Daily NSE Equity Futures'!$A:$A,$A1150)=0,"",SUMIFS('Daily NSE Equity Futures'!$J:$J,'Daily NSE Equity Futures'!$A:$A,$A1150))</f>
        <v>1700929</v>
      </c>
      <c r="Q1150" s="7">
        <f>IF(SUMIFS('Daily BSE Equity Futures'!$J:$J,'Daily BSE Equity Futures'!$A:$A,$A1150)=0,"",SUMIFS('Daily BSE Equity Futures'!$J:$J,'Daily BSE Equity Futures'!$A:$A,$A1150))</f>
        <v>2720</v>
      </c>
      <c r="R1150" s="7">
        <f t="shared" si="210"/>
        <v>1703649</v>
      </c>
      <c r="S1150" s="19">
        <f t="shared" si="211"/>
        <v>0.99840342699699292</v>
      </c>
      <c r="T1150" s="19">
        <f t="shared" si="212"/>
        <v>1.5965730030070748E-3</v>
      </c>
    </row>
    <row r="1151" spans="1:20" x14ac:dyDescent="0.2">
      <c r="A1151" s="9">
        <v>45614</v>
      </c>
      <c r="B1151" s="4" t="s">
        <v>225</v>
      </c>
      <c r="C1151" s="8">
        <v>45597</v>
      </c>
      <c r="D1151" s="4" t="s">
        <v>191</v>
      </c>
      <c r="E1151" s="14">
        <f>IF(SUMIFS('Daily NSE Equity Futures'!$I:$I,'Daily NSE Equity Futures'!$A:$A,$A1151)=0,"",SUMIFS('Daily NSE Equity Futures'!$I:$I,'Daily NSE Equity Futures'!$A:$A,$A1151))</f>
        <v>1091.0764999999999</v>
      </c>
      <c r="F1151" s="6">
        <f>IF(SUMIFS('Daily BSE Equity Futures'!$I:$I,'Daily BSE Equity Futures'!$A:$A,$A1151)=0,"",SUMIFS('Daily BSE Equity Futures'!$I:$I,'Daily BSE Equity Futures'!$A:$A,$A1151))</f>
        <v>0.98980000000000001</v>
      </c>
      <c r="G1151" s="6">
        <f t="shared" si="204"/>
        <v>1092.0663</v>
      </c>
      <c r="H1151" s="15">
        <f t="shared" si="205"/>
        <v>0.99909364477229989</v>
      </c>
      <c r="I1151" s="15">
        <f t="shared" si="206"/>
        <v>9.0635522770000324E-4</v>
      </c>
      <c r="J1151" s="20" t="str">
        <f t="shared" si="207"/>
        <v/>
      </c>
      <c r="K1151" s="15" t="str">
        <f t="shared" si="208"/>
        <v/>
      </c>
      <c r="L1151" s="15" t="str">
        <f t="shared" si="209"/>
        <v/>
      </c>
      <c r="M1151" s="15">
        <f t="shared" si="213"/>
        <v>-1.0552430333628182E-2</v>
      </c>
      <c r="N1151" s="15">
        <f t="shared" si="214"/>
        <v>-0.52884615384615385</v>
      </c>
      <c r="O1151" s="15">
        <f t="shared" si="215"/>
        <v>-1.1537964413182444E-2</v>
      </c>
      <c r="P1151" s="18">
        <f>IF(SUMIFS('Daily NSE Equity Futures'!$J:$J,'Daily NSE Equity Futures'!$A:$A,$A1151)=0,"",SUMIFS('Daily NSE Equity Futures'!$J:$J,'Daily NSE Equity Futures'!$A:$A,$A1151))</f>
        <v>1702663</v>
      </c>
      <c r="Q1151" s="7">
        <f>IF(SUMIFS('Daily BSE Equity Futures'!$J:$J,'Daily BSE Equity Futures'!$A:$A,$A1151)=0,"",SUMIFS('Daily BSE Equity Futures'!$J:$J,'Daily BSE Equity Futures'!$A:$A,$A1151))</f>
        <v>1229</v>
      </c>
      <c r="R1151" s="7">
        <f t="shared" si="210"/>
        <v>1703892</v>
      </c>
      <c r="S1151" s="19">
        <f t="shared" si="211"/>
        <v>0.99927871015299097</v>
      </c>
      <c r="T1151" s="19">
        <f t="shared" si="212"/>
        <v>7.2128984700908273E-4</v>
      </c>
    </row>
    <row r="1152" spans="1:20" x14ac:dyDescent="0.2">
      <c r="A1152" s="9">
        <v>45615</v>
      </c>
      <c r="B1152" s="4" t="s">
        <v>223</v>
      </c>
      <c r="C1152" s="8">
        <v>45597</v>
      </c>
      <c r="D1152" s="4" t="s">
        <v>191</v>
      </c>
      <c r="E1152" s="14">
        <f>IF(SUMIFS('Daily NSE Equity Futures'!$I:$I,'Daily NSE Equity Futures'!$A:$A,$A1152)=0,"",SUMIFS('Daily NSE Equity Futures'!$I:$I,'Daily NSE Equity Futures'!$A:$A,$A1152))</f>
        <v>1362.5054</v>
      </c>
      <c r="F1152" s="6">
        <f>IF(SUMIFS('Daily BSE Equity Futures'!$I:$I,'Daily BSE Equity Futures'!$A:$A,$A1152)=0,"",SUMIFS('Daily BSE Equity Futures'!$I:$I,'Daily BSE Equity Futures'!$A:$A,$A1152))</f>
        <v>0.82540000000000002</v>
      </c>
      <c r="G1152" s="6">
        <f t="shared" si="204"/>
        <v>1363.3308</v>
      </c>
      <c r="H1152" s="15">
        <f t="shared" si="205"/>
        <v>0.99939457100213691</v>
      </c>
      <c r="I1152" s="15">
        <f t="shared" si="206"/>
        <v>6.0542899786317455E-4</v>
      </c>
      <c r="J1152" s="20" t="str">
        <f t="shared" si="207"/>
        <v/>
      </c>
      <c r="K1152" s="15" t="str">
        <f t="shared" si="208"/>
        <v/>
      </c>
      <c r="L1152" s="15" t="str">
        <f t="shared" si="209"/>
        <v/>
      </c>
      <c r="M1152" s="15">
        <f t="shared" si="213"/>
        <v>0.24877164891737658</v>
      </c>
      <c r="N1152" s="15">
        <f t="shared" si="214"/>
        <v>-0.16609416043645175</v>
      </c>
      <c r="O1152" s="15">
        <f t="shared" si="215"/>
        <v>0.24839563312227475</v>
      </c>
      <c r="P1152" s="18">
        <f>IF(SUMIFS('Daily NSE Equity Futures'!$J:$J,'Daily NSE Equity Futures'!$A:$A,$A1152)=0,"",SUMIFS('Daily NSE Equity Futures'!$J:$J,'Daily NSE Equity Futures'!$A:$A,$A1152))</f>
        <v>2088832</v>
      </c>
      <c r="Q1152" s="7">
        <f>IF(SUMIFS('Daily BSE Equity Futures'!$J:$J,'Daily BSE Equity Futures'!$A:$A,$A1152)=0,"",SUMIFS('Daily BSE Equity Futures'!$J:$J,'Daily BSE Equity Futures'!$A:$A,$A1152))</f>
        <v>1052</v>
      </c>
      <c r="R1152" s="7">
        <f t="shared" si="210"/>
        <v>2089884</v>
      </c>
      <c r="S1152" s="19">
        <f t="shared" si="211"/>
        <v>0.99949662277906337</v>
      </c>
      <c r="T1152" s="19">
        <f t="shared" si="212"/>
        <v>5.0337722093666442E-4</v>
      </c>
    </row>
    <row r="1153" spans="1:20" x14ac:dyDescent="0.2">
      <c r="A1153" s="9">
        <v>45617</v>
      </c>
      <c r="B1153" s="4" t="s">
        <v>224</v>
      </c>
      <c r="C1153" s="8">
        <v>45597</v>
      </c>
      <c r="D1153" s="4" t="s">
        <v>191</v>
      </c>
      <c r="E1153" s="14">
        <f>IF(SUMIFS('Daily NSE Equity Futures'!$I:$I,'Daily NSE Equity Futures'!$A:$A,$A1153)=0,"",SUMIFS('Daily NSE Equity Futures'!$I:$I,'Daily NSE Equity Futures'!$A:$A,$A1153))</f>
        <v>1537.02</v>
      </c>
      <c r="F1153" s="6">
        <f>IF(SUMIFS('Daily BSE Equity Futures'!$I:$I,'Daily BSE Equity Futures'!$A:$A,$A1153)=0,"",SUMIFS('Daily BSE Equity Futures'!$I:$I,'Daily BSE Equity Futures'!$A:$A,$A1153))</f>
        <v>1.1659999999999999</v>
      </c>
      <c r="G1153" s="6">
        <f t="shared" si="204"/>
        <v>1538.1859999999999</v>
      </c>
      <c r="H1153" s="15">
        <f t="shared" si="205"/>
        <v>0.9992419642357947</v>
      </c>
      <c r="I1153" s="15">
        <f t="shared" si="206"/>
        <v>7.5803576420536913E-4</v>
      </c>
      <c r="J1153" s="20">
        <f t="shared" si="207"/>
        <v>0.93149550848313845</v>
      </c>
      <c r="K1153" s="15">
        <f t="shared" si="208"/>
        <v>12.964071856287424</v>
      </c>
      <c r="L1153" s="15">
        <f t="shared" si="209"/>
        <v>0.93275795711831733</v>
      </c>
      <c r="M1153" s="15">
        <f t="shared" si="213"/>
        <v>0.12808360245764905</v>
      </c>
      <c r="N1153" s="15">
        <f t="shared" si="214"/>
        <v>0.41264841289071952</v>
      </c>
      <c r="O1153" s="15">
        <f t="shared" si="215"/>
        <v>0.12825588624565665</v>
      </c>
      <c r="P1153" s="18">
        <f>IF(SUMIFS('Daily NSE Equity Futures'!$J:$J,'Daily NSE Equity Futures'!$A:$A,$A1153)=0,"",SUMIFS('Daily NSE Equity Futures'!$J:$J,'Daily NSE Equity Futures'!$A:$A,$A1153))</f>
        <v>2450717</v>
      </c>
      <c r="Q1153" s="7">
        <f>IF(SUMIFS('Daily BSE Equity Futures'!$J:$J,'Daily BSE Equity Futures'!$A:$A,$A1153)=0,"",SUMIFS('Daily BSE Equity Futures'!$J:$J,'Daily BSE Equity Futures'!$A:$A,$A1153))</f>
        <v>1504</v>
      </c>
      <c r="R1153" s="7">
        <f t="shared" si="210"/>
        <v>2452221</v>
      </c>
      <c r="S1153" s="19">
        <f t="shared" si="211"/>
        <v>0.99938667844374551</v>
      </c>
      <c r="T1153" s="19">
        <f t="shared" si="212"/>
        <v>6.1332155625451381E-4</v>
      </c>
    </row>
    <row r="1154" spans="1:20" x14ac:dyDescent="0.2">
      <c r="A1154" s="9">
        <v>45618</v>
      </c>
      <c r="B1154" s="4" t="s">
        <v>222</v>
      </c>
      <c r="C1154" s="8">
        <v>45597</v>
      </c>
      <c r="D1154" s="4" t="s">
        <v>191</v>
      </c>
      <c r="E1154" s="14">
        <f>IF(SUMIFS('Daily NSE Equity Futures'!$I:$I,'Daily NSE Equity Futures'!$A:$A,$A1154)=0,"",SUMIFS('Daily NSE Equity Futures'!$I:$I,'Daily NSE Equity Futures'!$A:$A,$A1154))</f>
        <v>1949.3815999999999</v>
      </c>
      <c r="F1154" s="6">
        <f>IF(SUMIFS('Daily BSE Equity Futures'!$I:$I,'Daily BSE Equity Futures'!$A:$A,$A1154)=0,"",SUMIFS('Daily BSE Equity Futures'!$I:$I,'Daily BSE Equity Futures'!$A:$A,$A1154))</f>
        <v>5.3113000000000001</v>
      </c>
      <c r="G1154" s="6">
        <f t="shared" ref="G1154:G1217" si="216">IF(OR(E1154="",F1154=""),"",E1154+F1154)</f>
        <v>1954.6929</v>
      </c>
      <c r="H1154" s="15">
        <f t="shared" ref="H1154:H1217" si="217">IF(G1154="","",E1154/G1154)</f>
        <v>0.99728279567598566</v>
      </c>
      <c r="I1154" s="15">
        <f t="shared" ref="I1154:I1217" si="218">IF(G1154="","",F1154/G1154)</f>
        <v>2.7172043240142737E-3</v>
      </c>
      <c r="J1154" s="20">
        <f t="shared" ref="J1154:J1217" si="219">IFERROR(IF(OR(E1154="",INDEX(E:E,MATCH(DATE(YEAR($A1154)-1,MONTH($A1154),DAY($A1154)),$A:$A,0))=""),"",E1154/INDEX(E:E,MATCH(DATE(YEAR($A1154)-1,MONTH($A1154),DAY($A1154)),$A:$A,0))-1),"")</f>
        <v>0.8789216618946194</v>
      </c>
      <c r="K1154" s="15">
        <f t="shared" ref="K1154:K1217" si="220">IFERROR(IF(OR(F1154="",INDEX(F:F,MATCH(DATE(YEAR($A1154)-1,MONTH($A1154),DAY($A1154)),$A:$A,0))=""),"",F1154/INDEX(F:F,MATCH(DATE(YEAR($A1154)-1,MONTH($A1154),DAY($A1154)),$A:$A,0))-1),"")</f>
        <v>18.426847110460866</v>
      </c>
      <c r="L1154" s="15">
        <f t="shared" ref="L1154:L1217" si="221">IFERROR(IF(OR(G1154="",INDEX(G:G,MATCH(DATE(YEAR($A1154)-1,MONTH($A1154),DAY($A1154)),$A:$A,0))=""),"",G1154/INDEX(G:G,MATCH(DATE(YEAR($A1154)-1,MONTH($A1154),DAY($A1154)),$A:$A,0))-1),"")</f>
        <v>0.88354463825250518</v>
      </c>
      <c r="M1154" s="15">
        <f t="shared" si="213"/>
        <v>0.26828642437964367</v>
      </c>
      <c r="N1154" s="15">
        <f t="shared" si="214"/>
        <v>3.5551457975986285</v>
      </c>
      <c r="O1154" s="15">
        <f t="shared" si="215"/>
        <v>0.27077798133645747</v>
      </c>
      <c r="P1154" s="18">
        <f>IF(SUMIFS('Daily NSE Equity Futures'!$J:$J,'Daily NSE Equity Futures'!$A:$A,$A1154)=0,"",SUMIFS('Daily NSE Equity Futures'!$J:$J,'Daily NSE Equity Futures'!$A:$A,$A1154))</f>
        <v>3056179</v>
      </c>
      <c r="Q1154" s="7">
        <f>IF(SUMIFS('Daily BSE Equity Futures'!$J:$J,'Daily BSE Equity Futures'!$A:$A,$A1154)=0,"",SUMIFS('Daily BSE Equity Futures'!$J:$J,'Daily BSE Equity Futures'!$A:$A,$A1154))</f>
        <v>6762</v>
      </c>
      <c r="R1154" s="7">
        <f t="shared" ref="R1154:R1217" si="222">IF(OR(P1154="",Q1154=""),"",P1154+Q1154)</f>
        <v>3062941</v>
      </c>
      <c r="S1154" s="19">
        <f t="shared" ref="S1154:S1217" si="223">IF(R1154="","",P1154/R1154)</f>
        <v>0.99779231790622147</v>
      </c>
      <c r="T1154" s="19">
        <f t="shared" ref="T1154:T1217" si="224">IF(R1154="","",Q1154/R1154)</f>
        <v>2.2076820937784957E-3</v>
      </c>
    </row>
    <row r="1155" spans="1:20" x14ac:dyDescent="0.2">
      <c r="A1155" s="9">
        <v>45621</v>
      </c>
      <c r="B1155" s="4" t="s">
        <v>225</v>
      </c>
      <c r="C1155" s="8">
        <v>45597</v>
      </c>
      <c r="D1155" s="4" t="s">
        <v>191</v>
      </c>
      <c r="E1155" s="14">
        <f>IF(SUMIFS('Daily NSE Equity Futures'!$I:$I,'Daily NSE Equity Futures'!$A:$A,$A1155)=0,"",SUMIFS('Daily NSE Equity Futures'!$I:$I,'Daily NSE Equity Futures'!$A:$A,$A1155))</f>
        <v>3770.6084999999998</v>
      </c>
      <c r="F1155" s="6">
        <f>IF(SUMIFS('Daily BSE Equity Futures'!$I:$I,'Daily BSE Equity Futures'!$A:$A,$A1155)=0,"",SUMIFS('Daily BSE Equity Futures'!$I:$I,'Daily BSE Equity Futures'!$A:$A,$A1155))</f>
        <v>1.4047000000000001</v>
      </c>
      <c r="G1155" s="6">
        <f t="shared" si="216"/>
        <v>3772.0131999999999</v>
      </c>
      <c r="H1155" s="15">
        <f t="shared" si="217"/>
        <v>0.99962759939440293</v>
      </c>
      <c r="I1155" s="15">
        <f t="shared" si="218"/>
        <v>3.7240060559703243E-4</v>
      </c>
      <c r="J1155" s="20" t="str">
        <f t="shared" si="219"/>
        <v/>
      </c>
      <c r="K1155" s="15" t="str">
        <f t="shared" si="220"/>
        <v/>
      </c>
      <c r="L1155" s="15" t="str">
        <f t="shared" si="221"/>
        <v/>
      </c>
      <c r="M1155" s="15">
        <f t="shared" ref="M1155:M1218" si="225">IF(OR(E1155="",E1154=""),"",E1155/E1154-1)</f>
        <v>0.93425879263454625</v>
      </c>
      <c r="N1155" s="15">
        <f t="shared" ref="N1155:N1218" si="226">IF(OR(F1155="",F1154=""),"",F1155/F1154-1)</f>
        <v>-0.73552614237568958</v>
      </c>
      <c r="O1155" s="15">
        <f t="shared" ref="O1155:O1218" si="227">IF(OR(G1155="",G1154=""),"",G1155/G1154-1)</f>
        <v>0.92972164578896255</v>
      </c>
      <c r="P1155" s="18">
        <f>IF(SUMIFS('Daily NSE Equity Futures'!$J:$J,'Daily NSE Equity Futures'!$A:$A,$A1155)=0,"",SUMIFS('Daily NSE Equity Futures'!$J:$J,'Daily NSE Equity Futures'!$A:$A,$A1155))</f>
        <v>5662109</v>
      </c>
      <c r="Q1155" s="7">
        <f>IF(SUMIFS('Daily BSE Equity Futures'!$J:$J,'Daily BSE Equity Futures'!$A:$A,$A1155)=0,"",SUMIFS('Daily BSE Equity Futures'!$J:$J,'Daily BSE Equity Futures'!$A:$A,$A1155))</f>
        <v>1698</v>
      </c>
      <c r="R1155" s="7">
        <f t="shared" si="222"/>
        <v>5663807</v>
      </c>
      <c r="S1155" s="19">
        <f t="shared" si="223"/>
        <v>0.99970020164882034</v>
      </c>
      <c r="T1155" s="19">
        <f t="shared" si="224"/>
        <v>2.9979835117969241E-4</v>
      </c>
    </row>
    <row r="1156" spans="1:20" x14ac:dyDescent="0.2">
      <c r="A1156" s="9">
        <v>45622</v>
      </c>
      <c r="B1156" s="4" t="s">
        <v>223</v>
      </c>
      <c r="C1156" s="8">
        <v>45597</v>
      </c>
      <c r="D1156" s="4" t="s">
        <v>191</v>
      </c>
      <c r="E1156" s="14">
        <f>IF(SUMIFS('Daily NSE Equity Futures'!$I:$I,'Daily NSE Equity Futures'!$A:$A,$A1156)=0,"",SUMIFS('Daily NSE Equity Futures'!$I:$I,'Daily NSE Equity Futures'!$A:$A,$A1156))</f>
        <v>3298.8443000000002</v>
      </c>
      <c r="F1156" s="6">
        <f>IF(SUMIFS('Daily BSE Equity Futures'!$I:$I,'Daily BSE Equity Futures'!$A:$A,$A1156)=0,"",SUMIFS('Daily BSE Equity Futures'!$I:$I,'Daily BSE Equity Futures'!$A:$A,$A1156))</f>
        <v>0.55759999999999998</v>
      </c>
      <c r="G1156" s="6">
        <f t="shared" si="216"/>
        <v>3299.4019000000003</v>
      </c>
      <c r="H1156" s="15">
        <f t="shared" si="217"/>
        <v>0.99983099967300126</v>
      </c>
      <c r="I1156" s="15">
        <f t="shared" si="218"/>
        <v>1.6900032699865996E-4</v>
      </c>
      <c r="J1156" s="20" t="str">
        <f t="shared" si="219"/>
        <v/>
      </c>
      <c r="K1156" s="15" t="str">
        <f t="shared" si="220"/>
        <v/>
      </c>
      <c r="L1156" s="15" t="str">
        <f t="shared" si="221"/>
        <v/>
      </c>
      <c r="M1156" s="15">
        <f t="shared" si="225"/>
        <v>-0.12511619808845165</v>
      </c>
      <c r="N1156" s="15">
        <f t="shared" si="226"/>
        <v>-0.60304691393180043</v>
      </c>
      <c r="O1156" s="15">
        <f t="shared" si="227"/>
        <v>-0.12529417977646518</v>
      </c>
      <c r="P1156" s="18">
        <f>IF(SUMIFS('Daily NSE Equity Futures'!$J:$J,'Daily NSE Equity Futures'!$A:$A,$A1156)=0,"",SUMIFS('Daily NSE Equity Futures'!$J:$J,'Daily NSE Equity Futures'!$A:$A,$A1156))</f>
        <v>5016439</v>
      </c>
      <c r="Q1156" s="7">
        <f>IF(SUMIFS('Daily BSE Equity Futures'!$J:$J,'Daily BSE Equity Futures'!$A:$A,$A1156)=0,"",SUMIFS('Daily BSE Equity Futures'!$J:$J,'Daily BSE Equity Futures'!$A:$A,$A1156))</f>
        <v>694</v>
      </c>
      <c r="R1156" s="7">
        <f t="shared" si="222"/>
        <v>5017133</v>
      </c>
      <c r="S1156" s="19">
        <f t="shared" si="223"/>
        <v>0.99986167398791304</v>
      </c>
      <c r="T1156" s="19">
        <f t="shared" si="224"/>
        <v>1.3832601208698276E-4</v>
      </c>
    </row>
    <row r="1157" spans="1:20" x14ac:dyDescent="0.2">
      <c r="A1157" s="9">
        <v>45623</v>
      </c>
      <c r="B1157" s="4" t="s">
        <v>221</v>
      </c>
      <c r="C1157" s="8">
        <v>45597</v>
      </c>
      <c r="D1157" s="4" t="s">
        <v>191</v>
      </c>
      <c r="E1157" s="14">
        <f>IF(SUMIFS('Daily NSE Equity Futures'!$I:$I,'Daily NSE Equity Futures'!$A:$A,$A1157)=0,"",SUMIFS('Daily NSE Equity Futures'!$I:$I,'Daily NSE Equity Futures'!$A:$A,$A1157))</f>
        <v>3282.7319000000002</v>
      </c>
      <c r="F1157" s="6">
        <f>IF(SUMIFS('Daily BSE Equity Futures'!$I:$I,'Daily BSE Equity Futures'!$A:$A,$A1157)=0,"",SUMIFS('Daily BSE Equity Futures'!$I:$I,'Daily BSE Equity Futures'!$A:$A,$A1157))</f>
        <v>0.42109999999999997</v>
      </c>
      <c r="G1157" s="6">
        <f t="shared" si="216"/>
        <v>3283.1530000000002</v>
      </c>
      <c r="H1157" s="15">
        <f t="shared" si="217"/>
        <v>0.99987173914831262</v>
      </c>
      <c r="I1157" s="15">
        <f t="shared" si="218"/>
        <v>1.2826085168738709E-4</v>
      </c>
      <c r="J1157" s="20" t="str">
        <f t="shared" si="219"/>
        <v/>
      </c>
      <c r="K1157" s="15" t="str">
        <f t="shared" si="220"/>
        <v/>
      </c>
      <c r="L1157" s="15" t="str">
        <f t="shared" si="221"/>
        <v/>
      </c>
      <c r="M1157" s="15">
        <f t="shared" si="225"/>
        <v>-4.8842559801928198E-3</v>
      </c>
      <c r="N1157" s="15">
        <f t="shared" si="226"/>
        <v>-0.24479913916786233</v>
      </c>
      <c r="O1157" s="15">
        <f t="shared" si="227"/>
        <v>-4.9248016739034117E-3</v>
      </c>
      <c r="P1157" s="18">
        <f>IF(SUMIFS('Daily NSE Equity Futures'!$J:$J,'Daily NSE Equity Futures'!$A:$A,$A1157)=0,"",SUMIFS('Daily NSE Equity Futures'!$J:$J,'Daily NSE Equity Futures'!$A:$A,$A1157))</f>
        <v>5007117</v>
      </c>
      <c r="Q1157" s="7">
        <f>IF(SUMIFS('Daily BSE Equity Futures'!$J:$J,'Daily BSE Equity Futures'!$A:$A,$A1157)=0,"",SUMIFS('Daily BSE Equity Futures'!$J:$J,'Daily BSE Equity Futures'!$A:$A,$A1157))</f>
        <v>527</v>
      </c>
      <c r="R1157" s="7">
        <f t="shared" si="222"/>
        <v>5007644</v>
      </c>
      <c r="S1157" s="19">
        <f t="shared" si="223"/>
        <v>0.99989476088955209</v>
      </c>
      <c r="T1157" s="19">
        <f t="shared" si="224"/>
        <v>1.0523911044794717E-4</v>
      </c>
    </row>
    <row r="1158" spans="1:20" x14ac:dyDescent="0.2">
      <c r="A1158" s="9">
        <v>45624</v>
      </c>
      <c r="B1158" s="4" t="s">
        <v>224</v>
      </c>
      <c r="C1158" s="8">
        <v>45597</v>
      </c>
      <c r="D1158" s="4" t="s">
        <v>191</v>
      </c>
      <c r="E1158" s="14">
        <f>IF(SUMIFS('Daily NSE Equity Futures'!$I:$I,'Daily NSE Equity Futures'!$A:$A,$A1158)=0,"",SUMIFS('Daily NSE Equity Futures'!$I:$I,'Daily NSE Equity Futures'!$A:$A,$A1158))</f>
        <v>3511.3107</v>
      </c>
      <c r="F1158" s="6">
        <f>IF(SUMIFS('Daily BSE Equity Futures'!$I:$I,'Daily BSE Equity Futures'!$A:$A,$A1158)=0,"",SUMIFS('Daily BSE Equity Futures'!$I:$I,'Daily BSE Equity Futures'!$A:$A,$A1158))</f>
        <v>1.8607</v>
      </c>
      <c r="G1158" s="6">
        <f t="shared" si="216"/>
        <v>3513.1714000000002</v>
      </c>
      <c r="H1158" s="15">
        <f t="shared" si="217"/>
        <v>0.99947036458283811</v>
      </c>
      <c r="I1158" s="15">
        <f t="shared" si="218"/>
        <v>5.2963541716182709E-4</v>
      </c>
      <c r="J1158" s="20">
        <f t="shared" si="219"/>
        <v>0.31452279520012127</v>
      </c>
      <c r="K1158" s="15">
        <f t="shared" si="220"/>
        <v>19.90674157303371</v>
      </c>
      <c r="L1158" s="15">
        <f t="shared" si="221"/>
        <v>0.31517556194339402</v>
      </c>
      <c r="M1158" s="15">
        <f t="shared" si="225"/>
        <v>6.9630663411776039E-2</v>
      </c>
      <c r="N1158" s="15">
        <f t="shared" si="226"/>
        <v>3.4186654001424843</v>
      </c>
      <c r="O1158" s="15">
        <f t="shared" si="227"/>
        <v>7.0060213459439691E-2</v>
      </c>
      <c r="P1158" s="18">
        <f>IF(SUMIFS('Daily NSE Equity Futures'!$J:$J,'Daily NSE Equity Futures'!$A:$A,$A1158)=0,"",SUMIFS('Daily NSE Equity Futures'!$J:$J,'Daily NSE Equity Futures'!$A:$A,$A1158))</f>
        <v>5377168</v>
      </c>
      <c r="Q1158" s="7">
        <f>IF(SUMIFS('Daily BSE Equity Futures'!$J:$J,'Daily BSE Equity Futures'!$A:$A,$A1158)=0,"",SUMIFS('Daily BSE Equity Futures'!$J:$J,'Daily BSE Equity Futures'!$A:$A,$A1158))</f>
        <v>2335</v>
      </c>
      <c r="R1158" s="7">
        <f t="shared" si="222"/>
        <v>5379503</v>
      </c>
      <c r="S1158" s="19">
        <f t="shared" si="223"/>
        <v>0.99956594503246865</v>
      </c>
      <c r="T1158" s="19">
        <f t="shared" si="224"/>
        <v>4.3405496753138722E-4</v>
      </c>
    </row>
    <row r="1159" spans="1:20" x14ac:dyDescent="0.2">
      <c r="A1159" s="9">
        <v>45625</v>
      </c>
      <c r="B1159" s="4" t="s">
        <v>222</v>
      </c>
      <c r="C1159" s="8">
        <v>45597</v>
      </c>
      <c r="D1159" s="4" t="s">
        <v>191</v>
      </c>
      <c r="E1159" s="14">
        <f>IF(SUMIFS('Daily NSE Equity Futures'!$I:$I,'Daily NSE Equity Futures'!$A:$A,$A1159)=0,"",SUMIFS('Daily NSE Equity Futures'!$I:$I,'Daily NSE Equity Futures'!$A:$A,$A1159))</f>
        <v>1091.3018999999999</v>
      </c>
      <c r="F1159" s="6">
        <f>IF(SUMIFS('Daily BSE Equity Futures'!$I:$I,'Daily BSE Equity Futures'!$A:$A,$A1159)=0,"",SUMIFS('Daily BSE Equity Futures'!$I:$I,'Daily BSE Equity Futures'!$A:$A,$A1159))</f>
        <v>5.4451999999999998</v>
      </c>
      <c r="G1159" s="6">
        <f t="shared" si="216"/>
        <v>1096.7471</v>
      </c>
      <c r="H1159" s="15">
        <f t="shared" si="217"/>
        <v>0.99503513617679029</v>
      </c>
      <c r="I1159" s="15">
        <f t="shared" si="218"/>
        <v>4.9648638232095621E-3</v>
      </c>
      <c r="J1159" s="20">
        <f t="shared" si="219"/>
        <v>-0.58903846654261904</v>
      </c>
      <c r="K1159" s="15">
        <f t="shared" si="220"/>
        <v>18.822351656352385</v>
      </c>
      <c r="L1159" s="15">
        <f t="shared" si="221"/>
        <v>-0.58703063794568711</v>
      </c>
      <c r="M1159" s="15">
        <f t="shared" si="225"/>
        <v>-0.68920383490985293</v>
      </c>
      <c r="N1159" s="15">
        <f t="shared" si="226"/>
        <v>1.9264255387757294</v>
      </c>
      <c r="O1159" s="15">
        <f t="shared" si="227"/>
        <v>-0.68781850495538022</v>
      </c>
      <c r="P1159" s="18">
        <f>IF(SUMIFS('Daily NSE Equity Futures'!$J:$J,'Daily NSE Equity Futures'!$A:$A,$A1159)=0,"",SUMIFS('Daily NSE Equity Futures'!$J:$J,'Daily NSE Equity Futures'!$A:$A,$A1159))</f>
        <v>1676844</v>
      </c>
      <c r="Q1159" s="7">
        <f>IF(SUMIFS('Daily BSE Equity Futures'!$J:$J,'Daily BSE Equity Futures'!$A:$A,$A1159)=0,"",SUMIFS('Daily BSE Equity Futures'!$J:$J,'Daily BSE Equity Futures'!$A:$A,$A1159))</f>
        <v>6831</v>
      </c>
      <c r="R1159" s="7">
        <f t="shared" si="222"/>
        <v>1683675</v>
      </c>
      <c r="S1159" s="19">
        <f t="shared" si="223"/>
        <v>0.9959428036883603</v>
      </c>
      <c r="T1159" s="19">
        <f t="shared" si="224"/>
        <v>4.0571963116397165E-3</v>
      </c>
    </row>
    <row r="1160" spans="1:20" x14ac:dyDescent="0.2">
      <c r="A1160" s="9">
        <v>45628</v>
      </c>
      <c r="B1160" s="4" t="s">
        <v>225</v>
      </c>
      <c r="C1160" s="8">
        <v>45627</v>
      </c>
      <c r="D1160" s="4" t="s">
        <v>191</v>
      </c>
      <c r="E1160" s="14">
        <f>IF(SUMIFS('Daily NSE Equity Futures'!$I:$I,'Daily NSE Equity Futures'!$A:$A,$A1160)=0,"",SUMIFS('Daily NSE Equity Futures'!$I:$I,'Daily NSE Equity Futures'!$A:$A,$A1160))</f>
        <v>1026.9911</v>
      </c>
      <c r="F1160" s="6">
        <f>IF(SUMIFS('Daily BSE Equity Futures'!$I:$I,'Daily BSE Equity Futures'!$A:$A,$A1160)=0,"",SUMIFS('Daily BSE Equity Futures'!$I:$I,'Daily BSE Equity Futures'!$A:$A,$A1160))</f>
        <v>1.1056999999999999</v>
      </c>
      <c r="G1160" s="6">
        <f t="shared" si="216"/>
        <v>1028.0968</v>
      </c>
      <c r="H1160" s="15">
        <f t="shared" si="217"/>
        <v>0.99892451761351653</v>
      </c>
      <c r="I1160" s="15">
        <f t="shared" si="218"/>
        <v>1.0754823864834516E-3</v>
      </c>
      <c r="J1160" s="20" t="str">
        <f t="shared" si="219"/>
        <v/>
      </c>
      <c r="K1160" s="15" t="str">
        <f t="shared" si="220"/>
        <v/>
      </c>
      <c r="L1160" s="15" t="str">
        <f t="shared" si="221"/>
        <v/>
      </c>
      <c r="M1160" s="15">
        <f t="shared" si="225"/>
        <v>-5.8930347321854759E-2</v>
      </c>
      <c r="N1160" s="15">
        <f t="shared" si="226"/>
        <v>-0.79694042459413794</v>
      </c>
      <c r="O1160" s="15">
        <f t="shared" si="227"/>
        <v>-6.2594466855668052E-2</v>
      </c>
      <c r="P1160" s="18">
        <f>IF(SUMIFS('Daily NSE Equity Futures'!$J:$J,'Daily NSE Equity Futures'!$A:$A,$A1160)=0,"",SUMIFS('Daily NSE Equity Futures'!$J:$J,'Daily NSE Equity Futures'!$A:$A,$A1160))</f>
        <v>1564228</v>
      </c>
      <c r="Q1160" s="7">
        <f>IF(SUMIFS('Daily BSE Equity Futures'!$J:$J,'Daily BSE Equity Futures'!$A:$A,$A1160)=0,"",SUMIFS('Daily BSE Equity Futures'!$J:$J,'Daily BSE Equity Futures'!$A:$A,$A1160))</f>
        <v>1381</v>
      </c>
      <c r="R1160" s="7">
        <f t="shared" si="222"/>
        <v>1565609</v>
      </c>
      <c r="S1160" s="19">
        <f t="shared" si="223"/>
        <v>0.99911791513717663</v>
      </c>
      <c r="T1160" s="19">
        <f t="shared" si="224"/>
        <v>8.8208486282334857E-4</v>
      </c>
    </row>
    <row r="1161" spans="1:20" x14ac:dyDescent="0.2">
      <c r="A1161" s="9">
        <v>45629</v>
      </c>
      <c r="B1161" s="4" t="s">
        <v>223</v>
      </c>
      <c r="C1161" s="8">
        <v>45627</v>
      </c>
      <c r="D1161" s="4" t="s">
        <v>191</v>
      </c>
      <c r="E1161" s="14">
        <f>IF(SUMIFS('Daily NSE Equity Futures'!$I:$I,'Daily NSE Equity Futures'!$A:$A,$A1161)=0,"",SUMIFS('Daily NSE Equity Futures'!$I:$I,'Daily NSE Equity Futures'!$A:$A,$A1161))</f>
        <v>1125.2399</v>
      </c>
      <c r="F1161" s="6">
        <f>IF(SUMIFS('Daily BSE Equity Futures'!$I:$I,'Daily BSE Equity Futures'!$A:$A,$A1161)=0,"",SUMIFS('Daily BSE Equity Futures'!$I:$I,'Daily BSE Equity Futures'!$A:$A,$A1161))</f>
        <v>0.9637</v>
      </c>
      <c r="G1161" s="6">
        <f t="shared" si="216"/>
        <v>1126.2036000000001</v>
      </c>
      <c r="H1161" s="15">
        <f t="shared" si="217"/>
        <v>0.99914429326988474</v>
      </c>
      <c r="I1161" s="15">
        <f t="shared" si="218"/>
        <v>8.5570673011522958E-4</v>
      </c>
      <c r="J1161" s="20" t="str">
        <f t="shared" si="219"/>
        <v/>
      </c>
      <c r="K1161" s="15" t="str">
        <f t="shared" si="220"/>
        <v/>
      </c>
      <c r="L1161" s="15" t="str">
        <f t="shared" si="221"/>
        <v/>
      </c>
      <c r="M1161" s="15">
        <f t="shared" si="225"/>
        <v>9.5666651833691718E-2</v>
      </c>
      <c r="N1161" s="15">
        <f t="shared" si="226"/>
        <v>-0.12842543185312461</v>
      </c>
      <c r="O1161" s="15">
        <f t="shared" si="227"/>
        <v>9.5425644744736138E-2</v>
      </c>
      <c r="P1161" s="18">
        <f>IF(SUMIFS('Daily NSE Equity Futures'!$J:$J,'Daily NSE Equity Futures'!$A:$A,$A1161)=0,"",SUMIFS('Daily NSE Equity Futures'!$J:$J,'Daily NSE Equity Futures'!$A:$A,$A1161))</f>
        <v>1690179</v>
      </c>
      <c r="Q1161" s="7">
        <f>IF(SUMIFS('Daily BSE Equity Futures'!$J:$J,'Daily BSE Equity Futures'!$A:$A,$A1161)=0,"",SUMIFS('Daily BSE Equity Futures'!$J:$J,'Daily BSE Equity Futures'!$A:$A,$A1161))</f>
        <v>1193</v>
      </c>
      <c r="R1161" s="7">
        <f t="shared" si="222"/>
        <v>1691372</v>
      </c>
      <c r="S1161" s="19">
        <f t="shared" si="223"/>
        <v>0.99929465546313878</v>
      </c>
      <c r="T1161" s="19">
        <f t="shared" si="224"/>
        <v>7.0534453686119905E-4</v>
      </c>
    </row>
    <row r="1162" spans="1:20" x14ac:dyDescent="0.2">
      <c r="A1162" s="9">
        <v>45630</v>
      </c>
      <c r="B1162" s="4" t="s">
        <v>221</v>
      </c>
      <c r="C1162" s="8">
        <v>45627</v>
      </c>
      <c r="D1162" s="4" t="s">
        <v>191</v>
      </c>
      <c r="E1162" s="14">
        <f>IF(SUMIFS('Daily NSE Equity Futures'!$I:$I,'Daily NSE Equity Futures'!$A:$A,$A1162)=0,"",SUMIFS('Daily NSE Equity Futures'!$I:$I,'Daily NSE Equity Futures'!$A:$A,$A1162))</f>
        <v>1247.3811000000001</v>
      </c>
      <c r="F1162" s="6">
        <f>IF(SUMIFS('Daily BSE Equity Futures'!$I:$I,'Daily BSE Equity Futures'!$A:$A,$A1162)=0,"",SUMIFS('Daily BSE Equity Futures'!$I:$I,'Daily BSE Equity Futures'!$A:$A,$A1162))</f>
        <v>1.1255999999999999</v>
      </c>
      <c r="G1162" s="6">
        <f t="shared" si="216"/>
        <v>1248.5067000000001</v>
      </c>
      <c r="H1162" s="15">
        <f t="shared" si="217"/>
        <v>0.99909844296390238</v>
      </c>
      <c r="I1162" s="15">
        <f t="shared" si="218"/>
        <v>9.0155703609760352E-4</v>
      </c>
      <c r="J1162" s="20">
        <f t="shared" si="219"/>
        <v>-0.14137867873426246</v>
      </c>
      <c r="K1162" s="15">
        <f t="shared" si="220"/>
        <v>1.0021344717182497</v>
      </c>
      <c r="L1162" s="15">
        <f t="shared" si="221"/>
        <v>-0.14093632827629532</v>
      </c>
      <c r="M1162" s="15">
        <f t="shared" si="225"/>
        <v>0.10854680855166965</v>
      </c>
      <c r="N1162" s="15">
        <f t="shared" si="226"/>
        <v>0.16799833973228173</v>
      </c>
      <c r="O1162" s="15">
        <f t="shared" si="227"/>
        <v>0.10859768162701666</v>
      </c>
      <c r="P1162" s="18">
        <f>IF(SUMIFS('Daily NSE Equity Futures'!$J:$J,'Daily NSE Equity Futures'!$A:$A,$A1162)=0,"",SUMIFS('Daily NSE Equity Futures'!$J:$J,'Daily NSE Equity Futures'!$A:$A,$A1162))</f>
        <v>1834073</v>
      </c>
      <c r="Q1162" s="7">
        <f>IF(SUMIFS('Daily BSE Equity Futures'!$J:$J,'Daily BSE Equity Futures'!$A:$A,$A1162)=0,"",SUMIFS('Daily BSE Equity Futures'!$J:$J,'Daily BSE Equity Futures'!$A:$A,$A1162))</f>
        <v>1387</v>
      </c>
      <c r="R1162" s="7">
        <f t="shared" si="222"/>
        <v>1835460</v>
      </c>
      <c r="S1162" s="19">
        <f t="shared" si="223"/>
        <v>0.9992443311213538</v>
      </c>
      <c r="T1162" s="19">
        <f t="shared" si="224"/>
        <v>7.5566887864622493E-4</v>
      </c>
    </row>
    <row r="1163" spans="1:20" x14ac:dyDescent="0.2">
      <c r="A1163" s="9">
        <v>45631</v>
      </c>
      <c r="B1163" s="4" t="s">
        <v>224</v>
      </c>
      <c r="C1163" s="8">
        <v>45627</v>
      </c>
      <c r="D1163" s="4" t="s">
        <v>191</v>
      </c>
      <c r="E1163" s="14">
        <f>IF(SUMIFS('Daily NSE Equity Futures'!$I:$I,'Daily NSE Equity Futures'!$A:$A,$A1163)=0,"",SUMIFS('Daily NSE Equity Futures'!$I:$I,'Daily NSE Equity Futures'!$A:$A,$A1163))</f>
        <v>1695.4825000000001</v>
      </c>
      <c r="F1163" s="6">
        <f>IF(SUMIFS('Daily BSE Equity Futures'!$I:$I,'Daily BSE Equity Futures'!$A:$A,$A1163)=0,"",SUMIFS('Daily BSE Equity Futures'!$I:$I,'Daily BSE Equity Futures'!$A:$A,$A1163))</f>
        <v>2.3092000000000001</v>
      </c>
      <c r="G1163" s="6">
        <f t="shared" si="216"/>
        <v>1697.7917</v>
      </c>
      <c r="H1163" s="15">
        <f t="shared" si="217"/>
        <v>0.99863988026328554</v>
      </c>
      <c r="I1163" s="15">
        <f t="shared" si="218"/>
        <v>1.3601197367144628E-3</v>
      </c>
      <c r="J1163" s="20">
        <f t="shared" si="219"/>
        <v>0.2401641641741219</v>
      </c>
      <c r="K1163" s="15">
        <f t="shared" si="220"/>
        <v>18.552921253175278</v>
      </c>
      <c r="L1163" s="15">
        <f t="shared" si="221"/>
        <v>0.2417459656772365</v>
      </c>
      <c r="M1163" s="15">
        <f t="shared" si="225"/>
        <v>0.35923375783070632</v>
      </c>
      <c r="N1163" s="15">
        <f t="shared" si="226"/>
        <v>1.0515280739161339</v>
      </c>
      <c r="O1163" s="15">
        <f t="shared" si="227"/>
        <v>0.3598579006424234</v>
      </c>
      <c r="P1163" s="18">
        <f>IF(SUMIFS('Daily NSE Equity Futures'!$J:$J,'Daily NSE Equity Futures'!$A:$A,$A1163)=0,"",SUMIFS('Daily NSE Equity Futures'!$J:$J,'Daily NSE Equity Futures'!$A:$A,$A1163))</f>
        <v>2517999</v>
      </c>
      <c r="Q1163" s="7">
        <f>IF(SUMIFS('Daily BSE Equity Futures'!$J:$J,'Daily BSE Equity Futures'!$A:$A,$A1163)=0,"",SUMIFS('Daily BSE Equity Futures'!$J:$J,'Daily BSE Equity Futures'!$A:$A,$A1163))</f>
        <v>2836</v>
      </c>
      <c r="R1163" s="7">
        <f t="shared" si="222"/>
        <v>2520835</v>
      </c>
      <c r="S1163" s="19">
        <f t="shared" si="223"/>
        <v>0.99887497595042918</v>
      </c>
      <c r="T1163" s="19">
        <f t="shared" si="224"/>
        <v>1.1250240495708763E-3</v>
      </c>
    </row>
    <row r="1164" spans="1:20" x14ac:dyDescent="0.2">
      <c r="A1164" s="9">
        <v>45632</v>
      </c>
      <c r="B1164" s="4" t="s">
        <v>222</v>
      </c>
      <c r="C1164" s="8">
        <v>45627</v>
      </c>
      <c r="D1164" s="4" t="s">
        <v>191</v>
      </c>
      <c r="E1164" s="14">
        <f>IF(SUMIFS('Daily NSE Equity Futures'!$I:$I,'Daily NSE Equity Futures'!$A:$A,$A1164)=0,"",SUMIFS('Daily NSE Equity Futures'!$I:$I,'Daily NSE Equity Futures'!$A:$A,$A1164))</f>
        <v>1241.9768999999999</v>
      </c>
      <c r="F1164" s="6">
        <f>IF(SUMIFS('Daily BSE Equity Futures'!$I:$I,'Daily BSE Equity Futures'!$A:$A,$A1164)=0,"",SUMIFS('Daily BSE Equity Futures'!$I:$I,'Daily BSE Equity Futures'!$A:$A,$A1164))</f>
        <v>3.6928999999999998</v>
      </c>
      <c r="G1164" s="6">
        <f t="shared" si="216"/>
        <v>1245.6697999999999</v>
      </c>
      <c r="H1164" s="15">
        <f t="shared" si="217"/>
        <v>0.99703541018655184</v>
      </c>
      <c r="I1164" s="15">
        <f t="shared" si="218"/>
        <v>2.9645898134481549E-3</v>
      </c>
      <c r="J1164" s="20">
        <f t="shared" si="219"/>
        <v>-6.5732956176109969E-3</v>
      </c>
      <c r="K1164" s="15">
        <f t="shared" si="220"/>
        <v>19.223986856516976</v>
      </c>
      <c r="L1164" s="15">
        <f t="shared" si="221"/>
        <v>-3.7649432883225531E-3</v>
      </c>
      <c r="M1164" s="15">
        <f t="shared" si="225"/>
        <v>-0.2674787855374503</v>
      </c>
      <c r="N1164" s="15">
        <f t="shared" si="226"/>
        <v>0.59921184825913709</v>
      </c>
      <c r="O1164" s="15">
        <f t="shared" si="227"/>
        <v>-0.266299982500798</v>
      </c>
      <c r="P1164" s="18">
        <f>IF(SUMIFS('Daily NSE Equity Futures'!$J:$J,'Daily NSE Equity Futures'!$A:$A,$A1164)=0,"",SUMIFS('Daily NSE Equity Futures'!$J:$J,'Daily NSE Equity Futures'!$A:$A,$A1164))</f>
        <v>1839010</v>
      </c>
      <c r="Q1164" s="7">
        <f>IF(SUMIFS('Daily BSE Equity Futures'!$J:$J,'Daily BSE Equity Futures'!$A:$A,$A1164)=0,"",SUMIFS('Daily BSE Equity Futures'!$J:$J,'Daily BSE Equity Futures'!$A:$A,$A1164))</f>
        <v>4518</v>
      </c>
      <c r="R1164" s="7">
        <f t="shared" si="222"/>
        <v>1843528</v>
      </c>
      <c r="S1164" s="19">
        <f t="shared" si="223"/>
        <v>0.99754926423683288</v>
      </c>
      <c r="T1164" s="19">
        <f t="shared" si="224"/>
        <v>2.4507357631671448E-3</v>
      </c>
    </row>
    <row r="1165" spans="1:20" x14ac:dyDescent="0.2">
      <c r="A1165" s="9">
        <v>45635</v>
      </c>
      <c r="B1165" s="4" t="s">
        <v>225</v>
      </c>
      <c r="C1165" s="8">
        <v>45627</v>
      </c>
      <c r="D1165" s="4" t="s">
        <v>191</v>
      </c>
      <c r="E1165" s="14">
        <f>IF(SUMIFS('Daily NSE Equity Futures'!$I:$I,'Daily NSE Equity Futures'!$A:$A,$A1165)=0,"",SUMIFS('Daily NSE Equity Futures'!$I:$I,'Daily NSE Equity Futures'!$A:$A,$A1165))</f>
        <v>1013.4856</v>
      </c>
      <c r="F1165" s="6">
        <f>IF(SUMIFS('Daily BSE Equity Futures'!$I:$I,'Daily BSE Equity Futures'!$A:$A,$A1165)=0,"",SUMIFS('Daily BSE Equity Futures'!$I:$I,'Daily BSE Equity Futures'!$A:$A,$A1165))</f>
        <v>0.98729999999999996</v>
      </c>
      <c r="G1165" s="6">
        <f t="shared" si="216"/>
        <v>1014.4729</v>
      </c>
      <c r="H1165" s="15">
        <f t="shared" si="217"/>
        <v>0.9990267852399014</v>
      </c>
      <c r="I1165" s="15">
        <f t="shared" si="218"/>
        <v>9.732147600985694E-4</v>
      </c>
      <c r="J1165" s="20" t="str">
        <f t="shared" si="219"/>
        <v/>
      </c>
      <c r="K1165" s="15" t="str">
        <f t="shared" si="220"/>
        <v/>
      </c>
      <c r="L1165" s="15" t="str">
        <f t="shared" si="221"/>
        <v/>
      </c>
      <c r="M1165" s="15">
        <f t="shared" si="225"/>
        <v>-0.18397387262194642</v>
      </c>
      <c r="N1165" s="15">
        <f t="shared" si="226"/>
        <v>-0.73264913753418726</v>
      </c>
      <c r="O1165" s="15">
        <f t="shared" si="227"/>
        <v>-0.18560046972319622</v>
      </c>
      <c r="P1165" s="18">
        <f>IF(SUMIFS('Daily NSE Equity Futures'!$J:$J,'Daily NSE Equity Futures'!$A:$A,$A1165)=0,"",SUMIFS('Daily NSE Equity Futures'!$J:$J,'Daily NSE Equity Futures'!$A:$A,$A1165))</f>
        <v>1511376</v>
      </c>
      <c r="Q1165" s="7">
        <f>IF(SUMIFS('Daily BSE Equity Futures'!$J:$J,'Daily BSE Equity Futures'!$A:$A,$A1165)=0,"",SUMIFS('Daily BSE Equity Futures'!$J:$J,'Daily BSE Equity Futures'!$A:$A,$A1165))</f>
        <v>1210</v>
      </c>
      <c r="R1165" s="7">
        <f t="shared" si="222"/>
        <v>1512586</v>
      </c>
      <c r="S1165" s="19">
        <f t="shared" si="223"/>
        <v>0.99920004548501706</v>
      </c>
      <c r="T1165" s="19">
        <f t="shared" si="224"/>
        <v>7.9995451498294969E-4</v>
      </c>
    </row>
    <row r="1166" spans="1:20" x14ac:dyDescent="0.2">
      <c r="A1166" s="9">
        <v>45636</v>
      </c>
      <c r="B1166" s="4" t="s">
        <v>223</v>
      </c>
      <c r="C1166" s="8">
        <v>45627</v>
      </c>
      <c r="D1166" s="4" t="s">
        <v>191</v>
      </c>
      <c r="E1166" s="14">
        <f>IF(SUMIFS('Daily NSE Equity Futures'!$I:$I,'Daily NSE Equity Futures'!$A:$A,$A1166)=0,"",SUMIFS('Daily NSE Equity Futures'!$I:$I,'Daily NSE Equity Futures'!$A:$A,$A1166))</f>
        <v>944.42060000000004</v>
      </c>
      <c r="F1166" s="6">
        <f>IF(SUMIFS('Daily BSE Equity Futures'!$I:$I,'Daily BSE Equity Futures'!$A:$A,$A1166)=0,"",SUMIFS('Daily BSE Equity Futures'!$I:$I,'Daily BSE Equity Futures'!$A:$A,$A1166))</f>
        <v>0.89770000000000005</v>
      </c>
      <c r="G1166" s="6">
        <f t="shared" si="216"/>
        <v>945.31830000000002</v>
      </c>
      <c r="H1166" s="15">
        <f t="shared" si="217"/>
        <v>0.99905037276862196</v>
      </c>
      <c r="I1166" s="15">
        <f t="shared" si="218"/>
        <v>9.4962723137804485E-4</v>
      </c>
      <c r="J1166" s="20" t="str">
        <f t="shared" si="219"/>
        <v/>
      </c>
      <c r="K1166" s="15" t="str">
        <f t="shared" si="220"/>
        <v/>
      </c>
      <c r="L1166" s="15" t="str">
        <f t="shared" si="221"/>
        <v/>
      </c>
      <c r="M1166" s="15">
        <f t="shared" si="225"/>
        <v>-6.814601016531463E-2</v>
      </c>
      <c r="N1166" s="15">
        <f t="shared" si="226"/>
        <v>-9.0752557479995888E-2</v>
      </c>
      <c r="O1166" s="15">
        <f t="shared" si="227"/>
        <v>-6.8168011190836153E-2</v>
      </c>
      <c r="P1166" s="18">
        <f>IF(SUMIFS('Daily NSE Equity Futures'!$J:$J,'Daily NSE Equity Futures'!$A:$A,$A1166)=0,"",SUMIFS('Daily NSE Equity Futures'!$J:$J,'Daily NSE Equity Futures'!$A:$A,$A1166))</f>
        <v>1396253</v>
      </c>
      <c r="Q1166" s="7">
        <f>IF(SUMIFS('Daily BSE Equity Futures'!$J:$J,'Daily BSE Equity Futures'!$A:$A,$A1166)=0,"",SUMIFS('Daily BSE Equity Futures'!$J:$J,'Daily BSE Equity Futures'!$A:$A,$A1166))</f>
        <v>1099</v>
      </c>
      <c r="R1166" s="7">
        <f t="shared" si="222"/>
        <v>1397352</v>
      </c>
      <c r="S1166" s="19">
        <f t="shared" si="223"/>
        <v>0.99921351241491052</v>
      </c>
      <c r="T1166" s="19">
        <f t="shared" si="224"/>
        <v>7.8648758508951221E-4</v>
      </c>
    </row>
    <row r="1167" spans="1:20" x14ac:dyDescent="0.2">
      <c r="A1167" s="9">
        <v>45637</v>
      </c>
      <c r="B1167" s="4" t="s">
        <v>221</v>
      </c>
      <c r="C1167" s="8">
        <v>45627</v>
      </c>
      <c r="D1167" s="4" t="s">
        <v>191</v>
      </c>
      <c r="E1167" s="14">
        <f>IF(SUMIFS('Daily NSE Equity Futures'!$I:$I,'Daily NSE Equity Futures'!$A:$A,$A1167)=0,"",SUMIFS('Daily NSE Equity Futures'!$I:$I,'Daily NSE Equity Futures'!$A:$A,$A1167))</f>
        <v>910.99850000000004</v>
      </c>
      <c r="F1167" s="6">
        <f>IF(SUMIFS('Daily BSE Equity Futures'!$I:$I,'Daily BSE Equity Futures'!$A:$A,$A1167)=0,"",SUMIFS('Daily BSE Equity Futures'!$I:$I,'Daily BSE Equity Futures'!$A:$A,$A1167))</f>
        <v>0.65620000000000001</v>
      </c>
      <c r="G1167" s="6">
        <f t="shared" si="216"/>
        <v>911.65470000000005</v>
      </c>
      <c r="H1167" s="15">
        <f t="shared" si="217"/>
        <v>0.99928020993036071</v>
      </c>
      <c r="I1167" s="15">
        <f t="shared" si="218"/>
        <v>7.1979006963930527E-4</v>
      </c>
      <c r="J1167" s="20">
        <f t="shared" si="219"/>
        <v>3.2961250459249136E-3</v>
      </c>
      <c r="K1167" s="15">
        <f t="shared" si="220"/>
        <v>-0.40350877192982459</v>
      </c>
      <c r="L1167" s="15">
        <f t="shared" si="221"/>
        <v>2.8038543812893835E-3</v>
      </c>
      <c r="M1167" s="15">
        <f t="shared" si="225"/>
        <v>-3.5388999350501216E-2</v>
      </c>
      <c r="N1167" s="15">
        <f t="shared" si="226"/>
        <v>-0.26902083101258778</v>
      </c>
      <c r="O1167" s="15">
        <f t="shared" si="227"/>
        <v>-3.5610862499964258E-2</v>
      </c>
      <c r="P1167" s="18">
        <f>IF(SUMIFS('Daily NSE Equity Futures'!$J:$J,'Daily NSE Equity Futures'!$A:$A,$A1167)=0,"",SUMIFS('Daily NSE Equity Futures'!$J:$J,'Daily NSE Equity Futures'!$A:$A,$A1167))</f>
        <v>1345965</v>
      </c>
      <c r="Q1167" s="7">
        <f>IF(SUMIFS('Daily BSE Equity Futures'!$J:$J,'Daily BSE Equity Futures'!$A:$A,$A1167)=0,"",SUMIFS('Daily BSE Equity Futures'!$J:$J,'Daily BSE Equity Futures'!$A:$A,$A1167))</f>
        <v>801</v>
      </c>
      <c r="R1167" s="7">
        <f t="shared" si="222"/>
        <v>1346766</v>
      </c>
      <c r="S1167" s="19">
        <f t="shared" si="223"/>
        <v>0.99940524189057345</v>
      </c>
      <c r="T1167" s="19">
        <f t="shared" si="224"/>
        <v>5.9475810942658186E-4</v>
      </c>
    </row>
    <row r="1168" spans="1:20" x14ac:dyDescent="0.2">
      <c r="A1168" s="9">
        <v>45638</v>
      </c>
      <c r="B1168" s="4" t="s">
        <v>224</v>
      </c>
      <c r="C1168" s="8">
        <v>45627</v>
      </c>
      <c r="D1168" s="4" t="s">
        <v>191</v>
      </c>
      <c r="E1168" s="14">
        <f>IF(SUMIFS('Daily NSE Equity Futures'!$I:$I,'Daily NSE Equity Futures'!$A:$A,$A1168)=0,"",SUMIFS('Daily NSE Equity Futures'!$I:$I,'Daily NSE Equity Futures'!$A:$A,$A1168))</f>
        <v>1032.6875</v>
      </c>
      <c r="F1168" s="6">
        <f>IF(SUMIFS('Daily BSE Equity Futures'!$I:$I,'Daily BSE Equity Futures'!$A:$A,$A1168)=0,"",SUMIFS('Daily BSE Equity Futures'!$I:$I,'Daily BSE Equity Futures'!$A:$A,$A1168))</f>
        <v>0.89019999999999999</v>
      </c>
      <c r="G1168" s="6">
        <f t="shared" si="216"/>
        <v>1033.5777</v>
      </c>
      <c r="H1168" s="15">
        <f t="shared" si="217"/>
        <v>0.99913871980790603</v>
      </c>
      <c r="I1168" s="15">
        <f t="shared" si="218"/>
        <v>8.6128019209392765E-4</v>
      </c>
      <c r="J1168" s="20">
        <f t="shared" si="219"/>
        <v>5.6258759218978938E-2</v>
      </c>
      <c r="K1168" s="15">
        <f t="shared" si="220"/>
        <v>1.2040108937855907</v>
      </c>
      <c r="L1168" s="15">
        <f t="shared" si="221"/>
        <v>5.6732721725169633E-2</v>
      </c>
      <c r="M1168" s="15">
        <f t="shared" si="225"/>
        <v>0.13357760742745461</v>
      </c>
      <c r="N1168" s="15">
        <f t="shared" si="226"/>
        <v>0.35659859798841809</v>
      </c>
      <c r="O1168" s="15">
        <f t="shared" si="227"/>
        <v>0.1337381357217815</v>
      </c>
      <c r="P1168" s="18">
        <f>IF(SUMIFS('Daily NSE Equity Futures'!$J:$J,'Daily NSE Equity Futures'!$A:$A,$A1168)=0,"",SUMIFS('Daily NSE Equity Futures'!$J:$J,'Daily NSE Equity Futures'!$A:$A,$A1168))</f>
        <v>1538076</v>
      </c>
      <c r="Q1168" s="7">
        <f>IF(SUMIFS('Daily BSE Equity Futures'!$J:$J,'Daily BSE Equity Futures'!$A:$A,$A1168)=0,"",SUMIFS('Daily BSE Equity Futures'!$J:$J,'Daily BSE Equity Futures'!$A:$A,$A1168))</f>
        <v>1093</v>
      </c>
      <c r="R1168" s="7">
        <f t="shared" si="222"/>
        <v>1539169</v>
      </c>
      <c r="S1168" s="19">
        <f t="shared" si="223"/>
        <v>0.99928987655026835</v>
      </c>
      <c r="T1168" s="19">
        <f t="shared" si="224"/>
        <v>7.1012344973164093E-4</v>
      </c>
    </row>
    <row r="1169" spans="1:20" x14ac:dyDescent="0.2">
      <c r="A1169" s="9">
        <v>45639</v>
      </c>
      <c r="B1169" s="4" t="s">
        <v>222</v>
      </c>
      <c r="C1169" s="8">
        <v>45627</v>
      </c>
      <c r="D1169" s="4" t="s">
        <v>191</v>
      </c>
      <c r="E1169" s="14">
        <f>IF(SUMIFS('Daily NSE Equity Futures'!$I:$I,'Daily NSE Equity Futures'!$A:$A,$A1169)=0,"",SUMIFS('Daily NSE Equity Futures'!$I:$I,'Daily NSE Equity Futures'!$A:$A,$A1169))</f>
        <v>1757.0516</v>
      </c>
      <c r="F1169" s="6">
        <f>IF(SUMIFS('Daily BSE Equity Futures'!$I:$I,'Daily BSE Equity Futures'!$A:$A,$A1169)=0,"",SUMIFS('Daily BSE Equity Futures'!$I:$I,'Daily BSE Equity Futures'!$A:$A,$A1169))</f>
        <v>7.8014999999999999</v>
      </c>
      <c r="G1169" s="6">
        <f t="shared" si="216"/>
        <v>1764.8531</v>
      </c>
      <c r="H1169" s="15">
        <f t="shared" si="217"/>
        <v>0.99557951877127904</v>
      </c>
      <c r="I1169" s="15">
        <f t="shared" si="218"/>
        <v>4.4204812287209627E-3</v>
      </c>
      <c r="J1169" s="20">
        <f t="shared" si="219"/>
        <v>0.5914004945605047</v>
      </c>
      <c r="K1169" s="15">
        <f t="shared" si="220"/>
        <v>9.6388926769398608</v>
      </c>
      <c r="L1169" s="15">
        <f t="shared" si="221"/>
        <v>0.59740554315992389</v>
      </c>
      <c r="M1169" s="15">
        <f t="shared" si="225"/>
        <v>0.70143591357501656</v>
      </c>
      <c r="N1169" s="15">
        <f t="shared" si="226"/>
        <v>7.7637609525949216</v>
      </c>
      <c r="O1169" s="15">
        <f t="shared" si="227"/>
        <v>0.70751855424125343</v>
      </c>
      <c r="P1169" s="18">
        <f>IF(SUMIFS('Daily NSE Equity Futures'!$J:$J,'Daily NSE Equity Futures'!$A:$A,$A1169)=0,"",SUMIFS('Daily NSE Equity Futures'!$J:$J,'Daily NSE Equity Futures'!$A:$A,$A1169))</f>
        <v>2599758</v>
      </c>
      <c r="Q1169" s="7">
        <f>IF(SUMIFS('Daily BSE Equity Futures'!$J:$J,'Daily BSE Equity Futures'!$A:$A,$A1169)=0,"",SUMIFS('Daily BSE Equity Futures'!$J:$J,'Daily BSE Equity Futures'!$A:$A,$A1169))</f>
        <v>9575</v>
      </c>
      <c r="R1169" s="7">
        <f t="shared" si="222"/>
        <v>2609333</v>
      </c>
      <c r="S1169" s="19">
        <f t="shared" si="223"/>
        <v>0.99633047985826262</v>
      </c>
      <c r="T1169" s="19">
        <f t="shared" si="224"/>
        <v>3.6695201417373713E-3</v>
      </c>
    </row>
    <row r="1170" spans="1:20" x14ac:dyDescent="0.2">
      <c r="A1170" s="9">
        <v>45642</v>
      </c>
      <c r="B1170" s="4" t="s">
        <v>225</v>
      </c>
      <c r="C1170" s="8">
        <v>45627</v>
      </c>
      <c r="D1170" s="4" t="s">
        <v>191</v>
      </c>
      <c r="E1170" s="14">
        <f>IF(SUMIFS('Daily NSE Equity Futures'!$I:$I,'Daily NSE Equity Futures'!$A:$A,$A1170)=0,"",SUMIFS('Daily NSE Equity Futures'!$I:$I,'Daily NSE Equity Futures'!$A:$A,$A1170))</f>
        <v>955.88549999999998</v>
      </c>
      <c r="F1170" s="6">
        <f>IF(SUMIFS('Daily BSE Equity Futures'!$I:$I,'Daily BSE Equity Futures'!$A:$A,$A1170)=0,"",SUMIFS('Daily BSE Equity Futures'!$I:$I,'Daily BSE Equity Futures'!$A:$A,$A1170))</f>
        <v>1.4127000000000001</v>
      </c>
      <c r="G1170" s="6">
        <f t="shared" si="216"/>
        <v>957.29819999999995</v>
      </c>
      <c r="H1170" s="15">
        <f t="shared" si="217"/>
        <v>0.99852428428257778</v>
      </c>
      <c r="I1170" s="15">
        <f t="shared" si="218"/>
        <v>1.4757157174222202E-3</v>
      </c>
      <c r="J1170" s="20" t="str">
        <f t="shared" si="219"/>
        <v/>
      </c>
      <c r="K1170" s="15" t="str">
        <f t="shared" si="220"/>
        <v/>
      </c>
      <c r="L1170" s="15" t="str">
        <f t="shared" si="221"/>
        <v/>
      </c>
      <c r="M1170" s="15">
        <f t="shared" si="225"/>
        <v>-0.45597186787229249</v>
      </c>
      <c r="N1170" s="15">
        <f t="shared" si="226"/>
        <v>-0.81891943856950589</v>
      </c>
      <c r="O1170" s="15">
        <f t="shared" si="227"/>
        <v>-0.4575762707955694</v>
      </c>
      <c r="P1170" s="18">
        <f>IF(SUMIFS('Daily NSE Equity Futures'!$J:$J,'Daily NSE Equity Futures'!$A:$A,$A1170)=0,"",SUMIFS('Daily NSE Equity Futures'!$J:$J,'Daily NSE Equity Futures'!$A:$A,$A1170))</f>
        <v>1396142</v>
      </c>
      <c r="Q1170" s="7">
        <f>IF(SUMIFS('Daily BSE Equity Futures'!$J:$J,'Daily BSE Equity Futures'!$A:$A,$A1170)=0,"",SUMIFS('Daily BSE Equity Futures'!$J:$J,'Daily BSE Equity Futures'!$A:$A,$A1170))</f>
        <v>1729</v>
      </c>
      <c r="R1170" s="7">
        <f t="shared" si="222"/>
        <v>1397871</v>
      </c>
      <c r="S1170" s="19">
        <f t="shared" si="223"/>
        <v>0.99876311905748094</v>
      </c>
      <c r="T1170" s="19">
        <f t="shared" si="224"/>
        <v>1.2368809425190165E-3</v>
      </c>
    </row>
    <row r="1171" spans="1:20" x14ac:dyDescent="0.2">
      <c r="A1171" s="9">
        <v>45643</v>
      </c>
      <c r="B1171" s="4" t="s">
        <v>223</v>
      </c>
      <c r="C1171" s="8">
        <v>45627</v>
      </c>
      <c r="D1171" s="4" t="s">
        <v>191</v>
      </c>
      <c r="E1171" s="14">
        <f>IF(SUMIFS('Daily NSE Equity Futures'!$I:$I,'Daily NSE Equity Futures'!$A:$A,$A1171)=0,"",SUMIFS('Daily NSE Equity Futures'!$I:$I,'Daily NSE Equity Futures'!$A:$A,$A1171))</f>
        <v>1375.6776</v>
      </c>
      <c r="F1171" s="6">
        <f>IF(SUMIFS('Daily BSE Equity Futures'!$I:$I,'Daily BSE Equity Futures'!$A:$A,$A1171)=0,"",SUMIFS('Daily BSE Equity Futures'!$I:$I,'Daily BSE Equity Futures'!$A:$A,$A1171))</f>
        <v>2.1286999999999998</v>
      </c>
      <c r="G1171" s="6">
        <f t="shared" si="216"/>
        <v>1377.8063</v>
      </c>
      <c r="H1171" s="15">
        <f t="shared" si="217"/>
        <v>0.99845500779028229</v>
      </c>
      <c r="I1171" s="15">
        <f t="shared" si="218"/>
        <v>1.544992209717723E-3</v>
      </c>
      <c r="J1171" s="20" t="str">
        <f t="shared" si="219"/>
        <v/>
      </c>
      <c r="K1171" s="15" t="str">
        <f t="shared" si="220"/>
        <v/>
      </c>
      <c r="L1171" s="15" t="str">
        <f t="shared" si="221"/>
        <v/>
      </c>
      <c r="M1171" s="15">
        <f t="shared" si="225"/>
        <v>0.43916567413147289</v>
      </c>
      <c r="N1171" s="15">
        <f t="shared" si="226"/>
        <v>0.50683089120124558</v>
      </c>
      <c r="O1171" s="15">
        <f t="shared" si="227"/>
        <v>0.43926552875582558</v>
      </c>
      <c r="P1171" s="18">
        <f>IF(SUMIFS('Daily NSE Equity Futures'!$J:$J,'Daily NSE Equity Futures'!$A:$A,$A1171)=0,"",SUMIFS('Daily NSE Equity Futures'!$J:$J,'Daily NSE Equity Futures'!$A:$A,$A1171))</f>
        <v>2029669</v>
      </c>
      <c r="Q1171" s="7">
        <f>IF(SUMIFS('Daily BSE Equity Futures'!$J:$J,'Daily BSE Equity Futures'!$A:$A,$A1171)=0,"",SUMIFS('Daily BSE Equity Futures'!$J:$J,'Daily BSE Equity Futures'!$A:$A,$A1171))</f>
        <v>2620</v>
      </c>
      <c r="R1171" s="7">
        <f t="shared" si="222"/>
        <v>2032289</v>
      </c>
      <c r="S1171" s="19">
        <f t="shared" si="223"/>
        <v>0.99871081327508049</v>
      </c>
      <c r="T1171" s="19">
        <f t="shared" si="224"/>
        <v>1.2891867249195366E-3</v>
      </c>
    </row>
    <row r="1172" spans="1:20" x14ac:dyDescent="0.2">
      <c r="A1172" s="9">
        <v>45644</v>
      </c>
      <c r="B1172" s="4" t="s">
        <v>221</v>
      </c>
      <c r="C1172" s="8">
        <v>45627</v>
      </c>
      <c r="D1172" s="4" t="s">
        <v>191</v>
      </c>
      <c r="E1172" s="14">
        <f>IF(SUMIFS('Daily NSE Equity Futures'!$I:$I,'Daily NSE Equity Futures'!$A:$A,$A1172)=0,"",SUMIFS('Daily NSE Equity Futures'!$I:$I,'Daily NSE Equity Futures'!$A:$A,$A1172))</f>
        <v>1320.7542000000001</v>
      </c>
      <c r="F1172" s="6">
        <f>IF(SUMIFS('Daily BSE Equity Futures'!$I:$I,'Daily BSE Equity Futures'!$A:$A,$A1172)=0,"",SUMIFS('Daily BSE Equity Futures'!$I:$I,'Daily BSE Equity Futures'!$A:$A,$A1172))</f>
        <v>1.23</v>
      </c>
      <c r="G1172" s="6">
        <f t="shared" si="216"/>
        <v>1321.9842000000001</v>
      </c>
      <c r="H1172" s="15">
        <f t="shared" si="217"/>
        <v>0.99906958040799576</v>
      </c>
      <c r="I1172" s="15">
        <f t="shared" si="218"/>
        <v>9.3041959200420091E-4</v>
      </c>
      <c r="J1172" s="20">
        <f t="shared" si="219"/>
        <v>0.17565048002348549</v>
      </c>
      <c r="K1172" s="15">
        <f t="shared" si="220"/>
        <v>-4.3397106859542789E-2</v>
      </c>
      <c r="L1172" s="15">
        <f t="shared" si="221"/>
        <v>0.17540005868179365</v>
      </c>
      <c r="M1172" s="15">
        <f t="shared" si="225"/>
        <v>-3.9924616058297335E-2</v>
      </c>
      <c r="N1172" s="15">
        <f t="shared" si="226"/>
        <v>-0.42218255273171412</v>
      </c>
      <c r="O1172" s="15">
        <f t="shared" si="227"/>
        <v>-4.0515201592560501E-2</v>
      </c>
      <c r="P1172" s="18">
        <f>IF(SUMIFS('Daily NSE Equity Futures'!$J:$J,'Daily NSE Equity Futures'!$A:$A,$A1172)=0,"",SUMIFS('Daily NSE Equity Futures'!$J:$J,'Daily NSE Equity Futures'!$A:$A,$A1172))</f>
        <v>1958055</v>
      </c>
      <c r="Q1172" s="7">
        <f>IF(SUMIFS('Daily BSE Equity Futures'!$J:$J,'Daily BSE Equity Futures'!$A:$A,$A1172)=0,"",SUMIFS('Daily BSE Equity Futures'!$J:$J,'Daily BSE Equity Futures'!$A:$A,$A1172))</f>
        <v>1526</v>
      </c>
      <c r="R1172" s="7">
        <f t="shared" si="222"/>
        <v>1959581</v>
      </c>
      <c r="S1172" s="19">
        <f t="shared" si="223"/>
        <v>0.99922126209633588</v>
      </c>
      <c r="T1172" s="19">
        <f t="shared" si="224"/>
        <v>7.7873790366409965E-4</v>
      </c>
    </row>
    <row r="1173" spans="1:20" x14ac:dyDescent="0.2">
      <c r="A1173" s="9">
        <v>45645</v>
      </c>
      <c r="B1173" s="4" t="s">
        <v>224</v>
      </c>
      <c r="C1173" s="8">
        <v>45627</v>
      </c>
      <c r="D1173" s="4" t="s">
        <v>191</v>
      </c>
      <c r="E1173" s="14">
        <f>IF(SUMIFS('Daily NSE Equity Futures'!$I:$I,'Daily NSE Equity Futures'!$A:$A,$A1173)=0,"",SUMIFS('Daily NSE Equity Futures'!$I:$I,'Daily NSE Equity Futures'!$A:$A,$A1173))</f>
        <v>1547.1579999999999</v>
      </c>
      <c r="F1173" s="6">
        <f>IF(SUMIFS('Daily BSE Equity Futures'!$I:$I,'Daily BSE Equity Futures'!$A:$A,$A1173)=0,"",SUMIFS('Daily BSE Equity Futures'!$I:$I,'Daily BSE Equity Futures'!$A:$A,$A1173))</f>
        <v>1.4321999999999999</v>
      </c>
      <c r="G1173" s="6">
        <f t="shared" si="216"/>
        <v>1548.5901999999999</v>
      </c>
      <c r="H1173" s="15">
        <f t="shared" si="217"/>
        <v>0.99907515881218933</v>
      </c>
      <c r="I1173" s="15">
        <f t="shared" si="218"/>
        <v>9.2484118781069389E-4</v>
      </c>
      <c r="J1173" s="20">
        <f t="shared" si="219"/>
        <v>0.28476845389298222</v>
      </c>
      <c r="K1173" s="15">
        <f t="shared" si="220"/>
        <v>3.2036982682712063</v>
      </c>
      <c r="L1173" s="15">
        <f t="shared" si="221"/>
        <v>0.28559404143398015</v>
      </c>
      <c r="M1173" s="15">
        <f t="shared" si="225"/>
        <v>0.1714200870987197</v>
      </c>
      <c r="N1173" s="15">
        <f t="shared" si="226"/>
        <v>0.16439024390243895</v>
      </c>
      <c r="O1173" s="15">
        <f t="shared" si="227"/>
        <v>0.17141354639488116</v>
      </c>
      <c r="P1173" s="18">
        <f>IF(SUMIFS('Daily NSE Equity Futures'!$J:$J,'Daily NSE Equity Futures'!$A:$A,$A1173)=0,"",SUMIFS('Daily NSE Equity Futures'!$J:$J,'Daily NSE Equity Futures'!$A:$A,$A1173))</f>
        <v>2317520</v>
      </c>
      <c r="Q1173" s="7">
        <f>IF(SUMIFS('Daily BSE Equity Futures'!$J:$J,'Daily BSE Equity Futures'!$A:$A,$A1173)=0,"",SUMIFS('Daily BSE Equity Futures'!$J:$J,'Daily BSE Equity Futures'!$A:$A,$A1173))</f>
        <v>1798</v>
      </c>
      <c r="R1173" s="7">
        <f t="shared" si="222"/>
        <v>2319318</v>
      </c>
      <c r="S1173" s="19">
        <f t="shared" si="223"/>
        <v>0.99922477210973226</v>
      </c>
      <c r="T1173" s="19">
        <f t="shared" si="224"/>
        <v>7.7522789026774252E-4</v>
      </c>
    </row>
    <row r="1174" spans="1:20" x14ac:dyDescent="0.2">
      <c r="A1174" s="9">
        <v>45646</v>
      </c>
      <c r="B1174" s="4" t="s">
        <v>222</v>
      </c>
      <c r="C1174" s="8">
        <v>45627</v>
      </c>
      <c r="D1174" s="4" t="s">
        <v>191</v>
      </c>
      <c r="E1174" s="14">
        <f>IF(SUMIFS('Daily NSE Equity Futures'!$I:$I,'Daily NSE Equity Futures'!$A:$A,$A1174)=0,"",SUMIFS('Daily NSE Equity Futures'!$I:$I,'Daily NSE Equity Futures'!$A:$A,$A1174))</f>
        <v>3337.2168999999999</v>
      </c>
      <c r="F1174" s="6">
        <f>IF(SUMIFS('Daily BSE Equity Futures'!$I:$I,'Daily BSE Equity Futures'!$A:$A,$A1174)=0,"",SUMIFS('Daily BSE Equity Futures'!$I:$I,'Daily BSE Equity Futures'!$A:$A,$A1174))</f>
        <v>6.8615000000000004</v>
      </c>
      <c r="G1174" s="6">
        <f t="shared" si="216"/>
        <v>3344.0783999999999</v>
      </c>
      <c r="H1174" s="15">
        <f t="shared" si="217"/>
        <v>0.99794816413395093</v>
      </c>
      <c r="I1174" s="15">
        <f t="shared" si="218"/>
        <v>2.0518358660490737E-3</v>
      </c>
      <c r="J1174" s="20">
        <f t="shared" si="219"/>
        <v>0.67751454245736031</v>
      </c>
      <c r="K1174" s="15">
        <f t="shared" si="220"/>
        <v>5.0748118636564854</v>
      </c>
      <c r="L1174" s="15">
        <f t="shared" si="221"/>
        <v>0.68000975427770727</v>
      </c>
      <c r="M1174" s="15">
        <f t="shared" si="225"/>
        <v>1.1569981217173684</v>
      </c>
      <c r="N1174" s="15">
        <f t="shared" si="226"/>
        <v>3.7908811618489047</v>
      </c>
      <c r="O1174" s="15">
        <f t="shared" si="227"/>
        <v>1.159434045236758</v>
      </c>
      <c r="P1174" s="18">
        <f>IF(SUMIFS('Daily NSE Equity Futures'!$J:$J,'Daily NSE Equity Futures'!$A:$A,$A1174)=0,"",SUMIFS('Daily NSE Equity Futures'!$J:$J,'Daily NSE Equity Futures'!$A:$A,$A1174))</f>
        <v>5126331</v>
      </c>
      <c r="Q1174" s="7">
        <f>IF(SUMIFS('Daily BSE Equity Futures'!$J:$J,'Daily BSE Equity Futures'!$A:$A,$A1174)=0,"",SUMIFS('Daily BSE Equity Futures'!$J:$J,'Daily BSE Equity Futures'!$A:$A,$A1174))</f>
        <v>8709</v>
      </c>
      <c r="R1174" s="7">
        <f t="shared" si="222"/>
        <v>5135040</v>
      </c>
      <c r="S1174" s="19">
        <f t="shared" si="223"/>
        <v>0.99830400542157416</v>
      </c>
      <c r="T1174" s="19">
        <f t="shared" si="224"/>
        <v>1.695994578425874E-3</v>
      </c>
    </row>
    <row r="1175" spans="1:20" x14ac:dyDescent="0.2">
      <c r="A1175" s="9">
        <v>45649</v>
      </c>
      <c r="B1175" s="4" t="s">
        <v>225</v>
      </c>
      <c r="C1175" s="8">
        <v>45627</v>
      </c>
      <c r="D1175" s="4" t="s">
        <v>191</v>
      </c>
      <c r="E1175" s="14">
        <f>IF(SUMIFS('Daily NSE Equity Futures'!$I:$I,'Daily NSE Equity Futures'!$A:$A,$A1175)=0,"",SUMIFS('Daily NSE Equity Futures'!$I:$I,'Daily NSE Equity Futures'!$A:$A,$A1175))</f>
        <v>3288.9043000000001</v>
      </c>
      <c r="F1175" s="6">
        <f>IF(SUMIFS('Daily BSE Equity Futures'!$I:$I,'Daily BSE Equity Futures'!$A:$A,$A1175)=0,"",SUMIFS('Daily BSE Equity Futures'!$I:$I,'Daily BSE Equity Futures'!$A:$A,$A1175))</f>
        <v>1.637</v>
      </c>
      <c r="G1175" s="6">
        <f t="shared" si="216"/>
        <v>3290.5413000000003</v>
      </c>
      <c r="H1175" s="15">
        <f t="shared" si="217"/>
        <v>0.99950251346184282</v>
      </c>
      <c r="I1175" s="15">
        <f t="shared" si="218"/>
        <v>4.9748653815711111E-4</v>
      </c>
      <c r="J1175" s="20" t="str">
        <f t="shared" si="219"/>
        <v/>
      </c>
      <c r="K1175" s="15" t="str">
        <f t="shared" si="220"/>
        <v/>
      </c>
      <c r="L1175" s="15" t="str">
        <f t="shared" si="221"/>
        <v/>
      </c>
      <c r="M1175" s="15">
        <f t="shared" si="225"/>
        <v>-1.4476913382525325E-2</v>
      </c>
      <c r="N1175" s="15">
        <f t="shared" si="226"/>
        <v>-0.76142242949792327</v>
      </c>
      <c r="O1175" s="15">
        <f t="shared" si="227"/>
        <v>-1.6009522982475377E-2</v>
      </c>
      <c r="P1175" s="18">
        <f>IF(SUMIFS('Daily NSE Equity Futures'!$J:$J,'Daily NSE Equity Futures'!$A:$A,$A1175)=0,"",SUMIFS('Daily NSE Equity Futures'!$J:$J,'Daily NSE Equity Futures'!$A:$A,$A1175))</f>
        <v>5121449</v>
      </c>
      <c r="Q1175" s="7">
        <f>IF(SUMIFS('Daily BSE Equity Futures'!$J:$J,'Daily BSE Equity Futures'!$A:$A,$A1175)=0,"",SUMIFS('Daily BSE Equity Futures'!$J:$J,'Daily BSE Equity Futures'!$A:$A,$A1175))</f>
        <v>2050</v>
      </c>
      <c r="R1175" s="7">
        <f t="shared" si="222"/>
        <v>5123499</v>
      </c>
      <c r="S1175" s="19">
        <f t="shared" si="223"/>
        <v>0.99959988281445944</v>
      </c>
      <c r="T1175" s="19">
        <f t="shared" si="224"/>
        <v>4.0011718554058465E-4</v>
      </c>
    </row>
    <row r="1176" spans="1:20" x14ac:dyDescent="0.2">
      <c r="A1176" s="9">
        <v>45650</v>
      </c>
      <c r="B1176" s="4" t="s">
        <v>223</v>
      </c>
      <c r="C1176" s="8">
        <v>45627</v>
      </c>
      <c r="D1176" s="4" t="s">
        <v>191</v>
      </c>
      <c r="E1176" s="14">
        <f>IF(SUMIFS('Daily NSE Equity Futures'!$I:$I,'Daily NSE Equity Futures'!$A:$A,$A1176)=0,"",SUMIFS('Daily NSE Equity Futures'!$I:$I,'Daily NSE Equity Futures'!$A:$A,$A1176))</f>
        <v>3177.4407999999999</v>
      </c>
      <c r="F1176" s="6">
        <f>IF(SUMIFS('Daily BSE Equity Futures'!$I:$I,'Daily BSE Equity Futures'!$A:$A,$A1176)=0,"",SUMIFS('Daily BSE Equity Futures'!$I:$I,'Daily BSE Equity Futures'!$A:$A,$A1176))</f>
        <v>1.1875</v>
      </c>
      <c r="G1176" s="6">
        <f t="shared" si="216"/>
        <v>3178.6282999999999</v>
      </c>
      <c r="H1176" s="15">
        <f t="shared" si="217"/>
        <v>0.99962641117868356</v>
      </c>
      <c r="I1176" s="15">
        <f t="shared" si="218"/>
        <v>3.73588821316415E-4</v>
      </c>
      <c r="J1176" s="20" t="str">
        <f t="shared" si="219"/>
        <v/>
      </c>
      <c r="K1176" s="15" t="str">
        <f t="shared" si="220"/>
        <v/>
      </c>
      <c r="L1176" s="15" t="str">
        <f t="shared" si="221"/>
        <v/>
      </c>
      <c r="M1176" s="15">
        <f t="shared" si="225"/>
        <v>-3.3890770248316548E-2</v>
      </c>
      <c r="N1176" s="15">
        <f t="shared" si="226"/>
        <v>-0.27458766035430671</v>
      </c>
      <c r="O1176" s="15">
        <f t="shared" si="227"/>
        <v>-3.4010513710920565E-2</v>
      </c>
      <c r="P1176" s="18">
        <f>IF(SUMIFS('Daily NSE Equity Futures'!$J:$J,'Daily NSE Equity Futures'!$A:$A,$A1176)=0,"",SUMIFS('Daily NSE Equity Futures'!$J:$J,'Daily NSE Equity Futures'!$A:$A,$A1176))</f>
        <v>5020067</v>
      </c>
      <c r="Q1176" s="7">
        <f>IF(SUMIFS('Daily BSE Equity Futures'!$J:$J,'Daily BSE Equity Futures'!$A:$A,$A1176)=0,"",SUMIFS('Daily BSE Equity Futures'!$J:$J,'Daily BSE Equity Futures'!$A:$A,$A1176))</f>
        <v>1495</v>
      </c>
      <c r="R1176" s="7">
        <f t="shared" si="222"/>
        <v>5021562</v>
      </c>
      <c r="S1176" s="19">
        <f t="shared" si="223"/>
        <v>0.99970228387103455</v>
      </c>
      <c r="T1176" s="19">
        <f t="shared" si="224"/>
        <v>2.9771612896544938E-4</v>
      </c>
    </row>
    <row r="1177" spans="1:20" x14ac:dyDescent="0.2">
      <c r="A1177" s="9">
        <v>45652</v>
      </c>
      <c r="B1177" s="4" t="s">
        <v>224</v>
      </c>
      <c r="C1177" s="8">
        <v>45627</v>
      </c>
      <c r="D1177" s="4" t="s">
        <v>191</v>
      </c>
      <c r="E1177" s="14">
        <f>IF(SUMIFS('Daily NSE Equity Futures'!$I:$I,'Daily NSE Equity Futures'!$A:$A,$A1177)=0,"",SUMIFS('Daily NSE Equity Futures'!$I:$I,'Daily NSE Equity Futures'!$A:$A,$A1177))</f>
        <v>3007.3497000000002</v>
      </c>
      <c r="F1177" s="6">
        <f>IF(SUMIFS('Daily BSE Equity Futures'!$I:$I,'Daily BSE Equity Futures'!$A:$A,$A1177)=0,"",SUMIFS('Daily BSE Equity Futures'!$I:$I,'Daily BSE Equity Futures'!$A:$A,$A1177))</f>
        <v>2.0813999999999999</v>
      </c>
      <c r="G1177" s="6">
        <f t="shared" si="216"/>
        <v>3009.4311000000002</v>
      </c>
      <c r="H1177" s="15">
        <f t="shared" si="217"/>
        <v>0.99930837426382679</v>
      </c>
      <c r="I1177" s="15">
        <f t="shared" si="218"/>
        <v>6.9162573617319225E-4</v>
      </c>
      <c r="J1177" s="20">
        <f t="shared" si="219"/>
        <v>7.0221536075794955E-2</v>
      </c>
      <c r="K1177" s="15">
        <f t="shared" si="220"/>
        <v>2.0235328297501449</v>
      </c>
      <c r="L1177" s="15">
        <f t="shared" si="221"/>
        <v>7.0699941061235227E-2</v>
      </c>
      <c r="M1177" s="15">
        <f t="shared" si="225"/>
        <v>-5.3530847844592278E-2</v>
      </c>
      <c r="N1177" s="15">
        <f t="shared" si="226"/>
        <v>0.75275789473684207</v>
      </c>
      <c r="O1177" s="15">
        <f t="shared" si="227"/>
        <v>-5.3229627383610589E-2</v>
      </c>
      <c r="P1177" s="18">
        <f>IF(SUMIFS('Daily NSE Equity Futures'!$J:$J,'Daily NSE Equity Futures'!$A:$A,$A1177)=0,"",SUMIFS('Daily NSE Equity Futures'!$J:$J,'Daily NSE Equity Futures'!$A:$A,$A1177))</f>
        <v>4822854</v>
      </c>
      <c r="Q1177" s="7">
        <f>IF(SUMIFS('Daily BSE Equity Futures'!$J:$J,'Daily BSE Equity Futures'!$A:$A,$A1177)=0,"",SUMIFS('Daily BSE Equity Futures'!$J:$J,'Daily BSE Equity Futures'!$A:$A,$A1177))</f>
        <v>2641</v>
      </c>
      <c r="R1177" s="7">
        <f t="shared" si="222"/>
        <v>4825495</v>
      </c>
      <c r="S1177" s="19">
        <f t="shared" si="223"/>
        <v>0.99945269863506236</v>
      </c>
      <c r="T1177" s="19">
        <f t="shared" si="224"/>
        <v>5.4730136493769035E-4</v>
      </c>
    </row>
    <row r="1178" spans="1:20" x14ac:dyDescent="0.2">
      <c r="A1178" s="9">
        <v>45653</v>
      </c>
      <c r="B1178" s="4" t="s">
        <v>222</v>
      </c>
      <c r="C1178" s="8">
        <v>45627</v>
      </c>
      <c r="D1178" s="4" t="s">
        <v>191</v>
      </c>
      <c r="E1178" s="14">
        <f>IF(SUMIFS('Daily NSE Equity Futures'!$I:$I,'Daily NSE Equity Futures'!$A:$A,$A1178)=0,"",SUMIFS('Daily NSE Equity Futures'!$I:$I,'Daily NSE Equity Futures'!$A:$A,$A1178))</f>
        <v>812.85540000000003</v>
      </c>
      <c r="F1178" s="6">
        <f>IF(SUMIFS('Daily BSE Equity Futures'!$I:$I,'Daily BSE Equity Futures'!$A:$A,$A1178)=0,"",SUMIFS('Daily BSE Equity Futures'!$I:$I,'Daily BSE Equity Futures'!$A:$A,$A1178))</f>
        <v>5.2205000000000004</v>
      </c>
      <c r="G1178" s="6">
        <f t="shared" si="216"/>
        <v>818.07590000000005</v>
      </c>
      <c r="H1178" s="15">
        <f t="shared" si="217"/>
        <v>0.99361856277638783</v>
      </c>
      <c r="I1178" s="15">
        <f t="shared" si="218"/>
        <v>6.3814372236121368E-3</v>
      </c>
      <c r="J1178" s="20">
        <f t="shared" si="219"/>
        <v>-0.69832019073118556</v>
      </c>
      <c r="K1178" s="15">
        <f t="shared" si="220"/>
        <v>1.5066020070101311</v>
      </c>
      <c r="L1178" s="15">
        <f t="shared" si="221"/>
        <v>-0.69661718005056605</v>
      </c>
      <c r="M1178" s="15">
        <f t="shared" si="225"/>
        <v>-0.72971038253383036</v>
      </c>
      <c r="N1178" s="15">
        <f t="shared" si="226"/>
        <v>1.5081675795137892</v>
      </c>
      <c r="O1178" s="15">
        <f t="shared" si="227"/>
        <v>-0.72816260854086345</v>
      </c>
      <c r="P1178" s="18">
        <f>IF(SUMIFS('Daily NSE Equity Futures'!$J:$J,'Daily NSE Equity Futures'!$A:$A,$A1178)=0,"",SUMIFS('Daily NSE Equity Futures'!$J:$J,'Daily NSE Equity Futures'!$A:$A,$A1178))</f>
        <v>1258906</v>
      </c>
      <c r="Q1178" s="7">
        <f>IF(SUMIFS('Daily BSE Equity Futures'!$J:$J,'Daily BSE Equity Futures'!$A:$A,$A1178)=0,"",SUMIFS('Daily BSE Equity Futures'!$J:$J,'Daily BSE Equity Futures'!$A:$A,$A1178))</f>
        <v>6606</v>
      </c>
      <c r="R1178" s="7">
        <f t="shared" si="222"/>
        <v>1265512</v>
      </c>
      <c r="S1178" s="19">
        <f t="shared" si="223"/>
        <v>0.99477997838029197</v>
      </c>
      <c r="T1178" s="19">
        <f t="shared" si="224"/>
        <v>5.2200216197080705E-3</v>
      </c>
    </row>
    <row r="1179" spans="1:20" x14ac:dyDescent="0.2">
      <c r="A1179" s="9">
        <v>45656</v>
      </c>
      <c r="B1179" s="4" t="s">
        <v>225</v>
      </c>
      <c r="C1179" s="8">
        <v>45627</v>
      </c>
      <c r="D1179" s="4" t="s">
        <v>191</v>
      </c>
      <c r="E1179" s="14">
        <f>IF(SUMIFS('Daily NSE Equity Futures'!$I:$I,'Daily NSE Equity Futures'!$A:$A,$A1179)=0,"",SUMIFS('Daily NSE Equity Futures'!$I:$I,'Daily NSE Equity Futures'!$A:$A,$A1179))</f>
        <v>1286.6857</v>
      </c>
      <c r="F1179" s="6">
        <f>IF(SUMIFS('Daily BSE Equity Futures'!$I:$I,'Daily BSE Equity Futures'!$A:$A,$A1179)=0,"",SUMIFS('Daily BSE Equity Futures'!$I:$I,'Daily BSE Equity Futures'!$A:$A,$A1179))</f>
        <v>2.1021999999999998</v>
      </c>
      <c r="G1179" s="6">
        <f t="shared" si="216"/>
        <v>1288.7879</v>
      </c>
      <c r="H1179" s="15">
        <f t="shared" si="217"/>
        <v>0.9983688549527816</v>
      </c>
      <c r="I1179" s="15">
        <f t="shared" si="218"/>
        <v>1.6311450472183979E-3</v>
      </c>
      <c r="J1179" s="20" t="str">
        <f t="shared" si="219"/>
        <v/>
      </c>
      <c r="K1179" s="15" t="str">
        <f t="shared" si="220"/>
        <v/>
      </c>
      <c r="L1179" s="15" t="str">
        <f t="shared" si="221"/>
        <v/>
      </c>
      <c r="M1179" s="15">
        <f t="shared" si="225"/>
        <v>0.58292077533101216</v>
      </c>
      <c r="N1179" s="15">
        <f t="shared" si="226"/>
        <v>-0.59731826453404846</v>
      </c>
      <c r="O1179" s="15">
        <f t="shared" si="227"/>
        <v>0.57538915398925705</v>
      </c>
      <c r="P1179" s="18">
        <f>IF(SUMIFS('Daily NSE Equity Futures'!$J:$J,'Daily NSE Equity Futures'!$A:$A,$A1179)=0,"",SUMIFS('Daily NSE Equity Futures'!$J:$J,'Daily NSE Equity Futures'!$A:$A,$A1179))</f>
        <v>1967275</v>
      </c>
      <c r="Q1179" s="7">
        <f>IF(SUMIFS('Daily BSE Equity Futures'!$J:$J,'Daily BSE Equity Futures'!$A:$A,$A1179)=0,"",SUMIFS('Daily BSE Equity Futures'!$J:$J,'Daily BSE Equity Futures'!$A:$A,$A1179))</f>
        <v>2503</v>
      </c>
      <c r="R1179" s="7">
        <f t="shared" si="222"/>
        <v>1969778</v>
      </c>
      <c r="S1179" s="19">
        <f t="shared" si="223"/>
        <v>0.99872929842855385</v>
      </c>
      <c r="T1179" s="19">
        <f t="shared" si="224"/>
        <v>1.2707015714461224E-3</v>
      </c>
    </row>
    <row r="1180" spans="1:20" x14ac:dyDescent="0.2">
      <c r="A1180" s="9">
        <v>45657</v>
      </c>
      <c r="B1180" s="4" t="s">
        <v>223</v>
      </c>
      <c r="C1180" s="8">
        <v>45627</v>
      </c>
      <c r="D1180" s="4" t="s">
        <v>191</v>
      </c>
      <c r="E1180" s="14">
        <f>IF(SUMIFS('Daily NSE Equity Futures'!$I:$I,'Daily NSE Equity Futures'!$A:$A,$A1180)=0,"",SUMIFS('Daily NSE Equity Futures'!$I:$I,'Daily NSE Equity Futures'!$A:$A,$A1180))</f>
        <v>874.48209999999995</v>
      </c>
      <c r="F1180" s="6">
        <f>IF(SUMIFS('Daily BSE Equity Futures'!$I:$I,'Daily BSE Equity Futures'!$A:$A,$A1180)=0,"",SUMIFS('Daily BSE Equity Futures'!$I:$I,'Daily BSE Equity Futures'!$A:$A,$A1180))</f>
        <v>1.1169</v>
      </c>
      <c r="G1180" s="6">
        <f t="shared" si="216"/>
        <v>875.59899999999993</v>
      </c>
      <c r="H1180" s="15">
        <f t="shared" si="217"/>
        <v>0.99872441608544549</v>
      </c>
      <c r="I1180" s="15">
        <f t="shared" si="218"/>
        <v>1.2755839145544936E-3</v>
      </c>
      <c r="J1180" s="20" t="str">
        <f t="shared" si="219"/>
        <v/>
      </c>
      <c r="K1180" s="15" t="str">
        <f t="shared" si="220"/>
        <v/>
      </c>
      <c r="L1180" s="15" t="str">
        <f t="shared" si="221"/>
        <v/>
      </c>
      <c r="M1180" s="15">
        <f t="shared" si="225"/>
        <v>-0.3203607532126922</v>
      </c>
      <c r="N1180" s="15">
        <f t="shared" si="226"/>
        <v>-0.46869945771096944</v>
      </c>
      <c r="O1180" s="15">
        <f t="shared" si="227"/>
        <v>-0.32060271515584537</v>
      </c>
      <c r="P1180" s="18">
        <f>IF(SUMIFS('Daily NSE Equity Futures'!$J:$J,'Daily NSE Equity Futures'!$A:$A,$A1180)=0,"",SUMIFS('Daily NSE Equity Futures'!$J:$J,'Daily NSE Equity Futures'!$A:$A,$A1180))</f>
        <v>1341646</v>
      </c>
      <c r="Q1180" s="7">
        <f>IF(SUMIFS('Daily BSE Equity Futures'!$J:$J,'Daily BSE Equity Futures'!$A:$A,$A1180)=0,"",SUMIFS('Daily BSE Equity Futures'!$J:$J,'Daily BSE Equity Futures'!$A:$A,$A1180))</f>
        <v>1356</v>
      </c>
      <c r="R1180" s="7">
        <f t="shared" si="222"/>
        <v>1343002</v>
      </c>
      <c r="S1180" s="19">
        <f t="shared" si="223"/>
        <v>0.9989903216823206</v>
      </c>
      <c r="T1180" s="19">
        <f t="shared" si="224"/>
        <v>1.0096783176793483E-3</v>
      </c>
    </row>
    <row r="1181" spans="1:20" x14ac:dyDescent="0.2">
      <c r="A1181" s="9">
        <v>45658</v>
      </c>
      <c r="B1181" s="4" t="s">
        <v>221</v>
      </c>
      <c r="C1181" s="8">
        <v>45658</v>
      </c>
      <c r="D1181" s="4" t="s">
        <v>192</v>
      </c>
      <c r="E1181" s="14">
        <f>IF(SUMIFS('Daily NSE Equity Futures'!$I:$I,'Daily NSE Equity Futures'!$A:$A,$A1181)=0,"",SUMIFS('Daily NSE Equity Futures'!$I:$I,'Daily NSE Equity Futures'!$A:$A,$A1181))</f>
        <v>703.91010000000006</v>
      </c>
      <c r="F1181" s="6">
        <f>IF(SUMIFS('Daily BSE Equity Futures'!$I:$I,'Daily BSE Equity Futures'!$A:$A,$A1181)=0,"",SUMIFS('Daily BSE Equity Futures'!$I:$I,'Daily BSE Equity Futures'!$A:$A,$A1181))</f>
        <v>0.83489999999999998</v>
      </c>
      <c r="G1181" s="6">
        <f t="shared" si="216"/>
        <v>704.745</v>
      </c>
      <c r="H1181" s="15">
        <f t="shared" si="217"/>
        <v>0.99881531617819219</v>
      </c>
      <c r="I1181" s="15">
        <f t="shared" si="218"/>
        <v>1.184683821807888E-3</v>
      </c>
      <c r="J1181" s="20">
        <f t="shared" si="219"/>
        <v>-0.27281819145381991</v>
      </c>
      <c r="K1181" s="15">
        <f t="shared" si="220"/>
        <v>0.76773237349142498</v>
      </c>
      <c r="L1181" s="15">
        <f t="shared" si="221"/>
        <v>-0.27231073930345984</v>
      </c>
      <c r="M1181" s="15">
        <f t="shared" si="225"/>
        <v>-0.1950548787676728</v>
      </c>
      <c r="N1181" s="15">
        <f t="shared" si="226"/>
        <v>-0.252484555466022</v>
      </c>
      <c r="O1181" s="15">
        <f t="shared" si="227"/>
        <v>-0.19512813513948735</v>
      </c>
      <c r="P1181" s="18">
        <f>IF(SUMIFS('Daily NSE Equity Futures'!$J:$J,'Daily NSE Equity Futures'!$A:$A,$A1181)=0,"",SUMIFS('Daily NSE Equity Futures'!$J:$J,'Daily NSE Equity Futures'!$A:$A,$A1181))</f>
        <v>1074232</v>
      </c>
      <c r="Q1181" s="7">
        <f>IF(SUMIFS('Daily BSE Equity Futures'!$J:$J,'Daily BSE Equity Futures'!$A:$A,$A1181)=0,"",SUMIFS('Daily BSE Equity Futures'!$J:$J,'Daily BSE Equity Futures'!$A:$A,$A1181))</f>
        <v>1032</v>
      </c>
      <c r="R1181" s="7">
        <f t="shared" si="222"/>
        <v>1075264</v>
      </c>
      <c r="S1181" s="19">
        <f t="shared" si="223"/>
        <v>0.99904023570025591</v>
      </c>
      <c r="T1181" s="19">
        <f t="shared" si="224"/>
        <v>9.597642997440629E-4</v>
      </c>
    </row>
    <row r="1182" spans="1:20" x14ac:dyDescent="0.2">
      <c r="A1182" s="9">
        <v>45659</v>
      </c>
      <c r="B1182" s="4" t="s">
        <v>224</v>
      </c>
      <c r="C1182" s="8">
        <v>45658</v>
      </c>
      <c r="D1182" s="4" t="s">
        <v>192</v>
      </c>
      <c r="E1182" s="14">
        <f>IF(SUMIFS('Daily NSE Equity Futures'!$I:$I,'Daily NSE Equity Futures'!$A:$A,$A1182)=0,"",SUMIFS('Daily NSE Equity Futures'!$I:$I,'Daily NSE Equity Futures'!$A:$A,$A1182))</f>
        <v>1338.2295999999999</v>
      </c>
      <c r="F1182" s="6">
        <f>IF(SUMIFS('Daily BSE Equity Futures'!$I:$I,'Daily BSE Equity Futures'!$A:$A,$A1182)=0,"",SUMIFS('Daily BSE Equity Futures'!$I:$I,'Daily BSE Equity Futures'!$A:$A,$A1182))</f>
        <v>1.8786</v>
      </c>
      <c r="G1182" s="6">
        <f t="shared" si="216"/>
        <v>1340.1081999999999</v>
      </c>
      <c r="H1182" s="15">
        <f t="shared" si="217"/>
        <v>0.99859817289380071</v>
      </c>
      <c r="I1182" s="15">
        <f t="shared" si="218"/>
        <v>1.4018271061993354E-3</v>
      </c>
      <c r="J1182" s="20">
        <f t="shared" si="219"/>
        <v>-3.1146762525655181E-2</v>
      </c>
      <c r="K1182" s="15">
        <f t="shared" si="220"/>
        <v>0.84846993997835285</v>
      </c>
      <c r="L1182" s="15">
        <f t="shared" si="221"/>
        <v>-3.0500032048791703E-2</v>
      </c>
      <c r="M1182" s="15">
        <f t="shared" si="225"/>
        <v>0.90113709122798458</v>
      </c>
      <c r="N1182" s="15">
        <f t="shared" si="226"/>
        <v>1.2500898311174993</v>
      </c>
      <c r="O1182" s="15">
        <f t="shared" si="227"/>
        <v>0.90155048989350739</v>
      </c>
      <c r="P1182" s="18">
        <f>IF(SUMIFS('Daily NSE Equity Futures'!$J:$J,'Daily NSE Equity Futures'!$A:$A,$A1182)=0,"",SUMIFS('Daily NSE Equity Futures'!$J:$J,'Daily NSE Equity Futures'!$A:$A,$A1182))</f>
        <v>2033536</v>
      </c>
      <c r="Q1182" s="7">
        <f>IF(SUMIFS('Daily BSE Equity Futures'!$J:$J,'Daily BSE Equity Futures'!$A:$A,$A1182)=0,"",SUMIFS('Daily BSE Equity Futures'!$J:$J,'Daily BSE Equity Futures'!$A:$A,$A1182))</f>
        <v>2086</v>
      </c>
      <c r="R1182" s="7">
        <f t="shared" si="222"/>
        <v>2035622</v>
      </c>
      <c r="S1182" s="19">
        <f t="shared" si="223"/>
        <v>0.99897525179036184</v>
      </c>
      <c r="T1182" s="19">
        <f t="shared" si="224"/>
        <v>1.0247482096381352E-3</v>
      </c>
    </row>
    <row r="1183" spans="1:20" x14ac:dyDescent="0.2">
      <c r="A1183" s="9">
        <v>45660</v>
      </c>
      <c r="B1183" s="4" t="s">
        <v>222</v>
      </c>
      <c r="C1183" s="8">
        <v>45658</v>
      </c>
      <c r="D1183" s="4" t="s">
        <v>192</v>
      </c>
      <c r="E1183" s="14">
        <f>IF(SUMIFS('Daily NSE Equity Futures'!$I:$I,'Daily NSE Equity Futures'!$A:$A,$A1183)=0,"",SUMIFS('Daily NSE Equity Futures'!$I:$I,'Daily NSE Equity Futures'!$A:$A,$A1183))</f>
        <v>1232.0847000000001</v>
      </c>
      <c r="F1183" s="6">
        <f>IF(SUMIFS('Daily BSE Equity Futures'!$I:$I,'Daily BSE Equity Futures'!$A:$A,$A1183)=0,"",SUMIFS('Daily BSE Equity Futures'!$I:$I,'Daily BSE Equity Futures'!$A:$A,$A1183))</f>
        <v>7.5431999999999997</v>
      </c>
      <c r="G1183" s="6">
        <f t="shared" si="216"/>
        <v>1239.6279000000002</v>
      </c>
      <c r="H1183" s="15">
        <f t="shared" si="217"/>
        <v>0.99391494818727455</v>
      </c>
      <c r="I1183" s="15">
        <f t="shared" si="218"/>
        <v>6.0850518127254141E-3</v>
      </c>
      <c r="J1183" s="20">
        <f t="shared" si="219"/>
        <v>-9.3416759746939304E-2</v>
      </c>
      <c r="K1183" s="15">
        <f t="shared" si="220"/>
        <v>5.1531935720695001</v>
      </c>
      <c r="L1183" s="15">
        <f t="shared" si="221"/>
        <v>-8.8688412040010434E-2</v>
      </c>
      <c r="M1183" s="15">
        <f t="shared" si="225"/>
        <v>-7.9317405623070769E-2</v>
      </c>
      <c r="N1183" s="15">
        <f t="shared" si="226"/>
        <v>3.0153305653145956</v>
      </c>
      <c r="O1183" s="15">
        <f t="shared" si="227"/>
        <v>-7.4979244213265517E-2</v>
      </c>
      <c r="P1183" s="18">
        <f>IF(SUMIFS('Daily NSE Equity Futures'!$J:$J,'Daily NSE Equity Futures'!$A:$A,$A1183)=0,"",SUMIFS('Daily NSE Equity Futures'!$J:$J,'Daily NSE Equity Futures'!$A:$A,$A1183))</f>
        <v>1886147</v>
      </c>
      <c r="Q1183" s="7">
        <f>IF(SUMIFS('Daily BSE Equity Futures'!$J:$J,'Daily BSE Equity Futures'!$A:$A,$A1183)=0,"",SUMIFS('Daily BSE Equity Futures'!$J:$J,'Daily BSE Equity Futures'!$A:$A,$A1183))</f>
        <v>8236</v>
      </c>
      <c r="R1183" s="7">
        <f t="shared" si="222"/>
        <v>1894383</v>
      </c>
      <c r="S1183" s="19">
        <f t="shared" si="223"/>
        <v>0.99565241030984764</v>
      </c>
      <c r="T1183" s="19">
        <f t="shared" si="224"/>
        <v>4.3475896901524133E-3</v>
      </c>
    </row>
    <row r="1184" spans="1:20" x14ac:dyDescent="0.2">
      <c r="A1184" s="9">
        <v>45663</v>
      </c>
      <c r="B1184" s="4" t="s">
        <v>225</v>
      </c>
      <c r="C1184" s="8">
        <v>45658</v>
      </c>
      <c r="D1184" s="4" t="s">
        <v>192</v>
      </c>
      <c r="E1184" s="14">
        <f>IF(SUMIFS('Daily NSE Equity Futures'!$I:$I,'Daily NSE Equity Futures'!$A:$A,$A1184)=0,"",SUMIFS('Daily NSE Equity Futures'!$I:$I,'Daily NSE Equity Futures'!$A:$A,$A1184))</f>
        <v>1542.3869999999999</v>
      </c>
      <c r="F1184" s="6">
        <f>IF(SUMIFS('Daily BSE Equity Futures'!$I:$I,'Daily BSE Equity Futures'!$A:$A,$A1184)=0,"",SUMIFS('Daily BSE Equity Futures'!$I:$I,'Daily BSE Equity Futures'!$A:$A,$A1184))</f>
        <v>3.5619999999999998</v>
      </c>
      <c r="G1184" s="6">
        <f t="shared" si="216"/>
        <v>1545.9489999999998</v>
      </c>
      <c r="H1184" s="15">
        <f t="shared" si="217"/>
        <v>0.99769591364268817</v>
      </c>
      <c r="I1184" s="15">
        <f t="shared" si="218"/>
        <v>2.3040863573119165E-3</v>
      </c>
      <c r="J1184" s="20" t="str">
        <f t="shared" si="219"/>
        <v/>
      </c>
      <c r="K1184" s="15" t="str">
        <f t="shared" si="220"/>
        <v/>
      </c>
      <c r="L1184" s="15" t="str">
        <f t="shared" si="221"/>
        <v/>
      </c>
      <c r="M1184" s="15">
        <f t="shared" si="225"/>
        <v>0.2518514352138288</v>
      </c>
      <c r="N1184" s="15">
        <f t="shared" si="226"/>
        <v>-0.52778661575988972</v>
      </c>
      <c r="O1184" s="15">
        <f t="shared" si="227"/>
        <v>0.24710729727848135</v>
      </c>
      <c r="P1184" s="18">
        <f>IF(SUMIFS('Daily NSE Equity Futures'!$J:$J,'Daily NSE Equity Futures'!$A:$A,$A1184)=0,"",SUMIFS('Daily NSE Equity Futures'!$J:$J,'Daily NSE Equity Futures'!$A:$A,$A1184))</f>
        <v>2354952</v>
      </c>
      <c r="Q1184" s="7">
        <f>IF(SUMIFS('Daily BSE Equity Futures'!$J:$J,'Daily BSE Equity Futures'!$A:$A,$A1184)=0,"",SUMIFS('Daily BSE Equity Futures'!$J:$J,'Daily BSE Equity Futures'!$A:$A,$A1184))</f>
        <v>2516</v>
      </c>
      <c r="R1184" s="7">
        <f t="shared" si="222"/>
        <v>2357468</v>
      </c>
      <c r="S1184" s="19">
        <f t="shared" si="223"/>
        <v>0.99893275327597231</v>
      </c>
      <c r="T1184" s="19">
        <f t="shared" si="224"/>
        <v>1.0672467240276432E-3</v>
      </c>
    </row>
    <row r="1185" spans="1:20" x14ac:dyDescent="0.2">
      <c r="A1185" s="9">
        <v>45664</v>
      </c>
      <c r="B1185" s="4" t="s">
        <v>223</v>
      </c>
      <c r="C1185" s="8">
        <v>45658</v>
      </c>
      <c r="D1185" s="4" t="s">
        <v>192</v>
      </c>
      <c r="E1185" s="14">
        <f>IF(SUMIFS('Daily NSE Equity Futures'!$I:$I,'Daily NSE Equity Futures'!$A:$A,$A1185)=0,"",SUMIFS('Daily NSE Equity Futures'!$I:$I,'Daily NSE Equity Futures'!$A:$A,$A1185))</f>
        <v>972.63480000000004</v>
      </c>
      <c r="F1185" s="6">
        <f>IF(SUMIFS('Daily BSE Equity Futures'!$I:$I,'Daily BSE Equity Futures'!$A:$A,$A1185)=0,"",SUMIFS('Daily BSE Equity Futures'!$I:$I,'Daily BSE Equity Futures'!$A:$A,$A1185))</f>
        <v>4.7203999999999997</v>
      </c>
      <c r="G1185" s="6">
        <f t="shared" si="216"/>
        <v>977.35520000000008</v>
      </c>
      <c r="H1185" s="15">
        <f t="shared" si="217"/>
        <v>0.99517023084340261</v>
      </c>
      <c r="I1185" s="15">
        <f t="shared" si="218"/>
        <v>4.8297691565973144E-3</v>
      </c>
      <c r="J1185" s="20" t="str">
        <f t="shared" si="219"/>
        <v/>
      </c>
      <c r="K1185" s="15" t="str">
        <f t="shared" si="220"/>
        <v/>
      </c>
      <c r="L1185" s="15" t="str">
        <f t="shared" si="221"/>
        <v/>
      </c>
      <c r="M1185" s="15">
        <f t="shared" si="225"/>
        <v>-0.36939639662419343</v>
      </c>
      <c r="N1185" s="15">
        <f t="shared" si="226"/>
        <v>0.32521055586749026</v>
      </c>
      <c r="O1185" s="15">
        <f t="shared" si="227"/>
        <v>-0.36779596222126332</v>
      </c>
      <c r="P1185" s="18">
        <f>IF(SUMIFS('Daily NSE Equity Futures'!$J:$J,'Daily NSE Equity Futures'!$A:$A,$A1185)=0,"",SUMIFS('Daily NSE Equity Futures'!$J:$J,'Daily NSE Equity Futures'!$A:$A,$A1185))</f>
        <v>1503296</v>
      </c>
      <c r="Q1185" s="7">
        <f>IF(SUMIFS('Daily BSE Equity Futures'!$J:$J,'Daily BSE Equity Futures'!$A:$A,$A1185)=0,"",SUMIFS('Daily BSE Equity Futures'!$J:$J,'Daily BSE Equity Futures'!$A:$A,$A1185))</f>
        <v>3182</v>
      </c>
      <c r="R1185" s="7">
        <f t="shared" si="222"/>
        <v>1506478</v>
      </c>
      <c r="S1185" s="19">
        <f t="shared" si="223"/>
        <v>0.99788778860361715</v>
      </c>
      <c r="T1185" s="19">
        <f t="shared" si="224"/>
        <v>2.1122113963828212E-3</v>
      </c>
    </row>
    <row r="1186" spans="1:20" x14ac:dyDescent="0.2">
      <c r="A1186" s="9">
        <v>45665</v>
      </c>
      <c r="B1186" s="4" t="s">
        <v>221</v>
      </c>
      <c r="C1186" s="8">
        <v>45658</v>
      </c>
      <c r="D1186" s="4" t="s">
        <v>192</v>
      </c>
      <c r="E1186" s="14">
        <f>IF(SUMIFS('Daily NSE Equity Futures'!$I:$I,'Daily NSE Equity Futures'!$A:$A,$A1186)=0,"",SUMIFS('Daily NSE Equity Futures'!$I:$I,'Daily NSE Equity Futures'!$A:$A,$A1186))</f>
        <v>1184.4332999999999</v>
      </c>
      <c r="F1186" s="6">
        <f>IF(SUMIFS('Daily BSE Equity Futures'!$I:$I,'Daily BSE Equity Futures'!$A:$A,$A1186)=0,"",SUMIFS('Daily BSE Equity Futures'!$I:$I,'Daily BSE Equity Futures'!$A:$A,$A1186))</f>
        <v>2.4369000000000001</v>
      </c>
      <c r="G1186" s="6">
        <f t="shared" si="216"/>
        <v>1186.8701999999998</v>
      </c>
      <c r="H1186" s="15">
        <f t="shared" si="217"/>
        <v>0.99794678474529064</v>
      </c>
      <c r="I1186" s="15">
        <f t="shared" si="218"/>
        <v>2.0532152547094035E-3</v>
      </c>
      <c r="J1186" s="20">
        <f t="shared" si="219"/>
        <v>-1.6296185190242118E-2</v>
      </c>
      <c r="K1186" s="15">
        <f t="shared" si="220"/>
        <v>0.97303862035462707</v>
      </c>
      <c r="L1186" s="15">
        <f t="shared" si="221"/>
        <v>-1.5282381442008441E-2</v>
      </c>
      <c r="M1186" s="15">
        <f t="shared" si="225"/>
        <v>0.21775747690705693</v>
      </c>
      <c r="N1186" s="15">
        <f t="shared" si="226"/>
        <v>-0.48375137700194892</v>
      </c>
      <c r="O1186" s="15">
        <f t="shared" si="227"/>
        <v>0.21436935108136712</v>
      </c>
      <c r="P1186" s="18">
        <f>IF(SUMIFS('Daily NSE Equity Futures'!$J:$J,'Daily NSE Equity Futures'!$A:$A,$A1186)=0,"",SUMIFS('Daily NSE Equity Futures'!$J:$J,'Daily NSE Equity Futures'!$A:$A,$A1186))</f>
        <v>1815642</v>
      </c>
      <c r="Q1186" s="7">
        <f>IF(SUMIFS('Daily BSE Equity Futures'!$J:$J,'Daily BSE Equity Futures'!$A:$A,$A1186)=0,"",SUMIFS('Daily BSE Equity Futures'!$J:$J,'Daily BSE Equity Futures'!$A:$A,$A1186))</f>
        <v>1795</v>
      </c>
      <c r="R1186" s="7">
        <f t="shared" si="222"/>
        <v>1817437</v>
      </c>
      <c r="S1186" s="19">
        <f t="shared" si="223"/>
        <v>0.99901234540729611</v>
      </c>
      <c r="T1186" s="19">
        <f t="shared" si="224"/>
        <v>9.8765459270390107E-4</v>
      </c>
    </row>
    <row r="1187" spans="1:20" x14ac:dyDescent="0.2">
      <c r="A1187" s="9">
        <v>45666</v>
      </c>
      <c r="B1187" s="4" t="s">
        <v>224</v>
      </c>
      <c r="C1187" s="8">
        <v>45658</v>
      </c>
      <c r="D1187" s="4" t="s">
        <v>192</v>
      </c>
      <c r="E1187" s="14">
        <f>IF(SUMIFS('Daily NSE Equity Futures'!$I:$I,'Daily NSE Equity Futures'!$A:$A,$A1187)=0,"",SUMIFS('Daily NSE Equity Futures'!$I:$I,'Daily NSE Equity Futures'!$A:$A,$A1187))</f>
        <v>1156.0956000000001</v>
      </c>
      <c r="F1187" s="6">
        <f>IF(SUMIFS('Daily BSE Equity Futures'!$I:$I,'Daily BSE Equity Futures'!$A:$A,$A1187)=0,"",SUMIFS('Daily BSE Equity Futures'!$I:$I,'Daily BSE Equity Futures'!$A:$A,$A1187))</f>
        <v>2.0667</v>
      </c>
      <c r="G1187" s="6">
        <f t="shared" si="216"/>
        <v>1158.1623000000002</v>
      </c>
      <c r="H1187" s="15">
        <f t="shared" si="217"/>
        <v>0.99821553507656047</v>
      </c>
      <c r="I1187" s="15">
        <f t="shared" si="218"/>
        <v>1.7844649234394865E-3</v>
      </c>
      <c r="J1187" s="20">
        <f t="shared" si="219"/>
        <v>-5.4485201177215781E-2</v>
      </c>
      <c r="K1187" s="15">
        <f t="shared" si="220"/>
        <v>1.2408110159384149</v>
      </c>
      <c r="L1187" s="15">
        <f t="shared" si="221"/>
        <v>-5.3508889640381918E-2</v>
      </c>
      <c r="M1187" s="15">
        <f t="shared" si="225"/>
        <v>-2.3925112541161919E-2</v>
      </c>
      <c r="N1187" s="15">
        <f t="shared" si="226"/>
        <v>-0.15191431737042971</v>
      </c>
      <c r="O1187" s="15">
        <f t="shared" si="227"/>
        <v>-2.4187901928955369E-2</v>
      </c>
      <c r="P1187" s="18">
        <f>IF(SUMIFS('Daily NSE Equity Futures'!$J:$J,'Daily NSE Equity Futures'!$A:$A,$A1187)=0,"",SUMIFS('Daily NSE Equity Futures'!$J:$J,'Daily NSE Equity Futures'!$A:$A,$A1187))</f>
        <v>1781267</v>
      </c>
      <c r="Q1187" s="7">
        <f>IF(SUMIFS('Daily BSE Equity Futures'!$J:$J,'Daily BSE Equity Futures'!$A:$A,$A1187)=0,"",SUMIFS('Daily BSE Equity Futures'!$J:$J,'Daily BSE Equity Futures'!$A:$A,$A1187))</f>
        <v>1457</v>
      </c>
      <c r="R1187" s="7">
        <f t="shared" si="222"/>
        <v>1782724</v>
      </c>
      <c r="S1187" s="19">
        <f t="shared" si="223"/>
        <v>0.99918271140120396</v>
      </c>
      <c r="T1187" s="19">
        <f t="shared" si="224"/>
        <v>8.1728859879599987E-4</v>
      </c>
    </row>
    <row r="1188" spans="1:20" x14ac:dyDescent="0.2">
      <c r="A1188" s="9">
        <v>45667</v>
      </c>
      <c r="B1188" s="4" t="s">
        <v>222</v>
      </c>
      <c r="C1188" s="8">
        <v>45658</v>
      </c>
      <c r="D1188" s="4" t="s">
        <v>192</v>
      </c>
      <c r="E1188" s="14">
        <f>IF(SUMIFS('Daily NSE Equity Futures'!$I:$I,'Daily NSE Equity Futures'!$A:$A,$A1188)=0,"",SUMIFS('Daily NSE Equity Futures'!$I:$I,'Daily NSE Equity Futures'!$A:$A,$A1188))</f>
        <v>1322.6493</v>
      </c>
      <c r="F1188" s="6">
        <f>IF(SUMIFS('Daily BSE Equity Futures'!$I:$I,'Daily BSE Equity Futures'!$A:$A,$A1188)=0,"",SUMIFS('Daily BSE Equity Futures'!$I:$I,'Daily BSE Equity Futures'!$A:$A,$A1188))</f>
        <v>2.2029000000000001</v>
      </c>
      <c r="G1188" s="6">
        <f t="shared" si="216"/>
        <v>1324.8522</v>
      </c>
      <c r="H1188" s="15">
        <f t="shared" si="217"/>
        <v>0.99833724848703875</v>
      </c>
      <c r="I1188" s="15">
        <f t="shared" si="218"/>
        <v>1.6627515129612194E-3</v>
      </c>
      <c r="J1188" s="20">
        <f t="shared" si="219"/>
        <v>0.19943190072491013</v>
      </c>
      <c r="K1188" s="15">
        <f t="shared" si="220"/>
        <v>2.0663975501113585</v>
      </c>
      <c r="L1188" s="15">
        <f t="shared" si="221"/>
        <v>0.20064738879450794</v>
      </c>
      <c r="M1188" s="15">
        <f t="shared" si="225"/>
        <v>0.14406568107343376</v>
      </c>
      <c r="N1188" s="15">
        <f t="shared" si="226"/>
        <v>6.5902162868340941E-2</v>
      </c>
      <c r="O1188" s="15">
        <f t="shared" si="227"/>
        <v>0.14392620101690401</v>
      </c>
      <c r="P1188" s="18">
        <f>IF(SUMIFS('Daily NSE Equity Futures'!$J:$J,'Daily NSE Equity Futures'!$A:$A,$A1188)=0,"",SUMIFS('Daily NSE Equity Futures'!$J:$J,'Daily NSE Equity Futures'!$A:$A,$A1188))</f>
        <v>2054720</v>
      </c>
      <c r="Q1188" s="7">
        <f>IF(SUMIFS('Daily BSE Equity Futures'!$J:$J,'Daily BSE Equity Futures'!$A:$A,$A1188)=0,"",SUMIFS('Daily BSE Equity Futures'!$J:$J,'Daily BSE Equity Futures'!$A:$A,$A1188))</f>
        <v>1586</v>
      </c>
      <c r="R1188" s="7">
        <f t="shared" si="222"/>
        <v>2056306</v>
      </c>
      <c r="S1188" s="19">
        <f t="shared" si="223"/>
        <v>0.99922871401435387</v>
      </c>
      <c r="T1188" s="19">
        <f t="shared" si="224"/>
        <v>7.7128598564610523E-4</v>
      </c>
    </row>
    <row r="1189" spans="1:20" x14ac:dyDescent="0.2">
      <c r="A1189" s="9">
        <v>45670</v>
      </c>
      <c r="B1189" s="4" t="s">
        <v>225</v>
      </c>
      <c r="C1189" s="8">
        <v>45658</v>
      </c>
      <c r="D1189" s="4" t="s">
        <v>192</v>
      </c>
      <c r="E1189" s="14">
        <f>IF(SUMIFS('Daily NSE Equity Futures'!$I:$I,'Daily NSE Equity Futures'!$A:$A,$A1189)=0,"",SUMIFS('Daily NSE Equity Futures'!$I:$I,'Daily NSE Equity Futures'!$A:$A,$A1189))</f>
        <v>1392.0337999999999</v>
      </c>
      <c r="F1189" s="6">
        <f>IF(SUMIFS('Daily BSE Equity Futures'!$I:$I,'Daily BSE Equity Futures'!$A:$A,$A1189)=0,"",SUMIFS('Daily BSE Equity Futures'!$I:$I,'Daily BSE Equity Futures'!$A:$A,$A1189))</f>
        <v>2.1775000000000002</v>
      </c>
      <c r="G1189" s="6">
        <f t="shared" si="216"/>
        <v>1394.2112999999999</v>
      </c>
      <c r="H1189" s="15">
        <f t="shared" si="217"/>
        <v>0.99843818508715287</v>
      </c>
      <c r="I1189" s="15">
        <f t="shared" si="218"/>
        <v>1.5618149128471418E-3</v>
      </c>
      <c r="J1189" s="20" t="str">
        <f t="shared" si="219"/>
        <v/>
      </c>
      <c r="K1189" s="15" t="str">
        <f t="shared" si="220"/>
        <v/>
      </c>
      <c r="L1189" s="15" t="str">
        <f t="shared" si="221"/>
        <v/>
      </c>
      <c r="M1189" s="15">
        <f t="shared" si="225"/>
        <v>5.2458728099731289E-2</v>
      </c>
      <c r="N1189" s="15">
        <f t="shared" si="226"/>
        <v>-1.1530255572200221E-2</v>
      </c>
      <c r="O1189" s="15">
        <f t="shared" si="227"/>
        <v>5.2352330320317941E-2</v>
      </c>
      <c r="P1189" s="18">
        <f>IF(SUMIFS('Daily NSE Equity Futures'!$J:$J,'Daily NSE Equity Futures'!$A:$A,$A1189)=0,"",SUMIFS('Daily NSE Equity Futures'!$J:$J,'Daily NSE Equity Futures'!$A:$A,$A1189))</f>
        <v>2241242</v>
      </c>
      <c r="Q1189" s="7">
        <f>IF(SUMIFS('Daily BSE Equity Futures'!$J:$J,'Daily BSE Equity Futures'!$A:$A,$A1189)=0,"",SUMIFS('Daily BSE Equity Futures'!$J:$J,'Daily BSE Equity Futures'!$A:$A,$A1189))</f>
        <v>1614</v>
      </c>
      <c r="R1189" s="7">
        <f t="shared" si="222"/>
        <v>2242856</v>
      </c>
      <c r="S1189" s="19">
        <f t="shared" si="223"/>
        <v>0.99928038179892065</v>
      </c>
      <c r="T1189" s="19">
        <f t="shared" si="224"/>
        <v>7.1961820107933818E-4</v>
      </c>
    </row>
    <row r="1190" spans="1:20" x14ac:dyDescent="0.2">
      <c r="A1190" s="9">
        <v>45671</v>
      </c>
      <c r="B1190" s="4" t="s">
        <v>223</v>
      </c>
      <c r="C1190" s="8">
        <v>45658</v>
      </c>
      <c r="D1190" s="4" t="s">
        <v>192</v>
      </c>
      <c r="E1190" s="14">
        <f>IF(SUMIFS('Daily NSE Equity Futures'!$I:$I,'Daily NSE Equity Futures'!$A:$A,$A1190)=0,"",SUMIFS('Daily NSE Equity Futures'!$I:$I,'Daily NSE Equity Futures'!$A:$A,$A1190))</f>
        <v>1272.0008</v>
      </c>
      <c r="F1190" s="6">
        <f>IF(SUMIFS('Daily BSE Equity Futures'!$I:$I,'Daily BSE Equity Futures'!$A:$A,$A1190)=0,"",SUMIFS('Daily BSE Equity Futures'!$I:$I,'Daily BSE Equity Futures'!$A:$A,$A1190))</f>
        <v>4.3898000000000001</v>
      </c>
      <c r="G1190" s="6">
        <f t="shared" si="216"/>
        <v>1276.3905999999999</v>
      </c>
      <c r="H1190" s="15">
        <f t="shared" si="217"/>
        <v>0.99656077066064264</v>
      </c>
      <c r="I1190" s="15">
        <f t="shared" si="218"/>
        <v>3.439229339357404E-3</v>
      </c>
      <c r="J1190" s="20" t="str">
        <f t="shared" si="219"/>
        <v/>
      </c>
      <c r="K1190" s="15" t="str">
        <f t="shared" si="220"/>
        <v/>
      </c>
      <c r="L1190" s="15" t="str">
        <f t="shared" si="221"/>
        <v/>
      </c>
      <c r="M1190" s="15">
        <f t="shared" si="225"/>
        <v>-8.6228509681302246E-2</v>
      </c>
      <c r="N1190" s="15">
        <f t="shared" si="226"/>
        <v>1.0159816303099882</v>
      </c>
      <c r="O1190" s="15">
        <f t="shared" si="227"/>
        <v>-8.4507061447572585E-2</v>
      </c>
      <c r="P1190" s="18">
        <f>IF(SUMIFS('Daily NSE Equity Futures'!$J:$J,'Daily NSE Equity Futures'!$A:$A,$A1190)=0,"",SUMIFS('Daily NSE Equity Futures'!$J:$J,'Daily NSE Equity Futures'!$A:$A,$A1190))</f>
        <v>2031483</v>
      </c>
      <c r="Q1190" s="7">
        <f>IF(SUMIFS('Daily BSE Equity Futures'!$J:$J,'Daily BSE Equity Futures'!$A:$A,$A1190)=0,"",SUMIFS('Daily BSE Equity Futures'!$J:$J,'Daily BSE Equity Futures'!$A:$A,$A1190))</f>
        <v>3038</v>
      </c>
      <c r="R1190" s="7">
        <f t="shared" si="222"/>
        <v>2034521</v>
      </c>
      <c r="S1190" s="19">
        <f t="shared" si="223"/>
        <v>0.99850677383030206</v>
      </c>
      <c r="T1190" s="19">
        <f t="shared" si="224"/>
        <v>1.4932261696979289E-3</v>
      </c>
    </row>
    <row r="1191" spans="1:20" x14ac:dyDescent="0.2">
      <c r="A1191" s="9">
        <v>45672</v>
      </c>
      <c r="B1191" s="4" t="s">
        <v>221</v>
      </c>
      <c r="C1191" s="8">
        <v>45658</v>
      </c>
      <c r="D1191" s="4" t="s">
        <v>192</v>
      </c>
      <c r="E1191" s="14">
        <f>IF(SUMIFS('Daily NSE Equity Futures'!$I:$I,'Daily NSE Equity Futures'!$A:$A,$A1191)=0,"",SUMIFS('Daily NSE Equity Futures'!$I:$I,'Daily NSE Equity Futures'!$A:$A,$A1191))</f>
        <v>1071.4649999999999</v>
      </c>
      <c r="F1191" s="6">
        <f>IF(SUMIFS('Daily BSE Equity Futures'!$I:$I,'Daily BSE Equity Futures'!$A:$A,$A1191)=0,"",SUMIFS('Daily BSE Equity Futures'!$I:$I,'Daily BSE Equity Futures'!$A:$A,$A1191))</f>
        <v>0.7611</v>
      </c>
      <c r="G1191" s="6">
        <f t="shared" si="216"/>
        <v>1072.2260999999999</v>
      </c>
      <c r="H1191" s="15">
        <f t="shared" si="217"/>
        <v>0.99929016837027196</v>
      </c>
      <c r="I1191" s="15">
        <f t="shared" si="218"/>
        <v>7.0983162972809569E-4</v>
      </c>
      <c r="J1191" s="20">
        <f t="shared" si="219"/>
        <v>-0.10769220263235668</v>
      </c>
      <c r="K1191" s="15">
        <f t="shared" si="220"/>
        <v>-0.47848430861998081</v>
      </c>
      <c r="L1191" s="15">
        <f t="shared" si="221"/>
        <v>-0.10814230781067669</v>
      </c>
      <c r="M1191" s="15">
        <f t="shared" si="225"/>
        <v>-0.15765383166425695</v>
      </c>
      <c r="N1191" s="15">
        <f t="shared" si="226"/>
        <v>-0.82662080277005789</v>
      </c>
      <c r="O1191" s="15">
        <f t="shared" si="227"/>
        <v>-0.15995456249834505</v>
      </c>
      <c r="P1191" s="18">
        <f>IF(SUMIFS('Daily NSE Equity Futures'!$J:$J,'Daily NSE Equity Futures'!$A:$A,$A1191)=0,"",SUMIFS('Daily NSE Equity Futures'!$J:$J,'Daily NSE Equity Futures'!$A:$A,$A1191))</f>
        <v>1757655</v>
      </c>
      <c r="Q1191" s="7">
        <f>IF(SUMIFS('Daily BSE Equity Futures'!$J:$J,'Daily BSE Equity Futures'!$A:$A,$A1191)=0,"",SUMIFS('Daily BSE Equity Futures'!$J:$J,'Daily BSE Equity Futures'!$A:$A,$A1191))</f>
        <v>634</v>
      </c>
      <c r="R1191" s="7">
        <f t="shared" si="222"/>
        <v>1758289</v>
      </c>
      <c r="S1191" s="19">
        <f t="shared" si="223"/>
        <v>0.99963942218827506</v>
      </c>
      <c r="T1191" s="19">
        <f t="shared" si="224"/>
        <v>3.6057781172492122E-4</v>
      </c>
    </row>
    <row r="1192" spans="1:20" x14ac:dyDescent="0.2">
      <c r="A1192" s="9">
        <v>45673</v>
      </c>
      <c r="B1192" s="4" t="s">
        <v>224</v>
      </c>
      <c r="C1192" s="8">
        <v>45658</v>
      </c>
      <c r="D1192" s="4" t="s">
        <v>192</v>
      </c>
      <c r="E1192" s="14">
        <f>IF(SUMIFS('Daily NSE Equity Futures'!$I:$I,'Daily NSE Equity Futures'!$A:$A,$A1192)=0,"",SUMIFS('Daily NSE Equity Futures'!$I:$I,'Daily NSE Equity Futures'!$A:$A,$A1192))</f>
        <v>1165.5147999999999</v>
      </c>
      <c r="F1192" s="6">
        <f>IF(SUMIFS('Daily BSE Equity Futures'!$I:$I,'Daily BSE Equity Futures'!$A:$A,$A1192)=0,"",SUMIFS('Daily BSE Equity Futures'!$I:$I,'Daily BSE Equity Futures'!$A:$A,$A1192))</f>
        <v>0.72689999999999999</v>
      </c>
      <c r="G1192" s="6">
        <f t="shared" si="216"/>
        <v>1166.2416999999998</v>
      </c>
      <c r="H1192" s="15">
        <f t="shared" si="217"/>
        <v>0.99937671582142884</v>
      </c>
      <c r="I1192" s="15">
        <f t="shared" si="218"/>
        <v>6.2328417857121737E-4</v>
      </c>
      <c r="J1192" s="20">
        <f t="shared" si="219"/>
        <v>-8.2024318997499845E-2</v>
      </c>
      <c r="K1192" s="15">
        <f t="shared" si="220"/>
        <v>1.5550087873462215</v>
      </c>
      <c r="L1192" s="15">
        <f t="shared" si="221"/>
        <v>-8.1657581081846287E-2</v>
      </c>
      <c r="M1192" s="15">
        <f t="shared" si="225"/>
        <v>8.7776828921150019E-2</v>
      </c>
      <c r="N1192" s="15">
        <f t="shared" si="226"/>
        <v>-4.4934962554197933E-2</v>
      </c>
      <c r="O1192" s="15">
        <f t="shared" si="227"/>
        <v>8.768262589392295E-2</v>
      </c>
      <c r="P1192" s="18">
        <f>IF(SUMIFS('Daily NSE Equity Futures'!$J:$J,'Daily NSE Equity Futures'!$A:$A,$A1192)=0,"",SUMIFS('Daily NSE Equity Futures'!$J:$J,'Daily NSE Equity Futures'!$A:$A,$A1192))</f>
        <v>1832654</v>
      </c>
      <c r="Q1192" s="7">
        <f>IF(SUMIFS('Daily BSE Equity Futures'!$J:$J,'Daily BSE Equity Futures'!$A:$A,$A1192)=0,"",SUMIFS('Daily BSE Equity Futures'!$J:$J,'Daily BSE Equity Futures'!$A:$A,$A1192))</f>
        <v>580</v>
      </c>
      <c r="R1192" s="7">
        <f t="shared" si="222"/>
        <v>1833234</v>
      </c>
      <c r="S1192" s="19">
        <f t="shared" si="223"/>
        <v>0.99968361922155058</v>
      </c>
      <c r="T1192" s="19">
        <f t="shared" si="224"/>
        <v>3.1638077844945052E-4</v>
      </c>
    </row>
    <row r="1193" spans="1:20" x14ac:dyDescent="0.2">
      <c r="A1193" s="9">
        <v>45674</v>
      </c>
      <c r="B1193" s="4" t="s">
        <v>222</v>
      </c>
      <c r="C1193" s="8">
        <v>45658</v>
      </c>
      <c r="D1193" s="4" t="s">
        <v>192</v>
      </c>
      <c r="E1193" s="14">
        <f>IF(SUMIFS('Daily NSE Equity Futures'!$I:$I,'Daily NSE Equity Futures'!$A:$A,$A1193)=0,"",SUMIFS('Daily NSE Equity Futures'!$I:$I,'Daily NSE Equity Futures'!$A:$A,$A1193))</f>
        <v>1192.2946999999999</v>
      </c>
      <c r="F1193" s="6">
        <f>IF(SUMIFS('Daily BSE Equity Futures'!$I:$I,'Daily BSE Equity Futures'!$A:$A,$A1193)=0,"",SUMIFS('Daily BSE Equity Futures'!$I:$I,'Daily BSE Equity Futures'!$A:$A,$A1193))</f>
        <v>0.97360000000000002</v>
      </c>
      <c r="G1193" s="6">
        <f t="shared" si="216"/>
        <v>1193.2683</v>
      </c>
      <c r="H1193" s="15">
        <f t="shared" si="217"/>
        <v>0.99918408961337524</v>
      </c>
      <c r="I1193" s="15">
        <f t="shared" si="218"/>
        <v>8.1591038662470132E-4</v>
      </c>
      <c r="J1193" s="20">
        <f t="shared" si="219"/>
        <v>-0.39298715034176002</v>
      </c>
      <c r="K1193" s="15">
        <f t="shared" si="220"/>
        <v>-0.51385629400309574</v>
      </c>
      <c r="L1193" s="15">
        <f t="shared" si="221"/>
        <v>-0.39311026309188457</v>
      </c>
      <c r="M1193" s="15">
        <f t="shared" si="225"/>
        <v>2.2976885407203662E-2</v>
      </c>
      <c r="N1193" s="15">
        <f t="shared" si="226"/>
        <v>0.33938643554821857</v>
      </c>
      <c r="O1193" s="15">
        <f t="shared" si="227"/>
        <v>2.3174098473755622E-2</v>
      </c>
      <c r="P1193" s="18">
        <f>IF(SUMIFS('Daily NSE Equity Futures'!$J:$J,'Daily NSE Equity Futures'!$A:$A,$A1193)=0,"",SUMIFS('Daily NSE Equity Futures'!$J:$J,'Daily NSE Equity Futures'!$A:$A,$A1193))</f>
        <v>1847552</v>
      </c>
      <c r="Q1193" s="7">
        <f>IF(SUMIFS('Daily BSE Equity Futures'!$J:$J,'Daily BSE Equity Futures'!$A:$A,$A1193)=0,"",SUMIFS('Daily BSE Equity Futures'!$J:$J,'Daily BSE Equity Futures'!$A:$A,$A1193))</f>
        <v>833</v>
      </c>
      <c r="R1193" s="7">
        <f t="shared" si="222"/>
        <v>1848385</v>
      </c>
      <c r="S1193" s="19">
        <f t="shared" si="223"/>
        <v>0.99954933631251064</v>
      </c>
      <c r="T1193" s="19">
        <f t="shared" si="224"/>
        <v>4.5066368748934883E-4</v>
      </c>
    </row>
    <row r="1194" spans="1:20" x14ac:dyDescent="0.2">
      <c r="A1194" s="9">
        <v>45677</v>
      </c>
      <c r="B1194" s="4" t="s">
        <v>225</v>
      </c>
      <c r="C1194" s="8">
        <v>45658</v>
      </c>
      <c r="D1194" s="4" t="s">
        <v>192</v>
      </c>
      <c r="E1194" s="14">
        <f>IF(SUMIFS('Daily NSE Equity Futures'!$I:$I,'Daily NSE Equity Futures'!$A:$A,$A1194)=0,"",SUMIFS('Daily NSE Equity Futures'!$I:$I,'Daily NSE Equity Futures'!$A:$A,$A1194))</f>
        <v>1182.9069</v>
      </c>
      <c r="F1194" s="6">
        <f>IF(SUMIFS('Daily BSE Equity Futures'!$I:$I,'Daily BSE Equity Futures'!$A:$A,$A1194)=0,"",SUMIFS('Daily BSE Equity Futures'!$I:$I,'Daily BSE Equity Futures'!$A:$A,$A1194))</f>
        <v>1.6626000000000001</v>
      </c>
      <c r="G1194" s="6">
        <f t="shared" si="216"/>
        <v>1184.5695000000001</v>
      </c>
      <c r="H1194" s="15">
        <f t="shared" si="217"/>
        <v>0.99859645212881121</v>
      </c>
      <c r="I1194" s="15">
        <f t="shared" si="218"/>
        <v>1.403547871188647E-3</v>
      </c>
      <c r="J1194" s="20">
        <f t="shared" si="219"/>
        <v>2.7131785301620637E-2</v>
      </c>
      <c r="K1194" s="15">
        <f t="shared" si="220"/>
        <v>4.2578541418448745E-2</v>
      </c>
      <c r="L1194" s="15">
        <f t="shared" si="221"/>
        <v>2.715314479451636E-2</v>
      </c>
      <c r="M1194" s="15">
        <f t="shared" si="225"/>
        <v>-7.8737245078753793E-3</v>
      </c>
      <c r="N1194" s="15">
        <f t="shared" si="226"/>
        <v>0.70768282662284321</v>
      </c>
      <c r="O1194" s="15">
        <f t="shared" si="227"/>
        <v>-7.2898944855904757E-3</v>
      </c>
      <c r="P1194" s="18">
        <f>IF(SUMIFS('Daily NSE Equity Futures'!$J:$J,'Daily NSE Equity Futures'!$A:$A,$A1194)=0,"",SUMIFS('Daily NSE Equity Futures'!$J:$J,'Daily NSE Equity Futures'!$A:$A,$A1194))</f>
        <v>1834785</v>
      </c>
      <c r="Q1194" s="7">
        <f>IF(SUMIFS('Daily BSE Equity Futures'!$J:$J,'Daily BSE Equity Futures'!$A:$A,$A1194)=0,"",SUMIFS('Daily BSE Equity Futures'!$J:$J,'Daily BSE Equity Futures'!$A:$A,$A1194))</f>
        <v>1539</v>
      </c>
      <c r="R1194" s="7">
        <f t="shared" si="222"/>
        <v>1836324</v>
      </c>
      <c r="S1194" s="19">
        <f t="shared" si="223"/>
        <v>0.99916191260365816</v>
      </c>
      <c r="T1194" s="19">
        <f t="shared" si="224"/>
        <v>8.3808739634182205E-4</v>
      </c>
    </row>
    <row r="1195" spans="1:20" x14ac:dyDescent="0.2">
      <c r="A1195" s="9">
        <v>45678</v>
      </c>
      <c r="B1195" s="4" t="s">
        <v>223</v>
      </c>
      <c r="C1195" s="8">
        <v>45658</v>
      </c>
      <c r="D1195" s="4" t="s">
        <v>192</v>
      </c>
      <c r="E1195" s="14">
        <f>IF(SUMIFS('Daily NSE Equity Futures'!$I:$I,'Daily NSE Equity Futures'!$A:$A,$A1195)=0,"",SUMIFS('Daily NSE Equity Futures'!$I:$I,'Daily NSE Equity Futures'!$A:$A,$A1195))</f>
        <v>1672.2446</v>
      </c>
      <c r="F1195" s="6">
        <f>IF(SUMIFS('Daily BSE Equity Futures'!$I:$I,'Daily BSE Equity Futures'!$A:$A,$A1195)=0,"",SUMIFS('Daily BSE Equity Futures'!$I:$I,'Daily BSE Equity Futures'!$A:$A,$A1195))</f>
        <v>9.5894999999999992</v>
      </c>
      <c r="G1195" s="6">
        <f t="shared" si="216"/>
        <v>1681.8341</v>
      </c>
      <c r="H1195" s="15">
        <f t="shared" si="217"/>
        <v>0.99429818910200474</v>
      </c>
      <c r="I1195" s="15">
        <f t="shared" si="218"/>
        <v>5.7018108979952301E-3</v>
      </c>
      <c r="J1195" s="20" t="str">
        <f t="shared" si="219"/>
        <v/>
      </c>
      <c r="K1195" s="15" t="str">
        <f t="shared" si="220"/>
        <v/>
      </c>
      <c r="L1195" s="15" t="str">
        <f t="shared" si="221"/>
        <v/>
      </c>
      <c r="M1195" s="15">
        <f t="shared" si="225"/>
        <v>0.41367389098837792</v>
      </c>
      <c r="N1195" s="15">
        <f t="shared" si="226"/>
        <v>4.7677733670155176</v>
      </c>
      <c r="O1195" s="15">
        <f t="shared" si="227"/>
        <v>0.41978507803889942</v>
      </c>
      <c r="P1195" s="18">
        <f>IF(SUMIFS('Daily NSE Equity Futures'!$J:$J,'Daily NSE Equity Futures'!$A:$A,$A1195)=0,"",SUMIFS('Daily NSE Equity Futures'!$J:$J,'Daily NSE Equity Futures'!$A:$A,$A1195))</f>
        <v>2611356</v>
      </c>
      <c r="Q1195" s="7">
        <f>IF(SUMIFS('Daily BSE Equity Futures'!$J:$J,'Daily BSE Equity Futures'!$A:$A,$A1195)=0,"",SUMIFS('Daily BSE Equity Futures'!$J:$J,'Daily BSE Equity Futures'!$A:$A,$A1195))</f>
        <v>7715</v>
      </c>
      <c r="R1195" s="7">
        <f t="shared" si="222"/>
        <v>2619071</v>
      </c>
      <c r="S1195" s="19">
        <f t="shared" si="223"/>
        <v>0.99705429902434872</v>
      </c>
      <c r="T1195" s="19">
        <f t="shared" si="224"/>
        <v>2.9457009756512901E-3</v>
      </c>
    </row>
    <row r="1196" spans="1:20" x14ac:dyDescent="0.2">
      <c r="A1196" s="9">
        <v>45679</v>
      </c>
      <c r="B1196" s="4" t="s">
        <v>221</v>
      </c>
      <c r="C1196" s="8">
        <v>45658</v>
      </c>
      <c r="D1196" s="4" t="s">
        <v>192</v>
      </c>
      <c r="E1196" s="14">
        <f>IF(SUMIFS('Daily NSE Equity Futures'!$I:$I,'Daily NSE Equity Futures'!$A:$A,$A1196)=0,"",SUMIFS('Daily NSE Equity Futures'!$I:$I,'Daily NSE Equity Futures'!$A:$A,$A1196))</f>
        <v>1428.2650000000001</v>
      </c>
      <c r="F1196" s="6">
        <f>IF(SUMIFS('Daily BSE Equity Futures'!$I:$I,'Daily BSE Equity Futures'!$A:$A,$A1196)=0,"",SUMIFS('Daily BSE Equity Futures'!$I:$I,'Daily BSE Equity Futures'!$A:$A,$A1196))</f>
        <v>1.2781</v>
      </c>
      <c r="G1196" s="6">
        <f t="shared" si="216"/>
        <v>1429.5431000000001</v>
      </c>
      <c r="H1196" s="15">
        <f t="shared" si="217"/>
        <v>0.999105938114073</v>
      </c>
      <c r="I1196" s="15">
        <f t="shared" si="218"/>
        <v>8.9406188592704898E-4</v>
      </c>
      <c r="J1196" s="20" t="str">
        <f t="shared" si="219"/>
        <v/>
      </c>
      <c r="K1196" s="15" t="str">
        <f t="shared" si="220"/>
        <v/>
      </c>
      <c r="L1196" s="15" t="str">
        <f t="shared" si="221"/>
        <v/>
      </c>
      <c r="M1196" s="15">
        <f t="shared" si="225"/>
        <v>-0.14589946949148458</v>
      </c>
      <c r="N1196" s="15">
        <f t="shared" si="226"/>
        <v>-0.86671880702852078</v>
      </c>
      <c r="O1196" s="15">
        <f t="shared" si="227"/>
        <v>-0.15000944504573899</v>
      </c>
      <c r="P1196" s="18">
        <f>IF(SUMIFS('Daily NSE Equity Futures'!$J:$J,'Daily NSE Equity Futures'!$A:$A,$A1196)=0,"",SUMIFS('Daily NSE Equity Futures'!$J:$J,'Daily NSE Equity Futures'!$A:$A,$A1196))</f>
        <v>2258345</v>
      </c>
      <c r="Q1196" s="7">
        <f>IF(SUMIFS('Daily BSE Equity Futures'!$J:$J,'Daily BSE Equity Futures'!$A:$A,$A1196)=0,"",SUMIFS('Daily BSE Equity Futures'!$J:$J,'Daily BSE Equity Futures'!$A:$A,$A1196))</f>
        <v>1666</v>
      </c>
      <c r="R1196" s="7">
        <f t="shared" si="222"/>
        <v>2260011</v>
      </c>
      <c r="S1196" s="19">
        <f t="shared" si="223"/>
        <v>0.99926283544637617</v>
      </c>
      <c r="T1196" s="19">
        <f t="shared" si="224"/>
        <v>7.3716455362385401E-4</v>
      </c>
    </row>
    <row r="1197" spans="1:20" x14ac:dyDescent="0.2">
      <c r="A1197" s="9">
        <v>45680</v>
      </c>
      <c r="B1197" s="4" t="s">
        <v>224</v>
      </c>
      <c r="C1197" s="8">
        <v>45658</v>
      </c>
      <c r="D1197" s="4" t="s">
        <v>192</v>
      </c>
      <c r="E1197" s="14">
        <f>IF(SUMIFS('Daily NSE Equity Futures'!$I:$I,'Daily NSE Equity Futures'!$A:$A,$A1197)=0,"",SUMIFS('Daily NSE Equity Futures'!$I:$I,'Daily NSE Equity Futures'!$A:$A,$A1197))</f>
        <v>1446.8330000000001</v>
      </c>
      <c r="F1197" s="6">
        <f>IF(SUMIFS('Daily BSE Equity Futures'!$I:$I,'Daily BSE Equity Futures'!$A:$A,$A1197)=0,"",SUMIFS('Daily BSE Equity Futures'!$I:$I,'Daily BSE Equity Futures'!$A:$A,$A1197))</f>
        <v>0.59160000000000001</v>
      </c>
      <c r="G1197" s="6">
        <f t="shared" si="216"/>
        <v>1447.4246000000001</v>
      </c>
      <c r="H1197" s="15">
        <f t="shared" si="217"/>
        <v>0.9995912740463303</v>
      </c>
      <c r="I1197" s="15">
        <f t="shared" si="218"/>
        <v>4.0872595366971099E-4</v>
      </c>
      <c r="J1197" s="20">
        <f t="shared" si="219"/>
        <v>-0.65090966383690696</v>
      </c>
      <c r="K1197" s="15">
        <f t="shared" si="220"/>
        <v>-0.42400934670431301</v>
      </c>
      <c r="L1197" s="15">
        <f t="shared" si="221"/>
        <v>-0.65085344787577104</v>
      </c>
      <c r="M1197" s="15">
        <f t="shared" si="225"/>
        <v>1.3000388583351175E-2</v>
      </c>
      <c r="N1197" s="15">
        <f t="shared" si="226"/>
        <v>-0.53712542054612311</v>
      </c>
      <c r="O1197" s="15">
        <f t="shared" si="227"/>
        <v>1.2508542064943562E-2</v>
      </c>
      <c r="P1197" s="18">
        <f>IF(SUMIFS('Daily NSE Equity Futures'!$J:$J,'Daily NSE Equity Futures'!$A:$A,$A1197)=0,"",SUMIFS('Daily NSE Equity Futures'!$J:$J,'Daily NSE Equity Futures'!$A:$A,$A1197))</f>
        <v>2298644</v>
      </c>
      <c r="Q1197" s="7">
        <f>IF(SUMIFS('Daily BSE Equity Futures'!$J:$J,'Daily BSE Equity Futures'!$A:$A,$A1197)=0,"",SUMIFS('Daily BSE Equity Futures'!$J:$J,'Daily BSE Equity Futures'!$A:$A,$A1197))</f>
        <v>747</v>
      </c>
      <c r="R1197" s="7">
        <f t="shared" si="222"/>
        <v>2299391</v>
      </c>
      <c r="S1197" s="19">
        <f t="shared" si="223"/>
        <v>0.99967513137174147</v>
      </c>
      <c r="T1197" s="19">
        <f t="shared" si="224"/>
        <v>3.2486862825852584E-4</v>
      </c>
    </row>
    <row r="1198" spans="1:20" x14ac:dyDescent="0.2">
      <c r="A1198" s="9">
        <v>45681</v>
      </c>
      <c r="B1198" s="4" t="s">
        <v>222</v>
      </c>
      <c r="C1198" s="8">
        <v>45658</v>
      </c>
      <c r="D1198" s="4" t="s">
        <v>192</v>
      </c>
      <c r="E1198" s="14">
        <f>IF(SUMIFS('Daily NSE Equity Futures'!$I:$I,'Daily NSE Equity Futures'!$A:$A,$A1198)=0,"",SUMIFS('Daily NSE Equity Futures'!$I:$I,'Daily NSE Equity Futures'!$A:$A,$A1198))</f>
        <v>1699.3141000000001</v>
      </c>
      <c r="F1198" s="6">
        <f>IF(SUMIFS('Daily BSE Equity Futures'!$I:$I,'Daily BSE Equity Futures'!$A:$A,$A1198)=0,"",SUMIFS('Daily BSE Equity Futures'!$I:$I,'Daily BSE Equity Futures'!$A:$A,$A1198))</f>
        <v>1.1157999999999999</v>
      </c>
      <c r="G1198" s="6">
        <f t="shared" si="216"/>
        <v>1700.4299000000001</v>
      </c>
      <c r="H1198" s="15">
        <f t="shared" si="217"/>
        <v>0.99934381299693686</v>
      </c>
      <c r="I1198" s="15">
        <f t="shared" si="218"/>
        <v>6.561870030631665E-4</v>
      </c>
      <c r="J1198" s="20">
        <f t="shared" si="219"/>
        <v>-0.5740610414866818</v>
      </c>
      <c r="K1198" s="15">
        <f t="shared" si="220"/>
        <v>-0.30035114120892903</v>
      </c>
      <c r="L1198" s="15">
        <f t="shared" si="221"/>
        <v>-0.57395167182568441</v>
      </c>
      <c r="M1198" s="15">
        <f t="shared" si="225"/>
        <v>0.17450604181685092</v>
      </c>
      <c r="N1198" s="15">
        <f t="shared" si="226"/>
        <v>0.88607167004732901</v>
      </c>
      <c r="O1198" s="15">
        <f t="shared" si="227"/>
        <v>0.17479687715684822</v>
      </c>
      <c r="P1198" s="18">
        <f>IF(SUMIFS('Daily NSE Equity Futures'!$J:$J,'Daily NSE Equity Futures'!$A:$A,$A1198)=0,"",SUMIFS('Daily NSE Equity Futures'!$J:$J,'Daily NSE Equity Futures'!$A:$A,$A1198))</f>
        <v>2715696</v>
      </c>
      <c r="Q1198" s="7">
        <f>IF(SUMIFS('Daily BSE Equity Futures'!$J:$J,'Daily BSE Equity Futures'!$A:$A,$A1198)=0,"",SUMIFS('Daily BSE Equity Futures'!$J:$J,'Daily BSE Equity Futures'!$A:$A,$A1198))</f>
        <v>1354</v>
      </c>
      <c r="R1198" s="7">
        <f t="shared" si="222"/>
        <v>2717050</v>
      </c>
      <c r="S1198" s="19">
        <f t="shared" si="223"/>
        <v>0.9995016654091754</v>
      </c>
      <c r="T1198" s="19">
        <f t="shared" si="224"/>
        <v>4.9833459082460757E-4</v>
      </c>
    </row>
    <row r="1199" spans="1:20" x14ac:dyDescent="0.2">
      <c r="A1199" s="9">
        <v>45684</v>
      </c>
      <c r="B1199" s="4" t="s">
        <v>225</v>
      </c>
      <c r="C1199" s="8">
        <v>45658</v>
      </c>
      <c r="D1199" s="4" t="s">
        <v>192</v>
      </c>
      <c r="E1199" s="14">
        <f>IF(SUMIFS('Daily NSE Equity Futures'!$I:$I,'Daily NSE Equity Futures'!$A:$A,$A1199)=0,"",SUMIFS('Daily NSE Equity Futures'!$I:$I,'Daily NSE Equity Futures'!$A:$A,$A1199))</f>
        <v>3134.6795000000002</v>
      </c>
      <c r="F1199" s="6">
        <f>IF(SUMIFS('Daily BSE Equity Futures'!$I:$I,'Daily BSE Equity Futures'!$A:$A,$A1199)=0,"",SUMIFS('Daily BSE Equity Futures'!$I:$I,'Daily BSE Equity Futures'!$A:$A,$A1199))</f>
        <v>1.8378000000000001</v>
      </c>
      <c r="G1199" s="6">
        <f t="shared" si="216"/>
        <v>3136.5173</v>
      </c>
      <c r="H1199" s="15">
        <f t="shared" si="217"/>
        <v>0.99941406349010098</v>
      </c>
      <c r="I1199" s="15">
        <f t="shared" si="218"/>
        <v>5.8593650989905268E-4</v>
      </c>
      <c r="J1199" s="20" t="str">
        <f t="shared" si="219"/>
        <v/>
      </c>
      <c r="K1199" s="15" t="str">
        <f t="shared" si="220"/>
        <v/>
      </c>
      <c r="L1199" s="15" t="str">
        <f t="shared" si="221"/>
        <v/>
      </c>
      <c r="M1199" s="15">
        <f t="shared" si="225"/>
        <v>0.84467338910446288</v>
      </c>
      <c r="N1199" s="15">
        <f t="shared" si="226"/>
        <v>0.64706936727012043</v>
      </c>
      <c r="O1199" s="15">
        <f t="shared" si="227"/>
        <v>0.84454372391358201</v>
      </c>
      <c r="P1199" s="18">
        <f>IF(SUMIFS('Daily NSE Equity Futures'!$J:$J,'Daily NSE Equity Futures'!$A:$A,$A1199)=0,"",SUMIFS('Daily NSE Equity Futures'!$J:$J,'Daily NSE Equity Futures'!$A:$A,$A1199))</f>
        <v>5138458</v>
      </c>
      <c r="Q1199" s="7">
        <f>IF(SUMIFS('Daily BSE Equity Futures'!$J:$J,'Daily BSE Equity Futures'!$A:$A,$A1199)=0,"",SUMIFS('Daily BSE Equity Futures'!$J:$J,'Daily BSE Equity Futures'!$A:$A,$A1199))</f>
        <v>2123</v>
      </c>
      <c r="R1199" s="7">
        <f t="shared" si="222"/>
        <v>5140581</v>
      </c>
      <c r="S1199" s="19">
        <f t="shared" si="223"/>
        <v>0.99958701166268948</v>
      </c>
      <c r="T1199" s="19">
        <f t="shared" si="224"/>
        <v>4.1298833731051024E-4</v>
      </c>
    </row>
    <row r="1200" spans="1:20" x14ac:dyDescent="0.2">
      <c r="A1200" s="9">
        <v>45685</v>
      </c>
      <c r="B1200" s="4" t="s">
        <v>223</v>
      </c>
      <c r="C1200" s="8">
        <v>45658</v>
      </c>
      <c r="D1200" s="4" t="s">
        <v>192</v>
      </c>
      <c r="E1200" s="14">
        <f>IF(SUMIFS('Daily NSE Equity Futures'!$I:$I,'Daily NSE Equity Futures'!$A:$A,$A1200)=0,"",SUMIFS('Daily NSE Equity Futures'!$I:$I,'Daily NSE Equity Futures'!$A:$A,$A1200))</f>
        <v>3861.0261999999998</v>
      </c>
      <c r="F1200" s="6">
        <f>IF(SUMIFS('Daily BSE Equity Futures'!$I:$I,'Daily BSE Equity Futures'!$A:$A,$A1200)=0,"",SUMIFS('Daily BSE Equity Futures'!$I:$I,'Daily BSE Equity Futures'!$A:$A,$A1200))</f>
        <v>4.3627000000000002</v>
      </c>
      <c r="G1200" s="6">
        <f t="shared" si="216"/>
        <v>3865.3888999999999</v>
      </c>
      <c r="H1200" s="15">
        <f t="shared" si="217"/>
        <v>0.99887134254460141</v>
      </c>
      <c r="I1200" s="15">
        <f t="shared" si="218"/>
        <v>1.1286574553986018E-3</v>
      </c>
      <c r="J1200" s="20" t="str">
        <f t="shared" si="219"/>
        <v/>
      </c>
      <c r="K1200" s="15" t="str">
        <f t="shared" si="220"/>
        <v/>
      </c>
      <c r="L1200" s="15" t="str">
        <f t="shared" si="221"/>
        <v/>
      </c>
      <c r="M1200" s="15">
        <f t="shared" si="225"/>
        <v>0.23171322618468637</v>
      </c>
      <c r="N1200" s="15">
        <f t="shared" si="226"/>
        <v>1.3738709326368483</v>
      </c>
      <c r="O1200" s="15">
        <f t="shared" si="227"/>
        <v>0.23238245808495939</v>
      </c>
      <c r="P1200" s="18">
        <f>IF(SUMIFS('Daily NSE Equity Futures'!$J:$J,'Daily NSE Equity Futures'!$A:$A,$A1200)=0,"",SUMIFS('Daily NSE Equity Futures'!$J:$J,'Daily NSE Equity Futures'!$A:$A,$A1200))</f>
        <v>6264327</v>
      </c>
      <c r="Q1200" s="7">
        <f>IF(SUMIFS('Daily BSE Equity Futures'!$J:$J,'Daily BSE Equity Futures'!$A:$A,$A1200)=0,"",SUMIFS('Daily BSE Equity Futures'!$J:$J,'Daily BSE Equity Futures'!$A:$A,$A1200))</f>
        <v>4829</v>
      </c>
      <c r="R1200" s="7">
        <f t="shared" si="222"/>
        <v>6269156</v>
      </c>
      <c r="S1200" s="19">
        <f t="shared" si="223"/>
        <v>0.99922972087470785</v>
      </c>
      <c r="T1200" s="19">
        <f t="shared" si="224"/>
        <v>7.7027912529214462E-4</v>
      </c>
    </row>
    <row r="1201" spans="1:20" x14ac:dyDescent="0.2">
      <c r="A1201" s="9">
        <v>45686</v>
      </c>
      <c r="B1201" s="4" t="s">
        <v>221</v>
      </c>
      <c r="C1201" s="8">
        <v>45658</v>
      </c>
      <c r="D1201" s="4" t="s">
        <v>192</v>
      </c>
      <c r="E1201" s="14">
        <f>IF(SUMIFS('Daily NSE Equity Futures'!$I:$I,'Daily NSE Equity Futures'!$A:$A,$A1201)=0,"",SUMIFS('Daily NSE Equity Futures'!$I:$I,'Daily NSE Equity Futures'!$A:$A,$A1201))</f>
        <v>3192.4005000000002</v>
      </c>
      <c r="F1201" s="6">
        <f>IF(SUMIFS('Daily BSE Equity Futures'!$I:$I,'Daily BSE Equity Futures'!$A:$A,$A1201)=0,"",SUMIFS('Daily BSE Equity Futures'!$I:$I,'Daily BSE Equity Futures'!$A:$A,$A1201))</f>
        <v>0.66520000000000001</v>
      </c>
      <c r="G1201" s="6">
        <f t="shared" si="216"/>
        <v>3193.0657000000001</v>
      </c>
      <c r="H1201" s="15">
        <f t="shared" si="217"/>
        <v>0.99979167356312149</v>
      </c>
      <c r="I1201" s="15">
        <f t="shared" si="218"/>
        <v>2.0832643687851459E-4</v>
      </c>
      <c r="J1201" s="20">
        <f t="shared" si="219"/>
        <v>0.97680180961179808</v>
      </c>
      <c r="K1201" s="15">
        <f t="shared" si="220"/>
        <v>-0.50321135175504106</v>
      </c>
      <c r="L1201" s="15">
        <f t="shared" si="221"/>
        <v>0.97557569244266595</v>
      </c>
      <c r="M1201" s="15">
        <f t="shared" si="225"/>
        <v>-0.17317305435534203</v>
      </c>
      <c r="N1201" s="15">
        <f t="shared" si="226"/>
        <v>-0.84752561487152456</v>
      </c>
      <c r="O1201" s="15">
        <f t="shared" si="227"/>
        <v>-0.17393416740033574</v>
      </c>
      <c r="P1201" s="18">
        <f>IF(SUMIFS('Daily NSE Equity Futures'!$J:$J,'Daily NSE Equity Futures'!$A:$A,$A1201)=0,"",SUMIFS('Daily NSE Equity Futures'!$J:$J,'Daily NSE Equity Futures'!$A:$A,$A1201))</f>
        <v>5176780</v>
      </c>
      <c r="Q1201" s="7">
        <f>IF(SUMIFS('Daily BSE Equity Futures'!$J:$J,'Daily BSE Equity Futures'!$A:$A,$A1201)=0,"",SUMIFS('Daily BSE Equity Futures'!$J:$J,'Daily BSE Equity Futures'!$A:$A,$A1201))</f>
        <v>456</v>
      </c>
      <c r="R1201" s="7">
        <f t="shared" si="222"/>
        <v>5177236</v>
      </c>
      <c r="S1201" s="19">
        <f t="shared" si="223"/>
        <v>0.99991192211442559</v>
      </c>
      <c r="T1201" s="19">
        <f t="shared" si="224"/>
        <v>8.8077885574464824E-5</v>
      </c>
    </row>
    <row r="1202" spans="1:20" x14ac:dyDescent="0.2">
      <c r="A1202" s="9">
        <v>45687</v>
      </c>
      <c r="B1202" s="4" t="s">
        <v>224</v>
      </c>
      <c r="C1202" s="8">
        <v>45658</v>
      </c>
      <c r="D1202" s="4" t="s">
        <v>192</v>
      </c>
      <c r="E1202" s="14">
        <f>IF(SUMIFS('Daily NSE Equity Futures'!$I:$I,'Daily NSE Equity Futures'!$A:$A,$A1202)=0,"",SUMIFS('Daily NSE Equity Futures'!$I:$I,'Daily NSE Equity Futures'!$A:$A,$A1202))</f>
        <v>3474.0947000000001</v>
      </c>
      <c r="F1202" s="6">
        <f>IF(SUMIFS('Daily BSE Equity Futures'!$I:$I,'Daily BSE Equity Futures'!$A:$A,$A1202)=0,"",SUMIFS('Daily BSE Equity Futures'!$I:$I,'Daily BSE Equity Futures'!$A:$A,$A1202))</f>
        <v>0.92689999999999995</v>
      </c>
      <c r="G1202" s="6">
        <f t="shared" si="216"/>
        <v>3475.0216</v>
      </c>
      <c r="H1202" s="15">
        <f t="shared" si="217"/>
        <v>0.99973326784501138</v>
      </c>
      <c r="I1202" s="15">
        <f t="shared" si="218"/>
        <v>2.6673215498861932E-4</v>
      </c>
      <c r="J1202" s="20">
        <f t="shared" si="219"/>
        <v>1.4379695761760862</v>
      </c>
      <c r="K1202" s="15">
        <f t="shared" si="220"/>
        <v>0.60613411887021318</v>
      </c>
      <c r="L1202" s="15">
        <f t="shared" si="221"/>
        <v>1.4376328326267864</v>
      </c>
      <c r="M1202" s="15">
        <f t="shared" si="225"/>
        <v>8.8238991317035609E-2</v>
      </c>
      <c r="N1202" s="15">
        <f t="shared" si="226"/>
        <v>0.39341551413108822</v>
      </c>
      <c r="O1202" s="15">
        <f t="shared" si="227"/>
        <v>8.8302567654652275E-2</v>
      </c>
      <c r="P1202" s="18">
        <f>IF(SUMIFS('Daily NSE Equity Futures'!$J:$J,'Daily NSE Equity Futures'!$A:$A,$A1202)=0,"",SUMIFS('Daily NSE Equity Futures'!$J:$J,'Daily NSE Equity Futures'!$A:$A,$A1202))</f>
        <v>5506061</v>
      </c>
      <c r="Q1202" s="7">
        <f>IF(SUMIFS('Daily BSE Equity Futures'!$J:$J,'Daily BSE Equity Futures'!$A:$A,$A1202)=0,"",SUMIFS('Daily BSE Equity Futures'!$J:$J,'Daily BSE Equity Futures'!$A:$A,$A1202))</f>
        <v>630</v>
      </c>
      <c r="R1202" s="7">
        <f t="shared" si="222"/>
        <v>5506691</v>
      </c>
      <c r="S1202" s="19">
        <f t="shared" si="223"/>
        <v>0.99988559372588726</v>
      </c>
      <c r="T1202" s="19">
        <f t="shared" si="224"/>
        <v>1.1440627411271125E-4</v>
      </c>
    </row>
    <row r="1203" spans="1:20" x14ac:dyDescent="0.2">
      <c r="A1203" s="9">
        <v>45688</v>
      </c>
      <c r="B1203" s="4" t="s">
        <v>222</v>
      </c>
      <c r="C1203" s="8">
        <v>45658</v>
      </c>
      <c r="D1203" s="4" t="s">
        <v>192</v>
      </c>
      <c r="E1203" s="14">
        <f>IF(SUMIFS('Daily NSE Equity Futures'!$I:$I,'Daily NSE Equity Futures'!$A:$A,$A1203)=0,"",SUMIFS('Daily NSE Equity Futures'!$I:$I,'Daily NSE Equity Futures'!$A:$A,$A1203))</f>
        <v>1307.2342000000001</v>
      </c>
      <c r="F1203" s="6">
        <f>IF(SUMIFS('Daily BSE Equity Futures'!$I:$I,'Daily BSE Equity Futures'!$A:$A,$A1203)=0,"",SUMIFS('Daily BSE Equity Futures'!$I:$I,'Daily BSE Equity Futures'!$A:$A,$A1203))</f>
        <v>1.9476</v>
      </c>
      <c r="G1203" s="6">
        <f t="shared" si="216"/>
        <v>1309.1818000000001</v>
      </c>
      <c r="H1203" s="15">
        <f t="shared" si="217"/>
        <v>0.9985123532881377</v>
      </c>
      <c r="I1203" s="15">
        <f t="shared" si="218"/>
        <v>1.487646711862325E-3</v>
      </c>
      <c r="J1203" s="20">
        <f t="shared" si="219"/>
        <v>-0.10945070037294857</v>
      </c>
      <c r="K1203" s="15">
        <f t="shared" si="220"/>
        <v>1.5768721884096322</v>
      </c>
      <c r="L1203" s="15">
        <f t="shared" si="221"/>
        <v>-0.10858288241539538</v>
      </c>
      <c r="M1203" s="15">
        <f t="shared" si="225"/>
        <v>-0.62371946855680127</v>
      </c>
      <c r="N1203" s="15">
        <f t="shared" si="226"/>
        <v>1.1011975401877225</v>
      </c>
      <c r="O1203" s="15">
        <f t="shared" si="227"/>
        <v>-0.62325937772588236</v>
      </c>
      <c r="P1203" s="18">
        <f>IF(SUMIFS('Daily NSE Equity Futures'!$J:$J,'Daily NSE Equity Futures'!$A:$A,$A1203)=0,"",SUMIFS('Daily NSE Equity Futures'!$J:$J,'Daily NSE Equity Futures'!$A:$A,$A1203))</f>
        <v>1881206</v>
      </c>
      <c r="Q1203" s="7">
        <f>IF(SUMIFS('Daily BSE Equity Futures'!$J:$J,'Daily BSE Equity Futures'!$A:$A,$A1203)=0,"",SUMIFS('Daily BSE Equity Futures'!$J:$J,'Daily BSE Equity Futures'!$A:$A,$A1203))</f>
        <v>1265</v>
      </c>
      <c r="R1203" s="7">
        <f t="shared" si="222"/>
        <v>1882471</v>
      </c>
      <c r="S1203" s="19">
        <f t="shared" si="223"/>
        <v>0.99932801089631662</v>
      </c>
      <c r="T1203" s="19">
        <f t="shared" si="224"/>
        <v>6.7198910368340334E-4</v>
      </c>
    </row>
    <row r="1204" spans="1:20" x14ac:dyDescent="0.2">
      <c r="A1204" s="9">
        <v>45689</v>
      </c>
      <c r="B1204" s="4" t="s">
        <v>226</v>
      </c>
      <c r="C1204" s="8">
        <v>45689</v>
      </c>
      <c r="D1204" s="4" t="s">
        <v>192</v>
      </c>
      <c r="E1204" s="14">
        <f>IF(SUMIFS('Daily NSE Equity Futures'!$I:$I,'Daily NSE Equity Futures'!$A:$A,$A1204)=0,"",SUMIFS('Daily NSE Equity Futures'!$I:$I,'Daily NSE Equity Futures'!$A:$A,$A1204))</f>
        <v>1563.7112</v>
      </c>
      <c r="F1204" s="6">
        <f>IF(SUMIFS('Daily BSE Equity Futures'!$I:$I,'Daily BSE Equity Futures'!$A:$A,$A1204)=0,"",SUMIFS('Daily BSE Equity Futures'!$I:$I,'Daily BSE Equity Futures'!$A:$A,$A1204))</f>
        <v>2.7911999999999999</v>
      </c>
      <c r="G1204" s="6">
        <f t="shared" si="216"/>
        <v>1566.5023999999999</v>
      </c>
      <c r="H1204" s="15">
        <f t="shared" si="217"/>
        <v>0.99821819615469476</v>
      </c>
      <c r="I1204" s="15">
        <f t="shared" si="218"/>
        <v>1.7818038453053121E-3</v>
      </c>
      <c r="J1204" s="20">
        <f t="shared" si="219"/>
        <v>-4.6479885302785129E-2</v>
      </c>
      <c r="K1204" s="15">
        <f t="shared" si="220"/>
        <v>1.0818975162228686</v>
      </c>
      <c r="L1204" s="15">
        <f t="shared" si="221"/>
        <v>-4.5558153872849783E-2</v>
      </c>
      <c r="M1204" s="15">
        <f t="shared" si="225"/>
        <v>0.1961982022808153</v>
      </c>
      <c r="N1204" s="15">
        <f t="shared" si="226"/>
        <v>0.43314849044978421</v>
      </c>
      <c r="O1204" s="15">
        <f t="shared" si="227"/>
        <v>0.1965507005978846</v>
      </c>
      <c r="P1204" s="18">
        <f>IF(SUMIFS('Daily NSE Equity Futures'!$J:$J,'Daily NSE Equity Futures'!$A:$A,$A1204)=0,"",SUMIFS('Daily NSE Equity Futures'!$J:$J,'Daily NSE Equity Futures'!$A:$A,$A1204))</f>
        <v>2122269</v>
      </c>
      <c r="Q1204" s="7">
        <f>IF(SUMIFS('Daily BSE Equity Futures'!$J:$J,'Daily BSE Equity Futures'!$A:$A,$A1204)=0,"",SUMIFS('Daily BSE Equity Futures'!$J:$J,'Daily BSE Equity Futures'!$A:$A,$A1204))</f>
        <v>1811</v>
      </c>
      <c r="R1204" s="7">
        <f t="shared" si="222"/>
        <v>2124080</v>
      </c>
      <c r="S1204" s="19">
        <f t="shared" si="223"/>
        <v>0.999147395578321</v>
      </c>
      <c r="T1204" s="19">
        <f t="shared" si="224"/>
        <v>8.5260442167903281E-4</v>
      </c>
    </row>
    <row r="1205" spans="1:20" x14ac:dyDescent="0.2">
      <c r="A1205" s="9">
        <v>45691</v>
      </c>
      <c r="B1205" s="4" t="s">
        <v>225</v>
      </c>
      <c r="C1205" s="8">
        <v>45689</v>
      </c>
      <c r="D1205" s="4" t="s">
        <v>192</v>
      </c>
      <c r="E1205" s="14">
        <f>IF(SUMIFS('Daily NSE Equity Futures'!$I:$I,'Daily NSE Equity Futures'!$A:$A,$A1205)=0,"",SUMIFS('Daily NSE Equity Futures'!$I:$I,'Daily NSE Equity Futures'!$A:$A,$A1205))</f>
        <v>1343.4993999999999</v>
      </c>
      <c r="F1205" s="6">
        <f>IF(SUMIFS('Daily BSE Equity Futures'!$I:$I,'Daily BSE Equity Futures'!$A:$A,$A1205)=0,"",SUMIFS('Daily BSE Equity Futures'!$I:$I,'Daily BSE Equity Futures'!$A:$A,$A1205))</f>
        <v>2.0706000000000002</v>
      </c>
      <c r="G1205" s="6">
        <f t="shared" si="216"/>
        <v>1345.57</v>
      </c>
      <c r="H1205" s="15">
        <f t="shared" si="217"/>
        <v>0.99846117258856837</v>
      </c>
      <c r="I1205" s="15">
        <f t="shared" si="218"/>
        <v>1.5388274114315869E-3</v>
      </c>
      <c r="J1205" s="20" t="str">
        <f t="shared" si="219"/>
        <v/>
      </c>
      <c r="K1205" s="15" t="str">
        <f t="shared" si="220"/>
        <v/>
      </c>
      <c r="L1205" s="15" t="str">
        <f t="shared" si="221"/>
        <v/>
      </c>
      <c r="M1205" s="15">
        <f t="shared" si="225"/>
        <v>-0.14082638789055169</v>
      </c>
      <c r="N1205" s="15">
        <f t="shared" si="226"/>
        <v>-0.25816852966466031</v>
      </c>
      <c r="O1205" s="15">
        <f t="shared" si="227"/>
        <v>-0.14103546856998106</v>
      </c>
      <c r="P1205" s="18">
        <f>IF(SUMIFS('Daily NSE Equity Futures'!$J:$J,'Daily NSE Equity Futures'!$A:$A,$A1205)=0,"",SUMIFS('Daily NSE Equity Futures'!$J:$J,'Daily NSE Equity Futures'!$A:$A,$A1205))</f>
        <v>1982115</v>
      </c>
      <c r="Q1205" s="7">
        <f>IF(SUMIFS('Daily BSE Equity Futures'!$J:$J,'Daily BSE Equity Futures'!$A:$A,$A1205)=0,"",SUMIFS('Daily BSE Equity Futures'!$J:$J,'Daily BSE Equity Futures'!$A:$A,$A1205))</f>
        <v>1353</v>
      </c>
      <c r="R1205" s="7">
        <f t="shared" si="222"/>
        <v>1983468</v>
      </c>
      <c r="S1205" s="19">
        <f t="shared" si="223"/>
        <v>0.9993178614426852</v>
      </c>
      <c r="T1205" s="19">
        <f t="shared" si="224"/>
        <v>6.8213855731476388E-4</v>
      </c>
    </row>
    <row r="1206" spans="1:20" x14ac:dyDescent="0.2">
      <c r="A1206" s="9">
        <v>45692</v>
      </c>
      <c r="B1206" s="4" t="s">
        <v>223</v>
      </c>
      <c r="C1206" s="8">
        <v>45689</v>
      </c>
      <c r="D1206" s="4" t="s">
        <v>192</v>
      </c>
      <c r="E1206" s="14">
        <f>IF(SUMIFS('Daily NSE Equity Futures'!$I:$I,'Daily NSE Equity Futures'!$A:$A,$A1206)=0,"",SUMIFS('Daily NSE Equity Futures'!$I:$I,'Daily NSE Equity Futures'!$A:$A,$A1206))</f>
        <v>1534.8362</v>
      </c>
      <c r="F1206" s="6">
        <f>IF(SUMIFS('Daily BSE Equity Futures'!$I:$I,'Daily BSE Equity Futures'!$A:$A,$A1206)=0,"",SUMIFS('Daily BSE Equity Futures'!$I:$I,'Daily BSE Equity Futures'!$A:$A,$A1206))</f>
        <v>6.6060999999999996</v>
      </c>
      <c r="G1206" s="6">
        <f t="shared" si="216"/>
        <v>1541.4422999999999</v>
      </c>
      <c r="H1206" s="15">
        <f t="shared" si="217"/>
        <v>0.99571433844782908</v>
      </c>
      <c r="I1206" s="15">
        <f t="shared" si="218"/>
        <v>4.2856615521709761E-3</v>
      </c>
      <c r="J1206" s="20" t="str">
        <f t="shared" si="219"/>
        <v/>
      </c>
      <c r="K1206" s="15" t="str">
        <f t="shared" si="220"/>
        <v/>
      </c>
      <c r="L1206" s="15" t="str">
        <f t="shared" si="221"/>
        <v/>
      </c>
      <c r="M1206" s="15">
        <f t="shared" si="225"/>
        <v>0.14241673647193287</v>
      </c>
      <c r="N1206" s="15">
        <f t="shared" si="226"/>
        <v>2.190427895296049</v>
      </c>
      <c r="O1206" s="15">
        <f t="shared" si="227"/>
        <v>0.14556827218204926</v>
      </c>
      <c r="P1206" s="18">
        <f>IF(SUMIFS('Daily NSE Equity Futures'!$J:$J,'Daily NSE Equity Futures'!$A:$A,$A1206)=0,"",SUMIFS('Daily NSE Equity Futures'!$J:$J,'Daily NSE Equity Futures'!$A:$A,$A1206))</f>
        <v>2113535</v>
      </c>
      <c r="Q1206" s="7">
        <f>IF(SUMIFS('Daily BSE Equity Futures'!$J:$J,'Daily BSE Equity Futures'!$A:$A,$A1206)=0,"",SUMIFS('Daily BSE Equity Futures'!$J:$J,'Daily BSE Equity Futures'!$A:$A,$A1206))</f>
        <v>4253</v>
      </c>
      <c r="R1206" s="7">
        <f t="shared" si="222"/>
        <v>2117788</v>
      </c>
      <c r="S1206" s="19">
        <f t="shared" si="223"/>
        <v>0.99799177254758265</v>
      </c>
      <c r="T1206" s="19">
        <f t="shared" si="224"/>
        <v>2.0082274524173336E-3</v>
      </c>
    </row>
    <row r="1207" spans="1:20" x14ac:dyDescent="0.2">
      <c r="A1207" s="9">
        <v>45693</v>
      </c>
      <c r="B1207" s="4" t="s">
        <v>221</v>
      </c>
      <c r="C1207" s="8">
        <v>45689</v>
      </c>
      <c r="D1207" s="4" t="s">
        <v>192</v>
      </c>
      <c r="E1207" s="14">
        <f>IF(SUMIFS('Daily NSE Equity Futures'!$I:$I,'Daily NSE Equity Futures'!$A:$A,$A1207)=0,"",SUMIFS('Daily NSE Equity Futures'!$I:$I,'Daily NSE Equity Futures'!$A:$A,$A1207))</f>
        <v>1091.3242</v>
      </c>
      <c r="F1207" s="6">
        <f>IF(SUMIFS('Daily BSE Equity Futures'!$I:$I,'Daily BSE Equity Futures'!$A:$A,$A1207)=0,"",SUMIFS('Daily BSE Equity Futures'!$I:$I,'Daily BSE Equity Futures'!$A:$A,$A1207))</f>
        <v>1.1067</v>
      </c>
      <c r="G1207" s="6">
        <f t="shared" si="216"/>
        <v>1092.4309000000001</v>
      </c>
      <c r="H1207" s="15">
        <f t="shared" si="217"/>
        <v>0.99898693821275097</v>
      </c>
      <c r="I1207" s="15">
        <f t="shared" si="218"/>
        <v>1.0130617872489691E-3</v>
      </c>
      <c r="J1207" s="20">
        <f t="shared" si="219"/>
        <v>-0.30971200328102488</v>
      </c>
      <c r="K1207" s="15">
        <f t="shared" si="220"/>
        <v>-0.35310965630114566</v>
      </c>
      <c r="L1207" s="15">
        <f t="shared" si="221"/>
        <v>-0.30975891402445044</v>
      </c>
      <c r="M1207" s="15">
        <f t="shared" si="225"/>
        <v>-0.28896373437113354</v>
      </c>
      <c r="N1207" s="15">
        <f t="shared" si="226"/>
        <v>-0.83247301736274049</v>
      </c>
      <c r="O1207" s="15">
        <f t="shared" si="227"/>
        <v>-0.29129303120849859</v>
      </c>
      <c r="P1207" s="18">
        <f>IF(SUMIFS('Daily NSE Equity Futures'!$J:$J,'Daily NSE Equity Futures'!$A:$A,$A1207)=0,"",SUMIFS('Daily NSE Equity Futures'!$J:$J,'Daily NSE Equity Futures'!$A:$A,$A1207))</f>
        <v>1609604</v>
      </c>
      <c r="Q1207" s="7">
        <f>IF(SUMIFS('Daily BSE Equity Futures'!$J:$J,'Daily BSE Equity Futures'!$A:$A,$A1207)=0,"",SUMIFS('Daily BSE Equity Futures'!$J:$J,'Daily BSE Equity Futures'!$A:$A,$A1207))</f>
        <v>709</v>
      </c>
      <c r="R1207" s="7">
        <f t="shared" si="222"/>
        <v>1610313</v>
      </c>
      <c r="S1207" s="19">
        <f t="shared" si="223"/>
        <v>0.99955971292537538</v>
      </c>
      <c r="T1207" s="19">
        <f t="shared" si="224"/>
        <v>4.4028707462462265E-4</v>
      </c>
    </row>
    <row r="1208" spans="1:20" x14ac:dyDescent="0.2">
      <c r="A1208" s="9">
        <v>45694</v>
      </c>
      <c r="B1208" s="4" t="s">
        <v>224</v>
      </c>
      <c r="C1208" s="8">
        <v>45689</v>
      </c>
      <c r="D1208" s="4" t="s">
        <v>192</v>
      </c>
      <c r="E1208" s="14">
        <f>IF(SUMIFS('Daily NSE Equity Futures'!$I:$I,'Daily NSE Equity Futures'!$A:$A,$A1208)=0,"",SUMIFS('Daily NSE Equity Futures'!$I:$I,'Daily NSE Equity Futures'!$A:$A,$A1208))</f>
        <v>1067.8348000000001</v>
      </c>
      <c r="F1208" s="6">
        <f>IF(SUMIFS('Daily BSE Equity Futures'!$I:$I,'Daily BSE Equity Futures'!$A:$A,$A1208)=0,"",SUMIFS('Daily BSE Equity Futures'!$I:$I,'Daily BSE Equity Futures'!$A:$A,$A1208))</f>
        <v>0.84770000000000001</v>
      </c>
      <c r="G1208" s="6">
        <f t="shared" si="216"/>
        <v>1068.6825000000001</v>
      </c>
      <c r="H1208" s="15">
        <f t="shared" si="217"/>
        <v>0.99920678031127108</v>
      </c>
      <c r="I1208" s="15">
        <f t="shared" si="218"/>
        <v>7.9321968872887868E-4</v>
      </c>
      <c r="J1208" s="20">
        <f t="shared" si="219"/>
        <v>-0.19836170230655292</v>
      </c>
      <c r="K1208" s="15">
        <f t="shared" si="220"/>
        <v>-0.26363794301598331</v>
      </c>
      <c r="L1208" s="15">
        <f t="shared" si="221"/>
        <v>-0.19841806673903284</v>
      </c>
      <c r="M1208" s="15">
        <f t="shared" si="225"/>
        <v>-2.1523759850647473E-2</v>
      </c>
      <c r="N1208" s="15">
        <f t="shared" si="226"/>
        <v>-0.23402909550917139</v>
      </c>
      <c r="O1208" s="15">
        <f t="shared" si="227"/>
        <v>-2.1739040885789596E-2</v>
      </c>
      <c r="P1208" s="18">
        <f>IF(SUMIFS('Daily NSE Equity Futures'!$J:$J,'Daily NSE Equity Futures'!$A:$A,$A1208)=0,"",SUMIFS('Daily NSE Equity Futures'!$J:$J,'Daily NSE Equity Futures'!$A:$A,$A1208))</f>
        <v>1547440</v>
      </c>
      <c r="Q1208" s="7">
        <f>IF(SUMIFS('Daily BSE Equity Futures'!$J:$J,'Daily BSE Equity Futures'!$A:$A,$A1208)=0,"",SUMIFS('Daily BSE Equity Futures'!$J:$J,'Daily BSE Equity Futures'!$A:$A,$A1208))</f>
        <v>564</v>
      </c>
      <c r="R1208" s="7">
        <f t="shared" si="222"/>
        <v>1548004</v>
      </c>
      <c r="S1208" s="19">
        <f t="shared" si="223"/>
        <v>0.99963565985617608</v>
      </c>
      <c r="T1208" s="19">
        <f t="shared" si="224"/>
        <v>3.6434014382391778E-4</v>
      </c>
    </row>
    <row r="1209" spans="1:20" x14ac:dyDescent="0.2">
      <c r="A1209" s="9">
        <v>45695</v>
      </c>
      <c r="B1209" s="4" t="s">
        <v>222</v>
      </c>
      <c r="C1209" s="8">
        <v>45689</v>
      </c>
      <c r="D1209" s="4" t="s">
        <v>192</v>
      </c>
      <c r="E1209" s="14">
        <f>IF(SUMIFS('Daily NSE Equity Futures'!$I:$I,'Daily NSE Equity Futures'!$A:$A,$A1209)=0,"",SUMIFS('Daily NSE Equity Futures'!$I:$I,'Daily NSE Equity Futures'!$A:$A,$A1209))</f>
        <v>1281.2354</v>
      </c>
      <c r="F1209" s="6">
        <f>IF(SUMIFS('Daily BSE Equity Futures'!$I:$I,'Daily BSE Equity Futures'!$A:$A,$A1209)=0,"",SUMIFS('Daily BSE Equity Futures'!$I:$I,'Daily BSE Equity Futures'!$A:$A,$A1209))</f>
        <v>1.8323</v>
      </c>
      <c r="G1209" s="6">
        <f t="shared" si="216"/>
        <v>1283.0677000000001</v>
      </c>
      <c r="H1209" s="15">
        <f t="shared" si="217"/>
        <v>0.99857193817598244</v>
      </c>
      <c r="I1209" s="15">
        <f t="shared" si="218"/>
        <v>1.428061824017548E-3</v>
      </c>
      <c r="J1209" s="20">
        <f t="shared" si="219"/>
        <v>-9.193017410971116E-2</v>
      </c>
      <c r="K1209" s="15">
        <f t="shared" si="220"/>
        <v>1.47407507426411</v>
      </c>
      <c r="L1209" s="15">
        <f t="shared" si="221"/>
        <v>-9.1108614015187439E-2</v>
      </c>
      <c r="M1209" s="15">
        <f t="shared" si="225"/>
        <v>0.19984420811159165</v>
      </c>
      <c r="N1209" s="15">
        <f t="shared" si="226"/>
        <v>1.1614958121977117</v>
      </c>
      <c r="O1209" s="15">
        <f t="shared" si="227"/>
        <v>0.20060700909765061</v>
      </c>
      <c r="P1209" s="18">
        <f>IF(SUMIFS('Daily NSE Equity Futures'!$J:$J,'Daily NSE Equity Futures'!$A:$A,$A1209)=0,"",SUMIFS('Daily NSE Equity Futures'!$J:$J,'Daily NSE Equity Futures'!$A:$A,$A1209))</f>
        <v>1742108</v>
      </c>
      <c r="Q1209" s="7">
        <f>IF(SUMIFS('Daily BSE Equity Futures'!$J:$J,'Daily BSE Equity Futures'!$A:$A,$A1209)=0,"",SUMIFS('Daily BSE Equity Futures'!$J:$J,'Daily BSE Equity Futures'!$A:$A,$A1209))</f>
        <v>1186</v>
      </c>
      <c r="R1209" s="7">
        <f t="shared" si="222"/>
        <v>1743294</v>
      </c>
      <c r="S1209" s="19">
        <f t="shared" si="223"/>
        <v>0.99931967872315286</v>
      </c>
      <c r="T1209" s="19">
        <f t="shared" si="224"/>
        <v>6.8032127684716402E-4</v>
      </c>
    </row>
    <row r="1210" spans="1:20" x14ac:dyDescent="0.2">
      <c r="A1210" s="9">
        <v>45698</v>
      </c>
      <c r="B1210" s="4" t="s">
        <v>225</v>
      </c>
      <c r="C1210" s="8">
        <v>45689</v>
      </c>
      <c r="D1210" s="4" t="s">
        <v>192</v>
      </c>
      <c r="E1210" s="14">
        <f>IF(SUMIFS('Daily NSE Equity Futures'!$I:$I,'Daily NSE Equity Futures'!$A:$A,$A1210)=0,"",SUMIFS('Daily NSE Equity Futures'!$I:$I,'Daily NSE Equity Futures'!$A:$A,$A1210))</f>
        <v>898.11310000000003</v>
      </c>
      <c r="F1210" s="6">
        <f>IF(SUMIFS('Daily BSE Equity Futures'!$I:$I,'Daily BSE Equity Futures'!$A:$A,$A1210)=0,"",SUMIFS('Daily BSE Equity Futures'!$I:$I,'Daily BSE Equity Futures'!$A:$A,$A1210))</f>
        <v>2.2622</v>
      </c>
      <c r="G1210" s="6">
        <f t="shared" si="216"/>
        <v>900.37530000000004</v>
      </c>
      <c r="H1210" s="15">
        <f t="shared" si="217"/>
        <v>0.9974874921602136</v>
      </c>
      <c r="I1210" s="15">
        <f t="shared" si="218"/>
        <v>2.5125078397863643E-3</v>
      </c>
      <c r="J1210" s="20" t="str">
        <f t="shared" si="219"/>
        <v/>
      </c>
      <c r="K1210" s="15" t="str">
        <f t="shared" si="220"/>
        <v/>
      </c>
      <c r="L1210" s="15" t="str">
        <f t="shared" si="221"/>
        <v/>
      </c>
      <c r="M1210" s="15">
        <f t="shared" si="225"/>
        <v>-0.29902569036103743</v>
      </c>
      <c r="N1210" s="15">
        <f t="shared" si="226"/>
        <v>0.23462315123069355</v>
      </c>
      <c r="O1210" s="15">
        <f t="shared" si="227"/>
        <v>-0.29826360682292918</v>
      </c>
      <c r="P1210" s="18">
        <f>IF(SUMIFS('Daily NSE Equity Futures'!$J:$J,'Daily NSE Equity Futures'!$A:$A,$A1210)=0,"",SUMIFS('Daily NSE Equity Futures'!$J:$J,'Daily NSE Equity Futures'!$A:$A,$A1210))</f>
        <v>1259397</v>
      </c>
      <c r="Q1210" s="7">
        <f>IF(SUMIFS('Daily BSE Equity Futures'!$J:$J,'Daily BSE Equity Futures'!$A:$A,$A1210)=0,"",SUMIFS('Daily BSE Equity Futures'!$J:$J,'Daily BSE Equity Futures'!$A:$A,$A1210))</f>
        <v>1474</v>
      </c>
      <c r="R1210" s="7">
        <f t="shared" si="222"/>
        <v>1260871</v>
      </c>
      <c r="S1210" s="19">
        <f t="shared" si="223"/>
        <v>0.99883096684752048</v>
      </c>
      <c r="T1210" s="19">
        <f t="shared" si="224"/>
        <v>1.1690331524795161E-3</v>
      </c>
    </row>
    <row r="1211" spans="1:20" x14ac:dyDescent="0.2">
      <c r="A1211" s="9">
        <v>45699</v>
      </c>
      <c r="B1211" s="4" t="s">
        <v>223</v>
      </c>
      <c r="C1211" s="8">
        <v>45689</v>
      </c>
      <c r="D1211" s="4" t="s">
        <v>192</v>
      </c>
      <c r="E1211" s="14">
        <f>IF(SUMIFS('Daily NSE Equity Futures'!$I:$I,'Daily NSE Equity Futures'!$A:$A,$A1211)=0,"",SUMIFS('Daily NSE Equity Futures'!$I:$I,'Daily NSE Equity Futures'!$A:$A,$A1211))</f>
        <v>1168.6533999999999</v>
      </c>
      <c r="F1211" s="6">
        <f>IF(SUMIFS('Daily BSE Equity Futures'!$I:$I,'Daily BSE Equity Futures'!$A:$A,$A1211)=0,"",SUMIFS('Daily BSE Equity Futures'!$I:$I,'Daily BSE Equity Futures'!$A:$A,$A1211))</f>
        <v>4.9656000000000002</v>
      </c>
      <c r="G1211" s="6">
        <f t="shared" si="216"/>
        <v>1173.6189999999999</v>
      </c>
      <c r="H1211" s="15">
        <f t="shared" si="217"/>
        <v>0.99576898465345232</v>
      </c>
      <c r="I1211" s="15">
        <f t="shared" si="218"/>
        <v>4.23101534654773E-3</v>
      </c>
      <c r="J1211" s="20" t="str">
        <f t="shared" si="219"/>
        <v/>
      </c>
      <c r="K1211" s="15" t="str">
        <f t="shared" si="220"/>
        <v/>
      </c>
      <c r="L1211" s="15" t="str">
        <f t="shared" si="221"/>
        <v/>
      </c>
      <c r="M1211" s="15">
        <f t="shared" si="225"/>
        <v>0.30123188271054047</v>
      </c>
      <c r="N1211" s="15">
        <f t="shared" si="226"/>
        <v>1.1950313853770669</v>
      </c>
      <c r="O1211" s="15">
        <f t="shared" si="227"/>
        <v>0.30347756096818723</v>
      </c>
      <c r="P1211" s="18">
        <f>IF(SUMIFS('Daily NSE Equity Futures'!$J:$J,'Daily NSE Equity Futures'!$A:$A,$A1211)=0,"",SUMIFS('Daily NSE Equity Futures'!$J:$J,'Daily NSE Equity Futures'!$A:$A,$A1211))</f>
        <v>1628318</v>
      </c>
      <c r="Q1211" s="7">
        <f>IF(SUMIFS('Daily BSE Equity Futures'!$J:$J,'Daily BSE Equity Futures'!$A:$A,$A1211)=0,"",SUMIFS('Daily BSE Equity Futures'!$J:$J,'Daily BSE Equity Futures'!$A:$A,$A1211))</f>
        <v>3252</v>
      </c>
      <c r="R1211" s="7">
        <f t="shared" si="222"/>
        <v>1631570</v>
      </c>
      <c r="S1211" s="19">
        <f t="shared" si="223"/>
        <v>0.9980068277793781</v>
      </c>
      <c r="T1211" s="19">
        <f t="shared" si="224"/>
        <v>1.9931722206218551E-3</v>
      </c>
    </row>
    <row r="1212" spans="1:20" x14ac:dyDescent="0.2">
      <c r="A1212" s="9">
        <v>45700</v>
      </c>
      <c r="B1212" s="4" t="s">
        <v>221</v>
      </c>
      <c r="C1212" s="8">
        <v>45689</v>
      </c>
      <c r="D1212" s="4" t="s">
        <v>192</v>
      </c>
      <c r="E1212" s="14">
        <f>IF(SUMIFS('Daily NSE Equity Futures'!$I:$I,'Daily NSE Equity Futures'!$A:$A,$A1212)=0,"",SUMIFS('Daily NSE Equity Futures'!$I:$I,'Daily NSE Equity Futures'!$A:$A,$A1212))</f>
        <v>1451.8744999999999</v>
      </c>
      <c r="F1212" s="6">
        <f>IF(SUMIFS('Daily BSE Equity Futures'!$I:$I,'Daily BSE Equity Futures'!$A:$A,$A1212)=0,"",SUMIFS('Daily BSE Equity Futures'!$I:$I,'Daily BSE Equity Futures'!$A:$A,$A1212))</f>
        <v>1.8623000000000001</v>
      </c>
      <c r="G1212" s="6">
        <f t="shared" si="216"/>
        <v>1453.7367999999999</v>
      </c>
      <c r="H1212" s="15">
        <f t="shared" si="217"/>
        <v>0.99871895655389609</v>
      </c>
      <c r="I1212" s="15">
        <f t="shared" si="218"/>
        <v>1.2810434461038615E-3</v>
      </c>
      <c r="J1212" s="20">
        <f t="shared" si="219"/>
        <v>3.7035732826218082E-2</v>
      </c>
      <c r="K1212" s="15">
        <f t="shared" si="220"/>
        <v>1.7725174929283911</v>
      </c>
      <c r="L1212" s="15">
        <f t="shared" si="221"/>
        <v>3.7867978853073803E-2</v>
      </c>
      <c r="M1212" s="15">
        <f t="shared" si="225"/>
        <v>0.24234824456934789</v>
      </c>
      <c r="N1212" s="15">
        <f t="shared" si="226"/>
        <v>-0.62495972289350732</v>
      </c>
      <c r="O1212" s="15">
        <f t="shared" si="227"/>
        <v>0.23867865124882948</v>
      </c>
      <c r="P1212" s="18">
        <f>IF(SUMIFS('Daily NSE Equity Futures'!$J:$J,'Daily NSE Equity Futures'!$A:$A,$A1212)=0,"",SUMIFS('Daily NSE Equity Futures'!$J:$J,'Daily NSE Equity Futures'!$A:$A,$A1212))</f>
        <v>2042125</v>
      </c>
      <c r="Q1212" s="7">
        <f>IF(SUMIFS('Daily BSE Equity Futures'!$J:$J,'Daily BSE Equity Futures'!$A:$A,$A1212)=0,"",SUMIFS('Daily BSE Equity Futures'!$J:$J,'Daily BSE Equity Futures'!$A:$A,$A1212))</f>
        <v>1256</v>
      </c>
      <c r="R1212" s="7">
        <f t="shared" si="222"/>
        <v>2043381</v>
      </c>
      <c r="S1212" s="19">
        <f t="shared" si="223"/>
        <v>0.99938533244656769</v>
      </c>
      <c r="T1212" s="19">
        <f t="shared" si="224"/>
        <v>6.1466755343227717E-4</v>
      </c>
    </row>
    <row r="1213" spans="1:20" x14ac:dyDescent="0.2">
      <c r="A1213" s="9">
        <v>45701</v>
      </c>
      <c r="B1213" s="4" t="s">
        <v>224</v>
      </c>
      <c r="C1213" s="8">
        <v>45689</v>
      </c>
      <c r="D1213" s="4" t="s">
        <v>192</v>
      </c>
      <c r="E1213" s="14">
        <f>IF(SUMIFS('Daily NSE Equity Futures'!$I:$I,'Daily NSE Equity Futures'!$A:$A,$A1213)=0,"",SUMIFS('Daily NSE Equity Futures'!$I:$I,'Daily NSE Equity Futures'!$A:$A,$A1213))</f>
        <v>1057.6475</v>
      </c>
      <c r="F1213" s="6">
        <f>IF(SUMIFS('Daily BSE Equity Futures'!$I:$I,'Daily BSE Equity Futures'!$A:$A,$A1213)=0,"",SUMIFS('Daily BSE Equity Futures'!$I:$I,'Daily BSE Equity Futures'!$A:$A,$A1213))</f>
        <v>1.3754</v>
      </c>
      <c r="G1213" s="6">
        <f t="shared" si="216"/>
        <v>1059.0228999999999</v>
      </c>
      <c r="H1213" s="15">
        <f t="shared" si="217"/>
        <v>0.99870125565745571</v>
      </c>
      <c r="I1213" s="15">
        <f t="shared" si="218"/>
        <v>1.2987443425444341E-3</v>
      </c>
      <c r="J1213" s="20">
        <f t="shared" si="219"/>
        <v>-0.2414234892392908</v>
      </c>
      <c r="K1213" s="15">
        <f t="shared" si="220"/>
        <v>0.33924050632911396</v>
      </c>
      <c r="L1213" s="15">
        <f t="shared" si="221"/>
        <v>-0.24099608974514719</v>
      </c>
      <c r="M1213" s="15">
        <f t="shared" si="225"/>
        <v>-0.2715296673369495</v>
      </c>
      <c r="N1213" s="15">
        <f t="shared" si="226"/>
        <v>-0.26145089405573763</v>
      </c>
      <c r="O1213" s="15">
        <f t="shared" si="227"/>
        <v>-0.27151675599049296</v>
      </c>
      <c r="P1213" s="18">
        <f>IF(SUMIFS('Daily NSE Equity Futures'!$J:$J,'Daily NSE Equity Futures'!$A:$A,$A1213)=0,"",SUMIFS('Daily NSE Equity Futures'!$J:$J,'Daily NSE Equity Futures'!$A:$A,$A1213))</f>
        <v>1491254</v>
      </c>
      <c r="Q1213" s="7">
        <f>IF(SUMIFS('Daily BSE Equity Futures'!$J:$J,'Daily BSE Equity Futures'!$A:$A,$A1213)=0,"",SUMIFS('Daily BSE Equity Futures'!$J:$J,'Daily BSE Equity Futures'!$A:$A,$A1213))</f>
        <v>970</v>
      </c>
      <c r="R1213" s="7">
        <f t="shared" si="222"/>
        <v>1492224</v>
      </c>
      <c r="S1213" s="19">
        <f t="shared" si="223"/>
        <v>0.99934996354434724</v>
      </c>
      <c r="T1213" s="19">
        <f t="shared" si="224"/>
        <v>6.5003645565277061E-4</v>
      </c>
    </row>
    <row r="1214" spans="1:20" x14ac:dyDescent="0.2">
      <c r="A1214" s="9">
        <v>45702</v>
      </c>
      <c r="B1214" s="4" t="s">
        <v>222</v>
      </c>
      <c r="C1214" s="8">
        <v>45689</v>
      </c>
      <c r="D1214" s="4" t="s">
        <v>192</v>
      </c>
      <c r="E1214" s="14">
        <f>IF(SUMIFS('Daily NSE Equity Futures'!$I:$I,'Daily NSE Equity Futures'!$A:$A,$A1214)=0,"",SUMIFS('Daily NSE Equity Futures'!$I:$I,'Daily NSE Equity Futures'!$A:$A,$A1214))</f>
        <v>1214.3476000000001</v>
      </c>
      <c r="F1214" s="6">
        <f>IF(SUMIFS('Daily BSE Equity Futures'!$I:$I,'Daily BSE Equity Futures'!$A:$A,$A1214)=0,"",SUMIFS('Daily BSE Equity Futures'!$I:$I,'Daily BSE Equity Futures'!$A:$A,$A1214))</f>
        <v>2.109</v>
      </c>
      <c r="G1214" s="6">
        <f t="shared" si="216"/>
        <v>1216.4566</v>
      </c>
      <c r="H1214" s="15">
        <f t="shared" si="217"/>
        <v>0.99826627600195528</v>
      </c>
      <c r="I1214" s="15">
        <f t="shared" si="218"/>
        <v>1.7337239980448132E-3</v>
      </c>
      <c r="J1214" s="20">
        <f t="shared" si="219"/>
        <v>-0.21607406715470046</v>
      </c>
      <c r="K1214" s="15">
        <f t="shared" si="220"/>
        <v>7.3118607846130335E-2</v>
      </c>
      <c r="L1214" s="15">
        <f t="shared" si="221"/>
        <v>-0.21570763167877949</v>
      </c>
      <c r="M1214" s="15">
        <f t="shared" si="225"/>
        <v>0.14815909837634944</v>
      </c>
      <c r="N1214" s="15">
        <f t="shared" si="226"/>
        <v>0.53337210993165618</v>
      </c>
      <c r="O1214" s="15">
        <f t="shared" si="227"/>
        <v>0.14865939159578145</v>
      </c>
      <c r="P1214" s="18">
        <f>IF(SUMIFS('Daily NSE Equity Futures'!$J:$J,'Daily NSE Equity Futures'!$A:$A,$A1214)=0,"",SUMIFS('Daily NSE Equity Futures'!$J:$J,'Daily NSE Equity Futures'!$A:$A,$A1214))</f>
        <v>1706612</v>
      </c>
      <c r="Q1214" s="7">
        <f>IF(SUMIFS('Daily BSE Equity Futures'!$J:$J,'Daily BSE Equity Futures'!$A:$A,$A1214)=0,"",SUMIFS('Daily BSE Equity Futures'!$J:$J,'Daily BSE Equity Futures'!$A:$A,$A1214))</f>
        <v>1417</v>
      </c>
      <c r="R1214" s="7">
        <f t="shared" si="222"/>
        <v>1708029</v>
      </c>
      <c r="S1214" s="19">
        <f t="shared" si="223"/>
        <v>0.99917038879316455</v>
      </c>
      <c r="T1214" s="19">
        <f t="shared" si="224"/>
        <v>8.296112068354811E-4</v>
      </c>
    </row>
    <row r="1215" spans="1:20" x14ac:dyDescent="0.2">
      <c r="A1215" s="9">
        <v>45705</v>
      </c>
      <c r="B1215" s="4" t="s">
        <v>225</v>
      </c>
      <c r="C1215" s="8">
        <v>45689</v>
      </c>
      <c r="D1215" s="4" t="s">
        <v>192</v>
      </c>
      <c r="E1215" s="14">
        <f>IF(SUMIFS('Daily NSE Equity Futures'!$I:$I,'Daily NSE Equity Futures'!$A:$A,$A1215)=0,"",SUMIFS('Daily NSE Equity Futures'!$I:$I,'Daily NSE Equity Futures'!$A:$A,$A1215))</f>
        <v>1082.7506000000001</v>
      </c>
      <c r="F1215" s="6">
        <f>IF(SUMIFS('Daily BSE Equity Futures'!$I:$I,'Daily BSE Equity Futures'!$A:$A,$A1215)=0,"",SUMIFS('Daily BSE Equity Futures'!$I:$I,'Daily BSE Equity Futures'!$A:$A,$A1215))</f>
        <v>2.2360000000000002</v>
      </c>
      <c r="G1215" s="6">
        <f t="shared" si="216"/>
        <v>1084.9866000000002</v>
      </c>
      <c r="H1215" s="15">
        <f t="shared" si="217"/>
        <v>0.99793914505487891</v>
      </c>
      <c r="I1215" s="15">
        <f t="shared" si="218"/>
        <v>2.060854945120981E-3</v>
      </c>
      <c r="J1215" s="20" t="str">
        <f t="shared" si="219"/>
        <v/>
      </c>
      <c r="K1215" s="15" t="str">
        <f t="shared" si="220"/>
        <v/>
      </c>
      <c r="L1215" s="15" t="str">
        <f t="shared" si="221"/>
        <v/>
      </c>
      <c r="M1215" s="15">
        <f t="shared" si="225"/>
        <v>-0.10836847703244112</v>
      </c>
      <c r="N1215" s="15">
        <f t="shared" si="226"/>
        <v>6.0218112849691918E-2</v>
      </c>
      <c r="O1215" s="15">
        <f t="shared" si="227"/>
        <v>-0.10807619441581373</v>
      </c>
      <c r="P1215" s="18">
        <f>IF(SUMIFS('Daily NSE Equity Futures'!$J:$J,'Daily NSE Equity Futures'!$A:$A,$A1215)=0,"",SUMIFS('Daily NSE Equity Futures'!$J:$J,'Daily NSE Equity Futures'!$A:$A,$A1215))</f>
        <v>1560576</v>
      </c>
      <c r="Q1215" s="7">
        <f>IF(SUMIFS('Daily BSE Equity Futures'!$J:$J,'Daily BSE Equity Futures'!$A:$A,$A1215)=0,"",SUMIFS('Daily BSE Equity Futures'!$J:$J,'Daily BSE Equity Futures'!$A:$A,$A1215))</f>
        <v>1488</v>
      </c>
      <c r="R1215" s="7">
        <f t="shared" si="222"/>
        <v>1562064</v>
      </c>
      <c r="S1215" s="19">
        <f t="shared" si="223"/>
        <v>0.99904741419045573</v>
      </c>
      <c r="T1215" s="19">
        <f t="shared" si="224"/>
        <v>9.5258580954429525E-4</v>
      </c>
    </row>
    <row r="1216" spans="1:20" x14ac:dyDescent="0.2">
      <c r="A1216" s="9">
        <v>45706</v>
      </c>
      <c r="B1216" s="4" t="s">
        <v>223</v>
      </c>
      <c r="C1216" s="8">
        <v>45689</v>
      </c>
      <c r="D1216" s="4" t="s">
        <v>192</v>
      </c>
      <c r="E1216" s="14">
        <f>IF(SUMIFS('Daily NSE Equity Futures'!$I:$I,'Daily NSE Equity Futures'!$A:$A,$A1216)=0,"",SUMIFS('Daily NSE Equity Futures'!$I:$I,'Daily NSE Equity Futures'!$A:$A,$A1216))</f>
        <v>950.67629999999997</v>
      </c>
      <c r="F1216" s="6">
        <f>IF(SUMIFS('Daily BSE Equity Futures'!$I:$I,'Daily BSE Equity Futures'!$A:$A,$A1216)=0,"",SUMIFS('Daily BSE Equity Futures'!$I:$I,'Daily BSE Equity Futures'!$A:$A,$A1216))</f>
        <v>4.4156000000000004</v>
      </c>
      <c r="G1216" s="6">
        <f t="shared" si="216"/>
        <v>955.09190000000001</v>
      </c>
      <c r="H1216" s="15">
        <f t="shared" si="217"/>
        <v>0.99537677997269158</v>
      </c>
      <c r="I1216" s="15">
        <f t="shared" si="218"/>
        <v>4.6232200273083673E-3</v>
      </c>
      <c r="J1216" s="20" t="str">
        <f t="shared" si="219"/>
        <v/>
      </c>
      <c r="K1216" s="15" t="str">
        <f t="shared" si="220"/>
        <v/>
      </c>
      <c r="L1216" s="15" t="str">
        <f t="shared" si="221"/>
        <v/>
      </c>
      <c r="M1216" s="15">
        <f t="shared" si="225"/>
        <v>-0.12198035263152951</v>
      </c>
      <c r="N1216" s="15">
        <f t="shared" si="226"/>
        <v>0.97477638640429332</v>
      </c>
      <c r="O1216" s="15">
        <f t="shared" si="227"/>
        <v>-0.11972009608229273</v>
      </c>
      <c r="P1216" s="18">
        <f>IF(SUMIFS('Daily NSE Equity Futures'!$J:$J,'Daily NSE Equity Futures'!$A:$A,$A1216)=0,"",SUMIFS('Daily NSE Equity Futures'!$J:$J,'Daily NSE Equity Futures'!$A:$A,$A1216))</f>
        <v>1393020</v>
      </c>
      <c r="Q1216" s="7">
        <f>IF(SUMIFS('Daily BSE Equity Futures'!$J:$J,'Daily BSE Equity Futures'!$A:$A,$A1216)=0,"",SUMIFS('Daily BSE Equity Futures'!$J:$J,'Daily BSE Equity Futures'!$A:$A,$A1216))</f>
        <v>2930</v>
      </c>
      <c r="R1216" s="7">
        <f t="shared" si="222"/>
        <v>1395950</v>
      </c>
      <c r="S1216" s="19">
        <f t="shared" si="223"/>
        <v>0.99790107095526348</v>
      </c>
      <c r="T1216" s="19">
        <f t="shared" si="224"/>
        <v>2.0989290447365593E-3</v>
      </c>
    </row>
    <row r="1217" spans="1:20" x14ac:dyDescent="0.2">
      <c r="A1217" s="9">
        <v>45707</v>
      </c>
      <c r="B1217" s="4" t="s">
        <v>221</v>
      </c>
      <c r="C1217" s="8">
        <v>45689</v>
      </c>
      <c r="D1217" s="4" t="s">
        <v>192</v>
      </c>
      <c r="E1217" s="14">
        <f>IF(SUMIFS('Daily NSE Equity Futures'!$I:$I,'Daily NSE Equity Futures'!$A:$A,$A1217)=0,"",SUMIFS('Daily NSE Equity Futures'!$I:$I,'Daily NSE Equity Futures'!$A:$A,$A1217))</f>
        <v>1223.6428000000001</v>
      </c>
      <c r="F1217" s="6">
        <f>IF(SUMIFS('Daily BSE Equity Futures'!$I:$I,'Daily BSE Equity Futures'!$A:$A,$A1217)=0,"",SUMIFS('Daily BSE Equity Futures'!$I:$I,'Daily BSE Equity Futures'!$A:$A,$A1217))</f>
        <v>1.4742</v>
      </c>
      <c r="G1217" s="6">
        <f t="shared" si="216"/>
        <v>1225.1170000000002</v>
      </c>
      <c r="H1217" s="15">
        <f t="shared" si="217"/>
        <v>0.9987966863573029</v>
      </c>
      <c r="I1217" s="15">
        <f t="shared" si="218"/>
        <v>1.203313642696983E-3</v>
      </c>
      <c r="J1217" s="20">
        <f t="shared" si="219"/>
        <v>5.5336836970478531E-2</v>
      </c>
      <c r="K1217" s="15">
        <f t="shared" si="220"/>
        <v>-0.32397853900123808</v>
      </c>
      <c r="L1217" s="15">
        <f t="shared" si="221"/>
        <v>5.4624776666869268E-2</v>
      </c>
      <c r="M1217" s="15">
        <f t="shared" si="225"/>
        <v>0.28712875244707381</v>
      </c>
      <c r="N1217" s="15">
        <f t="shared" si="226"/>
        <v>-0.66613823715916298</v>
      </c>
      <c r="O1217" s="15">
        <f t="shared" si="227"/>
        <v>0.28272158940935443</v>
      </c>
      <c r="P1217" s="18">
        <f>IF(SUMIFS('Daily NSE Equity Futures'!$J:$J,'Daily NSE Equity Futures'!$A:$A,$A1217)=0,"",SUMIFS('Daily NSE Equity Futures'!$J:$J,'Daily NSE Equity Futures'!$A:$A,$A1217))</f>
        <v>1770720</v>
      </c>
      <c r="Q1217" s="7">
        <f>IF(SUMIFS('Daily BSE Equity Futures'!$J:$J,'Daily BSE Equity Futures'!$A:$A,$A1217)=0,"",SUMIFS('Daily BSE Equity Futures'!$J:$J,'Daily BSE Equity Futures'!$A:$A,$A1217))</f>
        <v>985</v>
      </c>
      <c r="R1217" s="7">
        <f t="shared" si="222"/>
        <v>1771705</v>
      </c>
      <c r="S1217" s="19">
        <f t="shared" si="223"/>
        <v>0.99944403836981888</v>
      </c>
      <c r="T1217" s="19">
        <f t="shared" si="224"/>
        <v>5.5596163018109676E-4</v>
      </c>
    </row>
    <row r="1218" spans="1:20" x14ac:dyDescent="0.2">
      <c r="A1218" s="9">
        <v>45708</v>
      </c>
      <c r="B1218" s="4" t="s">
        <v>224</v>
      </c>
      <c r="C1218" s="8">
        <v>45689</v>
      </c>
      <c r="D1218" s="4" t="s">
        <v>192</v>
      </c>
      <c r="E1218" s="14">
        <f>IF(SUMIFS('Daily NSE Equity Futures'!$I:$I,'Daily NSE Equity Futures'!$A:$A,$A1218)=0,"",SUMIFS('Daily NSE Equity Futures'!$I:$I,'Daily NSE Equity Futures'!$A:$A,$A1218))</f>
        <v>1243.4161999999999</v>
      </c>
      <c r="F1218" s="6">
        <f>IF(SUMIFS('Daily BSE Equity Futures'!$I:$I,'Daily BSE Equity Futures'!$A:$A,$A1218)=0,"",SUMIFS('Daily BSE Equity Futures'!$I:$I,'Daily BSE Equity Futures'!$A:$A,$A1218))</f>
        <v>0.91949999999999998</v>
      </c>
      <c r="G1218" s="6">
        <f t="shared" ref="G1218:G1281" si="228">IF(OR(E1218="",F1218=""),"",E1218+F1218)</f>
        <v>1244.3356999999999</v>
      </c>
      <c r="H1218" s="15">
        <f t="shared" ref="H1218:H1281" si="229">IF(G1218="","",E1218/G1218)</f>
        <v>0.99926105149920563</v>
      </c>
      <c r="I1218" s="15">
        <f t="shared" ref="I1218:I1281" si="230">IF(G1218="","",F1218/G1218)</f>
        <v>7.3894850079444E-4</v>
      </c>
      <c r="J1218" s="20">
        <f t="shared" ref="J1218:J1281" si="231">IFERROR(IF(OR(E1218="",INDEX(E:E,MATCH(DATE(YEAR($A1218)-1,MONTH($A1218),DAY($A1218)),$A:$A,0))=""),"",E1218/INDEX(E:E,MATCH(DATE(YEAR($A1218)-1,MONTH($A1218),DAY($A1218)),$A:$A,0))-1),"")</f>
        <v>-3.9255564889351446E-2</v>
      </c>
      <c r="K1218" s="15">
        <f t="shared" ref="K1218:K1281" si="232">IFERROR(IF(OR(F1218="",INDEX(F:F,MATCH(DATE(YEAR($A1218)-1,MONTH($A1218),DAY($A1218)),$A:$A,0))=""),"",F1218/INDEX(F:F,MATCH(DATE(YEAR($A1218)-1,MONTH($A1218),DAY($A1218)),$A:$A,0))-1),"")</f>
        <v>-2.8936529728587956E-2</v>
      </c>
      <c r="L1218" s="15">
        <f t="shared" ref="L1218:L1281" si="233">IFERROR(IF(OR(G1218="",INDEX(G:G,MATCH(DATE(YEAR($A1218)-1,MONTH($A1218),DAY($A1218)),$A:$A,0))=""),"",G1218/INDEX(G:G,MATCH(DATE(YEAR($A1218)-1,MONTH($A1218),DAY($A1218)),$A:$A,0))-1),"")</f>
        <v>-3.9248020624343627E-2</v>
      </c>
      <c r="M1218" s="15">
        <f t="shared" si="225"/>
        <v>1.6159454376718285E-2</v>
      </c>
      <c r="N1218" s="15">
        <f t="shared" si="226"/>
        <v>-0.3762718762718763</v>
      </c>
      <c r="O1218" s="15">
        <f t="shared" si="227"/>
        <v>1.5687236402726956E-2</v>
      </c>
      <c r="P1218" s="18">
        <f>IF(SUMIFS('Daily NSE Equity Futures'!$J:$J,'Daily NSE Equity Futures'!$A:$A,$A1218)=0,"",SUMIFS('Daily NSE Equity Futures'!$J:$J,'Daily NSE Equity Futures'!$A:$A,$A1218))</f>
        <v>1903471</v>
      </c>
      <c r="Q1218" s="7">
        <f>IF(SUMIFS('Daily BSE Equity Futures'!$J:$J,'Daily BSE Equity Futures'!$A:$A,$A1218)=0,"",SUMIFS('Daily BSE Equity Futures'!$J:$J,'Daily BSE Equity Futures'!$A:$A,$A1218))</f>
        <v>650</v>
      </c>
      <c r="R1218" s="7">
        <f t="shared" ref="R1218:R1281" si="234">IF(OR(P1218="",Q1218=""),"",P1218+Q1218)</f>
        <v>1904121</v>
      </c>
      <c r="S1218" s="19">
        <f t="shared" ref="S1218:S1281" si="235">IF(R1218="","",P1218/R1218)</f>
        <v>0.99965863513925846</v>
      </c>
      <c r="T1218" s="19">
        <f t="shared" ref="T1218:T1281" si="236">IF(R1218="","",Q1218/R1218)</f>
        <v>3.4136486074151802E-4</v>
      </c>
    </row>
    <row r="1219" spans="1:20" x14ac:dyDescent="0.2">
      <c r="A1219" s="9">
        <v>45709</v>
      </c>
      <c r="B1219" s="4" t="s">
        <v>222</v>
      </c>
      <c r="C1219" s="8">
        <v>45689</v>
      </c>
      <c r="D1219" s="4" t="s">
        <v>192</v>
      </c>
      <c r="E1219" s="14">
        <f>IF(SUMIFS('Daily NSE Equity Futures'!$I:$I,'Daily NSE Equity Futures'!$A:$A,$A1219)=0,"",SUMIFS('Daily NSE Equity Futures'!$I:$I,'Daily NSE Equity Futures'!$A:$A,$A1219))</f>
        <v>2774.3825999999999</v>
      </c>
      <c r="F1219" s="6">
        <f>IF(SUMIFS('Daily BSE Equity Futures'!$I:$I,'Daily BSE Equity Futures'!$A:$A,$A1219)=0,"",SUMIFS('Daily BSE Equity Futures'!$I:$I,'Daily BSE Equity Futures'!$A:$A,$A1219))</f>
        <v>1.8309</v>
      </c>
      <c r="G1219" s="6">
        <f t="shared" si="228"/>
        <v>2776.2134999999998</v>
      </c>
      <c r="H1219" s="15">
        <f t="shared" si="229"/>
        <v>0.99934050461176704</v>
      </c>
      <c r="I1219" s="15">
        <f t="shared" si="230"/>
        <v>6.5949538823292949E-4</v>
      </c>
      <c r="J1219" s="20">
        <f t="shared" si="231"/>
        <v>0.88319041771535067</v>
      </c>
      <c r="K1219" s="15">
        <f t="shared" si="232"/>
        <v>0.87938821597207961</v>
      </c>
      <c r="L1219" s="15">
        <f t="shared" si="233"/>
        <v>0.88318790511117951</v>
      </c>
      <c r="M1219" s="15">
        <f t="shared" ref="M1219:M1282" si="237">IF(OR(E1219="",E1218=""),"",E1219/E1218-1)</f>
        <v>1.2312582062225021</v>
      </c>
      <c r="N1219" s="15">
        <f t="shared" ref="N1219:N1282" si="238">IF(OR(F1219="",F1218=""),"",F1219/F1218-1)</f>
        <v>0.99119086460032624</v>
      </c>
      <c r="O1219" s="15">
        <f t="shared" ref="O1219:O1282" si="239">IF(OR(G1219="",G1218=""),"",G1219/G1218-1)</f>
        <v>1.2310808088203209</v>
      </c>
      <c r="P1219" s="18">
        <f>IF(SUMIFS('Daily NSE Equity Futures'!$J:$J,'Daily NSE Equity Futures'!$A:$A,$A1219)=0,"",SUMIFS('Daily NSE Equity Futures'!$J:$J,'Daily NSE Equity Futures'!$A:$A,$A1219))</f>
        <v>4366873</v>
      </c>
      <c r="Q1219" s="7">
        <f>IF(SUMIFS('Daily BSE Equity Futures'!$J:$J,'Daily BSE Equity Futures'!$A:$A,$A1219)=0,"",SUMIFS('Daily BSE Equity Futures'!$J:$J,'Daily BSE Equity Futures'!$A:$A,$A1219))</f>
        <v>1223</v>
      </c>
      <c r="R1219" s="7">
        <f t="shared" si="234"/>
        <v>4368096</v>
      </c>
      <c r="S1219" s="19">
        <f t="shared" si="235"/>
        <v>0.99972001531101884</v>
      </c>
      <c r="T1219" s="19">
        <f t="shared" si="236"/>
        <v>2.7998468898119457E-4</v>
      </c>
    </row>
    <row r="1220" spans="1:20" x14ac:dyDescent="0.2">
      <c r="A1220" s="9">
        <v>45712</v>
      </c>
      <c r="B1220" s="4" t="s">
        <v>225</v>
      </c>
      <c r="C1220" s="8">
        <v>45689</v>
      </c>
      <c r="D1220" s="4" t="s">
        <v>192</v>
      </c>
      <c r="E1220" s="14">
        <f>IF(SUMIFS('Daily NSE Equity Futures'!$I:$I,'Daily NSE Equity Futures'!$A:$A,$A1220)=0,"",SUMIFS('Daily NSE Equity Futures'!$I:$I,'Daily NSE Equity Futures'!$A:$A,$A1220))</f>
        <v>3319.3346000000001</v>
      </c>
      <c r="F1220" s="6">
        <f>IF(SUMIFS('Daily BSE Equity Futures'!$I:$I,'Daily BSE Equity Futures'!$A:$A,$A1220)=0,"",SUMIFS('Daily BSE Equity Futures'!$I:$I,'Daily BSE Equity Futures'!$A:$A,$A1220))</f>
        <v>2.3723999999999998</v>
      </c>
      <c r="G1220" s="6">
        <f t="shared" si="228"/>
        <v>3321.7070000000003</v>
      </c>
      <c r="H1220" s="15">
        <f t="shared" si="229"/>
        <v>0.99928578890311515</v>
      </c>
      <c r="I1220" s="15">
        <f t="shared" si="230"/>
        <v>7.1421109688482446E-4</v>
      </c>
      <c r="J1220" s="20" t="str">
        <f t="shared" si="231"/>
        <v/>
      </c>
      <c r="K1220" s="15" t="str">
        <f t="shared" si="232"/>
        <v/>
      </c>
      <c r="L1220" s="15" t="str">
        <f t="shared" si="233"/>
        <v/>
      </c>
      <c r="M1220" s="15">
        <f t="shared" si="237"/>
        <v>0.19642280051785233</v>
      </c>
      <c r="N1220" s="15">
        <f t="shared" si="238"/>
        <v>0.29575618548254945</v>
      </c>
      <c r="O1220" s="15">
        <f t="shared" si="239"/>
        <v>0.19648831042713422</v>
      </c>
      <c r="P1220" s="18">
        <f>IF(SUMIFS('Daily NSE Equity Futures'!$J:$J,'Daily NSE Equity Futures'!$A:$A,$A1220)=0,"",SUMIFS('Daily NSE Equity Futures'!$J:$J,'Daily NSE Equity Futures'!$A:$A,$A1220))</f>
        <v>5204048</v>
      </c>
      <c r="Q1220" s="7">
        <f>IF(SUMIFS('Daily BSE Equity Futures'!$J:$J,'Daily BSE Equity Futures'!$A:$A,$A1220)=0,"",SUMIFS('Daily BSE Equity Futures'!$J:$J,'Daily BSE Equity Futures'!$A:$A,$A1220))</f>
        <v>1634</v>
      </c>
      <c r="R1220" s="7">
        <f t="shared" si="234"/>
        <v>5205682</v>
      </c>
      <c r="S1220" s="19">
        <f t="shared" si="235"/>
        <v>0.99968611221353898</v>
      </c>
      <c r="T1220" s="19">
        <f t="shared" si="236"/>
        <v>3.1388778646102472E-4</v>
      </c>
    </row>
    <row r="1221" spans="1:20" x14ac:dyDescent="0.2">
      <c r="A1221" s="9">
        <v>45713</v>
      </c>
      <c r="B1221" s="4" t="s">
        <v>223</v>
      </c>
      <c r="C1221" s="8">
        <v>45689</v>
      </c>
      <c r="D1221" s="4" t="s">
        <v>192</v>
      </c>
      <c r="E1221" s="14">
        <f>IF(SUMIFS('Daily NSE Equity Futures'!$I:$I,'Daily NSE Equity Futures'!$A:$A,$A1221)=0,"",SUMIFS('Daily NSE Equity Futures'!$I:$I,'Daily NSE Equity Futures'!$A:$A,$A1221))</f>
        <v>2989.6444000000001</v>
      </c>
      <c r="F1221" s="6">
        <f>IF(SUMIFS('Daily BSE Equity Futures'!$I:$I,'Daily BSE Equity Futures'!$A:$A,$A1221)=0,"",SUMIFS('Daily BSE Equity Futures'!$I:$I,'Daily BSE Equity Futures'!$A:$A,$A1221))</f>
        <v>5.2191999999999998</v>
      </c>
      <c r="G1221" s="6">
        <f t="shared" si="228"/>
        <v>2994.8636000000001</v>
      </c>
      <c r="H1221" s="15">
        <f t="shared" si="229"/>
        <v>0.99825728290263371</v>
      </c>
      <c r="I1221" s="15">
        <f t="shared" si="230"/>
        <v>1.742717097366304E-3</v>
      </c>
      <c r="J1221" s="20" t="str">
        <f t="shared" si="231"/>
        <v/>
      </c>
      <c r="K1221" s="15" t="str">
        <f t="shared" si="232"/>
        <v/>
      </c>
      <c r="L1221" s="15" t="str">
        <f t="shared" si="233"/>
        <v/>
      </c>
      <c r="M1221" s="15">
        <f t="shared" si="237"/>
        <v>-9.9324183828891521E-2</v>
      </c>
      <c r="N1221" s="15">
        <f t="shared" si="238"/>
        <v>1.1999662788737147</v>
      </c>
      <c r="O1221" s="15">
        <f t="shared" si="239"/>
        <v>-9.8396216162352723E-2</v>
      </c>
      <c r="P1221" s="18">
        <f>IF(SUMIFS('Daily NSE Equity Futures'!$J:$J,'Daily NSE Equity Futures'!$A:$A,$A1221)=0,"",SUMIFS('Daily NSE Equity Futures'!$J:$J,'Daily NSE Equity Futures'!$A:$A,$A1221))</f>
        <v>4756464</v>
      </c>
      <c r="Q1221" s="7">
        <f>IF(SUMIFS('Daily BSE Equity Futures'!$J:$J,'Daily BSE Equity Futures'!$A:$A,$A1221)=0,"",SUMIFS('Daily BSE Equity Futures'!$J:$J,'Daily BSE Equity Futures'!$A:$A,$A1221))</f>
        <v>3518</v>
      </c>
      <c r="R1221" s="7">
        <f t="shared" si="234"/>
        <v>4759982</v>
      </c>
      <c r="S1221" s="19">
        <f t="shared" si="235"/>
        <v>0.99926092157491353</v>
      </c>
      <c r="T1221" s="19">
        <f t="shared" si="236"/>
        <v>7.3907842508648142E-4</v>
      </c>
    </row>
    <row r="1222" spans="1:20" x14ac:dyDescent="0.2">
      <c r="A1222" s="9">
        <v>45715</v>
      </c>
      <c r="B1222" s="4" t="s">
        <v>224</v>
      </c>
      <c r="C1222" s="8">
        <v>45689</v>
      </c>
      <c r="D1222" s="4" t="s">
        <v>192</v>
      </c>
      <c r="E1222" s="14">
        <f>IF(SUMIFS('Daily NSE Equity Futures'!$I:$I,'Daily NSE Equity Futures'!$A:$A,$A1222)=0,"",SUMIFS('Daily NSE Equity Futures'!$I:$I,'Daily NSE Equity Futures'!$A:$A,$A1222))</f>
        <v>3291.3042999999998</v>
      </c>
      <c r="F1222" s="6">
        <f>IF(SUMIFS('Daily BSE Equity Futures'!$I:$I,'Daily BSE Equity Futures'!$A:$A,$A1222)=0,"",SUMIFS('Daily BSE Equity Futures'!$I:$I,'Daily BSE Equity Futures'!$A:$A,$A1222))</f>
        <v>0.62909999999999999</v>
      </c>
      <c r="G1222" s="6">
        <f t="shared" si="228"/>
        <v>3291.9333999999999</v>
      </c>
      <c r="H1222" s="15">
        <f t="shared" si="229"/>
        <v>0.99980889649833127</v>
      </c>
      <c r="I1222" s="15">
        <f t="shared" si="230"/>
        <v>1.9110350166865467E-4</v>
      </c>
      <c r="J1222" s="20">
        <f t="shared" si="231"/>
        <v>6.7998786792863752E-2</v>
      </c>
      <c r="K1222" s="15">
        <f t="shared" si="232"/>
        <v>1.0247827486321213</v>
      </c>
      <c r="L1222" s="15">
        <f t="shared" si="233"/>
        <v>6.809523942397222E-2</v>
      </c>
      <c r="M1222" s="15">
        <f t="shared" si="237"/>
        <v>0.1009015988657378</v>
      </c>
      <c r="N1222" s="15">
        <f t="shared" si="238"/>
        <v>-0.8794642857142857</v>
      </c>
      <c r="O1222" s="15">
        <f t="shared" si="239"/>
        <v>9.9193098477005748E-2</v>
      </c>
      <c r="P1222" s="18">
        <f>IF(SUMIFS('Daily NSE Equity Futures'!$J:$J,'Daily NSE Equity Futures'!$A:$A,$A1222)=0,"",SUMIFS('Daily NSE Equity Futures'!$J:$J,'Daily NSE Equity Futures'!$A:$A,$A1222))</f>
        <v>5169440</v>
      </c>
      <c r="Q1222" s="7">
        <f>IF(SUMIFS('Daily BSE Equity Futures'!$J:$J,'Daily BSE Equity Futures'!$A:$A,$A1222)=0,"",SUMIFS('Daily BSE Equity Futures'!$J:$J,'Daily BSE Equity Futures'!$A:$A,$A1222))</f>
        <v>438</v>
      </c>
      <c r="R1222" s="7">
        <f t="shared" si="234"/>
        <v>5169878</v>
      </c>
      <c r="S1222" s="19">
        <f t="shared" si="235"/>
        <v>0.99991527846498507</v>
      </c>
      <c r="T1222" s="19">
        <f t="shared" si="236"/>
        <v>8.4721535014946195E-5</v>
      </c>
    </row>
    <row r="1223" spans="1:20" x14ac:dyDescent="0.2">
      <c r="A1223" s="9">
        <v>45716</v>
      </c>
      <c r="B1223" s="4" t="s">
        <v>222</v>
      </c>
      <c r="C1223" s="8">
        <v>45689</v>
      </c>
      <c r="D1223" s="4" t="s">
        <v>192</v>
      </c>
      <c r="E1223" s="14">
        <f>IF(SUMIFS('Daily NSE Equity Futures'!$I:$I,'Daily NSE Equity Futures'!$A:$A,$A1223)=0,"",SUMIFS('Daily NSE Equity Futures'!$I:$I,'Daily NSE Equity Futures'!$A:$A,$A1223))</f>
        <v>1378.7989</v>
      </c>
      <c r="F1223" s="6">
        <f>IF(SUMIFS('Daily BSE Equity Futures'!$I:$I,'Daily BSE Equity Futures'!$A:$A,$A1223)=0,"",SUMIFS('Daily BSE Equity Futures'!$I:$I,'Daily BSE Equity Futures'!$A:$A,$A1223))</f>
        <v>3.3944999999999999</v>
      </c>
      <c r="G1223" s="6">
        <f t="shared" si="228"/>
        <v>1382.1934000000001</v>
      </c>
      <c r="H1223" s="15">
        <f t="shared" si="229"/>
        <v>0.99754412081550958</v>
      </c>
      <c r="I1223" s="15">
        <f t="shared" si="230"/>
        <v>2.4558791844903902E-3</v>
      </c>
      <c r="J1223" s="20">
        <f t="shared" si="231"/>
        <v>-0.53242065760942925</v>
      </c>
      <c r="K1223" s="15">
        <f t="shared" si="232"/>
        <v>2.3890774760383384</v>
      </c>
      <c r="L1223" s="15">
        <f t="shared" si="233"/>
        <v>-0.53142866867475513</v>
      </c>
      <c r="M1223" s="15">
        <f t="shared" si="237"/>
        <v>-0.58107826736045043</v>
      </c>
      <c r="N1223" s="15">
        <f t="shared" si="238"/>
        <v>4.3958035288507391</v>
      </c>
      <c r="O1223" s="15">
        <f t="shared" si="239"/>
        <v>-0.5801271678218034</v>
      </c>
      <c r="P1223" s="18">
        <f>IF(SUMIFS('Daily NSE Equity Futures'!$J:$J,'Daily NSE Equity Futures'!$A:$A,$A1223)=0,"",SUMIFS('Daily NSE Equity Futures'!$J:$J,'Daily NSE Equity Futures'!$A:$A,$A1223))</f>
        <v>2093745</v>
      </c>
      <c r="Q1223" s="7">
        <f>IF(SUMIFS('Daily BSE Equity Futures'!$J:$J,'Daily BSE Equity Futures'!$A:$A,$A1223)=0,"",SUMIFS('Daily BSE Equity Futures'!$J:$J,'Daily BSE Equity Futures'!$A:$A,$A1223))</f>
        <v>2336</v>
      </c>
      <c r="R1223" s="7">
        <f t="shared" si="234"/>
        <v>2096081</v>
      </c>
      <c r="S1223" s="19">
        <f t="shared" si="235"/>
        <v>0.9988855392515843</v>
      </c>
      <c r="T1223" s="19">
        <f t="shared" si="236"/>
        <v>1.114460748415734E-3</v>
      </c>
    </row>
    <row r="1224" spans="1:20" x14ac:dyDescent="0.2">
      <c r="A1224" s="9">
        <v>45719</v>
      </c>
      <c r="B1224" s="4" t="s">
        <v>225</v>
      </c>
      <c r="C1224" s="8">
        <v>45717</v>
      </c>
      <c r="D1224" s="4" t="s">
        <v>192</v>
      </c>
      <c r="E1224" s="14">
        <f>IF(SUMIFS('Daily NSE Equity Futures'!$I:$I,'Daily NSE Equity Futures'!$A:$A,$A1224)=0,"",SUMIFS('Daily NSE Equity Futures'!$I:$I,'Daily NSE Equity Futures'!$A:$A,$A1224))</f>
        <v>1143.3341</v>
      </c>
      <c r="F1224" s="6">
        <f>IF(SUMIFS('Daily BSE Equity Futures'!$I:$I,'Daily BSE Equity Futures'!$A:$A,$A1224)=0,"",SUMIFS('Daily BSE Equity Futures'!$I:$I,'Daily BSE Equity Futures'!$A:$A,$A1224))</f>
        <v>2.8769999999999998</v>
      </c>
      <c r="G1224" s="6">
        <f t="shared" si="228"/>
        <v>1146.2111</v>
      </c>
      <c r="H1224" s="15">
        <f t="shared" si="229"/>
        <v>0.99748999115433457</v>
      </c>
      <c r="I1224" s="15">
        <f t="shared" si="230"/>
        <v>2.5100088456655148E-3</v>
      </c>
      <c r="J1224" s="20" t="str">
        <f t="shared" si="231"/>
        <v/>
      </c>
      <c r="K1224" s="15" t="str">
        <f t="shared" si="232"/>
        <v/>
      </c>
      <c r="L1224" s="15" t="str">
        <f t="shared" si="233"/>
        <v/>
      </c>
      <c r="M1224" s="15">
        <f t="shared" si="237"/>
        <v>-0.17077530305543465</v>
      </c>
      <c r="N1224" s="15">
        <f t="shared" si="238"/>
        <v>-0.15245249668581529</v>
      </c>
      <c r="O1224" s="15">
        <f t="shared" si="239"/>
        <v>-0.17073030445667015</v>
      </c>
      <c r="P1224" s="18">
        <f>IF(SUMIFS('Daily NSE Equity Futures'!$J:$J,'Daily NSE Equity Futures'!$A:$A,$A1224)=0,"",SUMIFS('Daily NSE Equity Futures'!$J:$J,'Daily NSE Equity Futures'!$A:$A,$A1224))</f>
        <v>1767241</v>
      </c>
      <c r="Q1224" s="7">
        <f>IF(SUMIFS('Daily BSE Equity Futures'!$J:$J,'Daily BSE Equity Futures'!$A:$A,$A1224)=0,"",SUMIFS('Daily BSE Equity Futures'!$J:$J,'Daily BSE Equity Futures'!$A:$A,$A1224))</f>
        <v>1994</v>
      </c>
      <c r="R1224" s="7">
        <f t="shared" si="234"/>
        <v>1769235</v>
      </c>
      <c r="S1224" s="19">
        <f t="shared" si="235"/>
        <v>0.99887295921683661</v>
      </c>
      <c r="T1224" s="19">
        <f t="shared" si="236"/>
        <v>1.1270407831633447E-3</v>
      </c>
    </row>
    <row r="1225" spans="1:20" x14ac:dyDescent="0.2">
      <c r="A1225" s="9">
        <v>45720</v>
      </c>
      <c r="B1225" s="4" t="s">
        <v>223</v>
      </c>
      <c r="C1225" s="8">
        <v>45717</v>
      </c>
      <c r="D1225" s="4" t="s">
        <v>192</v>
      </c>
      <c r="E1225" s="14">
        <f>IF(SUMIFS('Daily NSE Equity Futures'!$I:$I,'Daily NSE Equity Futures'!$A:$A,$A1225)=0,"",SUMIFS('Daily NSE Equity Futures'!$I:$I,'Daily NSE Equity Futures'!$A:$A,$A1225))</f>
        <v>912.41859999999997</v>
      </c>
      <c r="F1225" s="6">
        <f>IF(SUMIFS('Daily BSE Equity Futures'!$I:$I,'Daily BSE Equity Futures'!$A:$A,$A1225)=0,"",SUMIFS('Daily BSE Equity Futures'!$I:$I,'Daily BSE Equity Futures'!$A:$A,$A1225))</f>
        <v>3.8289</v>
      </c>
      <c r="G1225" s="6">
        <f t="shared" si="228"/>
        <v>916.24749999999995</v>
      </c>
      <c r="H1225" s="15">
        <f t="shared" si="229"/>
        <v>0.99582110728815088</v>
      </c>
      <c r="I1225" s="15">
        <f t="shared" si="230"/>
        <v>4.1788927118491456E-3</v>
      </c>
      <c r="J1225" s="20">
        <f t="shared" si="231"/>
        <v>-0.27666614899089303</v>
      </c>
      <c r="K1225" s="15">
        <f t="shared" si="232"/>
        <v>4.3379339188624</v>
      </c>
      <c r="L1225" s="15">
        <f t="shared" si="233"/>
        <v>-0.27404354530448116</v>
      </c>
      <c r="M1225" s="15">
        <f t="shared" si="237"/>
        <v>-0.20196677419137599</v>
      </c>
      <c r="N1225" s="15">
        <f t="shared" si="238"/>
        <v>0.3308654848800836</v>
      </c>
      <c r="O1225" s="15">
        <f t="shared" si="239"/>
        <v>-0.20062936050785063</v>
      </c>
      <c r="P1225" s="18">
        <f>IF(SUMIFS('Daily NSE Equity Futures'!$J:$J,'Daily NSE Equity Futures'!$A:$A,$A1225)=0,"",SUMIFS('Daily NSE Equity Futures'!$J:$J,'Daily NSE Equity Futures'!$A:$A,$A1225))</f>
        <v>1419457</v>
      </c>
      <c r="Q1225" s="7">
        <f>IF(SUMIFS('Daily BSE Equity Futures'!$J:$J,'Daily BSE Equity Futures'!$A:$A,$A1225)=0,"",SUMIFS('Daily BSE Equity Futures'!$J:$J,'Daily BSE Equity Futures'!$A:$A,$A1225))</f>
        <v>2670</v>
      </c>
      <c r="R1225" s="7">
        <f t="shared" si="234"/>
        <v>1422127</v>
      </c>
      <c r="S1225" s="19">
        <f t="shared" si="235"/>
        <v>0.99812253054755307</v>
      </c>
      <c r="T1225" s="19">
        <f t="shared" si="236"/>
        <v>1.8774694524469333E-3</v>
      </c>
    </row>
    <row r="1226" spans="1:20" x14ac:dyDescent="0.2">
      <c r="A1226" s="9">
        <v>45721</v>
      </c>
      <c r="B1226" s="4" t="s">
        <v>221</v>
      </c>
      <c r="C1226" s="8">
        <v>45717</v>
      </c>
      <c r="D1226" s="4" t="s">
        <v>192</v>
      </c>
      <c r="E1226" s="14">
        <f>IF(SUMIFS('Daily NSE Equity Futures'!$I:$I,'Daily NSE Equity Futures'!$A:$A,$A1226)=0,"",SUMIFS('Daily NSE Equity Futures'!$I:$I,'Daily NSE Equity Futures'!$A:$A,$A1226))</f>
        <v>1136.3981000000001</v>
      </c>
      <c r="F1226" s="6">
        <f>IF(SUMIFS('Daily BSE Equity Futures'!$I:$I,'Daily BSE Equity Futures'!$A:$A,$A1226)=0,"",SUMIFS('Daily BSE Equity Futures'!$I:$I,'Daily BSE Equity Futures'!$A:$A,$A1226))</f>
        <v>1.3960999999999999</v>
      </c>
      <c r="G1226" s="6">
        <f t="shared" si="228"/>
        <v>1137.7942</v>
      </c>
      <c r="H1226" s="15">
        <f t="shared" si="229"/>
        <v>0.99877297669473097</v>
      </c>
      <c r="I1226" s="15">
        <f t="shared" si="230"/>
        <v>1.2270233052690898E-3</v>
      </c>
      <c r="J1226" s="20">
        <f t="shared" si="231"/>
        <v>-0.19403098234056793</v>
      </c>
      <c r="K1226" s="15">
        <f t="shared" si="232"/>
        <v>1.2671321857746021</v>
      </c>
      <c r="L1226" s="15">
        <f t="shared" si="233"/>
        <v>-0.19339310582242986</v>
      </c>
      <c r="M1226" s="15">
        <f t="shared" si="237"/>
        <v>0.24547888436294496</v>
      </c>
      <c r="N1226" s="15">
        <f t="shared" si="238"/>
        <v>-0.63537830708558596</v>
      </c>
      <c r="O1226" s="15">
        <f t="shared" si="239"/>
        <v>0.24179787666542074</v>
      </c>
      <c r="P1226" s="18">
        <f>IF(SUMIFS('Daily NSE Equity Futures'!$J:$J,'Daily NSE Equity Futures'!$A:$A,$A1226)=0,"",SUMIFS('Daily NSE Equity Futures'!$J:$J,'Daily NSE Equity Futures'!$A:$A,$A1226))</f>
        <v>1731213</v>
      </c>
      <c r="Q1226" s="7">
        <f>IF(SUMIFS('Daily BSE Equity Futures'!$J:$J,'Daily BSE Equity Futures'!$A:$A,$A1226)=0,"",SUMIFS('Daily BSE Equity Futures'!$J:$J,'Daily BSE Equity Futures'!$A:$A,$A1226))</f>
        <v>966</v>
      </c>
      <c r="R1226" s="7">
        <f t="shared" si="234"/>
        <v>1732179</v>
      </c>
      <c r="S1226" s="19">
        <f t="shared" si="235"/>
        <v>0.99944232091487084</v>
      </c>
      <c r="T1226" s="19">
        <f t="shared" si="236"/>
        <v>5.5767908512919281E-4</v>
      </c>
    </row>
    <row r="1227" spans="1:20" x14ac:dyDescent="0.2">
      <c r="A1227" s="9">
        <v>45722</v>
      </c>
      <c r="B1227" s="4" t="s">
        <v>224</v>
      </c>
      <c r="C1227" s="8">
        <v>45717</v>
      </c>
      <c r="D1227" s="4" t="s">
        <v>192</v>
      </c>
      <c r="E1227" s="14">
        <f>IF(SUMIFS('Daily NSE Equity Futures'!$I:$I,'Daily NSE Equity Futures'!$A:$A,$A1227)=0,"",SUMIFS('Daily NSE Equity Futures'!$I:$I,'Daily NSE Equity Futures'!$A:$A,$A1227))</f>
        <v>1154.0822000000001</v>
      </c>
      <c r="F1227" s="6">
        <f>IF(SUMIFS('Daily BSE Equity Futures'!$I:$I,'Daily BSE Equity Futures'!$A:$A,$A1227)=0,"",SUMIFS('Daily BSE Equity Futures'!$I:$I,'Daily BSE Equity Futures'!$A:$A,$A1227))</f>
        <v>1.3219000000000001</v>
      </c>
      <c r="G1227" s="6">
        <f t="shared" si="228"/>
        <v>1155.4041</v>
      </c>
      <c r="H1227" s="15">
        <f t="shared" si="229"/>
        <v>0.99885589812257036</v>
      </c>
      <c r="I1227" s="15">
        <f t="shared" si="230"/>
        <v>1.1441018774297235E-3</v>
      </c>
      <c r="J1227" s="20">
        <f t="shared" si="231"/>
        <v>-0.35551153912372224</v>
      </c>
      <c r="K1227" s="15">
        <f t="shared" si="232"/>
        <v>-0.24006898534061505</v>
      </c>
      <c r="L1227" s="15">
        <f t="shared" si="233"/>
        <v>-0.35539950583407676</v>
      </c>
      <c r="M1227" s="15">
        <f t="shared" si="237"/>
        <v>1.5561536049734537E-2</v>
      </c>
      <c r="N1227" s="15">
        <f t="shared" si="238"/>
        <v>-5.3148055296898367E-2</v>
      </c>
      <c r="O1227" s="15">
        <f t="shared" si="239"/>
        <v>1.5477227779856717E-2</v>
      </c>
      <c r="P1227" s="18">
        <f>IF(SUMIFS('Daily NSE Equity Futures'!$J:$J,'Daily NSE Equity Futures'!$A:$A,$A1227)=0,"",SUMIFS('Daily NSE Equity Futures'!$J:$J,'Daily NSE Equity Futures'!$A:$A,$A1227))</f>
        <v>1686863</v>
      </c>
      <c r="Q1227" s="7">
        <f>IF(SUMIFS('Daily BSE Equity Futures'!$J:$J,'Daily BSE Equity Futures'!$A:$A,$A1227)=0,"",SUMIFS('Daily BSE Equity Futures'!$J:$J,'Daily BSE Equity Futures'!$A:$A,$A1227))</f>
        <v>921</v>
      </c>
      <c r="R1227" s="7">
        <f t="shared" si="234"/>
        <v>1687784</v>
      </c>
      <c r="S1227" s="19">
        <f t="shared" si="235"/>
        <v>0.99945431405914498</v>
      </c>
      <c r="T1227" s="19">
        <f t="shared" si="236"/>
        <v>5.4568594085499088E-4</v>
      </c>
    </row>
    <row r="1228" spans="1:20" x14ac:dyDescent="0.2">
      <c r="A1228" s="9">
        <v>45723</v>
      </c>
      <c r="B1228" s="4" t="s">
        <v>222</v>
      </c>
      <c r="C1228" s="8">
        <v>45717</v>
      </c>
      <c r="D1228" s="4" t="s">
        <v>192</v>
      </c>
      <c r="E1228" s="14">
        <f>IF(SUMIFS('Daily NSE Equity Futures'!$I:$I,'Daily NSE Equity Futures'!$A:$A,$A1228)=0,"",SUMIFS('Daily NSE Equity Futures'!$I:$I,'Daily NSE Equity Futures'!$A:$A,$A1228))</f>
        <v>910.06560000000002</v>
      </c>
      <c r="F1228" s="6">
        <f>IF(SUMIFS('Daily BSE Equity Futures'!$I:$I,'Daily BSE Equity Futures'!$A:$A,$A1228)=0,"",SUMIFS('Daily BSE Equity Futures'!$I:$I,'Daily BSE Equity Futures'!$A:$A,$A1228))</f>
        <v>1.8247</v>
      </c>
      <c r="G1228" s="6">
        <f t="shared" si="228"/>
        <v>911.89030000000002</v>
      </c>
      <c r="H1228" s="15">
        <f t="shared" si="229"/>
        <v>0.9979989917646892</v>
      </c>
      <c r="I1228" s="15">
        <f t="shared" si="230"/>
        <v>2.0010082353107603E-3</v>
      </c>
      <c r="J1228" s="20">
        <f t="shared" si="231"/>
        <v>-0.32367160098133374</v>
      </c>
      <c r="K1228" s="15">
        <f t="shared" si="232"/>
        <v>-0.19899034240561897</v>
      </c>
      <c r="L1228" s="15">
        <f t="shared" si="233"/>
        <v>-0.32346088124479178</v>
      </c>
      <c r="M1228" s="15">
        <f t="shared" si="237"/>
        <v>-0.21143779879804059</v>
      </c>
      <c r="N1228" s="15">
        <f t="shared" si="238"/>
        <v>0.38036160072622738</v>
      </c>
      <c r="O1228" s="15">
        <f t="shared" si="239"/>
        <v>-0.21076071999398305</v>
      </c>
      <c r="P1228" s="18">
        <f>IF(SUMIFS('Daily NSE Equity Futures'!$J:$J,'Daily NSE Equity Futures'!$A:$A,$A1228)=0,"",SUMIFS('Daily NSE Equity Futures'!$J:$J,'Daily NSE Equity Futures'!$A:$A,$A1228))</f>
        <v>1352010</v>
      </c>
      <c r="Q1228" s="7">
        <f>IF(SUMIFS('Daily BSE Equity Futures'!$J:$J,'Daily BSE Equity Futures'!$A:$A,$A1228)=0,"",SUMIFS('Daily BSE Equity Futures'!$J:$J,'Daily BSE Equity Futures'!$A:$A,$A1228))</f>
        <v>1246</v>
      </c>
      <c r="R1228" s="7">
        <f t="shared" si="234"/>
        <v>1353256</v>
      </c>
      <c r="S1228" s="19">
        <f t="shared" si="235"/>
        <v>0.99907925773098361</v>
      </c>
      <c r="T1228" s="19">
        <f t="shared" si="236"/>
        <v>9.2074226901635759E-4</v>
      </c>
    </row>
    <row r="1229" spans="1:20" x14ac:dyDescent="0.2">
      <c r="A1229" s="9">
        <v>45726</v>
      </c>
      <c r="B1229" s="4" t="s">
        <v>225</v>
      </c>
      <c r="C1229" s="8">
        <v>45717</v>
      </c>
      <c r="D1229" s="4" t="s">
        <v>192</v>
      </c>
      <c r="E1229" s="14">
        <f>IF(SUMIFS('Daily NSE Equity Futures'!$I:$I,'Daily NSE Equity Futures'!$A:$A,$A1229)=0,"",SUMIFS('Daily NSE Equity Futures'!$I:$I,'Daily NSE Equity Futures'!$A:$A,$A1229))</f>
        <v>954.32489999999996</v>
      </c>
      <c r="F1229" s="6">
        <f>IF(SUMIFS('Daily BSE Equity Futures'!$I:$I,'Daily BSE Equity Futures'!$A:$A,$A1229)=0,"",SUMIFS('Daily BSE Equity Futures'!$I:$I,'Daily BSE Equity Futures'!$A:$A,$A1229))</f>
        <v>1.9249000000000001</v>
      </c>
      <c r="G1229" s="6">
        <f t="shared" si="228"/>
        <v>956.24979999999994</v>
      </c>
      <c r="H1229" s="15">
        <f t="shared" si="229"/>
        <v>0.99798703225872576</v>
      </c>
      <c r="I1229" s="15">
        <f t="shared" si="230"/>
        <v>2.0129677412742989E-3</v>
      </c>
      <c r="J1229" s="20" t="str">
        <f t="shared" si="231"/>
        <v/>
      </c>
      <c r="K1229" s="15" t="str">
        <f t="shared" si="232"/>
        <v/>
      </c>
      <c r="L1229" s="15" t="str">
        <f t="shared" si="233"/>
        <v/>
      </c>
      <c r="M1229" s="15">
        <f t="shared" si="237"/>
        <v>4.8633087548853648E-2</v>
      </c>
      <c r="N1229" s="15">
        <f t="shared" si="238"/>
        <v>5.4913136405984497E-2</v>
      </c>
      <c r="O1229" s="15">
        <f t="shared" si="239"/>
        <v>4.8645653978334868E-2</v>
      </c>
      <c r="P1229" s="18">
        <f>IF(SUMIFS('Daily NSE Equity Futures'!$J:$J,'Daily NSE Equity Futures'!$A:$A,$A1229)=0,"",SUMIFS('Daily NSE Equity Futures'!$J:$J,'Daily NSE Equity Futures'!$A:$A,$A1229))</f>
        <v>1457451</v>
      </c>
      <c r="Q1229" s="7">
        <f>IF(SUMIFS('Daily BSE Equity Futures'!$J:$J,'Daily BSE Equity Futures'!$A:$A,$A1229)=0,"",SUMIFS('Daily BSE Equity Futures'!$J:$J,'Daily BSE Equity Futures'!$A:$A,$A1229))</f>
        <v>1309</v>
      </c>
      <c r="R1229" s="7">
        <f t="shared" si="234"/>
        <v>1458760</v>
      </c>
      <c r="S1229" s="19">
        <f t="shared" si="235"/>
        <v>0.999102662535304</v>
      </c>
      <c r="T1229" s="19">
        <f t="shared" si="236"/>
        <v>8.9733746469604326E-4</v>
      </c>
    </row>
    <row r="1230" spans="1:20" x14ac:dyDescent="0.2">
      <c r="A1230" s="9">
        <v>45727</v>
      </c>
      <c r="B1230" s="4" t="s">
        <v>223</v>
      </c>
      <c r="C1230" s="8">
        <v>45717</v>
      </c>
      <c r="D1230" s="4" t="s">
        <v>192</v>
      </c>
      <c r="E1230" s="14">
        <f>IF(SUMIFS('Daily NSE Equity Futures'!$I:$I,'Daily NSE Equity Futures'!$A:$A,$A1230)=0,"",SUMIFS('Daily NSE Equity Futures'!$I:$I,'Daily NSE Equity Futures'!$A:$A,$A1230))</f>
        <v>1056.3823</v>
      </c>
      <c r="F1230" s="6">
        <f>IF(SUMIFS('Daily BSE Equity Futures'!$I:$I,'Daily BSE Equity Futures'!$A:$A,$A1230)=0,"",SUMIFS('Daily BSE Equity Futures'!$I:$I,'Daily BSE Equity Futures'!$A:$A,$A1230))</f>
        <v>3.1193</v>
      </c>
      <c r="G1230" s="6">
        <f t="shared" si="228"/>
        <v>1059.5016000000001</v>
      </c>
      <c r="H1230" s="15">
        <f t="shared" si="229"/>
        <v>0.9970558798589827</v>
      </c>
      <c r="I1230" s="15">
        <f t="shared" si="230"/>
        <v>2.9441201410172479E-3</v>
      </c>
      <c r="J1230" s="20">
        <f t="shared" si="231"/>
        <v>-0.18306489275459059</v>
      </c>
      <c r="K1230" s="15">
        <f t="shared" si="232"/>
        <v>3.8594796697304874</v>
      </c>
      <c r="L1230" s="15">
        <f t="shared" si="233"/>
        <v>-0.18105915982593801</v>
      </c>
      <c r="M1230" s="15">
        <f t="shared" si="237"/>
        <v>0.10694198590018988</v>
      </c>
      <c r="N1230" s="15">
        <f t="shared" si="238"/>
        <v>0.62049976622162184</v>
      </c>
      <c r="O1230" s="15">
        <f t="shared" si="239"/>
        <v>0.10797576114525742</v>
      </c>
      <c r="P1230" s="18">
        <f>IF(SUMIFS('Daily NSE Equity Futures'!$J:$J,'Daily NSE Equity Futures'!$A:$A,$A1230)=0,"",SUMIFS('Daily NSE Equity Futures'!$J:$J,'Daily NSE Equity Futures'!$A:$A,$A1230))</f>
        <v>1714473</v>
      </c>
      <c r="Q1230" s="7">
        <f>IF(SUMIFS('Daily BSE Equity Futures'!$J:$J,'Daily BSE Equity Futures'!$A:$A,$A1230)=0,"",SUMIFS('Daily BSE Equity Futures'!$J:$J,'Daily BSE Equity Futures'!$A:$A,$A1230))</f>
        <v>2130</v>
      </c>
      <c r="R1230" s="7">
        <f t="shared" si="234"/>
        <v>1716603</v>
      </c>
      <c r="S1230" s="19">
        <f t="shared" si="235"/>
        <v>0.99875917728210895</v>
      </c>
      <c r="T1230" s="19">
        <f t="shared" si="236"/>
        <v>1.2408227178910907E-3</v>
      </c>
    </row>
    <row r="1231" spans="1:20" x14ac:dyDescent="0.2">
      <c r="A1231" s="9">
        <v>45728</v>
      </c>
      <c r="B1231" s="4" t="s">
        <v>221</v>
      </c>
      <c r="C1231" s="8">
        <v>45717</v>
      </c>
      <c r="D1231" s="4" t="s">
        <v>192</v>
      </c>
      <c r="E1231" s="14">
        <f>IF(SUMIFS('Daily NSE Equity Futures'!$I:$I,'Daily NSE Equity Futures'!$A:$A,$A1231)=0,"",SUMIFS('Daily NSE Equity Futures'!$I:$I,'Daily NSE Equity Futures'!$A:$A,$A1231))</f>
        <v>1028.4984999999999</v>
      </c>
      <c r="F1231" s="6">
        <f>IF(SUMIFS('Daily BSE Equity Futures'!$I:$I,'Daily BSE Equity Futures'!$A:$A,$A1231)=0,"",SUMIFS('Daily BSE Equity Futures'!$I:$I,'Daily BSE Equity Futures'!$A:$A,$A1231))</f>
        <v>1.4552</v>
      </c>
      <c r="G1231" s="6">
        <f t="shared" si="228"/>
        <v>1029.9537</v>
      </c>
      <c r="H1231" s="15">
        <f t="shared" si="229"/>
        <v>0.99858712095504865</v>
      </c>
      <c r="I1231" s="15">
        <f t="shared" si="230"/>
        <v>1.412879044951244E-3</v>
      </c>
      <c r="J1231" s="20">
        <f t="shared" si="231"/>
        <v>-0.28183286575010214</v>
      </c>
      <c r="K1231" s="15">
        <f t="shared" si="232"/>
        <v>-0.16435052256804872</v>
      </c>
      <c r="L1231" s="15">
        <f t="shared" si="233"/>
        <v>-0.28169018504771615</v>
      </c>
      <c r="M1231" s="15">
        <f t="shared" si="237"/>
        <v>-2.6395557744577913E-2</v>
      </c>
      <c r="N1231" s="15">
        <f t="shared" si="238"/>
        <v>-0.53348507678004675</v>
      </c>
      <c r="O1231" s="15">
        <f t="shared" si="239"/>
        <v>-2.7888490210869032E-2</v>
      </c>
      <c r="P1231" s="18">
        <f>IF(SUMIFS('Daily NSE Equity Futures'!$J:$J,'Daily NSE Equity Futures'!$A:$A,$A1231)=0,"",SUMIFS('Daily NSE Equity Futures'!$J:$J,'Daily NSE Equity Futures'!$A:$A,$A1231))</f>
        <v>1557853</v>
      </c>
      <c r="Q1231" s="7">
        <f>IF(SUMIFS('Daily BSE Equity Futures'!$J:$J,'Daily BSE Equity Futures'!$A:$A,$A1231)=0,"",SUMIFS('Daily BSE Equity Futures'!$J:$J,'Daily BSE Equity Futures'!$A:$A,$A1231))</f>
        <v>1076</v>
      </c>
      <c r="R1231" s="7">
        <f t="shared" si="234"/>
        <v>1558929</v>
      </c>
      <c r="S1231" s="19">
        <f t="shared" si="235"/>
        <v>0.99930978254942981</v>
      </c>
      <c r="T1231" s="19">
        <f t="shared" si="236"/>
        <v>6.9021745057023121E-4</v>
      </c>
    </row>
    <row r="1232" spans="1:20" x14ac:dyDescent="0.2">
      <c r="A1232" s="9">
        <v>45729</v>
      </c>
      <c r="B1232" s="4" t="s">
        <v>224</v>
      </c>
      <c r="C1232" s="8">
        <v>45717</v>
      </c>
      <c r="D1232" s="4" t="s">
        <v>192</v>
      </c>
      <c r="E1232" s="14">
        <f>IF(SUMIFS('Daily NSE Equity Futures'!$I:$I,'Daily NSE Equity Futures'!$A:$A,$A1232)=0,"",SUMIFS('Daily NSE Equity Futures'!$I:$I,'Daily NSE Equity Futures'!$A:$A,$A1232))</f>
        <v>776.76189999999997</v>
      </c>
      <c r="F1232" s="6">
        <f>IF(SUMIFS('Daily BSE Equity Futures'!$I:$I,'Daily BSE Equity Futures'!$A:$A,$A1232)=0,"",SUMIFS('Daily BSE Equity Futures'!$I:$I,'Daily BSE Equity Futures'!$A:$A,$A1232))</f>
        <v>0.8478</v>
      </c>
      <c r="G1232" s="6">
        <f t="shared" si="228"/>
        <v>777.60969999999998</v>
      </c>
      <c r="H1232" s="15">
        <f t="shared" si="229"/>
        <v>0.99890973582248266</v>
      </c>
      <c r="I1232" s="15">
        <f t="shared" si="230"/>
        <v>1.0902641775173329E-3</v>
      </c>
      <c r="J1232" s="20">
        <f t="shared" si="231"/>
        <v>-0.60572551383571349</v>
      </c>
      <c r="K1232" s="15">
        <f t="shared" si="232"/>
        <v>-0.48267024652184531</v>
      </c>
      <c r="L1232" s="15">
        <f t="shared" si="233"/>
        <v>-0.60562323734652668</v>
      </c>
      <c r="M1232" s="15">
        <f t="shared" si="237"/>
        <v>-0.24476127092066735</v>
      </c>
      <c r="N1232" s="15">
        <f t="shared" si="238"/>
        <v>-0.41739967014843327</v>
      </c>
      <c r="O1232" s="15">
        <f t="shared" si="239"/>
        <v>-0.24500518809729022</v>
      </c>
      <c r="P1232" s="18">
        <f>IF(SUMIFS('Daily NSE Equity Futures'!$J:$J,'Daily NSE Equity Futures'!$A:$A,$A1232)=0,"",SUMIFS('Daily NSE Equity Futures'!$J:$J,'Daily NSE Equity Futures'!$A:$A,$A1232))</f>
        <v>1168770</v>
      </c>
      <c r="Q1232" s="7">
        <f>IF(SUMIFS('Daily BSE Equity Futures'!$J:$J,'Daily BSE Equity Futures'!$A:$A,$A1232)=0,"",SUMIFS('Daily BSE Equity Futures'!$J:$J,'Daily BSE Equity Futures'!$A:$A,$A1232))</f>
        <v>612</v>
      </c>
      <c r="R1232" s="7">
        <f t="shared" si="234"/>
        <v>1169382</v>
      </c>
      <c r="S1232" s="19">
        <f t="shared" si="235"/>
        <v>0.99947664663899394</v>
      </c>
      <c r="T1232" s="19">
        <f t="shared" si="236"/>
        <v>5.2335336100606982E-4</v>
      </c>
    </row>
    <row r="1233" spans="1:20" x14ac:dyDescent="0.2">
      <c r="A1233" s="9">
        <v>45733</v>
      </c>
      <c r="B1233" s="4" t="s">
        <v>225</v>
      </c>
      <c r="C1233" s="8">
        <v>45717</v>
      </c>
      <c r="D1233" s="4" t="s">
        <v>192</v>
      </c>
      <c r="E1233" s="14">
        <f>IF(SUMIFS('Daily NSE Equity Futures'!$I:$I,'Daily NSE Equity Futures'!$A:$A,$A1233)=0,"",SUMIFS('Daily NSE Equity Futures'!$I:$I,'Daily NSE Equity Futures'!$A:$A,$A1233))</f>
        <v>832.93200000000002</v>
      </c>
      <c r="F1233" s="6">
        <f>IF(SUMIFS('Daily BSE Equity Futures'!$I:$I,'Daily BSE Equity Futures'!$A:$A,$A1233)=0,"",SUMIFS('Daily BSE Equity Futures'!$I:$I,'Daily BSE Equity Futures'!$A:$A,$A1233))</f>
        <v>1.4016999999999999</v>
      </c>
      <c r="G1233" s="6">
        <f t="shared" si="228"/>
        <v>834.33370000000002</v>
      </c>
      <c r="H1233" s="15">
        <f t="shared" si="229"/>
        <v>0.99831997676708972</v>
      </c>
      <c r="I1233" s="15">
        <f t="shared" si="230"/>
        <v>1.6800232329102851E-3</v>
      </c>
      <c r="J1233" s="20" t="str">
        <f t="shared" si="231"/>
        <v/>
      </c>
      <c r="K1233" s="15" t="str">
        <f t="shared" si="232"/>
        <v/>
      </c>
      <c r="L1233" s="15" t="str">
        <f t="shared" si="233"/>
        <v/>
      </c>
      <c r="M1233" s="15">
        <f t="shared" si="237"/>
        <v>7.2313150271659854E-2</v>
      </c>
      <c r="N1233" s="15">
        <f t="shared" si="238"/>
        <v>0.65333805142722334</v>
      </c>
      <c r="O1233" s="15">
        <f t="shared" si="239"/>
        <v>7.2946620907635262E-2</v>
      </c>
      <c r="P1233" s="18">
        <f>IF(SUMIFS('Daily NSE Equity Futures'!$J:$J,'Daily NSE Equity Futures'!$A:$A,$A1233)=0,"",SUMIFS('Daily NSE Equity Futures'!$J:$J,'Daily NSE Equity Futures'!$A:$A,$A1233))</f>
        <v>1232618</v>
      </c>
      <c r="Q1233" s="7">
        <f>IF(SUMIFS('Daily BSE Equity Futures'!$J:$J,'Daily BSE Equity Futures'!$A:$A,$A1233)=0,"",SUMIFS('Daily BSE Equity Futures'!$J:$J,'Daily BSE Equity Futures'!$A:$A,$A1233))</f>
        <v>952</v>
      </c>
      <c r="R1233" s="7">
        <f t="shared" si="234"/>
        <v>1233570</v>
      </c>
      <c r="S1233" s="19">
        <f t="shared" si="235"/>
        <v>0.99922825619948608</v>
      </c>
      <c r="T1233" s="19">
        <f t="shared" si="236"/>
        <v>7.7174380051395544E-4</v>
      </c>
    </row>
    <row r="1234" spans="1:20" x14ac:dyDescent="0.2">
      <c r="A1234" s="9">
        <v>45734</v>
      </c>
      <c r="B1234" s="4" t="s">
        <v>223</v>
      </c>
      <c r="C1234" s="8">
        <v>45717</v>
      </c>
      <c r="D1234" s="4" t="s">
        <v>192</v>
      </c>
      <c r="E1234" s="14">
        <f>IF(SUMIFS('Daily NSE Equity Futures'!$I:$I,'Daily NSE Equity Futures'!$A:$A,$A1234)=0,"",SUMIFS('Daily NSE Equity Futures'!$I:$I,'Daily NSE Equity Futures'!$A:$A,$A1234))</f>
        <v>1135.143</v>
      </c>
      <c r="F1234" s="6">
        <f>IF(SUMIFS('Daily BSE Equity Futures'!$I:$I,'Daily BSE Equity Futures'!$A:$A,$A1234)=0,"",SUMIFS('Daily BSE Equity Futures'!$I:$I,'Daily BSE Equity Futures'!$A:$A,$A1234))</f>
        <v>4.0138999999999996</v>
      </c>
      <c r="G1234" s="6">
        <f t="shared" si="228"/>
        <v>1139.1569</v>
      </c>
      <c r="H1234" s="15">
        <f t="shared" si="229"/>
        <v>0.9964764291907463</v>
      </c>
      <c r="I1234" s="15">
        <f t="shared" si="230"/>
        <v>3.5235708092537558E-3</v>
      </c>
      <c r="J1234" s="20">
        <f t="shared" si="231"/>
        <v>-4.913796158012862E-2</v>
      </c>
      <c r="K1234" s="15">
        <f t="shared" si="232"/>
        <v>0.15564448795093999</v>
      </c>
      <c r="L1234" s="15">
        <f t="shared" si="233"/>
        <v>-4.8543887991204238E-2</v>
      </c>
      <c r="M1234" s="15">
        <f t="shared" si="237"/>
        <v>0.36282793793490953</v>
      </c>
      <c r="N1234" s="15">
        <f t="shared" si="238"/>
        <v>1.8635942070343154</v>
      </c>
      <c r="O1234" s="15">
        <f t="shared" si="239"/>
        <v>0.36534926013416436</v>
      </c>
      <c r="P1234" s="18">
        <f>IF(SUMIFS('Daily NSE Equity Futures'!$J:$J,'Daily NSE Equity Futures'!$A:$A,$A1234)=0,"",SUMIFS('Daily NSE Equity Futures'!$J:$J,'Daily NSE Equity Futures'!$A:$A,$A1234))</f>
        <v>1595119</v>
      </c>
      <c r="Q1234" s="7">
        <f>IF(SUMIFS('Daily BSE Equity Futures'!$J:$J,'Daily BSE Equity Futures'!$A:$A,$A1234)=0,"",SUMIFS('Daily BSE Equity Futures'!$J:$J,'Daily BSE Equity Futures'!$A:$A,$A1234))</f>
        <v>2704</v>
      </c>
      <c r="R1234" s="7">
        <f t="shared" si="234"/>
        <v>1597823</v>
      </c>
      <c r="S1234" s="19">
        <f t="shared" si="235"/>
        <v>0.99830769741078951</v>
      </c>
      <c r="T1234" s="19">
        <f t="shared" si="236"/>
        <v>1.6923025892104445E-3</v>
      </c>
    </row>
    <row r="1235" spans="1:20" x14ac:dyDescent="0.2">
      <c r="A1235" s="9">
        <v>45735</v>
      </c>
      <c r="B1235" s="4" t="s">
        <v>221</v>
      </c>
      <c r="C1235" s="8">
        <v>45717</v>
      </c>
      <c r="D1235" s="4" t="s">
        <v>192</v>
      </c>
      <c r="E1235" s="14">
        <f>IF(SUMIFS('Daily NSE Equity Futures'!$I:$I,'Daily NSE Equity Futures'!$A:$A,$A1235)=0,"",SUMIFS('Daily NSE Equity Futures'!$I:$I,'Daily NSE Equity Futures'!$A:$A,$A1235))</f>
        <v>1177.2956999999999</v>
      </c>
      <c r="F1235" s="6">
        <f>IF(SUMIFS('Daily BSE Equity Futures'!$I:$I,'Daily BSE Equity Futures'!$A:$A,$A1235)=0,"",SUMIFS('Daily BSE Equity Futures'!$I:$I,'Daily BSE Equity Futures'!$A:$A,$A1235))</f>
        <v>1.1735</v>
      </c>
      <c r="G1235" s="6">
        <f t="shared" si="228"/>
        <v>1178.4692</v>
      </c>
      <c r="H1235" s="15">
        <f t="shared" si="229"/>
        <v>0.99900421665665928</v>
      </c>
      <c r="I1235" s="15">
        <f t="shared" si="230"/>
        <v>9.957833433406661E-4</v>
      </c>
      <c r="J1235" s="20">
        <f t="shared" si="231"/>
        <v>-9.3599773218189131E-2</v>
      </c>
      <c r="K1235" s="15">
        <f t="shared" si="232"/>
        <v>0.44306443679291685</v>
      </c>
      <c r="L1235" s="15">
        <f t="shared" si="233"/>
        <v>-9.326398718210327E-2</v>
      </c>
      <c r="M1235" s="15">
        <f t="shared" si="237"/>
        <v>3.7134264141169826E-2</v>
      </c>
      <c r="N1235" s="15">
        <f t="shared" si="238"/>
        <v>-0.70764094770671915</v>
      </c>
      <c r="O1235" s="15">
        <f t="shared" si="239"/>
        <v>3.4509995945246841E-2</v>
      </c>
      <c r="P1235" s="18">
        <f>IF(SUMIFS('Daily NSE Equity Futures'!$J:$J,'Daily NSE Equity Futures'!$A:$A,$A1235)=0,"",SUMIFS('Daily NSE Equity Futures'!$J:$J,'Daily NSE Equity Futures'!$A:$A,$A1235))</f>
        <v>1753380</v>
      </c>
      <c r="Q1235" s="7">
        <f>IF(SUMIFS('Daily BSE Equity Futures'!$J:$J,'Daily BSE Equity Futures'!$A:$A,$A1235)=0,"",SUMIFS('Daily BSE Equity Futures'!$J:$J,'Daily BSE Equity Futures'!$A:$A,$A1235))</f>
        <v>786</v>
      </c>
      <c r="R1235" s="7">
        <f t="shared" si="234"/>
        <v>1754166</v>
      </c>
      <c r="S1235" s="19">
        <f t="shared" si="235"/>
        <v>0.99955192382020863</v>
      </c>
      <c r="T1235" s="19">
        <f t="shared" si="236"/>
        <v>4.4807617979142225E-4</v>
      </c>
    </row>
    <row r="1236" spans="1:20" x14ac:dyDescent="0.2">
      <c r="A1236" s="9">
        <v>45736</v>
      </c>
      <c r="B1236" s="4" t="s">
        <v>224</v>
      </c>
      <c r="C1236" s="8">
        <v>45717</v>
      </c>
      <c r="D1236" s="4" t="s">
        <v>192</v>
      </c>
      <c r="E1236" s="14">
        <f>IF(SUMIFS('Daily NSE Equity Futures'!$I:$I,'Daily NSE Equity Futures'!$A:$A,$A1236)=0,"",SUMIFS('Daily NSE Equity Futures'!$I:$I,'Daily NSE Equity Futures'!$A:$A,$A1236))</f>
        <v>1465.0600999999999</v>
      </c>
      <c r="F1236" s="6">
        <f>IF(SUMIFS('Daily BSE Equity Futures'!$I:$I,'Daily BSE Equity Futures'!$A:$A,$A1236)=0,"",SUMIFS('Daily BSE Equity Futures'!$I:$I,'Daily BSE Equity Futures'!$A:$A,$A1236))</f>
        <v>1.6654</v>
      </c>
      <c r="G1236" s="6">
        <f t="shared" si="228"/>
        <v>1466.7255</v>
      </c>
      <c r="H1236" s="15">
        <f t="shared" si="229"/>
        <v>0.99886454554720694</v>
      </c>
      <c r="I1236" s="15">
        <f t="shared" si="230"/>
        <v>1.1354544527929732E-3</v>
      </c>
      <c r="J1236" s="20">
        <f t="shared" si="231"/>
        <v>-3.373421935061427E-2</v>
      </c>
      <c r="K1236" s="15">
        <f t="shared" si="232"/>
        <v>2.1234058514628655</v>
      </c>
      <c r="L1236" s="15">
        <f t="shared" si="233"/>
        <v>-3.2975891605516949E-2</v>
      </c>
      <c r="M1236" s="15">
        <f t="shared" si="237"/>
        <v>0.24442831142592292</v>
      </c>
      <c r="N1236" s="15">
        <f t="shared" si="238"/>
        <v>0.41917341286749044</v>
      </c>
      <c r="O1236" s="15">
        <f t="shared" si="239"/>
        <v>0.24460231968726887</v>
      </c>
      <c r="P1236" s="18">
        <f>IF(SUMIFS('Daily NSE Equity Futures'!$J:$J,'Daily NSE Equity Futures'!$A:$A,$A1236)=0,"",SUMIFS('Daily NSE Equity Futures'!$J:$J,'Daily NSE Equity Futures'!$A:$A,$A1236))</f>
        <v>2132492</v>
      </c>
      <c r="Q1236" s="7">
        <f>IF(SUMIFS('Daily BSE Equity Futures'!$J:$J,'Daily BSE Equity Futures'!$A:$A,$A1236)=0,"",SUMIFS('Daily BSE Equity Futures'!$J:$J,'Daily BSE Equity Futures'!$A:$A,$A1236))</f>
        <v>1119</v>
      </c>
      <c r="R1236" s="7">
        <f t="shared" si="234"/>
        <v>2133611</v>
      </c>
      <c r="S1236" s="19">
        <f t="shared" si="235"/>
        <v>0.99947553701213576</v>
      </c>
      <c r="T1236" s="19">
        <f t="shared" si="236"/>
        <v>5.2446298786423579E-4</v>
      </c>
    </row>
    <row r="1237" spans="1:20" x14ac:dyDescent="0.2">
      <c r="A1237" s="9">
        <v>45737</v>
      </c>
      <c r="B1237" s="4" t="s">
        <v>222</v>
      </c>
      <c r="C1237" s="8">
        <v>45717</v>
      </c>
      <c r="D1237" s="4" t="s">
        <v>192</v>
      </c>
      <c r="E1237" s="14">
        <f>IF(SUMIFS('Daily NSE Equity Futures'!$I:$I,'Daily NSE Equity Futures'!$A:$A,$A1237)=0,"",SUMIFS('Daily NSE Equity Futures'!$I:$I,'Daily NSE Equity Futures'!$A:$A,$A1237))</f>
        <v>1894.7165</v>
      </c>
      <c r="F1237" s="6">
        <f>IF(SUMIFS('Daily BSE Equity Futures'!$I:$I,'Daily BSE Equity Futures'!$A:$A,$A1237)=0,"",SUMIFS('Daily BSE Equity Futures'!$I:$I,'Daily BSE Equity Futures'!$A:$A,$A1237))</f>
        <v>2.0390999999999999</v>
      </c>
      <c r="G1237" s="6">
        <f t="shared" si="228"/>
        <v>1896.7556</v>
      </c>
      <c r="H1237" s="15">
        <f t="shared" si="229"/>
        <v>0.9989249537473357</v>
      </c>
      <c r="I1237" s="15">
        <f t="shared" si="230"/>
        <v>1.0750462526642863E-3</v>
      </c>
      <c r="J1237" s="20">
        <f t="shared" si="231"/>
        <v>9.7881669470208932E-2</v>
      </c>
      <c r="K1237" s="15">
        <f t="shared" si="232"/>
        <v>2.39002493765586</v>
      </c>
      <c r="L1237" s="15">
        <f t="shared" si="233"/>
        <v>9.8680284257161466E-2</v>
      </c>
      <c r="M1237" s="15">
        <f t="shared" si="237"/>
        <v>0.29326878808589507</v>
      </c>
      <c r="N1237" s="15">
        <f t="shared" si="238"/>
        <v>0.22439053680797394</v>
      </c>
      <c r="O1237" s="15">
        <f t="shared" si="239"/>
        <v>0.29319057996878084</v>
      </c>
      <c r="P1237" s="18">
        <f>IF(SUMIFS('Daily NSE Equity Futures'!$J:$J,'Daily NSE Equity Futures'!$A:$A,$A1237)=0,"",SUMIFS('Daily NSE Equity Futures'!$J:$J,'Daily NSE Equity Futures'!$A:$A,$A1237))</f>
        <v>2781257</v>
      </c>
      <c r="Q1237" s="7">
        <f>IF(SUMIFS('Daily BSE Equity Futures'!$J:$J,'Daily BSE Equity Futures'!$A:$A,$A1237)=0,"",SUMIFS('Daily BSE Equity Futures'!$J:$J,'Daily BSE Equity Futures'!$A:$A,$A1237))</f>
        <v>1366</v>
      </c>
      <c r="R1237" s="7">
        <f t="shared" si="234"/>
        <v>2782623</v>
      </c>
      <c r="S1237" s="19">
        <f t="shared" si="235"/>
        <v>0.999509096273552</v>
      </c>
      <c r="T1237" s="19">
        <f t="shared" si="236"/>
        <v>4.9090372644803118E-4</v>
      </c>
    </row>
    <row r="1238" spans="1:20" x14ac:dyDescent="0.2">
      <c r="A1238" s="9">
        <v>45740</v>
      </c>
      <c r="B1238" s="4" t="s">
        <v>225</v>
      </c>
      <c r="C1238" s="8">
        <v>45717</v>
      </c>
      <c r="D1238" s="4" t="s">
        <v>192</v>
      </c>
      <c r="E1238" s="14">
        <f>IF(SUMIFS('Daily NSE Equity Futures'!$I:$I,'Daily NSE Equity Futures'!$A:$A,$A1238)=0,"",SUMIFS('Daily NSE Equity Futures'!$I:$I,'Daily NSE Equity Futures'!$A:$A,$A1238))</f>
        <v>3348.2440999999999</v>
      </c>
      <c r="F1238" s="6">
        <f>IF(SUMIFS('Daily BSE Equity Futures'!$I:$I,'Daily BSE Equity Futures'!$A:$A,$A1238)=0,"",SUMIFS('Daily BSE Equity Futures'!$I:$I,'Daily BSE Equity Futures'!$A:$A,$A1238))</f>
        <v>4.2956000000000003</v>
      </c>
      <c r="G1238" s="6">
        <f t="shared" si="228"/>
        <v>3352.5396999999998</v>
      </c>
      <c r="H1238" s="15">
        <f t="shared" si="229"/>
        <v>0.99871870271961283</v>
      </c>
      <c r="I1238" s="15">
        <f t="shared" si="230"/>
        <v>1.2812972803871645E-3</v>
      </c>
      <c r="J1238" s="20" t="str">
        <f t="shared" si="231"/>
        <v/>
      </c>
      <c r="K1238" s="15" t="str">
        <f t="shared" si="232"/>
        <v/>
      </c>
      <c r="L1238" s="15" t="str">
        <f t="shared" si="233"/>
        <v/>
      </c>
      <c r="M1238" s="15">
        <f t="shared" si="237"/>
        <v>0.7671478028507166</v>
      </c>
      <c r="N1238" s="15">
        <f t="shared" si="238"/>
        <v>1.1066156637732334</v>
      </c>
      <c r="O1238" s="15">
        <f t="shared" si="239"/>
        <v>0.76751274650250134</v>
      </c>
      <c r="P1238" s="18">
        <f>IF(SUMIFS('Daily NSE Equity Futures'!$J:$J,'Daily NSE Equity Futures'!$A:$A,$A1238)=0,"",SUMIFS('Daily NSE Equity Futures'!$J:$J,'Daily NSE Equity Futures'!$A:$A,$A1238))</f>
        <v>5057962</v>
      </c>
      <c r="Q1238" s="7">
        <f>IF(SUMIFS('Daily BSE Equity Futures'!$J:$J,'Daily BSE Equity Futures'!$A:$A,$A1238)=0,"",SUMIFS('Daily BSE Equity Futures'!$J:$J,'Daily BSE Equity Futures'!$A:$A,$A1238))</f>
        <v>2802</v>
      </c>
      <c r="R1238" s="7">
        <f t="shared" si="234"/>
        <v>5060764</v>
      </c>
      <c r="S1238" s="19">
        <f t="shared" si="235"/>
        <v>0.99944632865709604</v>
      </c>
      <c r="T1238" s="19">
        <f t="shared" si="236"/>
        <v>5.5367134290395679E-4</v>
      </c>
    </row>
    <row r="1239" spans="1:20" x14ac:dyDescent="0.2">
      <c r="A1239" s="9">
        <v>45741</v>
      </c>
      <c r="B1239" s="4" t="s">
        <v>223</v>
      </c>
      <c r="C1239" s="8">
        <v>45717</v>
      </c>
      <c r="D1239" s="4" t="s">
        <v>192</v>
      </c>
      <c r="E1239" s="14">
        <f>IF(SUMIFS('Daily NSE Equity Futures'!$I:$I,'Daily NSE Equity Futures'!$A:$A,$A1239)=0,"",SUMIFS('Daily NSE Equity Futures'!$I:$I,'Daily NSE Equity Futures'!$A:$A,$A1239))</f>
        <v>3590.1203</v>
      </c>
      <c r="F1239" s="6">
        <f>IF(SUMIFS('Daily BSE Equity Futures'!$I:$I,'Daily BSE Equity Futures'!$A:$A,$A1239)=0,"",SUMIFS('Daily BSE Equity Futures'!$I:$I,'Daily BSE Equity Futures'!$A:$A,$A1239))</f>
        <v>5.3346999999999998</v>
      </c>
      <c r="G1239" s="6">
        <f t="shared" si="228"/>
        <v>3595.4549999999999</v>
      </c>
      <c r="H1239" s="15">
        <f t="shared" si="229"/>
        <v>0.99851626567430274</v>
      </c>
      <c r="I1239" s="15">
        <f t="shared" si="230"/>
        <v>1.483734325697304E-3</v>
      </c>
      <c r="J1239" s="20" t="str">
        <f t="shared" si="231"/>
        <v/>
      </c>
      <c r="K1239" s="15" t="str">
        <f t="shared" si="232"/>
        <v/>
      </c>
      <c r="L1239" s="15" t="str">
        <f t="shared" si="233"/>
        <v/>
      </c>
      <c r="M1239" s="15">
        <f t="shared" si="237"/>
        <v>7.2239715139048588E-2</v>
      </c>
      <c r="N1239" s="15">
        <f t="shared" si="238"/>
        <v>0.2418986870285873</v>
      </c>
      <c r="O1239" s="15">
        <f t="shared" si="239"/>
        <v>7.2457098718323953E-2</v>
      </c>
      <c r="P1239" s="18">
        <f>IF(SUMIFS('Daily NSE Equity Futures'!$J:$J,'Daily NSE Equity Futures'!$A:$A,$A1239)=0,"",SUMIFS('Daily NSE Equity Futures'!$J:$J,'Daily NSE Equity Futures'!$A:$A,$A1239))</f>
        <v>5355696</v>
      </c>
      <c r="Q1239" s="7">
        <f>IF(SUMIFS('Daily BSE Equity Futures'!$J:$J,'Daily BSE Equity Futures'!$A:$A,$A1239)=0,"",SUMIFS('Daily BSE Equity Futures'!$J:$J,'Daily BSE Equity Futures'!$A:$A,$A1239))</f>
        <v>3428</v>
      </c>
      <c r="R1239" s="7">
        <f t="shared" si="234"/>
        <v>5359124</v>
      </c>
      <c r="S1239" s="19">
        <f t="shared" si="235"/>
        <v>0.99936034322027256</v>
      </c>
      <c r="T1239" s="19">
        <f t="shared" si="236"/>
        <v>6.3965677972743307E-4</v>
      </c>
    </row>
    <row r="1240" spans="1:20" x14ac:dyDescent="0.2">
      <c r="A1240" s="9">
        <v>45742</v>
      </c>
      <c r="B1240" s="4" t="s">
        <v>221</v>
      </c>
      <c r="C1240" s="8">
        <v>45717</v>
      </c>
      <c r="D1240" s="4" t="s">
        <v>192</v>
      </c>
      <c r="E1240" s="14">
        <f>IF(SUMIFS('Daily NSE Equity Futures'!$I:$I,'Daily NSE Equity Futures'!$A:$A,$A1240)=0,"",SUMIFS('Daily NSE Equity Futures'!$I:$I,'Daily NSE Equity Futures'!$A:$A,$A1240))</f>
        <v>3126.7305999999999</v>
      </c>
      <c r="F1240" s="6">
        <f>IF(SUMIFS('Daily BSE Equity Futures'!$I:$I,'Daily BSE Equity Futures'!$A:$A,$A1240)=0,"",SUMIFS('Daily BSE Equity Futures'!$I:$I,'Daily BSE Equity Futures'!$A:$A,$A1240))</f>
        <v>2.0948000000000002</v>
      </c>
      <c r="G1240" s="6">
        <f t="shared" si="228"/>
        <v>3128.8253999999997</v>
      </c>
      <c r="H1240" s="15">
        <f t="shared" si="229"/>
        <v>0.99933048357380383</v>
      </c>
      <c r="I1240" s="15">
        <f t="shared" si="230"/>
        <v>6.6951642619623335E-4</v>
      </c>
      <c r="J1240" s="20">
        <f t="shared" si="231"/>
        <v>-5.1837941716093128E-2</v>
      </c>
      <c r="K1240" s="15">
        <f t="shared" si="232"/>
        <v>4.7723890879030044</v>
      </c>
      <c r="L1240" s="15">
        <f t="shared" si="233"/>
        <v>-5.1307107358550375E-2</v>
      </c>
      <c r="M1240" s="15">
        <f t="shared" si="237"/>
        <v>-0.12907358564001326</v>
      </c>
      <c r="N1240" s="15">
        <f t="shared" si="238"/>
        <v>-0.60732562280915503</v>
      </c>
      <c r="O1240" s="15">
        <f t="shared" si="239"/>
        <v>-0.12978318460389582</v>
      </c>
      <c r="P1240" s="18">
        <f>IF(SUMIFS('Daily NSE Equity Futures'!$J:$J,'Daily NSE Equity Futures'!$A:$A,$A1240)=0,"",SUMIFS('Daily NSE Equity Futures'!$J:$J,'Daily NSE Equity Futures'!$A:$A,$A1240))</f>
        <v>4669527</v>
      </c>
      <c r="Q1240" s="7">
        <f>IF(SUMIFS('Daily BSE Equity Futures'!$J:$J,'Daily BSE Equity Futures'!$A:$A,$A1240)=0,"",SUMIFS('Daily BSE Equity Futures'!$J:$J,'Daily BSE Equity Futures'!$A:$A,$A1240))</f>
        <v>1390</v>
      </c>
      <c r="R1240" s="7">
        <f t="shared" si="234"/>
        <v>4670917</v>
      </c>
      <c r="S1240" s="19">
        <f t="shared" si="235"/>
        <v>0.99970241389431669</v>
      </c>
      <c r="T1240" s="19">
        <f t="shared" si="236"/>
        <v>2.9758610568331656E-4</v>
      </c>
    </row>
    <row r="1241" spans="1:20" x14ac:dyDescent="0.2">
      <c r="A1241" s="9">
        <v>45743</v>
      </c>
      <c r="B1241" s="4" t="s">
        <v>224</v>
      </c>
      <c r="C1241" s="8">
        <v>45717</v>
      </c>
      <c r="D1241" s="4" t="s">
        <v>192</v>
      </c>
      <c r="E1241" s="14">
        <f>IF(SUMIFS('Daily NSE Equity Futures'!$I:$I,'Daily NSE Equity Futures'!$A:$A,$A1241)=0,"",SUMIFS('Daily NSE Equity Futures'!$I:$I,'Daily NSE Equity Futures'!$A:$A,$A1241))</f>
        <v>2917.7462999999998</v>
      </c>
      <c r="F1241" s="6">
        <f>IF(SUMIFS('Daily BSE Equity Futures'!$I:$I,'Daily BSE Equity Futures'!$A:$A,$A1241)=0,"",SUMIFS('Daily BSE Equity Futures'!$I:$I,'Daily BSE Equity Futures'!$A:$A,$A1241))</f>
        <v>0.84730000000000005</v>
      </c>
      <c r="G1241" s="6">
        <f t="shared" si="228"/>
        <v>2918.5935999999997</v>
      </c>
      <c r="H1241" s="15">
        <f t="shared" si="229"/>
        <v>0.99970968894059109</v>
      </c>
      <c r="I1241" s="15">
        <f t="shared" si="230"/>
        <v>2.9031105940888793E-4</v>
      </c>
      <c r="J1241" s="20">
        <f t="shared" si="231"/>
        <v>-6.1087792513638273E-2</v>
      </c>
      <c r="K1241" s="15">
        <f t="shared" si="232"/>
        <v>0.72320520642668296</v>
      </c>
      <c r="L1241" s="15">
        <f t="shared" si="233"/>
        <v>-6.0963716653658184E-2</v>
      </c>
      <c r="M1241" s="15">
        <f t="shared" si="237"/>
        <v>-6.683796167153E-2</v>
      </c>
      <c r="N1241" s="15">
        <f t="shared" si="238"/>
        <v>-0.59552224556043543</v>
      </c>
      <c r="O1241" s="15">
        <f t="shared" si="239"/>
        <v>-6.7191924483865462E-2</v>
      </c>
      <c r="P1241" s="18">
        <f>IF(SUMIFS('Daily NSE Equity Futures'!$J:$J,'Daily NSE Equity Futures'!$A:$A,$A1241)=0,"",SUMIFS('Daily NSE Equity Futures'!$J:$J,'Daily NSE Equity Futures'!$A:$A,$A1241))</f>
        <v>4561747</v>
      </c>
      <c r="Q1241" s="7">
        <f>IF(SUMIFS('Daily BSE Equity Futures'!$J:$J,'Daily BSE Equity Futures'!$A:$A,$A1241)=0,"",SUMIFS('Daily BSE Equity Futures'!$J:$J,'Daily BSE Equity Futures'!$A:$A,$A1241))</f>
        <v>572</v>
      </c>
      <c r="R1241" s="7">
        <f t="shared" si="234"/>
        <v>4562319</v>
      </c>
      <c r="S1241" s="19">
        <f t="shared" si="235"/>
        <v>0.99987462516321191</v>
      </c>
      <c r="T1241" s="19">
        <f t="shared" si="236"/>
        <v>1.2537483678804574E-4</v>
      </c>
    </row>
    <row r="1242" spans="1:20" x14ac:dyDescent="0.2">
      <c r="A1242" s="9">
        <v>45744</v>
      </c>
      <c r="B1242" s="4" t="s">
        <v>222</v>
      </c>
      <c r="C1242" s="8">
        <v>45717</v>
      </c>
      <c r="D1242" s="4" t="s">
        <v>192</v>
      </c>
      <c r="E1242" s="14">
        <f>IF(SUMIFS('Daily NSE Equity Futures'!$I:$I,'Daily NSE Equity Futures'!$A:$A,$A1242)=0,"",SUMIFS('Daily NSE Equity Futures'!$I:$I,'Daily NSE Equity Futures'!$A:$A,$A1242))</f>
        <v>1207.7983999999999</v>
      </c>
      <c r="F1242" s="6">
        <f>IF(SUMIFS('Daily BSE Equity Futures'!$I:$I,'Daily BSE Equity Futures'!$A:$A,$A1242)=0,"",SUMIFS('Daily BSE Equity Futures'!$I:$I,'Daily BSE Equity Futures'!$A:$A,$A1242))</f>
        <v>1.8953</v>
      </c>
      <c r="G1242" s="6">
        <f t="shared" si="228"/>
        <v>1209.6936999999998</v>
      </c>
      <c r="H1242" s="15">
        <f t="shared" si="229"/>
        <v>0.99843323975317066</v>
      </c>
      <c r="I1242" s="15">
        <f t="shared" si="230"/>
        <v>1.5667602468294249E-3</v>
      </c>
      <c r="J1242" s="20">
        <f t="shared" si="231"/>
        <v>-0.65480582916489904</v>
      </c>
      <c r="K1242" s="15">
        <f t="shared" si="232"/>
        <v>-6.4188021527674999E-2</v>
      </c>
      <c r="L1242" s="15">
        <f t="shared" si="233"/>
        <v>-0.65446415386122681</v>
      </c>
      <c r="M1242" s="15">
        <f t="shared" si="237"/>
        <v>-0.58605091882046079</v>
      </c>
      <c r="N1242" s="15">
        <f t="shared" si="238"/>
        <v>1.2368700578307563</v>
      </c>
      <c r="O1242" s="15">
        <f t="shared" si="239"/>
        <v>-0.58552170470051057</v>
      </c>
      <c r="P1242" s="18">
        <f>IF(SUMIFS('Daily NSE Equity Futures'!$J:$J,'Daily NSE Equity Futures'!$A:$A,$A1242)=0,"",SUMIFS('Daily NSE Equity Futures'!$J:$J,'Daily NSE Equity Futures'!$A:$A,$A1242))</f>
        <v>1718928</v>
      </c>
      <c r="Q1242" s="7">
        <f>IF(SUMIFS('Daily BSE Equity Futures'!$J:$J,'Daily BSE Equity Futures'!$A:$A,$A1242)=0,"",SUMIFS('Daily BSE Equity Futures'!$J:$J,'Daily BSE Equity Futures'!$A:$A,$A1242))</f>
        <v>1272</v>
      </c>
      <c r="R1242" s="7">
        <f t="shared" si="234"/>
        <v>1720200</v>
      </c>
      <c r="S1242" s="19">
        <f t="shared" si="235"/>
        <v>0.99926055109870948</v>
      </c>
      <c r="T1242" s="19">
        <f t="shared" si="236"/>
        <v>7.3944890129054759E-4</v>
      </c>
    </row>
    <row r="1243" spans="1:20" x14ac:dyDescent="0.2">
      <c r="A1243" s="9">
        <v>45748</v>
      </c>
      <c r="B1243" s="4" t="s">
        <v>223</v>
      </c>
      <c r="C1243" s="8">
        <v>45748</v>
      </c>
      <c r="D1243" s="4" t="s">
        <v>193</v>
      </c>
      <c r="E1243" s="14">
        <f>IF(SUMIFS('Daily NSE Equity Futures'!$I:$I,'Daily NSE Equity Futures'!$A:$A,$A1243)=0,"",SUMIFS('Daily NSE Equity Futures'!$I:$I,'Daily NSE Equity Futures'!$A:$A,$A1243))</f>
        <v>1287.2438</v>
      </c>
      <c r="F1243" s="6">
        <f>IF(SUMIFS('Daily BSE Equity Futures'!$I:$I,'Daily BSE Equity Futures'!$A:$A,$A1243)=0,"",SUMIFS('Daily BSE Equity Futures'!$I:$I,'Daily BSE Equity Futures'!$A:$A,$A1243))</f>
        <v>5.3667999999999996</v>
      </c>
      <c r="G1243" s="6">
        <f t="shared" si="228"/>
        <v>1292.6106</v>
      </c>
      <c r="H1243" s="15">
        <f t="shared" si="229"/>
        <v>0.99584809222514503</v>
      </c>
      <c r="I1243" s="15">
        <f t="shared" si="230"/>
        <v>4.1519077748550098E-3</v>
      </c>
      <c r="J1243" s="20">
        <f t="shared" si="231"/>
        <v>-8.3004110811392695E-2</v>
      </c>
      <c r="K1243" s="15">
        <f t="shared" si="232"/>
        <v>10.28664563617245</v>
      </c>
      <c r="L1243" s="15">
        <f t="shared" si="233"/>
        <v>-7.9492760945746199E-2</v>
      </c>
      <c r="M1243" s="15">
        <f t="shared" si="237"/>
        <v>6.5777036962459956E-2</v>
      </c>
      <c r="N1243" s="15">
        <f t="shared" si="238"/>
        <v>1.8316361525879805</v>
      </c>
      <c r="O1243" s="15">
        <f t="shared" si="239"/>
        <v>6.8543714826323487E-2</v>
      </c>
      <c r="P1243" s="18">
        <f>IF(SUMIFS('Daily NSE Equity Futures'!$J:$J,'Daily NSE Equity Futures'!$A:$A,$A1243)=0,"",SUMIFS('Daily NSE Equity Futures'!$J:$J,'Daily NSE Equity Futures'!$A:$A,$A1243))</f>
        <v>1763867</v>
      </c>
      <c r="Q1243" s="7">
        <f>IF(SUMIFS('Daily BSE Equity Futures'!$J:$J,'Daily BSE Equity Futures'!$A:$A,$A1243)=0,"",SUMIFS('Daily BSE Equity Futures'!$J:$J,'Daily BSE Equity Futures'!$A:$A,$A1243))</f>
        <v>3527</v>
      </c>
      <c r="R1243" s="7">
        <f t="shared" si="234"/>
        <v>1767394</v>
      </c>
      <c r="S1243" s="19">
        <f t="shared" si="235"/>
        <v>0.99800440648774413</v>
      </c>
      <c r="T1243" s="19">
        <f t="shared" si="236"/>
        <v>1.9955935122558978E-3</v>
      </c>
    </row>
    <row r="1244" spans="1:20" x14ac:dyDescent="0.2">
      <c r="A1244" s="9">
        <v>45749</v>
      </c>
      <c r="B1244" s="4" t="s">
        <v>221</v>
      </c>
      <c r="C1244" s="8">
        <v>45748</v>
      </c>
      <c r="D1244" s="4" t="s">
        <v>193</v>
      </c>
      <c r="E1244" s="14">
        <f>IF(SUMIFS('Daily NSE Equity Futures'!$I:$I,'Daily NSE Equity Futures'!$A:$A,$A1244)=0,"",SUMIFS('Daily NSE Equity Futures'!$I:$I,'Daily NSE Equity Futures'!$A:$A,$A1244))</f>
        <v>937.19449999999995</v>
      </c>
      <c r="F1244" s="6">
        <f>IF(SUMIFS('Daily BSE Equity Futures'!$I:$I,'Daily BSE Equity Futures'!$A:$A,$A1244)=0,"",SUMIFS('Daily BSE Equity Futures'!$I:$I,'Daily BSE Equity Futures'!$A:$A,$A1244))</f>
        <v>1.2786999999999999</v>
      </c>
      <c r="G1244" s="6">
        <f t="shared" si="228"/>
        <v>938.47319999999991</v>
      </c>
      <c r="H1244" s="15">
        <f t="shared" si="229"/>
        <v>0.99863746775081064</v>
      </c>
      <c r="I1244" s="15">
        <f t="shared" si="230"/>
        <v>1.3625322491894283E-3</v>
      </c>
      <c r="J1244" s="20">
        <f t="shared" si="231"/>
        <v>-0.27517451173180874</v>
      </c>
      <c r="K1244" s="15">
        <f t="shared" si="232"/>
        <v>3.3686368295182776</v>
      </c>
      <c r="L1244" s="15">
        <f t="shared" si="233"/>
        <v>-0.27434983445270433</v>
      </c>
      <c r="M1244" s="15">
        <f t="shared" si="237"/>
        <v>-0.27193706429193909</v>
      </c>
      <c r="N1244" s="15">
        <f t="shared" si="238"/>
        <v>-0.76173883878661397</v>
      </c>
      <c r="O1244" s="15">
        <f t="shared" si="239"/>
        <v>-0.27397067608760139</v>
      </c>
      <c r="P1244" s="18">
        <f>IF(SUMIFS('Daily NSE Equity Futures'!$J:$J,'Daily NSE Equity Futures'!$A:$A,$A1244)=0,"",SUMIFS('Daily NSE Equity Futures'!$J:$J,'Daily NSE Equity Futures'!$A:$A,$A1244))</f>
        <v>1389081</v>
      </c>
      <c r="Q1244" s="7">
        <f>IF(SUMIFS('Daily BSE Equity Futures'!$J:$J,'Daily BSE Equity Futures'!$A:$A,$A1244)=0,"",SUMIFS('Daily BSE Equity Futures'!$J:$J,'Daily BSE Equity Futures'!$A:$A,$A1244))</f>
        <v>859</v>
      </c>
      <c r="R1244" s="7">
        <f t="shared" si="234"/>
        <v>1389940</v>
      </c>
      <c r="S1244" s="19">
        <f t="shared" si="235"/>
        <v>0.99938198771169984</v>
      </c>
      <c r="T1244" s="19">
        <f t="shared" si="236"/>
        <v>6.1801228830021435E-4</v>
      </c>
    </row>
    <row r="1245" spans="1:20" x14ac:dyDescent="0.2">
      <c r="A1245" s="9">
        <v>45750</v>
      </c>
      <c r="B1245" s="4" t="s">
        <v>224</v>
      </c>
      <c r="C1245" s="8">
        <v>45748</v>
      </c>
      <c r="D1245" s="4" t="s">
        <v>193</v>
      </c>
      <c r="E1245" s="14">
        <f>IF(SUMIFS('Daily NSE Equity Futures'!$I:$I,'Daily NSE Equity Futures'!$A:$A,$A1245)=0,"",SUMIFS('Daily NSE Equity Futures'!$I:$I,'Daily NSE Equity Futures'!$A:$A,$A1245))</f>
        <v>1068.9635000000001</v>
      </c>
      <c r="F1245" s="6">
        <f>IF(SUMIFS('Daily BSE Equity Futures'!$I:$I,'Daily BSE Equity Futures'!$A:$A,$A1245)=0,"",SUMIFS('Daily BSE Equity Futures'!$I:$I,'Daily BSE Equity Futures'!$A:$A,$A1245))</f>
        <v>0.75549999999999995</v>
      </c>
      <c r="G1245" s="6">
        <f t="shared" si="228"/>
        <v>1069.7190000000001</v>
      </c>
      <c r="H1245" s="15">
        <f t="shared" si="229"/>
        <v>0.99929373975782432</v>
      </c>
      <c r="I1245" s="15">
        <f t="shared" si="230"/>
        <v>7.0626024217574886E-4</v>
      </c>
      <c r="J1245" s="20">
        <f t="shared" si="231"/>
        <v>-0.20051965752951828</v>
      </c>
      <c r="K1245" s="15">
        <f t="shared" si="232"/>
        <v>0.37613843351548248</v>
      </c>
      <c r="L1245" s="15">
        <f t="shared" si="233"/>
        <v>-0.20028297981664311</v>
      </c>
      <c r="M1245" s="15">
        <f t="shared" si="237"/>
        <v>0.14059941666324338</v>
      </c>
      <c r="N1245" s="15">
        <f t="shared" si="238"/>
        <v>-0.40916555877062644</v>
      </c>
      <c r="O1245" s="15">
        <f t="shared" si="239"/>
        <v>0.13985034415474007</v>
      </c>
      <c r="P1245" s="18">
        <f>IF(SUMIFS('Daily NSE Equity Futures'!$J:$J,'Daily NSE Equity Futures'!$A:$A,$A1245)=0,"",SUMIFS('Daily NSE Equity Futures'!$J:$J,'Daily NSE Equity Futures'!$A:$A,$A1245))</f>
        <v>1557683</v>
      </c>
      <c r="Q1245" s="7">
        <f>IF(SUMIFS('Daily BSE Equity Futures'!$J:$J,'Daily BSE Equity Futures'!$A:$A,$A1245)=0,"",SUMIFS('Daily BSE Equity Futures'!$J:$J,'Daily BSE Equity Futures'!$A:$A,$A1245))</f>
        <v>540</v>
      </c>
      <c r="R1245" s="7">
        <f t="shared" si="234"/>
        <v>1558223</v>
      </c>
      <c r="S1245" s="19">
        <f t="shared" si="235"/>
        <v>0.99965345139944672</v>
      </c>
      <c r="T1245" s="19">
        <f t="shared" si="236"/>
        <v>3.4654860055332258E-4</v>
      </c>
    </row>
    <row r="1246" spans="1:20" x14ac:dyDescent="0.2">
      <c r="A1246" s="9">
        <v>45751</v>
      </c>
      <c r="B1246" s="4" t="s">
        <v>222</v>
      </c>
      <c r="C1246" s="8">
        <v>45748</v>
      </c>
      <c r="D1246" s="4" t="s">
        <v>193</v>
      </c>
      <c r="E1246" s="14">
        <f>IF(SUMIFS('Daily NSE Equity Futures'!$I:$I,'Daily NSE Equity Futures'!$A:$A,$A1246)=0,"",SUMIFS('Daily NSE Equity Futures'!$I:$I,'Daily NSE Equity Futures'!$A:$A,$A1246))</f>
        <v>1452.1677</v>
      </c>
      <c r="F1246" s="6">
        <f>IF(SUMIFS('Daily BSE Equity Futures'!$I:$I,'Daily BSE Equity Futures'!$A:$A,$A1246)=0,"",SUMIFS('Daily BSE Equity Futures'!$I:$I,'Daily BSE Equity Futures'!$A:$A,$A1246))</f>
        <v>2.0912999999999999</v>
      </c>
      <c r="G1246" s="6">
        <f t="shared" si="228"/>
        <v>1454.259</v>
      </c>
      <c r="H1246" s="15">
        <f t="shared" si="229"/>
        <v>0.99856194804364284</v>
      </c>
      <c r="I1246" s="15">
        <f t="shared" si="230"/>
        <v>1.438051956357155E-3</v>
      </c>
      <c r="J1246" s="20">
        <f t="shared" si="231"/>
        <v>-0.1092617614166943</v>
      </c>
      <c r="K1246" s="15">
        <f t="shared" si="232"/>
        <v>-0.26687933814765474</v>
      </c>
      <c r="L1246" s="15">
        <f t="shared" si="233"/>
        <v>-0.10953706990921952</v>
      </c>
      <c r="M1246" s="15">
        <f t="shared" si="237"/>
        <v>0.35848202487736947</v>
      </c>
      <c r="N1246" s="15">
        <f t="shared" si="238"/>
        <v>1.7681005956320317</v>
      </c>
      <c r="O1246" s="15">
        <f t="shared" si="239"/>
        <v>0.35947758243052608</v>
      </c>
      <c r="P1246" s="18">
        <f>IF(SUMIFS('Daily NSE Equity Futures'!$J:$J,'Daily NSE Equity Futures'!$A:$A,$A1246)=0,"",SUMIFS('Daily NSE Equity Futures'!$J:$J,'Daily NSE Equity Futures'!$A:$A,$A1246))</f>
        <v>2142423</v>
      </c>
      <c r="Q1246" s="7">
        <f>IF(SUMIFS('Daily BSE Equity Futures'!$J:$J,'Daily BSE Equity Futures'!$A:$A,$A1246)=0,"",SUMIFS('Daily BSE Equity Futures'!$J:$J,'Daily BSE Equity Futures'!$A:$A,$A1246))</f>
        <v>1405</v>
      </c>
      <c r="R1246" s="7">
        <f t="shared" si="234"/>
        <v>2143828</v>
      </c>
      <c r="S1246" s="19">
        <f t="shared" si="235"/>
        <v>0.99934463025951714</v>
      </c>
      <c r="T1246" s="19">
        <f t="shared" si="236"/>
        <v>6.5536974048291191E-4</v>
      </c>
    </row>
    <row r="1247" spans="1:20" x14ac:dyDescent="0.2">
      <c r="A1247" s="9">
        <v>45754</v>
      </c>
      <c r="B1247" s="4" t="s">
        <v>225</v>
      </c>
      <c r="C1247" s="8">
        <v>45748</v>
      </c>
      <c r="D1247" s="4" t="s">
        <v>193</v>
      </c>
      <c r="E1247" s="14">
        <f>IF(SUMIFS('Daily NSE Equity Futures'!$I:$I,'Daily NSE Equity Futures'!$A:$A,$A1247)=0,"",SUMIFS('Daily NSE Equity Futures'!$I:$I,'Daily NSE Equity Futures'!$A:$A,$A1247))</f>
        <v>2051.3978000000002</v>
      </c>
      <c r="F1247" s="6">
        <f>IF(SUMIFS('Daily BSE Equity Futures'!$I:$I,'Daily BSE Equity Futures'!$A:$A,$A1247)=0,"",SUMIFS('Daily BSE Equity Futures'!$I:$I,'Daily BSE Equity Futures'!$A:$A,$A1247))</f>
        <v>9.0380000000000003</v>
      </c>
      <c r="G1247" s="6">
        <f t="shared" si="228"/>
        <v>2060.4358000000002</v>
      </c>
      <c r="H1247" s="15">
        <f t="shared" si="229"/>
        <v>0.99561354932776847</v>
      </c>
      <c r="I1247" s="15">
        <f t="shared" si="230"/>
        <v>4.3864506722315734E-3</v>
      </c>
      <c r="J1247" s="20" t="str">
        <f t="shared" si="231"/>
        <v/>
      </c>
      <c r="K1247" s="15" t="str">
        <f t="shared" si="232"/>
        <v/>
      </c>
      <c r="L1247" s="15" t="str">
        <f t="shared" si="233"/>
        <v/>
      </c>
      <c r="M1247" s="15">
        <f t="shared" si="237"/>
        <v>0.41264524751514586</v>
      </c>
      <c r="N1247" s="15">
        <f t="shared" si="238"/>
        <v>3.3217137665566874</v>
      </c>
      <c r="O1247" s="15">
        <f t="shared" si="239"/>
        <v>0.41682863919013058</v>
      </c>
      <c r="P1247" s="18">
        <f>IF(SUMIFS('Daily NSE Equity Futures'!$J:$J,'Daily NSE Equity Futures'!$A:$A,$A1247)=0,"",SUMIFS('Daily NSE Equity Futures'!$J:$J,'Daily NSE Equity Futures'!$A:$A,$A1247))</f>
        <v>2834158</v>
      </c>
      <c r="Q1247" s="7">
        <f>IF(SUMIFS('Daily BSE Equity Futures'!$J:$J,'Daily BSE Equity Futures'!$A:$A,$A1247)=0,"",SUMIFS('Daily BSE Equity Futures'!$J:$J,'Daily BSE Equity Futures'!$A:$A,$A1247))</f>
        <v>6227</v>
      </c>
      <c r="R1247" s="7">
        <f t="shared" si="234"/>
        <v>2840385</v>
      </c>
      <c r="S1247" s="19">
        <f t="shared" si="235"/>
        <v>0.99780769156293958</v>
      </c>
      <c r="T1247" s="19">
        <f t="shared" si="236"/>
        <v>2.192308437060469E-3</v>
      </c>
    </row>
    <row r="1248" spans="1:20" x14ac:dyDescent="0.2">
      <c r="A1248" s="9">
        <v>45755</v>
      </c>
      <c r="B1248" s="4" t="s">
        <v>223</v>
      </c>
      <c r="C1248" s="8">
        <v>45748</v>
      </c>
      <c r="D1248" s="4" t="s">
        <v>193</v>
      </c>
      <c r="E1248" s="14">
        <f>IF(SUMIFS('Daily NSE Equity Futures'!$I:$I,'Daily NSE Equity Futures'!$A:$A,$A1248)=0,"",SUMIFS('Daily NSE Equity Futures'!$I:$I,'Daily NSE Equity Futures'!$A:$A,$A1248))</f>
        <v>1323.8457000000001</v>
      </c>
      <c r="F1248" s="6">
        <f>IF(SUMIFS('Daily BSE Equity Futures'!$I:$I,'Daily BSE Equity Futures'!$A:$A,$A1248)=0,"",SUMIFS('Daily BSE Equity Futures'!$I:$I,'Daily BSE Equity Futures'!$A:$A,$A1248))</f>
        <v>8.5223999999999993</v>
      </c>
      <c r="G1248" s="6">
        <f t="shared" si="228"/>
        <v>1332.3681000000001</v>
      </c>
      <c r="H1248" s="15">
        <f t="shared" si="229"/>
        <v>0.99360356946402417</v>
      </c>
      <c r="I1248" s="15">
        <f t="shared" si="230"/>
        <v>6.3964305359757549E-3</v>
      </c>
      <c r="J1248" s="20">
        <f t="shared" si="231"/>
        <v>5.3775563105310065E-2</v>
      </c>
      <c r="K1248" s="15">
        <f t="shared" si="232"/>
        <v>10.459459459459458</v>
      </c>
      <c r="L1248" s="15">
        <f t="shared" si="233"/>
        <v>5.9931896710966326E-2</v>
      </c>
      <c r="M1248" s="15">
        <f t="shared" si="237"/>
        <v>-0.35466163608053014</v>
      </c>
      <c r="N1248" s="15">
        <f t="shared" si="238"/>
        <v>-5.7048019473334932E-2</v>
      </c>
      <c r="O1248" s="15">
        <f t="shared" si="239"/>
        <v>-0.35335616863189812</v>
      </c>
      <c r="P1248" s="18">
        <f>IF(SUMIFS('Daily NSE Equity Futures'!$J:$J,'Daily NSE Equity Futures'!$A:$A,$A1248)=0,"",SUMIFS('Daily NSE Equity Futures'!$J:$J,'Daily NSE Equity Futures'!$A:$A,$A1248))</f>
        <v>1845595</v>
      </c>
      <c r="Q1248" s="7">
        <f>IF(SUMIFS('Daily BSE Equity Futures'!$J:$J,'Daily BSE Equity Futures'!$A:$A,$A1248)=0,"",SUMIFS('Daily BSE Equity Futures'!$J:$J,'Daily BSE Equity Futures'!$A:$A,$A1248))</f>
        <v>5777</v>
      </c>
      <c r="R1248" s="7">
        <f t="shared" si="234"/>
        <v>1851372</v>
      </c>
      <c r="S1248" s="19">
        <f t="shared" si="235"/>
        <v>0.99687961144491766</v>
      </c>
      <c r="T1248" s="19">
        <f t="shared" si="236"/>
        <v>3.1203885550823928E-3</v>
      </c>
    </row>
    <row r="1249" spans="1:20" x14ac:dyDescent="0.2">
      <c r="A1249" s="9">
        <v>45756</v>
      </c>
      <c r="B1249" s="4" t="s">
        <v>221</v>
      </c>
      <c r="C1249" s="8">
        <v>45748</v>
      </c>
      <c r="D1249" s="4" t="s">
        <v>193</v>
      </c>
      <c r="E1249" s="14">
        <f>IF(SUMIFS('Daily NSE Equity Futures'!$I:$I,'Daily NSE Equity Futures'!$A:$A,$A1249)=0,"",SUMIFS('Daily NSE Equity Futures'!$I:$I,'Daily NSE Equity Futures'!$A:$A,$A1249))</f>
        <v>1053.1908000000001</v>
      </c>
      <c r="F1249" s="6">
        <f>IF(SUMIFS('Daily BSE Equity Futures'!$I:$I,'Daily BSE Equity Futures'!$A:$A,$A1249)=0,"",SUMIFS('Daily BSE Equity Futures'!$I:$I,'Daily BSE Equity Futures'!$A:$A,$A1249))</f>
        <v>1.8266</v>
      </c>
      <c r="G1249" s="6">
        <f t="shared" si="228"/>
        <v>1055.0174000000002</v>
      </c>
      <c r="H1249" s="15">
        <f t="shared" si="229"/>
        <v>0.99826865414731536</v>
      </c>
      <c r="I1249" s="15">
        <f t="shared" si="230"/>
        <v>1.7313458526845146E-3</v>
      </c>
      <c r="J1249" s="20">
        <f t="shared" si="231"/>
        <v>-0.21834230864600968</v>
      </c>
      <c r="K1249" s="15">
        <f t="shared" si="232"/>
        <v>3.7308987308987307</v>
      </c>
      <c r="L1249" s="15">
        <f t="shared" si="233"/>
        <v>-0.21721095453280048</v>
      </c>
      <c r="M1249" s="15">
        <f t="shared" si="237"/>
        <v>-0.20444595620169326</v>
      </c>
      <c r="N1249" s="15">
        <f t="shared" si="238"/>
        <v>-0.78567070308833187</v>
      </c>
      <c r="O1249" s="15">
        <f t="shared" si="239"/>
        <v>-0.20816371992094373</v>
      </c>
      <c r="P1249" s="18">
        <f>IF(SUMIFS('Daily NSE Equity Futures'!$J:$J,'Daily NSE Equity Futures'!$A:$A,$A1249)=0,"",SUMIFS('Daily NSE Equity Futures'!$J:$J,'Daily NSE Equity Futures'!$A:$A,$A1249))</f>
        <v>1528852</v>
      </c>
      <c r="Q1249" s="7">
        <f>IF(SUMIFS('Daily BSE Equity Futures'!$J:$J,'Daily BSE Equity Futures'!$A:$A,$A1249)=0,"",SUMIFS('Daily BSE Equity Futures'!$J:$J,'Daily BSE Equity Futures'!$A:$A,$A1249))</f>
        <v>1290</v>
      </c>
      <c r="R1249" s="7">
        <f t="shared" si="234"/>
        <v>1530142</v>
      </c>
      <c r="S1249" s="19">
        <f t="shared" si="235"/>
        <v>0.99915694098979047</v>
      </c>
      <c r="T1249" s="19">
        <f t="shared" si="236"/>
        <v>8.4305901020950995E-4</v>
      </c>
    </row>
    <row r="1250" spans="1:20" x14ac:dyDescent="0.2">
      <c r="A1250" s="9">
        <v>45758</v>
      </c>
      <c r="B1250" s="4" t="s">
        <v>222</v>
      </c>
      <c r="C1250" s="8">
        <v>45748</v>
      </c>
      <c r="D1250" s="4" t="s">
        <v>193</v>
      </c>
      <c r="E1250" s="14">
        <f>IF(SUMIFS('Daily NSE Equity Futures'!$I:$I,'Daily NSE Equity Futures'!$A:$A,$A1250)=0,"",SUMIFS('Daily NSE Equity Futures'!$I:$I,'Daily NSE Equity Futures'!$A:$A,$A1250))</f>
        <v>1187.6777999999999</v>
      </c>
      <c r="F1250" s="6">
        <f>IF(SUMIFS('Daily BSE Equity Futures'!$I:$I,'Daily BSE Equity Futures'!$A:$A,$A1250)=0,"",SUMIFS('Daily BSE Equity Futures'!$I:$I,'Daily BSE Equity Futures'!$A:$A,$A1250))</f>
        <v>2.8546</v>
      </c>
      <c r="G1250" s="6">
        <f t="shared" si="228"/>
        <v>1190.5323999999998</v>
      </c>
      <c r="H1250" s="15">
        <f t="shared" si="229"/>
        <v>0.99760224921220131</v>
      </c>
      <c r="I1250" s="15">
        <f t="shared" si="230"/>
        <v>2.3977507877988038E-3</v>
      </c>
      <c r="J1250" s="20" t="str">
        <f t="shared" si="231"/>
        <v/>
      </c>
      <c r="K1250" s="15" t="str">
        <f t="shared" si="232"/>
        <v/>
      </c>
      <c r="L1250" s="15" t="str">
        <f t="shared" si="233"/>
        <v/>
      </c>
      <c r="M1250" s="15">
        <f t="shared" si="237"/>
        <v>0.12769481085478507</v>
      </c>
      <c r="N1250" s="15">
        <f t="shared" si="238"/>
        <v>0.56279426256432719</v>
      </c>
      <c r="O1250" s="15">
        <f t="shared" si="239"/>
        <v>0.12844811848600757</v>
      </c>
      <c r="P1250" s="18">
        <f>IF(SUMIFS('Daily NSE Equity Futures'!$J:$J,'Daily NSE Equity Futures'!$A:$A,$A1250)=0,"",SUMIFS('Daily NSE Equity Futures'!$J:$J,'Daily NSE Equity Futures'!$A:$A,$A1250))</f>
        <v>1672644</v>
      </c>
      <c r="Q1250" s="7">
        <f>IF(SUMIFS('Daily BSE Equity Futures'!$J:$J,'Daily BSE Equity Futures'!$A:$A,$A1250)=0,"",SUMIFS('Daily BSE Equity Futures'!$J:$J,'Daily BSE Equity Futures'!$A:$A,$A1250))</f>
        <v>1902</v>
      </c>
      <c r="R1250" s="7">
        <f t="shared" si="234"/>
        <v>1674546</v>
      </c>
      <c r="S1250" s="19">
        <f t="shared" si="235"/>
        <v>0.99886416975108472</v>
      </c>
      <c r="T1250" s="19">
        <f t="shared" si="236"/>
        <v>1.1358302489152283E-3</v>
      </c>
    </row>
    <row r="1251" spans="1:20" x14ac:dyDescent="0.2">
      <c r="A1251" s="9">
        <v>45762</v>
      </c>
      <c r="B1251" s="4" t="s">
        <v>223</v>
      </c>
      <c r="C1251" s="8">
        <v>45748</v>
      </c>
      <c r="D1251" s="4" t="s">
        <v>193</v>
      </c>
      <c r="E1251" s="14">
        <f>IF(SUMIFS('Daily NSE Equity Futures'!$I:$I,'Daily NSE Equity Futures'!$A:$A,$A1251)=0,"",SUMIFS('Daily NSE Equity Futures'!$I:$I,'Daily NSE Equity Futures'!$A:$A,$A1251))</f>
        <v>1271.7438999999999</v>
      </c>
      <c r="F1251" s="6">
        <f>IF(SUMIFS('Daily BSE Equity Futures'!$I:$I,'Daily BSE Equity Futures'!$A:$A,$A1251)=0,"",SUMIFS('Daily BSE Equity Futures'!$I:$I,'Daily BSE Equity Futures'!$A:$A,$A1251))</f>
        <v>3.7810999999999999</v>
      </c>
      <c r="G1251" s="6">
        <f t="shared" si="228"/>
        <v>1275.5249999999999</v>
      </c>
      <c r="H1251" s="15">
        <f t="shared" si="229"/>
        <v>0.99703565198643707</v>
      </c>
      <c r="I1251" s="15">
        <f t="shared" si="230"/>
        <v>2.9643480135630429E-3</v>
      </c>
      <c r="J1251" s="20">
        <f t="shared" si="231"/>
        <v>-0.25540191159021153</v>
      </c>
      <c r="K1251" s="15">
        <f t="shared" si="232"/>
        <v>3.9322984607357165</v>
      </c>
      <c r="L1251" s="15">
        <f t="shared" si="233"/>
        <v>-0.25352314951693866</v>
      </c>
      <c r="M1251" s="15">
        <f t="shared" si="237"/>
        <v>7.078190734894596E-2</v>
      </c>
      <c r="N1251" s="15">
        <f t="shared" si="238"/>
        <v>0.32456386183703501</v>
      </c>
      <c r="O1251" s="15">
        <f t="shared" si="239"/>
        <v>7.1390413230248972E-2</v>
      </c>
      <c r="P1251" s="18">
        <f>IF(SUMIFS('Daily NSE Equity Futures'!$J:$J,'Daily NSE Equity Futures'!$A:$A,$A1251)=0,"",SUMIFS('Daily NSE Equity Futures'!$J:$J,'Daily NSE Equity Futures'!$A:$A,$A1251))</f>
        <v>1802935</v>
      </c>
      <c r="Q1251" s="7">
        <f>IF(SUMIFS('Daily BSE Equity Futures'!$J:$J,'Daily BSE Equity Futures'!$A:$A,$A1251)=0,"",SUMIFS('Daily BSE Equity Futures'!$J:$J,'Daily BSE Equity Futures'!$A:$A,$A1251))</f>
        <v>2465</v>
      </c>
      <c r="R1251" s="7">
        <f t="shared" si="234"/>
        <v>1805400</v>
      </c>
      <c r="S1251" s="19">
        <f t="shared" si="235"/>
        <v>0.99863465160075326</v>
      </c>
      <c r="T1251" s="19">
        <f t="shared" si="236"/>
        <v>1.3653483992467042E-3</v>
      </c>
    </row>
    <row r="1252" spans="1:20" x14ac:dyDescent="0.2">
      <c r="A1252" s="9">
        <v>45763</v>
      </c>
      <c r="B1252" s="4" t="s">
        <v>221</v>
      </c>
      <c r="C1252" s="8">
        <v>45748</v>
      </c>
      <c r="D1252" s="4" t="s">
        <v>193</v>
      </c>
      <c r="E1252" s="14">
        <f>IF(SUMIFS('Daily NSE Equity Futures'!$I:$I,'Daily NSE Equity Futures'!$A:$A,$A1252)=0,"",SUMIFS('Daily NSE Equity Futures'!$I:$I,'Daily NSE Equity Futures'!$A:$A,$A1252))</f>
        <v>1287.4224999999999</v>
      </c>
      <c r="F1252" s="6">
        <f>IF(SUMIFS('Daily BSE Equity Futures'!$I:$I,'Daily BSE Equity Futures'!$A:$A,$A1252)=0,"",SUMIFS('Daily BSE Equity Futures'!$I:$I,'Daily BSE Equity Futures'!$A:$A,$A1252))</f>
        <v>1.5338000000000001</v>
      </c>
      <c r="G1252" s="6">
        <f t="shared" si="228"/>
        <v>1288.9562999999998</v>
      </c>
      <c r="H1252" s="15">
        <f t="shared" si="229"/>
        <v>0.99881004499531911</v>
      </c>
      <c r="I1252" s="15">
        <f t="shared" si="230"/>
        <v>1.1899550046809192E-3</v>
      </c>
      <c r="J1252" s="20">
        <f t="shared" si="231"/>
        <v>-0.1213943693105155</v>
      </c>
      <c r="K1252" s="15">
        <f t="shared" si="232"/>
        <v>0.83074719503461458</v>
      </c>
      <c r="L1252" s="15">
        <f t="shared" si="233"/>
        <v>-0.12085028459429903</v>
      </c>
      <c r="M1252" s="15">
        <f t="shared" si="237"/>
        <v>1.2328425558007394E-2</v>
      </c>
      <c r="N1252" s="15">
        <f t="shared" si="238"/>
        <v>-0.59435085028166412</v>
      </c>
      <c r="O1252" s="15">
        <f t="shared" si="239"/>
        <v>1.0530017051802121E-2</v>
      </c>
      <c r="P1252" s="18">
        <f>IF(SUMIFS('Daily NSE Equity Futures'!$J:$J,'Daily NSE Equity Futures'!$A:$A,$A1252)=0,"",SUMIFS('Daily NSE Equity Futures'!$J:$J,'Daily NSE Equity Futures'!$A:$A,$A1252))</f>
        <v>1882517</v>
      </c>
      <c r="Q1252" s="7">
        <f>IF(SUMIFS('Daily BSE Equity Futures'!$J:$J,'Daily BSE Equity Futures'!$A:$A,$A1252)=0,"",SUMIFS('Daily BSE Equity Futures'!$J:$J,'Daily BSE Equity Futures'!$A:$A,$A1252))</f>
        <v>1002</v>
      </c>
      <c r="R1252" s="7">
        <f t="shared" si="234"/>
        <v>1883519</v>
      </c>
      <c r="S1252" s="19">
        <f t="shared" si="235"/>
        <v>0.99946801704681498</v>
      </c>
      <c r="T1252" s="19">
        <f t="shared" si="236"/>
        <v>5.3198295318496918E-4</v>
      </c>
    </row>
    <row r="1253" spans="1:20" x14ac:dyDescent="0.2">
      <c r="A1253" s="9">
        <v>45764</v>
      </c>
      <c r="B1253" s="4" t="s">
        <v>224</v>
      </c>
      <c r="C1253" s="8">
        <v>45748</v>
      </c>
      <c r="D1253" s="4" t="s">
        <v>193</v>
      </c>
      <c r="E1253" s="14">
        <f>IF(SUMIFS('Daily NSE Equity Futures'!$I:$I,'Daily NSE Equity Futures'!$A:$A,$A1253)=0,"",SUMIFS('Daily NSE Equity Futures'!$I:$I,'Daily NSE Equity Futures'!$A:$A,$A1253))</f>
        <v>1959.7066</v>
      </c>
      <c r="F1253" s="6">
        <f>IF(SUMIFS('Daily BSE Equity Futures'!$I:$I,'Daily BSE Equity Futures'!$A:$A,$A1253)=0,"",SUMIFS('Daily BSE Equity Futures'!$I:$I,'Daily BSE Equity Futures'!$A:$A,$A1253))</f>
        <v>3.1177000000000001</v>
      </c>
      <c r="G1253" s="6">
        <f t="shared" si="228"/>
        <v>1962.8243</v>
      </c>
      <c r="H1253" s="15">
        <f t="shared" si="229"/>
        <v>0.99841162553367613</v>
      </c>
      <c r="I1253" s="15">
        <f t="shared" si="230"/>
        <v>1.588374466323858E-3</v>
      </c>
      <c r="J1253" s="20" t="str">
        <f t="shared" si="231"/>
        <v/>
      </c>
      <c r="K1253" s="15" t="str">
        <f t="shared" si="232"/>
        <v/>
      </c>
      <c r="L1253" s="15" t="str">
        <f t="shared" si="233"/>
        <v/>
      </c>
      <c r="M1253" s="15">
        <f t="shared" si="237"/>
        <v>0.52219384079430031</v>
      </c>
      <c r="N1253" s="15">
        <f t="shared" si="238"/>
        <v>1.0326639718346589</v>
      </c>
      <c r="O1253" s="15">
        <f t="shared" si="239"/>
        <v>0.52280127728147208</v>
      </c>
      <c r="P1253" s="18">
        <f>IF(SUMIFS('Daily NSE Equity Futures'!$J:$J,'Daily NSE Equity Futures'!$A:$A,$A1253)=0,"",SUMIFS('Daily NSE Equity Futures'!$J:$J,'Daily NSE Equity Futures'!$A:$A,$A1253))</f>
        <v>2728317</v>
      </c>
      <c r="Q1253" s="7">
        <f>IF(SUMIFS('Daily BSE Equity Futures'!$J:$J,'Daily BSE Equity Futures'!$A:$A,$A1253)=0,"",SUMIFS('Daily BSE Equity Futures'!$J:$J,'Daily BSE Equity Futures'!$A:$A,$A1253))</f>
        <v>1999</v>
      </c>
      <c r="R1253" s="7">
        <f t="shared" si="234"/>
        <v>2730316</v>
      </c>
      <c r="S1253" s="19">
        <f t="shared" si="235"/>
        <v>0.99926785031476206</v>
      </c>
      <c r="T1253" s="19">
        <f t="shared" si="236"/>
        <v>7.3214968523789916E-4</v>
      </c>
    </row>
    <row r="1254" spans="1:20" x14ac:dyDescent="0.2">
      <c r="A1254" s="9">
        <v>45768</v>
      </c>
      <c r="B1254" s="4" t="s">
        <v>225</v>
      </c>
      <c r="C1254" s="8">
        <v>45748</v>
      </c>
      <c r="D1254" s="4" t="s">
        <v>193</v>
      </c>
      <c r="E1254" s="14">
        <f>IF(SUMIFS('Daily NSE Equity Futures'!$I:$I,'Daily NSE Equity Futures'!$A:$A,$A1254)=0,"",SUMIFS('Daily NSE Equity Futures'!$I:$I,'Daily NSE Equity Futures'!$A:$A,$A1254))</f>
        <v>3686.1965</v>
      </c>
      <c r="F1254" s="6">
        <f>IF(SUMIFS('Daily BSE Equity Futures'!$I:$I,'Daily BSE Equity Futures'!$A:$A,$A1254)=0,"",SUMIFS('Daily BSE Equity Futures'!$I:$I,'Daily BSE Equity Futures'!$A:$A,$A1254))</f>
        <v>2.9390000000000001</v>
      </c>
      <c r="G1254" s="6">
        <f t="shared" si="228"/>
        <v>3689.1354999999999</v>
      </c>
      <c r="H1254" s="15">
        <f t="shared" si="229"/>
        <v>0.99920333639141201</v>
      </c>
      <c r="I1254" s="15">
        <f t="shared" si="230"/>
        <v>7.9666360858797415E-4</v>
      </c>
      <c r="J1254" s="20" t="str">
        <f t="shared" si="231"/>
        <v/>
      </c>
      <c r="K1254" s="15" t="str">
        <f t="shared" si="232"/>
        <v/>
      </c>
      <c r="L1254" s="15" t="str">
        <f t="shared" si="233"/>
        <v/>
      </c>
      <c r="M1254" s="15">
        <f t="shared" si="237"/>
        <v>0.88099407329648227</v>
      </c>
      <c r="N1254" s="15">
        <f t="shared" si="238"/>
        <v>-5.7317894601789821E-2</v>
      </c>
      <c r="O1254" s="15">
        <f t="shared" si="239"/>
        <v>0.87950368252522648</v>
      </c>
      <c r="P1254" s="18">
        <f>IF(SUMIFS('Daily NSE Equity Futures'!$J:$J,'Daily NSE Equity Futures'!$A:$A,$A1254)=0,"",SUMIFS('Daily NSE Equity Futures'!$J:$J,'Daily NSE Equity Futures'!$A:$A,$A1254))</f>
        <v>5562649</v>
      </c>
      <c r="Q1254" s="7">
        <f>IF(SUMIFS('Daily BSE Equity Futures'!$J:$J,'Daily BSE Equity Futures'!$A:$A,$A1254)=0,"",SUMIFS('Daily BSE Equity Futures'!$J:$J,'Daily BSE Equity Futures'!$A:$A,$A1254))</f>
        <v>1848</v>
      </c>
      <c r="R1254" s="7">
        <f t="shared" si="234"/>
        <v>5564497</v>
      </c>
      <c r="S1254" s="19">
        <f t="shared" si="235"/>
        <v>0.99966789451050109</v>
      </c>
      <c r="T1254" s="19">
        <f t="shared" si="236"/>
        <v>3.3210548949887114E-4</v>
      </c>
    </row>
    <row r="1255" spans="1:20" x14ac:dyDescent="0.2">
      <c r="A1255" s="9">
        <v>45769</v>
      </c>
      <c r="B1255" s="4" t="s">
        <v>223</v>
      </c>
      <c r="C1255" s="8">
        <v>45748</v>
      </c>
      <c r="D1255" s="4" t="s">
        <v>193</v>
      </c>
      <c r="E1255" s="14">
        <f>IF(SUMIFS('Daily NSE Equity Futures'!$I:$I,'Daily NSE Equity Futures'!$A:$A,$A1255)=0,"",SUMIFS('Daily NSE Equity Futures'!$I:$I,'Daily NSE Equity Futures'!$A:$A,$A1255))</f>
        <v>3626.0030000000002</v>
      </c>
      <c r="F1255" s="6">
        <f>IF(SUMIFS('Daily BSE Equity Futures'!$I:$I,'Daily BSE Equity Futures'!$A:$A,$A1255)=0,"",SUMIFS('Daily BSE Equity Futures'!$I:$I,'Daily BSE Equity Futures'!$A:$A,$A1255))</f>
        <v>3.1943999999999999</v>
      </c>
      <c r="G1255" s="6">
        <f t="shared" si="228"/>
        <v>3629.1974</v>
      </c>
      <c r="H1255" s="15">
        <f t="shared" si="229"/>
        <v>0.99911980538727385</v>
      </c>
      <c r="I1255" s="15">
        <f t="shared" si="230"/>
        <v>8.8019461272621877E-4</v>
      </c>
      <c r="J1255" s="20">
        <f t="shared" si="231"/>
        <v>0.1725437435901831</v>
      </c>
      <c r="K1255" s="15">
        <f t="shared" si="232"/>
        <v>2.2120663650075412</v>
      </c>
      <c r="L1255" s="15">
        <f t="shared" si="233"/>
        <v>0.17319942755895656</v>
      </c>
      <c r="M1255" s="15">
        <f t="shared" si="237"/>
        <v>-1.6329433333247434E-2</v>
      </c>
      <c r="N1255" s="15">
        <f t="shared" si="238"/>
        <v>8.6900306226607604E-2</v>
      </c>
      <c r="O1255" s="15">
        <f t="shared" si="239"/>
        <v>-1.6247193956416051E-2</v>
      </c>
      <c r="P1255" s="18">
        <f>IF(SUMIFS('Daily NSE Equity Futures'!$J:$J,'Daily NSE Equity Futures'!$A:$A,$A1255)=0,"",SUMIFS('Daily NSE Equity Futures'!$J:$J,'Daily NSE Equity Futures'!$A:$A,$A1255))</f>
        <v>5367843</v>
      </c>
      <c r="Q1255" s="7">
        <f>IF(SUMIFS('Daily BSE Equity Futures'!$J:$J,'Daily BSE Equity Futures'!$A:$A,$A1255)=0,"",SUMIFS('Daily BSE Equity Futures'!$J:$J,'Daily BSE Equity Futures'!$A:$A,$A1255))</f>
        <v>2024</v>
      </c>
      <c r="R1255" s="7">
        <f t="shared" si="234"/>
        <v>5369867</v>
      </c>
      <c r="S1255" s="19">
        <f t="shared" si="235"/>
        <v>0.99962308191245708</v>
      </c>
      <c r="T1255" s="19">
        <f t="shared" si="236"/>
        <v>3.7691808754295033E-4</v>
      </c>
    </row>
    <row r="1256" spans="1:20" x14ac:dyDescent="0.2">
      <c r="A1256" s="9">
        <v>45770</v>
      </c>
      <c r="B1256" s="4" t="s">
        <v>221</v>
      </c>
      <c r="C1256" s="8">
        <v>45748</v>
      </c>
      <c r="D1256" s="4" t="s">
        <v>193</v>
      </c>
      <c r="E1256" s="14">
        <f>IF(SUMIFS('Daily NSE Equity Futures'!$I:$I,'Daily NSE Equity Futures'!$A:$A,$A1256)=0,"",SUMIFS('Daily NSE Equity Futures'!$I:$I,'Daily NSE Equity Futures'!$A:$A,$A1256))</f>
        <v>3610.2824999999998</v>
      </c>
      <c r="F1256" s="6">
        <f>IF(SUMIFS('Daily BSE Equity Futures'!$I:$I,'Daily BSE Equity Futures'!$A:$A,$A1256)=0,"",SUMIFS('Daily BSE Equity Futures'!$I:$I,'Daily BSE Equity Futures'!$A:$A,$A1256))</f>
        <v>1.9502999999999999</v>
      </c>
      <c r="G1256" s="6">
        <f t="shared" si="228"/>
        <v>3612.2327999999998</v>
      </c>
      <c r="H1256" s="15">
        <f t="shared" si="229"/>
        <v>0.99946008463241909</v>
      </c>
      <c r="I1256" s="15">
        <f t="shared" si="230"/>
        <v>5.3991536758095989E-4</v>
      </c>
      <c r="J1256" s="20">
        <f t="shared" si="231"/>
        <v>0.13756846657403177</v>
      </c>
      <c r="K1256" s="15">
        <f t="shared" si="232"/>
        <v>5.9928289709573326</v>
      </c>
      <c r="L1256" s="15">
        <f t="shared" si="233"/>
        <v>0.13808297552088367</v>
      </c>
      <c r="M1256" s="15">
        <f t="shared" si="237"/>
        <v>-4.3354900699200671E-3</v>
      </c>
      <c r="N1256" s="15">
        <f t="shared" si="238"/>
        <v>-0.38946280991735538</v>
      </c>
      <c r="O1256" s="15">
        <f t="shared" si="239"/>
        <v>-4.6744770620634757E-3</v>
      </c>
      <c r="P1256" s="18">
        <f>IF(SUMIFS('Daily NSE Equity Futures'!$J:$J,'Daily NSE Equity Futures'!$A:$A,$A1256)=0,"",SUMIFS('Daily NSE Equity Futures'!$J:$J,'Daily NSE Equity Futures'!$A:$A,$A1256))</f>
        <v>5317329</v>
      </c>
      <c r="Q1256" s="7">
        <f>IF(SUMIFS('Daily BSE Equity Futures'!$J:$J,'Daily BSE Equity Futures'!$A:$A,$A1256)=0,"",SUMIFS('Daily BSE Equity Futures'!$J:$J,'Daily BSE Equity Futures'!$A:$A,$A1256))</f>
        <v>1240</v>
      </c>
      <c r="R1256" s="7">
        <f t="shared" si="234"/>
        <v>5318569</v>
      </c>
      <c r="S1256" s="19">
        <f t="shared" si="235"/>
        <v>0.9997668545806212</v>
      </c>
      <c r="T1256" s="19">
        <f t="shared" si="236"/>
        <v>2.3314541937878404E-4</v>
      </c>
    </row>
    <row r="1257" spans="1:20" x14ac:dyDescent="0.2">
      <c r="A1257" s="9">
        <v>45771</v>
      </c>
      <c r="B1257" s="4" t="s">
        <v>224</v>
      </c>
      <c r="C1257" s="8">
        <v>45748</v>
      </c>
      <c r="D1257" s="4" t="s">
        <v>193</v>
      </c>
      <c r="E1257" s="14">
        <f>IF(SUMIFS('Daily NSE Equity Futures'!$I:$I,'Daily NSE Equity Futures'!$A:$A,$A1257)=0,"",SUMIFS('Daily NSE Equity Futures'!$I:$I,'Daily NSE Equity Futures'!$A:$A,$A1257))</f>
        <v>2956.59</v>
      </c>
      <c r="F1257" s="6">
        <f>IF(SUMIFS('Daily BSE Equity Futures'!$I:$I,'Daily BSE Equity Futures'!$A:$A,$A1257)=0,"",SUMIFS('Daily BSE Equity Futures'!$I:$I,'Daily BSE Equity Futures'!$A:$A,$A1257))</f>
        <v>1.1472</v>
      </c>
      <c r="G1257" s="6">
        <f t="shared" si="228"/>
        <v>2957.7372</v>
      </c>
      <c r="H1257" s="15">
        <f t="shared" si="229"/>
        <v>0.99961213592607212</v>
      </c>
      <c r="I1257" s="15">
        <f t="shared" si="230"/>
        <v>3.8786407392786619E-4</v>
      </c>
      <c r="J1257" s="20">
        <f t="shared" si="231"/>
        <v>-8.4808308232750651E-2</v>
      </c>
      <c r="K1257" s="15">
        <f t="shared" si="232"/>
        <v>1.9953002610966055</v>
      </c>
      <c r="L1257" s="15">
        <f t="shared" si="233"/>
        <v>-8.4561730271395796E-2</v>
      </c>
      <c r="M1257" s="15">
        <f t="shared" si="237"/>
        <v>-0.18106408570520438</v>
      </c>
      <c r="N1257" s="15">
        <f t="shared" si="238"/>
        <v>-0.41178280264574674</v>
      </c>
      <c r="O1257" s="15">
        <f t="shared" si="239"/>
        <v>-0.18118865428606923</v>
      </c>
      <c r="P1257" s="18">
        <f>IF(SUMIFS('Daily NSE Equity Futures'!$J:$J,'Daily NSE Equity Futures'!$A:$A,$A1257)=0,"",SUMIFS('Daily NSE Equity Futures'!$J:$J,'Daily NSE Equity Futures'!$A:$A,$A1257))</f>
        <v>4310397</v>
      </c>
      <c r="Q1257" s="7">
        <f>IF(SUMIFS('Daily BSE Equity Futures'!$J:$J,'Daily BSE Equity Futures'!$A:$A,$A1257)=0,"",SUMIFS('Daily BSE Equity Futures'!$J:$J,'Daily BSE Equity Futures'!$A:$A,$A1257))</f>
        <v>732</v>
      </c>
      <c r="R1257" s="7">
        <f t="shared" si="234"/>
        <v>4311129</v>
      </c>
      <c r="S1257" s="19">
        <f t="shared" si="235"/>
        <v>0.99983020689012092</v>
      </c>
      <c r="T1257" s="19">
        <f t="shared" si="236"/>
        <v>1.697931098791059E-4</v>
      </c>
    </row>
    <row r="1258" spans="1:20" x14ac:dyDescent="0.2">
      <c r="A1258" s="9">
        <v>45772</v>
      </c>
      <c r="B1258" s="4" t="s">
        <v>222</v>
      </c>
      <c r="C1258" s="8">
        <v>45748</v>
      </c>
      <c r="D1258" s="4" t="s">
        <v>193</v>
      </c>
      <c r="E1258" s="14">
        <f>IF(SUMIFS('Daily NSE Equity Futures'!$I:$I,'Daily NSE Equity Futures'!$A:$A,$A1258)=0,"",SUMIFS('Daily NSE Equity Futures'!$I:$I,'Daily NSE Equity Futures'!$A:$A,$A1258))</f>
        <v>1707.8615</v>
      </c>
      <c r="F1258" s="6">
        <f>IF(SUMIFS('Daily BSE Equity Futures'!$I:$I,'Daily BSE Equity Futures'!$A:$A,$A1258)=0,"",SUMIFS('Daily BSE Equity Futures'!$I:$I,'Daily BSE Equity Futures'!$A:$A,$A1258))</f>
        <v>3.4205000000000001</v>
      </c>
      <c r="G1258" s="6">
        <f t="shared" si="228"/>
        <v>1711.2819999999999</v>
      </c>
      <c r="H1258" s="15">
        <f t="shared" si="229"/>
        <v>0.99800120611331156</v>
      </c>
      <c r="I1258" s="15">
        <f t="shared" si="230"/>
        <v>1.9987938866884596E-3</v>
      </c>
      <c r="J1258" s="20">
        <f t="shared" si="231"/>
        <v>-0.58833243858279993</v>
      </c>
      <c r="K1258" s="15">
        <f t="shared" si="232"/>
        <v>3.2108826788132463</v>
      </c>
      <c r="L1258" s="15">
        <f t="shared" si="233"/>
        <v>-0.58758870171543265</v>
      </c>
      <c r="M1258" s="15">
        <f t="shared" si="237"/>
        <v>-0.42235430005513108</v>
      </c>
      <c r="N1258" s="15">
        <f t="shared" si="238"/>
        <v>1.9816073919107393</v>
      </c>
      <c r="O1258" s="15">
        <f t="shared" si="239"/>
        <v>-0.42142188967971872</v>
      </c>
      <c r="P1258" s="18">
        <f>IF(SUMIFS('Daily NSE Equity Futures'!$J:$J,'Daily NSE Equity Futures'!$A:$A,$A1258)=0,"",SUMIFS('Daily NSE Equity Futures'!$J:$J,'Daily NSE Equity Futures'!$A:$A,$A1258))</f>
        <v>2236701</v>
      </c>
      <c r="Q1258" s="7">
        <f>IF(SUMIFS('Daily BSE Equity Futures'!$J:$J,'Daily BSE Equity Futures'!$A:$A,$A1258)=0,"",SUMIFS('Daily BSE Equity Futures'!$J:$J,'Daily BSE Equity Futures'!$A:$A,$A1258))</f>
        <v>2172</v>
      </c>
      <c r="R1258" s="7">
        <f t="shared" si="234"/>
        <v>2238873</v>
      </c>
      <c r="S1258" s="19">
        <f t="shared" si="235"/>
        <v>0.99902986904572078</v>
      </c>
      <c r="T1258" s="19">
        <f t="shared" si="236"/>
        <v>9.7013095427922892E-4</v>
      </c>
    </row>
    <row r="1259" spans="1:20" x14ac:dyDescent="0.2">
      <c r="A1259" s="9">
        <v>45775</v>
      </c>
      <c r="B1259" s="4" t="s">
        <v>225</v>
      </c>
      <c r="C1259" s="8">
        <v>45748</v>
      </c>
      <c r="D1259" s="4" t="s">
        <v>193</v>
      </c>
      <c r="E1259" s="14">
        <f>IF(SUMIFS('Daily NSE Equity Futures'!$I:$I,'Daily NSE Equity Futures'!$A:$A,$A1259)=0,"",SUMIFS('Daily NSE Equity Futures'!$I:$I,'Daily NSE Equity Futures'!$A:$A,$A1259))</f>
        <v>1196.0785000000001</v>
      </c>
      <c r="F1259" s="6">
        <f>IF(SUMIFS('Daily BSE Equity Futures'!$I:$I,'Daily BSE Equity Futures'!$A:$A,$A1259)=0,"",SUMIFS('Daily BSE Equity Futures'!$I:$I,'Daily BSE Equity Futures'!$A:$A,$A1259))</f>
        <v>3.1747000000000001</v>
      </c>
      <c r="G1259" s="6">
        <f t="shared" si="228"/>
        <v>1199.2532000000001</v>
      </c>
      <c r="H1259" s="15">
        <f t="shared" si="229"/>
        <v>0.9973527692067029</v>
      </c>
      <c r="I1259" s="15">
        <f t="shared" si="230"/>
        <v>2.6472307932970283E-3</v>
      </c>
      <c r="J1259" s="20" t="str">
        <f t="shared" si="231"/>
        <v/>
      </c>
      <c r="K1259" s="15" t="str">
        <f t="shared" si="232"/>
        <v/>
      </c>
      <c r="L1259" s="15" t="str">
        <f t="shared" si="233"/>
        <v/>
      </c>
      <c r="M1259" s="15">
        <f t="shared" si="237"/>
        <v>-0.29966305815781891</v>
      </c>
      <c r="N1259" s="15">
        <f t="shared" si="238"/>
        <v>-7.1860839058617176E-2</v>
      </c>
      <c r="O1259" s="15">
        <f t="shared" si="239"/>
        <v>-0.2992077284749094</v>
      </c>
      <c r="P1259" s="18">
        <f>IF(SUMIFS('Daily NSE Equity Futures'!$J:$J,'Daily NSE Equity Futures'!$A:$A,$A1259)=0,"",SUMIFS('Daily NSE Equity Futures'!$J:$J,'Daily NSE Equity Futures'!$A:$A,$A1259))</f>
        <v>1603292</v>
      </c>
      <c r="Q1259" s="7">
        <f>IF(SUMIFS('Daily BSE Equity Futures'!$J:$J,'Daily BSE Equity Futures'!$A:$A,$A1259)=0,"",SUMIFS('Daily BSE Equity Futures'!$J:$J,'Daily BSE Equity Futures'!$A:$A,$A1259))</f>
        <v>2032</v>
      </c>
      <c r="R1259" s="7">
        <f t="shared" si="234"/>
        <v>1605324</v>
      </c>
      <c r="S1259" s="19">
        <f t="shared" si="235"/>
        <v>0.99873421190986988</v>
      </c>
      <c r="T1259" s="19">
        <f t="shared" si="236"/>
        <v>1.2657880901300921E-3</v>
      </c>
    </row>
    <row r="1260" spans="1:20" x14ac:dyDescent="0.2">
      <c r="A1260" s="9">
        <v>45776</v>
      </c>
      <c r="B1260" s="4" t="s">
        <v>223</v>
      </c>
      <c r="C1260" s="8">
        <v>45748</v>
      </c>
      <c r="D1260" s="4" t="s">
        <v>193</v>
      </c>
      <c r="E1260" s="14">
        <f>IF(SUMIFS('Daily NSE Equity Futures'!$I:$I,'Daily NSE Equity Futures'!$A:$A,$A1260)=0,"",SUMIFS('Daily NSE Equity Futures'!$I:$I,'Daily NSE Equity Futures'!$A:$A,$A1260))</f>
        <v>1046.7607</v>
      </c>
      <c r="F1260" s="6">
        <f>IF(SUMIFS('Daily BSE Equity Futures'!$I:$I,'Daily BSE Equity Futures'!$A:$A,$A1260)=0,"",SUMIFS('Daily BSE Equity Futures'!$I:$I,'Daily BSE Equity Futures'!$A:$A,$A1260))</f>
        <v>5.3304999999999998</v>
      </c>
      <c r="G1260" s="6">
        <f t="shared" si="228"/>
        <v>1052.0912000000001</v>
      </c>
      <c r="H1260" s="15">
        <f t="shared" si="229"/>
        <v>0.99493342402255625</v>
      </c>
      <c r="I1260" s="15">
        <f t="shared" si="230"/>
        <v>5.0665759774437798E-3</v>
      </c>
      <c r="J1260" s="20">
        <f t="shared" si="231"/>
        <v>-0.32771233588208082</v>
      </c>
      <c r="K1260" s="15">
        <f t="shared" si="232"/>
        <v>2.4406649370615874E-2</v>
      </c>
      <c r="L1260" s="15">
        <f t="shared" si="233"/>
        <v>-0.32653948242516428</v>
      </c>
      <c r="M1260" s="15">
        <f t="shared" si="237"/>
        <v>-0.1248394649682274</v>
      </c>
      <c r="N1260" s="15">
        <f t="shared" si="238"/>
        <v>0.67905628878319191</v>
      </c>
      <c r="O1260" s="15">
        <f t="shared" si="239"/>
        <v>-0.122711367374296</v>
      </c>
      <c r="P1260" s="18">
        <f>IF(SUMIFS('Daily NSE Equity Futures'!$J:$J,'Daily NSE Equity Futures'!$A:$A,$A1260)=0,"",SUMIFS('Daily NSE Equity Futures'!$J:$J,'Daily NSE Equity Futures'!$A:$A,$A1260))</f>
        <v>1404868</v>
      </c>
      <c r="Q1260" s="7">
        <f>IF(SUMIFS('Daily BSE Equity Futures'!$J:$J,'Daily BSE Equity Futures'!$A:$A,$A1260)=0,"",SUMIFS('Daily BSE Equity Futures'!$J:$J,'Daily BSE Equity Futures'!$A:$A,$A1260))</f>
        <v>3367</v>
      </c>
      <c r="R1260" s="7">
        <f t="shared" si="234"/>
        <v>1408235</v>
      </c>
      <c r="S1260" s="19">
        <f t="shared" si="235"/>
        <v>0.99760906382812531</v>
      </c>
      <c r="T1260" s="19">
        <f t="shared" si="236"/>
        <v>2.3909361718747225E-3</v>
      </c>
    </row>
    <row r="1261" spans="1:20" x14ac:dyDescent="0.2">
      <c r="A1261" s="9">
        <v>45777</v>
      </c>
      <c r="B1261" s="4" t="s">
        <v>221</v>
      </c>
      <c r="C1261" s="8">
        <v>45748</v>
      </c>
      <c r="D1261" s="4" t="s">
        <v>193</v>
      </c>
      <c r="E1261" s="14">
        <f>IF(SUMIFS('Daily NSE Equity Futures'!$I:$I,'Daily NSE Equity Futures'!$A:$A,$A1261)=0,"",SUMIFS('Daily NSE Equity Futures'!$I:$I,'Daily NSE Equity Futures'!$A:$A,$A1261))</f>
        <v>1058.4215999999999</v>
      </c>
      <c r="F1261" s="6">
        <f>IF(SUMIFS('Daily BSE Equity Futures'!$I:$I,'Daily BSE Equity Futures'!$A:$A,$A1261)=0,"",SUMIFS('Daily BSE Equity Futures'!$I:$I,'Daily BSE Equity Futures'!$A:$A,$A1261))</f>
        <v>1.3585</v>
      </c>
      <c r="G1261" s="6">
        <f t="shared" si="228"/>
        <v>1059.7800999999999</v>
      </c>
      <c r="H1261" s="15">
        <f t="shared" si="229"/>
        <v>0.99871813029891765</v>
      </c>
      <c r="I1261" s="15">
        <f t="shared" si="230"/>
        <v>1.2818697010823284E-3</v>
      </c>
      <c r="J1261" s="20">
        <f t="shared" si="231"/>
        <v>-0.40021614218667423</v>
      </c>
      <c r="K1261" s="15">
        <f t="shared" si="232"/>
        <v>1.1854890604890604</v>
      </c>
      <c r="L1261" s="15">
        <f t="shared" si="233"/>
        <v>-0.39965777924835499</v>
      </c>
      <c r="M1261" s="15">
        <f t="shared" si="237"/>
        <v>1.1139986436250249E-2</v>
      </c>
      <c r="N1261" s="15">
        <f t="shared" si="238"/>
        <v>-0.7451458587374542</v>
      </c>
      <c r="O1261" s="15">
        <f t="shared" si="239"/>
        <v>7.3082067410124019E-3</v>
      </c>
      <c r="P1261" s="18">
        <f>IF(SUMIFS('Daily NSE Equity Futures'!$J:$J,'Daily NSE Equity Futures'!$A:$A,$A1261)=0,"",SUMIFS('Daily NSE Equity Futures'!$J:$J,'Daily NSE Equity Futures'!$A:$A,$A1261))</f>
        <v>1470964</v>
      </c>
      <c r="Q1261" s="7">
        <f>IF(SUMIFS('Daily BSE Equity Futures'!$J:$J,'Daily BSE Equity Futures'!$A:$A,$A1261)=0,"",SUMIFS('Daily BSE Equity Futures'!$J:$J,'Daily BSE Equity Futures'!$A:$A,$A1261))</f>
        <v>948</v>
      </c>
      <c r="R1261" s="7">
        <f t="shared" si="234"/>
        <v>1471912</v>
      </c>
      <c r="S1261" s="19">
        <f t="shared" si="235"/>
        <v>0.99935593975726811</v>
      </c>
      <c r="T1261" s="19">
        <f t="shared" si="236"/>
        <v>6.440602427319024E-4</v>
      </c>
    </row>
    <row r="1262" spans="1:20" x14ac:dyDescent="0.2">
      <c r="A1262" s="9">
        <v>45779</v>
      </c>
      <c r="B1262" s="4" t="s">
        <v>222</v>
      </c>
      <c r="C1262" s="8">
        <v>45778</v>
      </c>
      <c r="D1262" s="4" t="s">
        <v>193</v>
      </c>
      <c r="E1262" s="14">
        <f>IF(SUMIFS('Daily NSE Equity Futures'!$I:$I,'Daily NSE Equity Futures'!$A:$A,$A1262)=0,"",SUMIFS('Daily NSE Equity Futures'!$I:$I,'Daily NSE Equity Futures'!$A:$A,$A1262))</f>
        <v>1388.0902000000001</v>
      </c>
      <c r="F1262" s="6">
        <f>IF(SUMIFS('Daily BSE Equity Futures'!$I:$I,'Daily BSE Equity Futures'!$A:$A,$A1262)=0,"",SUMIFS('Daily BSE Equity Futures'!$I:$I,'Daily BSE Equity Futures'!$A:$A,$A1262))</f>
        <v>3.1739999999999999</v>
      </c>
      <c r="G1262" s="6">
        <f t="shared" si="228"/>
        <v>1391.2642000000001</v>
      </c>
      <c r="H1262" s="15">
        <f t="shared" si="229"/>
        <v>0.99771862166797654</v>
      </c>
      <c r="I1262" s="15">
        <f t="shared" si="230"/>
        <v>2.2813783320234935E-3</v>
      </c>
      <c r="J1262" s="20">
        <f t="shared" si="231"/>
        <v>-0.11270304228475103</v>
      </c>
      <c r="K1262" s="15">
        <f t="shared" si="232"/>
        <v>3.1446852964220424</v>
      </c>
      <c r="L1262" s="15">
        <f t="shared" si="233"/>
        <v>-0.11110927957300443</v>
      </c>
      <c r="M1262" s="15">
        <f t="shared" si="237"/>
        <v>0.311471912515769</v>
      </c>
      <c r="N1262" s="15">
        <f t="shared" si="238"/>
        <v>1.3364004416635993</v>
      </c>
      <c r="O1262" s="15">
        <f t="shared" si="239"/>
        <v>0.31278573734305848</v>
      </c>
      <c r="P1262" s="18">
        <f>IF(SUMIFS('Daily NSE Equity Futures'!$J:$J,'Daily NSE Equity Futures'!$A:$A,$A1262)=0,"",SUMIFS('Daily NSE Equity Futures'!$J:$J,'Daily NSE Equity Futures'!$A:$A,$A1262))</f>
        <v>1761698</v>
      </c>
      <c r="Q1262" s="7">
        <f>IF(SUMIFS('Daily BSE Equity Futures'!$J:$J,'Daily BSE Equity Futures'!$A:$A,$A1262)=0,"",SUMIFS('Daily BSE Equity Futures'!$J:$J,'Daily BSE Equity Futures'!$A:$A,$A1262))</f>
        <v>2079</v>
      </c>
      <c r="R1262" s="7">
        <f t="shared" si="234"/>
        <v>1763777</v>
      </c>
      <c r="S1262" s="19">
        <f t="shared" si="235"/>
        <v>0.99882127956085154</v>
      </c>
      <c r="T1262" s="19">
        <f t="shared" si="236"/>
        <v>1.1787204391484865E-3</v>
      </c>
    </row>
    <row r="1263" spans="1:20" x14ac:dyDescent="0.2">
      <c r="A1263" s="9">
        <v>45782</v>
      </c>
      <c r="B1263" s="4" t="s">
        <v>225</v>
      </c>
      <c r="C1263" s="8">
        <v>45778</v>
      </c>
      <c r="D1263" s="4" t="s">
        <v>193</v>
      </c>
      <c r="E1263" s="14">
        <f>IF(SUMIFS('Daily NSE Equity Futures'!$I:$I,'Daily NSE Equity Futures'!$A:$A,$A1263)=0,"",SUMIFS('Daily NSE Equity Futures'!$I:$I,'Daily NSE Equity Futures'!$A:$A,$A1263))</f>
        <v>1046.8463999999999</v>
      </c>
      <c r="F1263" s="6">
        <f>IF(SUMIFS('Daily BSE Equity Futures'!$I:$I,'Daily BSE Equity Futures'!$A:$A,$A1263)=0,"",SUMIFS('Daily BSE Equity Futures'!$I:$I,'Daily BSE Equity Futures'!$A:$A,$A1263))</f>
        <v>2.2521</v>
      </c>
      <c r="G1263" s="6">
        <f t="shared" si="228"/>
        <v>1049.0984999999998</v>
      </c>
      <c r="H1263" s="15">
        <f t="shared" si="229"/>
        <v>0.9978532997616526</v>
      </c>
      <c r="I1263" s="15">
        <f t="shared" si="230"/>
        <v>2.1467002383474959E-3</v>
      </c>
      <c r="J1263" s="20" t="str">
        <f t="shared" si="231"/>
        <v/>
      </c>
      <c r="K1263" s="15" t="str">
        <f t="shared" si="232"/>
        <v/>
      </c>
      <c r="L1263" s="15" t="str">
        <f t="shared" si="233"/>
        <v/>
      </c>
      <c r="M1263" s="15">
        <f t="shared" si="237"/>
        <v>-0.24583690598780983</v>
      </c>
      <c r="N1263" s="15">
        <f t="shared" si="238"/>
        <v>-0.29045368620037804</v>
      </c>
      <c r="O1263" s="15">
        <f t="shared" si="239"/>
        <v>-0.24593869374343147</v>
      </c>
      <c r="P1263" s="18">
        <f>IF(SUMIFS('Daily NSE Equity Futures'!$J:$J,'Daily NSE Equity Futures'!$A:$A,$A1263)=0,"",SUMIFS('Daily NSE Equity Futures'!$J:$J,'Daily NSE Equity Futures'!$A:$A,$A1263))</f>
        <v>1447574</v>
      </c>
      <c r="Q1263" s="7">
        <f>IF(SUMIFS('Daily BSE Equity Futures'!$J:$J,'Daily BSE Equity Futures'!$A:$A,$A1263)=0,"",SUMIFS('Daily BSE Equity Futures'!$J:$J,'Daily BSE Equity Futures'!$A:$A,$A1263))</f>
        <v>1506</v>
      </c>
      <c r="R1263" s="7">
        <f t="shared" si="234"/>
        <v>1449080</v>
      </c>
      <c r="S1263" s="19">
        <f t="shared" si="235"/>
        <v>0.9989607199050432</v>
      </c>
      <c r="T1263" s="19">
        <f t="shared" si="236"/>
        <v>1.0392800949568001E-3</v>
      </c>
    </row>
    <row r="1264" spans="1:20" x14ac:dyDescent="0.2">
      <c r="A1264" s="9">
        <v>45783</v>
      </c>
      <c r="B1264" s="4" t="s">
        <v>223</v>
      </c>
      <c r="C1264" s="8">
        <v>45778</v>
      </c>
      <c r="D1264" s="4" t="s">
        <v>193</v>
      </c>
      <c r="E1264" s="14">
        <f>IF(SUMIFS('Daily NSE Equity Futures'!$I:$I,'Daily NSE Equity Futures'!$A:$A,$A1264)=0,"",SUMIFS('Daily NSE Equity Futures'!$I:$I,'Daily NSE Equity Futures'!$A:$A,$A1264))</f>
        <v>1084.9655</v>
      </c>
      <c r="F1264" s="6">
        <f>IF(SUMIFS('Daily BSE Equity Futures'!$I:$I,'Daily BSE Equity Futures'!$A:$A,$A1264)=0,"",SUMIFS('Daily BSE Equity Futures'!$I:$I,'Daily BSE Equity Futures'!$A:$A,$A1264))</f>
        <v>3.3576000000000001</v>
      </c>
      <c r="G1264" s="6">
        <f t="shared" si="228"/>
        <v>1088.3231000000001</v>
      </c>
      <c r="H1264" s="15">
        <f t="shared" si="229"/>
        <v>0.99691488676478512</v>
      </c>
      <c r="I1264" s="15">
        <f t="shared" si="230"/>
        <v>3.0851132352147995E-3</v>
      </c>
      <c r="J1264" s="20">
        <f t="shared" si="231"/>
        <v>-0.3331635560881675</v>
      </c>
      <c r="K1264" s="15">
        <f t="shared" si="232"/>
        <v>2.360960960960961</v>
      </c>
      <c r="L1264" s="15">
        <f t="shared" si="233"/>
        <v>-0.33151037672518768</v>
      </c>
      <c r="M1264" s="15">
        <f t="shared" si="237"/>
        <v>3.6413269415646932E-2</v>
      </c>
      <c r="N1264" s="15">
        <f t="shared" si="238"/>
        <v>0.49087518316238188</v>
      </c>
      <c r="O1264" s="15">
        <f t="shared" si="239"/>
        <v>3.7388862914206955E-2</v>
      </c>
      <c r="P1264" s="18">
        <f>IF(SUMIFS('Daily NSE Equity Futures'!$J:$J,'Daily NSE Equity Futures'!$A:$A,$A1264)=0,"",SUMIFS('Daily NSE Equity Futures'!$J:$J,'Daily NSE Equity Futures'!$A:$A,$A1264))</f>
        <v>1530243</v>
      </c>
      <c r="Q1264" s="7">
        <f>IF(SUMIFS('Daily BSE Equity Futures'!$J:$J,'Daily BSE Equity Futures'!$A:$A,$A1264)=0,"",SUMIFS('Daily BSE Equity Futures'!$J:$J,'Daily BSE Equity Futures'!$A:$A,$A1264))</f>
        <v>2319</v>
      </c>
      <c r="R1264" s="7">
        <f t="shared" si="234"/>
        <v>1532562</v>
      </c>
      <c r="S1264" s="19">
        <f t="shared" si="235"/>
        <v>0.99848684751416261</v>
      </c>
      <c r="T1264" s="19">
        <f t="shared" si="236"/>
        <v>1.5131524858374408E-3</v>
      </c>
    </row>
    <row r="1265" spans="1:20" x14ac:dyDescent="0.2">
      <c r="A1265" s="9">
        <v>45784</v>
      </c>
      <c r="B1265" s="4" t="s">
        <v>221</v>
      </c>
      <c r="C1265" s="8">
        <v>45778</v>
      </c>
      <c r="D1265" s="4" t="s">
        <v>193</v>
      </c>
      <c r="E1265" s="14">
        <f>IF(SUMIFS('Daily NSE Equity Futures'!$I:$I,'Daily NSE Equity Futures'!$A:$A,$A1265)=0,"",SUMIFS('Daily NSE Equity Futures'!$I:$I,'Daily NSE Equity Futures'!$A:$A,$A1265))</f>
        <v>1172.3049000000001</v>
      </c>
      <c r="F1265" s="6">
        <f>IF(SUMIFS('Daily BSE Equity Futures'!$I:$I,'Daily BSE Equity Futures'!$A:$A,$A1265)=0,"",SUMIFS('Daily BSE Equity Futures'!$I:$I,'Daily BSE Equity Futures'!$A:$A,$A1265))</f>
        <v>1.7056</v>
      </c>
      <c r="G1265" s="6">
        <f t="shared" si="228"/>
        <v>1174.0105000000001</v>
      </c>
      <c r="H1265" s="15">
        <f t="shared" si="229"/>
        <v>0.99854720209061165</v>
      </c>
      <c r="I1265" s="15">
        <f t="shared" si="230"/>
        <v>1.4527979093883741E-3</v>
      </c>
      <c r="J1265" s="20">
        <f t="shared" si="231"/>
        <v>-0.26136653110303032</v>
      </c>
      <c r="K1265" s="15">
        <f t="shared" si="232"/>
        <v>2.0182268625022117</v>
      </c>
      <c r="L1265" s="15">
        <f t="shared" si="233"/>
        <v>-0.2605551656813998</v>
      </c>
      <c r="M1265" s="15">
        <f t="shared" si="237"/>
        <v>8.04997025251033E-2</v>
      </c>
      <c r="N1265" s="15">
        <f t="shared" si="238"/>
        <v>-0.49201810817250424</v>
      </c>
      <c r="O1265" s="15">
        <f t="shared" si="239"/>
        <v>7.8733420249923913E-2</v>
      </c>
      <c r="P1265" s="18">
        <f>IF(SUMIFS('Daily NSE Equity Futures'!$J:$J,'Daily NSE Equity Futures'!$A:$A,$A1265)=0,"",SUMIFS('Daily NSE Equity Futures'!$J:$J,'Daily NSE Equity Futures'!$A:$A,$A1265))</f>
        <v>1576296</v>
      </c>
      <c r="Q1265" s="7">
        <f>IF(SUMIFS('Daily BSE Equity Futures'!$J:$J,'Daily BSE Equity Futures'!$A:$A,$A1265)=0,"",SUMIFS('Daily BSE Equity Futures'!$J:$J,'Daily BSE Equity Futures'!$A:$A,$A1265))</f>
        <v>1236</v>
      </c>
      <c r="R1265" s="7">
        <f t="shared" si="234"/>
        <v>1577532</v>
      </c>
      <c r="S1265" s="19">
        <f t="shared" si="235"/>
        <v>0.99921649766851006</v>
      </c>
      <c r="T1265" s="19">
        <f t="shared" si="236"/>
        <v>7.8350233148994763E-4</v>
      </c>
    </row>
    <row r="1266" spans="1:20" x14ac:dyDescent="0.2">
      <c r="A1266" s="9">
        <v>45785</v>
      </c>
      <c r="B1266" s="4" t="s">
        <v>224</v>
      </c>
      <c r="C1266" s="8">
        <v>45778</v>
      </c>
      <c r="D1266" s="4" t="s">
        <v>193</v>
      </c>
      <c r="E1266" s="14">
        <f>IF(SUMIFS('Daily NSE Equity Futures'!$I:$I,'Daily NSE Equity Futures'!$A:$A,$A1266)=0,"",SUMIFS('Daily NSE Equity Futures'!$I:$I,'Daily NSE Equity Futures'!$A:$A,$A1266))</f>
        <v>1354.8117999999999</v>
      </c>
      <c r="F1266" s="6">
        <f>IF(SUMIFS('Daily BSE Equity Futures'!$I:$I,'Daily BSE Equity Futures'!$A:$A,$A1266)=0,"",SUMIFS('Daily BSE Equity Futures'!$I:$I,'Daily BSE Equity Futures'!$A:$A,$A1266))</f>
        <v>2.3163999999999998</v>
      </c>
      <c r="G1266" s="6">
        <f t="shared" si="228"/>
        <v>1357.1281999999999</v>
      </c>
      <c r="H1266" s="15">
        <f t="shared" si="229"/>
        <v>0.99829316051350203</v>
      </c>
      <c r="I1266" s="15">
        <f t="shared" si="230"/>
        <v>1.7068394864980332E-3</v>
      </c>
      <c r="J1266" s="20">
        <f t="shared" si="231"/>
        <v>-0.11011308782485962</v>
      </c>
      <c r="K1266" s="15">
        <f t="shared" si="232"/>
        <v>4.4426691729323302</v>
      </c>
      <c r="L1266" s="15">
        <f t="shared" si="233"/>
        <v>-0.10884071917705906</v>
      </c>
      <c r="M1266" s="15">
        <f t="shared" si="237"/>
        <v>0.15568210966276763</v>
      </c>
      <c r="N1266" s="15">
        <f t="shared" si="238"/>
        <v>0.35811444652908064</v>
      </c>
      <c r="O1266" s="15">
        <f t="shared" si="239"/>
        <v>0.15597620293855963</v>
      </c>
      <c r="P1266" s="18">
        <f>IF(SUMIFS('Daily NSE Equity Futures'!$J:$J,'Daily NSE Equity Futures'!$A:$A,$A1266)=0,"",SUMIFS('Daily NSE Equity Futures'!$J:$J,'Daily NSE Equity Futures'!$A:$A,$A1266))</f>
        <v>1872777</v>
      </c>
      <c r="Q1266" s="7">
        <f>IF(SUMIFS('Daily BSE Equity Futures'!$J:$J,'Daily BSE Equity Futures'!$A:$A,$A1266)=0,"",SUMIFS('Daily BSE Equity Futures'!$J:$J,'Daily BSE Equity Futures'!$A:$A,$A1266))</f>
        <v>1669</v>
      </c>
      <c r="R1266" s="7">
        <f t="shared" si="234"/>
        <v>1874446</v>
      </c>
      <c r="S1266" s="19">
        <f t="shared" si="235"/>
        <v>0.99910960358420564</v>
      </c>
      <c r="T1266" s="19">
        <f t="shared" si="236"/>
        <v>8.9039641579431999E-4</v>
      </c>
    </row>
    <row r="1267" spans="1:20" x14ac:dyDescent="0.2">
      <c r="A1267" s="9">
        <v>45786</v>
      </c>
      <c r="B1267" s="4" t="s">
        <v>222</v>
      </c>
      <c r="C1267" s="8">
        <v>45778</v>
      </c>
      <c r="D1267" s="4" t="s">
        <v>193</v>
      </c>
      <c r="E1267" s="14">
        <f>IF(SUMIFS('Daily NSE Equity Futures'!$I:$I,'Daily NSE Equity Futures'!$A:$A,$A1267)=0,"",SUMIFS('Daily NSE Equity Futures'!$I:$I,'Daily NSE Equity Futures'!$A:$A,$A1267))</f>
        <v>1348.5830000000001</v>
      </c>
      <c r="F1267" s="6">
        <f>IF(SUMIFS('Daily BSE Equity Futures'!$I:$I,'Daily BSE Equity Futures'!$A:$A,$A1267)=0,"",SUMIFS('Daily BSE Equity Futures'!$I:$I,'Daily BSE Equity Futures'!$A:$A,$A1267))</f>
        <v>4.0266999999999999</v>
      </c>
      <c r="G1267" s="6">
        <f t="shared" si="228"/>
        <v>1352.6097</v>
      </c>
      <c r="H1267" s="15">
        <f t="shared" si="229"/>
        <v>0.99702301410377292</v>
      </c>
      <c r="I1267" s="15">
        <f t="shared" si="230"/>
        <v>2.976985896227123E-3</v>
      </c>
      <c r="J1267" s="20">
        <f t="shared" si="231"/>
        <v>-0.26750611039374994</v>
      </c>
      <c r="K1267" s="15">
        <f t="shared" si="232"/>
        <v>3.1072011423908608</v>
      </c>
      <c r="L1267" s="15">
        <f t="shared" si="233"/>
        <v>-0.26570999379120608</v>
      </c>
      <c r="M1267" s="15">
        <f t="shared" si="237"/>
        <v>-4.5975389349279805E-3</v>
      </c>
      <c r="N1267" s="15">
        <f t="shared" si="238"/>
        <v>0.73834398204109841</v>
      </c>
      <c r="O1267" s="15">
        <f t="shared" si="239"/>
        <v>-3.3294570107672561E-3</v>
      </c>
      <c r="P1267" s="18">
        <f>IF(SUMIFS('Daily NSE Equity Futures'!$J:$J,'Daily NSE Equity Futures'!$A:$A,$A1267)=0,"",SUMIFS('Daily NSE Equity Futures'!$J:$J,'Daily NSE Equity Futures'!$A:$A,$A1267))</f>
        <v>1774757</v>
      </c>
      <c r="Q1267" s="7">
        <f>IF(SUMIFS('Daily BSE Equity Futures'!$J:$J,'Daily BSE Equity Futures'!$A:$A,$A1267)=0,"",SUMIFS('Daily BSE Equity Futures'!$J:$J,'Daily BSE Equity Futures'!$A:$A,$A1267))</f>
        <v>2786</v>
      </c>
      <c r="R1267" s="7">
        <f t="shared" si="234"/>
        <v>1777543</v>
      </c>
      <c r="S1267" s="19">
        <f t="shared" si="235"/>
        <v>0.99843266801421959</v>
      </c>
      <c r="T1267" s="19">
        <f t="shared" si="236"/>
        <v>1.5673319857803722E-3</v>
      </c>
    </row>
    <row r="1268" spans="1:20" x14ac:dyDescent="0.2">
      <c r="A1268" s="9">
        <v>45789</v>
      </c>
      <c r="B1268" s="4" t="s">
        <v>225</v>
      </c>
      <c r="C1268" s="8">
        <v>45778</v>
      </c>
      <c r="D1268" s="4" t="s">
        <v>193</v>
      </c>
      <c r="E1268" s="14">
        <f>IF(SUMIFS('Daily NSE Equity Futures'!$I:$I,'Daily NSE Equity Futures'!$A:$A,$A1268)=0,"",SUMIFS('Daily NSE Equity Futures'!$I:$I,'Daily NSE Equity Futures'!$A:$A,$A1268))</f>
        <v>1721.2016000000001</v>
      </c>
      <c r="F1268" s="6">
        <f>IF(SUMIFS('Daily BSE Equity Futures'!$I:$I,'Daily BSE Equity Futures'!$A:$A,$A1268)=0,"",SUMIFS('Daily BSE Equity Futures'!$I:$I,'Daily BSE Equity Futures'!$A:$A,$A1268))</f>
        <v>6.0387000000000004</v>
      </c>
      <c r="G1268" s="6">
        <f t="shared" si="228"/>
        <v>1727.2403000000002</v>
      </c>
      <c r="H1268" s="15">
        <f t="shared" si="229"/>
        <v>0.99650384489060373</v>
      </c>
      <c r="I1268" s="15">
        <f t="shared" si="230"/>
        <v>3.4961551093961852E-3</v>
      </c>
      <c r="J1268" s="20" t="str">
        <f t="shared" si="231"/>
        <v/>
      </c>
      <c r="K1268" s="15" t="str">
        <f t="shared" si="232"/>
        <v/>
      </c>
      <c r="L1268" s="15" t="str">
        <f t="shared" si="233"/>
        <v/>
      </c>
      <c r="M1268" s="15">
        <f t="shared" si="237"/>
        <v>0.27630379442718755</v>
      </c>
      <c r="N1268" s="15">
        <f t="shared" si="238"/>
        <v>0.49966473787468657</v>
      </c>
      <c r="O1268" s="15">
        <f t="shared" si="239"/>
        <v>0.27696873680559908</v>
      </c>
      <c r="P1268" s="18">
        <f>IF(SUMIFS('Daily NSE Equity Futures'!$J:$J,'Daily NSE Equity Futures'!$A:$A,$A1268)=0,"",SUMIFS('Daily NSE Equity Futures'!$J:$J,'Daily NSE Equity Futures'!$A:$A,$A1268))</f>
        <v>2206919</v>
      </c>
      <c r="Q1268" s="7">
        <f>IF(SUMIFS('Daily BSE Equity Futures'!$J:$J,'Daily BSE Equity Futures'!$A:$A,$A1268)=0,"",SUMIFS('Daily BSE Equity Futures'!$J:$J,'Daily BSE Equity Futures'!$A:$A,$A1268))</f>
        <v>3851</v>
      </c>
      <c r="R1268" s="7">
        <f t="shared" si="234"/>
        <v>2210770</v>
      </c>
      <c r="S1268" s="19">
        <f t="shared" si="235"/>
        <v>0.99825807297909774</v>
      </c>
      <c r="T1268" s="19">
        <f t="shared" si="236"/>
        <v>1.7419270209022195E-3</v>
      </c>
    </row>
    <row r="1269" spans="1:20" x14ac:dyDescent="0.2">
      <c r="A1269" s="9">
        <v>45790</v>
      </c>
      <c r="B1269" s="4" t="s">
        <v>223</v>
      </c>
      <c r="C1269" s="8">
        <v>45778</v>
      </c>
      <c r="D1269" s="4" t="s">
        <v>193</v>
      </c>
      <c r="E1269" s="14">
        <f>IF(SUMIFS('Daily NSE Equity Futures'!$I:$I,'Daily NSE Equity Futures'!$A:$A,$A1269)=0,"",SUMIFS('Daily NSE Equity Futures'!$I:$I,'Daily NSE Equity Futures'!$A:$A,$A1269))</f>
        <v>1449.8829000000001</v>
      </c>
      <c r="F1269" s="6">
        <f>IF(SUMIFS('Daily BSE Equity Futures'!$I:$I,'Daily BSE Equity Futures'!$A:$A,$A1269)=0,"",SUMIFS('Daily BSE Equity Futures'!$I:$I,'Daily BSE Equity Futures'!$A:$A,$A1269))</f>
        <v>7.1882999999999999</v>
      </c>
      <c r="G1269" s="6">
        <f t="shared" si="228"/>
        <v>1457.0712000000001</v>
      </c>
      <c r="H1269" s="15">
        <f t="shared" si="229"/>
        <v>0.99506661033448462</v>
      </c>
      <c r="I1269" s="15">
        <f t="shared" si="230"/>
        <v>4.9333896655153154E-3</v>
      </c>
      <c r="J1269" s="20">
        <f t="shared" si="231"/>
        <v>-9.3681631899882323E-2</v>
      </c>
      <c r="K1269" s="15">
        <f t="shared" si="232"/>
        <v>7.1889952153110048</v>
      </c>
      <c r="L1269" s="15">
        <f t="shared" si="233"/>
        <v>-8.9687740667271809E-2</v>
      </c>
      <c r="M1269" s="15">
        <f t="shared" si="237"/>
        <v>-0.15763330687119981</v>
      </c>
      <c r="N1269" s="15">
        <f t="shared" si="238"/>
        <v>0.19037209995528825</v>
      </c>
      <c r="O1269" s="15">
        <f t="shared" si="239"/>
        <v>-0.15641662599002581</v>
      </c>
      <c r="P1269" s="18">
        <f>IF(SUMIFS('Daily NSE Equity Futures'!$J:$J,'Daily NSE Equity Futures'!$A:$A,$A1269)=0,"",SUMIFS('Daily NSE Equity Futures'!$J:$J,'Daily NSE Equity Futures'!$A:$A,$A1269))</f>
        <v>1802503</v>
      </c>
      <c r="Q1269" s="7">
        <f>IF(SUMIFS('Daily BSE Equity Futures'!$J:$J,'Daily BSE Equity Futures'!$A:$A,$A1269)=0,"",SUMIFS('Daily BSE Equity Futures'!$J:$J,'Daily BSE Equity Futures'!$A:$A,$A1269))</f>
        <v>4538</v>
      </c>
      <c r="R1269" s="7">
        <f t="shared" si="234"/>
        <v>1807041</v>
      </c>
      <c r="S1269" s="19">
        <f t="shared" si="235"/>
        <v>0.99748871220962887</v>
      </c>
      <c r="T1269" s="19">
        <f t="shared" si="236"/>
        <v>2.5112877903711093E-3</v>
      </c>
    </row>
    <row r="1270" spans="1:20" x14ac:dyDescent="0.2">
      <c r="A1270" s="9">
        <v>45791</v>
      </c>
      <c r="B1270" s="4" t="s">
        <v>221</v>
      </c>
      <c r="C1270" s="8">
        <v>45778</v>
      </c>
      <c r="D1270" s="4" t="s">
        <v>193</v>
      </c>
      <c r="E1270" s="14">
        <f>IF(SUMIFS('Daily NSE Equity Futures'!$I:$I,'Daily NSE Equity Futures'!$A:$A,$A1270)=0,"",SUMIFS('Daily NSE Equity Futures'!$I:$I,'Daily NSE Equity Futures'!$A:$A,$A1270))</f>
        <v>1198.7998</v>
      </c>
      <c r="F1270" s="6">
        <f>IF(SUMIFS('Daily BSE Equity Futures'!$I:$I,'Daily BSE Equity Futures'!$A:$A,$A1270)=0,"",SUMIFS('Daily BSE Equity Futures'!$I:$I,'Daily BSE Equity Futures'!$A:$A,$A1270))</f>
        <v>2.9066000000000001</v>
      </c>
      <c r="G1270" s="6">
        <f t="shared" si="228"/>
        <v>1201.7064</v>
      </c>
      <c r="H1270" s="15">
        <f t="shared" si="229"/>
        <v>0.99758127276346364</v>
      </c>
      <c r="I1270" s="15">
        <f t="shared" si="230"/>
        <v>2.4187272365363121E-3</v>
      </c>
      <c r="J1270" s="20">
        <f t="shared" si="231"/>
        <v>-0.10804011052328322</v>
      </c>
      <c r="K1270" s="15">
        <f t="shared" si="232"/>
        <v>8.7308336123200529</v>
      </c>
      <c r="L1270" s="15">
        <f t="shared" si="233"/>
        <v>-0.10607614298272017</v>
      </c>
      <c r="M1270" s="15">
        <f t="shared" si="237"/>
        <v>-0.17317474397415134</v>
      </c>
      <c r="N1270" s="15">
        <f t="shared" si="238"/>
        <v>-0.59564848434261231</v>
      </c>
      <c r="O1270" s="15">
        <f t="shared" si="239"/>
        <v>-0.17525897155883674</v>
      </c>
      <c r="P1270" s="18">
        <f>IF(SUMIFS('Daily NSE Equity Futures'!$J:$J,'Daily NSE Equity Futures'!$A:$A,$A1270)=0,"",SUMIFS('Daily NSE Equity Futures'!$J:$J,'Daily NSE Equity Futures'!$A:$A,$A1270))</f>
        <v>1670290</v>
      </c>
      <c r="Q1270" s="7">
        <f>IF(SUMIFS('Daily BSE Equity Futures'!$J:$J,'Daily BSE Equity Futures'!$A:$A,$A1270)=0,"",SUMIFS('Daily BSE Equity Futures'!$J:$J,'Daily BSE Equity Futures'!$A:$A,$A1270))</f>
        <v>1936</v>
      </c>
      <c r="R1270" s="7">
        <f t="shared" si="234"/>
        <v>1672226</v>
      </c>
      <c r="S1270" s="19">
        <f t="shared" si="235"/>
        <v>0.99884226175170099</v>
      </c>
      <c r="T1270" s="19">
        <f t="shared" si="236"/>
        <v>1.157738248298974E-3</v>
      </c>
    </row>
    <row r="1271" spans="1:20" x14ac:dyDescent="0.2">
      <c r="A1271" s="9">
        <v>45792</v>
      </c>
      <c r="B1271" s="4" t="s">
        <v>224</v>
      </c>
      <c r="C1271" s="8">
        <v>45778</v>
      </c>
      <c r="D1271" s="4" t="s">
        <v>193</v>
      </c>
      <c r="E1271" s="14">
        <f>IF(SUMIFS('Daily NSE Equity Futures'!$I:$I,'Daily NSE Equity Futures'!$A:$A,$A1271)=0,"",SUMIFS('Daily NSE Equity Futures'!$I:$I,'Daily NSE Equity Futures'!$A:$A,$A1271))</f>
        <v>1640.2926</v>
      </c>
      <c r="F1271" s="6">
        <f>IF(SUMIFS('Daily BSE Equity Futures'!$I:$I,'Daily BSE Equity Futures'!$A:$A,$A1271)=0,"",SUMIFS('Daily BSE Equity Futures'!$I:$I,'Daily BSE Equity Futures'!$A:$A,$A1271))</f>
        <v>4.0491000000000001</v>
      </c>
      <c r="G1271" s="6">
        <f t="shared" si="228"/>
        <v>1644.3416999999999</v>
      </c>
      <c r="H1271" s="15">
        <f t="shared" si="229"/>
        <v>0.99753755560659929</v>
      </c>
      <c r="I1271" s="15">
        <f t="shared" si="230"/>
        <v>2.462444393400715E-3</v>
      </c>
      <c r="J1271" s="20">
        <f t="shared" si="231"/>
        <v>0.22538332154859342</v>
      </c>
      <c r="K1271" s="15">
        <f t="shared" si="232"/>
        <v>10.231900138696256</v>
      </c>
      <c r="L1271" s="15">
        <f t="shared" si="233"/>
        <v>0.22807747229931374</v>
      </c>
      <c r="M1271" s="15">
        <f t="shared" si="237"/>
        <v>0.36827900705355465</v>
      </c>
      <c r="N1271" s="15">
        <f t="shared" si="238"/>
        <v>0.39307094199408255</v>
      </c>
      <c r="O1271" s="15">
        <f t="shared" si="239"/>
        <v>0.36833897198184173</v>
      </c>
      <c r="P1271" s="18">
        <f>IF(SUMIFS('Daily NSE Equity Futures'!$J:$J,'Daily NSE Equity Futures'!$A:$A,$A1271)=0,"",SUMIFS('Daily NSE Equity Futures'!$J:$J,'Daily NSE Equity Futures'!$A:$A,$A1271))</f>
        <v>2035450</v>
      </c>
      <c r="Q1271" s="7">
        <f>IF(SUMIFS('Daily BSE Equity Futures'!$J:$J,'Daily BSE Equity Futures'!$A:$A,$A1271)=0,"",SUMIFS('Daily BSE Equity Futures'!$J:$J,'Daily BSE Equity Futures'!$A:$A,$A1271))</f>
        <v>2675</v>
      </c>
      <c r="R1271" s="7">
        <f t="shared" si="234"/>
        <v>2038125</v>
      </c>
      <c r="S1271" s="19">
        <f t="shared" si="235"/>
        <v>0.99868751916590004</v>
      </c>
      <c r="T1271" s="19">
        <f t="shared" si="236"/>
        <v>1.3124808340999694E-3</v>
      </c>
    </row>
    <row r="1272" spans="1:20" x14ac:dyDescent="0.2">
      <c r="A1272" s="9">
        <v>45793</v>
      </c>
      <c r="B1272" s="4" t="s">
        <v>222</v>
      </c>
      <c r="C1272" s="8">
        <v>45778</v>
      </c>
      <c r="D1272" s="4" t="s">
        <v>193</v>
      </c>
      <c r="E1272" s="14">
        <f>IF(SUMIFS('Daily NSE Equity Futures'!$I:$I,'Daily NSE Equity Futures'!$A:$A,$A1272)=0,"",SUMIFS('Daily NSE Equity Futures'!$I:$I,'Daily NSE Equity Futures'!$A:$A,$A1272))</f>
        <v>1148.5077000000001</v>
      </c>
      <c r="F1272" s="6">
        <f>IF(SUMIFS('Daily BSE Equity Futures'!$I:$I,'Daily BSE Equity Futures'!$A:$A,$A1272)=0,"",SUMIFS('Daily BSE Equity Futures'!$I:$I,'Daily BSE Equity Futures'!$A:$A,$A1272))</f>
        <v>2.6817000000000002</v>
      </c>
      <c r="G1272" s="6">
        <f t="shared" si="228"/>
        <v>1151.1894000000002</v>
      </c>
      <c r="H1272" s="15">
        <f t="shared" si="229"/>
        <v>0.99767049627107396</v>
      </c>
      <c r="I1272" s="15">
        <f t="shared" si="230"/>
        <v>2.3295037289259263E-3</v>
      </c>
      <c r="J1272" s="20">
        <f t="shared" si="231"/>
        <v>-0.42746969522948108</v>
      </c>
      <c r="K1272" s="15">
        <f t="shared" si="232"/>
        <v>1.1448452371430857</v>
      </c>
      <c r="L1272" s="15">
        <f t="shared" si="233"/>
        <v>-0.42649032310583246</v>
      </c>
      <c r="M1272" s="15">
        <f t="shared" si="237"/>
        <v>-0.29981535001742976</v>
      </c>
      <c r="N1272" s="15">
        <f t="shared" si="238"/>
        <v>-0.33770467511298807</v>
      </c>
      <c r="O1272" s="15">
        <f t="shared" si="239"/>
        <v>-0.29990865037358094</v>
      </c>
      <c r="P1272" s="18">
        <f>IF(SUMIFS('Daily NSE Equity Futures'!$J:$J,'Daily NSE Equity Futures'!$A:$A,$A1272)=0,"",SUMIFS('Daily NSE Equity Futures'!$J:$J,'Daily NSE Equity Futures'!$A:$A,$A1272))</f>
        <v>1634900</v>
      </c>
      <c r="Q1272" s="7">
        <f>IF(SUMIFS('Daily BSE Equity Futures'!$J:$J,'Daily BSE Equity Futures'!$A:$A,$A1272)=0,"",SUMIFS('Daily BSE Equity Futures'!$J:$J,'Daily BSE Equity Futures'!$A:$A,$A1272))</f>
        <v>1728</v>
      </c>
      <c r="R1272" s="7">
        <f t="shared" si="234"/>
        <v>1636628</v>
      </c>
      <c r="S1272" s="19">
        <f t="shared" si="235"/>
        <v>0.99894417057510931</v>
      </c>
      <c r="T1272" s="19">
        <f t="shared" si="236"/>
        <v>1.0558294248906898E-3</v>
      </c>
    </row>
    <row r="1273" spans="1:20" x14ac:dyDescent="0.2">
      <c r="A1273" s="9">
        <v>45796</v>
      </c>
      <c r="B1273" s="4" t="s">
        <v>225</v>
      </c>
      <c r="C1273" s="8">
        <v>45778</v>
      </c>
      <c r="D1273" s="4" t="s">
        <v>193</v>
      </c>
      <c r="E1273" s="14">
        <f>IF(SUMIFS('Daily NSE Equity Futures'!$I:$I,'Daily NSE Equity Futures'!$A:$A,$A1273)=0,"",SUMIFS('Daily NSE Equity Futures'!$I:$I,'Daily NSE Equity Futures'!$A:$A,$A1273))</f>
        <v>1131.94</v>
      </c>
      <c r="F1273" s="6">
        <f>IF(SUMIFS('Daily BSE Equity Futures'!$I:$I,'Daily BSE Equity Futures'!$A:$A,$A1273)=0,"",SUMIFS('Daily BSE Equity Futures'!$I:$I,'Daily BSE Equity Futures'!$A:$A,$A1273))</f>
        <v>2.1524999999999999</v>
      </c>
      <c r="G1273" s="6">
        <f t="shared" si="228"/>
        <v>1134.0925</v>
      </c>
      <c r="H1273" s="15">
        <f t="shared" si="229"/>
        <v>0.99810200667053184</v>
      </c>
      <c r="I1273" s="15">
        <f t="shared" si="230"/>
        <v>1.8979933294682753E-3</v>
      </c>
      <c r="J1273" s="20" t="str">
        <f t="shared" si="231"/>
        <v/>
      </c>
      <c r="K1273" s="15" t="str">
        <f t="shared" si="232"/>
        <v/>
      </c>
      <c r="L1273" s="15" t="str">
        <f t="shared" si="233"/>
        <v/>
      </c>
      <c r="M1273" s="15">
        <f t="shared" si="237"/>
        <v>-1.4425414823078686E-2</v>
      </c>
      <c r="N1273" s="15">
        <f t="shared" si="238"/>
        <v>-0.19733750978856701</v>
      </c>
      <c r="O1273" s="15">
        <f t="shared" si="239"/>
        <v>-1.48515092303666E-2</v>
      </c>
      <c r="P1273" s="18">
        <f>IF(SUMIFS('Daily NSE Equity Futures'!$J:$J,'Daily NSE Equity Futures'!$A:$A,$A1273)=0,"",SUMIFS('Daily NSE Equity Futures'!$J:$J,'Daily NSE Equity Futures'!$A:$A,$A1273))</f>
        <v>1607440</v>
      </c>
      <c r="Q1273" s="7">
        <f>IF(SUMIFS('Daily BSE Equity Futures'!$J:$J,'Daily BSE Equity Futures'!$A:$A,$A1273)=0,"",SUMIFS('Daily BSE Equity Futures'!$J:$J,'Daily BSE Equity Futures'!$A:$A,$A1273))</f>
        <v>1405</v>
      </c>
      <c r="R1273" s="7">
        <f t="shared" si="234"/>
        <v>1608845</v>
      </c>
      <c r="S1273" s="19">
        <f t="shared" si="235"/>
        <v>0.99912670269665504</v>
      </c>
      <c r="T1273" s="19">
        <f t="shared" si="236"/>
        <v>8.7329730334494626E-4</v>
      </c>
    </row>
    <row r="1274" spans="1:20" x14ac:dyDescent="0.2">
      <c r="A1274" s="9">
        <v>45797</v>
      </c>
      <c r="B1274" s="4" t="s">
        <v>223</v>
      </c>
      <c r="C1274" s="8">
        <v>45778</v>
      </c>
      <c r="D1274" s="4" t="s">
        <v>193</v>
      </c>
      <c r="E1274" s="14">
        <f>IF(SUMIFS('Daily NSE Equity Futures'!$I:$I,'Daily NSE Equity Futures'!$A:$A,$A1274)=0,"",SUMIFS('Daily NSE Equity Futures'!$I:$I,'Daily NSE Equity Futures'!$A:$A,$A1274))</f>
        <v>1388.2702999999999</v>
      </c>
      <c r="F1274" s="6">
        <f>IF(SUMIFS('Daily BSE Equity Futures'!$I:$I,'Daily BSE Equity Futures'!$A:$A,$A1274)=0,"",SUMIFS('Daily BSE Equity Futures'!$I:$I,'Daily BSE Equity Futures'!$A:$A,$A1274))</f>
        <v>5.1951999999999998</v>
      </c>
      <c r="G1274" s="6">
        <f t="shared" si="228"/>
        <v>1393.4654999999998</v>
      </c>
      <c r="H1274" s="15">
        <f t="shared" si="229"/>
        <v>0.99627174120923701</v>
      </c>
      <c r="I1274" s="15">
        <f t="shared" si="230"/>
        <v>3.7282587907630296E-3</v>
      </c>
      <c r="J1274" s="20" t="str">
        <f t="shared" si="231"/>
        <v/>
      </c>
      <c r="K1274" s="15" t="str">
        <f t="shared" si="232"/>
        <v/>
      </c>
      <c r="L1274" s="15" t="str">
        <f t="shared" si="233"/>
        <v/>
      </c>
      <c r="M1274" s="15">
        <f t="shared" si="237"/>
        <v>0.22645219711292097</v>
      </c>
      <c r="N1274" s="15">
        <f t="shared" si="238"/>
        <v>1.4135656213704997</v>
      </c>
      <c r="O1274" s="15">
        <f t="shared" si="239"/>
        <v>0.22870533047348407</v>
      </c>
      <c r="P1274" s="18">
        <f>IF(SUMIFS('Daily NSE Equity Futures'!$J:$J,'Daily NSE Equity Futures'!$A:$A,$A1274)=0,"",SUMIFS('Daily NSE Equity Futures'!$J:$J,'Daily NSE Equity Futures'!$A:$A,$A1274))</f>
        <v>1821272</v>
      </c>
      <c r="Q1274" s="7">
        <f>IF(SUMIFS('Daily BSE Equity Futures'!$J:$J,'Daily BSE Equity Futures'!$A:$A,$A1274)=0,"",SUMIFS('Daily BSE Equity Futures'!$J:$J,'Daily BSE Equity Futures'!$A:$A,$A1274))</f>
        <v>3319</v>
      </c>
      <c r="R1274" s="7">
        <f t="shared" si="234"/>
        <v>1824591</v>
      </c>
      <c r="S1274" s="19">
        <f t="shared" si="235"/>
        <v>0.99818096219919972</v>
      </c>
      <c r="T1274" s="19">
        <f t="shared" si="236"/>
        <v>1.8190378008002888E-3</v>
      </c>
    </row>
    <row r="1275" spans="1:20" x14ac:dyDescent="0.2">
      <c r="A1275" s="9">
        <v>45798</v>
      </c>
      <c r="B1275" s="4" t="s">
        <v>221</v>
      </c>
      <c r="C1275" s="8">
        <v>45778</v>
      </c>
      <c r="D1275" s="4" t="s">
        <v>193</v>
      </c>
      <c r="E1275" s="14">
        <f>IF(SUMIFS('Daily NSE Equity Futures'!$I:$I,'Daily NSE Equity Futures'!$A:$A,$A1275)=0,"",SUMIFS('Daily NSE Equity Futures'!$I:$I,'Daily NSE Equity Futures'!$A:$A,$A1275))</f>
        <v>1328.8325</v>
      </c>
      <c r="F1275" s="6">
        <f>IF(SUMIFS('Daily BSE Equity Futures'!$I:$I,'Daily BSE Equity Futures'!$A:$A,$A1275)=0,"",SUMIFS('Daily BSE Equity Futures'!$I:$I,'Daily BSE Equity Futures'!$A:$A,$A1275))</f>
        <v>2.9258999999999999</v>
      </c>
      <c r="G1275" s="6">
        <f t="shared" si="228"/>
        <v>1331.7583999999999</v>
      </c>
      <c r="H1275" s="15">
        <f t="shared" si="229"/>
        <v>0.99780297987983413</v>
      </c>
      <c r="I1275" s="15">
        <f t="shared" si="230"/>
        <v>2.1970201201659402E-3</v>
      </c>
      <c r="J1275" s="20">
        <f t="shared" si="231"/>
        <v>-0.13176156487133628</v>
      </c>
      <c r="K1275" s="15">
        <f t="shared" si="232"/>
        <v>4.6062464073577312</v>
      </c>
      <c r="L1275" s="15">
        <f t="shared" si="233"/>
        <v>-0.13014644864565295</v>
      </c>
      <c r="M1275" s="15">
        <f t="shared" si="237"/>
        <v>-4.281428479742011E-2</v>
      </c>
      <c r="N1275" s="15">
        <f t="shared" si="238"/>
        <v>-0.43680705266399755</v>
      </c>
      <c r="O1275" s="15">
        <f t="shared" si="239"/>
        <v>-4.4283191797715782E-2</v>
      </c>
      <c r="P1275" s="18">
        <f>IF(SUMIFS('Daily NSE Equity Futures'!$J:$J,'Daily NSE Equity Futures'!$A:$A,$A1275)=0,"",SUMIFS('Daily NSE Equity Futures'!$J:$J,'Daily NSE Equity Futures'!$A:$A,$A1275))</f>
        <v>1696218</v>
      </c>
      <c r="Q1275" s="7">
        <f>IF(SUMIFS('Daily BSE Equity Futures'!$J:$J,'Daily BSE Equity Futures'!$A:$A,$A1275)=0,"",SUMIFS('Daily BSE Equity Futures'!$J:$J,'Daily BSE Equity Futures'!$A:$A,$A1275))</f>
        <v>1955</v>
      </c>
      <c r="R1275" s="7">
        <f t="shared" si="234"/>
        <v>1698173</v>
      </c>
      <c r="S1275" s="19">
        <f t="shared" si="235"/>
        <v>0.9988487627585646</v>
      </c>
      <c r="T1275" s="19">
        <f t="shared" si="236"/>
        <v>1.1512372414353544E-3</v>
      </c>
    </row>
    <row r="1276" spans="1:20" x14ac:dyDescent="0.2">
      <c r="A1276" s="9">
        <v>45799</v>
      </c>
      <c r="B1276" s="4" t="s">
        <v>224</v>
      </c>
      <c r="C1276" s="8">
        <v>45778</v>
      </c>
      <c r="D1276" s="4" t="s">
        <v>193</v>
      </c>
      <c r="E1276" s="14">
        <f>IF(SUMIFS('Daily NSE Equity Futures'!$I:$I,'Daily NSE Equity Futures'!$A:$A,$A1276)=0,"",SUMIFS('Daily NSE Equity Futures'!$I:$I,'Daily NSE Equity Futures'!$A:$A,$A1276))</f>
        <v>1421.6814999999999</v>
      </c>
      <c r="F1276" s="6">
        <f>IF(SUMIFS('Daily BSE Equity Futures'!$I:$I,'Daily BSE Equity Futures'!$A:$A,$A1276)=0,"",SUMIFS('Daily BSE Equity Futures'!$I:$I,'Daily BSE Equity Futures'!$A:$A,$A1276))</f>
        <v>3.4575</v>
      </c>
      <c r="G1276" s="6">
        <f t="shared" si="228"/>
        <v>1425.1389999999999</v>
      </c>
      <c r="H1276" s="15">
        <f t="shared" si="229"/>
        <v>0.99757392085964947</v>
      </c>
      <c r="I1276" s="15">
        <f t="shared" si="230"/>
        <v>2.4260791403505205E-3</v>
      </c>
      <c r="J1276" s="20">
        <f t="shared" si="231"/>
        <v>-0.15624576767203535</v>
      </c>
      <c r="K1276" s="15">
        <f t="shared" si="232"/>
        <v>5.4421464505310233</v>
      </c>
      <c r="L1276" s="15">
        <f t="shared" si="233"/>
        <v>-0.1544631005418563</v>
      </c>
      <c r="M1276" s="15">
        <f t="shared" si="237"/>
        <v>6.9872613741762013E-2</v>
      </c>
      <c r="N1276" s="15">
        <f t="shared" si="238"/>
        <v>0.1816876858402543</v>
      </c>
      <c r="O1276" s="15">
        <f t="shared" si="239"/>
        <v>7.0118273704900203E-2</v>
      </c>
      <c r="P1276" s="18">
        <f>IF(SUMIFS('Daily NSE Equity Futures'!$J:$J,'Daily NSE Equity Futures'!$A:$A,$A1276)=0,"",SUMIFS('Daily NSE Equity Futures'!$J:$J,'Daily NSE Equity Futures'!$A:$A,$A1276))</f>
        <v>1896258</v>
      </c>
      <c r="Q1276" s="7">
        <f>IF(SUMIFS('Daily BSE Equity Futures'!$J:$J,'Daily BSE Equity Futures'!$A:$A,$A1276)=0,"",SUMIFS('Daily BSE Equity Futures'!$J:$J,'Daily BSE Equity Futures'!$A:$A,$A1276))</f>
        <v>2251</v>
      </c>
      <c r="R1276" s="7">
        <f t="shared" si="234"/>
        <v>1898509</v>
      </c>
      <c r="S1276" s="19">
        <f t="shared" si="235"/>
        <v>0.99881433272109854</v>
      </c>
      <c r="T1276" s="19">
        <f t="shared" si="236"/>
        <v>1.1856672789014959E-3</v>
      </c>
    </row>
    <row r="1277" spans="1:20" x14ac:dyDescent="0.2">
      <c r="A1277" s="9">
        <v>45800</v>
      </c>
      <c r="B1277" s="4" t="s">
        <v>222</v>
      </c>
      <c r="C1277" s="8">
        <v>45778</v>
      </c>
      <c r="D1277" s="4" t="s">
        <v>193</v>
      </c>
      <c r="E1277" s="14">
        <f>IF(SUMIFS('Daily NSE Equity Futures'!$I:$I,'Daily NSE Equity Futures'!$A:$A,$A1277)=0,"",SUMIFS('Daily NSE Equity Futures'!$I:$I,'Daily NSE Equity Futures'!$A:$A,$A1277))</f>
        <v>1562.0885000000001</v>
      </c>
      <c r="F1277" s="6">
        <f>IF(SUMIFS('Daily BSE Equity Futures'!$I:$I,'Daily BSE Equity Futures'!$A:$A,$A1277)=0,"",SUMIFS('Daily BSE Equity Futures'!$I:$I,'Daily BSE Equity Futures'!$A:$A,$A1277))</f>
        <v>3.5468999999999999</v>
      </c>
      <c r="G1277" s="6">
        <f t="shared" si="228"/>
        <v>1565.6354000000001</v>
      </c>
      <c r="H1277" s="15">
        <f t="shared" si="229"/>
        <v>0.99773453001893031</v>
      </c>
      <c r="I1277" s="15">
        <f t="shared" si="230"/>
        <v>2.2654699810696665E-3</v>
      </c>
      <c r="J1277" s="20">
        <f t="shared" si="231"/>
        <v>-0.2967856823232381</v>
      </c>
      <c r="K1277" s="15">
        <f t="shared" si="232"/>
        <v>3.0647490258996104</v>
      </c>
      <c r="L1277" s="15">
        <f t="shared" si="233"/>
        <v>-0.2954657115648921</v>
      </c>
      <c r="M1277" s="15">
        <f t="shared" si="237"/>
        <v>9.8761220428063679E-2</v>
      </c>
      <c r="N1277" s="15">
        <f t="shared" si="238"/>
        <v>2.5856832971800303E-2</v>
      </c>
      <c r="O1277" s="15">
        <f t="shared" si="239"/>
        <v>9.8584348614416006E-2</v>
      </c>
      <c r="P1277" s="18">
        <f>IF(SUMIFS('Daily NSE Equity Futures'!$J:$J,'Daily NSE Equity Futures'!$A:$A,$A1277)=0,"",SUMIFS('Daily NSE Equity Futures'!$J:$J,'Daily NSE Equity Futures'!$A:$A,$A1277))</f>
        <v>2060256</v>
      </c>
      <c r="Q1277" s="7">
        <f>IF(SUMIFS('Daily BSE Equity Futures'!$J:$J,'Daily BSE Equity Futures'!$A:$A,$A1277)=0,"",SUMIFS('Daily BSE Equity Futures'!$J:$J,'Daily BSE Equity Futures'!$A:$A,$A1277))</f>
        <v>2262</v>
      </c>
      <c r="R1277" s="7">
        <f t="shared" si="234"/>
        <v>2062518</v>
      </c>
      <c r="S1277" s="19">
        <f t="shared" si="235"/>
        <v>0.99890328229862724</v>
      </c>
      <c r="T1277" s="19">
        <f t="shared" si="236"/>
        <v>1.0967177013727881E-3</v>
      </c>
    </row>
    <row r="1278" spans="1:20" x14ac:dyDescent="0.2">
      <c r="A1278" s="9">
        <v>45803</v>
      </c>
      <c r="B1278" s="4" t="s">
        <v>225</v>
      </c>
      <c r="C1278" s="8">
        <v>45778</v>
      </c>
      <c r="D1278" s="4" t="s">
        <v>193</v>
      </c>
      <c r="E1278" s="14">
        <f>IF(SUMIFS('Daily NSE Equity Futures'!$I:$I,'Daily NSE Equity Futures'!$A:$A,$A1278)=0,"",SUMIFS('Daily NSE Equity Futures'!$I:$I,'Daily NSE Equity Futures'!$A:$A,$A1278))</f>
        <v>3205.6709999999998</v>
      </c>
      <c r="F1278" s="6">
        <f>IF(SUMIFS('Daily BSE Equity Futures'!$I:$I,'Daily BSE Equity Futures'!$A:$A,$A1278)=0,"",SUMIFS('Daily BSE Equity Futures'!$I:$I,'Daily BSE Equity Futures'!$A:$A,$A1278))</f>
        <v>3.4895</v>
      </c>
      <c r="G1278" s="6">
        <f t="shared" si="228"/>
        <v>3209.1605</v>
      </c>
      <c r="H1278" s="15">
        <f t="shared" si="229"/>
        <v>0.99891264397651658</v>
      </c>
      <c r="I1278" s="15">
        <f t="shared" si="230"/>
        <v>1.0873560234834002E-3</v>
      </c>
      <c r="J1278" s="20" t="str">
        <f t="shared" si="231"/>
        <v/>
      </c>
      <c r="K1278" s="15" t="str">
        <f t="shared" si="232"/>
        <v/>
      </c>
      <c r="L1278" s="15" t="str">
        <f t="shared" si="233"/>
        <v/>
      </c>
      <c r="M1278" s="15">
        <f t="shared" si="237"/>
        <v>1.0521698994647228</v>
      </c>
      <c r="N1278" s="15">
        <f t="shared" si="238"/>
        <v>-1.6183145845668045E-2</v>
      </c>
      <c r="O1278" s="15">
        <f t="shared" si="239"/>
        <v>1.0497495777113879</v>
      </c>
      <c r="P1278" s="18">
        <f>IF(SUMIFS('Daily NSE Equity Futures'!$J:$J,'Daily NSE Equity Futures'!$A:$A,$A1278)=0,"",SUMIFS('Daily NSE Equity Futures'!$J:$J,'Daily NSE Equity Futures'!$A:$A,$A1278))</f>
        <v>4673386</v>
      </c>
      <c r="Q1278" s="7">
        <f>IF(SUMIFS('Daily BSE Equity Futures'!$J:$J,'Daily BSE Equity Futures'!$A:$A,$A1278)=0,"",SUMIFS('Daily BSE Equity Futures'!$J:$J,'Daily BSE Equity Futures'!$A:$A,$A1278))</f>
        <v>2197</v>
      </c>
      <c r="R1278" s="7">
        <f t="shared" si="234"/>
        <v>4675583</v>
      </c>
      <c r="S1278" s="19">
        <f t="shared" si="235"/>
        <v>0.99953011207372433</v>
      </c>
      <c r="T1278" s="19">
        <f t="shared" si="236"/>
        <v>4.6988792627571791E-4</v>
      </c>
    </row>
    <row r="1279" spans="1:20" x14ac:dyDescent="0.2">
      <c r="A1279" s="9">
        <v>45804</v>
      </c>
      <c r="B1279" s="4" t="s">
        <v>223</v>
      </c>
      <c r="C1279" s="8">
        <v>45778</v>
      </c>
      <c r="D1279" s="4" t="s">
        <v>193</v>
      </c>
      <c r="E1279" s="14">
        <f>IF(SUMIFS('Daily NSE Equity Futures'!$I:$I,'Daily NSE Equity Futures'!$A:$A,$A1279)=0,"",SUMIFS('Daily NSE Equity Futures'!$I:$I,'Daily NSE Equity Futures'!$A:$A,$A1279))</f>
        <v>3653.0992999999999</v>
      </c>
      <c r="F1279" s="6">
        <f>IF(SUMIFS('Daily BSE Equity Futures'!$I:$I,'Daily BSE Equity Futures'!$A:$A,$A1279)=0,"",SUMIFS('Daily BSE Equity Futures'!$I:$I,'Daily BSE Equity Futures'!$A:$A,$A1279))</f>
        <v>12.539899999999999</v>
      </c>
      <c r="G1279" s="6">
        <f t="shared" si="228"/>
        <v>3665.6392000000001</v>
      </c>
      <c r="H1279" s="15">
        <f t="shared" si="229"/>
        <v>0.99657906866556856</v>
      </c>
      <c r="I1279" s="15">
        <f t="shared" si="230"/>
        <v>3.4209313344313861E-3</v>
      </c>
      <c r="J1279" s="20">
        <f t="shared" si="231"/>
        <v>2.0090831132225428E-2</v>
      </c>
      <c r="K1279" s="15">
        <f t="shared" si="232"/>
        <v>13.914248334919124</v>
      </c>
      <c r="L1279" s="15">
        <f t="shared" si="233"/>
        <v>2.3352203095495794E-2</v>
      </c>
      <c r="M1279" s="15">
        <f t="shared" si="237"/>
        <v>0.13957399246522795</v>
      </c>
      <c r="N1279" s="15">
        <f t="shared" si="238"/>
        <v>2.5936093996274536</v>
      </c>
      <c r="O1279" s="15">
        <f t="shared" si="239"/>
        <v>0.14224240264704746</v>
      </c>
      <c r="P1279" s="18">
        <f>IF(SUMIFS('Daily NSE Equity Futures'!$J:$J,'Daily NSE Equity Futures'!$A:$A,$A1279)=0,"",SUMIFS('Daily NSE Equity Futures'!$J:$J,'Daily NSE Equity Futures'!$A:$A,$A1279))</f>
        <v>5026712</v>
      </c>
      <c r="Q1279" s="7">
        <f>IF(SUMIFS('Daily BSE Equity Futures'!$J:$J,'Daily BSE Equity Futures'!$A:$A,$A1279)=0,"",SUMIFS('Daily BSE Equity Futures'!$J:$J,'Daily BSE Equity Futures'!$A:$A,$A1279))</f>
        <v>7740</v>
      </c>
      <c r="R1279" s="7">
        <f t="shared" si="234"/>
        <v>5034452</v>
      </c>
      <c r="S1279" s="19">
        <f t="shared" si="235"/>
        <v>0.99846259334680321</v>
      </c>
      <c r="T1279" s="19">
        <f t="shared" si="236"/>
        <v>1.5374066531968127E-3</v>
      </c>
    </row>
    <row r="1280" spans="1:20" x14ac:dyDescent="0.2">
      <c r="A1280" s="9">
        <v>45805</v>
      </c>
      <c r="B1280" s="4" t="s">
        <v>221</v>
      </c>
      <c r="C1280" s="8">
        <v>45778</v>
      </c>
      <c r="D1280" s="4" t="s">
        <v>193</v>
      </c>
      <c r="E1280" s="14">
        <f>IF(SUMIFS('Daily NSE Equity Futures'!$I:$I,'Daily NSE Equity Futures'!$A:$A,$A1280)=0,"",SUMIFS('Daily NSE Equity Futures'!$I:$I,'Daily NSE Equity Futures'!$A:$A,$A1280))</f>
        <v>3097.7514999999999</v>
      </c>
      <c r="F1280" s="6">
        <f>IF(SUMIFS('Daily BSE Equity Futures'!$I:$I,'Daily BSE Equity Futures'!$A:$A,$A1280)=0,"",SUMIFS('Daily BSE Equity Futures'!$I:$I,'Daily BSE Equity Futures'!$A:$A,$A1280))</f>
        <v>2.0516999999999999</v>
      </c>
      <c r="G1280" s="6">
        <f t="shared" si="228"/>
        <v>3099.8031999999998</v>
      </c>
      <c r="H1280" s="15">
        <f t="shared" si="229"/>
        <v>0.99933811927157179</v>
      </c>
      <c r="I1280" s="15">
        <f t="shared" si="230"/>
        <v>6.6188072842817889E-4</v>
      </c>
      <c r="J1280" s="20">
        <f t="shared" si="231"/>
        <v>-8.6963477643091092E-2</v>
      </c>
      <c r="K1280" s="15">
        <f t="shared" si="232"/>
        <v>5.8230794812105078</v>
      </c>
      <c r="L1280" s="15">
        <f t="shared" si="233"/>
        <v>-8.6439723886874043E-2</v>
      </c>
      <c r="M1280" s="15">
        <f t="shared" si="237"/>
        <v>-0.15202099762248455</v>
      </c>
      <c r="N1280" s="15">
        <f t="shared" si="238"/>
        <v>-0.83638625507380437</v>
      </c>
      <c r="O1280" s="15">
        <f t="shared" si="239"/>
        <v>-0.15436216417589599</v>
      </c>
      <c r="P1280" s="18">
        <f>IF(SUMIFS('Daily NSE Equity Futures'!$J:$J,'Daily NSE Equity Futures'!$A:$A,$A1280)=0,"",SUMIFS('Daily NSE Equity Futures'!$J:$J,'Daily NSE Equity Futures'!$A:$A,$A1280))</f>
        <v>4458146</v>
      </c>
      <c r="Q1280" s="7">
        <f>IF(SUMIFS('Daily BSE Equity Futures'!$J:$J,'Daily BSE Equity Futures'!$A:$A,$A1280)=0,"",SUMIFS('Daily BSE Equity Futures'!$J:$J,'Daily BSE Equity Futures'!$A:$A,$A1280))</f>
        <v>1290</v>
      </c>
      <c r="R1280" s="7">
        <f t="shared" si="234"/>
        <v>4459436</v>
      </c>
      <c r="S1280" s="19">
        <f t="shared" si="235"/>
        <v>0.99971072575096942</v>
      </c>
      <c r="T1280" s="19">
        <f t="shared" si="236"/>
        <v>2.8927424903059487E-4</v>
      </c>
    </row>
    <row r="1281" spans="1:20" x14ac:dyDescent="0.2">
      <c r="A1281" s="9">
        <v>45806</v>
      </c>
      <c r="B1281" s="4" t="s">
        <v>224</v>
      </c>
      <c r="C1281" s="8">
        <v>45778</v>
      </c>
      <c r="D1281" s="4" t="s">
        <v>193</v>
      </c>
      <c r="E1281" s="14">
        <f>IF(SUMIFS('Daily NSE Equity Futures'!$I:$I,'Daily NSE Equity Futures'!$A:$A,$A1281)=0,"",SUMIFS('Daily NSE Equity Futures'!$I:$I,'Daily NSE Equity Futures'!$A:$A,$A1281))</f>
        <v>2842.7067999999999</v>
      </c>
      <c r="F1281" s="6">
        <f>IF(SUMIFS('Daily BSE Equity Futures'!$I:$I,'Daily BSE Equity Futures'!$A:$A,$A1281)=0,"",SUMIFS('Daily BSE Equity Futures'!$I:$I,'Daily BSE Equity Futures'!$A:$A,$A1281))</f>
        <v>3.0529999999999999</v>
      </c>
      <c r="G1281" s="6">
        <f t="shared" si="228"/>
        <v>2845.7597999999998</v>
      </c>
      <c r="H1281" s="15">
        <f t="shared" si="229"/>
        <v>0.99892717579326273</v>
      </c>
      <c r="I1281" s="15">
        <f t="shared" si="230"/>
        <v>1.072824206737336E-3</v>
      </c>
      <c r="J1281" s="20">
        <f t="shared" si="231"/>
        <v>-0.14512039092146312</v>
      </c>
      <c r="K1281" s="15">
        <f t="shared" si="232"/>
        <v>3.1867800329127816</v>
      </c>
      <c r="L1281" s="15">
        <f t="shared" si="233"/>
        <v>-0.14438989745251718</v>
      </c>
      <c r="M1281" s="15">
        <f t="shared" si="237"/>
        <v>-8.2332201275667205E-2</v>
      </c>
      <c r="N1281" s="15">
        <f t="shared" si="238"/>
        <v>0.48803431300872457</v>
      </c>
      <c r="O1281" s="15">
        <f t="shared" si="239"/>
        <v>-8.1954686671721677E-2</v>
      </c>
      <c r="P1281" s="18">
        <f>IF(SUMIFS('Daily NSE Equity Futures'!$J:$J,'Daily NSE Equity Futures'!$A:$A,$A1281)=0,"",SUMIFS('Daily NSE Equity Futures'!$J:$J,'Daily NSE Equity Futures'!$A:$A,$A1281))</f>
        <v>3869004</v>
      </c>
      <c r="Q1281" s="7">
        <f>IF(SUMIFS('Daily BSE Equity Futures'!$J:$J,'Daily BSE Equity Futures'!$A:$A,$A1281)=0,"",SUMIFS('Daily BSE Equity Futures'!$J:$J,'Daily BSE Equity Futures'!$A:$A,$A1281))</f>
        <v>1912</v>
      </c>
      <c r="R1281" s="7">
        <f t="shared" si="234"/>
        <v>3870916</v>
      </c>
      <c r="S1281" s="19">
        <f t="shared" si="235"/>
        <v>0.99950606006433618</v>
      </c>
      <c r="T1281" s="19">
        <f t="shared" si="236"/>
        <v>4.9393993566380673E-4</v>
      </c>
    </row>
    <row r="1282" spans="1:20" x14ac:dyDescent="0.2">
      <c r="A1282" s="9">
        <v>45807</v>
      </c>
      <c r="B1282" s="4" t="s">
        <v>222</v>
      </c>
      <c r="C1282" s="8">
        <v>45778</v>
      </c>
      <c r="D1282" s="4" t="s">
        <v>193</v>
      </c>
      <c r="E1282" s="14">
        <f>IF(SUMIFS('Daily NSE Equity Futures'!$I:$I,'Daily NSE Equity Futures'!$A:$A,$A1282)=0,"",SUMIFS('Daily NSE Equity Futures'!$I:$I,'Daily NSE Equity Futures'!$A:$A,$A1282))</f>
        <v>1151.2982999999999</v>
      </c>
      <c r="F1282" s="6">
        <f>IF(SUMIFS('Daily BSE Equity Futures'!$I:$I,'Daily BSE Equity Futures'!$A:$A,$A1282)=0,"",SUMIFS('Daily BSE Equity Futures'!$I:$I,'Daily BSE Equity Futures'!$A:$A,$A1282))</f>
        <v>2.0068000000000001</v>
      </c>
      <c r="G1282" s="6">
        <f t="shared" ref="G1282:G1345" si="240">IF(OR(E1282="",F1282=""),"",E1282+F1282)</f>
        <v>1153.3051</v>
      </c>
      <c r="H1282" s="15">
        <f t="shared" ref="H1282:H1345" si="241">IF(G1282="","",E1282/G1282)</f>
        <v>0.99825995740415951</v>
      </c>
      <c r="I1282" s="15">
        <f t="shared" ref="I1282:I1345" si="242">IF(G1282="","",F1282/G1282)</f>
        <v>1.7400425958404243E-3</v>
      </c>
      <c r="J1282" s="20">
        <f t="shared" ref="J1282:J1345" si="243">IFERROR(IF(OR(E1282="",INDEX(E:E,MATCH(DATE(YEAR($A1282)-1,MONTH($A1282),DAY($A1282)),$A:$A,0))=""),"",E1282/INDEX(E:E,MATCH(DATE(YEAR($A1282)-1,MONTH($A1282),DAY($A1282)),$A:$A,0))-1),"")</f>
        <v>-0.67969945621161276</v>
      </c>
      <c r="K1282" s="15">
        <f t="shared" ref="K1282:K1345" si="244">IFERROR(IF(OR(F1282="",INDEX(F:F,MATCH(DATE(YEAR($A1282)-1,MONTH($A1282),DAY($A1282)),$A:$A,0))=""),"",F1282/INDEX(F:F,MATCH(DATE(YEAR($A1282)-1,MONTH($A1282),DAY($A1282)),$A:$A,0))-1),"")</f>
        <v>0.56183360572807239</v>
      </c>
      <c r="L1282" s="15">
        <f t="shared" ref="L1282:L1345" si="245">IFERROR(IF(OR(G1282="",INDEX(G:G,MATCH(DATE(YEAR($A1282)-1,MONTH($A1282),DAY($A1282)),$A:$A,0))=""),"",G1282/INDEX(G:G,MATCH(DATE(YEAR($A1282)-1,MONTH($A1282),DAY($A1282)),$A:$A,0))-1),"")</f>
        <v>-0.67925580444863809</v>
      </c>
      <c r="M1282" s="15">
        <f t="shared" si="237"/>
        <v>-0.59499928026344473</v>
      </c>
      <c r="N1282" s="15">
        <f t="shared" si="238"/>
        <v>-0.34267933180478216</v>
      </c>
      <c r="O1282" s="15">
        <f t="shared" si="239"/>
        <v>-0.59472858531489547</v>
      </c>
      <c r="P1282" s="18">
        <f>IF(SUMIFS('Daily NSE Equity Futures'!$J:$J,'Daily NSE Equity Futures'!$A:$A,$A1282)=0,"",SUMIFS('Daily NSE Equity Futures'!$J:$J,'Daily NSE Equity Futures'!$A:$A,$A1282))</f>
        <v>1588040</v>
      </c>
      <c r="Q1282" s="7">
        <f>IF(SUMIFS('Daily BSE Equity Futures'!$J:$J,'Daily BSE Equity Futures'!$A:$A,$A1282)=0,"",SUMIFS('Daily BSE Equity Futures'!$J:$J,'Daily BSE Equity Futures'!$A:$A,$A1282))</f>
        <v>1277</v>
      </c>
      <c r="R1282" s="7">
        <f t="shared" ref="R1282:R1345" si="246">IF(OR(P1282="",Q1282=""),"",P1282+Q1282)</f>
        <v>1589317</v>
      </c>
      <c r="S1282" s="19">
        <f t="shared" ref="S1282:S1345" si="247">IF(R1282="","",P1282/R1282)</f>
        <v>0.99919651019903521</v>
      </c>
      <c r="T1282" s="19">
        <f t="shared" ref="T1282:T1345" si="248">IF(R1282="","",Q1282/R1282)</f>
        <v>8.0348980096481694E-4</v>
      </c>
    </row>
    <row r="1283" spans="1:20" x14ac:dyDescent="0.2">
      <c r="A1283" s="9">
        <v>45810</v>
      </c>
      <c r="B1283" s="4" t="s">
        <v>225</v>
      </c>
      <c r="C1283" s="8">
        <v>45809</v>
      </c>
      <c r="D1283" s="4" t="s">
        <v>193</v>
      </c>
      <c r="E1283" s="14">
        <f>IF(SUMIFS('Daily NSE Equity Futures'!$I:$I,'Daily NSE Equity Futures'!$A:$A,$A1283)=0,"",SUMIFS('Daily NSE Equity Futures'!$I:$I,'Daily NSE Equity Futures'!$A:$A,$A1283))</f>
        <v>1011.9398</v>
      </c>
      <c r="F1283" s="6">
        <f>IF(SUMIFS('Daily BSE Equity Futures'!$I:$I,'Daily BSE Equity Futures'!$A:$A,$A1283)=0,"",SUMIFS('Daily BSE Equity Futures'!$I:$I,'Daily BSE Equity Futures'!$A:$A,$A1283))</f>
        <v>6.9234</v>
      </c>
      <c r="G1283" s="6">
        <f t="shared" si="240"/>
        <v>1018.8632</v>
      </c>
      <c r="H1283" s="15">
        <f t="shared" si="241"/>
        <v>0.99320477960142239</v>
      </c>
      <c r="I1283" s="15">
        <f t="shared" si="242"/>
        <v>6.7952203985775523E-3</v>
      </c>
      <c r="J1283" s="20" t="str">
        <f t="shared" si="243"/>
        <v/>
      </c>
      <c r="K1283" s="15" t="str">
        <f t="shared" si="244"/>
        <v/>
      </c>
      <c r="L1283" s="15" t="str">
        <f t="shared" si="245"/>
        <v/>
      </c>
      <c r="M1283" s="15">
        <f t="shared" ref="M1283:M1346" si="249">IF(OR(E1283="",E1282=""),"",E1283/E1282-1)</f>
        <v>-0.12104465020056043</v>
      </c>
      <c r="N1283" s="15">
        <f t="shared" ref="N1283:N1346" si="250">IF(OR(F1283="",F1282=""),"",F1283/F1282-1)</f>
        <v>2.4499701016543747</v>
      </c>
      <c r="O1283" s="15">
        <f t="shared" ref="O1283:O1346" si="251">IF(OR(G1283="",G1282=""),"",G1283/G1282-1)</f>
        <v>-0.11657097501779889</v>
      </c>
      <c r="P1283" s="18">
        <f>IF(SUMIFS('Daily NSE Equity Futures'!$J:$J,'Daily NSE Equity Futures'!$A:$A,$A1283)=0,"",SUMIFS('Daily NSE Equity Futures'!$J:$J,'Daily NSE Equity Futures'!$A:$A,$A1283))</f>
        <v>1294670</v>
      </c>
      <c r="Q1283" s="7">
        <f>IF(SUMIFS('Daily BSE Equity Futures'!$J:$J,'Daily BSE Equity Futures'!$A:$A,$A1283)=0,"",SUMIFS('Daily BSE Equity Futures'!$J:$J,'Daily BSE Equity Futures'!$A:$A,$A1283))</f>
        <v>4306</v>
      </c>
      <c r="R1283" s="7">
        <f t="shared" si="246"/>
        <v>1298976</v>
      </c>
      <c r="S1283" s="19">
        <f t="shared" si="247"/>
        <v>0.99668508117163057</v>
      </c>
      <c r="T1283" s="19">
        <f t="shared" si="248"/>
        <v>3.3149188283694234E-3</v>
      </c>
    </row>
    <row r="1284" spans="1:20" x14ac:dyDescent="0.2">
      <c r="A1284" s="9">
        <v>45811</v>
      </c>
      <c r="B1284" s="4" t="s">
        <v>223</v>
      </c>
      <c r="C1284" s="8">
        <v>45809</v>
      </c>
      <c r="D1284" s="4" t="s">
        <v>193</v>
      </c>
      <c r="E1284" s="14">
        <f>IF(SUMIFS('Daily NSE Equity Futures'!$I:$I,'Daily NSE Equity Futures'!$A:$A,$A1284)=0,"",SUMIFS('Daily NSE Equity Futures'!$I:$I,'Daily NSE Equity Futures'!$A:$A,$A1284))</f>
        <v>1095.5125</v>
      </c>
      <c r="F1284" s="6">
        <f>IF(SUMIFS('Daily BSE Equity Futures'!$I:$I,'Daily BSE Equity Futures'!$A:$A,$A1284)=0,"",SUMIFS('Daily BSE Equity Futures'!$I:$I,'Daily BSE Equity Futures'!$A:$A,$A1284))</f>
        <v>15.212400000000001</v>
      </c>
      <c r="G1284" s="6">
        <f t="shared" si="240"/>
        <v>1110.7248999999999</v>
      </c>
      <c r="H1284" s="15">
        <f t="shared" si="241"/>
        <v>0.98630407943497089</v>
      </c>
      <c r="I1284" s="15">
        <f t="shared" si="242"/>
        <v>1.3695920565029199E-2</v>
      </c>
      <c r="J1284" s="20">
        <f t="shared" si="243"/>
        <v>-0.56927571599084292</v>
      </c>
      <c r="K1284" s="15">
        <f t="shared" si="244"/>
        <v>6.5619625192623161</v>
      </c>
      <c r="L1284" s="15">
        <f t="shared" si="245"/>
        <v>-0.56363977009631105</v>
      </c>
      <c r="M1284" s="15">
        <f t="shared" si="249"/>
        <v>8.2586632129697968E-2</v>
      </c>
      <c r="N1284" s="15">
        <f t="shared" si="250"/>
        <v>1.1972441286073319</v>
      </c>
      <c r="O1284" s="15">
        <f t="shared" si="251"/>
        <v>9.0160975487189932E-2</v>
      </c>
      <c r="P1284" s="18">
        <f>IF(SUMIFS('Daily NSE Equity Futures'!$J:$J,'Daily NSE Equity Futures'!$A:$A,$A1284)=0,"",SUMIFS('Daily NSE Equity Futures'!$J:$J,'Daily NSE Equity Futures'!$A:$A,$A1284))</f>
        <v>1374676</v>
      </c>
      <c r="Q1284" s="7">
        <f>IF(SUMIFS('Daily BSE Equity Futures'!$J:$J,'Daily BSE Equity Futures'!$A:$A,$A1284)=0,"",SUMIFS('Daily BSE Equity Futures'!$J:$J,'Daily BSE Equity Futures'!$A:$A,$A1284))</f>
        <v>9431</v>
      </c>
      <c r="R1284" s="7">
        <f t="shared" si="246"/>
        <v>1384107</v>
      </c>
      <c r="S1284" s="19">
        <f t="shared" si="247"/>
        <v>0.9931862204294899</v>
      </c>
      <c r="T1284" s="19">
        <f t="shared" si="248"/>
        <v>6.8137795705100835E-3</v>
      </c>
    </row>
    <row r="1285" spans="1:20" x14ac:dyDescent="0.2">
      <c r="A1285" s="9">
        <v>45812</v>
      </c>
      <c r="B1285" s="4" t="s">
        <v>221</v>
      </c>
      <c r="C1285" s="8">
        <v>45809</v>
      </c>
      <c r="D1285" s="4" t="s">
        <v>193</v>
      </c>
      <c r="E1285" s="14">
        <f>IF(SUMIFS('Daily NSE Equity Futures'!$I:$I,'Daily NSE Equity Futures'!$A:$A,$A1285)=0,"",SUMIFS('Daily NSE Equity Futures'!$I:$I,'Daily NSE Equity Futures'!$A:$A,$A1285))</f>
        <v>817.80489999999998</v>
      </c>
      <c r="F1285" s="6">
        <f>IF(SUMIFS('Daily BSE Equity Futures'!$I:$I,'Daily BSE Equity Futures'!$A:$A,$A1285)=0,"",SUMIFS('Daily BSE Equity Futures'!$I:$I,'Daily BSE Equity Futures'!$A:$A,$A1285))</f>
        <v>4.1273999999999997</v>
      </c>
      <c r="G1285" s="6">
        <f t="shared" si="240"/>
        <v>821.93229999999994</v>
      </c>
      <c r="H1285" s="15">
        <f t="shared" si="241"/>
        <v>0.9949784185388505</v>
      </c>
      <c r="I1285" s="15">
        <f t="shared" si="242"/>
        <v>5.0215814611495376E-3</v>
      </c>
      <c r="J1285" s="20">
        <f t="shared" si="243"/>
        <v>-0.82597501605220836</v>
      </c>
      <c r="K1285" s="15">
        <f t="shared" si="244"/>
        <v>2.2167407061024083</v>
      </c>
      <c r="L1285" s="15">
        <f t="shared" si="245"/>
        <v>-0.82514446713758871</v>
      </c>
      <c r="M1285" s="15">
        <f t="shared" si="249"/>
        <v>-0.25349560137378635</v>
      </c>
      <c r="N1285" s="15">
        <f t="shared" si="250"/>
        <v>-0.72868186479450969</v>
      </c>
      <c r="O1285" s="15">
        <f t="shared" si="251"/>
        <v>-0.26000371469118955</v>
      </c>
      <c r="P1285" s="18">
        <f>IF(SUMIFS('Daily NSE Equity Futures'!$J:$J,'Daily NSE Equity Futures'!$A:$A,$A1285)=0,"",SUMIFS('Daily NSE Equity Futures'!$J:$J,'Daily NSE Equity Futures'!$A:$A,$A1285))</f>
        <v>1135385</v>
      </c>
      <c r="Q1285" s="7">
        <f>IF(SUMIFS('Daily BSE Equity Futures'!$J:$J,'Daily BSE Equity Futures'!$A:$A,$A1285)=0,"",SUMIFS('Daily BSE Equity Futures'!$J:$J,'Daily BSE Equity Futures'!$A:$A,$A1285))</f>
        <v>2602</v>
      </c>
      <c r="R1285" s="7">
        <f t="shared" si="246"/>
        <v>1137987</v>
      </c>
      <c r="S1285" s="19">
        <f t="shared" si="247"/>
        <v>0.9977135063933068</v>
      </c>
      <c r="T1285" s="19">
        <f t="shared" si="248"/>
        <v>2.2864936066932223E-3</v>
      </c>
    </row>
    <row r="1286" spans="1:20" x14ac:dyDescent="0.2">
      <c r="A1286" s="9">
        <v>45813</v>
      </c>
      <c r="B1286" s="4" t="s">
        <v>224</v>
      </c>
      <c r="C1286" s="8">
        <v>45809</v>
      </c>
      <c r="D1286" s="4" t="s">
        <v>193</v>
      </c>
      <c r="E1286" s="14">
        <f>IF(SUMIFS('Daily NSE Equity Futures'!$I:$I,'Daily NSE Equity Futures'!$A:$A,$A1286)=0,"",SUMIFS('Daily NSE Equity Futures'!$I:$I,'Daily NSE Equity Futures'!$A:$A,$A1286))</f>
        <v>1077.6977999999999</v>
      </c>
      <c r="F1286" s="6">
        <f>IF(SUMIFS('Daily BSE Equity Futures'!$I:$I,'Daily BSE Equity Futures'!$A:$A,$A1286)=0,"",SUMIFS('Daily BSE Equity Futures'!$I:$I,'Daily BSE Equity Futures'!$A:$A,$A1286))</f>
        <v>5.0209999999999999</v>
      </c>
      <c r="G1286" s="6">
        <f t="shared" si="240"/>
        <v>1082.7187999999999</v>
      </c>
      <c r="H1286" s="15">
        <f t="shared" si="241"/>
        <v>0.99536260015065781</v>
      </c>
      <c r="I1286" s="15">
        <f t="shared" si="242"/>
        <v>4.6373998493422306E-3</v>
      </c>
      <c r="J1286" s="20">
        <f t="shared" si="243"/>
        <v>-0.64369807831966652</v>
      </c>
      <c r="K1286" s="15">
        <f t="shared" si="244"/>
        <v>3.7951485053958551</v>
      </c>
      <c r="L1286" s="15">
        <f t="shared" si="245"/>
        <v>-0.6421619441753903</v>
      </c>
      <c r="M1286" s="15">
        <f t="shared" si="249"/>
        <v>0.31779327807891589</v>
      </c>
      <c r="N1286" s="15">
        <f t="shared" si="250"/>
        <v>0.21650433687066917</v>
      </c>
      <c r="O1286" s="15">
        <f t="shared" si="251"/>
        <v>0.317284647409525</v>
      </c>
      <c r="P1286" s="18">
        <f>IF(SUMIFS('Daily NSE Equity Futures'!$J:$J,'Daily NSE Equity Futures'!$A:$A,$A1286)=0,"",SUMIFS('Daily NSE Equity Futures'!$J:$J,'Daily NSE Equity Futures'!$A:$A,$A1286))</f>
        <v>1348638</v>
      </c>
      <c r="Q1286" s="7">
        <f>IF(SUMIFS('Daily BSE Equity Futures'!$J:$J,'Daily BSE Equity Futures'!$A:$A,$A1286)=0,"",SUMIFS('Daily BSE Equity Futures'!$J:$J,'Daily BSE Equity Futures'!$A:$A,$A1286))</f>
        <v>3142</v>
      </c>
      <c r="R1286" s="7">
        <f t="shared" si="246"/>
        <v>1351780</v>
      </c>
      <c r="S1286" s="19">
        <f t="shared" si="247"/>
        <v>0.99767565728151031</v>
      </c>
      <c r="T1286" s="19">
        <f t="shared" si="248"/>
        <v>2.3243427184896949E-3</v>
      </c>
    </row>
    <row r="1287" spans="1:20" x14ac:dyDescent="0.2">
      <c r="A1287" s="9">
        <v>45814</v>
      </c>
      <c r="B1287" s="4" t="s">
        <v>222</v>
      </c>
      <c r="C1287" s="8">
        <v>45809</v>
      </c>
      <c r="D1287" s="4" t="s">
        <v>193</v>
      </c>
      <c r="E1287" s="14">
        <f>IF(SUMIFS('Daily NSE Equity Futures'!$I:$I,'Daily NSE Equity Futures'!$A:$A,$A1287)=0,"",SUMIFS('Daily NSE Equity Futures'!$I:$I,'Daily NSE Equity Futures'!$A:$A,$A1287))</f>
        <v>1566.3286000000001</v>
      </c>
      <c r="F1287" s="6">
        <f>IF(SUMIFS('Daily BSE Equity Futures'!$I:$I,'Daily BSE Equity Futures'!$A:$A,$A1287)=0,"",SUMIFS('Daily BSE Equity Futures'!$I:$I,'Daily BSE Equity Futures'!$A:$A,$A1287))</f>
        <v>4.4696999999999996</v>
      </c>
      <c r="G1287" s="6">
        <f t="shared" si="240"/>
        <v>1570.7983000000002</v>
      </c>
      <c r="H1287" s="15">
        <f t="shared" si="241"/>
        <v>0.99715450417790741</v>
      </c>
      <c r="I1287" s="15">
        <f t="shared" si="242"/>
        <v>2.8454958220924986E-3</v>
      </c>
      <c r="J1287" s="20">
        <f t="shared" si="243"/>
        <v>-0.30147692811011917</v>
      </c>
      <c r="K1287" s="15">
        <f t="shared" si="244"/>
        <v>3.5871305418719208</v>
      </c>
      <c r="L1287" s="15">
        <f t="shared" si="245"/>
        <v>-0.29978788560408165</v>
      </c>
      <c r="M1287" s="15">
        <f t="shared" si="249"/>
        <v>0.45340242876992054</v>
      </c>
      <c r="N1287" s="15">
        <f t="shared" si="250"/>
        <v>-0.10979884485162328</v>
      </c>
      <c r="O1287" s="15">
        <f t="shared" si="251"/>
        <v>0.45079063926847884</v>
      </c>
      <c r="P1287" s="18">
        <f>IF(SUMIFS('Daily NSE Equity Futures'!$J:$J,'Daily NSE Equity Futures'!$A:$A,$A1287)=0,"",SUMIFS('Daily NSE Equity Futures'!$J:$J,'Daily NSE Equity Futures'!$A:$A,$A1287))</f>
        <v>1911938</v>
      </c>
      <c r="Q1287" s="7">
        <f>IF(SUMIFS('Daily BSE Equity Futures'!$J:$J,'Daily BSE Equity Futures'!$A:$A,$A1287)=0,"",SUMIFS('Daily BSE Equity Futures'!$J:$J,'Daily BSE Equity Futures'!$A:$A,$A1287))</f>
        <v>2869</v>
      </c>
      <c r="R1287" s="7">
        <f t="shared" si="246"/>
        <v>1914807</v>
      </c>
      <c r="S1287" s="19">
        <f t="shared" si="247"/>
        <v>0.99850167667028578</v>
      </c>
      <c r="T1287" s="19">
        <f t="shared" si="248"/>
        <v>1.4983233297141696E-3</v>
      </c>
    </row>
    <row r="1288" spans="1:20" x14ac:dyDescent="0.2">
      <c r="A1288" s="9">
        <v>45817</v>
      </c>
      <c r="B1288" s="4" t="s">
        <v>225</v>
      </c>
      <c r="C1288" s="8">
        <v>45809</v>
      </c>
      <c r="D1288" s="4" t="s">
        <v>193</v>
      </c>
      <c r="E1288" s="14">
        <f>IF(SUMIFS('Daily NSE Equity Futures'!$I:$I,'Daily NSE Equity Futures'!$A:$A,$A1288)=0,"",SUMIFS('Daily NSE Equity Futures'!$I:$I,'Daily NSE Equity Futures'!$A:$A,$A1288))</f>
        <v>1078.3043</v>
      </c>
      <c r="F1288" s="6">
        <f>IF(SUMIFS('Daily BSE Equity Futures'!$I:$I,'Daily BSE Equity Futures'!$A:$A,$A1288)=0,"",SUMIFS('Daily BSE Equity Futures'!$I:$I,'Daily BSE Equity Futures'!$A:$A,$A1288))</f>
        <v>1.8864000000000001</v>
      </c>
      <c r="G1288" s="6">
        <f t="shared" si="240"/>
        <v>1080.1907000000001</v>
      </c>
      <c r="H1288" s="15">
        <f t="shared" si="241"/>
        <v>0.99825364169493391</v>
      </c>
      <c r="I1288" s="15">
        <f t="shared" si="242"/>
        <v>1.7463583050659479E-3</v>
      </c>
      <c r="J1288" s="20" t="str">
        <f t="shared" si="243"/>
        <v/>
      </c>
      <c r="K1288" s="15" t="str">
        <f t="shared" si="244"/>
        <v/>
      </c>
      <c r="L1288" s="15" t="str">
        <f t="shared" si="245"/>
        <v/>
      </c>
      <c r="M1288" s="15">
        <f t="shared" si="249"/>
        <v>-0.31157210562330284</v>
      </c>
      <c r="N1288" s="15">
        <f t="shared" si="250"/>
        <v>-0.57795825223169328</v>
      </c>
      <c r="O1288" s="15">
        <f t="shared" si="251"/>
        <v>-0.31233010629054025</v>
      </c>
      <c r="P1288" s="18">
        <f>IF(SUMIFS('Daily NSE Equity Futures'!$J:$J,'Daily NSE Equity Futures'!$A:$A,$A1288)=0,"",SUMIFS('Daily NSE Equity Futures'!$J:$J,'Daily NSE Equity Futures'!$A:$A,$A1288))</f>
        <v>1449264</v>
      </c>
      <c r="Q1288" s="7">
        <f>IF(SUMIFS('Daily BSE Equity Futures'!$J:$J,'Daily BSE Equity Futures'!$A:$A,$A1288)=0,"",SUMIFS('Daily BSE Equity Futures'!$J:$J,'Daily BSE Equity Futures'!$A:$A,$A1288))</f>
        <v>1199</v>
      </c>
      <c r="R1288" s="7">
        <f t="shared" si="246"/>
        <v>1450463</v>
      </c>
      <c r="S1288" s="19">
        <f t="shared" si="247"/>
        <v>0.99917336740061624</v>
      </c>
      <c r="T1288" s="19">
        <f t="shared" si="248"/>
        <v>8.2663259938378295E-4</v>
      </c>
    </row>
    <row r="1289" spans="1:20" x14ac:dyDescent="0.2">
      <c r="A1289" s="9">
        <v>45818</v>
      </c>
      <c r="B1289" s="4" t="s">
        <v>223</v>
      </c>
      <c r="C1289" s="8">
        <v>45809</v>
      </c>
      <c r="D1289" s="4" t="s">
        <v>193</v>
      </c>
      <c r="E1289" s="14">
        <f>IF(SUMIFS('Daily NSE Equity Futures'!$I:$I,'Daily NSE Equity Futures'!$A:$A,$A1289)=0,"",SUMIFS('Daily NSE Equity Futures'!$I:$I,'Daily NSE Equity Futures'!$A:$A,$A1289))</f>
        <v>1005.7993</v>
      </c>
      <c r="F1289" s="6">
        <f>IF(SUMIFS('Daily BSE Equity Futures'!$I:$I,'Daily BSE Equity Futures'!$A:$A,$A1289)=0,"",SUMIFS('Daily BSE Equity Futures'!$I:$I,'Daily BSE Equity Futures'!$A:$A,$A1289))</f>
        <v>4.2664999999999997</v>
      </c>
      <c r="G1289" s="6">
        <f t="shared" si="240"/>
        <v>1010.0658</v>
      </c>
      <c r="H1289" s="15">
        <f t="shared" si="241"/>
        <v>0.99577601776042712</v>
      </c>
      <c r="I1289" s="15">
        <f t="shared" si="242"/>
        <v>4.2239822395729069E-3</v>
      </c>
      <c r="J1289" s="20">
        <f t="shared" si="243"/>
        <v>-0.37025330761250197</v>
      </c>
      <c r="K1289" s="15">
        <f t="shared" si="244"/>
        <v>3.0637203543194582</v>
      </c>
      <c r="L1289" s="15">
        <f t="shared" si="245"/>
        <v>-0.36799743761555581</v>
      </c>
      <c r="M1289" s="15">
        <f t="shared" si="249"/>
        <v>-6.7239832021443346E-2</v>
      </c>
      <c r="N1289" s="15">
        <f t="shared" si="250"/>
        <v>1.2617154368108565</v>
      </c>
      <c r="O1289" s="15">
        <f t="shared" si="251"/>
        <v>-6.4918999950656975E-2</v>
      </c>
      <c r="P1289" s="18">
        <f>IF(SUMIFS('Daily NSE Equity Futures'!$J:$J,'Daily NSE Equity Futures'!$A:$A,$A1289)=0,"",SUMIFS('Daily NSE Equity Futures'!$J:$J,'Daily NSE Equity Futures'!$A:$A,$A1289))</f>
        <v>1365274</v>
      </c>
      <c r="Q1289" s="7">
        <f>IF(SUMIFS('Daily BSE Equity Futures'!$J:$J,'Daily BSE Equity Futures'!$A:$A,$A1289)=0,"",SUMIFS('Daily BSE Equity Futures'!$J:$J,'Daily BSE Equity Futures'!$A:$A,$A1289))</f>
        <v>2636</v>
      </c>
      <c r="R1289" s="7">
        <f t="shared" si="246"/>
        <v>1367910</v>
      </c>
      <c r="S1289" s="19">
        <f t="shared" si="247"/>
        <v>0.99807297263708872</v>
      </c>
      <c r="T1289" s="19">
        <f t="shared" si="248"/>
        <v>1.9270273629113026E-3</v>
      </c>
    </row>
    <row r="1290" spans="1:20" x14ac:dyDescent="0.2">
      <c r="A1290" s="9">
        <v>45819</v>
      </c>
      <c r="B1290" s="4" t="s">
        <v>221</v>
      </c>
      <c r="C1290" s="8">
        <v>45809</v>
      </c>
      <c r="D1290" s="4" t="s">
        <v>193</v>
      </c>
      <c r="E1290" s="14">
        <f>IF(SUMIFS('Daily NSE Equity Futures'!$I:$I,'Daily NSE Equity Futures'!$A:$A,$A1290)=0,"",SUMIFS('Daily NSE Equity Futures'!$I:$I,'Daily NSE Equity Futures'!$A:$A,$A1290))</f>
        <v>1045.6379999999999</v>
      </c>
      <c r="F1290" s="6">
        <f>IF(SUMIFS('Daily BSE Equity Futures'!$I:$I,'Daily BSE Equity Futures'!$A:$A,$A1290)=0,"",SUMIFS('Daily BSE Equity Futures'!$I:$I,'Daily BSE Equity Futures'!$A:$A,$A1290))</f>
        <v>1.9589000000000001</v>
      </c>
      <c r="G1290" s="6">
        <f t="shared" si="240"/>
        <v>1047.5969</v>
      </c>
      <c r="H1290" s="15">
        <f t="shared" si="241"/>
        <v>0.99813010137773406</v>
      </c>
      <c r="I1290" s="15">
        <f t="shared" si="242"/>
        <v>1.8698986222658734E-3</v>
      </c>
      <c r="J1290" s="20">
        <f t="shared" si="243"/>
        <v>-0.21904773143328438</v>
      </c>
      <c r="K1290" s="15">
        <f t="shared" si="244"/>
        <v>2.4038227628149436</v>
      </c>
      <c r="L1290" s="15">
        <f t="shared" si="245"/>
        <v>-0.21792084881669482</v>
      </c>
      <c r="M1290" s="15">
        <f t="shared" si="249"/>
        <v>3.9608995552094628E-2</v>
      </c>
      <c r="N1290" s="15">
        <f t="shared" si="250"/>
        <v>-0.54086487753427859</v>
      </c>
      <c r="O1290" s="15">
        <f t="shared" si="251"/>
        <v>3.7157084221641767E-2</v>
      </c>
      <c r="P1290" s="18">
        <f>IF(SUMIFS('Daily NSE Equity Futures'!$J:$J,'Daily NSE Equity Futures'!$A:$A,$A1290)=0,"",SUMIFS('Daily NSE Equity Futures'!$J:$J,'Daily NSE Equity Futures'!$A:$A,$A1290))</f>
        <v>1391074</v>
      </c>
      <c r="Q1290" s="7">
        <f>IF(SUMIFS('Daily BSE Equity Futures'!$J:$J,'Daily BSE Equity Futures'!$A:$A,$A1290)=0,"",SUMIFS('Daily BSE Equity Futures'!$J:$J,'Daily BSE Equity Futures'!$A:$A,$A1290))</f>
        <v>1234</v>
      </c>
      <c r="R1290" s="7">
        <f t="shared" si="246"/>
        <v>1392308</v>
      </c>
      <c r="S1290" s="19">
        <f t="shared" si="247"/>
        <v>0.9991137018533256</v>
      </c>
      <c r="T1290" s="19">
        <f t="shared" si="248"/>
        <v>8.8629814667444276E-4</v>
      </c>
    </row>
    <row r="1291" spans="1:20" x14ac:dyDescent="0.2">
      <c r="A1291" s="9">
        <v>45820</v>
      </c>
      <c r="B1291" s="4" t="s">
        <v>224</v>
      </c>
      <c r="C1291" s="8">
        <v>45809</v>
      </c>
      <c r="D1291" s="4" t="s">
        <v>193</v>
      </c>
      <c r="E1291" s="14">
        <f>IF(SUMIFS('Daily NSE Equity Futures'!$I:$I,'Daily NSE Equity Futures'!$A:$A,$A1291)=0,"",SUMIFS('Daily NSE Equity Futures'!$I:$I,'Daily NSE Equity Futures'!$A:$A,$A1291))</f>
        <v>1255.7194999999999</v>
      </c>
      <c r="F1291" s="6">
        <f>IF(SUMIFS('Daily BSE Equity Futures'!$I:$I,'Daily BSE Equity Futures'!$A:$A,$A1291)=0,"",SUMIFS('Daily BSE Equity Futures'!$I:$I,'Daily BSE Equity Futures'!$A:$A,$A1291))</f>
        <v>3.4685999999999999</v>
      </c>
      <c r="G1291" s="6">
        <f t="shared" si="240"/>
        <v>1259.1880999999998</v>
      </c>
      <c r="H1291" s="15">
        <f t="shared" si="241"/>
        <v>0.9972453678683908</v>
      </c>
      <c r="I1291" s="15">
        <f t="shared" si="242"/>
        <v>2.754632131609249E-3</v>
      </c>
      <c r="J1291" s="20">
        <f t="shared" si="243"/>
        <v>-0.14769560343463084</v>
      </c>
      <c r="K1291" s="15">
        <f t="shared" si="244"/>
        <v>3.5790099009900995</v>
      </c>
      <c r="L1291" s="15">
        <f t="shared" si="245"/>
        <v>-0.14578052498225502</v>
      </c>
      <c r="M1291" s="15">
        <f t="shared" si="249"/>
        <v>0.20091226600410472</v>
      </c>
      <c r="N1291" s="15">
        <f t="shared" si="250"/>
        <v>0.77068763081321134</v>
      </c>
      <c r="O1291" s="15">
        <f t="shared" si="251"/>
        <v>0.20197768817376205</v>
      </c>
      <c r="P1291" s="18">
        <f>IF(SUMIFS('Daily NSE Equity Futures'!$J:$J,'Daily NSE Equity Futures'!$A:$A,$A1291)=0,"",SUMIFS('Daily NSE Equity Futures'!$J:$J,'Daily NSE Equity Futures'!$A:$A,$A1291))</f>
        <v>1583003</v>
      </c>
      <c r="Q1291" s="7">
        <f>IF(SUMIFS('Daily BSE Equity Futures'!$J:$J,'Daily BSE Equity Futures'!$A:$A,$A1291)=0,"",SUMIFS('Daily BSE Equity Futures'!$J:$J,'Daily BSE Equity Futures'!$A:$A,$A1291))</f>
        <v>2164</v>
      </c>
      <c r="R1291" s="7">
        <f t="shared" si="246"/>
        <v>1585167</v>
      </c>
      <c r="S1291" s="19">
        <f t="shared" si="247"/>
        <v>0.99863484415206727</v>
      </c>
      <c r="T1291" s="19">
        <f t="shared" si="248"/>
        <v>1.3651558479327414E-3</v>
      </c>
    </row>
    <row r="1292" spans="1:20" x14ac:dyDescent="0.2">
      <c r="A1292" s="9">
        <v>45821</v>
      </c>
      <c r="B1292" s="4" t="s">
        <v>222</v>
      </c>
      <c r="C1292" s="8">
        <v>45809</v>
      </c>
      <c r="D1292" s="4" t="s">
        <v>193</v>
      </c>
      <c r="E1292" s="14">
        <f>IF(SUMIFS('Daily NSE Equity Futures'!$I:$I,'Daily NSE Equity Futures'!$A:$A,$A1292)=0,"",SUMIFS('Daily NSE Equity Futures'!$I:$I,'Daily NSE Equity Futures'!$A:$A,$A1292))</f>
        <v>1162.8925999999999</v>
      </c>
      <c r="F1292" s="6">
        <f>IF(SUMIFS('Daily BSE Equity Futures'!$I:$I,'Daily BSE Equity Futures'!$A:$A,$A1292)=0,"",SUMIFS('Daily BSE Equity Futures'!$I:$I,'Daily BSE Equity Futures'!$A:$A,$A1292))</f>
        <v>3.0928</v>
      </c>
      <c r="G1292" s="6">
        <f t="shared" si="240"/>
        <v>1165.9853999999998</v>
      </c>
      <c r="H1292" s="15">
        <f t="shared" si="241"/>
        <v>0.99734747965111747</v>
      </c>
      <c r="I1292" s="15">
        <f t="shared" si="242"/>
        <v>2.6525203488825849E-3</v>
      </c>
      <c r="J1292" s="20">
        <f t="shared" si="243"/>
        <v>-0.13764558765611423</v>
      </c>
      <c r="K1292" s="15">
        <f t="shared" si="244"/>
        <v>3.3994310099573264</v>
      </c>
      <c r="L1292" s="15">
        <f t="shared" si="245"/>
        <v>-0.1358026118803134</v>
      </c>
      <c r="M1292" s="15">
        <f t="shared" si="249"/>
        <v>-7.3923276655335823E-2</v>
      </c>
      <c r="N1292" s="15">
        <f t="shared" si="250"/>
        <v>-0.10834342385977047</v>
      </c>
      <c r="O1292" s="15">
        <f t="shared" si="251"/>
        <v>-7.4018091498799898E-2</v>
      </c>
      <c r="P1292" s="18">
        <f>IF(SUMIFS('Daily NSE Equity Futures'!$J:$J,'Daily NSE Equity Futures'!$A:$A,$A1292)=0,"",SUMIFS('Daily NSE Equity Futures'!$J:$J,'Daily NSE Equity Futures'!$A:$A,$A1292))</f>
        <v>1486667</v>
      </c>
      <c r="Q1292" s="7">
        <f>IF(SUMIFS('Daily BSE Equity Futures'!$J:$J,'Daily BSE Equity Futures'!$A:$A,$A1292)=0,"",SUMIFS('Daily BSE Equity Futures'!$J:$J,'Daily BSE Equity Futures'!$A:$A,$A1292))</f>
        <v>1911</v>
      </c>
      <c r="R1292" s="7">
        <f t="shared" si="246"/>
        <v>1488578</v>
      </c>
      <c r="S1292" s="19">
        <f t="shared" si="247"/>
        <v>0.99871622447732</v>
      </c>
      <c r="T1292" s="19">
        <f t="shared" si="248"/>
        <v>1.2837755226800343E-3</v>
      </c>
    </row>
    <row r="1293" spans="1:20" x14ac:dyDescent="0.2">
      <c r="A1293" s="9">
        <v>45824</v>
      </c>
      <c r="B1293" s="4" t="s">
        <v>225</v>
      </c>
      <c r="C1293" s="8">
        <v>45809</v>
      </c>
      <c r="D1293" s="4" t="s">
        <v>193</v>
      </c>
      <c r="E1293" s="14">
        <f>IF(SUMIFS('Daily NSE Equity Futures'!$I:$I,'Daily NSE Equity Futures'!$A:$A,$A1293)=0,"",SUMIFS('Daily NSE Equity Futures'!$I:$I,'Daily NSE Equity Futures'!$A:$A,$A1293))</f>
        <v>1083.1269</v>
      </c>
      <c r="F1293" s="6">
        <f>IF(SUMIFS('Daily BSE Equity Futures'!$I:$I,'Daily BSE Equity Futures'!$A:$A,$A1293)=0,"",SUMIFS('Daily BSE Equity Futures'!$I:$I,'Daily BSE Equity Futures'!$A:$A,$A1293))</f>
        <v>3.9232999999999998</v>
      </c>
      <c r="G1293" s="6">
        <f t="shared" si="240"/>
        <v>1087.0501999999999</v>
      </c>
      <c r="H1293" s="15">
        <f t="shared" si="241"/>
        <v>0.99639087504882484</v>
      </c>
      <c r="I1293" s="15">
        <f t="shared" si="242"/>
        <v>3.6091249511752081E-3</v>
      </c>
      <c r="J1293" s="20" t="str">
        <f t="shared" si="243"/>
        <v/>
      </c>
      <c r="K1293" s="15" t="str">
        <f t="shared" si="244"/>
        <v/>
      </c>
      <c r="L1293" s="15" t="str">
        <f t="shared" si="245"/>
        <v/>
      </c>
      <c r="M1293" s="15">
        <f t="shared" si="249"/>
        <v>-6.859249082847374E-2</v>
      </c>
      <c r="N1293" s="15">
        <f t="shared" si="250"/>
        <v>0.26852690118986033</v>
      </c>
      <c r="O1293" s="15">
        <f t="shared" si="251"/>
        <v>-6.7698274781142098E-2</v>
      </c>
      <c r="P1293" s="18">
        <f>IF(SUMIFS('Daily NSE Equity Futures'!$J:$J,'Daily NSE Equity Futures'!$A:$A,$A1293)=0,"",SUMIFS('Daily NSE Equity Futures'!$J:$J,'Daily NSE Equity Futures'!$A:$A,$A1293))</f>
        <v>1390117</v>
      </c>
      <c r="Q1293" s="7">
        <f>IF(SUMIFS('Daily BSE Equity Futures'!$J:$J,'Daily BSE Equity Futures'!$A:$A,$A1293)=0,"",SUMIFS('Daily BSE Equity Futures'!$J:$J,'Daily BSE Equity Futures'!$A:$A,$A1293))</f>
        <v>2480</v>
      </c>
      <c r="R1293" s="7">
        <f t="shared" si="246"/>
        <v>1392597</v>
      </c>
      <c r="S1293" s="19">
        <f t="shared" si="247"/>
        <v>0.99821915457235655</v>
      </c>
      <c r="T1293" s="19">
        <f t="shared" si="248"/>
        <v>1.7808454276434604E-3</v>
      </c>
    </row>
    <row r="1294" spans="1:20" x14ac:dyDescent="0.2">
      <c r="A1294" s="9">
        <v>45825</v>
      </c>
      <c r="B1294" s="4" t="s">
        <v>223</v>
      </c>
      <c r="C1294" s="8">
        <v>45809</v>
      </c>
      <c r="D1294" s="4" t="s">
        <v>193</v>
      </c>
      <c r="E1294" s="14">
        <f>IF(SUMIFS('Daily NSE Equity Futures'!$I:$I,'Daily NSE Equity Futures'!$A:$A,$A1294)=0,"",SUMIFS('Daily NSE Equity Futures'!$I:$I,'Daily NSE Equity Futures'!$A:$A,$A1294))</f>
        <v>927.51530000000002</v>
      </c>
      <c r="F1294" s="6">
        <f>IF(SUMIFS('Daily BSE Equity Futures'!$I:$I,'Daily BSE Equity Futures'!$A:$A,$A1294)=0,"",SUMIFS('Daily BSE Equity Futures'!$I:$I,'Daily BSE Equity Futures'!$A:$A,$A1294))</f>
        <v>5.0906000000000002</v>
      </c>
      <c r="G1294" s="6">
        <f t="shared" si="240"/>
        <v>932.60590000000002</v>
      </c>
      <c r="H1294" s="15">
        <f t="shared" si="241"/>
        <v>0.99454153142286572</v>
      </c>
      <c r="I1294" s="15">
        <f t="shared" si="242"/>
        <v>5.4584685771342433E-3</v>
      </c>
      <c r="J1294" s="20" t="str">
        <f t="shared" si="243"/>
        <v/>
      </c>
      <c r="K1294" s="15" t="str">
        <f t="shared" si="244"/>
        <v/>
      </c>
      <c r="L1294" s="15" t="str">
        <f t="shared" si="245"/>
        <v/>
      </c>
      <c r="M1294" s="15">
        <f t="shared" si="249"/>
        <v>-0.14366885357569825</v>
      </c>
      <c r="N1294" s="15">
        <f t="shared" si="250"/>
        <v>0.29753014044299464</v>
      </c>
      <c r="O1294" s="15">
        <f t="shared" si="251"/>
        <v>-0.14207651127795196</v>
      </c>
      <c r="P1294" s="18">
        <f>IF(SUMIFS('Daily NSE Equity Futures'!$J:$J,'Daily NSE Equity Futures'!$A:$A,$A1294)=0,"",SUMIFS('Daily NSE Equity Futures'!$J:$J,'Daily NSE Equity Futures'!$A:$A,$A1294))</f>
        <v>1232734</v>
      </c>
      <c r="Q1294" s="7">
        <f>IF(SUMIFS('Daily BSE Equity Futures'!$J:$J,'Daily BSE Equity Futures'!$A:$A,$A1294)=0,"",SUMIFS('Daily BSE Equity Futures'!$J:$J,'Daily BSE Equity Futures'!$A:$A,$A1294))</f>
        <v>3175</v>
      </c>
      <c r="R1294" s="7">
        <f t="shared" si="246"/>
        <v>1235909</v>
      </c>
      <c r="S1294" s="19">
        <f t="shared" si="247"/>
        <v>0.99743104063486876</v>
      </c>
      <c r="T1294" s="19">
        <f t="shared" si="248"/>
        <v>2.5689593651312516E-3</v>
      </c>
    </row>
    <row r="1295" spans="1:20" x14ac:dyDescent="0.2">
      <c r="A1295" s="9">
        <v>45826</v>
      </c>
      <c r="B1295" s="4" t="s">
        <v>221</v>
      </c>
      <c r="C1295" s="8">
        <v>45809</v>
      </c>
      <c r="D1295" s="4" t="s">
        <v>193</v>
      </c>
      <c r="E1295" s="14">
        <f>IF(SUMIFS('Daily NSE Equity Futures'!$I:$I,'Daily NSE Equity Futures'!$A:$A,$A1295)=0,"",SUMIFS('Daily NSE Equity Futures'!$I:$I,'Daily NSE Equity Futures'!$A:$A,$A1295))</f>
        <v>992.38559999999995</v>
      </c>
      <c r="F1295" s="6">
        <f>IF(SUMIFS('Daily BSE Equity Futures'!$I:$I,'Daily BSE Equity Futures'!$A:$A,$A1295)=0,"",SUMIFS('Daily BSE Equity Futures'!$I:$I,'Daily BSE Equity Futures'!$A:$A,$A1295))</f>
        <v>2.3176000000000001</v>
      </c>
      <c r="G1295" s="6">
        <f t="shared" si="240"/>
        <v>994.70319999999992</v>
      </c>
      <c r="H1295" s="15">
        <f t="shared" si="241"/>
        <v>0.99767005876727854</v>
      </c>
      <c r="I1295" s="15">
        <f t="shared" si="242"/>
        <v>2.3299412327214795E-3</v>
      </c>
      <c r="J1295" s="20">
        <f t="shared" si="243"/>
        <v>-0.30067243956179635</v>
      </c>
      <c r="K1295" s="15">
        <f t="shared" si="244"/>
        <v>10.450592885375494</v>
      </c>
      <c r="L1295" s="15">
        <f t="shared" si="245"/>
        <v>-0.29913920592241316</v>
      </c>
      <c r="M1295" s="15">
        <f t="shared" si="249"/>
        <v>6.9939870533672011E-2</v>
      </c>
      <c r="N1295" s="15">
        <f t="shared" si="250"/>
        <v>-0.54472950143401566</v>
      </c>
      <c r="O1295" s="15">
        <f t="shared" si="251"/>
        <v>6.6584717081459521E-2</v>
      </c>
      <c r="P1295" s="18">
        <f>IF(SUMIFS('Daily NSE Equity Futures'!$J:$J,'Daily NSE Equity Futures'!$A:$A,$A1295)=0,"",SUMIFS('Daily NSE Equity Futures'!$J:$J,'Daily NSE Equity Futures'!$A:$A,$A1295))</f>
        <v>1304673</v>
      </c>
      <c r="Q1295" s="7">
        <f>IF(SUMIFS('Daily BSE Equity Futures'!$J:$J,'Daily BSE Equity Futures'!$A:$A,$A1295)=0,"",SUMIFS('Daily BSE Equity Futures'!$J:$J,'Daily BSE Equity Futures'!$A:$A,$A1295))</f>
        <v>1468</v>
      </c>
      <c r="R1295" s="7">
        <f t="shared" si="246"/>
        <v>1306141</v>
      </c>
      <c r="S1295" s="19">
        <f t="shared" si="247"/>
        <v>0.99887607846319804</v>
      </c>
      <c r="T1295" s="19">
        <f t="shared" si="248"/>
        <v>1.1239215368019225E-3</v>
      </c>
    </row>
    <row r="1296" spans="1:20" x14ac:dyDescent="0.2">
      <c r="A1296" s="9">
        <v>45827</v>
      </c>
      <c r="B1296" s="4" t="s">
        <v>224</v>
      </c>
      <c r="C1296" s="8">
        <v>45809</v>
      </c>
      <c r="D1296" s="4" t="s">
        <v>193</v>
      </c>
      <c r="E1296" s="14">
        <f>IF(SUMIFS('Daily NSE Equity Futures'!$I:$I,'Daily NSE Equity Futures'!$A:$A,$A1296)=0,"",SUMIFS('Daily NSE Equity Futures'!$I:$I,'Daily NSE Equity Futures'!$A:$A,$A1296))</f>
        <v>1053.1610000000001</v>
      </c>
      <c r="F1296" s="6">
        <f>IF(SUMIFS('Daily BSE Equity Futures'!$I:$I,'Daily BSE Equity Futures'!$A:$A,$A1296)=0,"",SUMIFS('Daily BSE Equity Futures'!$I:$I,'Daily BSE Equity Futures'!$A:$A,$A1296))</f>
        <v>1.7186999999999999</v>
      </c>
      <c r="G1296" s="6">
        <f t="shared" si="240"/>
        <v>1054.8797</v>
      </c>
      <c r="H1296" s="15">
        <f t="shared" si="241"/>
        <v>0.9983707146890779</v>
      </c>
      <c r="I1296" s="15">
        <f t="shared" si="242"/>
        <v>1.6292853109221839E-3</v>
      </c>
      <c r="J1296" s="20">
        <f t="shared" si="243"/>
        <v>-0.58736212488948536</v>
      </c>
      <c r="K1296" s="15">
        <f t="shared" si="244"/>
        <v>1.8258796448536665</v>
      </c>
      <c r="L1296" s="15">
        <f t="shared" si="245"/>
        <v>-0.58678719075964902</v>
      </c>
      <c r="M1296" s="15">
        <f t="shared" si="249"/>
        <v>6.1241718944732959E-2</v>
      </c>
      <c r="N1296" s="15">
        <f t="shared" si="250"/>
        <v>-0.25841387642388691</v>
      </c>
      <c r="O1296" s="15">
        <f t="shared" si="251"/>
        <v>6.0496940192813264E-2</v>
      </c>
      <c r="P1296" s="18">
        <f>IF(SUMIFS('Daily NSE Equity Futures'!$J:$J,'Daily NSE Equity Futures'!$A:$A,$A1296)=0,"",SUMIFS('Daily NSE Equity Futures'!$J:$J,'Daily NSE Equity Futures'!$A:$A,$A1296))</f>
        <v>1471601</v>
      </c>
      <c r="Q1296" s="7">
        <f>IF(SUMIFS('Daily BSE Equity Futures'!$J:$J,'Daily BSE Equity Futures'!$A:$A,$A1296)=0,"",SUMIFS('Daily BSE Equity Futures'!$J:$J,'Daily BSE Equity Futures'!$A:$A,$A1296))</f>
        <v>1090</v>
      </c>
      <c r="R1296" s="7">
        <f t="shared" si="246"/>
        <v>1472691</v>
      </c>
      <c r="S1296" s="19">
        <f t="shared" si="247"/>
        <v>0.99925985831379427</v>
      </c>
      <c r="T1296" s="19">
        <f t="shared" si="248"/>
        <v>7.4014168620572813E-4</v>
      </c>
    </row>
    <row r="1297" spans="1:20" x14ac:dyDescent="0.2">
      <c r="A1297" s="9">
        <v>45828</v>
      </c>
      <c r="B1297" s="4" t="s">
        <v>222</v>
      </c>
      <c r="C1297" s="8">
        <v>45809</v>
      </c>
      <c r="D1297" s="4" t="s">
        <v>193</v>
      </c>
      <c r="E1297" s="14">
        <f>IF(SUMIFS('Daily NSE Equity Futures'!$I:$I,'Daily NSE Equity Futures'!$A:$A,$A1297)=0,"",SUMIFS('Daily NSE Equity Futures'!$I:$I,'Daily NSE Equity Futures'!$A:$A,$A1297))</f>
        <v>1793.2430999999999</v>
      </c>
      <c r="F1297" s="6">
        <f>IF(SUMIFS('Daily BSE Equity Futures'!$I:$I,'Daily BSE Equity Futures'!$A:$A,$A1297)=0,"",SUMIFS('Daily BSE Equity Futures'!$I:$I,'Daily BSE Equity Futures'!$A:$A,$A1297))</f>
        <v>4.2309000000000001</v>
      </c>
      <c r="G1297" s="6">
        <f t="shared" si="240"/>
        <v>1797.4739999999999</v>
      </c>
      <c r="H1297" s="15">
        <f t="shared" si="241"/>
        <v>0.9976461968295508</v>
      </c>
      <c r="I1297" s="15">
        <f t="shared" si="242"/>
        <v>2.3538031704491971E-3</v>
      </c>
      <c r="J1297" s="20">
        <f t="shared" si="243"/>
        <v>7.7981084738316664E-3</v>
      </c>
      <c r="K1297" s="15">
        <f t="shared" si="244"/>
        <v>5.1078388912949331</v>
      </c>
      <c r="L1297" s="15">
        <f t="shared" si="245"/>
        <v>9.7827595821060598E-3</v>
      </c>
      <c r="M1297" s="15">
        <f t="shared" si="249"/>
        <v>0.70272455968270742</v>
      </c>
      <c r="N1297" s="15">
        <f t="shared" si="250"/>
        <v>1.4616861581427827</v>
      </c>
      <c r="O1297" s="15">
        <f t="shared" si="251"/>
        <v>0.70396112466663263</v>
      </c>
      <c r="P1297" s="18">
        <f>IF(SUMIFS('Daily NSE Equity Futures'!$J:$J,'Daily NSE Equity Futures'!$A:$A,$A1297)=0,"",SUMIFS('Daily NSE Equity Futures'!$J:$J,'Daily NSE Equity Futures'!$A:$A,$A1297))</f>
        <v>2381354</v>
      </c>
      <c r="Q1297" s="7">
        <f>IF(SUMIFS('Daily BSE Equity Futures'!$J:$J,'Daily BSE Equity Futures'!$A:$A,$A1297)=0,"",SUMIFS('Daily BSE Equity Futures'!$J:$J,'Daily BSE Equity Futures'!$A:$A,$A1297))</f>
        <v>2603</v>
      </c>
      <c r="R1297" s="7">
        <f t="shared" si="246"/>
        <v>2383957</v>
      </c>
      <c r="S1297" s="19">
        <f t="shared" si="247"/>
        <v>0.99890811788971023</v>
      </c>
      <c r="T1297" s="19">
        <f t="shared" si="248"/>
        <v>1.0918821102897411E-3</v>
      </c>
    </row>
    <row r="1298" spans="1:20" x14ac:dyDescent="0.2">
      <c r="A1298" s="9">
        <v>45831</v>
      </c>
      <c r="B1298" s="4" t="s">
        <v>225</v>
      </c>
      <c r="C1298" s="8">
        <v>45809</v>
      </c>
      <c r="D1298" s="4" t="s">
        <v>193</v>
      </c>
      <c r="E1298" s="14">
        <f>IF(SUMIFS('Daily NSE Equity Futures'!$I:$I,'Daily NSE Equity Futures'!$A:$A,$A1298)=0,"",SUMIFS('Daily NSE Equity Futures'!$I:$I,'Daily NSE Equity Futures'!$A:$A,$A1298))</f>
        <v>3593.0864000000001</v>
      </c>
      <c r="F1298" s="6">
        <f>IF(SUMIFS('Daily BSE Equity Futures'!$I:$I,'Daily BSE Equity Futures'!$A:$A,$A1298)=0,"",SUMIFS('Daily BSE Equity Futures'!$I:$I,'Daily BSE Equity Futures'!$A:$A,$A1298))</f>
        <v>3.9462999999999999</v>
      </c>
      <c r="G1298" s="6">
        <f t="shared" si="240"/>
        <v>3597.0327000000002</v>
      </c>
      <c r="H1298" s="15">
        <f t="shared" si="241"/>
        <v>0.99890290127192893</v>
      </c>
      <c r="I1298" s="15">
        <f t="shared" si="242"/>
        <v>1.0970987280710569E-3</v>
      </c>
      <c r="J1298" s="20" t="str">
        <f t="shared" si="243"/>
        <v/>
      </c>
      <c r="K1298" s="15" t="str">
        <f t="shared" si="244"/>
        <v/>
      </c>
      <c r="L1298" s="15" t="str">
        <f t="shared" si="245"/>
        <v/>
      </c>
      <c r="M1298" s="15">
        <f t="shared" si="249"/>
        <v>1.0036805941146518</v>
      </c>
      <c r="N1298" s="15">
        <f t="shared" si="250"/>
        <v>-6.7267011746909633E-2</v>
      </c>
      <c r="O1298" s="15">
        <f t="shared" si="251"/>
        <v>1.00115979424459</v>
      </c>
      <c r="P1298" s="18">
        <f>IF(SUMIFS('Daily NSE Equity Futures'!$J:$J,'Daily NSE Equity Futures'!$A:$A,$A1298)=0,"",SUMIFS('Daily NSE Equity Futures'!$J:$J,'Daily NSE Equity Futures'!$A:$A,$A1298))</f>
        <v>4997021</v>
      </c>
      <c r="Q1298" s="7">
        <f>IF(SUMIFS('Daily BSE Equity Futures'!$J:$J,'Daily BSE Equity Futures'!$A:$A,$A1298)=0,"",SUMIFS('Daily BSE Equity Futures'!$J:$J,'Daily BSE Equity Futures'!$A:$A,$A1298))</f>
        <v>2430</v>
      </c>
      <c r="R1298" s="7">
        <f t="shared" si="246"/>
        <v>4999451</v>
      </c>
      <c r="S1298" s="19">
        <f t="shared" si="247"/>
        <v>0.99951394663134008</v>
      </c>
      <c r="T1298" s="19">
        <f t="shared" si="248"/>
        <v>4.8605336865987885E-4</v>
      </c>
    </row>
    <row r="1299" spans="1:20" x14ac:dyDescent="0.2">
      <c r="A1299" s="9">
        <v>45832</v>
      </c>
      <c r="B1299" s="4" t="s">
        <v>223</v>
      </c>
      <c r="C1299" s="8">
        <v>45809</v>
      </c>
      <c r="D1299" s="4" t="s">
        <v>193</v>
      </c>
      <c r="E1299" s="14">
        <f>IF(SUMIFS('Daily NSE Equity Futures'!$I:$I,'Daily NSE Equity Futures'!$A:$A,$A1299)=0,"",SUMIFS('Daily NSE Equity Futures'!$I:$I,'Daily NSE Equity Futures'!$A:$A,$A1299))</f>
        <v>4122.4943999999996</v>
      </c>
      <c r="F1299" s="6">
        <f>IF(SUMIFS('Daily BSE Equity Futures'!$I:$I,'Daily BSE Equity Futures'!$A:$A,$A1299)=0,"",SUMIFS('Daily BSE Equity Futures'!$I:$I,'Daily BSE Equity Futures'!$A:$A,$A1299))</f>
        <v>10.3537</v>
      </c>
      <c r="G1299" s="6">
        <f t="shared" si="240"/>
        <v>4132.8480999999992</v>
      </c>
      <c r="H1299" s="15">
        <f t="shared" si="241"/>
        <v>0.99749477847976076</v>
      </c>
      <c r="I1299" s="15">
        <f t="shared" si="242"/>
        <v>2.5052215202392755E-3</v>
      </c>
      <c r="J1299" s="20">
        <f t="shared" si="243"/>
        <v>0.18604272803489752</v>
      </c>
      <c r="K1299" s="15">
        <f t="shared" si="244"/>
        <v>9.1457128858402754</v>
      </c>
      <c r="L1299" s="15">
        <f t="shared" si="245"/>
        <v>0.18867249825000121</v>
      </c>
      <c r="M1299" s="15">
        <f t="shared" si="249"/>
        <v>0.14734073747850851</v>
      </c>
      <c r="N1299" s="15">
        <f t="shared" si="250"/>
        <v>1.6236474672478018</v>
      </c>
      <c r="O1299" s="15">
        <f t="shared" si="251"/>
        <v>0.14896039171398101</v>
      </c>
      <c r="P1299" s="18">
        <f>IF(SUMIFS('Daily NSE Equity Futures'!$J:$J,'Daily NSE Equity Futures'!$A:$A,$A1299)=0,"",SUMIFS('Daily NSE Equity Futures'!$J:$J,'Daily NSE Equity Futures'!$A:$A,$A1299))</f>
        <v>5584024</v>
      </c>
      <c r="Q1299" s="7">
        <f>IF(SUMIFS('Daily BSE Equity Futures'!$J:$J,'Daily BSE Equity Futures'!$A:$A,$A1299)=0,"",SUMIFS('Daily BSE Equity Futures'!$J:$J,'Daily BSE Equity Futures'!$A:$A,$A1299))</f>
        <v>6310</v>
      </c>
      <c r="R1299" s="7">
        <f t="shared" si="246"/>
        <v>5590334</v>
      </c>
      <c r="S1299" s="19">
        <f t="shared" si="247"/>
        <v>0.99887126601022402</v>
      </c>
      <c r="T1299" s="19">
        <f t="shared" si="248"/>
        <v>1.128733989775924E-3</v>
      </c>
    </row>
    <row r="1300" spans="1:20" x14ac:dyDescent="0.2">
      <c r="A1300" s="9">
        <v>45833</v>
      </c>
      <c r="B1300" s="4" t="s">
        <v>221</v>
      </c>
      <c r="C1300" s="8">
        <v>45809</v>
      </c>
      <c r="D1300" s="4" t="s">
        <v>193</v>
      </c>
      <c r="E1300" s="14">
        <f>IF(SUMIFS('Daily NSE Equity Futures'!$I:$I,'Daily NSE Equity Futures'!$A:$A,$A1300)=0,"",SUMIFS('Daily NSE Equity Futures'!$I:$I,'Daily NSE Equity Futures'!$A:$A,$A1300))</f>
        <v>3336.7208999999998</v>
      </c>
      <c r="F1300" s="6">
        <f>IF(SUMIFS('Daily BSE Equity Futures'!$I:$I,'Daily BSE Equity Futures'!$A:$A,$A1300)=0,"",SUMIFS('Daily BSE Equity Futures'!$I:$I,'Daily BSE Equity Futures'!$A:$A,$A1300))</f>
        <v>2.1392000000000002</v>
      </c>
      <c r="G1300" s="6">
        <f t="shared" si="240"/>
        <v>3338.8600999999999</v>
      </c>
      <c r="H1300" s="15">
        <f t="shared" si="241"/>
        <v>0.99935930229601411</v>
      </c>
      <c r="I1300" s="15">
        <f t="shared" si="242"/>
        <v>6.4069770398586046E-4</v>
      </c>
      <c r="J1300" s="20">
        <f t="shared" si="243"/>
        <v>-0.10338164908060321</v>
      </c>
      <c r="K1300" s="15">
        <f t="shared" si="244"/>
        <v>1.8876889848812097</v>
      </c>
      <c r="L1300" s="15">
        <f t="shared" si="245"/>
        <v>-0.10298538113864864</v>
      </c>
      <c r="M1300" s="15">
        <f t="shared" si="249"/>
        <v>-0.19060632320082715</v>
      </c>
      <c r="N1300" s="15">
        <f t="shared" si="250"/>
        <v>-0.79338787100263675</v>
      </c>
      <c r="O1300" s="15">
        <f t="shared" si="251"/>
        <v>-0.19211642450638322</v>
      </c>
      <c r="P1300" s="18">
        <f>IF(SUMIFS('Daily NSE Equity Futures'!$J:$J,'Daily NSE Equity Futures'!$A:$A,$A1300)=0,"",SUMIFS('Daily NSE Equity Futures'!$J:$J,'Daily NSE Equity Futures'!$A:$A,$A1300))</f>
        <v>4599956</v>
      </c>
      <c r="Q1300" s="7">
        <f>IF(SUMIFS('Daily BSE Equity Futures'!$J:$J,'Daily BSE Equity Futures'!$A:$A,$A1300)=0,"",SUMIFS('Daily BSE Equity Futures'!$J:$J,'Daily BSE Equity Futures'!$A:$A,$A1300))</f>
        <v>1325</v>
      </c>
      <c r="R1300" s="7">
        <f t="shared" si="246"/>
        <v>4601281</v>
      </c>
      <c r="S1300" s="19">
        <f t="shared" si="247"/>
        <v>0.99971203671325437</v>
      </c>
      <c r="T1300" s="19">
        <f t="shared" si="248"/>
        <v>2.8796328674558238E-4</v>
      </c>
    </row>
    <row r="1301" spans="1:20" x14ac:dyDescent="0.2">
      <c r="A1301" s="9">
        <v>45834</v>
      </c>
      <c r="B1301" s="4" t="s">
        <v>224</v>
      </c>
      <c r="C1301" s="8">
        <v>45809</v>
      </c>
      <c r="D1301" s="4" t="s">
        <v>193</v>
      </c>
      <c r="E1301" s="14">
        <f>IF(SUMIFS('Daily NSE Equity Futures'!$I:$I,'Daily NSE Equity Futures'!$A:$A,$A1301)=0,"",SUMIFS('Daily NSE Equity Futures'!$I:$I,'Daily NSE Equity Futures'!$A:$A,$A1301))</f>
        <v>3259.8159000000001</v>
      </c>
      <c r="F1301" s="6">
        <f>IF(SUMIFS('Daily BSE Equity Futures'!$I:$I,'Daily BSE Equity Futures'!$A:$A,$A1301)=0,"",SUMIFS('Daily BSE Equity Futures'!$I:$I,'Daily BSE Equity Futures'!$A:$A,$A1301))</f>
        <v>3.7795000000000001</v>
      </c>
      <c r="G1301" s="6">
        <f t="shared" si="240"/>
        <v>3263.5954000000002</v>
      </c>
      <c r="H1301" s="15">
        <f t="shared" si="241"/>
        <v>0.99884192139748695</v>
      </c>
      <c r="I1301" s="15">
        <f t="shared" si="242"/>
        <v>1.1580786025130443E-3</v>
      </c>
      <c r="J1301" s="20">
        <f t="shared" si="243"/>
        <v>-9.3977967912946214E-2</v>
      </c>
      <c r="K1301" s="15">
        <f t="shared" si="244"/>
        <v>7.7025097858623077</v>
      </c>
      <c r="L1301" s="15">
        <f t="shared" si="245"/>
        <v>-9.3036984223112018E-2</v>
      </c>
      <c r="M1301" s="15">
        <f t="shared" si="249"/>
        <v>-2.304807693085742E-2</v>
      </c>
      <c r="N1301" s="15">
        <f t="shared" si="250"/>
        <v>0.76678197456993247</v>
      </c>
      <c r="O1301" s="15">
        <f t="shared" si="251"/>
        <v>-2.2542034630321783E-2</v>
      </c>
      <c r="P1301" s="18">
        <f>IF(SUMIFS('Daily NSE Equity Futures'!$J:$J,'Daily NSE Equity Futures'!$A:$A,$A1301)=0,"",SUMIFS('Daily NSE Equity Futures'!$J:$J,'Daily NSE Equity Futures'!$A:$A,$A1301))</f>
        <v>4240318</v>
      </c>
      <c r="Q1301" s="7">
        <f>IF(SUMIFS('Daily BSE Equity Futures'!$J:$J,'Daily BSE Equity Futures'!$A:$A,$A1301)=0,"",SUMIFS('Daily BSE Equity Futures'!$J:$J,'Daily BSE Equity Futures'!$A:$A,$A1301))</f>
        <v>2303</v>
      </c>
      <c r="R1301" s="7">
        <f t="shared" si="246"/>
        <v>4242621</v>
      </c>
      <c r="S1301" s="19">
        <f t="shared" si="247"/>
        <v>0.99945717517543986</v>
      </c>
      <c r="T1301" s="19">
        <f t="shared" si="248"/>
        <v>5.4282482456010099E-4</v>
      </c>
    </row>
    <row r="1302" spans="1:20" x14ac:dyDescent="0.2">
      <c r="A1302" s="9">
        <v>45835</v>
      </c>
      <c r="B1302" s="4" t="s">
        <v>222</v>
      </c>
      <c r="C1302" s="8">
        <v>45809</v>
      </c>
      <c r="D1302" s="4" t="s">
        <v>193</v>
      </c>
      <c r="E1302" s="14">
        <f>IF(SUMIFS('Daily NSE Equity Futures'!$I:$I,'Daily NSE Equity Futures'!$A:$A,$A1302)=0,"",SUMIFS('Daily NSE Equity Futures'!$I:$I,'Daily NSE Equity Futures'!$A:$A,$A1302))</f>
        <v>1349.8027</v>
      </c>
      <c r="F1302" s="6">
        <f>IF(SUMIFS('Daily BSE Equity Futures'!$I:$I,'Daily BSE Equity Futures'!$A:$A,$A1302)=0,"",SUMIFS('Daily BSE Equity Futures'!$I:$I,'Daily BSE Equity Futures'!$A:$A,$A1302))</f>
        <v>3.1276999999999999</v>
      </c>
      <c r="G1302" s="6">
        <f t="shared" si="240"/>
        <v>1352.9304</v>
      </c>
      <c r="H1302" s="15">
        <f t="shared" si="241"/>
        <v>0.99768820332516739</v>
      </c>
      <c r="I1302" s="15">
        <f t="shared" si="242"/>
        <v>2.3117966748326447E-3</v>
      </c>
      <c r="J1302" s="20">
        <f t="shared" si="243"/>
        <v>-0.67592385046832737</v>
      </c>
      <c r="K1302" s="15">
        <f t="shared" si="244"/>
        <v>2.284364170954531</v>
      </c>
      <c r="L1302" s="15">
        <f t="shared" si="245"/>
        <v>-0.67524716750194202</v>
      </c>
      <c r="M1302" s="15">
        <f t="shared" si="249"/>
        <v>-0.58592670831503102</v>
      </c>
      <c r="N1302" s="15">
        <f t="shared" si="250"/>
        <v>-0.17245667416324917</v>
      </c>
      <c r="O1302" s="15">
        <f t="shared" si="251"/>
        <v>-0.58544787751569949</v>
      </c>
      <c r="P1302" s="18">
        <f>IF(SUMIFS('Daily NSE Equity Futures'!$J:$J,'Daily NSE Equity Futures'!$A:$A,$A1302)=0,"",SUMIFS('Daily NSE Equity Futures'!$J:$J,'Daily NSE Equity Futures'!$A:$A,$A1302))</f>
        <v>1698656</v>
      </c>
      <c r="Q1302" s="7">
        <f>IF(SUMIFS('Daily BSE Equity Futures'!$J:$J,'Daily BSE Equity Futures'!$A:$A,$A1302)=0,"",SUMIFS('Daily BSE Equity Futures'!$J:$J,'Daily BSE Equity Futures'!$A:$A,$A1302))</f>
        <v>1877</v>
      </c>
      <c r="R1302" s="7">
        <f t="shared" si="246"/>
        <v>1700533</v>
      </c>
      <c r="S1302" s="19">
        <f t="shared" si="247"/>
        <v>0.99889622841779602</v>
      </c>
      <c r="T1302" s="19">
        <f t="shared" si="248"/>
        <v>1.1037715822039326E-3</v>
      </c>
    </row>
    <row r="1303" spans="1:20" x14ac:dyDescent="0.2">
      <c r="A1303" s="9">
        <v>45838</v>
      </c>
      <c r="B1303" s="4" t="s">
        <v>225</v>
      </c>
      <c r="C1303" s="8">
        <v>45809</v>
      </c>
      <c r="D1303" s="4" t="s">
        <v>193</v>
      </c>
      <c r="E1303" s="14">
        <f>IF(SUMIFS('Daily NSE Equity Futures'!$I:$I,'Daily NSE Equity Futures'!$A:$A,$A1303)=0,"",SUMIFS('Daily NSE Equity Futures'!$I:$I,'Daily NSE Equity Futures'!$A:$A,$A1303))</f>
        <v>1006.7142</v>
      </c>
      <c r="F1303" s="6">
        <f>IF(SUMIFS('Daily BSE Equity Futures'!$I:$I,'Daily BSE Equity Futures'!$A:$A,$A1303)=0,"",SUMIFS('Daily BSE Equity Futures'!$I:$I,'Daily BSE Equity Futures'!$A:$A,$A1303))</f>
        <v>4.0519999999999996</v>
      </c>
      <c r="G1303" s="6">
        <f t="shared" si="240"/>
        <v>1010.7662</v>
      </c>
      <c r="H1303" s="15">
        <f t="shared" si="241"/>
        <v>0.9959911599734933</v>
      </c>
      <c r="I1303" s="15">
        <f t="shared" si="242"/>
        <v>4.0088400265066238E-3</v>
      </c>
      <c r="J1303" s="20" t="str">
        <f t="shared" si="243"/>
        <v/>
      </c>
      <c r="K1303" s="15" t="str">
        <f t="shared" si="244"/>
        <v/>
      </c>
      <c r="L1303" s="15" t="str">
        <f t="shared" si="245"/>
        <v/>
      </c>
      <c r="M1303" s="15">
        <f t="shared" si="249"/>
        <v>-0.25417677709490427</v>
      </c>
      <c r="N1303" s="15">
        <f t="shared" si="250"/>
        <v>0.29552067014099803</v>
      </c>
      <c r="O1303" s="15">
        <f t="shared" si="251"/>
        <v>-0.25290598836422029</v>
      </c>
      <c r="P1303" s="18">
        <f>IF(SUMIFS('Daily NSE Equity Futures'!$J:$J,'Daily NSE Equity Futures'!$A:$A,$A1303)=0,"",SUMIFS('Daily NSE Equity Futures'!$J:$J,'Daily NSE Equity Futures'!$A:$A,$A1303))</f>
        <v>1181763</v>
      </c>
      <c r="Q1303" s="7">
        <f>IF(SUMIFS('Daily BSE Equity Futures'!$J:$J,'Daily BSE Equity Futures'!$A:$A,$A1303)=0,"",SUMIFS('Daily BSE Equity Futures'!$J:$J,'Daily BSE Equity Futures'!$A:$A,$A1303))</f>
        <v>2444</v>
      </c>
      <c r="R1303" s="7">
        <f t="shared" si="246"/>
        <v>1184207</v>
      </c>
      <c r="S1303" s="19">
        <f t="shared" si="247"/>
        <v>0.99793617163215553</v>
      </c>
      <c r="T1303" s="19">
        <f t="shared" si="248"/>
        <v>2.063828367844473E-3</v>
      </c>
    </row>
    <row r="1304" spans="1:20" x14ac:dyDescent="0.2">
      <c r="A1304" s="9">
        <v>45839</v>
      </c>
      <c r="B1304" s="4" t="s">
        <v>223</v>
      </c>
      <c r="C1304" s="8">
        <v>45839</v>
      </c>
      <c r="D1304" s="4" t="s">
        <v>194</v>
      </c>
      <c r="E1304" s="14">
        <f>IF(SUMIFS('Daily NSE Equity Futures'!$I:$I,'Daily NSE Equity Futures'!$A:$A,$A1304)=0,"",SUMIFS('Daily NSE Equity Futures'!$I:$I,'Daily NSE Equity Futures'!$A:$A,$A1304))</f>
        <v>932.572</v>
      </c>
      <c r="F1304" s="6">
        <f>IF(SUMIFS('Daily BSE Equity Futures'!$I:$I,'Daily BSE Equity Futures'!$A:$A,$A1304)=0,"",SUMIFS('Daily BSE Equity Futures'!$I:$I,'Daily BSE Equity Futures'!$A:$A,$A1304))</f>
        <v>4.2076000000000002</v>
      </c>
      <c r="G1304" s="6">
        <f t="shared" si="240"/>
        <v>936.77959999999996</v>
      </c>
      <c r="H1304" s="15">
        <f t="shared" si="241"/>
        <v>0.99550844190031473</v>
      </c>
      <c r="I1304" s="15">
        <f t="shared" si="242"/>
        <v>4.4915580996853482E-3</v>
      </c>
      <c r="J1304" s="20">
        <f t="shared" si="243"/>
        <v>-0.26178162946293748</v>
      </c>
      <c r="K1304" s="15">
        <f t="shared" si="244"/>
        <v>0.89865078290690859</v>
      </c>
      <c r="L1304" s="15">
        <f t="shared" si="245"/>
        <v>-0.25974950414463971</v>
      </c>
      <c r="M1304" s="15">
        <f t="shared" si="249"/>
        <v>-7.3647714515202023E-2</v>
      </c>
      <c r="N1304" s="15">
        <f t="shared" si="250"/>
        <v>3.8400789733465057E-2</v>
      </c>
      <c r="O1304" s="15">
        <f t="shared" si="251"/>
        <v>-7.3198529986459815E-2</v>
      </c>
      <c r="P1304" s="18">
        <f>IF(SUMIFS('Daily NSE Equity Futures'!$J:$J,'Daily NSE Equity Futures'!$A:$A,$A1304)=0,"",SUMIFS('Daily NSE Equity Futures'!$J:$J,'Daily NSE Equity Futures'!$A:$A,$A1304))</f>
        <v>1159110</v>
      </c>
      <c r="Q1304" s="7">
        <f>IF(SUMIFS('Daily BSE Equity Futures'!$J:$J,'Daily BSE Equity Futures'!$A:$A,$A1304)=0,"",SUMIFS('Daily BSE Equity Futures'!$J:$J,'Daily BSE Equity Futures'!$A:$A,$A1304))</f>
        <v>2551</v>
      </c>
      <c r="R1304" s="7">
        <f t="shared" si="246"/>
        <v>1161661</v>
      </c>
      <c r="S1304" s="19">
        <f t="shared" si="247"/>
        <v>0.99780400650447931</v>
      </c>
      <c r="T1304" s="19">
        <f t="shared" si="248"/>
        <v>2.1959934955206382E-3</v>
      </c>
    </row>
    <row r="1305" spans="1:20" x14ac:dyDescent="0.2">
      <c r="A1305" s="9">
        <v>45840</v>
      </c>
      <c r="B1305" s="4" t="s">
        <v>221</v>
      </c>
      <c r="C1305" s="8">
        <v>45839</v>
      </c>
      <c r="D1305" s="4" t="s">
        <v>194</v>
      </c>
      <c r="E1305" s="14">
        <f>IF(SUMIFS('Daily NSE Equity Futures'!$I:$I,'Daily NSE Equity Futures'!$A:$A,$A1305)=0,"",SUMIFS('Daily NSE Equity Futures'!$I:$I,'Daily NSE Equity Futures'!$A:$A,$A1305))</f>
        <v>1051.4546</v>
      </c>
      <c r="F1305" s="6">
        <f>IF(SUMIFS('Daily BSE Equity Futures'!$I:$I,'Daily BSE Equity Futures'!$A:$A,$A1305)=0,"",SUMIFS('Daily BSE Equity Futures'!$I:$I,'Daily BSE Equity Futures'!$A:$A,$A1305))</f>
        <v>2.1255000000000002</v>
      </c>
      <c r="G1305" s="6">
        <f t="shared" si="240"/>
        <v>1053.5801000000001</v>
      </c>
      <c r="H1305" s="15">
        <f t="shared" si="241"/>
        <v>0.99798259287547275</v>
      </c>
      <c r="I1305" s="15">
        <f t="shared" si="242"/>
        <v>2.017407124527124E-3</v>
      </c>
      <c r="J1305" s="20">
        <f t="shared" si="243"/>
        <v>-0.34843698682936919</v>
      </c>
      <c r="K1305" s="15">
        <f t="shared" si="244"/>
        <v>2.3861717380914449</v>
      </c>
      <c r="L1305" s="15">
        <f t="shared" si="245"/>
        <v>-0.3473737149551307</v>
      </c>
      <c r="M1305" s="15">
        <f t="shared" si="249"/>
        <v>0.1274782000746324</v>
      </c>
      <c r="N1305" s="15">
        <f t="shared" si="250"/>
        <v>-0.49484266565262858</v>
      </c>
      <c r="O1305" s="15">
        <f t="shared" si="251"/>
        <v>0.12468300974957192</v>
      </c>
      <c r="P1305" s="18">
        <f>IF(SUMIFS('Daily NSE Equity Futures'!$J:$J,'Daily NSE Equity Futures'!$A:$A,$A1305)=0,"",SUMIFS('Daily NSE Equity Futures'!$J:$J,'Daily NSE Equity Futures'!$A:$A,$A1305))</f>
        <v>1273199</v>
      </c>
      <c r="Q1305" s="7">
        <f>IF(SUMIFS('Daily BSE Equity Futures'!$J:$J,'Daily BSE Equity Futures'!$A:$A,$A1305)=0,"",SUMIFS('Daily BSE Equity Futures'!$J:$J,'Daily BSE Equity Futures'!$A:$A,$A1305))</f>
        <v>1300</v>
      </c>
      <c r="R1305" s="7">
        <f t="shared" si="246"/>
        <v>1274499</v>
      </c>
      <c r="S1305" s="19">
        <f t="shared" si="247"/>
        <v>0.99897999135346516</v>
      </c>
      <c r="T1305" s="19">
        <f t="shared" si="248"/>
        <v>1.0200086465348345E-3</v>
      </c>
    </row>
    <row r="1306" spans="1:20" x14ac:dyDescent="0.2">
      <c r="A1306" s="9">
        <v>45841</v>
      </c>
      <c r="B1306" s="4" t="s">
        <v>224</v>
      </c>
      <c r="C1306" s="8">
        <v>45839</v>
      </c>
      <c r="D1306" s="4" t="s">
        <v>194</v>
      </c>
      <c r="E1306" s="14">
        <f>IF(SUMIFS('Daily NSE Equity Futures'!$I:$I,'Daily NSE Equity Futures'!$A:$A,$A1306)=0,"",SUMIFS('Daily NSE Equity Futures'!$I:$I,'Daily NSE Equity Futures'!$A:$A,$A1306))</f>
        <v>938.56979999999999</v>
      </c>
      <c r="F1306" s="6">
        <f>IF(SUMIFS('Daily BSE Equity Futures'!$I:$I,'Daily BSE Equity Futures'!$A:$A,$A1306)=0,"",SUMIFS('Daily BSE Equity Futures'!$I:$I,'Daily BSE Equity Futures'!$A:$A,$A1306))</f>
        <v>2.5611999999999999</v>
      </c>
      <c r="G1306" s="6">
        <f t="shared" si="240"/>
        <v>941.13099999999997</v>
      </c>
      <c r="H1306" s="15">
        <f t="shared" si="241"/>
        <v>0.99727859352204951</v>
      </c>
      <c r="I1306" s="15">
        <f t="shared" si="242"/>
        <v>2.7214064779504661E-3</v>
      </c>
      <c r="J1306" s="20">
        <f t="shared" si="243"/>
        <v>-0.42885376828984878</v>
      </c>
      <c r="K1306" s="15">
        <f t="shared" si="244"/>
        <v>2.4194926568758341</v>
      </c>
      <c r="L1306" s="15">
        <f t="shared" si="245"/>
        <v>-0.42755611860675724</v>
      </c>
      <c r="M1306" s="15">
        <f t="shared" si="249"/>
        <v>-0.10736060311115669</v>
      </c>
      <c r="N1306" s="15">
        <f t="shared" si="250"/>
        <v>0.20498706186779558</v>
      </c>
      <c r="O1306" s="15">
        <f t="shared" si="251"/>
        <v>-0.10673047070649888</v>
      </c>
      <c r="P1306" s="18">
        <f>IF(SUMIFS('Daily NSE Equity Futures'!$J:$J,'Daily NSE Equity Futures'!$A:$A,$A1306)=0,"",SUMIFS('Daily NSE Equity Futures'!$J:$J,'Daily NSE Equity Futures'!$A:$A,$A1306))</f>
        <v>1103550</v>
      </c>
      <c r="Q1306" s="7">
        <f>IF(SUMIFS('Daily BSE Equity Futures'!$J:$J,'Daily BSE Equity Futures'!$A:$A,$A1306)=0,"",SUMIFS('Daily BSE Equity Futures'!$J:$J,'Daily BSE Equity Futures'!$A:$A,$A1306))</f>
        <v>1555</v>
      </c>
      <c r="R1306" s="7">
        <f t="shared" si="246"/>
        <v>1105105</v>
      </c>
      <c r="S1306" s="19">
        <f t="shared" si="247"/>
        <v>0.99859289388791106</v>
      </c>
      <c r="T1306" s="19">
        <f t="shared" si="248"/>
        <v>1.4071061120888965E-3</v>
      </c>
    </row>
    <row r="1307" spans="1:20" x14ac:dyDescent="0.2">
      <c r="A1307" s="9">
        <v>45842</v>
      </c>
      <c r="B1307" s="4" t="s">
        <v>222</v>
      </c>
      <c r="C1307" s="8">
        <v>45839</v>
      </c>
      <c r="D1307" s="4" t="s">
        <v>194</v>
      </c>
      <c r="E1307" s="14">
        <f>IF(SUMIFS('Daily NSE Equity Futures'!$I:$I,'Daily NSE Equity Futures'!$A:$A,$A1307)=0,"",SUMIFS('Daily NSE Equity Futures'!$I:$I,'Daily NSE Equity Futures'!$A:$A,$A1307))</f>
        <v>881.48140000000001</v>
      </c>
      <c r="F1307" s="6">
        <f>IF(SUMIFS('Daily BSE Equity Futures'!$I:$I,'Daily BSE Equity Futures'!$A:$A,$A1307)=0,"",SUMIFS('Daily BSE Equity Futures'!$I:$I,'Daily BSE Equity Futures'!$A:$A,$A1307))</f>
        <v>1.8021</v>
      </c>
      <c r="G1307" s="6">
        <f t="shared" si="240"/>
        <v>883.2835</v>
      </c>
      <c r="H1307" s="15">
        <f t="shared" si="241"/>
        <v>0.99795977169278038</v>
      </c>
      <c r="I1307" s="15">
        <f t="shared" si="242"/>
        <v>2.040228307219596E-3</v>
      </c>
      <c r="J1307" s="20">
        <f t="shared" si="243"/>
        <v>-0.38207299501764369</v>
      </c>
      <c r="K1307" s="15">
        <f t="shared" si="244"/>
        <v>2.0487227203518867</v>
      </c>
      <c r="L1307" s="15">
        <f t="shared" si="245"/>
        <v>-0.38106617109926544</v>
      </c>
      <c r="M1307" s="15">
        <f t="shared" si="249"/>
        <v>-6.0824884840743887E-2</v>
      </c>
      <c r="N1307" s="15">
        <f t="shared" si="250"/>
        <v>-0.29638450726222076</v>
      </c>
      <c r="O1307" s="15">
        <f t="shared" si="251"/>
        <v>-6.1465938323145175E-2</v>
      </c>
      <c r="P1307" s="18">
        <f>IF(SUMIFS('Daily NSE Equity Futures'!$J:$J,'Daily NSE Equity Futures'!$A:$A,$A1307)=0,"",SUMIFS('Daily NSE Equity Futures'!$J:$J,'Daily NSE Equity Futures'!$A:$A,$A1307))</f>
        <v>1072448</v>
      </c>
      <c r="Q1307" s="7">
        <f>IF(SUMIFS('Daily BSE Equity Futures'!$J:$J,'Daily BSE Equity Futures'!$A:$A,$A1307)=0,"",SUMIFS('Daily BSE Equity Futures'!$J:$J,'Daily BSE Equity Futures'!$A:$A,$A1307))</f>
        <v>1106</v>
      </c>
      <c r="R1307" s="7">
        <f t="shared" si="246"/>
        <v>1073554</v>
      </c>
      <c r="S1307" s="19">
        <f t="shared" si="247"/>
        <v>0.99896977702099754</v>
      </c>
      <c r="T1307" s="19">
        <f t="shared" si="248"/>
        <v>1.0302229790024534E-3</v>
      </c>
    </row>
    <row r="1308" spans="1:20" x14ac:dyDescent="0.2">
      <c r="A1308" s="9">
        <v>45845</v>
      </c>
      <c r="B1308" s="4" t="s">
        <v>225</v>
      </c>
      <c r="C1308" s="8">
        <v>45839</v>
      </c>
      <c r="D1308" s="4" t="s">
        <v>194</v>
      </c>
      <c r="E1308" s="14">
        <f>IF(SUMIFS('Daily NSE Equity Futures'!$I:$I,'Daily NSE Equity Futures'!$A:$A,$A1308)=0,"",SUMIFS('Daily NSE Equity Futures'!$I:$I,'Daily NSE Equity Futures'!$A:$A,$A1308))</f>
        <v>722.61080000000004</v>
      </c>
      <c r="F1308" s="6">
        <f>IF(SUMIFS('Daily BSE Equity Futures'!$I:$I,'Daily BSE Equity Futures'!$A:$A,$A1308)=0,"",SUMIFS('Daily BSE Equity Futures'!$I:$I,'Daily BSE Equity Futures'!$A:$A,$A1308))</f>
        <v>1.4719</v>
      </c>
      <c r="G1308" s="6">
        <f t="shared" si="240"/>
        <v>724.08270000000005</v>
      </c>
      <c r="H1308" s="15">
        <f t="shared" si="241"/>
        <v>0.99796722114752912</v>
      </c>
      <c r="I1308" s="15">
        <f t="shared" si="242"/>
        <v>2.0327788524708572E-3</v>
      </c>
      <c r="J1308" s="20" t="str">
        <f t="shared" si="243"/>
        <v/>
      </c>
      <c r="K1308" s="15" t="str">
        <f t="shared" si="244"/>
        <v/>
      </c>
      <c r="L1308" s="15" t="str">
        <f t="shared" si="245"/>
        <v/>
      </c>
      <c r="M1308" s="15">
        <f t="shared" si="249"/>
        <v>-0.18023136960121899</v>
      </c>
      <c r="N1308" s="15">
        <f t="shared" si="250"/>
        <v>-0.183230675323234</v>
      </c>
      <c r="O1308" s="15">
        <f t="shared" si="251"/>
        <v>-0.18023748886965507</v>
      </c>
      <c r="P1308" s="18">
        <f>IF(SUMIFS('Daily NSE Equity Futures'!$J:$J,'Daily NSE Equity Futures'!$A:$A,$A1308)=0,"",SUMIFS('Daily NSE Equity Futures'!$J:$J,'Daily NSE Equity Futures'!$A:$A,$A1308))</f>
        <v>886268</v>
      </c>
      <c r="Q1308" s="7">
        <f>IF(SUMIFS('Daily BSE Equity Futures'!$J:$J,'Daily BSE Equity Futures'!$A:$A,$A1308)=0,"",SUMIFS('Daily BSE Equity Futures'!$J:$J,'Daily BSE Equity Futures'!$A:$A,$A1308))</f>
        <v>893</v>
      </c>
      <c r="R1308" s="7">
        <f t="shared" si="246"/>
        <v>887161</v>
      </c>
      <c r="S1308" s="19">
        <f t="shared" si="247"/>
        <v>0.99899341833105826</v>
      </c>
      <c r="T1308" s="19">
        <f t="shared" si="248"/>
        <v>1.006581668941714E-3</v>
      </c>
    </row>
    <row r="1309" spans="1:20" x14ac:dyDescent="0.2">
      <c r="A1309" s="9">
        <v>45846</v>
      </c>
      <c r="B1309" s="4" t="s">
        <v>223</v>
      </c>
      <c r="C1309" s="8">
        <v>45839</v>
      </c>
      <c r="D1309" s="4" t="s">
        <v>194</v>
      </c>
      <c r="E1309" s="14">
        <f>IF(SUMIFS('Daily NSE Equity Futures'!$I:$I,'Daily NSE Equity Futures'!$A:$A,$A1309)=0,"",SUMIFS('Daily NSE Equity Futures'!$I:$I,'Daily NSE Equity Futures'!$A:$A,$A1309))</f>
        <v>875.09540000000004</v>
      </c>
      <c r="F1309" s="6">
        <f>IF(SUMIFS('Daily BSE Equity Futures'!$I:$I,'Daily BSE Equity Futures'!$A:$A,$A1309)=0,"",SUMIFS('Daily BSE Equity Futures'!$I:$I,'Daily BSE Equity Futures'!$A:$A,$A1309))</f>
        <v>3.7092000000000001</v>
      </c>
      <c r="G1309" s="6">
        <f t="shared" si="240"/>
        <v>878.80460000000005</v>
      </c>
      <c r="H1309" s="15">
        <f t="shared" si="241"/>
        <v>0.99577926651726678</v>
      </c>
      <c r="I1309" s="15">
        <f t="shared" si="242"/>
        <v>4.2207334827332492E-3</v>
      </c>
      <c r="J1309" s="20">
        <f t="shared" si="243"/>
        <v>-0.382440977849973</v>
      </c>
      <c r="K1309" s="15">
        <f t="shared" si="244"/>
        <v>4.7161349976883953</v>
      </c>
      <c r="L1309" s="15">
        <f t="shared" si="245"/>
        <v>-0.38010724624595815</v>
      </c>
      <c r="M1309" s="15">
        <f t="shared" si="249"/>
        <v>0.21101898836828892</v>
      </c>
      <c r="N1309" s="15">
        <f t="shared" si="250"/>
        <v>1.5200081527277667</v>
      </c>
      <c r="O1309" s="15">
        <f t="shared" si="251"/>
        <v>0.21367987385971232</v>
      </c>
      <c r="P1309" s="18">
        <f>IF(SUMIFS('Daily NSE Equity Futures'!$J:$J,'Daily NSE Equity Futures'!$A:$A,$A1309)=0,"",SUMIFS('Daily NSE Equity Futures'!$J:$J,'Daily NSE Equity Futures'!$A:$A,$A1309))</f>
        <v>1092905</v>
      </c>
      <c r="Q1309" s="7">
        <f>IF(SUMIFS('Daily BSE Equity Futures'!$J:$J,'Daily BSE Equity Futures'!$A:$A,$A1309)=0,"",SUMIFS('Daily BSE Equity Futures'!$J:$J,'Daily BSE Equity Futures'!$A:$A,$A1309))</f>
        <v>2234</v>
      </c>
      <c r="R1309" s="7">
        <f t="shared" si="246"/>
        <v>1095139</v>
      </c>
      <c r="S1309" s="19">
        <f t="shared" si="247"/>
        <v>0.99796007630081662</v>
      </c>
      <c r="T1309" s="19">
        <f t="shared" si="248"/>
        <v>2.0399236991833912E-3</v>
      </c>
    </row>
    <row r="1310" spans="1:20" x14ac:dyDescent="0.2">
      <c r="A1310" s="9">
        <v>45847</v>
      </c>
      <c r="B1310" s="4" t="s">
        <v>221</v>
      </c>
      <c r="C1310" s="8">
        <v>45839</v>
      </c>
      <c r="D1310" s="4" t="s">
        <v>194</v>
      </c>
      <c r="E1310" s="14">
        <f>IF(SUMIFS('Daily NSE Equity Futures'!$I:$I,'Daily NSE Equity Futures'!$A:$A,$A1310)=0,"",SUMIFS('Daily NSE Equity Futures'!$I:$I,'Daily NSE Equity Futures'!$A:$A,$A1310))</f>
        <v>857.428</v>
      </c>
      <c r="F1310" s="6">
        <f>IF(SUMIFS('Daily BSE Equity Futures'!$I:$I,'Daily BSE Equity Futures'!$A:$A,$A1310)=0,"",SUMIFS('Daily BSE Equity Futures'!$I:$I,'Daily BSE Equity Futures'!$A:$A,$A1310))</f>
        <v>1.244</v>
      </c>
      <c r="G1310" s="6">
        <f t="shared" si="240"/>
        <v>858.67200000000003</v>
      </c>
      <c r="H1310" s="15">
        <f t="shared" si="241"/>
        <v>0.99855125123446431</v>
      </c>
      <c r="I1310" s="15">
        <f t="shared" si="242"/>
        <v>1.4487487655356177E-3</v>
      </c>
      <c r="J1310" s="20">
        <f t="shared" si="243"/>
        <v>-0.30840778958731985</v>
      </c>
      <c r="K1310" s="15">
        <f t="shared" si="244"/>
        <v>1.0712620712620713</v>
      </c>
      <c r="L1310" s="15">
        <f t="shared" si="245"/>
        <v>-0.30773974938507187</v>
      </c>
      <c r="M1310" s="15">
        <f t="shared" si="249"/>
        <v>-2.0189113095555156E-2</v>
      </c>
      <c r="N1310" s="15">
        <f t="shared" si="250"/>
        <v>-0.66461770732233361</v>
      </c>
      <c r="O1310" s="15">
        <f t="shared" si="251"/>
        <v>-2.290907444043877E-2</v>
      </c>
      <c r="P1310" s="18">
        <f>IF(SUMIFS('Daily NSE Equity Futures'!$J:$J,'Daily NSE Equity Futures'!$A:$A,$A1310)=0,"",SUMIFS('Daily NSE Equity Futures'!$J:$J,'Daily NSE Equity Futures'!$A:$A,$A1310))</f>
        <v>1098650</v>
      </c>
      <c r="Q1310" s="7">
        <f>IF(SUMIFS('Daily BSE Equity Futures'!$J:$J,'Daily BSE Equity Futures'!$A:$A,$A1310)=0,"",SUMIFS('Daily BSE Equity Futures'!$J:$J,'Daily BSE Equity Futures'!$A:$A,$A1310))</f>
        <v>754</v>
      </c>
      <c r="R1310" s="7">
        <f t="shared" si="246"/>
        <v>1099404</v>
      </c>
      <c r="S1310" s="19">
        <f t="shared" si="247"/>
        <v>0.99931417386147403</v>
      </c>
      <c r="T1310" s="19">
        <f t="shared" si="248"/>
        <v>6.8582613852596495E-4</v>
      </c>
    </row>
    <row r="1311" spans="1:20" x14ac:dyDescent="0.2">
      <c r="A1311" s="9">
        <v>45848</v>
      </c>
      <c r="B1311" s="4" t="s">
        <v>224</v>
      </c>
      <c r="C1311" s="8">
        <v>45839</v>
      </c>
      <c r="D1311" s="4" t="s">
        <v>194</v>
      </c>
      <c r="E1311" s="14">
        <f>IF(SUMIFS('Daily NSE Equity Futures'!$I:$I,'Daily NSE Equity Futures'!$A:$A,$A1311)=0,"",SUMIFS('Daily NSE Equity Futures'!$I:$I,'Daily NSE Equity Futures'!$A:$A,$A1311))</f>
        <v>872.76130000000001</v>
      </c>
      <c r="F1311" s="6">
        <f>IF(SUMIFS('Daily BSE Equity Futures'!$I:$I,'Daily BSE Equity Futures'!$A:$A,$A1311)=0,"",SUMIFS('Daily BSE Equity Futures'!$I:$I,'Daily BSE Equity Futures'!$A:$A,$A1311))</f>
        <v>1.5597000000000001</v>
      </c>
      <c r="G1311" s="6">
        <f t="shared" si="240"/>
        <v>874.32100000000003</v>
      </c>
      <c r="H1311" s="15">
        <f t="shared" si="241"/>
        <v>0.9982161014089791</v>
      </c>
      <c r="I1311" s="15">
        <f t="shared" si="242"/>
        <v>1.7838985910209181E-3</v>
      </c>
      <c r="J1311" s="20">
        <f t="shared" si="243"/>
        <v>-0.51363815626582809</v>
      </c>
      <c r="K1311" s="15">
        <f t="shared" si="244"/>
        <v>0.53106900952193992</v>
      </c>
      <c r="L1311" s="15">
        <f t="shared" si="245"/>
        <v>-0.51304542420171284</v>
      </c>
      <c r="M1311" s="15">
        <f t="shared" si="249"/>
        <v>1.7882900954949044E-2</v>
      </c>
      <c r="N1311" s="15">
        <f t="shared" si="250"/>
        <v>0.25377813504823155</v>
      </c>
      <c r="O1311" s="15">
        <f t="shared" si="251"/>
        <v>1.8224653884137298E-2</v>
      </c>
      <c r="P1311" s="18">
        <f>IF(SUMIFS('Daily NSE Equity Futures'!$J:$J,'Daily NSE Equity Futures'!$A:$A,$A1311)=0,"",SUMIFS('Daily NSE Equity Futures'!$J:$J,'Daily NSE Equity Futures'!$A:$A,$A1311))</f>
        <v>1080995</v>
      </c>
      <c r="Q1311" s="7">
        <f>IF(SUMIFS('Daily BSE Equity Futures'!$J:$J,'Daily BSE Equity Futures'!$A:$A,$A1311)=0,"",SUMIFS('Daily BSE Equity Futures'!$J:$J,'Daily BSE Equity Futures'!$A:$A,$A1311))</f>
        <v>963</v>
      </c>
      <c r="R1311" s="7">
        <f t="shared" si="246"/>
        <v>1081958</v>
      </c>
      <c r="S1311" s="19">
        <f t="shared" si="247"/>
        <v>0.99910994696651811</v>
      </c>
      <c r="T1311" s="19">
        <f t="shared" si="248"/>
        <v>8.9005303348189111E-4</v>
      </c>
    </row>
    <row r="1312" spans="1:20" x14ac:dyDescent="0.2">
      <c r="A1312" s="9">
        <v>45849</v>
      </c>
      <c r="B1312" s="4" t="s">
        <v>222</v>
      </c>
      <c r="C1312" s="8">
        <v>45839</v>
      </c>
      <c r="D1312" s="4" t="s">
        <v>194</v>
      </c>
      <c r="E1312" s="14">
        <f>IF(SUMIFS('Daily NSE Equity Futures'!$I:$I,'Daily NSE Equity Futures'!$A:$A,$A1312)=0,"",SUMIFS('Daily NSE Equity Futures'!$I:$I,'Daily NSE Equity Futures'!$A:$A,$A1312))</f>
        <v>1023.0076</v>
      </c>
      <c r="F1312" s="6">
        <f>IF(SUMIFS('Daily BSE Equity Futures'!$I:$I,'Daily BSE Equity Futures'!$A:$A,$A1312)=0,"",SUMIFS('Daily BSE Equity Futures'!$I:$I,'Daily BSE Equity Futures'!$A:$A,$A1312))</f>
        <v>2.8283999999999998</v>
      </c>
      <c r="G1312" s="6">
        <f t="shared" si="240"/>
        <v>1025.836</v>
      </c>
      <c r="H1312" s="15">
        <f t="shared" si="241"/>
        <v>0.99724283413723047</v>
      </c>
      <c r="I1312" s="15">
        <f t="shared" si="242"/>
        <v>2.7571658627694872E-3</v>
      </c>
      <c r="J1312" s="20">
        <f t="shared" si="243"/>
        <v>-0.30437383094192927</v>
      </c>
      <c r="K1312" s="15">
        <f t="shared" si="244"/>
        <v>1.1440266828380836</v>
      </c>
      <c r="L1312" s="15">
        <f t="shared" si="245"/>
        <v>-0.30307573448946146</v>
      </c>
      <c r="M1312" s="15">
        <f t="shared" si="249"/>
        <v>0.17215050667347409</v>
      </c>
      <c r="N1312" s="15">
        <f t="shared" si="250"/>
        <v>0.81342565878053441</v>
      </c>
      <c r="O1312" s="15">
        <f t="shared" si="251"/>
        <v>0.17329447651377472</v>
      </c>
      <c r="P1312" s="18">
        <f>IF(SUMIFS('Daily NSE Equity Futures'!$J:$J,'Daily NSE Equity Futures'!$A:$A,$A1312)=0,"",SUMIFS('Daily NSE Equity Futures'!$J:$J,'Daily NSE Equity Futures'!$A:$A,$A1312))</f>
        <v>1265081</v>
      </c>
      <c r="Q1312" s="7">
        <f>IF(SUMIFS('Daily BSE Equity Futures'!$J:$J,'Daily BSE Equity Futures'!$A:$A,$A1312)=0,"",SUMIFS('Daily BSE Equity Futures'!$J:$J,'Daily BSE Equity Futures'!$A:$A,$A1312))</f>
        <v>1708</v>
      </c>
      <c r="R1312" s="7">
        <f t="shared" si="246"/>
        <v>1266789</v>
      </c>
      <c r="S1312" s="19">
        <f t="shared" si="247"/>
        <v>0.99865170916387813</v>
      </c>
      <c r="T1312" s="19">
        <f t="shared" si="248"/>
        <v>1.3482908361218799E-3</v>
      </c>
    </row>
    <row r="1313" spans="1:20" x14ac:dyDescent="0.2">
      <c r="A1313" s="9">
        <v>45852</v>
      </c>
      <c r="B1313" s="4" t="s">
        <v>225</v>
      </c>
      <c r="C1313" s="8">
        <v>45839</v>
      </c>
      <c r="D1313" s="4" t="s">
        <v>194</v>
      </c>
      <c r="E1313" s="14">
        <f>IF(SUMIFS('Daily NSE Equity Futures'!$I:$I,'Daily NSE Equity Futures'!$A:$A,$A1313)=0,"",SUMIFS('Daily NSE Equity Futures'!$I:$I,'Daily NSE Equity Futures'!$A:$A,$A1313))</f>
        <v>957.1884</v>
      </c>
      <c r="F1313" s="6">
        <f>IF(SUMIFS('Daily BSE Equity Futures'!$I:$I,'Daily BSE Equity Futures'!$A:$A,$A1313)=0,"",SUMIFS('Daily BSE Equity Futures'!$I:$I,'Daily BSE Equity Futures'!$A:$A,$A1313))</f>
        <v>2.1840999999999999</v>
      </c>
      <c r="G1313" s="6">
        <f t="shared" si="240"/>
        <v>959.37249999999995</v>
      </c>
      <c r="H1313" s="15">
        <f t="shared" si="241"/>
        <v>0.99772340774829382</v>
      </c>
      <c r="I1313" s="15">
        <f t="shared" si="242"/>
        <v>2.2765922517061932E-3</v>
      </c>
      <c r="J1313" s="20" t="str">
        <f t="shared" si="243"/>
        <v/>
      </c>
      <c r="K1313" s="15" t="str">
        <f t="shared" si="244"/>
        <v/>
      </c>
      <c r="L1313" s="15" t="str">
        <f t="shared" si="245"/>
        <v/>
      </c>
      <c r="M1313" s="15">
        <f t="shared" si="249"/>
        <v>-6.4338915957222631E-2</v>
      </c>
      <c r="N1313" s="15">
        <f t="shared" si="250"/>
        <v>-0.22779663413944273</v>
      </c>
      <c r="O1313" s="15">
        <f t="shared" si="251"/>
        <v>-6.4789595997800875E-2</v>
      </c>
      <c r="P1313" s="18">
        <f>IF(SUMIFS('Daily NSE Equity Futures'!$J:$J,'Daily NSE Equity Futures'!$A:$A,$A1313)=0,"",SUMIFS('Daily NSE Equity Futures'!$J:$J,'Daily NSE Equity Futures'!$A:$A,$A1313))</f>
        <v>1183566</v>
      </c>
      <c r="Q1313" s="7">
        <f>IF(SUMIFS('Daily BSE Equity Futures'!$J:$J,'Daily BSE Equity Futures'!$A:$A,$A1313)=0,"",SUMIFS('Daily BSE Equity Futures'!$J:$J,'Daily BSE Equity Futures'!$A:$A,$A1313))</f>
        <v>1338</v>
      </c>
      <c r="R1313" s="7">
        <f t="shared" si="246"/>
        <v>1184904</v>
      </c>
      <c r="S1313" s="19">
        <f t="shared" si="247"/>
        <v>0.99887079459601791</v>
      </c>
      <c r="T1313" s="19">
        <f t="shared" si="248"/>
        <v>1.1292054039820948E-3</v>
      </c>
    </row>
    <row r="1314" spans="1:20" x14ac:dyDescent="0.2">
      <c r="A1314" s="9">
        <v>45853</v>
      </c>
      <c r="B1314" s="4" t="s">
        <v>223</v>
      </c>
      <c r="C1314" s="8">
        <v>45839</v>
      </c>
      <c r="D1314" s="4" t="s">
        <v>194</v>
      </c>
      <c r="E1314" s="14">
        <f>IF(SUMIFS('Daily NSE Equity Futures'!$I:$I,'Daily NSE Equity Futures'!$A:$A,$A1314)=0,"",SUMIFS('Daily NSE Equity Futures'!$I:$I,'Daily NSE Equity Futures'!$A:$A,$A1314))</f>
        <v>968.04100000000005</v>
      </c>
      <c r="F1314" s="6">
        <f>IF(SUMIFS('Daily BSE Equity Futures'!$I:$I,'Daily BSE Equity Futures'!$A:$A,$A1314)=0,"",SUMIFS('Daily BSE Equity Futures'!$I:$I,'Daily BSE Equity Futures'!$A:$A,$A1314))</f>
        <v>4.0167000000000002</v>
      </c>
      <c r="G1314" s="6">
        <f t="shared" si="240"/>
        <v>972.05770000000007</v>
      </c>
      <c r="H1314" s="15">
        <f t="shared" si="241"/>
        <v>0.99586783788657807</v>
      </c>
      <c r="I1314" s="15">
        <f t="shared" si="242"/>
        <v>4.1321621134218674E-3</v>
      </c>
      <c r="J1314" s="20">
        <f t="shared" si="243"/>
        <v>-0.33954660839822337</v>
      </c>
      <c r="K1314" s="15">
        <f t="shared" si="244"/>
        <v>0.4941412788751256</v>
      </c>
      <c r="L1314" s="15">
        <f t="shared" si="245"/>
        <v>-0.33802032974164842</v>
      </c>
      <c r="M1314" s="15">
        <f t="shared" si="249"/>
        <v>1.133799782780498E-2</v>
      </c>
      <c r="N1314" s="15">
        <f t="shared" si="250"/>
        <v>0.83906414541458729</v>
      </c>
      <c r="O1314" s="15">
        <f t="shared" si="251"/>
        <v>1.3222392761935708E-2</v>
      </c>
      <c r="P1314" s="18">
        <f>IF(SUMIFS('Daily NSE Equity Futures'!$J:$J,'Daily NSE Equity Futures'!$A:$A,$A1314)=0,"",SUMIFS('Daily NSE Equity Futures'!$J:$J,'Daily NSE Equity Futures'!$A:$A,$A1314))</f>
        <v>1239431</v>
      </c>
      <c r="Q1314" s="7">
        <f>IF(SUMIFS('Daily BSE Equity Futures'!$J:$J,'Daily BSE Equity Futures'!$A:$A,$A1314)=0,"",SUMIFS('Daily BSE Equity Futures'!$J:$J,'Daily BSE Equity Futures'!$A:$A,$A1314))</f>
        <v>2453</v>
      </c>
      <c r="R1314" s="7">
        <f t="shared" si="246"/>
        <v>1241884</v>
      </c>
      <c r="S1314" s="19">
        <f t="shared" si="247"/>
        <v>0.99802477526081346</v>
      </c>
      <c r="T1314" s="19">
        <f t="shared" si="248"/>
        <v>1.9752247391865907E-3</v>
      </c>
    </row>
    <row r="1315" spans="1:20" x14ac:dyDescent="0.2">
      <c r="A1315" s="9">
        <v>45854</v>
      </c>
      <c r="B1315" s="4" t="s">
        <v>221</v>
      </c>
      <c r="C1315" s="8">
        <v>45839</v>
      </c>
      <c r="D1315" s="4" t="s">
        <v>194</v>
      </c>
      <c r="E1315" s="14">
        <f>IF(SUMIFS('Daily NSE Equity Futures'!$I:$I,'Daily NSE Equity Futures'!$A:$A,$A1315)=0,"",SUMIFS('Daily NSE Equity Futures'!$I:$I,'Daily NSE Equity Futures'!$A:$A,$A1315))</f>
        <v>974.68669999999997</v>
      </c>
      <c r="F1315" s="6">
        <f>IF(SUMIFS('Daily BSE Equity Futures'!$I:$I,'Daily BSE Equity Futures'!$A:$A,$A1315)=0,"",SUMIFS('Daily BSE Equity Futures'!$I:$I,'Daily BSE Equity Futures'!$A:$A,$A1315))</f>
        <v>1.3509</v>
      </c>
      <c r="G1315" s="6">
        <f t="shared" si="240"/>
        <v>976.0376</v>
      </c>
      <c r="H1315" s="15">
        <f t="shared" si="241"/>
        <v>0.99861593446809838</v>
      </c>
      <c r="I1315" s="15">
        <f t="shared" si="242"/>
        <v>1.3840655319016398E-3</v>
      </c>
      <c r="J1315" s="20">
        <f t="shared" si="243"/>
        <v>-0.29573220319461735</v>
      </c>
      <c r="K1315" s="15">
        <f t="shared" si="244"/>
        <v>1.0156669650850492</v>
      </c>
      <c r="L1315" s="15">
        <f t="shared" si="245"/>
        <v>-0.29509745443930313</v>
      </c>
      <c r="M1315" s="15">
        <f t="shared" si="249"/>
        <v>6.8651017880441145E-3</v>
      </c>
      <c r="N1315" s="15">
        <f t="shared" si="250"/>
        <v>-0.66367913959220259</v>
      </c>
      <c r="O1315" s="15">
        <f t="shared" si="251"/>
        <v>4.0943042784393757E-3</v>
      </c>
      <c r="P1315" s="18">
        <f>IF(SUMIFS('Daily NSE Equity Futures'!$J:$J,'Daily NSE Equity Futures'!$A:$A,$A1315)=0,"",SUMIFS('Daily NSE Equity Futures'!$J:$J,'Daily NSE Equity Futures'!$A:$A,$A1315))</f>
        <v>1260752</v>
      </c>
      <c r="Q1315" s="7">
        <f>IF(SUMIFS('Daily BSE Equity Futures'!$J:$J,'Daily BSE Equity Futures'!$A:$A,$A1315)=0,"",SUMIFS('Daily BSE Equity Futures'!$J:$J,'Daily BSE Equity Futures'!$A:$A,$A1315))</f>
        <v>847</v>
      </c>
      <c r="R1315" s="7">
        <f t="shared" si="246"/>
        <v>1261599</v>
      </c>
      <c r="S1315" s="19">
        <f t="shared" si="247"/>
        <v>0.99932862977855885</v>
      </c>
      <c r="T1315" s="19">
        <f t="shared" si="248"/>
        <v>6.7137022144120274E-4</v>
      </c>
    </row>
    <row r="1316" spans="1:20" x14ac:dyDescent="0.2">
      <c r="A1316" s="9">
        <v>45855</v>
      </c>
      <c r="B1316" s="4" t="s">
        <v>224</v>
      </c>
      <c r="C1316" s="8">
        <v>45839</v>
      </c>
      <c r="D1316" s="4" t="s">
        <v>194</v>
      </c>
      <c r="E1316" s="14">
        <f>IF(SUMIFS('Daily NSE Equity Futures'!$I:$I,'Daily NSE Equity Futures'!$A:$A,$A1316)=0,"",SUMIFS('Daily NSE Equity Futures'!$I:$I,'Daily NSE Equity Futures'!$A:$A,$A1316))</f>
        <v>1003.3108999999999</v>
      </c>
      <c r="F1316" s="6">
        <f>IF(SUMIFS('Daily BSE Equity Futures'!$I:$I,'Daily BSE Equity Futures'!$A:$A,$A1316)=0,"",SUMIFS('Daily BSE Equity Futures'!$I:$I,'Daily BSE Equity Futures'!$A:$A,$A1316))</f>
        <v>1.6495</v>
      </c>
      <c r="G1316" s="6">
        <f t="shared" si="240"/>
        <v>1004.9603999999999</v>
      </c>
      <c r="H1316" s="15">
        <f t="shared" si="241"/>
        <v>0.99835864179324874</v>
      </c>
      <c r="I1316" s="15">
        <f t="shared" si="242"/>
        <v>1.6413582067512312E-3</v>
      </c>
      <c r="J1316" s="20" t="str">
        <f t="shared" si="243"/>
        <v/>
      </c>
      <c r="K1316" s="15" t="str">
        <f t="shared" si="244"/>
        <v/>
      </c>
      <c r="L1316" s="15" t="str">
        <f t="shared" si="245"/>
        <v/>
      </c>
      <c r="M1316" s="15">
        <f t="shared" si="249"/>
        <v>2.9367590631943497E-2</v>
      </c>
      <c r="N1316" s="15">
        <f t="shared" si="250"/>
        <v>0.22103782663409577</v>
      </c>
      <c r="O1316" s="15">
        <f t="shared" si="251"/>
        <v>2.9632874799085496E-2</v>
      </c>
      <c r="P1316" s="18">
        <f>IF(SUMIFS('Daily NSE Equity Futures'!$J:$J,'Daily NSE Equity Futures'!$A:$A,$A1316)=0,"",SUMIFS('Daily NSE Equity Futures'!$J:$J,'Daily NSE Equity Futures'!$A:$A,$A1316))</f>
        <v>1259185</v>
      </c>
      <c r="Q1316" s="7">
        <f>IF(SUMIFS('Daily BSE Equity Futures'!$J:$J,'Daily BSE Equity Futures'!$A:$A,$A1316)=0,"",SUMIFS('Daily BSE Equity Futures'!$J:$J,'Daily BSE Equity Futures'!$A:$A,$A1316))</f>
        <v>1025</v>
      </c>
      <c r="R1316" s="7">
        <f t="shared" si="246"/>
        <v>1260210</v>
      </c>
      <c r="S1316" s="19">
        <f t="shared" si="247"/>
        <v>0.99918664349592523</v>
      </c>
      <c r="T1316" s="19">
        <f t="shared" si="248"/>
        <v>8.1335650407471773E-4</v>
      </c>
    </row>
    <row r="1317" spans="1:20" x14ac:dyDescent="0.2">
      <c r="A1317" s="9">
        <v>45856</v>
      </c>
      <c r="B1317" s="4" t="s">
        <v>222</v>
      </c>
      <c r="C1317" s="8">
        <v>45839</v>
      </c>
      <c r="D1317" s="4" t="s">
        <v>194</v>
      </c>
      <c r="E1317" s="14">
        <f>IF(SUMIFS('Daily NSE Equity Futures'!$I:$I,'Daily NSE Equity Futures'!$A:$A,$A1317)=0,"",SUMIFS('Daily NSE Equity Futures'!$I:$I,'Daily NSE Equity Futures'!$A:$A,$A1317))</f>
        <v>1118.0553</v>
      </c>
      <c r="F1317" s="6">
        <f>IF(SUMIFS('Daily BSE Equity Futures'!$I:$I,'Daily BSE Equity Futures'!$A:$A,$A1317)=0,"",SUMIFS('Daily BSE Equity Futures'!$I:$I,'Daily BSE Equity Futures'!$A:$A,$A1317))</f>
        <v>2.1545999999999998</v>
      </c>
      <c r="G1317" s="6">
        <f t="shared" si="240"/>
        <v>1120.2099000000001</v>
      </c>
      <c r="H1317" s="15">
        <f t="shared" si="241"/>
        <v>0.9980766104638068</v>
      </c>
      <c r="I1317" s="15">
        <f t="shared" si="242"/>
        <v>1.9233895361931721E-3</v>
      </c>
      <c r="J1317" s="20">
        <f t="shared" si="243"/>
        <v>-0.51209972118620062</v>
      </c>
      <c r="K1317" s="15">
        <f t="shared" si="244"/>
        <v>0.1573293226620831</v>
      </c>
      <c r="L1317" s="15">
        <f t="shared" si="245"/>
        <v>-0.5115563090325661</v>
      </c>
      <c r="M1317" s="15">
        <f t="shared" si="249"/>
        <v>0.11436574645007846</v>
      </c>
      <c r="N1317" s="15">
        <f t="shared" si="250"/>
        <v>0.30621400424371026</v>
      </c>
      <c r="O1317" s="15">
        <f t="shared" si="251"/>
        <v>0.11468063816245899</v>
      </c>
      <c r="P1317" s="18">
        <f>IF(SUMIFS('Daily NSE Equity Futures'!$J:$J,'Daily NSE Equity Futures'!$A:$A,$A1317)=0,"",SUMIFS('Daily NSE Equity Futures'!$J:$J,'Daily NSE Equity Futures'!$A:$A,$A1317))</f>
        <v>1343664</v>
      </c>
      <c r="Q1317" s="7">
        <f>IF(SUMIFS('Daily BSE Equity Futures'!$J:$J,'Daily BSE Equity Futures'!$A:$A,$A1317)=0,"",SUMIFS('Daily BSE Equity Futures'!$J:$J,'Daily BSE Equity Futures'!$A:$A,$A1317))</f>
        <v>1325</v>
      </c>
      <c r="R1317" s="7">
        <f t="shared" si="246"/>
        <v>1344989</v>
      </c>
      <c r="S1317" s="19">
        <f t="shared" si="247"/>
        <v>0.99901486183158372</v>
      </c>
      <c r="T1317" s="19">
        <f t="shared" si="248"/>
        <v>9.851381684162473E-4</v>
      </c>
    </row>
    <row r="1318" spans="1:20" x14ac:dyDescent="0.2">
      <c r="A1318" s="9">
        <v>45859</v>
      </c>
      <c r="B1318" s="4" t="s">
        <v>225</v>
      </c>
      <c r="C1318" s="8">
        <v>45839</v>
      </c>
      <c r="D1318" s="4" t="s">
        <v>194</v>
      </c>
      <c r="E1318" s="14">
        <f>IF(SUMIFS('Daily NSE Equity Futures'!$I:$I,'Daily NSE Equity Futures'!$A:$A,$A1318)=0,"",SUMIFS('Daily NSE Equity Futures'!$I:$I,'Daily NSE Equity Futures'!$A:$A,$A1318))</f>
        <v>1133.7530999999999</v>
      </c>
      <c r="F1318" s="6">
        <f>IF(SUMIFS('Daily BSE Equity Futures'!$I:$I,'Daily BSE Equity Futures'!$A:$A,$A1318)=0,"",SUMIFS('Daily BSE Equity Futures'!$I:$I,'Daily BSE Equity Futures'!$A:$A,$A1318))</f>
        <v>2.6417000000000002</v>
      </c>
      <c r="G1318" s="6">
        <f t="shared" si="240"/>
        <v>1136.3947999999998</v>
      </c>
      <c r="H1318" s="15">
        <f t="shared" si="241"/>
        <v>0.99767536775071486</v>
      </c>
      <c r="I1318" s="15">
        <f t="shared" si="242"/>
        <v>2.3246322492851963E-3</v>
      </c>
      <c r="J1318" s="20" t="str">
        <f t="shared" si="243"/>
        <v/>
      </c>
      <c r="K1318" s="15" t="str">
        <f t="shared" si="244"/>
        <v/>
      </c>
      <c r="L1318" s="15" t="str">
        <f t="shared" si="245"/>
        <v/>
      </c>
      <c r="M1318" s="15">
        <f t="shared" si="249"/>
        <v>1.4040271532186122E-2</v>
      </c>
      <c r="N1318" s="15">
        <f t="shared" si="250"/>
        <v>0.22607444537269106</v>
      </c>
      <c r="O1318" s="15">
        <f t="shared" si="251"/>
        <v>1.4448095843466291E-2</v>
      </c>
      <c r="P1318" s="18">
        <f>IF(SUMIFS('Daily NSE Equity Futures'!$J:$J,'Daily NSE Equity Futures'!$A:$A,$A1318)=0,"",SUMIFS('Daily NSE Equity Futures'!$J:$J,'Daily NSE Equity Futures'!$A:$A,$A1318))</f>
        <v>1376222</v>
      </c>
      <c r="Q1318" s="7">
        <f>IF(SUMIFS('Daily BSE Equity Futures'!$J:$J,'Daily BSE Equity Futures'!$A:$A,$A1318)=0,"",SUMIFS('Daily BSE Equity Futures'!$J:$J,'Daily BSE Equity Futures'!$A:$A,$A1318))</f>
        <v>1627</v>
      </c>
      <c r="R1318" s="7">
        <f t="shared" si="246"/>
        <v>1377849</v>
      </c>
      <c r="S1318" s="19">
        <f t="shared" si="247"/>
        <v>0.99881917394431463</v>
      </c>
      <c r="T1318" s="19">
        <f t="shared" si="248"/>
        <v>1.1808260556853472E-3</v>
      </c>
    </row>
    <row r="1319" spans="1:20" x14ac:dyDescent="0.2">
      <c r="A1319" s="9">
        <v>45860</v>
      </c>
      <c r="B1319" s="4" t="s">
        <v>223</v>
      </c>
      <c r="C1319" s="8">
        <v>45839</v>
      </c>
      <c r="D1319" s="4" t="s">
        <v>194</v>
      </c>
      <c r="E1319" s="14">
        <f>IF(SUMIFS('Daily NSE Equity Futures'!$I:$I,'Daily NSE Equity Futures'!$A:$A,$A1319)=0,"",SUMIFS('Daily NSE Equity Futures'!$I:$I,'Daily NSE Equity Futures'!$A:$A,$A1319))</f>
        <v>1037.5949000000001</v>
      </c>
      <c r="F1319" s="6">
        <f>IF(SUMIFS('Daily BSE Equity Futures'!$I:$I,'Daily BSE Equity Futures'!$A:$A,$A1319)=0,"",SUMIFS('Daily BSE Equity Futures'!$I:$I,'Daily BSE Equity Futures'!$A:$A,$A1319))</f>
        <v>3.8325</v>
      </c>
      <c r="G1319" s="6">
        <f t="shared" si="240"/>
        <v>1041.4274</v>
      </c>
      <c r="H1319" s="15">
        <f t="shared" si="241"/>
        <v>0.99631995470831669</v>
      </c>
      <c r="I1319" s="15">
        <f t="shared" si="242"/>
        <v>3.6800452916833184E-3</v>
      </c>
      <c r="J1319" s="20">
        <f t="shared" si="243"/>
        <v>-0.70354426346473087</v>
      </c>
      <c r="K1319" s="15">
        <f t="shared" si="244"/>
        <v>-0.4533434130199121</v>
      </c>
      <c r="L1319" s="15">
        <f t="shared" si="245"/>
        <v>-0.70304409151704206</v>
      </c>
      <c r="M1319" s="15">
        <f t="shared" si="249"/>
        <v>-8.4814056958256501E-2</v>
      </c>
      <c r="N1319" s="15">
        <f t="shared" si="250"/>
        <v>0.45077033728281024</v>
      </c>
      <c r="O1319" s="15">
        <f t="shared" si="251"/>
        <v>-8.3569020203189792E-2</v>
      </c>
      <c r="P1319" s="18">
        <f>IF(SUMIFS('Daily NSE Equity Futures'!$J:$J,'Daily NSE Equity Futures'!$A:$A,$A1319)=0,"",SUMIFS('Daily NSE Equity Futures'!$J:$J,'Daily NSE Equity Futures'!$A:$A,$A1319))</f>
        <v>1350335</v>
      </c>
      <c r="Q1319" s="7">
        <f>IF(SUMIFS('Daily BSE Equity Futures'!$J:$J,'Daily BSE Equity Futures'!$A:$A,$A1319)=0,"",SUMIFS('Daily BSE Equity Futures'!$J:$J,'Daily BSE Equity Futures'!$A:$A,$A1319))</f>
        <v>2357</v>
      </c>
      <c r="R1319" s="7">
        <f t="shared" si="246"/>
        <v>1352692</v>
      </c>
      <c r="S1319" s="19">
        <f t="shared" si="247"/>
        <v>0.99825754865113414</v>
      </c>
      <c r="T1319" s="19">
        <f t="shared" si="248"/>
        <v>1.7424513488658172E-3</v>
      </c>
    </row>
    <row r="1320" spans="1:20" x14ac:dyDescent="0.2">
      <c r="A1320" s="9">
        <v>45861</v>
      </c>
      <c r="B1320" s="4" t="s">
        <v>221</v>
      </c>
      <c r="C1320" s="8">
        <v>45839</v>
      </c>
      <c r="D1320" s="4" t="s">
        <v>194</v>
      </c>
      <c r="E1320" s="14">
        <f>IF(SUMIFS('Daily NSE Equity Futures'!$I:$I,'Daily NSE Equity Futures'!$A:$A,$A1320)=0,"",SUMIFS('Daily NSE Equity Futures'!$I:$I,'Daily NSE Equity Futures'!$A:$A,$A1320))</f>
        <v>1091.9599000000001</v>
      </c>
      <c r="F1320" s="6">
        <f>IF(SUMIFS('Daily BSE Equity Futures'!$I:$I,'Daily BSE Equity Futures'!$A:$A,$A1320)=0,"",SUMIFS('Daily BSE Equity Futures'!$I:$I,'Daily BSE Equity Futures'!$A:$A,$A1320))</f>
        <v>2.2006999999999999</v>
      </c>
      <c r="G1320" s="6">
        <f t="shared" si="240"/>
        <v>1094.1606000000002</v>
      </c>
      <c r="H1320" s="15">
        <f t="shared" si="241"/>
        <v>0.99798868648715733</v>
      </c>
      <c r="I1320" s="15">
        <f t="shared" si="242"/>
        <v>2.0113135128426297E-3</v>
      </c>
      <c r="J1320" s="20">
        <f t="shared" si="243"/>
        <v>-0.77145777412208416</v>
      </c>
      <c r="K1320" s="15">
        <f t="shared" si="244"/>
        <v>2.1301280861332872E-2</v>
      </c>
      <c r="L1320" s="15">
        <f t="shared" si="245"/>
        <v>-0.77110040903415666</v>
      </c>
      <c r="M1320" s="15">
        <f t="shared" si="249"/>
        <v>5.2395207416690237E-2</v>
      </c>
      <c r="N1320" s="15">
        <f t="shared" si="250"/>
        <v>-0.42577951728636665</v>
      </c>
      <c r="O1320" s="15">
        <f t="shared" si="251"/>
        <v>5.0635502772444996E-2</v>
      </c>
      <c r="P1320" s="18">
        <f>IF(SUMIFS('Daily NSE Equity Futures'!$J:$J,'Daily NSE Equity Futures'!$A:$A,$A1320)=0,"",SUMIFS('Daily NSE Equity Futures'!$J:$J,'Daily NSE Equity Futures'!$A:$A,$A1320))</f>
        <v>1412174</v>
      </c>
      <c r="Q1320" s="7">
        <f>IF(SUMIFS('Daily BSE Equity Futures'!$J:$J,'Daily BSE Equity Futures'!$A:$A,$A1320)=0,"",SUMIFS('Daily BSE Equity Futures'!$J:$J,'Daily BSE Equity Futures'!$A:$A,$A1320))</f>
        <v>1362</v>
      </c>
      <c r="R1320" s="7">
        <f t="shared" si="246"/>
        <v>1413536</v>
      </c>
      <c r="S1320" s="19">
        <f t="shared" si="247"/>
        <v>0.99903645892287141</v>
      </c>
      <c r="T1320" s="19">
        <f t="shared" si="248"/>
        <v>9.635410771285627E-4</v>
      </c>
    </row>
    <row r="1321" spans="1:20" x14ac:dyDescent="0.2">
      <c r="A1321" s="9">
        <v>45862</v>
      </c>
      <c r="B1321" s="4" t="s">
        <v>224</v>
      </c>
      <c r="C1321" s="8">
        <v>45839</v>
      </c>
      <c r="D1321" s="4" t="s">
        <v>194</v>
      </c>
      <c r="E1321" s="14">
        <f>IF(SUMIFS('Daily NSE Equity Futures'!$I:$I,'Daily NSE Equity Futures'!$A:$A,$A1321)=0,"",SUMIFS('Daily NSE Equity Futures'!$I:$I,'Daily NSE Equity Futures'!$A:$A,$A1321))</f>
        <v>1225.1038000000001</v>
      </c>
      <c r="F1321" s="6">
        <f>IF(SUMIFS('Daily BSE Equity Futures'!$I:$I,'Daily BSE Equity Futures'!$A:$A,$A1321)=0,"",SUMIFS('Daily BSE Equity Futures'!$I:$I,'Daily BSE Equity Futures'!$A:$A,$A1321))</f>
        <v>1.7986</v>
      </c>
      <c r="G1321" s="6">
        <f t="shared" si="240"/>
        <v>1226.9024000000002</v>
      </c>
      <c r="H1321" s="15">
        <f t="shared" si="241"/>
        <v>0.99853403172086053</v>
      </c>
      <c r="I1321" s="15">
        <f t="shared" si="242"/>
        <v>1.4659682791394E-3</v>
      </c>
      <c r="J1321" s="20">
        <f t="shared" si="243"/>
        <v>-0.72381856096728625</v>
      </c>
      <c r="K1321" s="15">
        <f t="shared" si="244"/>
        <v>1.6303012576776839</v>
      </c>
      <c r="L1321" s="15">
        <f t="shared" si="245"/>
        <v>-0.72345572333959696</v>
      </c>
      <c r="M1321" s="15">
        <f t="shared" si="249"/>
        <v>0.12193112585910892</v>
      </c>
      <c r="N1321" s="15">
        <f t="shared" si="250"/>
        <v>-0.18271459081201435</v>
      </c>
      <c r="O1321" s="15">
        <f t="shared" si="251"/>
        <v>0.12131838781253856</v>
      </c>
      <c r="P1321" s="18">
        <f>IF(SUMIFS('Daily NSE Equity Futures'!$J:$J,'Daily NSE Equity Futures'!$A:$A,$A1321)=0,"",SUMIFS('Daily NSE Equity Futures'!$J:$J,'Daily NSE Equity Futures'!$A:$A,$A1321))</f>
        <v>1586696</v>
      </c>
      <c r="Q1321" s="7">
        <f>IF(SUMIFS('Daily BSE Equity Futures'!$J:$J,'Daily BSE Equity Futures'!$A:$A,$A1321)=0,"",SUMIFS('Daily BSE Equity Futures'!$J:$J,'Daily BSE Equity Futures'!$A:$A,$A1321))</f>
        <v>1109</v>
      </c>
      <c r="R1321" s="7">
        <f t="shared" si="246"/>
        <v>1587805</v>
      </c>
      <c r="S1321" s="19">
        <f t="shared" si="247"/>
        <v>0.99930155151293765</v>
      </c>
      <c r="T1321" s="19">
        <f t="shared" si="248"/>
        <v>6.9844848706232814E-4</v>
      </c>
    </row>
    <row r="1322" spans="1:20" x14ac:dyDescent="0.2">
      <c r="A1322" s="9">
        <v>45863</v>
      </c>
      <c r="B1322" s="4" t="s">
        <v>222</v>
      </c>
      <c r="C1322" s="8">
        <v>45839</v>
      </c>
      <c r="D1322" s="4" t="s">
        <v>194</v>
      </c>
      <c r="E1322" s="14">
        <f>IF(SUMIFS('Daily NSE Equity Futures'!$I:$I,'Daily NSE Equity Futures'!$A:$A,$A1322)=0,"",SUMIFS('Daily NSE Equity Futures'!$I:$I,'Daily NSE Equity Futures'!$A:$A,$A1322))</f>
        <v>1519.9682</v>
      </c>
      <c r="F1322" s="6">
        <f>IF(SUMIFS('Daily BSE Equity Futures'!$I:$I,'Daily BSE Equity Futures'!$A:$A,$A1322)=0,"",SUMIFS('Daily BSE Equity Futures'!$I:$I,'Daily BSE Equity Futures'!$A:$A,$A1322))</f>
        <v>2.6562000000000001</v>
      </c>
      <c r="G1322" s="6">
        <f t="shared" si="240"/>
        <v>1522.6243999999999</v>
      </c>
      <c r="H1322" s="15">
        <f t="shared" si="241"/>
        <v>0.99825551199626128</v>
      </c>
      <c r="I1322" s="15">
        <f t="shared" si="242"/>
        <v>1.7444880037388081E-3</v>
      </c>
      <c r="J1322" s="20">
        <f t="shared" si="243"/>
        <v>-0.62044226842329997</v>
      </c>
      <c r="K1322" s="15">
        <f t="shared" si="244"/>
        <v>1.3003377500649518</v>
      </c>
      <c r="L1322" s="15">
        <f t="shared" si="245"/>
        <v>-0.61988858065834562</v>
      </c>
      <c r="M1322" s="15">
        <f t="shared" si="249"/>
        <v>0.24068523826307597</v>
      </c>
      <c r="N1322" s="15">
        <f t="shared" si="250"/>
        <v>0.47681530078950307</v>
      </c>
      <c r="O1322" s="15">
        <f t="shared" si="251"/>
        <v>0.24103139744449087</v>
      </c>
      <c r="P1322" s="18">
        <f>IF(SUMIFS('Daily NSE Equity Futures'!$J:$J,'Daily NSE Equity Futures'!$A:$A,$A1322)=0,"",SUMIFS('Daily NSE Equity Futures'!$J:$J,'Daily NSE Equity Futures'!$A:$A,$A1322))</f>
        <v>1972811</v>
      </c>
      <c r="Q1322" s="7">
        <f>IF(SUMIFS('Daily BSE Equity Futures'!$J:$J,'Daily BSE Equity Futures'!$A:$A,$A1322)=0,"",SUMIFS('Daily BSE Equity Futures'!$J:$J,'Daily BSE Equity Futures'!$A:$A,$A1322))</f>
        <v>1650</v>
      </c>
      <c r="R1322" s="7">
        <f t="shared" si="246"/>
        <v>1974461</v>
      </c>
      <c r="S1322" s="19">
        <f t="shared" si="247"/>
        <v>0.99916432889786122</v>
      </c>
      <c r="T1322" s="19">
        <f t="shared" si="248"/>
        <v>8.3567110213876095E-4</v>
      </c>
    </row>
    <row r="1323" spans="1:20" x14ac:dyDescent="0.2">
      <c r="A1323" s="9">
        <v>45866</v>
      </c>
      <c r="B1323" s="4" t="s">
        <v>225</v>
      </c>
      <c r="C1323" s="8">
        <v>45839</v>
      </c>
      <c r="D1323" s="4" t="s">
        <v>194</v>
      </c>
      <c r="E1323" s="14">
        <f>IF(SUMIFS('Daily NSE Equity Futures'!$I:$I,'Daily NSE Equity Futures'!$A:$A,$A1323)=0,"",SUMIFS('Daily NSE Equity Futures'!$I:$I,'Daily NSE Equity Futures'!$A:$A,$A1323))</f>
        <v>3250.2928999999999</v>
      </c>
      <c r="F1323" s="6">
        <f>IF(SUMIFS('Daily BSE Equity Futures'!$I:$I,'Daily BSE Equity Futures'!$A:$A,$A1323)=0,"",SUMIFS('Daily BSE Equity Futures'!$I:$I,'Daily BSE Equity Futures'!$A:$A,$A1323))</f>
        <v>2.9373</v>
      </c>
      <c r="G1323" s="6">
        <f t="shared" si="240"/>
        <v>3253.2302</v>
      </c>
      <c r="H1323" s="15">
        <f t="shared" si="241"/>
        <v>0.99909711277117741</v>
      </c>
      <c r="I1323" s="15">
        <f t="shared" si="242"/>
        <v>9.0288722882260225E-4</v>
      </c>
      <c r="J1323" s="20" t="str">
        <f t="shared" si="243"/>
        <v/>
      </c>
      <c r="K1323" s="15" t="str">
        <f t="shared" si="244"/>
        <v/>
      </c>
      <c r="L1323" s="15" t="str">
        <f t="shared" si="245"/>
        <v/>
      </c>
      <c r="M1323" s="15">
        <f t="shared" si="249"/>
        <v>1.1383953295865004</v>
      </c>
      <c r="N1323" s="15">
        <f t="shared" si="250"/>
        <v>0.10582787440704755</v>
      </c>
      <c r="O1323" s="15">
        <f t="shared" si="251"/>
        <v>1.136594028047889</v>
      </c>
      <c r="P1323" s="18">
        <f>IF(SUMIFS('Daily NSE Equity Futures'!$J:$J,'Daily NSE Equity Futures'!$A:$A,$A1323)=0,"",SUMIFS('Daily NSE Equity Futures'!$J:$J,'Daily NSE Equity Futures'!$A:$A,$A1323))</f>
        <v>4481205</v>
      </c>
      <c r="Q1323" s="7">
        <f>IF(SUMIFS('Daily BSE Equity Futures'!$J:$J,'Daily BSE Equity Futures'!$A:$A,$A1323)=0,"",SUMIFS('Daily BSE Equity Futures'!$J:$J,'Daily BSE Equity Futures'!$A:$A,$A1323))</f>
        <v>1841</v>
      </c>
      <c r="R1323" s="7">
        <f t="shared" si="246"/>
        <v>4483046</v>
      </c>
      <c r="S1323" s="19">
        <f t="shared" si="247"/>
        <v>0.99958934171097058</v>
      </c>
      <c r="T1323" s="19">
        <f t="shared" si="248"/>
        <v>4.1065828902937866E-4</v>
      </c>
    </row>
    <row r="1324" spans="1:20" x14ac:dyDescent="0.2">
      <c r="A1324" s="9">
        <v>45867</v>
      </c>
      <c r="B1324" s="4" t="s">
        <v>223</v>
      </c>
      <c r="C1324" s="8">
        <v>45839</v>
      </c>
      <c r="D1324" s="4" t="s">
        <v>194</v>
      </c>
      <c r="E1324" s="14">
        <f>IF(SUMIFS('Daily NSE Equity Futures'!$I:$I,'Daily NSE Equity Futures'!$A:$A,$A1324)=0,"",SUMIFS('Daily NSE Equity Futures'!$I:$I,'Daily NSE Equity Futures'!$A:$A,$A1324))</f>
        <v>3452.0617000000002</v>
      </c>
      <c r="F1324" s="6">
        <f>IF(SUMIFS('Daily BSE Equity Futures'!$I:$I,'Daily BSE Equity Futures'!$A:$A,$A1324)=0,"",SUMIFS('Daily BSE Equity Futures'!$I:$I,'Daily BSE Equity Futures'!$A:$A,$A1324))</f>
        <v>5.0982000000000003</v>
      </c>
      <c r="G1324" s="6">
        <f t="shared" si="240"/>
        <v>3457.1599000000001</v>
      </c>
      <c r="H1324" s="15">
        <f t="shared" si="241"/>
        <v>0.99852532131938709</v>
      </c>
      <c r="I1324" s="15">
        <f t="shared" si="242"/>
        <v>1.4746786806129506E-3</v>
      </c>
      <c r="J1324" s="20">
        <f t="shared" si="243"/>
        <v>0.62997011003659753</v>
      </c>
      <c r="K1324" s="15">
        <f t="shared" si="244"/>
        <v>5.8728246874610646E-2</v>
      </c>
      <c r="L1324" s="15">
        <f t="shared" si="245"/>
        <v>0.62867422298237119</v>
      </c>
      <c r="M1324" s="15">
        <f t="shared" si="249"/>
        <v>6.2077113111867588E-2</v>
      </c>
      <c r="N1324" s="15">
        <f t="shared" si="250"/>
        <v>0.73567562046777657</v>
      </c>
      <c r="O1324" s="15">
        <f t="shared" si="251"/>
        <v>6.268529660151323E-2</v>
      </c>
      <c r="P1324" s="18">
        <f>IF(SUMIFS('Daily NSE Equity Futures'!$J:$J,'Daily NSE Equity Futures'!$A:$A,$A1324)=0,"",SUMIFS('Daily NSE Equity Futures'!$J:$J,'Daily NSE Equity Futures'!$A:$A,$A1324))</f>
        <v>4705985</v>
      </c>
      <c r="Q1324" s="7">
        <f>IF(SUMIFS('Daily BSE Equity Futures'!$J:$J,'Daily BSE Equity Futures'!$A:$A,$A1324)=0,"",SUMIFS('Daily BSE Equity Futures'!$J:$J,'Daily BSE Equity Futures'!$A:$A,$A1324))</f>
        <v>3169</v>
      </c>
      <c r="R1324" s="7">
        <f t="shared" si="246"/>
        <v>4709154</v>
      </c>
      <c r="S1324" s="19">
        <f t="shared" si="247"/>
        <v>0.99932705534794575</v>
      </c>
      <c r="T1324" s="19">
        <f t="shared" si="248"/>
        <v>6.7294465205427556E-4</v>
      </c>
    </row>
    <row r="1325" spans="1:20" x14ac:dyDescent="0.2">
      <c r="A1325" s="9">
        <v>45868</v>
      </c>
      <c r="B1325" s="4" t="s">
        <v>221</v>
      </c>
      <c r="C1325" s="8">
        <v>45839</v>
      </c>
      <c r="D1325" s="4" t="s">
        <v>194</v>
      </c>
      <c r="E1325" s="14">
        <f>IF(SUMIFS('Daily NSE Equity Futures'!$I:$I,'Daily NSE Equity Futures'!$A:$A,$A1325)=0,"",SUMIFS('Daily NSE Equity Futures'!$I:$I,'Daily NSE Equity Futures'!$A:$A,$A1325))</f>
        <v>3014.4603000000002</v>
      </c>
      <c r="F1325" s="6">
        <f>IF(SUMIFS('Daily BSE Equity Futures'!$I:$I,'Daily BSE Equity Futures'!$A:$A,$A1325)=0,"",SUMIFS('Daily BSE Equity Futures'!$I:$I,'Daily BSE Equity Futures'!$A:$A,$A1325))</f>
        <v>1.2009000000000001</v>
      </c>
      <c r="G1325" s="6">
        <f t="shared" si="240"/>
        <v>3015.6612</v>
      </c>
      <c r="H1325" s="15">
        <f t="shared" si="241"/>
        <v>0.99960177887356849</v>
      </c>
      <c r="I1325" s="15">
        <f t="shared" si="242"/>
        <v>3.9822112643157661E-4</v>
      </c>
      <c r="J1325" s="20">
        <f t="shared" si="243"/>
        <v>0.81213609143938537</v>
      </c>
      <c r="K1325" s="15">
        <f t="shared" si="244"/>
        <v>1.3386562804284328</v>
      </c>
      <c r="L1325" s="15">
        <f t="shared" si="245"/>
        <v>0.81229857247424575</v>
      </c>
      <c r="M1325" s="15">
        <f t="shared" si="249"/>
        <v>-0.12676523133986861</v>
      </c>
      <c r="N1325" s="15">
        <f t="shared" si="250"/>
        <v>-0.76444627515593733</v>
      </c>
      <c r="O1325" s="15">
        <f t="shared" si="251"/>
        <v>-0.12770560598021519</v>
      </c>
      <c r="P1325" s="18">
        <f>IF(SUMIFS('Daily NSE Equity Futures'!$J:$J,'Daily NSE Equity Futures'!$A:$A,$A1325)=0,"",SUMIFS('Daily NSE Equity Futures'!$J:$J,'Daily NSE Equity Futures'!$A:$A,$A1325))</f>
        <v>4094208</v>
      </c>
      <c r="Q1325" s="7">
        <f>IF(SUMIFS('Daily BSE Equity Futures'!$J:$J,'Daily BSE Equity Futures'!$A:$A,$A1325)=0,"",SUMIFS('Daily BSE Equity Futures'!$J:$J,'Daily BSE Equity Futures'!$A:$A,$A1325))</f>
        <v>784</v>
      </c>
      <c r="R1325" s="7">
        <f t="shared" si="246"/>
        <v>4094992</v>
      </c>
      <c r="S1325" s="19">
        <f t="shared" si="247"/>
        <v>0.99980854663452334</v>
      </c>
      <c r="T1325" s="19">
        <f t="shared" si="248"/>
        <v>1.9145336547666026E-4</v>
      </c>
    </row>
    <row r="1326" spans="1:20" x14ac:dyDescent="0.2">
      <c r="A1326" s="9">
        <v>45869</v>
      </c>
      <c r="B1326" s="4" t="s">
        <v>224</v>
      </c>
      <c r="C1326" s="8">
        <v>45839</v>
      </c>
      <c r="D1326" s="4" t="s">
        <v>194</v>
      </c>
      <c r="E1326" s="14">
        <f>IF(SUMIFS('Daily NSE Equity Futures'!$I:$I,'Daily NSE Equity Futures'!$A:$A,$A1326)=0,"",SUMIFS('Daily NSE Equity Futures'!$I:$I,'Daily NSE Equity Futures'!$A:$A,$A1326))</f>
        <v>3130.0963999999999</v>
      </c>
      <c r="F1326" s="6">
        <f>IF(SUMIFS('Daily BSE Equity Futures'!$I:$I,'Daily BSE Equity Futures'!$A:$A,$A1326)=0,"",SUMIFS('Daily BSE Equity Futures'!$I:$I,'Daily BSE Equity Futures'!$A:$A,$A1326))</f>
        <v>2.2473000000000001</v>
      </c>
      <c r="G1326" s="6">
        <f t="shared" si="240"/>
        <v>3132.3436999999999</v>
      </c>
      <c r="H1326" s="15">
        <f t="shared" si="241"/>
        <v>0.99928254999603017</v>
      </c>
      <c r="I1326" s="15">
        <f t="shared" si="242"/>
        <v>7.1745000396987088E-4</v>
      </c>
      <c r="J1326" s="20">
        <f t="shared" si="243"/>
        <v>0.96056234211460745</v>
      </c>
      <c r="K1326" s="15">
        <f t="shared" si="244"/>
        <v>0.36663828752128436</v>
      </c>
      <c r="L1326" s="15">
        <f t="shared" si="245"/>
        <v>0.95995123936106341</v>
      </c>
      <c r="M1326" s="15">
        <f t="shared" si="249"/>
        <v>3.8360465387452525E-2</v>
      </c>
      <c r="N1326" s="15">
        <f t="shared" si="250"/>
        <v>0.87134649013240062</v>
      </c>
      <c r="O1326" s="15">
        <f t="shared" si="251"/>
        <v>3.8692178020528267E-2</v>
      </c>
      <c r="P1326" s="18">
        <f>IF(SUMIFS('Daily NSE Equity Futures'!$J:$J,'Daily NSE Equity Futures'!$A:$A,$A1326)=0,"",SUMIFS('Daily NSE Equity Futures'!$J:$J,'Daily NSE Equity Futures'!$A:$A,$A1326))</f>
        <v>4015003</v>
      </c>
      <c r="Q1326" s="7">
        <f>IF(SUMIFS('Daily BSE Equity Futures'!$J:$J,'Daily BSE Equity Futures'!$A:$A,$A1326)=0,"",SUMIFS('Daily BSE Equity Futures'!$J:$J,'Daily BSE Equity Futures'!$A:$A,$A1326))</f>
        <v>1443</v>
      </c>
      <c r="R1326" s="7">
        <f t="shared" si="246"/>
        <v>4016446</v>
      </c>
      <c r="S1326" s="19">
        <f t="shared" si="247"/>
        <v>0.99964072715032148</v>
      </c>
      <c r="T1326" s="19">
        <f t="shared" si="248"/>
        <v>3.5927284967854665E-4</v>
      </c>
    </row>
    <row r="1327" spans="1:20" x14ac:dyDescent="0.2">
      <c r="A1327" s="9">
        <v>45870</v>
      </c>
      <c r="B1327" s="4" t="s">
        <v>222</v>
      </c>
      <c r="C1327" s="8">
        <v>45870</v>
      </c>
      <c r="D1327" s="4" t="s">
        <v>194</v>
      </c>
      <c r="E1327" s="14">
        <f>IF(SUMIFS('Daily NSE Equity Futures'!$I:$I,'Daily NSE Equity Futures'!$A:$A,$A1327)=0,"",SUMIFS('Daily NSE Equity Futures'!$I:$I,'Daily NSE Equity Futures'!$A:$A,$A1327))</f>
        <v>1052.5822000000001</v>
      </c>
      <c r="F1327" s="6">
        <f>IF(SUMIFS('Daily BSE Equity Futures'!$I:$I,'Daily BSE Equity Futures'!$A:$A,$A1327)=0,"",SUMIFS('Daily BSE Equity Futures'!$I:$I,'Daily BSE Equity Futures'!$A:$A,$A1327))</f>
        <v>2.1025999999999998</v>
      </c>
      <c r="G1327" s="6">
        <f t="shared" si="240"/>
        <v>1054.6848</v>
      </c>
      <c r="H1327" s="15">
        <f t="shared" si="241"/>
        <v>0.99800641860013539</v>
      </c>
      <c r="I1327" s="15">
        <f t="shared" si="242"/>
        <v>1.9935813998646799E-3</v>
      </c>
      <c r="J1327" s="20">
        <f t="shared" si="243"/>
        <v>-0.39721610608992686</v>
      </c>
      <c r="K1327" s="15">
        <f t="shared" si="244"/>
        <v>-2.2046511627907051E-2</v>
      </c>
      <c r="L1327" s="15">
        <f t="shared" si="245"/>
        <v>-0.3967547488731672</v>
      </c>
      <c r="M1327" s="15">
        <f t="shared" si="249"/>
        <v>-0.66372211411763549</v>
      </c>
      <c r="N1327" s="15">
        <f t="shared" si="250"/>
        <v>-6.4388377163707711E-2</v>
      </c>
      <c r="O1327" s="15">
        <f t="shared" si="251"/>
        <v>-0.66329212212567867</v>
      </c>
      <c r="P1327" s="18">
        <f>IF(SUMIFS('Daily NSE Equity Futures'!$J:$J,'Daily NSE Equity Futures'!$A:$A,$A1327)=0,"",SUMIFS('Daily NSE Equity Futures'!$J:$J,'Daily NSE Equity Futures'!$A:$A,$A1327))</f>
        <v>1317292</v>
      </c>
      <c r="Q1327" s="7">
        <f>IF(SUMIFS('Daily BSE Equity Futures'!$J:$J,'Daily BSE Equity Futures'!$A:$A,$A1327)=0,"",SUMIFS('Daily BSE Equity Futures'!$J:$J,'Daily BSE Equity Futures'!$A:$A,$A1327))</f>
        <v>1345</v>
      </c>
      <c r="R1327" s="7">
        <f t="shared" si="246"/>
        <v>1318637</v>
      </c>
      <c r="S1327" s="19">
        <f t="shared" si="247"/>
        <v>0.9989800073864149</v>
      </c>
      <c r="T1327" s="19">
        <f t="shared" si="248"/>
        <v>1.0199926135850883E-3</v>
      </c>
    </row>
    <row r="1328" spans="1:20" x14ac:dyDescent="0.2">
      <c r="A1328" s="9">
        <v>45873</v>
      </c>
      <c r="B1328" s="4" t="s">
        <v>225</v>
      </c>
      <c r="C1328" s="8">
        <v>45870</v>
      </c>
      <c r="D1328" s="4" t="s">
        <v>194</v>
      </c>
      <c r="E1328" s="14">
        <f>IF(SUMIFS('Daily NSE Equity Futures'!$I:$I,'Daily NSE Equity Futures'!$A:$A,$A1328)=0,"",SUMIFS('Daily NSE Equity Futures'!$I:$I,'Daily NSE Equity Futures'!$A:$A,$A1328))</f>
        <v>896.16780000000006</v>
      </c>
      <c r="F1328" s="6">
        <f>IF(SUMIFS('Daily BSE Equity Futures'!$I:$I,'Daily BSE Equity Futures'!$A:$A,$A1328)=0,"",SUMIFS('Daily BSE Equity Futures'!$I:$I,'Daily BSE Equity Futures'!$A:$A,$A1328))</f>
        <v>2.3104</v>
      </c>
      <c r="G1328" s="6">
        <f t="shared" si="240"/>
        <v>898.47820000000002</v>
      </c>
      <c r="H1328" s="15">
        <f t="shared" si="241"/>
        <v>0.99742854083716226</v>
      </c>
      <c r="I1328" s="15">
        <f t="shared" si="242"/>
        <v>2.5714591628377848E-3</v>
      </c>
      <c r="J1328" s="20" t="str">
        <f t="shared" si="243"/>
        <v/>
      </c>
      <c r="K1328" s="15" t="str">
        <f t="shared" si="244"/>
        <v/>
      </c>
      <c r="L1328" s="15" t="str">
        <f t="shared" si="245"/>
        <v/>
      </c>
      <c r="M1328" s="15">
        <f t="shared" si="249"/>
        <v>-0.14860065085653162</v>
      </c>
      <c r="N1328" s="15">
        <f t="shared" si="250"/>
        <v>9.8830019975268746E-2</v>
      </c>
      <c r="O1328" s="15">
        <f t="shared" si="251"/>
        <v>-0.14810737767340532</v>
      </c>
      <c r="P1328" s="18">
        <f>IF(SUMIFS('Daily NSE Equity Futures'!$J:$J,'Daily NSE Equity Futures'!$A:$A,$A1328)=0,"",SUMIFS('Daily NSE Equity Futures'!$J:$J,'Daily NSE Equity Futures'!$A:$A,$A1328))</f>
        <v>1141676</v>
      </c>
      <c r="Q1328" s="7">
        <f>IF(SUMIFS('Daily BSE Equity Futures'!$J:$J,'Daily BSE Equity Futures'!$A:$A,$A1328)=0,"",SUMIFS('Daily BSE Equity Futures'!$J:$J,'Daily BSE Equity Futures'!$A:$A,$A1328))</f>
        <v>1460</v>
      </c>
      <c r="R1328" s="7">
        <f t="shared" si="246"/>
        <v>1143136</v>
      </c>
      <c r="S1328" s="19">
        <f t="shared" si="247"/>
        <v>0.99872281163396126</v>
      </c>
      <c r="T1328" s="19">
        <f t="shared" si="248"/>
        <v>1.2771883660386866E-3</v>
      </c>
    </row>
    <row r="1329" spans="1:20" x14ac:dyDescent="0.2">
      <c r="A1329" s="9">
        <v>45874</v>
      </c>
      <c r="B1329" s="4" t="s">
        <v>223</v>
      </c>
      <c r="C1329" s="8">
        <v>45870</v>
      </c>
      <c r="D1329" s="4" t="s">
        <v>194</v>
      </c>
      <c r="E1329" s="14">
        <f>IF(SUMIFS('Daily NSE Equity Futures'!$I:$I,'Daily NSE Equity Futures'!$A:$A,$A1329)=0,"",SUMIFS('Daily NSE Equity Futures'!$I:$I,'Daily NSE Equity Futures'!$A:$A,$A1329))</f>
        <v>849.43</v>
      </c>
      <c r="F1329" s="6">
        <f>IF(SUMIFS('Daily BSE Equity Futures'!$I:$I,'Daily BSE Equity Futures'!$A:$A,$A1329)=0,"",SUMIFS('Daily BSE Equity Futures'!$I:$I,'Daily BSE Equity Futures'!$A:$A,$A1329))</f>
        <v>4.3851000000000004</v>
      </c>
      <c r="G1329" s="6">
        <f t="shared" si="240"/>
        <v>853.81509999999992</v>
      </c>
      <c r="H1329" s="15">
        <f t="shared" si="241"/>
        <v>0.99486411050823542</v>
      </c>
      <c r="I1329" s="15">
        <f t="shared" si="242"/>
        <v>5.13588949176467E-3</v>
      </c>
      <c r="J1329" s="20">
        <f t="shared" si="243"/>
        <v>-0.64429919135152447</v>
      </c>
      <c r="K1329" s="15">
        <f t="shared" si="244"/>
        <v>0.34154250925444374</v>
      </c>
      <c r="L1329" s="15">
        <f t="shared" si="245"/>
        <v>-0.6429516395790601</v>
      </c>
      <c r="M1329" s="15">
        <f t="shared" si="249"/>
        <v>-5.2152956176287679E-2</v>
      </c>
      <c r="N1329" s="15">
        <f t="shared" si="250"/>
        <v>0.89798303324099749</v>
      </c>
      <c r="O1329" s="15">
        <f t="shared" si="251"/>
        <v>-4.9709720280358582E-2</v>
      </c>
      <c r="P1329" s="18">
        <f>IF(SUMIFS('Daily NSE Equity Futures'!$J:$J,'Daily NSE Equity Futures'!$A:$A,$A1329)=0,"",SUMIFS('Daily NSE Equity Futures'!$J:$J,'Daily NSE Equity Futures'!$A:$A,$A1329))</f>
        <v>1065454</v>
      </c>
      <c r="Q1329" s="7">
        <f>IF(SUMIFS('Daily BSE Equity Futures'!$J:$J,'Daily BSE Equity Futures'!$A:$A,$A1329)=0,"",SUMIFS('Daily BSE Equity Futures'!$J:$J,'Daily BSE Equity Futures'!$A:$A,$A1329))</f>
        <v>2764</v>
      </c>
      <c r="R1329" s="7">
        <f t="shared" si="246"/>
        <v>1068218</v>
      </c>
      <c r="S1329" s="19">
        <f t="shared" si="247"/>
        <v>0.99741251317614943</v>
      </c>
      <c r="T1329" s="19">
        <f t="shared" si="248"/>
        <v>2.5874868238505624E-3</v>
      </c>
    </row>
    <row r="1330" spans="1:20" x14ac:dyDescent="0.2">
      <c r="A1330" s="9">
        <v>45875</v>
      </c>
      <c r="B1330" s="4" t="s">
        <v>221</v>
      </c>
      <c r="C1330" s="8">
        <v>45870</v>
      </c>
      <c r="D1330" s="4" t="s">
        <v>194</v>
      </c>
      <c r="E1330" s="14">
        <f>IF(SUMIFS('Daily NSE Equity Futures'!$I:$I,'Daily NSE Equity Futures'!$A:$A,$A1330)=0,"",SUMIFS('Daily NSE Equity Futures'!$I:$I,'Daily NSE Equity Futures'!$A:$A,$A1330))</f>
        <v>864.69140000000004</v>
      </c>
      <c r="F1330" s="6">
        <f>IF(SUMIFS('Daily BSE Equity Futures'!$I:$I,'Daily BSE Equity Futures'!$A:$A,$A1330)=0,"",SUMIFS('Daily BSE Equity Futures'!$I:$I,'Daily BSE Equity Futures'!$A:$A,$A1330))</f>
        <v>1.1125</v>
      </c>
      <c r="G1330" s="6">
        <f t="shared" si="240"/>
        <v>865.8039</v>
      </c>
      <c r="H1330" s="15">
        <f t="shared" si="241"/>
        <v>0.99871506700304769</v>
      </c>
      <c r="I1330" s="15">
        <f t="shared" si="242"/>
        <v>1.2849329969523123E-3</v>
      </c>
      <c r="J1330" s="20">
        <f t="shared" si="243"/>
        <v>-0.50152682347907529</v>
      </c>
      <c r="K1330" s="15">
        <f t="shared" si="244"/>
        <v>0.67899185028674935</v>
      </c>
      <c r="L1330" s="15">
        <f t="shared" si="245"/>
        <v>-0.50107606999770948</v>
      </c>
      <c r="M1330" s="15">
        <f t="shared" si="249"/>
        <v>1.7966636450325701E-2</v>
      </c>
      <c r="N1330" s="15">
        <f t="shared" si="250"/>
        <v>-0.74629997035415385</v>
      </c>
      <c r="O1330" s="15">
        <f t="shared" si="251"/>
        <v>1.4041447615531943E-2</v>
      </c>
      <c r="P1330" s="18">
        <f>IF(SUMIFS('Daily NSE Equity Futures'!$J:$J,'Daily NSE Equity Futures'!$A:$A,$A1330)=0,"",SUMIFS('Daily NSE Equity Futures'!$J:$J,'Daily NSE Equity Futures'!$A:$A,$A1330))</f>
        <v>1116821</v>
      </c>
      <c r="Q1330" s="7">
        <f>IF(SUMIFS('Daily BSE Equity Futures'!$J:$J,'Daily BSE Equity Futures'!$A:$A,$A1330)=0,"",SUMIFS('Daily BSE Equity Futures'!$J:$J,'Daily BSE Equity Futures'!$A:$A,$A1330))</f>
        <v>707</v>
      </c>
      <c r="R1330" s="7">
        <f t="shared" si="246"/>
        <v>1117528</v>
      </c>
      <c r="S1330" s="19">
        <f t="shared" si="247"/>
        <v>0.99936735365914764</v>
      </c>
      <c r="T1330" s="19">
        <f t="shared" si="248"/>
        <v>6.3264634085230976E-4</v>
      </c>
    </row>
    <row r="1331" spans="1:20" x14ac:dyDescent="0.2">
      <c r="A1331" s="9">
        <v>45876</v>
      </c>
      <c r="B1331" s="4" t="s">
        <v>224</v>
      </c>
      <c r="C1331" s="8">
        <v>45870</v>
      </c>
      <c r="D1331" s="4" t="s">
        <v>194</v>
      </c>
      <c r="E1331" s="14">
        <f>IF(SUMIFS('Daily NSE Equity Futures'!$I:$I,'Daily NSE Equity Futures'!$A:$A,$A1331)=0,"",SUMIFS('Daily NSE Equity Futures'!$I:$I,'Daily NSE Equity Futures'!$A:$A,$A1331))</f>
        <v>1090.6427000000001</v>
      </c>
      <c r="F1331" s="6">
        <f>IF(SUMIFS('Daily BSE Equity Futures'!$I:$I,'Daily BSE Equity Futures'!$A:$A,$A1331)=0,"",SUMIFS('Daily BSE Equity Futures'!$I:$I,'Daily BSE Equity Futures'!$A:$A,$A1331))</f>
        <v>2.1421999999999999</v>
      </c>
      <c r="G1331" s="6">
        <f t="shared" si="240"/>
        <v>1092.7849000000001</v>
      </c>
      <c r="H1331" s="15">
        <f t="shared" si="241"/>
        <v>0.998039687407833</v>
      </c>
      <c r="I1331" s="15">
        <f t="shared" si="242"/>
        <v>1.9603125921670399E-3</v>
      </c>
      <c r="J1331" s="20">
        <f t="shared" si="243"/>
        <v>-0.33827994103847636</v>
      </c>
      <c r="K1331" s="15">
        <f t="shared" si="244"/>
        <v>2.2487109493478918</v>
      </c>
      <c r="L1331" s="15">
        <f t="shared" si="245"/>
        <v>-0.33724536615728418</v>
      </c>
      <c r="M1331" s="15">
        <f t="shared" si="249"/>
        <v>0.26130860096445985</v>
      </c>
      <c r="N1331" s="15">
        <f t="shared" si="250"/>
        <v>0.92557303370786492</v>
      </c>
      <c r="O1331" s="15">
        <f t="shared" si="251"/>
        <v>0.26216213625279372</v>
      </c>
      <c r="P1331" s="18">
        <f>IF(SUMIFS('Daily NSE Equity Futures'!$J:$J,'Daily NSE Equity Futures'!$A:$A,$A1331)=0,"",SUMIFS('Daily NSE Equity Futures'!$J:$J,'Daily NSE Equity Futures'!$A:$A,$A1331))</f>
        <v>1351139</v>
      </c>
      <c r="Q1331" s="7">
        <f>IF(SUMIFS('Daily BSE Equity Futures'!$J:$J,'Daily BSE Equity Futures'!$A:$A,$A1331)=0,"",SUMIFS('Daily BSE Equity Futures'!$J:$J,'Daily BSE Equity Futures'!$A:$A,$A1331))</f>
        <v>1430</v>
      </c>
      <c r="R1331" s="7">
        <f t="shared" si="246"/>
        <v>1352569</v>
      </c>
      <c r="S1331" s="19">
        <f t="shared" si="247"/>
        <v>0.99894275264330323</v>
      </c>
      <c r="T1331" s="19">
        <f t="shared" si="248"/>
        <v>1.0572473566967749E-3</v>
      </c>
    </row>
    <row r="1332" spans="1:20" x14ac:dyDescent="0.2">
      <c r="A1332" s="9">
        <v>45877</v>
      </c>
      <c r="B1332" s="4" t="s">
        <v>222</v>
      </c>
      <c r="C1332" s="8">
        <v>45870</v>
      </c>
      <c r="D1332" s="4" t="s">
        <v>194</v>
      </c>
      <c r="E1332" s="14">
        <f>IF(SUMIFS('Daily NSE Equity Futures'!$I:$I,'Daily NSE Equity Futures'!$A:$A,$A1332)=0,"",SUMIFS('Daily NSE Equity Futures'!$I:$I,'Daily NSE Equity Futures'!$A:$A,$A1332))</f>
        <v>971.57470000000001</v>
      </c>
      <c r="F1332" s="6">
        <f>IF(SUMIFS('Daily BSE Equity Futures'!$I:$I,'Daily BSE Equity Futures'!$A:$A,$A1332)=0,"",SUMIFS('Daily BSE Equity Futures'!$I:$I,'Daily BSE Equity Futures'!$A:$A,$A1332))</f>
        <v>1.9670000000000001</v>
      </c>
      <c r="G1332" s="6">
        <f t="shared" si="240"/>
        <v>973.54169999999999</v>
      </c>
      <c r="H1332" s="15">
        <f t="shared" si="241"/>
        <v>0.99797954211925388</v>
      </c>
      <c r="I1332" s="15">
        <f t="shared" si="242"/>
        <v>2.020457880746146E-3</v>
      </c>
      <c r="J1332" s="20">
        <f t="shared" si="243"/>
        <v>-0.40140337474104137</v>
      </c>
      <c r="K1332" s="15">
        <f t="shared" si="244"/>
        <v>0.69891172914147548</v>
      </c>
      <c r="L1332" s="15">
        <f t="shared" si="245"/>
        <v>-0.4006190444263561</v>
      </c>
      <c r="M1332" s="15">
        <f t="shared" si="249"/>
        <v>-0.1091723256388184</v>
      </c>
      <c r="N1332" s="15">
        <f t="shared" si="250"/>
        <v>-8.1785080758099094E-2</v>
      </c>
      <c r="O1332" s="15">
        <f t="shared" si="251"/>
        <v>-0.10911863807781397</v>
      </c>
      <c r="P1332" s="18">
        <f>IF(SUMIFS('Daily NSE Equity Futures'!$J:$J,'Daily NSE Equity Futures'!$A:$A,$A1332)=0,"",SUMIFS('Daily NSE Equity Futures'!$J:$J,'Daily NSE Equity Futures'!$A:$A,$A1332))</f>
        <v>1222086</v>
      </c>
      <c r="Q1332" s="7">
        <f>IF(SUMIFS('Daily BSE Equity Futures'!$J:$J,'Daily BSE Equity Futures'!$A:$A,$A1332)=0,"",SUMIFS('Daily BSE Equity Futures'!$J:$J,'Daily BSE Equity Futures'!$A:$A,$A1332))</f>
        <v>1294</v>
      </c>
      <c r="R1332" s="7">
        <f t="shared" si="246"/>
        <v>1223380</v>
      </c>
      <c r="S1332" s="19">
        <f t="shared" si="247"/>
        <v>0.99894227468161978</v>
      </c>
      <c r="T1332" s="19">
        <f t="shared" si="248"/>
        <v>1.0577253183802252E-3</v>
      </c>
    </row>
    <row r="1333" spans="1:20" x14ac:dyDescent="0.2">
      <c r="A1333" s="9">
        <v>45880</v>
      </c>
      <c r="B1333" s="4" t="s">
        <v>225</v>
      </c>
      <c r="C1333" s="8">
        <v>45870</v>
      </c>
      <c r="D1333" s="4" t="s">
        <v>194</v>
      </c>
      <c r="E1333" s="14">
        <f>IF(SUMIFS('Daily NSE Equity Futures'!$I:$I,'Daily NSE Equity Futures'!$A:$A,$A1333)=0,"",SUMIFS('Daily NSE Equity Futures'!$I:$I,'Daily NSE Equity Futures'!$A:$A,$A1333))</f>
        <v>851.29899999999998</v>
      </c>
      <c r="F1333" s="6">
        <f>IF(SUMIFS('Daily BSE Equity Futures'!$I:$I,'Daily BSE Equity Futures'!$A:$A,$A1333)=0,"",SUMIFS('Daily BSE Equity Futures'!$I:$I,'Daily BSE Equity Futures'!$A:$A,$A1333))</f>
        <v>3.1236000000000002</v>
      </c>
      <c r="G1333" s="6">
        <f t="shared" si="240"/>
        <v>854.42259999999999</v>
      </c>
      <c r="H1333" s="15">
        <f t="shared" si="241"/>
        <v>0.99634419782435524</v>
      </c>
      <c r="I1333" s="15">
        <f t="shared" si="242"/>
        <v>3.655802175644699E-3</v>
      </c>
      <c r="J1333" s="20" t="str">
        <f t="shared" si="243"/>
        <v/>
      </c>
      <c r="K1333" s="15" t="str">
        <f t="shared" si="244"/>
        <v/>
      </c>
      <c r="L1333" s="15" t="str">
        <f t="shared" si="245"/>
        <v/>
      </c>
      <c r="M1333" s="15">
        <f t="shared" si="249"/>
        <v>-0.12379459860368947</v>
      </c>
      <c r="N1333" s="15">
        <f t="shared" si="250"/>
        <v>0.5880020335536349</v>
      </c>
      <c r="O1333" s="15">
        <f t="shared" si="251"/>
        <v>-0.12235644348875863</v>
      </c>
      <c r="P1333" s="18">
        <f>IF(SUMIFS('Daily NSE Equity Futures'!$J:$J,'Daily NSE Equity Futures'!$A:$A,$A1333)=0,"",SUMIFS('Daily NSE Equity Futures'!$J:$J,'Daily NSE Equity Futures'!$A:$A,$A1333))</f>
        <v>1116093</v>
      </c>
      <c r="Q1333" s="7">
        <f>IF(SUMIFS('Daily BSE Equity Futures'!$J:$J,'Daily BSE Equity Futures'!$A:$A,$A1333)=0,"",SUMIFS('Daily BSE Equity Futures'!$J:$J,'Daily BSE Equity Futures'!$A:$A,$A1333))</f>
        <v>1957</v>
      </c>
      <c r="R1333" s="7">
        <f t="shared" si="246"/>
        <v>1118050</v>
      </c>
      <c r="S1333" s="19">
        <f t="shared" si="247"/>
        <v>0.99824963105406739</v>
      </c>
      <c r="T1333" s="19">
        <f t="shared" si="248"/>
        <v>1.7503689459326505E-3</v>
      </c>
    </row>
    <row r="1334" spans="1:20" x14ac:dyDescent="0.2">
      <c r="A1334" s="9">
        <v>45881</v>
      </c>
      <c r="B1334" s="4" t="s">
        <v>223</v>
      </c>
      <c r="C1334" s="8">
        <v>45870</v>
      </c>
      <c r="D1334" s="4" t="s">
        <v>194</v>
      </c>
      <c r="E1334" s="14">
        <f>IF(SUMIFS('Daily NSE Equity Futures'!$I:$I,'Daily NSE Equity Futures'!$A:$A,$A1334)=0,"",SUMIFS('Daily NSE Equity Futures'!$I:$I,'Daily NSE Equity Futures'!$A:$A,$A1334))</f>
        <v>863.65539999999999</v>
      </c>
      <c r="F1334" s="6">
        <f>IF(SUMIFS('Daily BSE Equity Futures'!$I:$I,'Daily BSE Equity Futures'!$A:$A,$A1334)=0,"",SUMIFS('Daily BSE Equity Futures'!$I:$I,'Daily BSE Equity Futures'!$A:$A,$A1334))</f>
        <v>6.8756000000000004</v>
      </c>
      <c r="G1334" s="6">
        <f t="shared" si="240"/>
        <v>870.53099999999995</v>
      </c>
      <c r="H1334" s="15">
        <f t="shared" si="241"/>
        <v>0.99210183210017799</v>
      </c>
      <c r="I1334" s="15">
        <f t="shared" si="242"/>
        <v>7.8981678998220634E-3</v>
      </c>
      <c r="J1334" s="20">
        <f t="shared" si="243"/>
        <v>-0.42121899169895238</v>
      </c>
      <c r="K1334" s="15">
        <f t="shared" si="244"/>
        <v>1.1113465376938434</v>
      </c>
      <c r="L1334" s="15">
        <f t="shared" si="245"/>
        <v>-0.41788167697869893</v>
      </c>
      <c r="M1334" s="15">
        <f t="shared" si="249"/>
        <v>1.4514759209161454E-2</v>
      </c>
      <c r="N1334" s="15">
        <f t="shared" si="250"/>
        <v>1.201178127801255</v>
      </c>
      <c r="O1334" s="15">
        <f t="shared" si="251"/>
        <v>1.8852965733818339E-2</v>
      </c>
      <c r="P1334" s="18">
        <f>IF(SUMIFS('Daily NSE Equity Futures'!$J:$J,'Daily NSE Equity Futures'!$A:$A,$A1334)=0,"",SUMIFS('Daily NSE Equity Futures'!$J:$J,'Daily NSE Equity Futures'!$A:$A,$A1334))</f>
        <v>1062182</v>
      </c>
      <c r="Q1334" s="7">
        <f>IF(SUMIFS('Daily BSE Equity Futures'!$J:$J,'Daily BSE Equity Futures'!$A:$A,$A1334)=0,"",SUMIFS('Daily BSE Equity Futures'!$J:$J,'Daily BSE Equity Futures'!$A:$A,$A1334))</f>
        <v>4312</v>
      </c>
      <c r="R1334" s="7">
        <f t="shared" si="246"/>
        <v>1066494</v>
      </c>
      <c r="S1334" s="19">
        <f t="shared" si="247"/>
        <v>0.99595684551436758</v>
      </c>
      <c r="T1334" s="19">
        <f t="shared" si="248"/>
        <v>4.0431544856323618E-3</v>
      </c>
    </row>
    <row r="1335" spans="1:20" x14ac:dyDescent="0.2">
      <c r="A1335" s="9">
        <v>45882</v>
      </c>
      <c r="B1335" s="4" t="s">
        <v>221</v>
      </c>
      <c r="C1335" s="8">
        <v>45870</v>
      </c>
      <c r="D1335" s="4" t="s">
        <v>194</v>
      </c>
      <c r="E1335" s="14">
        <f>IF(SUMIFS('Daily NSE Equity Futures'!$I:$I,'Daily NSE Equity Futures'!$A:$A,$A1335)=0,"",SUMIFS('Daily NSE Equity Futures'!$I:$I,'Daily NSE Equity Futures'!$A:$A,$A1335))</f>
        <v>947.2287</v>
      </c>
      <c r="F1335" s="6">
        <f>IF(SUMIFS('Daily BSE Equity Futures'!$I:$I,'Daily BSE Equity Futures'!$A:$A,$A1335)=0,"",SUMIFS('Daily BSE Equity Futures'!$I:$I,'Daily BSE Equity Futures'!$A:$A,$A1335))</f>
        <v>1.6739999999999999</v>
      </c>
      <c r="G1335" s="6">
        <f t="shared" si="240"/>
        <v>948.90269999999998</v>
      </c>
      <c r="H1335" s="15">
        <f t="shared" si="241"/>
        <v>0.9982358570588955</v>
      </c>
      <c r="I1335" s="15">
        <f t="shared" si="242"/>
        <v>1.7641429411044988E-3</v>
      </c>
      <c r="J1335" s="20">
        <f t="shared" si="243"/>
        <v>-0.37084329617378431</v>
      </c>
      <c r="K1335" s="15">
        <f t="shared" si="244"/>
        <v>1.7074235807860263</v>
      </c>
      <c r="L1335" s="15">
        <f t="shared" si="245"/>
        <v>-0.36999014454664914</v>
      </c>
      <c r="M1335" s="15">
        <f t="shared" si="249"/>
        <v>9.6766951263200562E-2</v>
      </c>
      <c r="N1335" s="15">
        <f t="shared" si="250"/>
        <v>-0.75653033917039969</v>
      </c>
      <c r="O1335" s="15">
        <f t="shared" si="251"/>
        <v>9.0027465994892752E-2</v>
      </c>
      <c r="P1335" s="18">
        <f>IF(SUMIFS('Daily NSE Equity Futures'!$J:$J,'Daily NSE Equity Futures'!$A:$A,$A1335)=0,"",SUMIFS('Daily NSE Equity Futures'!$J:$J,'Daily NSE Equity Futures'!$A:$A,$A1335))</f>
        <v>1189691</v>
      </c>
      <c r="Q1335" s="7">
        <f>IF(SUMIFS('Daily BSE Equity Futures'!$J:$J,'Daily BSE Equity Futures'!$A:$A,$A1335)=0,"",SUMIFS('Daily BSE Equity Futures'!$J:$J,'Daily BSE Equity Futures'!$A:$A,$A1335))</f>
        <v>1053</v>
      </c>
      <c r="R1335" s="7">
        <f t="shared" si="246"/>
        <v>1190744</v>
      </c>
      <c r="S1335" s="19">
        <f t="shared" si="247"/>
        <v>0.99911567893686637</v>
      </c>
      <c r="T1335" s="19">
        <f t="shared" si="248"/>
        <v>8.8432106313363751E-4</v>
      </c>
    </row>
    <row r="1336" spans="1:20" x14ac:dyDescent="0.2">
      <c r="A1336" s="9">
        <v>45883</v>
      </c>
      <c r="B1336" s="4" t="s">
        <v>224</v>
      </c>
      <c r="C1336" s="8">
        <v>45870</v>
      </c>
      <c r="D1336" s="4" t="s">
        <v>194</v>
      </c>
      <c r="E1336" s="14">
        <f>IF(SUMIFS('Daily NSE Equity Futures'!$I:$I,'Daily NSE Equity Futures'!$A:$A,$A1336)=0,"",SUMIFS('Daily NSE Equity Futures'!$I:$I,'Daily NSE Equity Futures'!$A:$A,$A1336))</f>
        <v>797.46900000000005</v>
      </c>
      <c r="F1336" s="6">
        <f>IF(SUMIFS('Daily BSE Equity Futures'!$I:$I,'Daily BSE Equity Futures'!$A:$A,$A1336)=0,"",SUMIFS('Daily BSE Equity Futures'!$I:$I,'Daily BSE Equity Futures'!$A:$A,$A1336))</f>
        <v>0.95250000000000001</v>
      </c>
      <c r="G1336" s="6">
        <f t="shared" si="240"/>
        <v>798.42150000000004</v>
      </c>
      <c r="H1336" s="15">
        <f t="shared" si="241"/>
        <v>0.99880702110351494</v>
      </c>
      <c r="I1336" s="15">
        <f t="shared" si="242"/>
        <v>1.1929788964851272E-3</v>
      </c>
      <c r="J1336" s="20">
        <f t="shared" si="243"/>
        <v>-0.35786587708342366</v>
      </c>
      <c r="K1336" s="15">
        <f t="shared" si="244"/>
        <v>0.79075014100394792</v>
      </c>
      <c r="L1336" s="15">
        <f t="shared" si="245"/>
        <v>-0.35737414241055465</v>
      </c>
      <c r="M1336" s="15">
        <f t="shared" si="249"/>
        <v>-0.15810300089091467</v>
      </c>
      <c r="N1336" s="15">
        <f t="shared" si="250"/>
        <v>-0.43100358422939067</v>
      </c>
      <c r="O1336" s="15">
        <f t="shared" si="251"/>
        <v>-0.15858443652863452</v>
      </c>
      <c r="P1336" s="18">
        <f>IF(SUMIFS('Daily NSE Equity Futures'!$J:$J,'Daily NSE Equity Futures'!$A:$A,$A1336)=0,"",SUMIFS('Daily NSE Equity Futures'!$J:$J,'Daily NSE Equity Futures'!$A:$A,$A1336))</f>
        <v>1026955</v>
      </c>
      <c r="Q1336" s="7">
        <f>IF(SUMIFS('Daily BSE Equity Futures'!$J:$J,'Daily BSE Equity Futures'!$A:$A,$A1336)=0,"",SUMIFS('Daily BSE Equity Futures'!$J:$J,'Daily BSE Equity Futures'!$A:$A,$A1336))</f>
        <v>620</v>
      </c>
      <c r="R1336" s="7">
        <f t="shared" si="246"/>
        <v>1027575</v>
      </c>
      <c r="S1336" s="19">
        <f t="shared" si="247"/>
        <v>0.99939663771500864</v>
      </c>
      <c r="T1336" s="19">
        <f t="shared" si="248"/>
        <v>6.0336228499136316E-4</v>
      </c>
    </row>
    <row r="1337" spans="1:20" x14ac:dyDescent="0.2">
      <c r="A1337" s="9">
        <v>45887</v>
      </c>
      <c r="B1337" s="4" t="s">
        <v>225</v>
      </c>
      <c r="C1337" s="8">
        <v>45870</v>
      </c>
      <c r="D1337" s="4" t="s">
        <v>194</v>
      </c>
      <c r="E1337" s="14">
        <f>IF(SUMIFS('Daily NSE Equity Futures'!$I:$I,'Daily NSE Equity Futures'!$A:$A,$A1337)=0,"",SUMIFS('Daily NSE Equity Futures'!$I:$I,'Daily NSE Equity Futures'!$A:$A,$A1337))</f>
        <v>1304.4436000000001</v>
      </c>
      <c r="F1337" s="6">
        <f>IF(SUMIFS('Daily BSE Equity Futures'!$I:$I,'Daily BSE Equity Futures'!$A:$A,$A1337)=0,"",SUMIFS('Daily BSE Equity Futures'!$I:$I,'Daily BSE Equity Futures'!$A:$A,$A1337))</f>
        <v>2.3513999999999999</v>
      </c>
      <c r="G1337" s="6">
        <f t="shared" si="240"/>
        <v>1306.7950000000001</v>
      </c>
      <c r="H1337" s="15">
        <f t="shared" si="241"/>
        <v>0.99820063590693264</v>
      </c>
      <c r="I1337" s="15">
        <f t="shared" si="242"/>
        <v>1.7993640930673899E-3</v>
      </c>
      <c r="J1337" s="20" t="str">
        <f t="shared" si="243"/>
        <v/>
      </c>
      <c r="K1337" s="15" t="str">
        <f t="shared" si="244"/>
        <v/>
      </c>
      <c r="L1337" s="15" t="str">
        <f t="shared" si="245"/>
        <v/>
      </c>
      <c r="M1337" s="15">
        <f t="shared" si="249"/>
        <v>0.63572953933005549</v>
      </c>
      <c r="N1337" s="15">
        <f t="shared" si="250"/>
        <v>1.4686614173228345</v>
      </c>
      <c r="O1337" s="15">
        <f t="shared" si="251"/>
        <v>0.63672320948271066</v>
      </c>
      <c r="P1337" s="18">
        <f>IF(SUMIFS('Daily NSE Equity Futures'!$J:$J,'Daily NSE Equity Futures'!$A:$A,$A1337)=0,"",SUMIFS('Daily NSE Equity Futures'!$J:$J,'Daily NSE Equity Futures'!$A:$A,$A1337))</f>
        <v>1617388</v>
      </c>
      <c r="Q1337" s="7">
        <f>IF(SUMIFS('Daily BSE Equity Futures'!$J:$J,'Daily BSE Equity Futures'!$A:$A,$A1337)=0,"",SUMIFS('Daily BSE Equity Futures'!$J:$J,'Daily BSE Equity Futures'!$A:$A,$A1337))</f>
        <v>1448</v>
      </c>
      <c r="R1337" s="7">
        <f t="shared" si="246"/>
        <v>1618836</v>
      </c>
      <c r="S1337" s="19">
        <f t="shared" si="247"/>
        <v>0.99910553014635206</v>
      </c>
      <c r="T1337" s="19">
        <f t="shared" si="248"/>
        <v>8.9446985364792975E-4</v>
      </c>
    </row>
    <row r="1338" spans="1:20" x14ac:dyDescent="0.2">
      <c r="A1338" s="9">
        <v>45888</v>
      </c>
      <c r="B1338" s="4" t="s">
        <v>223</v>
      </c>
      <c r="C1338" s="8">
        <v>45870</v>
      </c>
      <c r="D1338" s="4" t="s">
        <v>194</v>
      </c>
      <c r="E1338" s="14">
        <f>IF(SUMIFS('Daily NSE Equity Futures'!$I:$I,'Daily NSE Equity Futures'!$A:$A,$A1338)=0,"",SUMIFS('Daily NSE Equity Futures'!$I:$I,'Daily NSE Equity Futures'!$A:$A,$A1338))</f>
        <v>958.4837</v>
      </c>
      <c r="F1338" s="6">
        <f>IF(SUMIFS('Daily BSE Equity Futures'!$I:$I,'Daily BSE Equity Futures'!$A:$A,$A1338)=0,"",SUMIFS('Daily BSE Equity Futures'!$I:$I,'Daily BSE Equity Futures'!$A:$A,$A1338))</f>
        <v>2.1949000000000001</v>
      </c>
      <c r="G1338" s="6">
        <f t="shared" si="240"/>
        <v>960.67859999999996</v>
      </c>
      <c r="H1338" s="15">
        <f t="shared" si="241"/>
        <v>0.99771526085831419</v>
      </c>
      <c r="I1338" s="15">
        <f t="shared" si="242"/>
        <v>2.2847391416858875E-3</v>
      </c>
      <c r="J1338" s="20">
        <f t="shared" si="243"/>
        <v>-0.20078871863031955</v>
      </c>
      <c r="K1338" s="15">
        <f t="shared" si="244"/>
        <v>1.1710187932739866</v>
      </c>
      <c r="L1338" s="15">
        <f t="shared" si="245"/>
        <v>-0.19963325774099439</v>
      </c>
      <c r="M1338" s="15">
        <f t="shared" si="249"/>
        <v>-0.26521644937351074</v>
      </c>
      <c r="N1338" s="15">
        <f t="shared" si="250"/>
        <v>-6.6556094241728259E-2</v>
      </c>
      <c r="O1338" s="15">
        <f t="shared" si="251"/>
        <v>-0.26485898706377065</v>
      </c>
      <c r="P1338" s="18">
        <f>IF(SUMIFS('Daily NSE Equity Futures'!$J:$J,'Daily NSE Equity Futures'!$A:$A,$A1338)=0,"",SUMIFS('Daily NSE Equity Futures'!$J:$J,'Daily NSE Equity Futures'!$A:$A,$A1338))</f>
        <v>1259528</v>
      </c>
      <c r="Q1338" s="7">
        <f>IF(SUMIFS('Daily BSE Equity Futures'!$J:$J,'Daily BSE Equity Futures'!$A:$A,$A1338)=0,"",SUMIFS('Daily BSE Equity Futures'!$J:$J,'Daily BSE Equity Futures'!$A:$A,$A1338))</f>
        <v>1359</v>
      </c>
      <c r="R1338" s="7">
        <f t="shared" si="246"/>
        <v>1260887</v>
      </c>
      <c r="S1338" s="19">
        <f t="shared" si="247"/>
        <v>0.99892218731734084</v>
      </c>
      <c r="T1338" s="19">
        <f t="shared" si="248"/>
        <v>1.0778126826591122E-3</v>
      </c>
    </row>
    <row r="1339" spans="1:20" x14ac:dyDescent="0.2">
      <c r="A1339" s="9">
        <v>45889</v>
      </c>
      <c r="B1339" s="4" t="s">
        <v>221</v>
      </c>
      <c r="C1339" s="8">
        <v>45870</v>
      </c>
      <c r="D1339" s="4" t="s">
        <v>194</v>
      </c>
      <c r="E1339" s="14">
        <f>IF(SUMIFS('Daily NSE Equity Futures'!$I:$I,'Daily NSE Equity Futures'!$A:$A,$A1339)=0,"",SUMIFS('Daily NSE Equity Futures'!$I:$I,'Daily NSE Equity Futures'!$A:$A,$A1339))</f>
        <v>1065.7981</v>
      </c>
      <c r="F1339" s="6">
        <f>IF(SUMIFS('Daily BSE Equity Futures'!$I:$I,'Daily BSE Equity Futures'!$A:$A,$A1339)=0,"",SUMIFS('Daily BSE Equity Futures'!$I:$I,'Daily BSE Equity Futures'!$A:$A,$A1339))</f>
        <v>1.6895</v>
      </c>
      <c r="G1339" s="6">
        <f t="shared" si="240"/>
        <v>1067.4875999999999</v>
      </c>
      <c r="H1339" s="15">
        <f t="shared" si="241"/>
        <v>0.99841731182638571</v>
      </c>
      <c r="I1339" s="15">
        <f t="shared" si="242"/>
        <v>1.582688173614382E-3</v>
      </c>
      <c r="J1339" s="20">
        <f t="shared" si="243"/>
        <v>-0.22039549382232926</v>
      </c>
      <c r="K1339" s="15">
        <f t="shared" si="244"/>
        <v>2.0468890892696123</v>
      </c>
      <c r="L1339" s="15">
        <f t="shared" si="245"/>
        <v>-0.21947624968422252</v>
      </c>
      <c r="M1339" s="15">
        <f t="shared" si="249"/>
        <v>0.11196267604759469</v>
      </c>
      <c r="N1339" s="15">
        <f t="shared" si="250"/>
        <v>-0.23026105972937261</v>
      </c>
      <c r="O1339" s="15">
        <f t="shared" si="251"/>
        <v>0.11118078408325105</v>
      </c>
      <c r="P1339" s="18">
        <f>IF(SUMIFS('Daily NSE Equity Futures'!$J:$J,'Daily NSE Equity Futures'!$A:$A,$A1339)=0,"",SUMIFS('Daily NSE Equity Futures'!$J:$J,'Daily NSE Equity Futures'!$A:$A,$A1339))</f>
        <v>1426470</v>
      </c>
      <c r="Q1339" s="7">
        <f>IF(SUMIFS('Daily BSE Equity Futures'!$J:$J,'Daily BSE Equity Futures'!$A:$A,$A1339)=0,"",SUMIFS('Daily BSE Equity Futures'!$J:$J,'Daily BSE Equity Futures'!$A:$A,$A1339))</f>
        <v>1038</v>
      </c>
      <c r="R1339" s="7">
        <f t="shared" si="246"/>
        <v>1427508</v>
      </c>
      <c r="S1339" s="19">
        <f t="shared" si="247"/>
        <v>0.99927285871602822</v>
      </c>
      <c r="T1339" s="19">
        <f t="shared" si="248"/>
        <v>7.2714128397178863E-4</v>
      </c>
    </row>
    <row r="1340" spans="1:20" x14ac:dyDescent="0.2">
      <c r="A1340" s="9">
        <v>45890</v>
      </c>
      <c r="B1340" s="4" t="s">
        <v>224</v>
      </c>
      <c r="C1340" s="8">
        <v>45870</v>
      </c>
      <c r="D1340" s="4" t="s">
        <v>194</v>
      </c>
      <c r="E1340" s="14">
        <f>IF(SUMIFS('Daily NSE Equity Futures'!$I:$I,'Daily NSE Equity Futures'!$A:$A,$A1340)=0,"",SUMIFS('Daily NSE Equity Futures'!$I:$I,'Daily NSE Equity Futures'!$A:$A,$A1340))</f>
        <v>1168.0572</v>
      </c>
      <c r="F1340" s="6">
        <f>IF(SUMIFS('Daily BSE Equity Futures'!$I:$I,'Daily BSE Equity Futures'!$A:$A,$A1340)=0,"",SUMIFS('Daily BSE Equity Futures'!$I:$I,'Daily BSE Equity Futures'!$A:$A,$A1340))</f>
        <v>1.7787999999999999</v>
      </c>
      <c r="G1340" s="6">
        <f t="shared" si="240"/>
        <v>1169.836</v>
      </c>
      <c r="H1340" s="15">
        <f t="shared" si="241"/>
        <v>0.99847944498203167</v>
      </c>
      <c r="I1340" s="15">
        <f t="shared" si="242"/>
        <v>1.5205550179683306E-3</v>
      </c>
      <c r="J1340" s="20">
        <f t="shared" si="243"/>
        <v>-0.11264718946660479</v>
      </c>
      <c r="K1340" s="15">
        <f t="shared" si="244"/>
        <v>3.7599678886807597</v>
      </c>
      <c r="L1340" s="15">
        <f t="shared" si="245"/>
        <v>-0.11154809158079115</v>
      </c>
      <c r="M1340" s="15">
        <f t="shared" si="249"/>
        <v>9.5946033305932987E-2</v>
      </c>
      <c r="N1340" s="15">
        <f t="shared" si="250"/>
        <v>5.2855874519088353E-2</v>
      </c>
      <c r="O1340" s="15">
        <f t="shared" si="251"/>
        <v>9.5877835021221935E-2</v>
      </c>
      <c r="P1340" s="18">
        <f>IF(SUMIFS('Daily NSE Equity Futures'!$J:$J,'Daily NSE Equity Futures'!$A:$A,$A1340)=0,"",SUMIFS('Daily NSE Equity Futures'!$J:$J,'Daily NSE Equity Futures'!$A:$A,$A1340))</f>
        <v>1515557</v>
      </c>
      <c r="Q1340" s="7">
        <f>IF(SUMIFS('Daily BSE Equity Futures'!$J:$J,'Daily BSE Equity Futures'!$A:$A,$A1340)=0,"",SUMIFS('Daily BSE Equity Futures'!$J:$J,'Daily BSE Equity Futures'!$A:$A,$A1340))</f>
        <v>1086</v>
      </c>
      <c r="R1340" s="7">
        <f t="shared" si="246"/>
        <v>1516643</v>
      </c>
      <c r="S1340" s="19">
        <f t="shared" si="247"/>
        <v>0.99928394487034855</v>
      </c>
      <c r="T1340" s="19">
        <f t="shared" si="248"/>
        <v>7.1605512965147364E-4</v>
      </c>
    </row>
    <row r="1341" spans="1:20" x14ac:dyDescent="0.2">
      <c r="A1341" s="9">
        <v>45891</v>
      </c>
      <c r="B1341" s="4" t="s">
        <v>222</v>
      </c>
      <c r="C1341" s="8">
        <v>45870</v>
      </c>
      <c r="D1341" s="4" t="s">
        <v>194</v>
      </c>
      <c r="E1341" s="14">
        <f>IF(SUMIFS('Daily NSE Equity Futures'!$I:$I,'Daily NSE Equity Futures'!$A:$A,$A1341)=0,"",SUMIFS('Daily NSE Equity Futures'!$I:$I,'Daily NSE Equity Futures'!$A:$A,$A1341))</f>
        <v>2869.1581000000001</v>
      </c>
      <c r="F1341" s="6">
        <f>IF(SUMIFS('Daily BSE Equity Futures'!$I:$I,'Daily BSE Equity Futures'!$A:$A,$A1341)=0,"",SUMIFS('Daily BSE Equity Futures'!$I:$I,'Daily BSE Equity Futures'!$A:$A,$A1341))</f>
        <v>2.3254000000000001</v>
      </c>
      <c r="G1341" s="6">
        <f t="shared" si="240"/>
        <v>2871.4835000000003</v>
      </c>
      <c r="H1341" s="15">
        <f t="shared" si="241"/>
        <v>0.99919017469541438</v>
      </c>
      <c r="I1341" s="15">
        <f t="shared" si="242"/>
        <v>8.0982530458559136E-4</v>
      </c>
      <c r="J1341" s="20">
        <f t="shared" si="243"/>
        <v>0.90718325685079115</v>
      </c>
      <c r="K1341" s="15">
        <f t="shared" si="244"/>
        <v>1.8847537526361493</v>
      </c>
      <c r="L1341" s="15">
        <f t="shared" si="245"/>
        <v>0.9077067877348266</v>
      </c>
      <c r="M1341" s="15">
        <f t="shared" si="249"/>
        <v>1.4563506821412515</v>
      </c>
      <c r="N1341" s="15">
        <f t="shared" si="250"/>
        <v>0.30728581065887117</v>
      </c>
      <c r="O1341" s="15">
        <f t="shared" si="251"/>
        <v>1.454603465784948</v>
      </c>
      <c r="P1341" s="18">
        <f>IF(SUMIFS('Daily NSE Equity Futures'!$J:$J,'Daily NSE Equity Futures'!$A:$A,$A1341)=0,"",SUMIFS('Daily NSE Equity Futures'!$J:$J,'Daily NSE Equity Futures'!$A:$A,$A1341))</f>
        <v>3909359</v>
      </c>
      <c r="Q1341" s="7">
        <f>IF(SUMIFS('Daily BSE Equity Futures'!$J:$J,'Daily BSE Equity Futures'!$A:$A,$A1341)=0,"",SUMIFS('Daily BSE Equity Futures'!$J:$J,'Daily BSE Equity Futures'!$A:$A,$A1341))</f>
        <v>1463</v>
      </c>
      <c r="R1341" s="7">
        <f t="shared" si="246"/>
        <v>3910822</v>
      </c>
      <c r="S1341" s="19">
        <f t="shared" si="247"/>
        <v>0.99962590984708588</v>
      </c>
      <c r="T1341" s="19">
        <f t="shared" si="248"/>
        <v>3.7409015291414439E-4</v>
      </c>
    </row>
    <row r="1342" spans="1:20" x14ac:dyDescent="0.2">
      <c r="A1342" s="9">
        <v>45894</v>
      </c>
      <c r="B1342" s="4" t="s">
        <v>225</v>
      </c>
      <c r="C1342" s="8">
        <v>45870</v>
      </c>
      <c r="D1342" s="4" t="s">
        <v>194</v>
      </c>
      <c r="E1342" s="14">
        <f>IF(SUMIFS('Daily NSE Equity Futures'!$I:$I,'Daily NSE Equity Futures'!$A:$A,$A1342)=0,"",SUMIFS('Daily NSE Equity Futures'!$I:$I,'Daily NSE Equity Futures'!$A:$A,$A1342))</f>
        <v>3694.8033</v>
      </c>
      <c r="F1342" s="6">
        <f>IF(SUMIFS('Daily BSE Equity Futures'!$I:$I,'Daily BSE Equity Futures'!$A:$A,$A1342)=0,"",SUMIFS('Daily BSE Equity Futures'!$I:$I,'Daily BSE Equity Futures'!$A:$A,$A1342))</f>
        <v>2.3704999999999998</v>
      </c>
      <c r="G1342" s="6">
        <f t="shared" si="240"/>
        <v>3697.1738</v>
      </c>
      <c r="H1342" s="15">
        <f t="shared" si="241"/>
        <v>0.99935883457791463</v>
      </c>
      <c r="I1342" s="15">
        <f t="shared" si="242"/>
        <v>6.4116542208537768E-4</v>
      </c>
      <c r="J1342" s="20" t="str">
        <f t="shared" si="243"/>
        <v/>
      </c>
      <c r="K1342" s="15" t="str">
        <f t="shared" si="244"/>
        <v/>
      </c>
      <c r="L1342" s="15" t="str">
        <f t="shared" si="245"/>
        <v/>
      </c>
      <c r="M1342" s="15">
        <f t="shared" si="249"/>
        <v>0.28776566896052191</v>
      </c>
      <c r="N1342" s="15">
        <f t="shared" si="250"/>
        <v>1.9394512771996109E-2</v>
      </c>
      <c r="O1342" s="15">
        <f t="shared" si="251"/>
        <v>0.28754833520721945</v>
      </c>
      <c r="P1342" s="18">
        <f>IF(SUMIFS('Daily NSE Equity Futures'!$J:$J,'Daily NSE Equity Futures'!$A:$A,$A1342)=0,"",SUMIFS('Daily NSE Equity Futures'!$J:$J,'Daily NSE Equity Futures'!$A:$A,$A1342))</f>
        <v>5014945</v>
      </c>
      <c r="Q1342" s="7">
        <f>IF(SUMIFS('Daily BSE Equity Futures'!$J:$J,'Daily BSE Equity Futures'!$A:$A,$A1342)=0,"",SUMIFS('Daily BSE Equity Futures'!$J:$J,'Daily BSE Equity Futures'!$A:$A,$A1342))</f>
        <v>1480</v>
      </c>
      <c r="R1342" s="7">
        <f t="shared" si="246"/>
        <v>5016425</v>
      </c>
      <c r="S1342" s="19">
        <f t="shared" si="247"/>
        <v>0.99970496917625595</v>
      </c>
      <c r="T1342" s="19">
        <f t="shared" si="248"/>
        <v>2.9503082374400096E-4</v>
      </c>
    </row>
    <row r="1343" spans="1:20" x14ac:dyDescent="0.2">
      <c r="A1343" s="9">
        <v>45895</v>
      </c>
      <c r="B1343" s="4" t="s">
        <v>223</v>
      </c>
      <c r="C1343" s="8">
        <v>45870</v>
      </c>
      <c r="D1343" s="4" t="s">
        <v>194</v>
      </c>
      <c r="E1343" s="14">
        <f>IF(SUMIFS('Daily NSE Equity Futures'!$I:$I,'Daily NSE Equity Futures'!$A:$A,$A1343)=0,"",SUMIFS('Daily NSE Equity Futures'!$I:$I,'Daily NSE Equity Futures'!$A:$A,$A1343))</f>
        <v>3636.4313000000002</v>
      </c>
      <c r="F1343" s="6">
        <f>IF(SUMIFS('Daily BSE Equity Futures'!$I:$I,'Daily BSE Equity Futures'!$A:$A,$A1343)=0,"",SUMIFS('Daily BSE Equity Futures'!$I:$I,'Daily BSE Equity Futures'!$A:$A,$A1343))</f>
        <v>5.6275000000000004</v>
      </c>
      <c r="G1343" s="6">
        <f t="shared" si="240"/>
        <v>3642.0588000000002</v>
      </c>
      <c r="H1343" s="15">
        <f t="shared" si="241"/>
        <v>0.99845485745589824</v>
      </c>
      <c r="I1343" s="15">
        <f t="shared" si="242"/>
        <v>1.5451425441017042E-3</v>
      </c>
      <c r="J1343" s="20">
        <f t="shared" si="243"/>
        <v>5.6886412805107422E-2</v>
      </c>
      <c r="K1343" s="15">
        <f t="shared" si="244"/>
        <v>1.5350241001846934</v>
      </c>
      <c r="L1343" s="15">
        <f t="shared" si="245"/>
        <v>5.7839474725247975E-2</v>
      </c>
      <c r="M1343" s="15">
        <f t="shared" si="249"/>
        <v>-1.5798405289937811E-2</v>
      </c>
      <c r="N1343" s="15">
        <f t="shared" si="250"/>
        <v>1.373971735920692</v>
      </c>
      <c r="O1343" s="15">
        <f t="shared" si="251"/>
        <v>-1.4907332730746847E-2</v>
      </c>
      <c r="P1343" s="18">
        <f>IF(SUMIFS('Daily NSE Equity Futures'!$J:$J,'Daily NSE Equity Futures'!$A:$A,$A1343)=0,"",SUMIFS('Daily NSE Equity Futures'!$J:$J,'Daily NSE Equity Futures'!$A:$A,$A1343))</f>
        <v>4810182</v>
      </c>
      <c r="Q1343" s="7">
        <f>IF(SUMIFS('Daily BSE Equity Futures'!$J:$J,'Daily BSE Equity Futures'!$A:$A,$A1343)=0,"",SUMIFS('Daily BSE Equity Futures'!$J:$J,'Daily BSE Equity Futures'!$A:$A,$A1343))</f>
        <v>3513</v>
      </c>
      <c r="R1343" s="7">
        <f t="shared" si="246"/>
        <v>4813695</v>
      </c>
      <c r="S1343" s="19">
        <f t="shared" si="247"/>
        <v>0.99927020719011073</v>
      </c>
      <c r="T1343" s="19">
        <f t="shared" si="248"/>
        <v>7.2979280988928459E-4</v>
      </c>
    </row>
    <row r="1344" spans="1:20" x14ac:dyDescent="0.2">
      <c r="A1344" s="9">
        <v>45897</v>
      </c>
      <c r="B1344" s="4" t="s">
        <v>224</v>
      </c>
      <c r="C1344" s="8">
        <v>45870</v>
      </c>
      <c r="D1344" s="4" t="s">
        <v>194</v>
      </c>
      <c r="E1344" s="14">
        <f>IF(SUMIFS('Daily NSE Equity Futures'!$I:$I,'Daily NSE Equity Futures'!$A:$A,$A1344)=0,"",SUMIFS('Daily NSE Equity Futures'!$I:$I,'Daily NSE Equity Futures'!$A:$A,$A1344))</f>
        <v>3227.3865999999998</v>
      </c>
      <c r="F1344" s="6">
        <f>IF(SUMIFS('Daily BSE Equity Futures'!$I:$I,'Daily BSE Equity Futures'!$A:$A,$A1344)=0,"",SUMIFS('Daily BSE Equity Futures'!$I:$I,'Daily BSE Equity Futures'!$A:$A,$A1344))</f>
        <v>1.8351999999999999</v>
      </c>
      <c r="G1344" s="6">
        <f t="shared" si="240"/>
        <v>3229.2217999999998</v>
      </c>
      <c r="H1344" s="15">
        <f t="shared" si="241"/>
        <v>0.99943168970307339</v>
      </c>
      <c r="I1344" s="15">
        <f t="shared" si="242"/>
        <v>5.683102969266465E-4</v>
      </c>
      <c r="J1344" s="20">
        <f t="shared" si="243"/>
        <v>-7.8315255873529943E-2</v>
      </c>
      <c r="K1344" s="15">
        <f t="shared" si="244"/>
        <v>0.29294067916020849</v>
      </c>
      <c r="L1344" s="15">
        <f t="shared" si="245"/>
        <v>-7.8164826167929857E-2</v>
      </c>
      <c r="M1344" s="15">
        <f t="shared" si="249"/>
        <v>-0.11248519943165169</v>
      </c>
      <c r="N1344" s="15">
        <f t="shared" si="250"/>
        <v>-0.67388716126166148</v>
      </c>
      <c r="O1344" s="15">
        <f t="shared" si="251"/>
        <v>-0.11335264548721735</v>
      </c>
      <c r="P1344" s="18">
        <f>IF(SUMIFS('Daily NSE Equity Futures'!$J:$J,'Daily NSE Equity Futures'!$A:$A,$A1344)=0,"",SUMIFS('Daily NSE Equity Futures'!$J:$J,'Daily NSE Equity Futures'!$A:$A,$A1344))</f>
        <v>4175000</v>
      </c>
      <c r="Q1344" s="7">
        <f>IF(SUMIFS('Daily BSE Equity Futures'!$J:$J,'Daily BSE Equity Futures'!$A:$A,$A1344)=0,"",SUMIFS('Daily BSE Equity Futures'!$J:$J,'Daily BSE Equity Futures'!$A:$A,$A1344))</f>
        <v>1173</v>
      </c>
      <c r="R1344" s="7">
        <f t="shared" si="246"/>
        <v>4176173</v>
      </c>
      <c r="S1344" s="19">
        <f t="shared" si="247"/>
        <v>0.99971912083144066</v>
      </c>
      <c r="T1344" s="19">
        <f t="shared" si="248"/>
        <v>2.8087916855934849E-4</v>
      </c>
    </row>
    <row r="1345" spans="1:20" x14ac:dyDescent="0.2">
      <c r="A1345" s="9">
        <v>45898</v>
      </c>
      <c r="B1345" s="4" t="s">
        <v>222</v>
      </c>
      <c r="C1345" s="8">
        <v>45870</v>
      </c>
      <c r="D1345" s="4" t="s">
        <v>194</v>
      </c>
      <c r="E1345" s="14">
        <f>IF(SUMIFS('Daily NSE Equity Futures'!$I:$I,'Daily NSE Equity Futures'!$A:$A,$A1345)=0,"",SUMIFS('Daily NSE Equity Futures'!$I:$I,'Daily NSE Equity Futures'!$A:$A,$A1345))</f>
        <v>889.18100000000004</v>
      </c>
      <c r="F1345" s="6">
        <f>IF(SUMIFS('Daily BSE Equity Futures'!$I:$I,'Daily BSE Equity Futures'!$A:$A,$A1345)=0,"",SUMIFS('Daily BSE Equity Futures'!$I:$I,'Daily BSE Equity Futures'!$A:$A,$A1345))</f>
        <v>1.5714999999999999</v>
      </c>
      <c r="G1345" s="6">
        <f t="shared" si="240"/>
        <v>890.75250000000005</v>
      </c>
      <c r="H1345" s="15">
        <f t="shared" si="241"/>
        <v>0.99823576133662262</v>
      </c>
      <c r="I1345" s="15">
        <f t="shared" si="242"/>
        <v>1.7642386633773127E-3</v>
      </c>
      <c r="J1345" s="20">
        <f t="shared" si="243"/>
        <v>-0.7729329530381247</v>
      </c>
      <c r="K1345" s="15">
        <f t="shared" si="244"/>
        <v>-0.17761264325710402</v>
      </c>
      <c r="L1345" s="15">
        <f t="shared" si="245"/>
        <v>-0.77264259040772143</v>
      </c>
      <c r="M1345" s="15">
        <f t="shared" si="249"/>
        <v>-0.72448884803574498</v>
      </c>
      <c r="N1345" s="15">
        <f t="shared" si="250"/>
        <v>-0.14369006102877069</v>
      </c>
      <c r="O1345" s="15">
        <f t="shared" si="251"/>
        <v>-0.72415877410464646</v>
      </c>
      <c r="P1345" s="18">
        <f>IF(SUMIFS('Daily NSE Equity Futures'!$J:$J,'Daily NSE Equity Futures'!$A:$A,$A1345)=0,"",SUMIFS('Daily NSE Equity Futures'!$J:$J,'Daily NSE Equity Futures'!$A:$A,$A1345))</f>
        <v>1126867</v>
      </c>
      <c r="Q1345" s="7">
        <f>IF(SUMIFS('Daily BSE Equity Futures'!$J:$J,'Daily BSE Equity Futures'!$A:$A,$A1345)=0,"",SUMIFS('Daily BSE Equity Futures'!$J:$J,'Daily BSE Equity Futures'!$A:$A,$A1345))</f>
        <v>1020</v>
      </c>
      <c r="R1345" s="7">
        <f t="shared" si="246"/>
        <v>1127887</v>
      </c>
      <c r="S1345" s="19">
        <f t="shared" si="247"/>
        <v>0.99909565408591461</v>
      </c>
      <c r="T1345" s="19">
        <f t="shared" si="248"/>
        <v>9.0434591408536488E-4</v>
      </c>
    </row>
    <row r="1346" spans="1:20" x14ac:dyDescent="0.2">
      <c r="A1346" s="9">
        <v>45901</v>
      </c>
      <c r="B1346" s="4" t="s">
        <v>225</v>
      </c>
      <c r="C1346" s="8">
        <v>45901</v>
      </c>
      <c r="D1346" s="4" t="s">
        <v>194</v>
      </c>
      <c r="E1346" s="14">
        <f>IF(SUMIFS('Daily NSE Equity Futures'!$I:$I,'Daily NSE Equity Futures'!$A:$A,$A1346)=0,"",SUMIFS('Daily NSE Equity Futures'!$I:$I,'Daily NSE Equity Futures'!$A:$A,$A1346))</f>
        <v>756.19650000000001</v>
      </c>
      <c r="F1346" s="6">
        <f>IF(SUMIFS('Daily BSE Equity Futures'!$I:$I,'Daily BSE Equity Futures'!$A:$A,$A1346)=0,"",SUMIFS('Daily BSE Equity Futures'!$I:$I,'Daily BSE Equity Futures'!$A:$A,$A1346))</f>
        <v>1.2185999999999999</v>
      </c>
      <c r="G1346" s="6">
        <f t="shared" ref="G1346:G1409" si="252">IF(OR(E1346="",F1346=""),"",E1346+F1346)</f>
        <v>757.41510000000005</v>
      </c>
      <c r="H1346" s="15">
        <f t="shared" ref="H1346:H1409" si="253">IF(G1346="","",E1346/G1346)</f>
        <v>0.9983911068052379</v>
      </c>
      <c r="I1346" s="15">
        <f t="shared" ref="I1346:I1409" si="254">IF(G1346="","",F1346/G1346)</f>
        <v>1.6088931947620265E-3</v>
      </c>
      <c r="J1346" s="20" t="str">
        <f t="shared" ref="J1346:J1409" si="255">IFERROR(IF(OR(E1346="",INDEX(E:E,MATCH(DATE(YEAR($A1346)-1,MONTH($A1346),DAY($A1346)),$A:$A,0))=""),"",E1346/INDEX(E:E,MATCH(DATE(YEAR($A1346)-1,MONTH($A1346),DAY($A1346)),$A:$A,0))-1),"")</f>
        <v/>
      </c>
      <c r="K1346" s="15" t="str">
        <f t="shared" ref="K1346:K1409" si="256">IFERROR(IF(OR(F1346="",INDEX(F:F,MATCH(DATE(YEAR($A1346)-1,MONTH($A1346),DAY($A1346)),$A:$A,0))=""),"",F1346/INDEX(F:F,MATCH(DATE(YEAR($A1346)-1,MONTH($A1346),DAY($A1346)),$A:$A,0))-1),"")</f>
        <v/>
      </c>
      <c r="L1346" s="15" t="str">
        <f t="shared" ref="L1346:L1409" si="257">IFERROR(IF(OR(G1346="",INDEX(G:G,MATCH(DATE(YEAR($A1346)-1,MONTH($A1346),DAY($A1346)),$A:$A,0))=""),"",G1346/INDEX(G:G,MATCH(DATE(YEAR($A1346)-1,MONTH($A1346),DAY($A1346)),$A:$A,0))-1),"")</f>
        <v/>
      </c>
      <c r="M1346" s="15">
        <f t="shared" si="249"/>
        <v>-0.14955841386624324</v>
      </c>
      <c r="N1346" s="15">
        <f t="shared" si="250"/>
        <v>-0.22456251988545972</v>
      </c>
      <c r="O1346" s="15">
        <f t="shared" si="251"/>
        <v>-0.1496907390099943</v>
      </c>
      <c r="P1346" s="18">
        <f>IF(SUMIFS('Daily NSE Equity Futures'!$J:$J,'Daily NSE Equity Futures'!$A:$A,$A1346)=0,"",SUMIFS('Daily NSE Equity Futures'!$J:$J,'Daily NSE Equity Futures'!$A:$A,$A1346))</f>
        <v>965827</v>
      </c>
      <c r="Q1346" s="7">
        <f>IF(SUMIFS('Daily BSE Equity Futures'!$J:$J,'Daily BSE Equity Futures'!$A:$A,$A1346)=0,"",SUMIFS('Daily BSE Equity Futures'!$J:$J,'Daily BSE Equity Futures'!$A:$A,$A1346))</f>
        <v>772</v>
      </c>
      <c r="R1346" s="7">
        <f t="shared" ref="R1346:R1409" si="258">IF(OR(P1346="",Q1346=""),"",P1346+Q1346)</f>
        <v>966599</v>
      </c>
      <c r="S1346" s="19">
        <f t="shared" ref="S1346:S1409" si="259">IF(R1346="","",P1346/R1346)</f>
        <v>0.99920132340298307</v>
      </c>
      <c r="T1346" s="19">
        <f t="shared" ref="T1346:T1409" si="260">IF(R1346="","",Q1346/R1346)</f>
        <v>7.9867659701696365E-4</v>
      </c>
    </row>
    <row r="1347" spans="1:20" x14ac:dyDescent="0.2">
      <c r="A1347" s="9">
        <v>45902</v>
      </c>
      <c r="B1347" s="4" t="s">
        <v>223</v>
      </c>
      <c r="C1347" s="8">
        <v>45901</v>
      </c>
      <c r="D1347" s="4" t="s">
        <v>194</v>
      </c>
      <c r="E1347" s="14">
        <f>IF(SUMIFS('Daily NSE Equity Futures'!$I:$I,'Daily NSE Equity Futures'!$A:$A,$A1347)=0,"",SUMIFS('Daily NSE Equity Futures'!$I:$I,'Daily NSE Equity Futures'!$A:$A,$A1347))</f>
        <v>884.52179999999998</v>
      </c>
      <c r="F1347" s="6">
        <f>IF(SUMIFS('Daily BSE Equity Futures'!$I:$I,'Daily BSE Equity Futures'!$A:$A,$A1347)=0,"",SUMIFS('Daily BSE Equity Futures'!$I:$I,'Daily BSE Equity Futures'!$A:$A,$A1347))</f>
        <v>1.8945000000000001</v>
      </c>
      <c r="G1347" s="6">
        <f t="shared" si="252"/>
        <v>886.41629999999998</v>
      </c>
      <c r="H1347" s="15">
        <f t="shared" si="253"/>
        <v>0.99786274237059946</v>
      </c>
      <c r="I1347" s="15">
        <f t="shared" si="254"/>
        <v>2.1372576294005426E-3</v>
      </c>
      <c r="J1347" s="20">
        <f t="shared" si="255"/>
        <v>-0.32111868287529743</v>
      </c>
      <c r="K1347" s="15">
        <f t="shared" si="256"/>
        <v>0.14250391991315903</v>
      </c>
      <c r="L1347" s="15">
        <f t="shared" si="257"/>
        <v>-0.32052938556718746</v>
      </c>
      <c r="M1347" s="15">
        <f t="shared" ref="M1347:M1410" si="261">IF(OR(E1347="",E1346=""),"",E1347/E1346-1)</f>
        <v>0.16969835221400786</v>
      </c>
      <c r="N1347" s="15">
        <f t="shared" ref="N1347:N1410" si="262">IF(OR(F1347="",F1346=""),"",F1347/F1346-1)</f>
        <v>0.55465288035450544</v>
      </c>
      <c r="O1347" s="15">
        <f t="shared" ref="O1347:O1410" si="263">IF(OR(G1347="",G1346=""),"",G1347/G1346-1)</f>
        <v>0.17031770293462589</v>
      </c>
      <c r="P1347" s="18">
        <f>IF(SUMIFS('Daily NSE Equity Futures'!$J:$J,'Daily NSE Equity Futures'!$A:$A,$A1347)=0,"",SUMIFS('Daily NSE Equity Futures'!$J:$J,'Daily NSE Equity Futures'!$A:$A,$A1347))</f>
        <v>1093366</v>
      </c>
      <c r="Q1347" s="7">
        <f>IF(SUMIFS('Daily BSE Equity Futures'!$J:$J,'Daily BSE Equity Futures'!$A:$A,$A1347)=0,"",SUMIFS('Daily BSE Equity Futures'!$J:$J,'Daily BSE Equity Futures'!$A:$A,$A1347))</f>
        <v>1185</v>
      </c>
      <c r="R1347" s="7">
        <f t="shared" si="258"/>
        <v>1094551</v>
      </c>
      <c r="S1347" s="19">
        <f t="shared" si="259"/>
        <v>0.99891736428910116</v>
      </c>
      <c r="T1347" s="19">
        <f t="shared" si="260"/>
        <v>1.0826357108988068E-3</v>
      </c>
    </row>
    <row r="1348" spans="1:20" x14ac:dyDescent="0.2">
      <c r="A1348" s="9">
        <v>45903</v>
      </c>
      <c r="B1348" s="4" t="s">
        <v>221</v>
      </c>
      <c r="C1348" s="8">
        <v>45901</v>
      </c>
      <c r="D1348" s="4" t="s">
        <v>194</v>
      </c>
      <c r="E1348" s="14">
        <f>IF(SUMIFS('Daily NSE Equity Futures'!$I:$I,'Daily NSE Equity Futures'!$A:$A,$A1348)=0,"",SUMIFS('Daily NSE Equity Futures'!$I:$I,'Daily NSE Equity Futures'!$A:$A,$A1348))</f>
        <v>822.12260000000003</v>
      </c>
      <c r="F1348" s="6">
        <f>IF(SUMIFS('Daily BSE Equity Futures'!$I:$I,'Daily BSE Equity Futures'!$A:$A,$A1348)=0,"",SUMIFS('Daily BSE Equity Futures'!$I:$I,'Daily BSE Equity Futures'!$A:$A,$A1348))</f>
        <v>2.2452999999999999</v>
      </c>
      <c r="G1348" s="6">
        <f t="shared" si="252"/>
        <v>824.36790000000008</v>
      </c>
      <c r="H1348" s="15">
        <f t="shared" si="253"/>
        <v>0.99727633742167787</v>
      </c>
      <c r="I1348" s="15">
        <f t="shared" si="254"/>
        <v>2.7236625783221297E-3</v>
      </c>
      <c r="J1348" s="20">
        <f t="shared" si="255"/>
        <v>-0.32540072565225953</v>
      </c>
      <c r="K1348" s="15">
        <f t="shared" si="256"/>
        <v>5.910741766697444</v>
      </c>
      <c r="L1348" s="15">
        <f t="shared" si="257"/>
        <v>-0.32373861758718847</v>
      </c>
      <c r="M1348" s="15">
        <f t="shared" si="261"/>
        <v>-7.054568920743387E-2</v>
      </c>
      <c r="N1348" s="15">
        <f t="shared" si="262"/>
        <v>0.18516759039324349</v>
      </c>
      <c r="O1348" s="15">
        <f t="shared" si="263"/>
        <v>-6.9999164049668217E-2</v>
      </c>
      <c r="P1348" s="18">
        <f>IF(SUMIFS('Daily NSE Equity Futures'!$J:$J,'Daily NSE Equity Futures'!$A:$A,$A1348)=0,"",SUMIFS('Daily NSE Equity Futures'!$J:$J,'Daily NSE Equity Futures'!$A:$A,$A1348))</f>
        <v>1021873</v>
      </c>
      <c r="Q1348" s="7">
        <f>IF(SUMIFS('Daily BSE Equity Futures'!$J:$J,'Daily BSE Equity Futures'!$A:$A,$A1348)=0,"",SUMIFS('Daily BSE Equity Futures'!$J:$J,'Daily BSE Equity Futures'!$A:$A,$A1348))</f>
        <v>1421</v>
      </c>
      <c r="R1348" s="7">
        <f t="shared" si="258"/>
        <v>1023294</v>
      </c>
      <c r="S1348" s="19">
        <f t="shared" si="259"/>
        <v>0.99861134727654022</v>
      </c>
      <c r="T1348" s="19">
        <f t="shared" si="260"/>
        <v>1.3886527234597292E-3</v>
      </c>
    </row>
    <row r="1349" spans="1:20" x14ac:dyDescent="0.2">
      <c r="A1349" s="9">
        <v>45904</v>
      </c>
      <c r="B1349" s="4" t="s">
        <v>224</v>
      </c>
      <c r="C1349" s="8">
        <v>45901</v>
      </c>
      <c r="D1349" s="4" t="s">
        <v>194</v>
      </c>
      <c r="E1349" s="14">
        <f>IF(SUMIFS('Daily NSE Equity Futures'!$I:$I,'Daily NSE Equity Futures'!$A:$A,$A1349)=0,"",SUMIFS('Daily NSE Equity Futures'!$I:$I,'Daily NSE Equity Futures'!$A:$A,$A1349))</f>
        <v>1020.2175</v>
      </c>
      <c r="F1349" s="6">
        <f>IF(SUMIFS('Daily BSE Equity Futures'!$I:$I,'Daily BSE Equity Futures'!$A:$A,$A1349)=0,"",SUMIFS('Daily BSE Equity Futures'!$I:$I,'Daily BSE Equity Futures'!$A:$A,$A1349))</f>
        <v>3.8921000000000001</v>
      </c>
      <c r="G1349" s="6">
        <f t="shared" si="252"/>
        <v>1024.1096</v>
      </c>
      <c r="H1349" s="15">
        <f t="shared" si="253"/>
        <v>0.99619952786303334</v>
      </c>
      <c r="I1349" s="15">
        <f t="shared" si="254"/>
        <v>3.8004721369665905E-3</v>
      </c>
      <c r="J1349" s="20">
        <f t="shared" si="255"/>
        <v>-0.23410820554675726</v>
      </c>
      <c r="K1349" s="15">
        <f t="shared" si="256"/>
        <v>4.6301171705482425</v>
      </c>
      <c r="L1349" s="15">
        <f t="shared" si="257"/>
        <v>-0.2315851339941345</v>
      </c>
      <c r="M1349" s="15">
        <f t="shared" si="261"/>
        <v>0.24095542440993589</v>
      </c>
      <c r="N1349" s="15">
        <f t="shared" si="262"/>
        <v>0.73344319244644396</v>
      </c>
      <c r="O1349" s="15">
        <f t="shared" si="263"/>
        <v>0.24229679491401823</v>
      </c>
      <c r="P1349" s="18">
        <f>IF(SUMIFS('Daily NSE Equity Futures'!$J:$J,'Daily NSE Equity Futures'!$A:$A,$A1349)=0,"",SUMIFS('Daily NSE Equity Futures'!$J:$J,'Daily NSE Equity Futures'!$A:$A,$A1349))</f>
        <v>1245897</v>
      </c>
      <c r="Q1349" s="7">
        <f>IF(SUMIFS('Daily BSE Equity Futures'!$J:$J,'Daily BSE Equity Futures'!$A:$A,$A1349)=0,"",SUMIFS('Daily BSE Equity Futures'!$J:$J,'Daily BSE Equity Futures'!$A:$A,$A1349))</f>
        <v>2425</v>
      </c>
      <c r="R1349" s="7">
        <f t="shared" si="258"/>
        <v>1248322</v>
      </c>
      <c r="S1349" s="19">
        <f t="shared" si="259"/>
        <v>0.99805739224334744</v>
      </c>
      <c r="T1349" s="19">
        <f t="shared" si="260"/>
        <v>1.9426077566525304E-3</v>
      </c>
    </row>
    <row r="1350" spans="1:20" x14ac:dyDescent="0.2">
      <c r="A1350" s="9">
        <v>45905</v>
      </c>
      <c r="B1350" s="4" t="s">
        <v>222</v>
      </c>
      <c r="C1350" s="8">
        <v>45901</v>
      </c>
      <c r="D1350" s="4" t="s">
        <v>194</v>
      </c>
      <c r="E1350" s="14">
        <f>IF(SUMIFS('Daily NSE Equity Futures'!$I:$I,'Daily NSE Equity Futures'!$A:$A,$A1350)=0,"",SUMIFS('Daily NSE Equity Futures'!$I:$I,'Daily NSE Equity Futures'!$A:$A,$A1350))</f>
        <v>863.27179999999998</v>
      </c>
      <c r="F1350" s="6">
        <f>IF(SUMIFS('Daily BSE Equity Futures'!$I:$I,'Daily BSE Equity Futures'!$A:$A,$A1350)=0,"",SUMIFS('Daily BSE Equity Futures'!$I:$I,'Daily BSE Equity Futures'!$A:$A,$A1350))</f>
        <v>2.3639000000000001</v>
      </c>
      <c r="G1350" s="6">
        <f t="shared" si="252"/>
        <v>865.63569999999993</v>
      </c>
      <c r="H1350" s="15">
        <f t="shared" si="253"/>
        <v>0.99726917454998687</v>
      </c>
      <c r="I1350" s="15">
        <f t="shared" si="254"/>
        <v>2.7308254500132104E-3</v>
      </c>
      <c r="J1350" s="20">
        <f t="shared" si="255"/>
        <v>-0.27589496116143764</v>
      </c>
      <c r="K1350" s="15">
        <f t="shared" si="256"/>
        <v>2.5832954373199946</v>
      </c>
      <c r="L1350" s="15">
        <f t="shared" si="257"/>
        <v>-0.27431370101431773</v>
      </c>
      <c r="M1350" s="15">
        <f t="shared" si="261"/>
        <v>-0.15383553016881202</v>
      </c>
      <c r="N1350" s="15">
        <f t="shared" si="262"/>
        <v>-0.39264150458621305</v>
      </c>
      <c r="O1350" s="15">
        <f t="shared" si="263"/>
        <v>-0.15474310562072657</v>
      </c>
      <c r="P1350" s="18">
        <f>IF(SUMIFS('Daily NSE Equity Futures'!$J:$J,'Daily NSE Equity Futures'!$A:$A,$A1350)=0,"",SUMIFS('Daily NSE Equity Futures'!$J:$J,'Daily NSE Equity Futures'!$A:$A,$A1350))</f>
        <v>1071910</v>
      </c>
      <c r="Q1350" s="7">
        <f>IF(SUMIFS('Daily BSE Equity Futures'!$J:$J,'Daily BSE Equity Futures'!$A:$A,$A1350)=0,"",SUMIFS('Daily BSE Equity Futures'!$J:$J,'Daily BSE Equity Futures'!$A:$A,$A1350))</f>
        <v>1486</v>
      </c>
      <c r="R1350" s="7">
        <f t="shared" si="258"/>
        <v>1073396</v>
      </c>
      <c r="S1350" s="19">
        <f t="shared" si="259"/>
        <v>0.99861560877812106</v>
      </c>
      <c r="T1350" s="19">
        <f t="shared" si="260"/>
        <v>1.3843912218789711E-3</v>
      </c>
    </row>
    <row r="1351" spans="1:20" x14ac:dyDescent="0.2">
      <c r="A1351" s="9">
        <v>45908</v>
      </c>
      <c r="B1351" s="4" t="s">
        <v>225</v>
      </c>
      <c r="C1351" s="8">
        <v>45901</v>
      </c>
      <c r="D1351" s="4" t="s">
        <v>194</v>
      </c>
      <c r="E1351" s="14">
        <f>IF(SUMIFS('Daily NSE Equity Futures'!$I:$I,'Daily NSE Equity Futures'!$A:$A,$A1351)=0,"",SUMIFS('Daily NSE Equity Futures'!$I:$I,'Daily NSE Equity Futures'!$A:$A,$A1351))</f>
        <v>815.71119999999996</v>
      </c>
      <c r="F1351" s="6">
        <f>IF(SUMIFS('Daily BSE Equity Futures'!$I:$I,'Daily BSE Equity Futures'!$A:$A,$A1351)=0,"",SUMIFS('Daily BSE Equity Futures'!$I:$I,'Daily BSE Equity Futures'!$A:$A,$A1351))</f>
        <v>1.5926</v>
      </c>
      <c r="G1351" s="6">
        <f t="shared" si="252"/>
        <v>817.30379999999991</v>
      </c>
      <c r="H1351" s="15">
        <f t="shared" si="253"/>
        <v>0.99805139777889207</v>
      </c>
      <c r="I1351" s="15">
        <f t="shared" si="254"/>
        <v>1.9486022211079898E-3</v>
      </c>
      <c r="J1351" s="20" t="str">
        <f t="shared" si="255"/>
        <v/>
      </c>
      <c r="K1351" s="15" t="str">
        <f t="shared" si="256"/>
        <v/>
      </c>
      <c r="L1351" s="15" t="str">
        <f t="shared" si="257"/>
        <v/>
      </c>
      <c r="M1351" s="15">
        <f t="shared" si="261"/>
        <v>-5.5093424805490065E-2</v>
      </c>
      <c r="N1351" s="15">
        <f t="shared" si="262"/>
        <v>-0.3262828376834892</v>
      </c>
      <c r="O1351" s="15">
        <f t="shared" si="263"/>
        <v>-5.5833995755951382E-2</v>
      </c>
      <c r="P1351" s="18">
        <f>IF(SUMIFS('Daily NSE Equity Futures'!$J:$J,'Daily NSE Equity Futures'!$A:$A,$A1351)=0,"",SUMIFS('Daily NSE Equity Futures'!$J:$J,'Daily NSE Equity Futures'!$A:$A,$A1351))</f>
        <v>1015599</v>
      </c>
      <c r="Q1351" s="7">
        <f>IF(SUMIFS('Daily BSE Equity Futures'!$J:$J,'Daily BSE Equity Futures'!$A:$A,$A1351)=0,"",SUMIFS('Daily BSE Equity Futures'!$J:$J,'Daily BSE Equity Futures'!$A:$A,$A1351))</f>
        <v>987</v>
      </c>
      <c r="R1351" s="7">
        <f t="shared" si="258"/>
        <v>1016586</v>
      </c>
      <c r="S1351" s="19">
        <f t="shared" si="259"/>
        <v>0.99902910329278583</v>
      </c>
      <c r="T1351" s="19">
        <f t="shared" si="260"/>
        <v>9.7089670721414614E-4</v>
      </c>
    </row>
    <row r="1352" spans="1:20" x14ac:dyDescent="0.2">
      <c r="A1352" s="9">
        <v>45909</v>
      </c>
      <c r="B1352" s="4" t="s">
        <v>223</v>
      </c>
      <c r="C1352" s="8">
        <v>45901</v>
      </c>
      <c r="D1352" s="4" t="s">
        <v>194</v>
      </c>
      <c r="E1352" s="14">
        <f>IF(SUMIFS('Daily NSE Equity Futures'!$I:$I,'Daily NSE Equity Futures'!$A:$A,$A1352)=0,"",SUMIFS('Daily NSE Equity Futures'!$I:$I,'Daily NSE Equity Futures'!$A:$A,$A1352))</f>
        <v>643.51250000000005</v>
      </c>
      <c r="F1352" s="6">
        <f>IF(SUMIFS('Daily BSE Equity Futures'!$I:$I,'Daily BSE Equity Futures'!$A:$A,$A1352)=0,"",SUMIFS('Daily BSE Equity Futures'!$I:$I,'Daily BSE Equity Futures'!$A:$A,$A1352))</f>
        <v>1.1516</v>
      </c>
      <c r="G1352" s="6">
        <f t="shared" si="252"/>
        <v>644.66410000000008</v>
      </c>
      <c r="H1352" s="15">
        <f t="shared" si="253"/>
        <v>0.99821364335318186</v>
      </c>
      <c r="I1352" s="15">
        <f t="shared" si="254"/>
        <v>1.786356646818087E-3</v>
      </c>
      <c r="J1352" s="20">
        <f t="shared" si="255"/>
        <v>-0.4901831058757018</v>
      </c>
      <c r="K1352" s="15">
        <f t="shared" si="256"/>
        <v>-0.45442486261133219</v>
      </c>
      <c r="L1352" s="15">
        <f t="shared" si="257"/>
        <v>-0.49012340855387559</v>
      </c>
      <c r="M1352" s="15">
        <f t="shared" si="261"/>
        <v>-0.2111025323668474</v>
      </c>
      <c r="N1352" s="15">
        <f t="shared" si="262"/>
        <v>-0.27690568881074973</v>
      </c>
      <c r="O1352" s="15">
        <f t="shared" si="263"/>
        <v>-0.21123075654364976</v>
      </c>
      <c r="P1352" s="18">
        <f>IF(SUMIFS('Daily NSE Equity Futures'!$J:$J,'Daily NSE Equity Futures'!$A:$A,$A1352)=0,"",SUMIFS('Daily NSE Equity Futures'!$J:$J,'Daily NSE Equity Futures'!$A:$A,$A1352))</f>
        <v>835217</v>
      </c>
      <c r="Q1352" s="7">
        <f>IF(SUMIFS('Daily BSE Equity Futures'!$J:$J,'Daily BSE Equity Futures'!$A:$A,$A1352)=0,"",SUMIFS('Daily BSE Equity Futures'!$J:$J,'Daily BSE Equity Futures'!$A:$A,$A1352))</f>
        <v>735</v>
      </c>
      <c r="R1352" s="7">
        <f t="shared" si="258"/>
        <v>835952</v>
      </c>
      <c r="S1352" s="19">
        <f t="shared" si="259"/>
        <v>0.99912076291461716</v>
      </c>
      <c r="T1352" s="19">
        <f t="shared" si="260"/>
        <v>8.7923708538289276E-4</v>
      </c>
    </row>
    <row r="1353" spans="1:20" x14ac:dyDescent="0.2">
      <c r="A1353" s="9">
        <v>45910</v>
      </c>
      <c r="B1353" s="4" t="s">
        <v>221</v>
      </c>
      <c r="C1353" s="8">
        <v>45901</v>
      </c>
      <c r="D1353" s="4" t="s">
        <v>194</v>
      </c>
      <c r="E1353" s="14">
        <f>IF(SUMIFS('Daily NSE Equity Futures'!$I:$I,'Daily NSE Equity Futures'!$A:$A,$A1353)=0,"",SUMIFS('Daily NSE Equity Futures'!$I:$I,'Daily NSE Equity Futures'!$A:$A,$A1353))</f>
        <v>959.31259999999997</v>
      </c>
      <c r="F1353" s="6">
        <f>IF(SUMIFS('Daily BSE Equity Futures'!$I:$I,'Daily BSE Equity Futures'!$A:$A,$A1353)=0,"",SUMIFS('Daily BSE Equity Futures'!$I:$I,'Daily BSE Equity Futures'!$A:$A,$A1353))</f>
        <v>2.0411999999999999</v>
      </c>
      <c r="G1353" s="6">
        <f t="shared" si="252"/>
        <v>961.35379999999998</v>
      </c>
      <c r="H1353" s="15">
        <f t="shared" si="253"/>
        <v>0.99787674423297645</v>
      </c>
      <c r="I1353" s="15">
        <f t="shared" si="254"/>
        <v>2.1232557670235455E-3</v>
      </c>
      <c r="J1353" s="20">
        <f t="shared" si="255"/>
        <v>-0.23191394474624982</v>
      </c>
      <c r="K1353" s="15">
        <f t="shared" si="256"/>
        <v>1.0626515763945026</v>
      </c>
      <c r="L1353" s="15">
        <f t="shared" si="257"/>
        <v>-0.23088902588942029</v>
      </c>
      <c r="M1353" s="15">
        <f t="shared" si="261"/>
        <v>0.49074431343602476</v>
      </c>
      <c r="N1353" s="15">
        <f t="shared" si="262"/>
        <v>0.7724904480722472</v>
      </c>
      <c r="O1353" s="15">
        <f t="shared" si="263"/>
        <v>0.49124761251634741</v>
      </c>
      <c r="P1353" s="18">
        <f>IF(SUMIFS('Daily NSE Equity Futures'!$J:$J,'Daily NSE Equity Futures'!$A:$A,$A1353)=0,"",SUMIFS('Daily NSE Equity Futures'!$J:$J,'Daily NSE Equity Futures'!$A:$A,$A1353))</f>
        <v>1205597</v>
      </c>
      <c r="Q1353" s="7">
        <f>IF(SUMIFS('Daily BSE Equity Futures'!$J:$J,'Daily BSE Equity Futures'!$A:$A,$A1353)=0,"",SUMIFS('Daily BSE Equity Futures'!$J:$J,'Daily BSE Equity Futures'!$A:$A,$A1353))</f>
        <v>1278</v>
      </c>
      <c r="R1353" s="7">
        <f t="shared" si="258"/>
        <v>1206875</v>
      </c>
      <c r="S1353" s="19">
        <f t="shared" si="259"/>
        <v>0.99894106680476435</v>
      </c>
      <c r="T1353" s="19">
        <f t="shared" si="260"/>
        <v>1.0589331952356293E-3</v>
      </c>
    </row>
    <row r="1354" spans="1:20" x14ac:dyDescent="0.2">
      <c r="A1354" s="9">
        <v>45911</v>
      </c>
      <c r="B1354" s="4" t="s">
        <v>224</v>
      </c>
      <c r="C1354" s="8">
        <v>45901</v>
      </c>
      <c r="D1354" s="4" t="s">
        <v>194</v>
      </c>
      <c r="E1354" s="14">
        <f>IF(SUMIFS('Daily NSE Equity Futures'!$I:$I,'Daily NSE Equity Futures'!$A:$A,$A1354)=0,"",SUMIFS('Daily NSE Equity Futures'!$I:$I,'Daily NSE Equity Futures'!$A:$A,$A1354))</f>
        <v>789.48519999999996</v>
      </c>
      <c r="F1354" s="6">
        <f>IF(SUMIFS('Daily BSE Equity Futures'!$I:$I,'Daily BSE Equity Futures'!$A:$A,$A1354)=0,"",SUMIFS('Daily BSE Equity Futures'!$I:$I,'Daily BSE Equity Futures'!$A:$A,$A1354))</f>
        <v>2.5299</v>
      </c>
      <c r="G1354" s="6">
        <f t="shared" si="252"/>
        <v>792.01509999999996</v>
      </c>
      <c r="H1354" s="15">
        <f t="shared" si="253"/>
        <v>0.99680574271879407</v>
      </c>
      <c r="I1354" s="15">
        <f t="shared" si="254"/>
        <v>3.1942572812058761E-3</v>
      </c>
      <c r="J1354" s="20">
        <f t="shared" si="255"/>
        <v>-0.38273693553283783</v>
      </c>
      <c r="K1354" s="15">
        <f t="shared" si="256"/>
        <v>1.9291420632163945</v>
      </c>
      <c r="L1354" s="15">
        <f t="shared" si="257"/>
        <v>-0.38117680426104783</v>
      </c>
      <c r="M1354" s="15">
        <f t="shared" si="261"/>
        <v>-0.17703030273969089</v>
      </c>
      <c r="N1354" s="15">
        <f t="shared" si="262"/>
        <v>0.23941798941798953</v>
      </c>
      <c r="O1354" s="15">
        <f t="shared" si="263"/>
        <v>-0.1761460765017</v>
      </c>
      <c r="P1354" s="18">
        <f>IF(SUMIFS('Daily NSE Equity Futures'!$J:$J,'Daily NSE Equity Futures'!$A:$A,$A1354)=0,"",SUMIFS('Daily NSE Equity Futures'!$J:$J,'Daily NSE Equity Futures'!$A:$A,$A1354))</f>
        <v>1062609</v>
      </c>
      <c r="Q1354" s="7">
        <f>IF(SUMIFS('Daily BSE Equity Futures'!$J:$J,'Daily BSE Equity Futures'!$A:$A,$A1354)=0,"",SUMIFS('Daily BSE Equity Futures'!$J:$J,'Daily BSE Equity Futures'!$A:$A,$A1354))</f>
        <v>1569</v>
      </c>
      <c r="R1354" s="7">
        <f t="shared" si="258"/>
        <v>1064178</v>
      </c>
      <c r="S1354" s="19">
        <f t="shared" si="259"/>
        <v>0.99852562259321276</v>
      </c>
      <c r="T1354" s="19">
        <f t="shared" si="260"/>
        <v>1.4743774067872105E-3</v>
      </c>
    </row>
    <row r="1355" spans="1:20" x14ac:dyDescent="0.2">
      <c r="A1355" s="9">
        <v>45912</v>
      </c>
      <c r="B1355" s="4" t="s">
        <v>222</v>
      </c>
      <c r="C1355" s="8">
        <v>45901</v>
      </c>
      <c r="D1355" s="4" t="s">
        <v>194</v>
      </c>
      <c r="E1355" s="14">
        <f>IF(SUMIFS('Daily NSE Equity Futures'!$I:$I,'Daily NSE Equity Futures'!$A:$A,$A1355)=0,"",SUMIFS('Daily NSE Equity Futures'!$I:$I,'Daily NSE Equity Futures'!$A:$A,$A1355))</f>
        <v>791.35649999999998</v>
      </c>
      <c r="F1355" s="6">
        <f>IF(SUMIFS('Daily BSE Equity Futures'!$I:$I,'Daily BSE Equity Futures'!$A:$A,$A1355)=0,"",SUMIFS('Daily BSE Equity Futures'!$I:$I,'Daily BSE Equity Futures'!$A:$A,$A1355))</f>
        <v>1.6539999999999999</v>
      </c>
      <c r="G1355" s="6">
        <f t="shared" si="252"/>
        <v>793.01049999999998</v>
      </c>
      <c r="H1355" s="15">
        <f t="shared" si="253"/>
        <v>0.99791427730149851</v>
      </c>
      <c r="I1355" s="15">
        <f t="shared" si="254"/>
        <v>2.0857226985014701E-3</v>
      </c>
      <c r="J1355" s="20">
        <f t="shared" si="255"/>
        <v>-0.57041361606383112</v>
      </c>
      <c r="K1355" s="15">
        <f t="shared" si="256"/>
        <v>-0.36462814996926862</v>
      </c>
      <c r="L1355" s="15">
        <f t="shared" si="257"/>
        <v>-0.57012322230281787</v>
      </c>
      <c r="M1355" s="15">
        <f t="shared" si="261"/>
        <v>2.3702787588673058E-3</v>
      </c>
      <c r="N1355" s="15">
        <f t="shared" si="262"/>
        <v>-0.34621921815091505</v>
      </c>
      <c r="O1355" s="15">
        <f t="shared" si="263"/>
        <v>1.2567942202112992E-3</v>
      </c>
      <c r="P1355" s="18">
        <f>IF(SUMIFS('Daily NSE Equity Futures'!$J:$J,'Daily NSE Equity Futures'!$A:$A,$A1355)=0,"",SUMIFS('Daily NSE Equity Futures'!$J:$J,'Daily NSE Equity Futures'!$A:$A,$A1355))</f>
        <v>1030260</v>
      </c>
      <c r="Q1355" s="7">
        <f>IF(SUMIFS('Daily BSE Equity Futures'!$J:$J,'Daily BSE Equity Futures'!$A:$A,$A1355)=0,"",SUMIFS('Daily BSE Equity Futures'!$J:$J,'Daily BSE Equity Futures'!$A:$A,$A1355))</f>
        <v>1032</v>
      </c>
      <c r="R1355" s="7">
        <f t="shared" si="258"/>
        <v>1031292</v>
      </c>
      <c r="S1355" s="19">
        <f t="shared" si="259"/>
        <v>0.99899931348250548</v>
      </c>
      <c r="T1355" s="19">
        <f t="shared" si="260"/>
        <v>1.0006865174945602E-3</v>
      </c>
    </row>
    <row r="1356" spans="1:20" x14ac:dyDescent="0.2">
      <c r="A1356" s="9">
        <v>45915</v>
      </c>
      <c r="B1356" s="4" t="s">
        <v>225</v>
      </c>
      <c r="C1356" s="8">
        <v>45901</v>
      </c>
      <c r="D1356" s="4" t="s">
        <v>194</v>
      </c>
      <c r="E1356" s="14">
        <f>IF(SUMIFS('Daily NSE Equity Futures'!$I:$I,'Daily NSE Equity Futures'!$A:$A,$A1356)=0,"",SUMIFS('Daily NSE Equity Futures'!$I:$I,'Daily NSE Equity Futures'!$A:$A,$A1356))</f>
        <v>693.67870000000005</v>
      </c>
      <c r="F1356" s="6">
        <f>IF(SUMIFS('Daily BSE Equity Futures'!$I:$I,'Daily BSE Equity Futures'!$A:$A,$A1356)=0,"",SUMIFS('Daily BSE Equity Futures'!$I:$I,'Daily BSE Equity Futures'!$A:$A,$A1356))</f>
        <v>1.1175999999999999</v>
      </c>
      <c r="G1356" s="6">
        <f t="shared" si="252"/>
        <v>694.79630000000009</v>
      </c>
      <c r="H1356" s="15">
        <f t="shared" si="253"/>
        <v>0.99839147099660719</v>
      </c>
      <c r="I1356" s="15">
        <f t="shared" si="254"/>
        <v>1.6085290033927926E-3</v>
      </c>
      <c r="J1356" s="20" t="str">
        <f t="shared" si="255"/>
        <v/>
      </c>
      <c r="K1356" s="15" t="str">
        <f t="shared" si="256"/>
        <v/>
      </c>
      <c r="L1356" s="15" t="str">
        <f t="shared" si="257"/>
        <v/>
      </c>
      <c r="M1356" s="15">
        <f t="shared" si="261"/>
        <v>-0.12343084311558694</v>
      </c>
      <c r="N1356" s="15">
        <f t="shared" si="262"/>
        <v>-0.324304715840387</v>
      </c>
      <c r="O1356" s="15">
        <f t="shared" si="263"/>
        <v>-0.1238498103114648</v>
      </c>
      <c r="P1356" s="18">
        <f>IF(SUMIFS('Daily NSE Equity Futures'!$J:$J,'Daily NSE Equity Futures'!$A:$A,$A1356)=0,"",SUMIFS('Daily NSE Equity Futures'!$J:$J,'Daily NSE Equity Futures'!$A:$A,$A1356))</f>
        <v>926979</v>
      </c>
      <c r="Q1356" s="7">
        <f>IF(SUMIFS('Daily BSE Equity Futures'!$J:$J,'Daily BSE Equity Futures'!$A:$A,$A1356)=0,"",SUMIFS('Daily BSE Equity Futures'!$J:$J,'Daily BSE Equity Futures'!$A:$A,$A1356))</f>
        <v>692</v>
      </c>
      <c r="R1356" s="7">
        <f t="shared" si="258"/>
        <v>927671</v>
      </c>
      <c r="S1356" s="19">
        <f t="shared" si="259"/>
        <v>0.99925404588480182</v>
      </c>
      <c r="T1356" s="19">
        <f t="shared" si="260"/>
        <v>7.4595411519816834E-4</v>
      </c>
    </row>
    <row r="1357" spans="1:20" x14ac:dyDescent="0.2">
      <c r="A1357" s="9">
        <v>45916</v>
      </c>
      <c r="B1357" s="4" t="s">
        <v>223</v>
      </c>
      <c r="C1357" s="8">
        <v>45901</v>
      </c>
      <c r="D1357" s="4" t="s">
        <v>194</v>
      </c>
      <c r="E1357" s="14">
        <f>IF(SUMIFS('Daily NSE Equity Futures'!$I:$I,'Daily NSE Equity Futures'!$A:$A,$A1357)=0,"",SUMIFS('Daily NSE Equity Futures'!$I:$I,'Daily NSE Equity Futures'!$A:$A,$A1357))</f>
        <v>849.04049999999995</v>
      </c>
      <c r="F1357" s="6">
        <f>IF(SUMIFS('Daily BSE Equity Futures'!$I:$I,'Daily BSE Equity Futures'!$A:$A,$A1357)=0,"",SUMIFS('Daily BSE Equity Futures'!$I:$I,'Daily BSE Equity Futures'!$A:$A,$A1357))</f>
        <v>2.2010000000000001</v>
      </c>
      <c r="G1357" s="6">
        <f t="shared" si="252"/>
        <v>851.24149999999997</v>
      </c>
      <c r="H1357" s="15">
        <f t="shared" si="253"/>
        <v>0.99741436478367185</v>
      </c>
      <c r="I1357" s="15">
        <f t="shared" si="254"/>
        <v>2.5856352163281513E-3</v>
      </c>
      <c r="J1357" s="20">
        <f t="shared" si="255"/>
        <v>-0.33408123397880973</v>
      </c>
      <c r="K1357" s="15">
        <f t="shared" si="256"/>
        <v>4.0317625372217281E-2</v>
      </c>
      <c r="L1357" s="15">
        <f t="shared" si="257"/>
        <v>-0.33346099167274035</v>
      </c>
      <c r="M1357" s="15">
        <f t="shared" si="261"/>
        <v>0.22396795519308843</v>
      </c>
      <c r="N1357" s="15">
        <f t="shared" si="262"/>
        <v>0.96939871152469603</v>
      </c>
      <c r="O1357" s="15">
        <f t="shared" si="263"/>
        <v>0.22516700218466901</v>
      </c>
      <c r="P1357" s="18">
        <f>IF(SUMIFS('Daily NSE Equity Futures'!$J:$J,'Daily NSE Equity Futures'!$A:$A,$A1357)=0,"",SUMIFS('Daily NSE Equity Futures'!$J:$J,'Daily NSE Equity Futures'!$A:$A,$A1357))</f>
        <v>1055967</v>
      </c>
      <c r="Q1357" s="7">
        <f>IF(SUMIFS('Daily BSE Equity Futures'!$J:$J,'Daily BSE Equity Futures'!$A:$A,$A1357)=0,"",SUMIFS('Daily BSE Equity Futures'!$J:$J,'Daily BSE Equity Futures'!$A:$A,$A1357))</f>
        <v>1358</v>
      </c>
      <c r="R1357" s="7">
        <f t="shared" si="258"/>
        <v>1057325</v>
      </c>
      <c r="S1357" s="19">
        <f t="shared" si="259"/>
        <v>0.9987156266994538</v>
      </c>
      <c r="T1357" s="19">
        <f t="shared" si="260"/>
        <v>1.2843733005461896E-3</v>
      </c>
    </row>
    <row r="1358" spans="1:20" x14ac:dyDescent="0.2">
      <c r="A1358" s="9">
        <v>45917</v>
      </c>
      <c r="B1358" s="4" t="s">
        <v>221</v>
      </c>
      <c r="C1358" s="8">
        <v>45901</v>
      </c>
      <c r="D1358" s="4" t="s">
        <v>194</v>
      </c>
      <c r="E1358" s="14">
        <f>IF(SUMIFS('Daily NSE Equity Futures'!$I:$I,'Daily NSE Equity Futures'!$A:$A,$A1358)=0,"",SUMIFS('Daily NSE Equity Futures'!$I:$I,'Daily NSE Equity Futures'!$A:$A,$A1358))</f>
        <v>980.23649999999998</v>
      </c>
      <c r="F1358" s="6">
        <f>IF(SUMIFS('Daily BSE Equity Futures'!$I:$I,'Daily BSE Equity Futures'!$A:$A,$A1358)=0,"",SUMIFS('Daily BSE Equity Futures'!$I:$I,'Daily BSE Equity Futures'!$A:$A,$A1358))</f>
        <v>2.2953999999999999</v>
      </c>
      <c r="G1358" s="6">
        <f t="shared" si="252"/>
        <v>982.53189999999995</v>
      </c>
      <c r="H1358" s="15">
        <f t="shared" si="253"/>
        <v>0.99766379086521262</v>
      </c>
      <c r="I1358" s="15">
        <f t="shared" si="254"/>
        <v>2.3362091347873793E-3</v>
      </c>
      <c r="J1358" s="20">
        <f t="shared" si="255"/>
        <v>-0.11433242649603315</v>
      </c>
      <c r="K1358" s="15">
        <f t="shared" si="256"/>
        <v>3.1092015753669884</v>
      </c>
      <c r="L1358" s="15">
        <f t="shared" si="257"/>
        <v>-0.11270630150425953</v>
      </c>
      <c r="M1358" s="15">
        <f t="shared" si="261"/>
        <v>0.15452266411319604</v>
      </c>
      <c r="N1358" s="15">
        <f t="shared" si="262"/>
        <v>4.2889595638346156E-2</v>
      </c>
      <c r="O1358" s="15">
        <f t="shared" si="263"/>
        <v>0.15423402172004064</v>
      </c>
      <c r="P1358" s="18">
        <f>IF(SUMIFS('Daily NSE Equity Futures'!$J:$J,'Daily NSE Equity Futures'!$A:$A,$A1358)=0,"",SUMIFS('Daily NSE Equity Futures'!$J:$J,'Daily NSE Equity Futures'!$A:$A,$A1358))</f>
        <v>1255186</v>
      </c>
      <c r="Q1358" s="7">
        <f>IF(SUMIFS('Daily BSE Equity Futures'!$J:$J,'Daily BSE Equity Futures'!$A:$A,$A1358)=0,"",SUMIFS('Daily BSE Equity Futures'!$J:$J,'Daily BSE Equity Futures'!$A:$A,$A1358))</f>
        <v>1414</v>
      </c>
      <c r="R1358" s="7">
        <f t="shared" si="258"/>
        <v>1256600</v>
      </c>
      <c r="S1358" s="19">
        <f t="shared" si="259"/>
        <v>0.99887474136558974</v>
      </c>
      <c r="T1358" s="19">
        <f t="shared" si="260"/>
        <v>1.1252586344103136E-3</v>
      </c>
    </row>
    <row r="1359" spans="1:20" x14ac:dyDescent="0.2">
      <c r="A1359" s="9">
        <v>45918</v>
      </c>
      <c r="B1359" s="4" t="s">
        <v>224</v>
      </c>
      <c r="C1359" s="8">
        <v>45901</v>
      </c>
      <c r="D1359" s="4" t="s">
        <v>194</v>
      </c>
      <c r="E1359" s="14">
        <f>IF(SUMIFS('Daily NSE Equity Futures'!$I:$I,'Daily NSE Equity Futures'!$A:$A,$A1359)=0,"",SUMIFS('Daily NSE Equity Futures'!$I:$I,'Daily NSE Equity Futures'!$A:$A,$A1359))</f>
        <v>1051.9292</v>
      </c>
      <c r="F1359" s="6">
        <f>IF(SUMIFS('Daily BSE Equity Futures'!$I:$I,'Daily BSE Equity Futures'!$A:$A,$A1359)=0,"",SUMIFS('Daily BSE Equity Futures'!$I:$I,'Daily BSE Equity Futures'!$A:$A,$A1359))</f>
        <v>3.5078999999999998</v>
      </c>
      <c r="G1359" s="6">
        <f t="shared" si="252"/>
        <v>1055.4371000000001</v>
      </c>
      <c r="H1359" s="15">
        <f t="shared" si="253"/>
        <v>0.9966763533326618</v>
      </c>
      <c r="I1359" s="15">
        <f t="shared" si="254"/>
        <v>3.3236466673381101E-3</v>
      </c>
      <c r="J1359" s="20">
        <f t="shared" si="255"/>
        <v>-0.36396091820960363</v>
      </c>
      <c r="K1359" s="15">
        <f t="shared" si="256"/>
        <v>3.7104874446085665</v>
      </c>
      <c r="L1359" s="15">
        <f t="shared" si="257"/>
        <v>-0.36212711826608135</v>
      </c>
      <c r="M1359" s="15">
        <f t="shared" si="261"/>
        <v>7.3138166146639261E-2</v>
      </c>
      <c r="N1359" s="15">
        <f t="shared" si="262"/>
        <v>0.5282303737910603</v>
      </c>
      <c r="O1359" s="15">
        <f t="shared" si="263"/>
        <v>7.420135671930872E-2</v>
      </c>
      <c r="P1359" s="18">
        <f>IF(SUMIFS('Daily NSE Equity Futures'!$J:$J,'Daily NSE Equity Futures'!$A:$A,$A1359)=0,"",SUMIFS('Daily NSE Equity Futures'!$J:$J,'Daily NSE Equity Futures'!$A:$A,$A1359))</f>
        <v>1306085</v>
      </c>
      <c r="Q1359" s="7">
        <f>IF(SUMIFS('Daily BSE Equity Futures'!$J:$J,'Daily BSE Equity Futures'!$A:$A,$A1359)=0,"",SUMIFS('Daily BSE Equity Futures'!$J:$J,'Daily BSE Equity Futures'!$A:$A,$A1359))</f>
        <v>2125</v>
      </c>
      <c r="R1359" s="7">
        <f t="shared" si="258"/>
        <v>1308210</v>
      </c>
      <c r="S1359" s="19">
        <f t="shared" si="259"/>
        <v>0.99837564305424975</v>
      </c>
      <c r="T1359" s="19">
        <f t="shared" si="260"/>
        <v>1.6243569457503001E-3</v>
      </c>
    </row>
    <row r="1360" spans="1:20" x14ac:dyDescent="0.2">
      <c r="A1360" s="9">
        <v>45919</v>
      </c>
      <c r="B1360" s="4" t="s">
        <v>222</v>
      </c>
      <c r="C1360" s="8">
        <v>45901</v>
      </c>
      <c r="D1360" s="4" t="s">
        <v>194</v>
      </c>
      <c r="E1360" s="14">
        <f>IF(SUMIFS('Daily NSE Equity Futures'!$I:$I,'Daily NSE Equity Futures'!$A:$A,$A1360)=0,"",SUMIFS('Daily NSE Equity Futures'!$I:$I,'Daily NSE Equity Futures'!$A:$A,$A1360))</f>
        <v>1231.4114999999999</v>
      </c>
      <c r="F1360" s="6">
        <f>IF(SUMIFS('Daily BSE Equity Futures'!$I:$I,'Daily BSE Equity Futures'!$A:$A,$A1360)=0,"",SUMIFS('Daily BSE Equity Futures'!$I:$I,'Daily BSE Equity Futures'!$A:$A,$A1360))</f>
        <v>2.3767</v>
      </c>
      <c r="G1360" s="6">
        <f t="shared" si="252"/>
        <v>1233.7882</v>
      </c>
      <c r="H1360" s="15">
        <f t="shared" si="253"/>
        <v>0.99807365640229007</v>
      </c>
      <c r="I1360" s="15">
        <f t="shared" si="254"/>
        <v>1.9263435977098825E-3</v>
      </c>
      <c r="J1360" s="20">
        <f t="shared" si="255"/>
        <v>-0.47017111454450178</v>
      </c>
      <c r="K1360" s="15">
        <f t="shared" si="256"/>
        <v>0.28421678283892593</v>
      </c>
      <c r="L1360" s="15">
        <f t="shared" si="257"/>
        <v>-0.46957088484659837</v>
      </c>
      <c r="M1360" s="15">
        <f t="shared" si="261"/>
        <v>0.17062203425857936</v>
      </c>
      <c r="N1360" s="15">
        <f t="shared" si="262"/>
        <v>-0.3224721343253798</v>
      </c>
      <c r="O1360" s="15">
        <f t="shared" si="263"/>
        <v>0.1689831634684813</v>
      </c>
      <c r="P1360" s="18">
        <f>IF(SUMIFS('Daily NSE Equity Futures'!$J:$J,'Daily NSE Equity Futures'!$A:$A,$A1360)=0,"",SUMIFS('Daily NSE Equity Futures'!$J:$J,'Daily NSE Equity Futures'!$A:$A,$A1360))</f>
        <v>1565602</v>
      </c>
      <c r="Q1360" s="7">
        <f>IF(SUMIFS('Daily BSE Equity Futures'!$J:$J,'Daily BSE Equity Futures'!$A:$A,$A1360)=0,"",SUMIFS('Daily BSE Equity Futures'!$J:$J,'Daily BSE Equity Futures'!$A:$A,$A1360))</f>
        <v>1458</v>
      </c>
      <c r="R1360" s="7">
        <f t="shared" si="258"/>
        <v>1567060</v>
      </c>
      <c r="S1360" s="19">
        <f t="shared" si="259"/>
        <v>0.99906959529309658</v>
      </c>
      <c r="T1360" s="19">
        <f t="shared" si="260"/>
        <v>9.304047069033732E-4</v>
      </c>
    </row>
    <row r="1361" spans="1:20" x14ac:dyDescent="0.2">
      <c r="A1361" s="9">
        <v>45922</v>
      </c>
      <c r="B1361" s="4" t="s">
        <v>225</v>
      </c>
      <c r="C1361" s="8">
        <v>45901</v>
      </c>
      <c r="D1361" s="4" t="s">
        <v>194</v>
      </c>
      <c r="E1361" s="14">
        <f>IF(SUMIFS('Daily NSE Equity Futures'!$I:$I,'Daily NSE Equity Futures'!$A:$A,$A1361)=0,"",SUMIFS('Daily NSE Equity Futures'!$I:$I,'Daily NSE Equity Futures'!$A:$A,$A1361))</f>
        <v>1286.6265000000001</v>
      </c>
      <c r="F1361" s="6">
        <f>IF(SUMIFS('Daily BSE Equity Futures'!$I:$I,'Daily BSE Equity Futures'!$A:$A,$A1361)=0,"",SUMIFS('Daily BSE Equity Futures'!$I:$I,'Daily BSE Equity Futures'!$A:$A,$A1361))</f>
        <v>2.2427000000000001</v>
      </c>
      <c r="G1361" s="6">
        <f t="shared" si="252"/>
        <v>1288.8692000000001</v>
      </c>
      <c r="H1361" s="15">
        <f t="shared" si="253"/>
        <v>0.99825994755712988</v>
      </c>
      <c r="I1361" s="15">
        <f t="shared" si="254"/>
        <v>1.7400524428700756E-3</v>
      </c>
      <c r="J1361" s="20" t="str">
        <f t="shared" si="255"/>
        <v/>
      </c>
      <c r="K1361" s="15" t="str">
        <f t="shared" si="256"/>
        <v/>
      </c>
      <c r="L1361" s="15" t="str">
        <f t="shared" si="257"/>
        <v/>
      </c>
      <c r="M1361" s="15">
        <f t="shared" si="261"/>
        <v>4.4838788658381201E-2</v>
      </c>
      <c r="N1361" s="15">
        <f t="shared" si="262"/>
        <v>-5.6380695922918278E-2</v>
      </c>
      <c r="O1361" s="15">
        <f t="shared" si="263"/>
        <v>4.464380515229438E-2</v>
      </c>
      <c r="P1361" s="18">
        <f>IF(SUMIFS('Daily NSE Equity Futures'!$J:$J,'Daily NSE Equity Futures'!$A:$A,$A1361)=0,"",SUMIFS('Daily NSE Equity Futures'!$J:$J,'Daily NSE Equity Futures'!$A:$A,$A1361))</f>
        <v>1672301</v>
      </c>
      <c r="Q1361" s="7">
        <f>IF(SUMIFS('Daily BSE Equity Futures'!$J:$J,'Daily BSE Equity Futures'!$A:$A,$A1361)=0,"",SUMIFS('Daily BSE Equity Futures'!$J:$J,'Daily BSE Equity Futures'!$A:$A,$A1361))</f>
        <v>1403</v>
      </c>
      <c r="R1361" s="7">
        <f t="shared" si="258"/>
        <v>1673704</v>
      </c>
      <c r="S1361" s="19">
        <f t="shared" si="259"/>
        <v>0.99916173947125653</v>
      </c>
      <c r="T1361" s="19">
        <f t="shared" si="260"/>
        <v>8.3826052874343376E-4</v>
      </c>
    </row>
    <row r="1362" spans="1:20" x14ac:dyDescent="0.2">
      <c r="A1362" s="9">
        <v>45923</v>
      </c>
      <c r="B1362" s="4" t="s">
        <v>223</v>
      </c>
      <c r="C1362" s="8">
        <v>45901</v>
      </c>
      <c r="D1362" s="4" t="s">
        <v>194</v>
      </c>
      <c r="E1362" s="14">
        <f>IF(SUMIFS('Daily NSE Equity Futures'!$I:$I,'Daily NSE Equity Futures'!$A:$A,$A1362)=0,"",SUMIFS('Daily NSE Equity Futures'!$I:$I,'Daily NSE Equity Futures'!$A:$A,$A1362))</f>
        <v>1279.4104</v>
      </c>
      <c r="F1362" s="6">
        <f>IF(SUMIFS('Daily BSE Equity Futures'!$I:$I,'Daily BSE Equity Futures'!$A:$A,$A1362)=0,"",SUMIFS('Daily BSE Equity Futures'!$I:$I,'Daily BSE Equity Futures'!$A:$A,$A1362))</f>
        <v>2.4605999999999999</v>
      </c>
      <c r="G1362" s="6">
        <f t="shared" si="252"/>
        <v>1281.8710000000001</v>
      </c>
      <c r="H1362" s="15">
        <f t="shared" si="253"/>
        <v>0.99808046207457679</v>
      </c>
      <c r="I1362" s="15">
        <f t="shared" si="254"/>
        <v>1.9195379254230728E-3</v>
      </c>
      <c r="J1362" s="20">
        <f t="shared" si="255"/>
        <v>-0.64441286660210162</v>
      </c>
      <c r="K1362" s="15">
        <f t="shared" si="256"/>
        <v>-3.0076077101974907E-2</v>
      </c>
      <c r="L1362" s="15">
        <f t="shared" si="257"/>
        <v>-0.64398001410392069</v>
      </c>
      <c r="M1362" s="15">
        <f t="shared" si="261"/>
        <v>-5.6085429609914472E-3</v>
      </c>
      <c r="N1362" s="15">
        <f t="shared" si="262"/>
        <v>9.7159673607704944E-2</v>
      </c>
      <c r="O1362" s="15">
        <f t="shared" si="263"/>
        <v>-5.4297208747016157E-3</v>
      </c>
      <c r="P1362" s="18">
        <f>IF(SUMIFS('Daily NSE Equity Futures'!$J:$J,'Daily NSE Equity Futures'!$A:$A,$A1362)=0,"",SUMIFS('Daily NSE Equity Futures'!$J:$J,'Daily NSE Equity Futures'!$A:$A,$A1362))</f>
        <v>1637574</v>
      </c>
      <c r="Q1362" s="7">
        <f>IF(SUMIFS('Daily BSE Equity Futures'!$J:$J,'Daily BSE Equity Futures'!$A:$A,$A1362)=0,"",SUMIFS('Daily BSE Equity Futures'!$J:$J,'Daily BSE Equity Futures'!$A:$A,$A1362))</f>
        <v>1509</v>
      </c>
      <c r="R1362" s="7">
        <f t="shared" si="258"/>
        <v>1639083</v>
      </c>
      <c r="S1362" s="19">
        <f t="shared" si="259"/>
        <v>0.99907936327812563</v>
      </c>
      <c r="T1362" s="19">
        <f t="shared" si="260"/>
        <v>9.2063672187436515E-4</v>
      </c>
    </row>
    <row r="1363" spans="1:20" x14ac:dyDescent="0.2">
      <c r="A1363" s="9">
        <v>45924</v>
      </c>
      <c r="B1363" s="4" t="s">
        <v>221</v>
      </c>
      <c r="C1363" s="8">
        <v>45901</v>
      </c>
      <c r="D1363" s="4" t="s">
        <v>194</v>
      </c>
      <c r="E1363" s="14">
        <f>IF(SUMIFS('Daily NSE Equity Futures'!$I:$I,'Daily NSE Equity Futures'!$A:$A,$A1363)=0,"",SUMIFS('Daily NSE Equity Futures'!$I:$I,'Daily NSE Equity Futures'!$A:$A,$A1363))</f>
        <v>1499.732</v>
      </c>
      <c r="F1363" s="6">
        <f>IF(SUMIFS('Daily BSE Equity Futures'!$I:$I,'Daily BSE Equity Futures'!$A:$A,$A1363)=0,"",SUMIFS('Daily BSE Equity Futures'!$I:$I,'Daily BSE Equity Futures'!$A:$A,$A1363))</f>
        <v>3.8822000000000001</v>
      </c>
      <c r="G1363" s="6">
        <f t="shared" si="252"/>
        <v>1503.6142</v>
      </c>
      <c r="H1363" s="15">
        <f t="shared" si="253"/>
        <v>0.99741808769829388</v>
      </c>
      <c r="I1363" s="15">
        <f t="shared" si="254"/>
        <v>2.5819123017061158E-3</v>
      </c>
      <c r="J1363" s="20">
        <f t="shared" si="255"/>
        <v>-0.60676135779781193</v>
      </c>
      <c r="K1363" s="15">
        <f t="shared" si="256"/>
        <v>1.3840579710144927</v>
      </c>
      <c r="L1363" s="15">
        <f t="shared" si="257"/>
        <v>-0.60591168820140462</v>
      </c>
      <c r="M1363" s="15">
        <f t="shared" si="261"/>
        <v>0.17220557219169086</v>
      </c>
      <c r="N1363" s="15">
        <f t="shared" si="262"/>
        <v>0.5777452653824271</v>
      </c>
      <c r="O1363" s="15">
        <f t="shared" si="263"/>
        <v>0.17298402101303467</v>
      </c>
      <c r="P1363" s="18">
        <f>IF(SUMIFS('Daily NSE Equity Futures'!$J:$J,'Daily NSE Equity Futures'!$A:$A,$A1363)=0,"",SUMIFS('Daily NSE Equity Futures'!$J:$J,'Daily NSE Equity Futures'!$A:$A,$A1363))</f>
        <v>1905798</v>
      </c>
      <c r="Q1363" s="7">
        <f>IF(SUMIFS('Daily BSE Equity Futures'!$J:$J,'Daily BSE Equity Futures'!$A:$A,$A1363)=0,"",SUMIFS('Daily BSE Equity Futures'!$J:$J,'Daily BSE Equity Futures'!$A:$A,$A1363))</f>
        <v>2395</v>
      </c>
      <c r="R1363" s="7">
        <f t="shared" si="258"/>
        <v>1908193</v>
      </c>
      <c r="S1363" s="19">
        <f t="shared" si="259"/>
        <v>0.99874488586846299</v>
      </c>
      <c r="T1363" s="19">
        <f t="shared" si="260"/>
        <v>1.255114131537009E-3</v>
      </c>
    </row>
    <row r="1364" spans="1:20" x14ac:dyDescent="0.2">
      <c r="A1364" s="9">
        <v>45925</v>
      </c>
      <c r="B1364" s="4" t="s">
        <v>224</v>
      </c>
      <c r="C1364" s="8">
        <v>45901</v>
      </c>
      <c r="D1364" s="4" t="s">
        <v>194</v>
      </c>
      <c r="E1364" s="14">
        <f>IF(SUMIFS('Daily NSE Equity Futures'!$I:$I,'Daily NSE Equity Futures'!$A:$A,$A1364)=0,"",SUMIFS('Daily NSE Equity Futures'!$I:$I,'Daily NSE Equity Futures'!$A:$A,$A1364))</f>
        <v>3461.8020999999999</v>
      </c>
      <c r="F1364" s="6">
        <f>IF(SUMIFS('Daily BSE Equity Futures'!$I:$I,'Daily BSE Equity Futures'!$A:$A,$A1364)=0,"",SUMIFS('Daily BSE Equity Futures'!$I:$I,'Daily BSE Equity Futures'!$A:$A,$A1364))</f>
        <v>5.4229000000000003</v>
      </c>
      <c r="G1364" s="6">
        <f t="shared" si="252"/>
        <v>3467.2249999999999</v>
      </c>
      <c r="H1364" s="15">
        <f t="shared" si="253"/>
        <v>0.99843595382474459</v>
      </c>
      <c r="I1364" s="15">
        <f t="shared" si="254"/>
        <v>1.5640461752554277E-3</v>
      </c>
      <c r="J1364" s="20">
        <f t="shared" si="255"/>
        <v>-2.9435141295491074E-2</v>
      </c>
      <c r="K1364" s="15">
        <f t="shared" si="256"/>
        <v>6.3670696916179876</v>
      </c>
      <c r="L1364" s="15">
        <f t="shared" si="257"/>
        <v>-2.8115328735265122E-2</v>
      </c>
      <c r="M1364" s="15">
        <f t="shared" si="261"/>
        <v>1.3082804794456608</v>
      </c>
      <c r="N1364" s="15">
        <f t="shared" si="262"/>
        <v>0.39686260367832671</v>
      </c>
      <c r="O1364" s="15">
        <f t="shared" si="263"/>
        <v>1.3059272784202225</v>
      </c>
      <c r="P1364" s="18">
        <f>IF(SUMIFS('Daily NSE Equity Futures'!$J:$J,'Daily NSE Equity Futures'!$A:$A,$A1364)=0,"",SUMIFS('Daily NSE Equity Futures'!$J:$J,'Daily NSE Equity Futures'!$A:$A,$A1364))</f>
        <v>4685548</v>
      </c>
      <c r="Q1364" s="7">
        <f>IF(SUMIFS('Daily BSE Equity Futures'!$J:$J,'Daily BSE Equity Futures'!$A:$A,$A1364)=0,"",SUMIFS('Daily BSE Equity Futures'!$J:$J,'Daily BSE Equity Futures'!$A:$A,$A1364))</f>
        <v>3342</v>
      </c>
      <c r="R1364" s="7">
        <f t="shared" si="258"/>
        <v>4688890</v>
      </c>
      <c r="S1364" s="19">
        <f t="shared" si="259"/>
        <v>0.99928725135373186</v>
      </c>
      <c r="T1364" s="19">
        <f t="shared" si="260"/>
        <v>7.1274864626809332E-4</v>
      </c>
    </row>
    <row r="1365" spans="1:20" x14ac:dyDescent="0.2">
      <c r="A1365" s="9">
        <v>45926</v>
      </c>
      <c r="B1365" s="4" t="s">
        <v>222</v>
      </c>
      <c r="C1365" s="8">
        <v>45901</v>
      </c>
      <c r="D1365" s="4" t="s">
        <v>194</v>
      </c>
      <c r="E1365" s="14">
        <f>IF(SUMIFS('Daily NSE Equity Futures'!$I:$I,'Daily NSE Equity Futures'!$A:$A,$A1365)=0,"",SUMIFS('Daily NSE Equity Futures'!$I:$I,'Daily NSE Equity Futures'!$A:$A,$A1365))</f>
        <v>3515.4521</v>
      </c>
      <c r="F1365" s="6">
        <f>IF(SUMIFS('Daily BSE Equity Futures'!$I:$I,'Daily BSE Equity Futures'!$A:$A,$A1365)=0,"",SUMIFS('Daily BSE Equity Futures'!$I:$I,'Daily BSE Equity Futures'!$A:$A,$A1365))</f>
        <v>2.4357000000000002</v>
      </c>
      <c r="G1365" s="6">
        <f t="shared" si="252"/>
        <v>3517.8878</v>
      </c>
      <c r="H1365" s="15">
        <f t="shared" si="253"/>
        <v>0.99930762430797249</v>
      </c>
      <c r="I1365" s="15">
        <f t="shared" si="254"/>
        <v>6.9237569202747174E-4</v>
      </c>
      <c r="J1365" s="20">
        <f t="shared" si="255"/>
        <v>-6.183688036590651E-2</v>
      </c>
      <c r="K1365" s="15">
        <f t="shared" si="256"/>
        <v>-9.2747793049502647E-2</v>
      </c>
      <c r="L1365" s="15">
        <f t="shared" si="257"/>
        <v>-6.1859010992920349E-2</v>
      </c>
      <c r="M1365" s="15">
        <f t="shared" si="261"/>
        <v>1.5497708548966482E-2</v>
      </c>
      <c r="N1365" s="15">
        <f t="shared" si="262"/>
        <v>-0.55084917663980526</v>
      </c>
      <c r="O1365" s="15">
        <f t="shared" si="263"/>
        <v>1.4611915869319203E-2</v>
      </c>
      <c r="P1365" s="18">
        <f>IF(SUMIFS('Daily NSE Equity Futures'!$J:$J,'Daily NSE Equity Futures'!$A:$A,$A1365)=0,"",SUMIFS('Daily NSE Equity Futures'!$J:$J,'Daily NSE Equity Futures'!$A:$A,$A1365))</f>
        <v>4669508</v>
      </c>
      <c r="Q1365" s="7">
        <f>IF(SUMIFS('Daily BSE Equity Futures'!$J:$J,'Daily BSE Equity Futures'!$A:$A,$A1365)=0,"",SUMIFS('Daily BSE Equity Futures'!$J:$J,'Daily BSE Equity Futures'!$A:$A,$A1365))</f>
        <v>1500</v>
      </c>
      <c r="R1365" s="7">
        <f t="shared" si="258"/>
        <v>4671008</v>
      </c>
      <c r="S1365" s="19">
        <f t="shared" si="259"/>
        <v>0.99967887017106372</v>
      </c>
      <c r="T1365" s="19">
        <f t="shared" si="260"/>
        <v>3.2112982893628097E-4</v>
      </c>
    </row>
    <row r="1366" spans="1:20" x14ac:dyDescent="0.2">
      <c r="A1366" s="9">
        <v>45929</v>
      </c>
      <c r="B1366" s="4" t="s">
        <v>225</v>
      </c>
      <c r="C1366" s="8">
        <v>45901</v>
      </c>
      <c r="D1366" s="4" t="s">
        <v>194</v>
      </c>
      <c r="E1366" s="14">
        <f>IF(SUMIFS('Daily NSE Equity Futures'!$I:$I,'Daily NSE Equity Futures'!$A:$A,$A1366)=0,"",SUMIFS('Daily NSE Equity Futures'!$I:$I,'Daily NSE Equity Futures'!$A:$A,$A1366))</f>
        <v>3594.4304000000002</v>
      </c>
      <c r="F1366" s="6">
        <f>IF(SUMIFS('Daily BSE Equity Futures'!$I:$I,'Daily BSE Equity Futures'!$A:$A,$A1366)=0,"",SUMIFS('Daily BSE Equity Futures'!$I:$I,'Daily BSE Equity Futures'!$A:$A,$A1366))</f>
        <v>2.1046</v>
      </c>
      <c r="G1366" s="6">
        <f t="shared" si="252"/>
        <v>3596.5350000000003</v>
      </c>
      <c r="H1366" s="15">
        <f t="shared" si="253"/>
        <v>0.99941482565858519</v>
      </c>
      <c r="I1366" s="15">
        <f t="shared" si="254"/>
        <v>5.8517434141472271E-4</v>
      </c>
      <c r="J1366" s="20" t="str">
        <f t="shared" si="255"/>
        <v/>
      </c>
      <c r="K1366" s="15" t="str">
        <f t="shared" si="256"/>
        <v/>
      </c>
      <c r="L1366" s="15" t="str">
        <f t="shared" si="257"/>
        <v/>
      </c>
      <c r="M1366" s="15">
        <f t="shared" si="261"/>
        <v>2.2466043556673698E-2</v>
      </c>
      <c r="N1366" s="15">
        <f t="shared" si="262"/>
        <v>-0.13593628115120915</v>
      </c>
      <c r="O1366" s="15">
        <f t="shared" si="263"/>
        <v>2.2356369637485329E-2</v>
      </c>
      <c r="P1366" s="18">
        <f>IF(SUMIFS('Daily NSE Equity Futures'!$J:$J,'Daily NSE Equity Futures'!$A:$A,$A1366)=0,"",SUMIFS('Daily NSE Equity Futures'!$J:$J,'Daily NSE Equity Futures'!$A:$A,$A1366))</f>
        <v>4774393</v>
      </c>
      <c r="Q1366" s="7">
        <f>IF(SUMIFS('Daily BSE Equity Futures'!$J:$J,'Daily BSE Equity Futures'!$A:$A,$A1366)=0,"",SUMIFS('Daily BSE Equity Futures'!$J:$J,'Daily BSE Equity Futures'!$A:$A,$A1366))</f>
        <v>1302</v>
      </c>
      <c r="R1366" s="7">
        <f t="shared" si="258"/>
        <v>4775695</v>
      </c>
      <c r="S1366" s="19">
        <f t="shared" si="259"/>
        <v>0.99972736952422636</v>
      </c>
      <c r="T1366" s="19">
        <f t="shared" si="260"/>
        <v>2.726304757736832E-4</v>
      </c>
    </row>
    <row r="1367" spans="1:20" x14ac:dyDescent="0.2">
      <c r="A1367" s="9">
        <v>45930</v>
      </c>
      <c r="B1367" s="4" t="s">
        <v>223</v>
      </c>
      <c r="C1367" s="8">
        <v>45901</v>
      </c>
      <c r="D1367" s="4" t="s">
        <v>194</v>
      </c>
      <c r="E1367" s="14">
        <f>IF(SUMIFS('Daily NSE Equity Futures'!$I:$I,'Daily NSE Equity Futures'!$A:$A,$A1367)=0,"",SUMIFS('Daily NSE Equity Futures'!$I:$I,'Daily NSE Equity Futures'!$A:$A,$A1367))</f>
        <v>2447.5544</v>
      </c>
      <c r="F1367" s="6">
        <f>IF(SUMIFS('Daily BSE Equity Futures'!$I:$I,'Daily BSE Equity Futures'!$A:$A,$A1367)=0,"",SUMIFS('Daily BSE Equity Futures'!$I:$I,'Daily BSE Equity Futures'!$A:$A,$A1367))</f>
        <v>1.4745999999999999</v>
      </c>
      <c r="G1367" s="6">
        <f t="shared" si="252"/>
        <v>2449.029</v>
      </c>
      <c r="H1367" s="15">
        <f t="shared" si="253"/>
        <v>0.99939788381436068</v>
      </c>
      <c r="I1367" s="15">
        <f t="shared" si="254"/>
        <v>6.0211618563928799E-4</v>
      </c>
      <c r="J1367" s="20">
        <f t="shared" si="255"/>
        <v>0.45702453568830093</v>
      </c>
      <c r="K1367" s="15">
        <f t="shared" si="256"/>
        <v>-0.41474837275758059</v>
      </c>
      <c r="L1367" s="15">
        <f t="shared" si="257"/>
        <v>0.45571891036717549</v>
      </c>
      <c r="M1367" s="15">
        <f t="shared" si="261"/>
        <v>-0.31907030387902358</v>
      </c>
      <c r="N1367" s="15">
        <f t="shared" si="262"/>
        <v>-0.29934429345243752</v>
      </c>
      <c r="O1367" s="15">
        <f t="shared" si="263"/>
        <v>-0.31905876072386341</v>
      </c>
      <c r="P1367" s="18">
        <f>IF(SUMIFS('Daily NSE Equity Futures'!$J:$J,'Daily NSE Equity Futures'!$A:$A,$A1367)=0,"",SUMIFS('Daily NSE Equity Futures'!$J:$J,'Daily NSE Equity Futures'!$A:$A,$A1367))</f>
        <v>3230844</v>
      </c>
      <c r="Q1367" s="7">
        <f>IF(SUMIFS('Daily BSE Equity Futures'!$J:$J,'Daily BSE Equity Futures'!$A:$A,$A1367)=0,"",SUMIFS('Daily BSE Equity Futures'!$J:$J,'Daily BSE Equity Futures'!$A:$A,$A1367))</f>
        <v>920</v>
      </c>
      <c r="R1367" s="7">
        <f t="shared" si="258"/>
        <v>3231764</v>
      </c>
      <c r="S1367" s="19">
        <f t="shared" si="259"/>
        <v>0.99971532574779598</v>
      </c>
      <c r="T1367" s="19">
        <f t="shared" si="260"/>
        <v>2.8467425220405945E-4</v>
      </c>
    </row>
    <row r="1368" spans="1:20" x14ac:dyDescent="0.2">
      <c r="A1368" s="9">
        <v>45931</v>
      </c>
      <c r="B1368" s="4" t="s">
        <v>221</v>
      </c>
      <c r="C1368" s="8">
        <v>45931</v>
      </c>
      <c r="D1368" s="4" t="s">
        <v>195</v>
      </c>
      <c r="E1368" s="14">
        <f>IF(SUMIFS('Daily NSE Equity Futures'!$I:$I,'Daily NSE Equity Futures'!$A:$A,$A1368)=0,"",SUMIFS('Daily NSE Equity Futures'!$I:$I,'Daily NSE Equity Futures'!$A:$A,$A1368))</f>
        <v>1051.7264</v>
      </c>
      <c r="F1368" s="6">
        <f>IF(SUMIFS('Daily BSE Equity Futures'!$I:$I,'Daily BSE Equity Futures'!$A:$A,$A1368)=0,"",SUMIFS('Daily BSE Equity Futures'!$I:$I,'Daily BSE Equity Futures'!$A:$A,$A1368))</f>
        <v>2.8662000000000001</v>
      </c>
      <c r="G1368" s="6">
        <f t="shared" si="252"/>
        <v>1054.5925999999999</v>
      </c>
      <c r="H1368" s="15">
        <f t="shared" si="253"/>
        <v>0.99728217322973822</v>
      </c>
      <c r="I1368" s="15">
        <f t="shared" si="254"/>
        <v>2.7178267702618057E-3</v>
      </c>
      <c r="J1368" s="20">
        <f t="shared" si="255"/>
        <v>-0.19231188066575111</v>
      </c>
      <c r="K1368" s="15">
        <f t="shared" si="256"/>
        <v>2.3534573534573533</v>
      </c>
      <c r="L1368" s="15">
        <f t="shared" si="257"/>
        <v>-0.19064198749515449</v>
      </c>
      <c r="M1368" s="15">
        <f t="shared" si="261"/>
        <v>-0.57029498506754339</v>
      </c>
      <c r="N1368" s="15">
        <f t="shared" si="262"/>
        <v>0.94371354943713559</v>
      </c>
      <c r="O1368" s="15">
        <f t="shared" si="263"/>
        <v>-0.56938337602372213</v>
      </c>
      <c r="P1368" s="18">
        <f>IF(SUMIFS('Daily NSE Equity Futures'!$J:$J,'Daily NSE Equity Futures'!$A:$A,$A1368)=0,"",SUMIFS('Daily NSE Equity Futures'!$J:$J,'Daily NSE Equity Futures'!$A:$A,$A1368))</f>
        <v>1281178</v>
      </c>
      <c r="Q1368" s="7">
        <f>IF(SUMIFS('Daily BSE Equity Futures'!$J:$J,'Daily BSE Equity Futures'!$A:$A,$A1368)=0,"",SUMIFS('Daily BSE Equity Futures'!$J:$J,'Daily BSE Equity Futures'!$A:$A,$A1368))</f>
        <v>1775</v>
      </c>
      <c r="R1368" s="7">
        <f t="shared" si="258"/>
        <v>1282953</v>
      </c>
      <c r="S1368" s="19">
        <f t="shared" si="259"/>
        <v>0.99861647308981705</v>
      </c>
      <c r="T1368" s="19">
        <f t="shared" si="260"/>
        <v>1.3835269101829918E-3</v>
      </c>
    </row>
    <row r="1369" spans="1:20" x14ac:dyDescent="0.2">
      <c r="A1369" s="9">
        <v>45933</v>
      </c>
      <c r="B1369" s="4" t="s">
        <v>222</v>
      </c>
      <c r="C1369" s="8">
        <v>45931</v>
      </c>
      <c r="D1369" s="4" t="s">
        <v>195</v>
      </c>
      <c r="E1369" s="14">
        <f>IF(SUMIFS('Daily NSE Equity Futures'!$I:$I,'Daily NSE Equity Futures'!$A:$A,$A1369)=0,"",SUMIFS('Daily NSE Equity Futures'!$I:$I,'Daily NSE Equity Futures'!$A:$A,$A1369))</f>
        <v>920.64729999999997</v>
      </c>
      <c r="F1369" s="6">
        <f>IF(SUMIFS('Daily BSE Equity Futures'!$I:$I,'Daily BSE Equity Futures'!$A:$A,$A1369)=0,"",SUMIFS('Daily BSE Equity Futures'!$I:$I,'Daily BSE Equity Futures'!$A:$A,$A1369))</f>
        <v>1.3732</v>
      </c>
      <c r="G1369" s="6">
        <f t="shared" si="252"/>
        <v>922.02049999999997</v>
      </c>
      <c r="H1369" s="15">
        <f t="shared" si="253"/>
        <v>0.99851066218158924</v>
      </c>
      <c r="I1369" s="15">
        <f t="shared" si="254"/>
        <v>1.489337818410762E-3</v>
      </c>
      <c r="J1369" s="20">
        <f t="shared" si="255"/>
        <v>-0.53009585021331929</v>
      </c>
      <c r="K1369" s="15">
        <f t="shared" si="256"/>
        <v>-0.3480820357007216</v>
      </c>
      <c r="L1369" s="15">
        <f t="shared" si="257"/>
        <v>-0.52990037372599208</v>
      </c>
      <c r="M1369" s="15">
        <f t="shared" si="261"/>
        <v>-0.12463231882360282</v>
      </c>
      <c r="N1369" s="15">
        <f t="shared" si="262"/>
        <v>-0.52089875095945848</v>
      </c>
      <c r="O1369" s="15">
        <f t="shared" si="263"/>
        <v>-0.12570930234101774</v>
      </c>
      <c r="P1369" s="18">
        <f>IF(SUMIFS('Daily NSE Equity Futures'!$J:$J,'Daily NSE Equity Futures'!$A:$A,$A1369)=0,"",SUMIFS('Daily NSE Equity Futures'!$J:$J,'Daily NSE Equity Futures'!$A:$A,$A1369))</f>
        <v>1150733</v>
      </c>
      <c r="Q1369" s="7">
        <f>IF(SUMIFS('Daily BSE Equity Futures'!$J:$J,'Daily BSE Equity Futures'!$A:$A,$A1369)=0,"",SUMIFS('Daily BSE Equity Futures'!$J:$J,'Daily BSE Equity Futures'!$A:$A,$A1369))</f>
        <v>873</v>
      </c>
      <c r="R1369" s="7">
        <f t="shared" si="258"/>
        <v>1151606</v>
      </c>
      <c r="S1369" s="19">
        <f t="shared" si="259"/>
        <v>0.99924192822892555</v>
      </c>
      <c r="T1369" s="19">
        <f t="shared" si="260"/>
        <v>7.5807177107448207E-4</v>
      </c>
    </row>
    <row r="1370" spans="1:20" x14ac:dyDescent="0.2">
      <c r="A1370" s="9">
        <v>45936</v>
      </c>
      <c r="B1370" s="4" t="s">
        <v>225</v>
      </c>
      <c r="C1370" s="8">
        <v>45931</v>
      </c>
      <c r="D1370" s="4" t="s">
        <v>195</v>
      </c>
      <c r="E1370" s="14">
        <f>IF(SUMIFS('Daily NSE Equity Futures'!$I:$I,'Daily NSE Equity Futures'!$A:$A,$A1370)=0,"",SUMIFS('Daily NSE Equity Futures'!$I:$I,'Daily NSE Equity Futures'!$A:$A,$A1370))</f>
        <v>1002.82</v>
      </c>
      <c r="F1370" s="6">
        <f>IF(SUMIFS('Daily BSE Equity Futures'!$I:$I,'Daily BSE Equity Futures'!$A:$A,$A1370)=0,"",SUMIFS('Daily BSE Equity Futures'!$I:$I,'Daily BSE Equity Futures'!$A:$A,$A1370))</f>
        <v>1.7838000000000001</v>
      </c>
      <c r="G1370" s="6">
        <f t="shared" si="252"/>
        <v>1004.6038000000001</v>
      </c>
      <c r="H1370" s="15">
        <f t="shared" si="253"/>
        <v>0.99822437462410551</v>
      </c>
      <c r="I1370" s="15">
        <f t="shared" si="254"/>
        <v>1.7756253758944569E-3</v>
      </c>
      <c r="J1370" s="20" t="str">
        <f t="shared" si="255"/>
        <v/>
      </c>
      <c r="K1370" s="15" t="str">
        <f t="shared" si="256"/>
        <v/>
      </c>
      <c r="L1370" s="15" t="str">
        <f t="shared" si="257"/>
        <v/>
      </c>
      <c r="M1370" s="15">
        <f t="shared" si="261"/>
        <v>8.925535327155143E-2</v>
      </c>
      <c r="N1370" s="15">
        <f t="shared" si="262"/>
        <v>0.29900961258374603</v>
      </c>
      <c r="O1370" s="15">
        <f t="shared" si="263"/>
        <v>8.9567748222517896E-2</v>
      </c>
      <c r="P1370" s="18">
        <f>IF(SUMIFS('Daily NSE Equity Futures'!$J:$J,'Daily NSE Equity Futures'!$A:$A,$A1370)=0,"",SUMIFS('Daily NSE Equity Futures'!$J:$J,'Daily NSE Equity Futures'!$A:$A,$A1370))</f>
        <v>1231959</v>
      </c>
      <c r="Q1370" s="7">
        <f>IF(SUMIFS('Daily BSE Equity Futures'!$J:$J,'Daily BSE Equity Futures'!$A:$A,$A1370)=0,"",SUMIFS('Daily BSE Equity Futures'!$J:$J,'Daily BSE Equity Futures'!$A:$A,$A1370))</f>
        <v>1097</v>
      </c>
      <c r="R1370" s="7">
        <f t="shared" si="258"/>
        <v>1233056</v>
      </c>
      <c r="S1370" s="19">
        <f t="shared" si="259"/>
        <v>0.99911034048737446</v>
      </c>
      <c r="T1370" s="19">
        <f t="shared" si="260"/>
        <v>8.8965951262554173E-4</v>
      </c>
    </row>
    <row r="1371" spans="1:20" x14ac:dyDescent="0.2">
      <c r="A1371" s="9">
        <v>45937</v>
      </c>
      <c r="B1371" s="4" t="s">
        <v>223</v>
      </c>
      <c r="C1371" s="8">
        <v>45931</v>
      </c>
      <c r="D1371" s="4" t="s">
        <v>195</v>
      </c>
      <c r="E1371" s="14">
        <f>IF(SUMIFS('Daily NSE Equity Futures'!$I:$I,'Daily NSE Equity Futures'!$A:$A,$A1371)=0,"",SUMIFS('Daily NSE Equity Futures'!$I:$I,'Daily NSE Equity Futures'!$A:$A,$A1371))</f>
        <v>958.97850000000005</v>
      </c>
      <c r="F1371" s="6">
        <f>IF(SUMIFS('Daily BSE Equity Futures'!$I:$I,'Daily BSE Equity Futures'!$A:$A,$A1371)=0,"",SUMIFS('Daily BSE Equity Futures'!$I:$I,'Daily BSE Equity Futures'!$A:$A,$A1371))</f>
        <v>1.6631</v>
      </c>
      <c r="G1371" s="6">
        <f t="shared" si="252"/>
        <v>960.64160000000004</v>
      </c>
      <c r="H1371" s="15">
        <f t="shared" si="253"/>
        <v>0.99826876121125718</v>
      </c>
      <c r="I1371" s="15">
        <f t="shared" si="254"/>
        <v>1.7312387887428568E-3</v>
      </c>
      <c r="J1371" s="20">
        <f t="shared" si="255"/>
        <v>-0.48681488719708221</v>
      </c>
      <c r="K1371" s="15">
        <f t="shared" si="256"/>
        <v>-0.63667147288853931</v>
      </c>
      <c r="L1371" s="15">
        <f t="shared" si="257"/>
        <v>-0.48718106950520235</v>
      </c>
      <c r="M1371" s="15">
        <f t="shared" si="261"/>
        <v>-4.3718214634730024E-2</v>
      </c>
      <c r="N1371" s="15">
        <f t="shared" si="262"/>
        <v>-6.7664536383002627E-2</v>
      </c>
      <c r="O1371" s="15">
        <f t="shared" si="263"/>
        <v>-4.3760734331285689E-2</v>
      </c>
      <c r="P1371" s="18">
        <f>IF(SUMIFS('Daily NSE Equity Futures'!$J:$J,'Daily NSE Equity Futures'!$A:$A,$A1371)=0,"",SUMIFS('Daily NSE Equity Futures'!$J:$J,'Daily NSE Equity Futures'!$A:$A,$A1371))</f>
        <v>1195706</v>
      </c>
      <c r="Q1371" s="7">
        <f>IF(SUMIFS('Daily BSE Equity Futures'!$J:$J,'Daily BSE Equity Futures'!$A:$A,$A1371)=0,"",SUMIFS('Daily BSE Equity Futures'!$J:$J,'Daily BSE Equity Futures'!$A:$A,$A1371))</f>
        <v>1025</v>
      </c>
      <c r="R1371" s="7">
        <f t="shared" si="258"/>
        <v>1196731</v>
      </c>
      <c r="S1371" s="19">
        <f t="shared" si="259"/>
        <v>0.99914350008481434</v>
      </c>
      <c r="T1371" s="19">
        <f t="shared" si="260"/>
        <v>8.5649991518561819E-4</v>
      </c>
    </row>
    <row r="1372" spans="1:20" x14ac:dyDescent="0.2">
      <c r="A1372" s="9">
        <v>45938</v>
      </c>
      <c r="B1372" s="4" t="s">
        <v>221</v>
      </c>
      <c r="C1372" s="8">
        <v>45931</v>
      </c>
      <c r="D1372" s="4" t="s">
        <v>195</v>
      </c>
      <c r="E1372" s="14">
        <f>IF(SUMIFS('Daily NSE Equity Futures'!$I:$I,'Daily NSE Equity Futures'!$A:$A,$A1372)=0,"",SUMIFS('Daily NSE Equity Futures'!$I:$I,'Daily NSE Equity Futures'!$A:$A,$A1372))</f>
        <v>951.43740000000003</v>
      </c>
      <c r="F1372" s="6">
        <f>IF(SUMIFS('Daily BSE Equity Futures'!$I:$I,'Daily BSE Equity Futures'!$A:$A,$A1372)=0,"",SUMIFS('Daily BSE Equity Futures'!$I:$I,'Daily BSE Equity Futures'!$A:$A,$A1372))</f>
        <v>2.1009000000000002</v>
      </c>
      <c r="G1372" s="6">
        <f t="shared" si="252"/>
        <v>953.53830000000005</v>
      </c>
      <c r="H1372" s="15">
        <f t="shared" si="253"/>
        <v>0.99779673244378331</v>
      </c>
      <c r="I1372" s="15">
        <f t="shared" si="254"/>
        <v>2.2032675562166722E-3</v>
      </c>
      <c r="J1372" s="20">
        <f t="shared" si="255"/>
        <v>-0.32734899670488904</v>
      </c>
      <c r="K1372" s="15">
        <f t="shared" si="256"/>
        <v>1.5214834373499762</v>
      </c>
      <c r="L1372" s="15">
        <f t="shared" si="257"/>
        <v>-0.32626056636776968</v>
      </c>
      <c r="M1372" s="15">
        <f t="shared" si="261"/>
        <v>-7.8636799469435914E-3</v>
      </c>
      <c r="N1372" s="15">
        <f t="shared" si="262"/>
        <v>0.26324334074920341</v>
      </c>
      <c r="O1372" s="15">
        <f t="shared" si="263"/>
        <v>-7.3943289568138004E-3</v>
      </c>
      <c r="P1372" s="18">
        <f>IF(SUMIFS('Daily NSE Equity Futures'!$J:$J,'Daily NSE Equity Futures'!$A:$A,$A1372)=0,"",SUMIFS('Daily NSE Equity Futures'!$J:$J,'Daily NSE Equity Futures'!$A:$A,$A1372))</f>
        <v>1180179</v>
      </c>
      <c r="Q1372" s="7">
        <f>IF(SUMIFS('Daily BSE Equity Futures'!$J:$J,'Daily BSE Equity Futures'!$A:$A,$A1372)=0,"",SUMIFS('Daily BSE Equity Futures'!$J:$J,'Daily BSE Equity Futures'!$A:$A,$A1372))</f>
        <v>1308</v>
      </c>
      <c r="R1372" s="7">
        <f t="shared" si="258"/>
        <v>1181487</v>
      </c>
      <c r="S1372" s="19">
        <f t="shared" si="259"/>
        <v>0.9988929205314997</v>
      </c>
      <c r="T1372" s="19">
        <f t="shared" si="260"/>
        <v>1.1070794685002882E-3</v>
      </c>
    </row>
    <row r="1373" spans="1:20" x14ac:dyDescent="0.2">
      <c r="A1373" s="9">
        <v>45939</v>
      </c>
      <c r="B1373" s="4" t="s">
        <v>224</v>
      </c>
      <c r="C1373" s="8">
        <v>45931</v>
      </c>
      <c r="D1373" s="4" t="s">
        <v>195</v>
      </c>
      <c r="E1373" s="14">
        <f>IF(SUMIFS('Daily NSE Equity Futures'!$I:$I,'Daily NSE Equity Futures'!$A:$A,$A1373)=0,"",SUMIFS('Daily NSE Equity Futures'!$I:$I,'Daily NSE Equity Futures'!$A:$A,$A1373))</f>
        <v>928.43489999999997</v>
      </c>
      <c r="F1373" s="6">
        <f>IF(SUMIFS('Daily BSE Equity Futures'!$I:$I,'Daily BSE Equity Futures'!$A:$A,$A1373)=0,"",SUMIFS('Daily BSE Equity Futures'!$I:$I,'Daily BSE Equity Futures'!$A:$A,$A1373))</f>
        <v>1.917</v>
      </c>
      <c r="G1373" s="6">
        <f t="shared" si="252"/>
        <v>930.3519</v>
      </c>
      <c r="H1373" s="15">
        <f t="shared" si="253"/>
        <v>0.99793948934806276</v>
      </c>
      <c r="I1373" s="15">
        <f t="shared" si="254"/>
        <v>2.0605106519371863E-3</v>
      </c>
      <c r="J1373" s="20">
        <f t="shared" si="255"/>
        <v>-0.41628587940230521</v>
      </c>
      <c r="K1373" s="15">
        <f t="shared" si="256"/>
        <v>1.0655101820924471</v>
      </c>
      <c r="L1373" s="15">
        <f t="shared" si="257"/>
        <v>-0.41542175033812601</v>
      </c>
      <c r="M1373" s="15">
        <f t="shared" si="261"/>
        <v>-2.4176577460587545E-2</v>
      </c>
      <c r="N1373" s="15">
        <f t="shared" si="262"/>
        <v>-8.7533914036841409E-2</v>
      </c>
      <c r="O1373" s="15">
        <f t="shared" si="263"/>
        <v>-2.4316170624714362E-2</v>
      </c>
      <c r="P1373" s="18">
        <f>IF(SUMIFS('Daily NSE Equity Futures'!$J:$J,'Daily NSE Equity Futures'!$A:$A,$A1373)=0,"",SUMIFS('Daily NSE Equity Futures'!$J:$J,'Daily NSE Equity Futures'!$A:$A,$A1373))</f>
        <v>1159466</v>
      </c>
      <c r="Q1373" s="7">
        <f>IF(SUMIFS('Daily BSE Equity Futures'!$J:$J,'Daily BSE Equity Futures'!$A:$A,$A1373)=0,"",SUMIFS('Daily BSE Equity Futures'!$J:$J,'Daily BSE Equity Futures'!$A:$A,$A1373))</f>
        <v>1202</v>
      </c>
      <c r="R1373" s="7">
        <f t="shared" si="258"/>
        <v>1160668</v>
      </c>
      <c r="S1373" s="19">
        <f t="shared" si="259"/>
        <v>0.9989643894722694</v>
      </c>
      <c r="T1373" s="19">
        <f t="shared" si="260"/>
        <v>1.0356105277305827E-3</v>
      </c>
    </row>
    <row r="1374" spans="1:20" x14ac:dyDescent="0.2">
      <c r="A1374" s="9">
        <v>45940</v>
      </c>
      <c r="B1374" s="4" t="s">
        <v>222</v>
      </c>
      <c r="C1374" s="8">
        <v>45931</v>
      </c>
      <c r="D1374" s="4" t="s">
        <v>195</v>
      </c>
      <c r="E1374" s="14">
        <f>IF(SUMIFS('Daily NSE Equity Futures'!$I:$I,'Daily NSE Equity Futures'!$A:$A,$A1374)=0,"",SUMIFS('Daily NSE Equity Futures'!$I:$I,'Daily NSE Equity Futures'!$A:$A,$A1374))</f>
        <v>1029.2128</v>
      </c>
      <c r="F1374" s="6">
        <f>IF(SUMIFS('Daily BSE Equity Futures'!$I:$I,'Daily BSE Equity Futures'!$A:$A,$A1374)=0,"",SUMIFS('Daily BSE Equity Futures'!$I:$I,'Daily BSE Equity Futures'!$A:$A,$A1374))</f>
        <v>2.2145000000000001</v>
      </c>
      <c r="G1374" s="6">
        <f t="shared" si="252"/>
        <v>1031.4273000000001</v>
      </c>
      <c r="H1374" s="15">
        <f t="shared" si="253"/>
        <v>0.99785297519272564</v>
      </c>
      <c r="I1374" s="15">
        <f t="shared" si="254"/>
        <v>2.1470248072743467E-3</v>
      </c>
      <c r="J1374" s="20">
        <f t="shared" si="255"/>
        <v>-0.11761591220850487</v>
      </c>
      <c r="K1374" s="15">
        <f t="shared" si="256"/>
        <v>1.4845730954785146</v>
      </c>
      <c r="L1374" s="15">
        <f t="shared" si="257"/>
        <v>-0.1163925405766324</v>
      </c>
      <c r="M1374" s="15">
        <f t="shared" si="261"/>
        <v>0.10854600575656947</v>
      </c>
      <c r="N1374" s="15">
        <f t="shared" si="262"/>
        <v>0.15519040166927489</v>
      </c>
      <c r="O1374" s="15">
        <f t="shared" si="263"/>
        <v>0.10864211703120086</v>
      </c>
      <c r="P1374" s="18">
        <f>IF(SUMIFS('Daily NSE Equity Futures'!$J:$J,'Daily NSE Equity Futures'!$A:$A,$A1374)=0,"",SUMIFS('Daily NSE Equity Futures'!$J:$J,'Daily NSE Equity Futures'!$A:$A,$A1374))</f>
        <v>1304206</v>
      </c>
      <c r="Q1374" s="7">
        <f>IF(SUMIFS('Daily BSE Equity Futures'!$J:$J,'Daily BSE Equity Futures'!$A:$A,$A1374)=0,"",SUMIFS('Daily BSE Equity Futures'!$J:$J,'Daily BSE Equity Futures'!$A:$A,$A1374))</f>
        <v>1380</v>
      </c>
      <c r="R1374" s="7">
        <f t="shared" si="258"/>
        <v>1305586</v>
      </c>
      <c r="S1374" s="19">
        <f t="shared" si="259"/>
        <v>0.99894300337166608</v>
      </c>
      <c r="T1374" s="19">
        <f t="shared" si="260"/>
        <v>1.0569966283339436E-3</v>
      </c>
    </row>
    <row r="1375" spans="1:20" x14ac:dyDescent="0.2">
      <c r="A1375" s="9">
        <v>45943</v>
      </c>
      <c r="B1375" s="4" t="s">
        <v>225</v>
      </c>
      <c r="C1375" s="8">
        <v>45931</v>
      </c>
      <c r="D1375" s="4" t="s">
        <v>195</v>
      </c>
      <c r="E1375" s="14">
        <f>IF(SUMIFS('Daily NSE Equity Futures'!$I:$I,'Daily NSE Equity Futures'!$A:$A,$A1375)=0,"",SUMIFS('Daily NSE Equity Futures'!$I:$I,'Daily NSE Equity Futures'!$A:$A,$A1375))</f>
        <v>899.25099999999998</v>
      </c>
      <c r="F1375" s="6">
        <f>IF(SUMIFS('Daily BSE Equity Futures'!$I:$I,'Daily BSE Equity Futures'!$A:$A,$A1375)=0,"",SUMIFS('Daily BSE Equity Futures'!$I:$I,'Daily BSE Equity Futures'!$A:$A,$A1375))</f>
        <v>1.2942</v>
      </c>
      <c r="G1375" s="6">
        <f t="shared" si="252"/>
        <v>900.54520000000002</v>
      </c>
      <c r="H1375" s="15">
        <f t="shared" si="253"/>
        <v>0.99856287058106574</v>
      </c>
      <c r="I1375" s="15">
        <f t="shared" si="254"/>
        <v>1.437129418934219E-3</v>
      </c>
      <c r="J1375" s="20" t="str">
        <f t="shared" si="255"/>
        <v/>
      </c>
      <c r="K1375" s="15" t="str">
        <f t="shared" si="256"/>
        <v/>
      </c>
      <c r="L1375" s="15" t="str">
        <f t="shared" si="257"/>
        <v/>
      </c>
      <c r="M1375" s="15">
        <f t="shared" si="261"/>
        <v>-0.12627301176199912</v>
      </c>
      <c r="N1375" s="15">
        <f t="shared" si="262"/>
        <v>-0.41557913750282238</v>
      </c>
      <c r="O1375" s="15">
        <f t="shared" si="263"/>
        <v>-0.12689415919086111</v>
      </c>
      <c r="P1375" s="18">
        <f>IF(SUMIFS('Daily NSE Equity Futures'!$J:$J,'Daily NSE Equity Futures'!$A:$A,$A1375)=0,"",SUMIFS('Daily NSE Equity Futures'!$J:$J,'Daily NSE Equity Futures'!$A:$A,$A1375))</f>
        <v>1108601</v>
      </c>
      <c r="Q1375" s="7">
        <f>IF(SUMIFS('Daily BSE Equity Futures'!$J:$J,'Daily BSE Equity Futures'!$A:$A,$A1375)=0,"",SUMIFS('Daily BSE Equity Futures'!$J:$J,'Daily BSE Equity Futures'!$A:$A,$A1375))</f>
        <v>790</v>
      </c>
      <c r="R1375" s="7">
        <f t="shared" si="258"/>
        <v>1109391</v>
      </c>
      <c r="S1375" s="19">
        <f t="shared" si="259"/>
        <v>0.99928789759426573</v>
      </c>
      <c r="T1375" s="19">
        <f t="shared" si="260"/>
        <v>7.1210240573431728E-4</v>
      </c>
    </row>
    <row r="1376" spans="1:20" x14ac:dyDescent="0.2">
      <c r="A1376" s="9">
        <v>45944</v>
      </c>
      <c r="B1376" s="4" t="s">
        <v>223</v>
      </c>
      <c r="C1376" s="8">
        <v>45931</v>
      </c>
      <c r="D1376" s="4" t="s">
        <v>195</v>
      </c>
      <c r="E1376" s="14">
        <f>IF(SUMIFS('Daily NSE Equity Futures'!$I:$I,'Daily NSE Equity Futures'!$A:$A,$A1376)=0,"",SUMIFS('Daily NSE Equity Futures'!$I:$I,'Daily NSE Equity Futures'!$A:$A,$A1376))</f>
        <v>1078.1228000000001</v>
      </c>
      <c r="F1376" s="6">
        <f>IF(SUMIFS('Daily BSE Equity Futures'!$I:$I,'Daily BSE Equity Futures'!$A:$A,$A1376)=0,"",SUMIFS('Daily BSE Equity Futures'!$I:$I,'Daily BSE Equity Futures'!$A:$A,$A1376))</f>
        <v>1.8463000000000001</v>
      </c>
      <c r="G1376" s="6">
        <f t="shared" si="252"/>
        <v>1079.9691</v>
      </c>
      <c r="H1376" s="15">
        <f t="shared" si="253"/>
        <v>0.99829041404980945</v>
      </c>
      <c r="I1376" s="15">
        <f t="shared" si="254"/>
        <v>1.709585950190612E-3</v>
      </c>
      <c r="J1376" s="20">
        <f t="shared" si="255"/>
        <v>-1.060032925452814E-2</v>
      </c>
      <c r="K1376" s="15">
        <f t="shared" si="256"/>
        <v>0.46601556296649194</v>
      </c>
      <c r="L1376" s="15">
        <f t="shared" si="257"/>
        <v>-1.0050112147115153E-2</v>
      </c>
      <c r="M1376" s="15">
        <f t="shared" si="261"/>
        <v>0.19891198341731076</v>
      </c>
      <c r="N1376" s="15">
        <f t="shared" si="262"/>
        <v>0.42659558028125488</v>
      </c>
      <c r="O1376" s="15">
        <f t="shared" si="263"/>
        <v>0.19923919421257263</v>
      </c>
      <c r="P1376" s="18">
        <f>IF(SUMIFS('Daily NSE Equity Futures'!$J:$J,'Daily NSE Equity Futures'!$A:$A,$A1376)=0,"",SUMIFS('Daily NSE Equity Futures'!$J:$J,'Daily NSE Equity Futures'!$A:$A,$A1376))</f>
        <v>1336301</v>
      </c>
      <c r="Q1376" s="7">
        <f>IF(SUMIFS('Daily BSE Equity Futures'!$J:$J,'Daily BSE Equity Futures'!$A:$A,$A1376)=0,"",SUMIFS('Daily BSE Equity Futures'!$J:$J,'Daily BSE Equity Futures'!$A:$A,$A1376))</f>
        <v>1124</v>
      </c>
      <c r="R1376" s="7">
        <f t="shared" si="258"/>
        <v>1337425</v>
      </c>
      <c r="S1376" s="19">
        <f t="shared" si="259"/>
        <v>0.9991595790418154</v>
      </c>
      <c r="T1376" s="19">
        <f t="shared" si="260"/>
        <v>8.4042095818457111E-4</v>
      </c>
    </row>
    <row r="1377" spans="1:20" x14ac:dyDescent="0.2">
      <c r="A1377" s="9">
        <v>45945</v>
      </c>
      <c r="B1377" s="4" t="s">
        <v>221</v>
      </c>
      <c r="C1377" s="8">
        <v>45931</v>
      </c>
      <c r="D1377" s="4" t="s">
        <v>195</v>
      </c>
      <c r="E1377" s="14">
        <f>IF(SUMIFS('Daily NSE Equity Futures'!$I:$I,'Daily NSE Equity Futures'!$A:$A,$A1377)=0,"",SUMIFS('Daily NSE Equity Futures'!$I:$I,'Daily NSE Equity Futures'!$A:$A,$A1377))</f>
        <v>1071.0189</v>
      </c>
      <c r="F1377" s="6">
        <f>IF(SUMIFS('Daily BSE Equity Futures'!$I:$I,'Daily BSE Equity Futures'!$A:$A,$A1377)=0,"",SUMIFS('Daily BSE Equity Futures'!$I:$I,'Daily BSE Equity Futures'!$A:$A,$A1377))</f>
        <v>2.4788000000000001</v>
      </c>
      <c r="G1377" s="6">
        <f t="shared" si="252"/>
        <v>1073.4977000000001</v>
      </c>
      <c r="H1377" s="15">
        <f t="shared" si="253"/>
        <v>0.99769091261210896</v>
      </c>
      <c r="I1377" s="15">
        <f t="shared" si="254"/>
        <v>2.3090873878910032E-3</v>
      </c>
      <c r="J1377" s="20">
        <f t="shared" si="255"/>
        <v>-8.6161737985606668E-2</v>
      </c>
      <c r="K1377" s="15">
        <f t="shared" si="256"/>
        <v>5.4856096284667721</v>
      </c>
      <c r="L1377" s="15">
        <f t="shared" si="257"/>
        <v>-8.4345325122931247E-2</v>
      </c>
      <c r="M1377" s="15">
        <f t="shared" si="261"/>
        <v>-6.589138083342716E-3</v>
      </c>
      <c r="N1377" s="15">
        <f t="shared" si="262"/>
        <v>0.34257704598385974</v>
      </c>
      <c r="O1377" s="15">
        <f t="shared" si="263"/>
        <v>-5.9922084807796372E-3</v>
      </c>
      <c r="P1377" s="18">
        <f>IF(SUMIFS('Daily NSE Equity Futures'!$J:$J,'Daily NSE Equity Futures'!$A:$A,$A1377)=0,"",SUMIFS('Daily NSE Equity Futures'!$J:$J,'Daily NSE Equity Futures'!$A:$A,$A1377))</f>
        <v>1341488</v>
      </c>
      <c r="Q1377" s="7">
        <f>IF(SUMIFS('Daily BSE Equity Futures'!$J:$J,'Daily BSE Equity Futures'!$A:$A,$A1377)=0,"",SUMIFS('Daily BSE Equity Futures'!$J:$J,'Daily BSE Equity Futures'!$A:$A,$A1377))</f>
        <v>1499</v>
      </c>
      <c r="R1377" s="7">
        <f t="shared" si="258"/>
        <v>1342987</v>
      </c>
      <c r="S1377" s="19">
        <f t="shared" si="259"/>
        <v>0.99888383134013958</v>
      </c>
      <c r="T1377" s="19">
        <f t="shared" si="260"/>
        <v>1.1161686598604454E-3</v>
      </c>
    </row>
    <row r="1378" spans="1:20" x14ac:dyDescent="0.2">
      <c r="A1378" s="9">
        <v>45946</v>
      </c>
      <c r="B1378" s="4" t="s">
        <v>224</v>
      </c>
      <c r="C1378" s="8">
        <v>45931</v>
      </c>
      <c r="D1378" s="4" t="s">
        <v>195</v>
      </c>
      <c r="E1378" s="14">
        <f>IF(SUMIFS('Daily NSE Equity Futures'!$I:$I,'Daily NSE Equity Futures'!$A:$A,$A1378)=0,"",SUMIFS('Daily NSE Equity Futures'!$I:$I,'Daily NSE Equity Futures'!$A:$A,$A1378))</f>
        <v>1317.7266999999999</v>
      </c>
      <c r="F1378" s="6">
        <f>IF(SUMIFS('Daily BSE Equity Futures'!$I:$I,'Daily BSE Equity Futures'!$A:$A,$A1378)=0,"",SUMIFS('Daily BSE Equity Futures'!$I:$I,'Daily BSE Equity Futures'!$A:$A,$A1378))</f>
        <v>3.1456</v>
      </c>
      <c r="G1378" s="6">
        <f t="shared" si="252"/>
        <v>1320.8723</v>
      </c>
      <c r="H1378" s="15">
        <f t="shared" si="253"/>
        <v>0.99761854344284451</v>
      </c>
      <c r="I1378" s="15">
        <f t="shared" si="254"/>
        <v>2.3814565571554495E-3</v>
      </c>
      <c r="J1378" s="20">
        <f t="shared" si="255"/>
        <v>0.10673907036473707</v>
      </c>
      <c r="K1378" s="15">
        <f t="shared" si="256"/>
        <v>5.7113292084489009</v>
      </c>
      <c r="L1378" s="15">
        <f t="shared" si="257"/>
        <v>0.10894447244359196</v>
      </c>
      <c r="M1378" s="15">
        <f t="shared" si="261"/>
        <v>0.2303486894582345</v>
      </c>
      <c r="N1378" s="15">
        <f t="shared" si="262"/>
        <v>0.26900112957882838</v>
      </c>
      <c r="O1378" s="15">
        <f t="shared" si="263"/>
        <v>0.23043794132022821</v>
      </c>
      <c r="P1378" s="18">
        <f>IF(SUMIFS('Daily NSE Equity Futures'!$J:$J,'Daily NSE Equity Futures'!$A:$A,$A1378)=0,"",SUMIFS('Daily NSE Equity Futures'!$J:$J,'Daily NSE Equity Futures'!$A:$A,$A1378))</f>
        <v>1598048</v>
      </c>
      <c r="Q1378" s="7">
        <f>IF(SUMIFS('Daily BSE Equity Futures'!$J:$J,'Daily BSE Equity Futures'!$A:$A,$A1378)=0,"",SUMIFS('Daily BSE Equity Futures'!$J:$J,'Daily BSE Equity Futures'!$A:$A,$A1378))</f>
        <v>1909</v>
      </c>
      <c r="R1378" s="7">
        <f t="shared" si="258"/>
        <v>1599957</v>
      </c>
      <c r="S1378" s="19">
        <f t="shared" si="259"/>
        <v>0.99880684293390387</v>
      </c>
      <c r="T1378" s="19">
        <f t="shared" si="260"/>
        <v>1.1931570660961514E-3</v>
      </c>
    </row>
    <row r="1379" spans="1:20" x14ac:dyDescent="0.2">
      <c r="A1379" s="9">
        <v>45947</v>
      </c>
      <c r="B1379" s="4" t="s">
        <v>222</v>
      </c>
      <c r="C1379" s="8">
        <v>45931</v>
      </c>
      <c r="D1379" s="4" t="s">
        <v>195</v>
      </c>
      <c r="E1379" s="14">
        <f>IF(SUMIFS('Daily NSE Equity Futures'!$I:$I,'Daily NSE Equity Futures'!$A:$A,$A1379)=0,"",SUMIFS('Daily NSE Equity Futures'!$I:$I,'Daily NSE Equity Futures'!$A:$A,$A1379))</f>
        <v>1504.1130000000001</v>
      </c>
      <c r="F1379" s="6">
        <f>IF(SUMIFS('Daily BSE Equity Futures'!$I:$I,'Daily BSE Equity Futures'!$A:$A,$A1379)=0,"",SUMIFS('Daily BSE Equity Futures'!$I:$I,'Daily BSE Equity Futures'!$A:$A,$A1379))</f>
        <v>3.5558000000000001</v>
      </c>
      <c r="G1379" s="6">
        <f t="shared" si="252"/>
        <v>1507.6688000000001</v>
      </c>
      <c r="H1379" s="15">
        <f t="shared" si="253"/>
        <v>0.99764152445152399</v>
      </c>
      <c r="I1379" s="15">
        <f t="shared" si="254"/>
        <v>2.3584755484758984E-3</v>
      </c>
      <c r="J1379" s="20">
        <f t="shared" si="255"/>
        <v>8.4926060163414974E-4</v>
      </c>
      <c r="K1379" s="15">
        <f t="shared" si="256"/>
        <v>1.9803034112815356</v>
      </c>
      <c r="L1379" s="15">
        <f t="shared" si="257"/>
        <v>2.4194999327806777E-3</v>
      </c>
      <c r="M1379" s="15">
        <f t="shared" si="261"/>
        <v>0.14144533915871937</v>
      </c>
      <c r="N1379" s="15">
        <f t="shared" si="262"/>
        <v>0.13040437436419139</v>
      </c>
      <c r="O1379" s="15">
        <f t="shared" si="263"/>
        <v>0.14141904558071228</v>
      </c>
      <c r="P1379" s="18">
        <f>IF(SUMIFS('Daily NSE Equity Futures'!$J:$J,'Daily NSE Equity Futures'!$A:$A,$A1379)=0,"",SUMIFS('Daily NSE Equity Futures'!$J:$J,'Daily NSE Equity Futures'!$A:$A,$A1379))</f>
        <v>1812233</v>
      </c>
      <c r="Q1379" s="7">
        <f>IF(SUMIFS('Daily BSE Equity Futures'!$J:$J,'Daily BSE Equity Futures'!$A:$A,$A1379)=0,"",SUMIFS('Daily BSE Equity Futures'!$J:$J,'Daily BSE Equity Futures'!$A:$A,$A1379))</f>
        <v>2120</v>
      </c>
      <c r="R1379" s="7">
        <f t="shared" si="258"/>
        <v>1814353</v>
      </c>
      <c r="S1379" s="19">
        <f t="shared" si="259"/>
        <v>0.99883153939723968</v>
      </c>
      <c r="T1379" s="19">
        <f t="shared" si="260"/>
        <v>1.1684606027603228E-3</v>
      </c>
    </row>
    <row r="1380" spans="1:20" x14ac:dyDescent="0.2">
      <c r="A1380" s="9">
        <v>45950</v>
      </c>
      <c r="B1380" s="4" t="s">
        <v>225</v>
      </c>
      <c r="C1380" s="8">
        <v>45931</v>
      </c>
      <c r="D1380" s="4" t="s">
        <v>195</v>
      </c>
      <c r="E1380" s="14">
        <f>IF(SUMIFS('Daily NSE Equity Futures'!$I:$I,'Daily NSE Equity Futures'!$A:$A,$A1380)=0,"",SUMIFS('Daily NSE Equity Futures'!$I:$I,'Daily NSE Equity Futures'!$A:$A,$A1380))</f>
        <v>1457.3996999999999</v>
      </c>
      <c r="F1380" s="6">
        <f>IF(SUMIFS('Daily BSE Equity Futures'!$I:$I,'Daily BSE Equity Futures'!$A:$A,$A1380)=0,"",SUMIFS('Daily BSE Equity Futures'!$I:$I,'Daily BSE Equity Futures'!$A:$A,$A1380))</f>
        <v>2.4184999999999999</v>
      </c>
      <c r="G1380" s="6">
        <f t="shared" si="252"/>
        <v>1459.8181999999999</v>
      </c>
      <c r="H1380" s="15">
        <f t="shared" si="253"/>
        <v>0.99834328685585649</v>
      </c>
      <c r="I1380" s="15">
        <f t="shared" si="254"/>
        <v>1.6567131441435653E-3</v>
      </c>
      <c r="J1380" s="20" t="str">
        <f t="shared" si="255"/>
        <v/>
      </c>
      <c r="K1380" s="15" t="str">
        <f t="shared" si="256"/>
        <v/>
      </c>
      <c r="L1380" s="15" t="str">
        <f t="shared" si="257"/>
        <v/>
      </c>
      <c r="M1380" s="15">
        <f t="shared" si="261"/>
        <v>-3.1057041591954881E-2</v>
      </c>
      <c r="N1380" s="15">
        <f t="shared" si="262"/>
        <v>-0.31984363575004227</v>
      </c>
      <c r="O1380" s="15">
        <f t="shared" si="263"/>
        <v>-3.1738137713004488E-2</v>
      </c>
      <c r="P1380" s="18">
        <f>IF(SUMIFS('Daily NSE Equity Futures'!$J:$J,'Daily NSE Equity Futures'!$A:$A,$A1380)=0,"",SUMIFS('Daily NSE Equity Futures'!$J:$J,'Daily NSE Equity Futures'!$A:$A,$A1380))</f>
        <v>1773955</v>
      </c>
      <c r="Q1380" s="7">
        <f>IF(SUMIFS('Daily BSE Equity Futures'!$J:$J,'Daily BSE Equity Futures'!$A:$A,$A1380)=0,"",SUMIFS('Daily BSE Equity Futures'!$J:$J,'Daily BSE Equity Futures'!$A:$A,$A1380))</f>
        <v>1429</v>
      </c>
      <c r="R1380" s="7">
        <f t="shared" si="258"/>
        <v>1775384</v>
      </c>
      <c r="S1380" s="19">
        <f t="shared" si="259"/>
        <v>0.99919510370714171</v>
      </c>
      <c r="T1380" s="19">
        <f t="shared" si="260"/>
        <v>8.0489629285833376E-4</v>
      </c>
    </row>
    <row r="1381" spans="1:20" x14ac:dyDescent="0.2">
      <c r="A1381" s="9">
        <v>45951</v>
      </c>
      <c r="B1381" s="4" t="s">
        <v>223</v>
      </c>
      <c r="C1381" s="8">
        <v>45931</v>
      </c>
      <c r="D1381" s="4" t="s">
        <v>195</v>
      </c>
      <c r="E1381" s="14">
        <f>IF(SUMIFS('Daily NSE Equity Futures'!$I:$I,'Daily NSE Equity Futures'!$A:$A,$A1381)=0,"",SUMIFS('Daily NSE Equity Futures'!$I:$I,'Daily NSE Equity Futures'!$A:$A,$A1381))</f>
        <v>230.05520000000001</v>
      </c>
      <c r="F1381" s="6">
        <f>IF(SUMIFS('Daily BSE Equity Futures'!$I:$I,'Daily BSE Equity Futures'!$A:$A,$A1381)=0,"",SUMIFS('Daily BSE Equity Futures'!$I:$I,'Daily BSE Equity Futures'!$A:$A,$A1381))</f>
        <v>0.7268</v>
      </c>
      <c r="G1381" s="6">
        <f t="shared" si="252"/>
        <v>230.78200000000001</v>
      </c>
      <c r="H1381" s="15">
        <f t="shared" si="253"/>
        <v>0.99685070759417982</v>
      </c>
      <c r="I1381" s="15">
        <f t="shared" si="254"/>
        <v>3.1492924058202114E-3</v>
      </c>
      <c r="J1381" s="20">
        <f t="shared" si="255"/>
        <v>-0.86205253158313999</v>
      </c>
      <c r="K1381" s="15">
        <f t="shared" si="256"/>
        <v>-0.4878444084278768</v>
      </c>
      <c r="L1381" s="15">
        <f t="shared" si="257"/>
        <v>-0.86173437677301445</v>
      </c>
      <c r="M1381" s="15">
        <f t="shared" si="261"/>
        <v>-0.84214680433926259</v>
      </c>
      <c r="N1381" s="15">
        <f t="shared" si="262"/>
        <v>-0.69948315071325196</v>
      </c>
      <c r="O1381" s="15">
        <f t="shared" si="263"/>
        <v>-0.84191045158910882</v>
      </c>
      <c r="P1381" s="18">
        <f>IF(SUMIFS('Daily NSE Equity Futures'!$J:$J,'Daily NSE Equity Futures'!$A:$A,$A1381)=0,"",SUMIFS('Daily NSE Equity Futures'!$J:$J,'Daily NSE Equity Futures'!$A:$A,$A1381))</f>
        <v>269780</v>
      </c>
      <c r="Q1381" s="7">
        <f>IF(SUMIFS('Daily BSE Equity Futures'!$J:$J,'Daily BSE Equity Futures'!$A:$A,$A1381)=0,"",SUMIFS('Daily BSE Equity Futures'!$J:$J,'Daily BSE Equity Futures'!$A:$A,$A1381))</f>
        <v>429</v>
      </c>
      <c r="R1381" s="7">
        <f t="shared" si="258"/>
        <v>270209</v>
      </c>
      <c r="S1381" s="19">
        <f t="shared" si="259"/>
        <v>0.99841234007749557</v>
      </c>
      <c r="T1381" s="19">
        <f t="shared" si="260"/>
        <v>1.5876599225044317E-3</v>
      </c>
    </row>
    <row r="1382" spans="1:20" x14ac:dyDescent="0.2">
      <c r="A1382" s="9">
        <v>45953</v>
      </c>
      <c r="B1382" s="4" t="s">
        <v>224</v>
      </c>
      <c r="C1382" s="8">
        <v>45931</v>
      </c>
      <c r="D1382" s="4" t="s">
        <v>195</v>
      </c>
      <c r="E1382" s="14">
        <f>IF(SUMIFS('Daily NSE Equity Futures'!$I:$I,'Daily NSE Equity Futures'!$A:$A,$A1382)=0,"",SUMIFS('Daily NSE Equity Futures'!$I:$I,'Daily NSE Equity Futures'!$A:$A,$A1382))</f>
        <v>3814.7999</v>
      </c>
      <c r="F1382" s="6">
        <f>IF(SUMIFS('Daily BSE Equity Futures'!$I:$I,'Daily BSE Equity Futures'!$A:$A,$A1382)=0,"",SUMIFS('Daily BSE Equity Futures'!$I:$I,'Daily BSE Equity Futures'!$A:$A,$A1382))</f>
        <v>5.6916000000000002</v>
      </c>
      <c r="G1382" s="6">
        <f t="shared" si="252"/>
        <v>3820.4915000000001</v>
      </c>
      <c r="H1382" s="15">
        <f t="shared" si="253"/>
        <v>0.99851024403535515</v>
      </c>
      <c r="I1382" s="15">
        <f t="shared" si="254"/>
        <v>1.4897559646448631E-3</v>
      </c>
      <c r="J1382" s="20">
        <f t="shared" si="255"/>
        <v>1.2210384536942174</v>
      </c>
      <c r="K1382" s="15">
        <f t="shared" si="256"/>
        <v>13.343750000000002</v>
      </c>
      <c r="L1382" s="15">
        <f t="shared" si="257"/>
        <v>1.2238384369195372</v>
      </c>
      <c r="M1382" s="15">
        <f t="shared" si="261"/>
        <v>15.582106816103266</v>
      </c>
      <c r="N1382" s="15">
        <f t="shared" si="262"/>
        <v>6.8310401761144748</v>
      </c>
      <c r="O1382" s="15">
        <f t="shared" si="263"/>
        <v>15.554547148391123</v>
      </c>
      <c r="P1382" s="18">
        <f>IF(SUMIFS('Daily NSE Equity Futures'!$J:$J,'Daily NSE Equity Futures'!$A:$A,$A1382)=0,"",SUMIFS('Daily NSE Equity Futures'!$J:$J,'Daily NSE Equity Futures'!$A:$A,$A1382))</f>
        <v>4934392</v>
      </c>
      <c r="Q1382" s="7">
        <f>IF(SUMIFS('Daily BSE Equity Futures'!$J:$J,'Daily BSE Equity Futures'!$A:$A,$A1382)=0,"",SUMIFS('Daily BSE Equity Futures'!$J:$J,'Daily BSE Equity Futures'!$A:$A,$A1382))</f>
        <v>3376</v>
      </c>
      <c r="R1382" s="7">
        <f t="shared" si="258"/>
        <v>4937768</v>
      </c>
      <c r="S1382" s="19">
        <f t="shared" si="259"/>
        <v>0.99931629027528224</v>
      </c>
      <c r="T1382" s="19">
        <f t="shared" si="260"/>
        <v>6.837097247177267E-4</v>
      </c>
    </row>
    <row r="1383" spans="1:20" x14ac:dyDescent="0.2">
      <c r="A1383" s="9">
        <v>45954</v>
      </c>
      <c r="B1383" s="4" t="s">
        <v>222</v>
      </c>
      <c r="C1383" s="8">
        <v>45931</v>
      </c>
      <c r="D1383" s="4" t="s">
        <v>195</v>
      </c>
      <c r="E1383" s="14">
        <f>IF(SUMIFS('Daily NSE Equity Futures'!$I:$I,'Daily NSE Equity Futures'!$A:$A,$A1383)=0,"",SUMIFS('Daily NSE Equity Futures'!$I:$I,'Daily NSE Equity Futures'!$A:$A,$A1383))</f>
        <v>4102.2232999999997</v>
      </c>
      <c r="F1383" s="6">
        <f>IF(SUMIFS('Daily BSE Equity Futures'!$I:$I,'Daily BSE Equity Futures'!$A:$A,$A1383)=0,"",SUMIFS('Daily BSE Equity Futures'!$I:$I,'Daily BSE Equity Futures'!$A:$A,$A1383))</f>
        <v>2.98</v>
      </c>
      <c r="G1383" s="6">
        <f t="shared" si="252"/>
        <v>4105.2032999999992</v>
      </c>
      <c r="H1383" s="15">
        <f t="shared" si="253"/>
        <v>0.99927409197980532</v>
      </c>
      <c r="I1383" s="15">
        <f t="shared" si="254"/>
        <v>7.2590802019476127E-4</v>
      </c>
      <c r="J1383" s="20">
        <f t="shared" si="255"/>
        <v>1.6018007261051688</v>
      </c>
      <c r="K1383" s="15">
        <f t="shared" si="256"/>
        <v>3.4187425860023728</v>
      </c>
      <c r="L1383" s="15">
        <f t="shared" si="257"/>
        <v>1.6025775589931679</v>
      </c>
      <c r="M1383" s="15">
        <f t="shared" si="261"/>
        <v>7.534429263249165E-2</v>
      </c>
      <c r="N1383" s="15">
        <f t="shared" si="262"/>
        <v>-0.4764213929299318</v>
      </c>
      <c r="O1383" s="15">
        <f t="shared" si="263"/>
        <v>7.4522296411338562E-2</v>
      </c>
      <c r="P1383" s="18">
        <f>IF(SUMIFS('Daily NSE Equity Futures'!$J:$J,'Daily NSE Equity Futures'!$A:$A,$A1383)=0,"",SUMIFS('Daily NSE Equity Futures'!$J:$J,'Daily NSE Equity Futures'!$A:$A,$A1383))</f>
        <v>5336250</v>
      </c>
      <c r="Q1383" s="7">
        <f>IF(SUMIFS('Daily BSE Equity Futures'!$J:$J,'Daily BSE Equity Futures'!$A:$A,$A1383)=0,"",SUMIFS('Daily BSE Equity Futures'!$J:$J,'Daily BSE Equity Futures'!$A:$A,$A1383))</f>
        <v>1775</v>
      </c>
      <c r="R1383" s="7">
        <f t="shared" si="258"/>
        <v>5338025</v>
      </c>
      <c r="S1383" s="19">
        <f t="shared" si="259"/>
        <v>0.99966748001367545</v>
      </c>
      <c r="T1383" s="19">
        <f t="shared" si="260"/>
        <v>3.3251998632453017E-4</v>
      </c>
    </row>
    <row r="1384" spans="1:20" x14ac:dyDescent="0.2">
      <c r="A1384" s="9">
        <v>45957</v>
      </c>
      <c r="B1384" s="4" t="s">
        <v>225</v>
      </c>
      <c r="C1384" s="8">
        <v>45931</v>
      </c>
      <c r="D1384" s="4" t="s">
        <v>195</v>
      </c>
      <c r="E1384" s="14">
        <f>IF(SUMIFS('Daily NSE Equity Futures'!$I:$I,'Daily NSE Equity Futures'!$A:$A,$A1384)=0,"",SUMIFS('Daily NSE Equity Futures'!$I:$I,'Daily NSE Equity Futures'!$A:$A,$A1384))</f>
        <v>4011.8065999999999</v>
      </c>
      <c r="F1384" s="6">
        <f>IF(SUMIFS('Daily BSE Equity Futures'!$I:$I,'Daily BSE Equity Futures'!$A:$A,$A1384)=0,"",SUMIFS('Daily BSE Equity Futures'!$I:$I,'Daily BSE Equity Futures'!$A:$A,$A1384))</f>
        <v>2.4899</v>
      </c>
      <c r="G1384" s="6">
        <f t="shared" si="252"/>
        <v>4014.2964999999999</v>
      </c>
      <c r="H1384" s="15">
        <f t="shared" si="253"/>
        <v>0.99937974188005296</v>
      </c>
      <c r="I1384" s="15">
        <f t="shared" si="254"/>
        <v>6.2025811994704432E-4</v>
      </c>
      <c r="J1384" s="20" t="str">
        <f t="shared" si="255"/>
        <v/>
      </c>
      <c r="K1384" s="15" t="str">
        <f t="shared" si="256"/>
        <v/>
      </c>
      <c r="L1384" s="15" t="str">
        <f t="shared" si="257"/>
        <v/>
      </c>
      <c r="M1384" s="15">
        <f t="shared" si="261"/>
        <v>-2.2040901576469429E-2</v>
      </c>
      <c r="N1384" s="15">
        <f t="shared" si="262"/>
        <v>-0.16446308724832215</v>
      </c>
      <c r="O1384" s="15">
        <f t="shared" si="263"/>
        <v>-2.2144286983302175E-2</v>
      </c>
      <c r="P1384" s="18">
        <f>IF(SUMIFS('Daily NSE Equity Futures'!$J:$J,'Daily NSE Equity Futures'!$A:$A,$A1384)=0,"",SUMIFS('Daily NSE Equity Futures'!$J:$J,'Daily NSE Equity Futures'!$A:$A,$A1384))</f>
        <v>5121901</v>
      </c>
      <c r="Q1384" s="7">
        <f>IF(SUMIFS('Daily BSE Equity Futures'!$J:$J,'Daily BSE Equity Futures'!$A:$A,$A1384)=0,"",SUMIFS('Daily BSE Equity Futures'!$J:$J,'Daily BSE Equity Futures'!$A:$A,$A1384))</f>
        <v>1461</v>
      </c>
      <c r="R1384" s="7">
        <f t="shared" si="258"/>
        <v>5123362</v>
      </c>
      <c r="S1384" s="19">
        <f t="shared" si="259"/>
        <v>0.99971483568797204</v>
      </c>
      <c r="T1384" s="19">
        <f t="shared" si="260"/>
        <v>2.8516431202792229E-4</v>
      </c>
    </row>
    <row r="1385" spans="1:20" x14ac:dyDescent="0.2">
      <c r="A1385" s="9">
        <v>45958</v>
      </c>
      <c r="B1385" s="4" t="s">
        <v>223</v>
      </c>
      <c r="C1385" s="8">
        <v>45931</v>
      </c>
      <c r="D1385" s="4" t="s">
        <v>195</v>
      </c>
      <c r="E1385" s="14">
        <f>IF(SUMIFS('Daily NSE Equity Futures'!$I:$I,'Daily NSE Equity Futures'!$A:$A,$A1385)=0,"",SUMIFS('Daily NSE Equity Futures'!$I:$I,'Daily NSE Equity Futures'!$A:$A,$A1385))</f>
        <v>3226.5996</v>
      </c>
      <c r="F1385" s="6">
        <f>IF(SUMIFS('Daily BSE Equity Futures'!$I:$I,'Daily BSE Equity Futures'!$A:$A,$A1385)=0,"",SUMIFS('Daily BSE Equity Futures'!$I:$I,'Daily BSE Equity Futures'!$A:$A,$A1385))</f>
        <v>2.2263999999999999</v>
      </c>
      <c r="G1385" s="6">
        <f t="shared" si="252"/>
        <v>3228.826</v>
      </c>
      <c r="H1385" s="15">
        <f t="shared" si="253"/>
        <v>0.99931046144945557</v>
      </c>
      <c r="I1385" s="15">
        <f t="shared" si="254"/>
        <v>6.895385505443774E-4</v>
      </c>
      <c r="J1385" s="20">
        <f t="shared" si="255"/>
        <v>-2.7986380119128684E-2</v>
      </c>
      <c r="K1385" s="15">
        <f t="shared" si="256"/>
        <v>0.3896760501841332</v>
      </c>
      <c r="L1385" s="15">
        <f t="shared" si="257"/>
        <v>-2.7784899743383384E-2</v>
      </c>
      <c r="M1385" s="15">
        <f t="shared" si="261"/>
        <v>-0.19572404113398689</v>
      </c>
      <c r="N1385" s="15">
        <f t="shared" si="262"/>
        <v>-0.10582754327483035</v>
      </c>
      <c r="O1385" s="15">
        <f t="shared" si="263"/>
        <v>-0.19566828210123488</v>
      </c>
      <c r="P1385" s="18">
        <f>IF(SUMIFS('Daily NSE Equity Futures'!$J:$J,'Daily NSE Equity Futures'!$A:$A,$A1385)=0,"",SUMIFS('Daily NSE Equity Futures'!$J:$J,'Daily NSE Equity Futures'!$A:$A,$A1385))</f>
        <v>3955101</v>
      </c>
      <c r="Q1385" s="7">
        <f>IF(SUMIFS('Daily BSE Equity Futures'!$J:$J,'Daily BSE Equity Futures'!$A:$A,$A1385)=0,"",SUMIFS('Daily BSE Equity Futures'!$J:$J,'Daily BSE Equity Futures'!$A:$A,$A1385))</f>
        <v>1340</v>
      </c>
      <c r="R1385" s="7">
        <f t="shared" si="258"/>
        <v>3956441</v>
      </c>
      <c r="S1385" s="19">
        <f t="shared" si="259"/>
        <v>0.99966131176984563</v>
      </c>
      <c r="T1385" s="19">
        <f t="shared" si="260"/>
        <v>3.3868823015432303E-4</v>
      </c>
    </row>
    <row r="1386" spans="1:20" x14ac:dyDescent="0.2">
      <c r="A1386" s="9">
        <v>45959</v>
      </c>
      <c r="B1386" s="4" t="s">
        <v>221</v>
      </c>
      <c r="C1386" s="8">
        <v>45931</v>
      </c>
      <c r="D1386" s="4" t="s">
        <v>195</v>
      </c>
      <c r="E1386" s="14">
        <f>IF(SUMIFS('Daily NSE Equity Futures'!$I:$I,'Daily NSE Equity Futures'!$A:$A,$A1386)=0,"",SUMIFS('Daily NSE Equity Futures'!$I:$I,'Daily NSE Equity Futures'!$A:$A,$A1386))</f>
        <v>1207.6267</v>
      </c>
      <c r="F1386" s="6">
        <f>IF(SUMIFS('Daily BSE Equity Futures'!$I:$I,'Daily BSE Equity Futures'!$A:$A,$A1386)=0,"",SUMIFS('Daily BSE Equity Futures'!$I:$I,'Daily BSE Equity Futures'!$A:$A,$A1386))</f>
        <v>3.6793</v>
      </c>
      <c r="G1386" s="6">
        <f t="shared" si="252"/>
        <v>1211.306</v>
      </c>
      <c r="H1386" s="15">
        <f t="shared" si="253"/>
        <v>0.9969625346526807</v>
      </c>
      <c r="I1386" s="15">
        <f t="shared" si="254"/>
        <v>3.0374653473193396E-3</v>
      </c>
      <c r="J1386" s="20">
        <f t="shared" si="255"/>
        <v>-0.69247204456724121</v>
      </c>
      <c r="K1386" s="15">
        <f t="shared" si="256"/>
        <v>3.650278058645096</v>
      </c>
      <c r="L1386" s="15">
        <f t="shared" si="257"/>
        <v>-0.69159723098305859</v>
      </c>
      <c r="M1386" s="15">
        <f t="shared" si="261"/>
        <v>-0.62572774756433991</v>
      </c>
      <c r="N1386" s="15">
        <f t="shared" si="262"/>
        <v>0.65257815307222433</v>
      </c>
      <c r="O1386" s="15">
        <f t="shared" si="263"/>
        <v>-0.62484630636646266</v>
      </c>
      <c r="P1386" s="18">
        <f>IF(SUMIFS('Daily NSE Equity Futures'!$J:$J,'Daily NSE Equity Futures'!$A:$A,$A1386)=0,"",SUMIFS('Daily NSE Equity Futures'!$J:$J,'Daily NSE Equity Futures'!$A:$A,$A1386))</f>
        <v>1556991</v>
      </c>
      <c r="Q1386" s="7">
        <f>IF(SUMIFS('Daily BSE Equity Futures'!$J:$J,'Daily BSE Equity Futures'!$A:$A,$A1386)=0,"",SUMIFS('Daily BSE Equity Futures'!$J:$J,'Daily BSE Equity Futures'!$A:$A,$A1386))</f>
        <v>2186</v>
      </c>
      <c r="R1386" s="7">
        <f t="shared" si="258"/>
        <v>1559177</v>
      </c>
      <c r="S1386" s="19">
        <f t="shared" si="259"/>
        <v>0.99859797829239405</v>
      </c>
      <c r="T1386" s="19">
        <f t="shared" si="260"/>
        <v>1.4020217076059999E-3</v>
      </c>
    </row>
    <row r="1387" spans="1:20" x14ac:dyDescent="0.2">
      <c r="A1387" s="9">
        <v>45960</v>
      </c>
      <c r="B1387" s="4" t="s">
        <v>224</v>
      </c>
      <c r="C1387" s="8">
        <v>45931</v>
      </c>
      <c r="D1387" s="4" t="s">
        <v>195</v>
      </c>
      <c r="E1387" s="14">
        <f>IF(SUMIFS('Daily NSE Equity Futures'!$I:$I,'Daily NSE Equity Futures'!$A:$A,$A1387)=0,"",SUMIFS('Daily NSE Equity Futures'!$I:$I,'Daily NSE Equity Futures'!$A:$A,$A1387))</f>
        <v>1055.7860000000001</v>
      </c>
      <c r="F1387" s="6">
        <f>IF(SUMIFS('Daily BSE Equity Futures'!$I:$I,'Daily BSE Equity Futures'!$A:$A,$A1387)=0,"",SUMIFS('Daily BSE Equity Futures'!$I:$I,'Daily BSE Equity Futures'!$A:$A,$A1387))</f>
        <v>6.5014000000000003</v>
      </c>
      <c r="G1387" s="6">
        <f t="shared" si="252"/>
        <v>1062.2874000000002</v>
      </c>
      <c r="H1387" s="15">
        <f t="shared" si="253"/>
        <v>0.99387981068023579</v>
      </c>
      <c r="I1387" s="15">
        <f t="shared" si="254"/>
        <v>6.1201893197641239E-3</v>
      </c>
      <c r="J1387" s="20">
        <f t="shared" si="255"/>
        <v>-0.67211087433021433</v>
      </c>
      <c r="K1387" s="15">
        <f t="shared" si="256"/>
        <v>12.844548551959114</v>
      </c>
      <c r="L1387" s="15">
        <f t="shared" si="257"/>
        <v>-0.67013988060803786</v>
      </c>
      <c r="M1387" s="15">
        <f t="shared" si="261"/>
        <v>-0.12573479867578286</v>
      </c>
      <c r="N1387" s="15">
        <f t="shared" si="262"/>
        <v>0.76702090071480988</v>
      </c>
      <c r="O1387" s="15">
        <f t="shared" si="263"/>
        <v>-0.12302308417526198</v>
      </c>
      <c r="P1387" s="18">
        <f>IF(SUMIFS('Daily NSE Equity Futures'!$J:$J,'Daily NSE Equity Futures'!$A:$A,$A1387)=0,"",SUMIFS('Daily NSE Equity Futures'!$J:$J,'Daily NSE Equity Futures'!$A:$A,$A1387))</f>
        <v>1317779</v>
      </c>
      <c r="Q1387" s="7">
        <f>IF(SUMIFS('Daily BSE Equity Futures'!$J:$J,'Daily BSE Equity Futures'!$A:$A,$A1387)=0,"",SUMIFS('Daily BSE Equity Futures'!$J:$J,'Daily BSE Equity Futures'!$A:$A,$A1387))</f>
        <v>3843</v>
      </c>
      <c r="R1387" s="7">
        <f t="shared" si="258"/>
        <v>1321622</v>
      </c>
      <c r="S1387" s="19">
        <f t="shared" si="259"/>
        <v>0.99709220942145338</v>
      </c>
      <c r="T1387" s="19">
        <f t="shared" si="260"/>
        <v>2.9077905785466645E-3</v>
      </c>
    </row>
    <row r="1388" spans="1:20" x14ac:dyDescent="0.2">
      <c r="A1388" s="9">
        <v>45961</v>
      </c>
      <c r="B1388" s="4" t="s">
        <v>222</v>
      </c>
      <c r="C1388" s="8">
        <v>45931</v>
      </c>
      <c r="D1388" s="4" t="s">
        <v>195</v>
      </c>
      <c r="E1388" s="14">
        <f>IF(SUMIFS('Daily NSE Equity Futures'!$I:$I,'Daily NSE Equity Futures'!$A:$A,$A1388)=0,"",SUMIFS('Daily NSE Equity Futures'!$I:$I,'Daily NSE Equity Futures'!$A:$A,$A1388))</f>
        <v>1168.6306</v>
      </c>
      <c r="F1388" s="6">
        <f>IF(SUMIFS('Daily BSE Equity Futures'!$I:$I,'Daily BSE Equity Futures'!$A:$A,$A1388)=0,"",SUMIFS('Daily BSE Equity Futures'!$I:$I,'Daily BSE Equity Futures'!$A:$A,$A1388))</f>
        <v>3.0489000000000002</v>
      </c>
      <c r="G1388" s="6">
        <f t="shared" si="252"/>
        <v>1171.6795</v>
      </c>
      <c r="H1388" s="15">
        <f t="shared" si="253"/>
        <v>0.99739783788996905</v>
      </c>
      <c r="I1388" s="15">
        <f t="shared" si="254"/>
        <v>2.602162110030943E-3</v>
      </c>
      <c r="J1388" s="20">
        <f t="shared" si="255"/>
        <v>-0.6252352280051694</v>
      </c>
      <c r="K1388" s="15">
        <f t="shared" si="256"/>
        <v>1.0535461709436253</v>
      </c>
      <c r="L1388" s="15">
        <f t="shared" si="257"/>
        <v>-0.62443630001900763</v>
      </c>
      <c r="M1388" s="15">
        <f t="shared" si="261"/>
        <v>0.10688207648140802</v>
      </c>
      <c r="N1388" s="15">
        <f t="shared" si="262"/>
        <v>-0.53103946842218597</v>
      </c>
      <c r="O1388" s="15">
        <f t="shared" si="263"/>
        <v>0.1029778758554416</v>
      </c>
      <c r="P1388" s="18">
        <f>IF(SUMIFS('Daily NSE Equity Futures'!$J:$J,'Daily NSE Equity Futures'!$A:$A,$A1388)=0,"",SUMIFS('Daily NSE Equity Futures'!$J:$J,'Daily NSE Equity Futures'!$A:$A,$A1388))</f>
        <v>1454939</v>
      </c>
      <c r="Q1388" s="7">
        <f>IF(SUMIFS('Daily BSE Equity Futures'!$J:$J,'Daily BSE Equity Futures'!$A:$A,$A1388)=0,"",SUMIFS('Daily BSE Equity Futures'!$J:$J,'Daily BSE Equity Futures'!$A:$A,$A1388))</f>
        <v>1796</v>
      </c>
      <c r="R1388" s="7">
        <f t="shared" si="258"/>
        <v>1456735</v>
      </c>
      <c r="S1388" s="19">
        <f t="shared" si="259"/>
        <v>0.99876710589091355</v>
      </c>
      <c r="T1388" s="19">
        <f t="shared" si="260"/>
        <v>1.2328941090864159E-3</v>
      </c>
    </row>
    <row r="1389" spans="1:20" x14ac:dyDescent="0.2">
      <c r="A1389" s="9">
        <v>45964</v>
      </c>
      <c r="B1389" s="4" t="s">
        <v>225</v>
      </c>
      <c r="C1389" s="8">
        <v>45962</v>
      </c>
      <c r="D1389" s="4" t="s">
        <v>195</v>
      </c>
      <c r="E1389" s="14">
        <f>IF(SUMIFS('Daily NSE Equity Futures'!$I:$I,'Daily NSE Equity Futures'!$A:$A,$A1389)=0,"",SUMIFS('Daily NSE Equity Futures'!$I:$I,'Daily NSE Equity Futures'!$A:$A,$A1389))</f>
        <v>1011.1511</v>
      </c>
      <c r="F1389" s="6">
        <f>IF(SUMIFS('Daily BSE Equity Futures'!$I:$I,'Daily BSE Equity Futures'!$A:$A,$A1389)=0,"",SUMIFS('Daily BSE Equity Futures'!$I:$I,'Daily BSE Equity Futures'!$A:$A,$A1389))</f>
        <v>1.7492000000000001</v>
      </c>
      <c r="G1389" s="6">
        <f t="shared" si="252"/>
        <v>1012.9003</v>
      </c>
      <c r="H1389" s="15">
        <f t="shared" si="253"/>
        <v>0.99827307781427255</v>
      </c>
      <c r="I1389" s="15">
        <f t="shared" si="254"/>
        <v>1.7269221857274602E-3</v>
      </c>
      <c r="J1389" s="20" t="str">
        <f t="shared" si="255"/>
        <v/>
      </c>
      <c r="K1389" s="15" t="str">
        <f t="shared" si="256"/>
        <v/>
      </c>
      <c r="L1389" s="15" t="str">
        <f t="shared" si="257"/>
        <v/>
      </c>
      <c r="M1389" s="15">
        <f t="shared" si="261"/>
        <v>-0.13475558487001793</v>
      </c>
      <c r="N1389" s="15">
        <f t="shared" si="262"/>
        <v>-0.42628488963232647</v>
      </c>
      <c r="O1389" s="15">
        <f t="shared" si="263"/>
        <v>-0.13551419138083409</v>
      </c>
      <c r="P1389" s="18">
        <f>IF(SUMIFS('Daily NSE Equity Futures'!$J:$J,'Daily NSE Equity Futures'!$A:$A,$A1389)=0,"",SUMIFS('Daily NSE Equity Futures'!$J:$J,'Daily NSE Equity Futures'!$A:$A,$A1389))</f>
        <v>1286416</v>
      </c>
      <c r="Q1389" s="7">
        <f>IF(SUMIFS('Daily BSE Equity Futures'!$J:$J,'Daily BSE Equity Futures'!$A:$A,$A1389)=0,"",SUMIFS('Daily BSE Equity Futures'!$J:$J,'Daily BSE Equity Futures'!$A:$A,$A1389))</f>
        <v>1078</v>
      </c>
      <c r="R1389" s="7">
        <f t="shared" si="258"/>
        <v>1287494</v>
      </c>
      <c r="S1389" s="19">
        <f t="shared" si="259"/>
        <v>0.99916271454468919</v>
      </c>
      <c r="T1389" s="19">
        <f t="shared" si="260"/>
        <v>8.3728545531085966E-4</v>
      </c>
    </row>
    <row r="1390" spans="1:20" x14ac:dyDescent="0.2">
      <c r="A1390" s="9">
        <v>45965</v>
      </c>
      <c r="B1390" s="4" t="s">
        <v>223</v>
      </c>
      <c r="C1390" s="8">
        <v>45962</v>
      </c>
      <c r="D1390" s="4" t="s">
        <v>195</v>
      </c>
      <c r="E1390" s="14">
        <f>IF(SUMIFS('Daily NSE Equity Futures'!$I:$I,'Daily NSE Equity Futures'!$A:$A,$A1390)=0,"",SUMIFS('Daily NSE Equity Futures'!$I:$I,'Daily NSE Equity Futures'!$A:$A,$A1390))</f>
        <v>1054.0089</v>
      </c>
      <c r="F1390" s="6">
        <f>IF(SUMIFS('Daily BSE Equity Futures'!$I:$I,'Daily BSE Equity Futures'!$A:$A,$A1390)=0,"",SUMIFS('Daily BSE Equity Futures'!$I:$I,'Daily BSE Equity Futures'!$A:$A,$A1390))</f>
        <v>1.7403</v>
      </c>
      <c r="G1390" s="6">
        <f t="shared" si="252"/>
        <v>1055.7492</v>
      </c>
      <c r="H1390" s="15">
        <f t="shared" si="253"/>
        <v>0.99835159714068467</v>
      </c>
      <c r="I1390" s="15">
        <f t="shared" si="254"/>
        <v>1.648402859315451E-3</v>
      </c>
      <c r="J1390" s="20">
        <f t="shared" si="255"/>
        <v>-0.17281401665015572</v>
      </c>
      <c r="K1390" s="15">
        <f t="shared" si="256"/>
        <v>0.11443391393442615</v>
      </c>
      <c r="L1390" s="15">
        <f t="shared" si="257"/>
        <v>-0.17246241275575991</v>
      </c>
      <c r="M1390" s="15">
        <f t="shared" si="261"/>
        <v>4.2385158855090976E-2</v>
      </c>
      <c r="N1390" s="15">
        <f t="shared" si="262"/>
        <v>-5.0880402469700714E-3</v>
      </c>
      <c r="O1390" s="15">
        <f t="shared" si="263"/>
        <v>4.2303176334334225E-2</v>
      </c>
      <c r="P1390" s="18">
        <f>IF(SUMIFS('Daily NSE Equity Futures'!$J:$J,'Daily NSE Equity Futures'!$A:$A,$A1390)=0,"",SUMIFS('Daily NSE Equity Futures'!$J:$J,'Daily NSE Equity Futures'!$A:$A,$A1390))</f>
        <v>1324780</v>
      </c>
      <c r="Q1390" s="7">
        <f>IF(SUMIFS('Daily BSE Equity Futures'!$J:$J,'Daily BSE Equity Futures'!$A:$A,$A1390)=0,"",SUMIFS('Daily BSE Equity Futures'!$J:$J,'Daily BSE Equity Futures'!$A:$A,$A1390))</f>
        <v>1111</v>
      </c>
      <c r="R1390" s="7">
        <f t="shared" si="258"/>
        <v>1325891</v>
      </c>
      <c r="S1390" s="19">
        <f t="shared" si="259"/>
        <v>0.99916207290041192</v>
      </c>
      <c r="T1390" s="19">
        <f t="shared" si="260"/>
        <v>8.3792709958812597E-4</v>
      </c>
    </row>
    <row r="1391" spans="1:20" x14ac:dyDescent="0.2">
      <c r="A1391" s="9">
        <v>45967</v>
      </c>
      <c r="B1391" s="4" t="s">
        <v>224</v>
      </c>
      <c r="C1391" s="8">
        <v>45962</v>
      </c>
      <c r="D1391" s="4" t="s">
        <v>195</v>
      </c>
      <c r="E1391" s="14">
        <f>IF(SUMIFS('Daily NSE Equity Futures'!$I:$I,'Daily NSE Equity Futures'!$A:$A,$A1391)=0,"",SUMIFS('Daily NSE Equity Futures'!$I:$I,'Daily NSE Equity Futures'!$A:$A,$A1391))</f>
        <v>1122.7064</v>
      </c>
      <c r="F1391" s="6">
        <f>IF(SUMIFS('Daily BSE Equity Futures'!$I:$I,'Daily BSE Equity Futures'!$A:$A,$A1391)=0,"",SUMIFS('Daily BSE Equity Futures'!$I:$I,'Daily BSE Equity Futures'!$A:$A,$A1391))</f>
        <v>3.6981999999999999</v>
      </c>
      <c r="G1391" s="6">
        <f t="shared" si="252"/>
        <v>1126.4046000000001</v>
      </c>
      <c r="H1391" s="15">
        <f t="shared" si="253"/>
        <v>0.99671681028291248</v>
      </c>
      <c r="I1391" s="15">
        <f t="shared" si="254"/>
        <v>3.2831897170874477E-3</v>
      </c>
      <c r="J1391" s="20">
        <f t="shared" si="255"/>
        <v>-0.22368513672868717</v>
      </c>
      <c r="K1391" s="15">
        <f t="shared" si="256"/>
        <v>2.1727865477007549</v>
      </c>
      <c r="L1391" s="15">
        <f t="shared" si="257"/>
        <v>-0.22175519740903027</v>
      </c>
      <c r="M1391" s="15">
        <f t="shared" si="261"/>
        <v>6.5177343379168695E-2</v>
      </c>
      <c r="N1391" s="15">
        <f t="shared" si="262"/>
        <v>1.1250359133482735</v>
      </c>
      <c r="O1391" s="15">
        <f t="shared" si="263"/>
        <v>6.692441727637588E-2</v>
      </c>
      <c r="P1391" s="18">
        <f>IF(SUMIFS('Daily NSE Equity Futures'!$J:$J,'Daily NSE Equity Futures'!$A:$A,$A1391)=0,"",SUMIFS('Daily NSE Equity Futures'!$J:$J,'Daily NSE Equity Futures'!$A:$A,$A1391))</f>
        <v>1452286</v>
      </c>
      <c r="Q1391" s="7">
        <f>IF(SUMIFS('Daily BSE Equity Futures'!$J:$J,'Daily BSE Equity Futures'!$A:$A,$A1391)=0,"",SUMIFS('Daily BSE Equity Futures'!$J:$J,'Daily BSE Equity Futures'!$A:$A,$A1391))</f>
        <v>2230</v>
      </c>
      <c r="R1391" s="7">
        <f t="shared" si="258"/>
        <v>1454516</v>
      </c>
      <c r="S1391" s="19">
        <f t="shared" si="259"/>
        <v>0.99846684395359009</v>
      </c>
      <c r="T1391" s="19">
        <f t="shared" si="260"/>
        <v>1.5331560464099398E-3</v>
      </c>
    </row>
    <row r="1392" spans="1:20" x14ac:dyDescent="0.2">
      <c r="A1392" s="9">
        <v>45968</v>
      </c>
      <c r="B1392" s="4" t="s">
        <v>222</v>
      </c>
      <c r="C1392" s="8">
        <v>45962</v>
      </c>
      <c r="D1392" s="4" t="s">
        <v>195</v>
      </c>
      <c r="E1392" s="14">
        <f>IF(SUMIFS('Daily NSE Equity Futures'!$I:$I,'Daily NSE Equity Futures'!$A:$A,$A1392)=0,"",SUMIFS('Daily NSE Equity Futures'!$I:$I,'Daily NSE Equity Futures'!$A:$A,$A1392))</f>
        <v>1272.7926</v>
      </c>
      <c r="F1392" s="6">
        <f>IF(SUMIFS('Daily BSE Equity Futures'!$I:$I,'Daily BSE Equity Futures'!$A:$A,$A1392)=0,"",SUMIFS('Daily BSE Equity Futures'!$I:$I,'Daily BSE Equity Futures'!$A:$A,$A1392))</f>
        <v>2.9965000000000002</v>
      </c>
      <c r="G1392" s="6">
        <f t="shared" si="252"/>
        <v>1275.7891</v>
      </c>
      <c r="H1392" s="15">
        <f t="shared" si="253"/>
        <v>0.99765125756286832</v>
      </c>
      <c r="I1392" s="15">
        <f t="shared" si="254"/>
        <v>2.3487424371316547E-3</v>
      </c>
      <c r="J1392" s="20">
        <f t="shared" si="255"/>
        <v>3.4926450110896567E-2</v>
      </c>
      <c r="K1392" s="15">
        <f t="shared" si="256"/>
        <v>1.0326278659611994</v>
      </c>
      <c r="L1392" s="15">
        <f t="shared" si="257"/>
        <v>3.6120956744625898E-2</v>
      </c>
      <c r="M1392" s="15">
        <f t="shared" si="261"/>
        <v>0.13368250149816552</v>
      </c>
      <c r="N1392" s="15">
        <f t="shared" si="262"/>
        <v>-0.18974095505921795</v>
      </c>
      <c r="O1392" s="15">
        <f t="shared" si="263"/>
        <v>0.1326206409313313</v>
      </c>
      <c r="P1392" s="18">
        <f>IF(SUMIFS('Daily NSE Equity Futures'!$J:$J,'Daily NSE Equity Futures'!$A:$A,$A1392)=0,"",SUMIFS('Daily NSE Equity Futures'!$J:$J,'Daily NSE Equity Futures'!$A:$A,$A1392))</f>
        <v>1530126</v>
      </c>
      <c r="Q1392" s="7">
        <f>IF(SUMIFS('Daily BSE Equity Futures'!$J:$J,'Daily BSE Equity Futures'!$A:$A,$A1392)=0,"",SUMIFS('Daily BSE Equity Futures'!$J:$J,'Daily BSE Equity Futures'!$A:$A,$A1392))</f>
        <v>1861</v>
      </c>
      <c r="R1392" s="7">
        <f t="shared" si="258"/>
        <v>1531987</v>
      </c>
      <c r="S1392" s="19">
        <f t="shared" si="259"/>
        <v>0.99878523773374051</v>
      </c>
      <c r="T1392" s="19">
        <f t="shared" si="260"/>
        <v>1.2147622662594395E-3</v>
      </c>
    </row>
    <row r="1393" spans="1:20" x14ac:dyDescent="0.2">
      <c r="A1393" s="9">
        <v>45971</v>
      </c>
      <c r="B1393" s="4" t="s">
        <v>225</v>
      </c>
      <c r="C1393" s="8">
        <v>45962</v>
      </c>
      <c r="D1393" s="4" t="s">
        <v>195</v>
      </c>
      <c r="E1393" s="14">
        <f>IF(SUMIFS('Daily NSE Equity Futures'!$I:$I,'Daily NSE Equity Futures'!$A:$A,$A1393)=0,"",SUMIFS('Daily NSE Equity Futures'!$I:$I,'Daily NSE Equity Futures'!$A:$A,$A1393))</f>
        <v>905.61249999999995</v>
      </c>
      <c r="F1393" s="6">
        <f>IF(SUMIFS('Daily BSE Equity Futures'!$I:$I,'Daily BSE Equity Futures'!$A:$A,$A1393)=0,"",SUMIFS('Daily BSE Equity Futures'!$I:$I,'Daily BSE Equity Futures'!$A:$A,$A1393))</f>
        <v>1.911</v>
      </c>
      <c r="G1393" s="6">
        <f t="shared" si="252"/>
        <v>907.5234999999999</v>
      </c>
      <c r="H1393" s="15">
        <f t="shared" si="253"/>
        <v>0.99789426940459403</v>
      </c>
      <c r="I1393" s="15">
        <f t="shared" si="254"/>
        <v>2.1057305954060696E-3</v>
      </c>
      <c r="J1393" s="20" t="str">
        <f t="shared" si="255"/>
        <v/>
      </c>
      <c r="K1393" s="15" t="str">
        <f t="shared" si="256"/>
        <v/>
      </c>
      <c r="L1393" s="15" t="str">
        <f t="shared" si="257"/>
        <v/>
      </c>
      <c r="M1393" s="15">
        <f t="shared" si="261"/>
        <v>-0.2884838425364824</v>
      </c>
      <c r="N1393" s="15">
        <f t="shared" si="262"/>
        <v>-0.36225596529284165</v>
      </c>
      <c r="O1393" s="15">
        <f t="shared" si="263"/>
        <v>-0.28865711425187757</v>
      </c>
      <c r="P1393" s="18">
        <f>IF(SUMIFS('Daily NSE Equity Futures'!$J:$J,'Daily NSE Equity Futures'!$A:$A,$A1393)=0,"",SUMIFS('Daily NSE Equity Futures'!$J:$J,'Daily NSE Equity Futures'!$A:$A,$A1393))</f>
        <v>1184451</v>
      </c>
      <c r="Q1393" s="7">
        <f>IF(SUMIFS('Daily BSE Equity Futures'!$J:$J,'Daily BSE Equity Futures'!$A:$A,$A1393)=0,"",SUMIFS('Daily BSE Equity Futures'!$J:$J,'Daily BSE Equity Futures'!$A:$A,$A1393))</f>
        <v>1151</v>
      </c>
      <c r="R1393" s="7">
        <f t="shared" si="258"/>
        <v>1185602</v>
      </c>
      <c r="S1393" s="19">
        <f t="shared" si="259"/>
        <v>0.9990291851734393</v>
      </c>
      <c r="T1393" s="19">
        <f t="shared" si="260"/>
        <v>9.708148265606839E-4</v>
      </c>
    </row>
    <row r="1394" spans="1:20" x14ac:dyDescent="0.2">
      <c r="A1394" s="9">
        <v>45972</v>
      </c>
      <c r="B1394" s="4" t="s">
        <v>223</v>
      </c>
      <c r="C1394" s="8">
        <v>45962</v>
      </c>
      <c r="D1394" s="4" t="s">
        <v>195</v>
      </c>
      <c r="E1394" s="14">
        <f>IF(SUMIFS('Daily NSE Equity Futures'!$I:$I,'Daily NSE Equity Futures'!$A:$A,$A1394)=0,"",SUMIFS('Daily NSE Equity Futures'!$I:$I,'Daily NSE Equity Futures'!$A:$A,$A1394))</f>
        <v>1126.8743999999999</v>
      </c>
      <c r="F1394" s="6">
        <f>IF(SUMIFS('Daily BSE Equity Futures'!$I:$I,'Daily BSE Equity Futures'!$A:$A,$A1394)=0,"",SUMIFS('Daily BSE Equity Futures'!$I:$I,'Daily BSE Equity Futures'!$A:$A,$A1394))</f>
        <v>3.0127000000000002</v>
      </c>
      <c r="G1394" s="6">
        <f t="shared" si="252"/>
        <v>1129.8870999999999</v>
      </c>
      <c r="H1394" s="15">
        <f t="shared" si="253"/>
        <v>0.99733362740401232</v>
      </c>
      <c r="I1394" s="15">
        <f t="shared" si="254"/>
        <v>2.6663725959876878E-3</v>
      </c>
      <c r="J1394" s="20">
        <f t="shared" si="255"/>
        <v>-7.0391805468982382E-2</v>
      </c>
      <c r="K1394" s="15">
        <f t="shared" si="256"/>
        <v>-0.42601025015718175</v>
      </c>
      <c r="L1394" s="15">
        <f t="shared" si="257"/>
        <v>-7.1924953445814843E-2</v>
      </c>
      <c r="M1394" s="15">
        <f t="shared" si="261"/>
        <v>0.24432293061325905</v>
      </c>
      <c r="N1394" s="15">
        <f t="shared" si="262"/>
        <v>0.57650444793301947</v>
      </c>
      <c r="O1394" s="15">
        <f t="shared" si="263"/>
        <v>0.24502241539750758</v>
      </c>
      <c r="P1394" s="18">
        <f>IF(SUMIFS('Daily NSE Equity Futures'!$J:$J,'Daily NSE Equity Futures'!$A:$A,$A1394)=0,"",SUMIFS('Daily NSE Equity Futures'!$J:$J,'Daily NSE Equity Futures'!$A:$A,$A1394))</f>
        <v>1395506</v>
      </c>
      <c r="Q1394" s="7">
        <f>IF(SUMIFS('Daily BSE Equity Futures'!$J:$J,'Daily BSE Equity Futures'!$A:$A,$A1394)=0,"",SUMIFS('Daily BSE Equity Futures'!$J:$J,'Daily BSE Equity Futures'!$A:$A,$A1394))</f>
        <v>1843</v>
      </c>
      <c r="R1394" s="7">
        <f t="shared" si="258"/>
        <v>1397349</v>
      </c>
      <c r="S1394" s="19">
        <f t="shared" si="259"/>
        <v>0.99868107394788275</v>
      </c>
      <c r="T1394" s="19">
        <f t="shared" si="260"/>
        <v>1.3189260521172593E-3</v>
      </c>
    </row>
    <row r="1395" spans="1:20" x14ac:dyDescent="0.2">
      <c r="A1395" s="9">
        <v>45973</v>
      </c>
      <c r="B1395" s="4" t="s">
        <v>221</v>
      </c>
      <c r="C1395" s="8">
        <v>45962</v>
      </c>
      <c r="D1395" s="4" t="s">
        <v>195</v>
      </c>
      <c r="E1395" s="14">
        <f>IF(SUMIFS('Daily NSE Equity Futures'!$I:$I,'Daily NSE Equity Futures'!$A:$A,$A1395)=0,"",SUMIFS('Daily NSE Equity Futures'!$I:$I,'Daily NSE Equity Futures'!$A:$A,$A1395))</f>
        <v>1217.9955</v>
      </c>
      <c r="F1395" s="6">
        <f>IF(SUMIFS('Daily BSE Equity Futures'!$I:$I,'Daily BSE Equity Futures'!$A:$A,$A1395)=0,"",SUMIFS('Daily BSE Equity Futures'!$I:$I,'Daily BSE Equity Futures'!$A:$A,$A1395))</f>
        <v>3.1318000000000001</v>
      </c>
      <c r="G1395" s="6">
        <f t="shared" si="252"/>
        <v>1221.1273000000001</v>
      </c>
      <c r="H1395" s="15">
        <f t="shared" si="253"/>
        <v>0.99743532062545803</v>
      </c>
      <c r="I1395" s="15">
        <f t="shared" si="254"/>
        <v>2.5646793745418678E-3</v>
      </c>
      <c r="J1395" s="20">
        <f t="shared" si="255"/>
        <v>-2.99853501761842E-2</v>
      </c>
      <c r="K1395" s="15">
        <f t="shared" si="256"/>
        <v>3.3881182569707162</v>
      </c>
      <c r="L1395" s="15">
        <f t="shared" si="257"/>
        <v>-2.8043629525991043E-2</v>
      </c>
      <c r="M1395" s="15">
        <f t="shared" si="261"/>
        <v>8.0861806781660883E-2</v>
      </c>
      <c r="N1395" s="15">
        <f t="shared" si="262"/>
        <v>3.9532645135592626E-2</v>
      </c>
      <c r="O1395" s="15">
        <f t="shared" si="263"/>
        <v>8.0751607837632688E-2</v>
      </c>
      <c r="P1395" s="18">
        <f>IF(SUMIFS('Daily NSE Equity Futures'!$J:$J,'Daily NSE Equity Futures'!$A:$A,$A1395)=0,"",SUMIFS('Daily NSE Equity Futures'!$J:$J,'Daily NSE Equity Futures'!$A:$A,$A1395))</f>
        <v>1527232</v>
      </c>
      <c r="Q1395" s="7">
        <f>IF(SUMIFS('Daily BSE Equity Futures'!$J:$J,'Daily BSE Equity Futures'!$A:$A,$A1395)=0,"",SUMIFS('Daily BSE Equity Futures'!$J:$J,'Daily BSE Equity Futures'!$A:$A,$A1395))</f>
        <v>1879</v>
      </c>
      <c r="R1395" s="7">
        <f t="shared" si="258"/>
        <v>1529111</v>
      </c>
      <c r="S1395" s="19">
        <f t="shared" si="259"/>
        <v>0.99877118142502408</v>
      </c>
      <c r="T1395" s="19">
        <f t="shared" si="260"/>
        <v>1.2288185749759174E-3</v>
      </c>
    </row>
    <row r="1396" spans="1:20" x14ac:dyDescent="0.2">
      <c r="A1396" s="9">
        <v>45974</v>
      </c>
      <c r="B1396" s="4" t="s">
        <v>224</v>
      </c>
      <c r="C1396" s="8">
        <v>45962</v>
      </c>
      <c r="D1396" s="4" t="s">
        <v>195</v>
      </c>
      <c r="E1396" s="14">
        <f>IF(SUMIFS('Daily NSE Equity Futures'!$I:$I,'Daily NSE Equity Futures'!$A:$A,$A1396)=0,"",SUMIFS('Daily NSE Equity Futures'!$I:$I,'Daily NSE Equity Futures'!$A:$A,$A1396))</f>
        <v>1168.4263000000001</v>
      </c>
      <c r="F1396" s="6">
        <f>IF(SUMIFS('Daily BSE Equity Futures'!$I:$I,'Daily BSE Equity Futures'!$A:$A,$A1396)=0,"",SUMIFS('Daily BSE Equity Futures'!$I:$I,'Daily BSE Equity Futures'!$A:$A,$A1396))</f>
        <v>4.1420000000000003</v>
      </c>
      <c r="G1396" s="6">
        <f t="shared" si="252"/>
        <v>1172.5683000000001</v>
      </c>
      <c r="H1396" s="15">
        <f t="shared" si="253"/>
        <v>0.99646758316764994</v>
      </c>
      <c r="I1396" s="15">
        <f t="shared" si="254"/>
        <v>3.5324168323499789E-3</v>
      </c>
      <c r="J1396" s="20">
        <f t="shared" si="255"/>
        <v>-0.1185018036583162</v>
      </c>
      <c r="K1396" s="15">
        <f t="shared" si="256"/>
        <v>3.7288503253796099</v>
      </c>
      <c r="L1396" s="15">
        <f t="shared" si="257"/>
        <v>-0.11596112536381076</v>
      </c>
      <c r="M1396" s="15">
        <f t="shared" si="261"/>
        <v>-4.0697358898288183E-2</v>
      </c>
      <c r="N1396" s="15">
        <f t="shared" si="262"/>
        <v>0.32256210485982506</v>
      </c>
      <c r="O1396" s="15">
        <f t="shared" si="263"/>
        <v>-3.9765714843980615E-2</v>
      </c>
      <c r="P1396" s="18">
        <f>IF(SUMIFS('Daily NSE Equity Futures'!$J:$J,'Daily NSE Equity Futures'!$A:$A,$A1396)=0,"",SUMIFS('Daily NSE Equity Futures'!$J:$J,'Daily NSE Equity Futures'!$A:$A,$A1396))</f>
        <v>1461531</v>
      </c>
      <c r="Q1396" s="7">
        <f>IF(SUMIFS('Daily BSE Equity Futures'!$J:$J,'Daily BSE Equity Futures'!$A:$A,$A1396)=0,"",SUMIFS('Daily BSE Equity Futures'!$J:$J,'Daily BSE Equity Futures'!$A:$A,$A1396))</f>
        <v>2480</v>
      </c>
      <c r="R1396" s="7">
        <f t="shared" si="258"/>
        <v>1464011</v>
      </c>
      <c r="S1396" s="19">
        <f t="shared" si="259"/>
        <v>0.99830602365692611</v>
      </c>
      <c r="T1396" s="19">
        <f t="shared" si="260"/>
        <v>1.693976343073925E-3</v>
      </c>
    </row>
    <row r="1397" spans="1:20" x14ac:dyDescent="0.2">
      <c r="A1397" s="9">
        <v>45975</v>
      </c>
      <c r="B1397" s="4" t="s">
        <v>222</v>
      </c>
      <c r="C1397" s="8">
        <v>45962</v>
      </c>
      <c r="D1397" s="4" t="s">
        <v>195</v>
      </c>
      <c r="E1397" s="14">
        <f>IF(SUMIFS('Daily NSE Equity Futures'!$I:$I,'Daily NSE Equity Futures'!$A:$A,$A1397)=0,"",SUMIFS('Daily NSE Equity Futures'!$I:$I,'Daily NSE Equity Futures'!$A:$A,$A1397))</f>
        <v>1184.0351000000001</v>
      </c>
      <c r="F1397" s="6">
        <f>IF(SUMIFS('Daily BSE Equity Futures'!$I:$I,'Daily BSE Equity Futures'!$A:$A,$A1397)=0,"",SUMIFS('Daily BSE Equity Futures'!$I:$I,'Daily BSE Equity Futures'!$A:$A,$A1397))</f>
        <v>3.0813999999999999</v>
      </c>
      <c r="G1397" s="6">
        <f t="shared" si="252"/>
        <v>1187.1165000000001</v>
      </c>
      <c r="H1397" s="15">
        <f t="shared" si="253"/>
        <v>0.99740429856715829</v>
      </c>
      <c r="I1397" s="15">
        <f t="shared" si="254"/>
        <v>2.5957014328416798E-3</v>
      </c>
      <c r="J1397" s="20">
        <f t="shared" si="255"/>
        <v>7.3747488920052451E-2</v>
      </c>
      <c r="K1397" s="15">
        <f t="shared" si="256"/>
        <v>0.46677456207159174</v>
      </c>
      <c r="L1397" s="15">
        <f t="shared" si="257"/>
        <v>7.4494828810941716E-2</v>
      </c>
      <c r="M1397" s="15">
        <f t="shared" si="261"/>
        <v>1.335882288852952E-2</v>
      </c>
      <c r="N1397" s="15">
        <f t="shared" si="262"/>
        <v>-0.25605987445678424</v>
      </c>
      <c r="O1397" s="15">
        <f t="shared" si="263"/>
        <v>1.2407123747077309E-2</v>
      </c>
      <c r="P1397" s="18">
        <f>IF(SUMIFS('Daily NSE Equity Futures'!$J:$J,'Daily NSE Equity Futures'!$A:$A,$A1397)=0,"",SUMIFS('Daily NSE Equity Futures'!$J:$J,'Daily NSE Equity Futures'!$A:$A,$A1397))</f>
        <v>1429255</v>
      </c>
      <c r="Q1397" s="7">
        <f>IF(SUMIFS('Daily BSE Equity Futures'!$J:$J,'Daily BSE Equity Futures'!$A:$A,$A1397)=0,"",SUMIFS('Daily BSE Equity Futures'!$J:$J,'Daily BSE Equity Futures'!$A:$A,$A1397))</f>
        <v>1855</v>
      </c>
      <c r="R1397" s="7">
        <f t="shared" si="258"/>
        <v>1431110</v>
      </c>
      <c r="S1397" s="19">
        <f t="shared" si="259"/>
        <v>0.99870380334146225</v>
      </c>
      <c r="T1397" s="19">
        <f t="shared" si="260"/>
        <v>1.2961966585377785E-3</v>
      </c>
    </row>
    <row r="1398" spans="1:20" x14ac:dyDescent="0.2">
      <c r="A1398" s="9">
        <v>45978</v>
      </c>
      <c r="B1398" s="4" t="s">
        <v>225</v>
      </c>
      <c r="C1398" s="8">
        <v>45962</v>
      </c>
      <c r="D1398" s="4" t="s">
        <v>195</v>
      </c>
      <c r="E1398" s="14">
        <f>IF(SUMIFS('Daily NSE Equity Futures'!$I:$I,'Daily NSE Equity Futures'!$A:$A,$A1398)=0,"",SUMIFS('Daily NSE Equity Futures'!$I:$I,'Daily NSE Equity Futures'!$A:$A,$A1398))</f>
        <v>1031.8855000000001</v>
      </c>
      <c r="F1398" s="6">
        <f>IF(SUMIFS('Daily BSE Equity Futures'!$I:$I,'Daily BSE Equity Futures'!$A:$A,$A1398)=0,"",SUMIFS('Daily BSE Equity Futures'!$I:$I,'Daily BSE Equity Futures'!$A:$A,$A1398))</f>
        <v>1.6149</v>
      </c>
      <c r="G1398" s="6">
        <f t="shared" si="252"/>
        <v>1033.5004000000001</v>
      </c>
      <c r="H1398" s="15">
        <f t="shared" si="253"/>
        <v>0.99843744617805663</v>
      </c>
      <c r="I1398" s="15">
        <f t="shared" si="254"/>
        <v>1.5625538219433681E-3</v>
      </c>
      <c r="J1398" s="20" t="str">
        <f t="shared" si="255"/>
        <v/>
      </c>
      <c r="K1398" s="15" t="str">
        <f t="shared" si="256"/>
        <v/>
      </c>
      <c r="L1398" s="15" t="str">
        <f t="shared" si="257"/>
        <v/>
      </c>
      <c r="M1398" s="15">
        <f t="shared" si="261"/>
        <v>-0.12850092028521787</v>
      </c>
      <c r="N1398" s="15">
        <f t="shared" si="262"/>
        <v>-0.47592003634711488</v>
      </c>
      <c r="O1398" s="15">
        <f t="shared" si="263"/>
        <v>-0.12940271658257629</v>
      </c>
      <c r="P1398" s="18">
        <f>IF(SUMIFS('Daily NSE Equity Futures'!$J:$J,'Daily NSE Equity Futures'!$A:$A,$A1398)=0,"",SUMIFS('Daily NSE Equity Futures'!$J:$J,'Daily NSE Equity Futures'!$A:$A,$A1398))</f>
        <v>1326205</v>
      </c>
      <c r="Q1398" s="7">
        <f>IF(SUMIFS('Daily BSE Equity Futures'!$J:$J,'Daily BSE Equity Futures'!$A:$A,$A1398)=0,"",SUMIFS('Daily BSE Equity Futures'!$J:$J,'Daily BSE Equity Futures'!$A:$A,$A1398))</f>
        <v>971</v>
      </c>
      <c r="R1398" s="7">
        <f t="shared" si="258"/>
        <v>1327176</v>
      </c>
      <c r="S1398" s="19">
        <f t="shared" si="259"/>
        <v>0.99926837133884283</v>
      </c>
      <c r="T1398" s="19">
        <f t="shared" si="260"/>
        <v>7.3162866115722403E-4</v>
      </c>
    </row>
    <row r="1399" spans="1:20" x14ac:dyDescent="0.2">
      <c r="A1399" s="9">
        <v>45979</v>
      </c>
      <c r="B1399" s="4" t="s">
        <v>223</v>
      </c>
      <c r="C1399" s="8">
        <v>45962</v>
      </c>
      <c r="D1399" s="4" t="s">
        <v>195</v>
      </c>
      <c r="E1399" s="14">
        <f>IF(SUMIFS('Daily NSE Equity Futures'!$I:$I,'Daily NSE Equity Futures'!$A:$A,$A1399)=0,"",SUMIFS('Daily NSE Equity Futures'!$I:$I,'Daily NSE Equity Futures'!$A:$A,$A1399))</f>
        <v>1136.5842</v>
      </c>
      <c r="F1399" s="6">
        <f>IF(SUMIFS('Daily BSE Equity Futures'!$I:$I,'Daily BSE Equity Futures'!$A:$A,$A1399)=0,"",SUMIFS('Daily BSE Equity Futures'!$I:$I,'Daily BSE Equity Futures'!$A:$A,$A1399))</f>
        <v>1.7045999999999999</v>
      </c>
      <c r="G1399" s="6">
        <f t="shared" si="252"/>
        <v>1138.2888</v>
      </c>
      <c r="H1399" s="15">
        <f t="shared" si="253"/>
        <v>0.99850248899927674</v>
      </c>
      <c r="I1399" s="15">
        <f t="shared" si="254"/>
        <v>1.4975110007231906E-3</v>
      </c>
      <c r="J1399" s="20">
        <f t="shared" si="255"/>
        <v>4.1708991074411506E-2</v>
      </c>
      <c r="K1399" s="15">
        <f t="shared" si="256"/>
        <v>0.72216609416043642</v>
      </c>
      <c r="L1399" s="15">
        <f t="shared" si="257"/>
        <v>4.232572692701897E-2</v>
      </c>
      <c r="M1399" s="15">
        <f t="shared" si="261"/>
        <v>0.10146348601661703</v>
      </c>
      <c r="N1399" s="15">
        <f t="shared" si="262"/>
        <v>5.5545234999071047E-2</v>
      </c>
      <c r="O1399" s="15">
        <f t="shared" si="263"/>
        <v>0.10139173627799258</v>
      </c>
      <c r="P1399" s="18">
        <f>IF(SUMIFS('Daily NSE Equity Futures'!$J:$J,'Daily NSE Equity Futures'!$A:$A,$A1399)=0,"",SUMIFS('Daily NSE Equity Futures'!$J:$J,'Daily NSE Equity Futures'!$A:$A,$A1399))</f>
        <v>1438558</v>
      </c>
      <c r="Q1399" s="7">
        <f>IF(SUMIFS('Daily BSE Equity Futures'!$J:$J,'Daily BSE Equity Futures'!$A:$A,$A1399)=0,"",SUMIFS('Daily BSE Equity Futures'!$J:$J,'Daily BSE Equity Futures'!$A:$A,$A1399))</f>
        <v>1048</v>
      </c>
      <c r="R1399" s="7">
        <f t="shared" si="258"/>
        <v>1439606</v>
      </c>
      <c r="S1399" s="19">
        <f t="shared" si="259"/>
        <v>0.99927202303963725</v>
      </c>
      <c r="T1399" s="19">
        <f t="shared" si="260"/>
        <v>7.2797696036276595E-4</v>
      </c>
    </row>
    <row r="1400" spans="1:20" x14ac:dyDescent="0.2">
      <c r="A1400" s="9">
        <v>45980</v>
      </c>
      <c r="B1400" s="4" t="s">
        <v>221</v>
      </c>
      <c r="C1400" s="8">
        <v>45962</v>
      </c>
      <c r="D1400" s="4" t="s">
        <v>195</v>
      </c>
      <c r="E1400" s="14">
        <f>IF(SUMIFS('Daily NSE Equity Futures'!$I:$I,'Daily NSE Equity Futures'!$A:$A,$A1400)=0,"",SUMIFS('Daily NSE Equity Futures'!$I:$I,'Daily NSE Equity Futures'!$A:$A,$A1400))</f>
        <v>1336.6685</v>
      </c>
      <c r="F1400" s="6">
        <f>IF(SUMIFS('Daily BSE Equity Futures'!$I:$I,'Daily BSE Equity Futures'!$A:$A,$A1400)=0,"",SUMIFS('Daily BSE Equity Futures'!$I:$I,'Daily BSE Equity Futures'!$A:$A,$A1400))</f>
        <v>2.3527</v>
      </c>
      <c r="G1400" s="6">
        <f t="shared" si="252"/>
        <v>1339.0211999999999</v>
      </c>
      <c r="H1400" s="15">
        <f t="shared" si="253"/>
        <v>0.99824297031294207</v>
      </c>
      <c r="I1400" s="15">
        <f t="shared" si="254"/>
        <v>1.7570296870579795E-3</v>
      </c>
      <c r="J1400" s="20">
        <f t="shared" si="255"/>
        <v>-1.896278723005429E-2</v>
      </c>
      <c r="K1400" s="15">
        <f t="shared" si="256"/>
        <v>1.8503755754785556</v>
      </c>
      <c r="L1400" s="15">
        <f t="shared" si="257"/>
        <v>-1.7831035578452448E-2</v>
      </c>
      <c r="M1400" s="15">
        <f t="shared" si="261"/>
        <v>0.17604001533718305</v>
      </c>
      <c r="N1400" s="15">
        <f t="shared" si="262"/>
        <v>0.38020650005866496</v>
      </c>
      <c r="O1400" s="15">
        <f t="shared" si="263"/>
        <v>0.17634575689403231</v>
      </c>
      <c r="P1400" s="18">
        <f>IF(SUMIFS('Daily NSE Equity Futures'!$J:$J,'Daily NSE Equity Futures'!$A:$A,$A1400)=0,"",SUMIFS('Daily NSE Equity Futures'!$J:$J,'Daily NSE Equity Futures'!$A:$A,$A1400))</f>
        <v>1718008</v>
      </c>
      <c r="Q1400" s="7">
        <f>IF(SUMIFS('Daily BSE Equity Futures'!$J:$J,'Daily BSE Equity Futures'!$A:$A,$A1400)=0,"",SUMIFS('Daily BSE Equity Futures'!$J:$J,'Daily BSE Equity Futures'!$A:$A,$A1400))</f>
        <v>1403</v>
      </c>
      <c r="R1400" s="7">
        <f t="shared" si="258"/>
        <v>1719411</v>
      </c>
      <c r="S1400" s="19">
        <f t="shared" si="259"/>
        <v>0.9991840229008655</v>
      </c>
      <c r="T1400" s="19">
        <f t="shared" si="260"/>
        <v>8.1597709913452921E-4</v>
      </c>
    </row>
    <row r="1401" spans="1:20" x14ac:dyDescent="0.2">
      <c r="A1401" s="9">
        <v>45981</v>
      </c>
      <c r="B1401" s="4" t="s">
        <v>224</v>
      </c>
      <c r="C1401" s="8">
        <v>45962</v>
      </c>
      <c r="D1401" s="4" t="s">
        <v>195</v>
      </c>
      <c r="E1401" s="14">
        <f>IF(SUMIFS('Daily NSE Equity Futures'!$I:$I,'Daily NSE Equity Futures'!$A:$A,$A1401)=0,"",SUMIFS('Daily NSE Equity Futures'!$I:$I,'Daily NSE Equity Futures'!$A:$A,$A1401))</f>
        <v>3356.3107</v>
      </c>
      <c r="F1401" s="6">
        <f>IF(SUMIFS('Daily BSE Equity Futures'!$I:$I,'Daily BSE Equity Futures'!$A:$A,$A1401)=0,"",SUMIFS('Daily BSE Equity Futures'!$I:$I,'Daily BSE Equity Futures'!$A:$A,$A1401))</f>
        <v>4.8167</v>
      </c>
      <c r="G1401" s="6">
        <f t="shared" si="252"/>
        <v>3361.1273999999999</v>
      </c>
      <c r="H1401" s="15">
        <f t="shared" si="253"/>
        <v>0.99856693917642048</v>
      </c>
      <c r="I1401" s="15">
        <f t="shared" si="254"/>
        <v>1.4330608235796122E-3</v>
      </c>
      <c r="J1401" s="20" t="str">
        <f t="shared" si="255"/>
        <v/>
      </c>
      <c r="K1401" s="15" t="str">
        <f t="shared" si="256"/>
        <v/>
      </c>
      <c r="L1401" s="15" t="str">
        <f t="shared" si="257"/>
        <v/>
      </c>
      <c r="M1401" s="15">
        <f t="shared" si="261"/>
        <v>1.510952191960834</v>
      </c>
      <c r="N1401" s="15">
        <f t="shared" si="262"/>
        <v>1.0473073490032729</v>
      </c>
      <c r="O1401" s="15">
        <f t="shared" si="263"/>
        <v>1.5101375542075064</v>
      </c>
      <c r="P1401" s="18">
        <f>IF(SUMIFS('Daily NSE Equity Futures'!$J:$J,'Daily NSE Equity Futures'!$A:$A,$A1401)=0,"",SUMIFS('Daily NSE Equity Futures'!$J:$J,'Daily NSE Equity Futures'!$A:$A,$A1401))</f>
        <v>4552325</v>
      </c>
      <c r="Q1401" s="7">
        <f>IF(SUMIFS('Daily BSE Equity Futures'!$J:$J,'Daily BSE Equity Futures'!$A:$A,$A1401)=0,"",SUMIFS('Daily BSE Equity Futures'!$J:$J,'Daily BSE Equity Futures'!$A:$A,$A1401))</f>
        <v>2840</v>
      </c>
      <c r="R1401" s="7">
        <f t="shared" si="258"/>
        <v>4555165</v>
      </c>
      <c r="S1401" s="19">
        <f t="shared" si="259"/>
        <v>0.9993765319148703</v>
      </c>
      <c r="T1401" s="19">
        <f t="shared" si="260"/>
        <v>6.2346808512973731E-4</v>
      </c>
    </row>
    <row r="1402" spans="1:20" x14ac:dyDescent="0.2">
      <c r="A1402" s="9">
        <v>45982</v>
      </c>
      <c r="B1402" s="4" t="s">
        <v>222</v>
      </c>
      <c r="C1402" s="8">
        <v>45962</v>
      </c>
      <c r="D1402" s="4" t="s">
        <v>195</v>
      </c>
      <c r="E1402" s="14">
        <f>IF(SUMIFS('Daily NSE Equity Futures'!$I:$I,'Daily NSE Equity Futures'!$A:$A,$A1402)=0,"",SUMIFS('Daily NSE Equity Futures'!$I:$I,'Daily NSE Equity Futures'!$A:$A,$A1402))</f>
        <v>3994.8391999999999</v>
      </c>
      <c r="F1402" s="6">
        <f>IF(SUMIFS('Daily BSE Equity Futures'!$I:$I,'Daily BSE Equity Futures'!$A:$A,$A1402)=0,"",SUMIFS('Daily BSE Equity Futures'!$I:$I,'Daily BSE Equity Futures'!$A:$A,$A1402))</f>
        <v>2.9342000000000001</v>
      </c>
      <c r="G1402" s="6">
        <f t="shared" si="252"/>
        <v>3997.7734</v>
      </c>
      <c r="H1402" s="15">
        <f t="shared" si="253"/>
        <v>0.99926604144196862</v>
      </c>
      <c r="I1402" s="15">
        <f t="shared" si="254"/>
        <v>7.3395855803132812E-4</v>
      </c>
      <c r="J1402" s="20">
        <f t="shared" si="255"/>
        <v>1.5990808187271472</v>
      </c>
      <c r="K1402" s="15">
        <f t="shared" si="256"/>
        <v>1.5164665523156091</v>
      </c>
      <c r="L1402" s="15">
        <f t="shared" si="257"/>
        <v>1.5990181941585742</v>
      </c>
      <c r="M1402" s="15">
        <f t="shared" si="261"/>
        <v>0.19024713653595904</v>
      </c>
      <c r="N1402" s="15">
        <f t="shared" si="262"/>
        <v>-0.39082774513671181</v>
      </c>
      <c r="O1402" s="15">
        <f t="shared" si="263"/>
        <v>0.18941442088746774</v>
      </c>
      <c r="P1402" s="18">
        <f>IF(SUMIFS('Daily NSE Equity Futures'!$J:$J,'Daily NSE Equity Futures'!$A:$A,$A1402)=0,"",SUMIFS('Daily NSE Equity Futures'!$J:$J,'Daily NSE Equity Futures'!$A:$A,$A1402))</f>
        <v>5332733</v>
      </c>
      <c r="Q1402" s="7">
        <f>IF(SUMIFS('Daily BSE Equity Futures'!$J:$J,'Daily BSE Equity Futures'!$A:$A,$A1402)=0,"",SUMIFS('Daily BSE Equity Futures'!$J:$J,'Daily BSE Equity Futures'!$A:$A,$A1402))</f>
        <v>1748</v>
      </c>
      <c r="R1402" s="7">
        <f t="shared" si="258"/>
        <v>5334481</v>
      </c>
      <c r="S1402" s="19">
        <f t="shared" si="259"/>
        <v>0.99967232051252974</v>
      </c>
      <c r="T1402" s="19">
        <f t="shared" si="260"/>
        <v>3.2767948747028998E-4</v>
      </c>
    </row>
    <row r="1403" spans="1:20" x14ac:dyDescent="0.2">
      <c r="A1403" s="9">
        <v>45985</v>
      </c>
      <c r="B1403" s="4" t="s">
        <v>225</v>
      </c>
      <c r="C1403" s="8">
        <v>45962</v>
      </c>
      <c r="D1403" s="4" t="s">
        <v>195</v>
      </c>
      <c r="E1403" s="14">
        <f>IF(SUMIFS('Daily NSE Equity Futures'!$I:$I,'Daily NSE Equity Futures'!$A:$A,$A1403)=0,"",SUMIFS('Daily NSE Equity Futures'!$I:$I,'Daily NSE Equity Futures'!$A:$A,$A1403))</f>
        <v>3902.7177000000001</v>
      </c>
      <c r="F1403" s="6">
        <f>IF(SUMIFS('Daily BSE Equity Futures'!$I:$I,'Daily BSE Equity Futures'!$A:$A,$A1403)=0,"",SUMIFS('Daily BSE Equity Futures'!$I:$I,'Daily BSE Equity Futures'!$A:$A,$A1403))</f>
        <v>1.8782000000000001</v>
      </c>
      <c r="G1403" s="6">
        <f t="shared" si="252"/>
        <v>3904.5959000000003</v>
      </c>
      <c r="H1403" s="15">
        <f t="shared" si="253"/>
        <v>0.99951897711105009</v>
      </c>
      <c r="I1403" s="15">
        <f t="shared" si="254"/>
        <v>4.8102288894991666E-4</v>
      </c>
      <c r="J1403" s="20" t="str">
        <f t="shared" si="255"/>
        <v/>
      </c>
      <c r="K1403" s="15" t="str">
        <f t="shared" si="256"/>
        <v/>
      </c>
      <c r="L1403" s="15" t="str">
        <f t="shared" si="257"/>
        <v/>
      </c>
      <c r="M1403" s="15">
        <f t="shared" si="261"/>
        <v>-2.3060127176082523E-2</v>
      </c>
      <c r="N1403" s="15">
        <f t="shared" si="262"/>
        <v>-0.35989366777997411</v>
      </c>
      <c r="O1403" s="15">
        <f t="shared" si="263"/>
        <v>-2.3307349035840752E-2</v>
      </c>
      <c r="P1403" s="18">
        <f>IF(SUMIFS('Daily NSE Equity Futures'!$J:$J,'Daily NSE Equity Futures'!$A:$A,$A1403)=0,"",SUMIFS('Daily NSE Equity Futures'!$J:$J,'Daily NSE Equity Futures'!$A:$A,$A1403))</f>
        <v>5277917</v>
      </c>
      <c r="Q1403" s="7">
        <f>IF(SUMIFS('Daily BSE Equity Futures'!$J:$J,'Daily BSE Equity Futures'!$A:$A,$A1403)=0,"",SUMIFS('Daily BSE Equity Futures'!$J:$J,'Daily BSE Equity Futures'!$A:$A,$A1403))</f>
        <v>1148</v>
      </c>
      <c r="R1403" s="7">
        <f t="shared" si="258"/>
        <v>5279065</v>
      </c>
      <c r="S1403" s="19">
        <f t="shared" si="259"/>
        <v>0.99978253724854682</v>
      </c>
      <c r="T1403" s="19">
        <f t="shared" si="260"/>
        <v>2.1746275145314558E-4</v>
      </c>
    </row>
    <row r="1404" spans="1:20" x14ac:dyDescent="0.2">
      <c r="A1404" s="9">
        <v>45986</v>
      </c>
      <c r="B1404" s="4" t="s">
        <v>223</v>
      </c>
      <c r="C1404" s="8">
        <v>45962</v>
      </c>
      <c r="D1404" s="4" t="s">
        <v>195</v>
      </c>
      <c r="E1404" s="14">
        <f>IF(SUMIFS('Daily NSE Equity Futures'!$I:$I,'Daily NSE Equity Futures'!$A:$A,$A1404)=0,"",SUMIFS('Daily NSE Equity Futures'!$I:$I,'Daily NSE Equity Futures'!$A:$A,$A1404))</f>
        <v>2783.3652999999999</v>
      </c>
      <c r="F1404" s="6">
        <f>IF(SUMIFS('Daily BSE Equity Futures'!$I:$I,'Daily BSE Equity Futures'!$A:$A,$A1404)=0,"",SUMIFS('Daily BSE Equity Futures'!$I:$I,'Daily BSE Equity Futures'!$A:$A,$A1404))</f>
        <v>5.2534999999999998</v>
      </c>
      <c r="G1404" s="6">
        <f t="shared" si="252"/>
        <v>2788.6187999999997</v>
      </c>
      <c r="H1404" s="15">
        <f t="shared" si="253"/>
        <v>0.99811609245408528</v>
      </c>
      <c r="I1404" s="15">
        <f t="shared" si="254"/>
        <v>1.8839075459148452E-3</v>
      </c>
      <c r="J1404" s="20">
        <f t="shared" si="255"/>
        <v>-0.26182596257341484</v>
      </c>
      <c r="K1404" s="15">
        <f t="shared" si="256"/>
        <v>2.7399444721292801</v>
      </c>
      <c r="L1404" s="15">
        <f t="shared" si="257"/>
        <v>-0.26070810144566836</v>
      </c>
      <c r="M1404" s="15">
        <f t="shared" si="261"/>
        <v>-0.28681357096363902</v>
      </c>
      <c r="N1404" s="15">
        <f t="shared" si="262"/>
        <v>1.7970929613459692</v>
      </c>
      <c r="O1404" s="15">
        <f t="shared" si="263"/>
        <v>-0.28581116422316599</v>
      </c>
      <c r="P1404" s="18">
        <f>IF(SUMIFS('Daily NSE Equity Futures'!$J:$J,'Daily NSE Equity Futures'!$A:$A,$A1404)=0,"",SUMIFS('Daily NSE Equity Futures'!$J:$J,'Daily NSE Equity Futures'!$A:$A,$A1404))</f>
        <v>3704018</v>
      </c>
      <c r="Q1404" s="7">
        <f>IF(SUMIFS('Daily BSE Equity Futures'!$J:$J,'Daily BSE Equity Futures'!$A:$A,$A1404)=0,"",SUMIFS('Daily BSE Equity Futures'!$J:$J,'Daily BSE Equity Futures'!$A:$A,$A1404))</f>
        <v>3077</v>
      </c>
      <c r="R1404" s="7">
        <f t="shared" si="258"/>
        <v>3707095</v>
      </c>
      <c r="S1404" s="19">
        <f t="shared" si="259"/>
        <v>0.99916997001695396</v>
      </c>
      <c r="T1404" s="19">
        <f t="shared" si="260"/>
        <v>8.3002998304602396E-4</v>
      </c>
    </row>
    <row r="1405" spans="1:20" x14ac:dyDescent="0.2">
      <c r="A1405" s="9">
        <v>45987</v>
      </c>
      <c r="B1405" s="4" t="s">
        <v>221</v>
      </c>
      <c r="C1405" s="8">
        <v>45962</v>
      </c>
      <c r="D1405" s="4" t="s">
        <v>195</v>
      </c>
      <c r="E1405" s="14">
        <f>IF(SUMIFS('Daily NSE Equity Futures'!$I:$I,'Daily NSE Equity Futures'!$A:$A,$A1405)=0,"",SUMIFS('Daily NSE Equity Futures'!$I:$I,'Daily NSE Equity Futures'!$A:$A,$A1405))</f>
        <v>1012.2788</v>
      </c>
      <c r="F1405" s="6">
        <f>IF(SUMIFS('Daily BSE Equity Futures'!$I:$I,'Daily BSE Equity Futures'!$A:$A,$A1405)=0,"",SUMIFS('Daily BSE Equity Futures'!$I:$I,'Daily BSE Equity Futures'!$A:$A,$A1405))</f>
        <v>4.8489000000000004</v>
      </c>
      <c r="G1405" s="6">
        <f t="shared" si="252"/>
        <v>1017.1277</v>
      </c>
      <c r="H1405" s="15">
        <f t="shared" si="253"/>
        <v>0.99523275199367789</v>
      </c>
      <c r="I1405" s="15">
        <f t="shared" si="254"/>
        <v>4.7672480063221173E-3</v>
      </c>
      <c r="J1405" s="20">
        <f t="shared" si="255"/>
        <v>-0.69314138287763383</v>
      </c>
      <c r="K1405" s="15">
        <f t="shared" si="256"/>
        <v>7.6960186513629854</v>
      </c>
      <c r="L1405" s="15">
        <f t="shared" si="257"/>
        <v>-0.69172361208860311</v>
      </c>
      <c r="M1405" s="15">
        <f t="shared" si="261"/>
        <v>-0.63631119494088684</v>
      </c>
      <c r="N1405" s="15">
        <f t="shared" si="262"/>
        <v>-7.7015323117921253E-2</v>
      </c>
      <c r="O1405" s="15">
        <f t="shared" si="263"/>
        <v>-0.63525753322756051</v>
      </c>
      <c r="P1405" s="18">
        <f>IF(SUMIFS('Daily NSE Equity Futures'!$J:$J,'Daily NSE Equity Futures'!$A:$A,$A1405)=0,"",SUMIFS('Daily NSE Equity Futures'!$J:$J,'Daily NSE Equity Futures'!$A:$A,$A1405))</f>
        <v>1181572</v>
      </c>
      <c r="Q1405" s="7">
        <f>IF(SUMIFS('Daily BSE Equity Futures'!$J:$J,'Daily BSE Equity Futures'!$A:$A,$A1405)=0,"",SUMIFS('Daily BSE Equity Futures'!$J:$J,'Daily BSE Equity Futures'!$A:$A,$A1405))</f>
        <v>2873</v>
      </c>
      <c r="R1405" s="7">
        <f t="shared" si="258"/>
        <v>1184445</v>
      </c>
      <c r="S1405" s="19">
        <f t="shared" si="259"/>
        <v>0.99757439138161752</v>
      </c>
      <c r="T1405" s="19">
        <f t="shared" si="260"/>
        <v>2.4256086183824491E-3</v>
      </c>
    </row>
    <row r="1406" spans="1:20" x14ac:dyDescent="0.2">
      <c r="A1406" s="9">
        <v>45988</v>
      </c>
      <c r="B1406" s="4" t="s">
        <v>224</v>
      </c>
      <c r="C1406" s="8">
        <v>45962</v>
      </c>
      <c r="D1406" s="4" t="s">
        <v>195</v>
      </c>
      <c r="E1406" s="14">
        <f>IF(SUMIFS('Daily NSE Equity Futures'!$I:$I,'Daily NSE Equity Futures'!$A:$A,$A1406)=0,"",SUMIFS('Daily NSE Equity Futures'!$I:$I,'Daily NSE Equity Futures'!$A:$A,$A1406))</f>
        <v>889.86670000000004</v>
      </c>
      <c r="F1406" s="6">
        <f>IF(SUMIFS('Daily BSE Equity Futures'!$I:$I,'Daily BSE Equity Futures'!$A:$A,$A1406)=0,"",SUMIFS('Daily BSE Equity Futures'!$I:$I,'Daily BSE Equity Futures'!$A:$A,$A1406))</f>
        <v>5.8742000000000001</v>
      </c>
      <c r="G1406" s="6">
        <f t="shared" si="252"/>
        <v>895.74090000000001</v>
      </c>
      <c r="H1406" s="15">
        <f t="shared" si="253"/>
        <v>0.99344207683270913</v>
      </c>
      <c r="I1406" s="15">
        <f t="shared" si="254"/>
        <v>6.5579231672908984E-3</v>
      </c>
      <c r="J1406" s="20">
        <f t="shared" si="255"/>
        <v>-0.72892495424314119</v>
      </c>
      <c r="K1406" s="15">
        <f t="shared" si="256"/>
        <v>12.949655663737831</v>
      </c>
      <c r="L1406" s="15">
        <f t="shared" si="257"/>
        <v>-0.72717052784320435</v>
      </c>
      <c r="M1406" s="15">
        <f t="shared" si="261"/>
        <v>-0.120927258379806</v>
      </c>
      <c r="N1406" s="15">
        <f t="shared" si="262"/>
        <v>0.21145001959207232</v>
      </c>
      <c r="O1406" s="15">
        <f t="shared" si="263"/>
        <v>-0.11934273346404778</v>
      </c>
      <c r="P1406" s="18">
        <f>IF(SUMIFS('Daily NSE Equity Futures'!$J:$J,'Daily NSE Equity Futures'!$A:$A,$A1406)=0,"",SUMIFS('Daily NSE Equity Futures'!$J:$J,'Daily NSE Equity Futures'!$A:$A,$A1406))</f>
        <v>1056822</v>
      </c>
      <c r="Q1406" s="7">
        <f>IF(SUMIFS('Daily BSE Equity Futures'!$J:$J,'Daily BSE Equity Futures'!$A:$A,$A1406)=0,"",SUMIFS('Daily BSE Equity Futures'!$J:$J,'Daily BSE Equity Futures'!$A:$A,$A1406))</f>
        <v>3414</v>
      </c>
      <c r="R1406" s="7">
        <f t="shared" si="258"/>
        <v>1060236</v>
      </c>
      <c r="S1406" s="19">
        <f t="shared" si="259"/>
        <v>0.99677996219709575</v>
      </c>
      <c r="T1406" s="19">
        <f t="shared" si="260"/>
        <v>3.220037802904259E-3</v>
      </c>
    </row>
    <row r="1407" spans="1:20" x14ac:dyDescent="0.2">
      <c r="A1407" s="9">
        <v>45989</v>
      </c>
      <c r="B1407" s="4" t="s">
        <v>222</v>
      </c>
      <c r="C1407" s="8">
        <v>45962</v>
      </c>
      <c r="D1407" s="4" t="s">
        <v>195</v>
      </c>
      <c r="E1407" s="14">
        <f>IF(SUMIFS('Daily NSE Equity Futures'!$I:$I,'Daily NSE Equity Futures'!$A:$A,$A1407)=0,"",SUMIFS('Daily NSE Equity Futures'!$I:$I,'Daily NSE Equity Futures'!$A:$A,$A1407))</f>
        <v>679.13980000000004</v>
      </c>
      <c r="F1407" s="6">
        <f>IF(SUMIFS('Daily BSE Equity Futures'!$I:$I,'Daily BSE Equity Futures'!$A:$A,$A1407)=0,"",SUMIFS('Daily BSE Equity Futures'!$I:$I,'Daily BSE Equity Futures'!$A:$A,$A1407))</f>
        <v>1.3927</v>
      </c>
      <c r="G1407" s="6">
        <f t="shared" si="252"/>
        <v>680.53250000000003</v>
      </c>
      <c r="H1407" s="15">
        <f t="shared" si="253"/>
        <v>0.99795351434354718</v>
      </c>
      <c r="I1407" s="15">
        <f t="shared" si="254"/>
        <v>2.0464856564528511E-3</v>
      </c>
      <c r="J1407" s="20">
        <f t="shared" si="255"/>
        <v>-0.80658510225255764</v>
      </c>
      <c r="K1407" s="15">
        <f t="shared" si="256"/>
        <v>-0.25151824582146498</v>
      </c>
      <c r="L1407" s="15">
        <f t="shared" si="257"/>
        <v>-0.80629111918649909</v>
      </c>
      <c r="M1407" s="15">
        <f t="shared" si="261"/>
        <v>-0.23680726562753729</v>
      </c>
      <c r="N1407" s="15">
        <f t="shared" si="262"/>
        <v>-0.76291239658166221</v>
      </c>
      <c r="O1407" s="15">
        <f t="shared" si="263"/>
        <v>-0.24025742265425187</v>
      </c>
      <c r="P1407" s="18">
        <f>IF(SUMIFS('Daily NSE Equity Futures'!$J:$J,'Daily NSE Equity Futures'!$A:$A,$A1407)=0,"",SUMIFS('Daily NSE Equity Futures'!$J:$J,'Daily NSE Equity Futures'!$A:$A,$A1407))</f>
        <v>849872</v>
      </c>
      <c r="Q1407" s="7">
        <f>IF(SUMIFS('Daily BSE Equity Futures'!$J:$J,'Daily BSE Equity Futures'!$A:$A,$A1407)=0,"",SUMIFS('Daily BSE Equity Futures'!$J:$J,'Daily BSE Equity Futures'!$A:$A,$A1407))</f>
        <v>825</v>
      </c>
      <c r="R1407" s="7">
        <f t="shared" si="258"/>
        <v>850697</v>
      </c>
      <c r="S1407" s="19">
        <f t="shared" si="259"/>
        <v>0.99903020699497003</v>
      </c>
      <c r="T1407" s="19">
        <f t="shared" si="260"/>
        <v>9.6979300502999307E-4</v>
      </c>
    </row>
    <row r="1408" spans="1:20" x14ac:dyDescent="0.2">
      <c r="A1408" s="9">
        <v>45992</v>
      </c>
      <c r="B1408" s="4" t="s">
        <v>225</v>
      </c>
      <c r="C1408" s="8">
        <v>45992</v>
      </c>
      <c r="D1408" s="4" t="s">
        <v>195</v>
      </c>
      <c r="E1408" s="14">
        <f>IF(SUMIFS('Daily NSE Equity Futures'!$I:$I,'Daily NSE Equity Futures'!$A:$A,$A1408)=0,"",SUMIFS('Daily NSE Equity Futures'!$I:$I,'Daily NSE Equity Futures'!$A:$A,$A1408))</f>
        <v>825.64599999999996</v>
      </c>
      <c r="F1408" s="6">
        <f>IF(SUMIFS('Daily BSE Equity Futures'!$I:$I,'Daily BSE Equity Futures'!$A:$A,$A1408)=0,"",SUMIFS('Daily BSE Equity Futures'!$I:$I,'Daily BSE Equity Futures'!$A:$A,$A1408))</f>
        <v>2.0223</v>
      </c>
      <c r="G1408" s="6">
        <f t="shared" si="252"/>
        <v>827.66829999999993</v>
      </c>
      <c r="H1408" s="15">
        <f t="shared" si="253"/>
        <v>0.997556629872136</v>
      </c>
      <c r="I1408" s="15">
        <f t="shared" si="254"/>
        <v>2.4433701278640248E-3</v>
      </c>
      <c r="J1408" s="20" t="str">
        <f t="shared" si="255"/>
        <v/>
      </c>
      <c r="K1408" s="15" t="str">
        <f t="shared" si="256"/>
        <v/>
      </c>
      <c r="L1408" s="15" t="str">
        <f t="shared" si="257"/>
        <v/>
      </c>
      <c r="M1408" s="15">
        <f t="shared" si="261"/>
        <v>0.21572318394533774</v>
      </c>
      <c r="N1408" s="15">
        <f t="shared" si="262"/>
        <v>0.45207151576075244</v>
      </c>
      <c r="O1408" s="15">
        <f t="shared" si="263"/>
        <v>0.21620686741632467</v>
      </c>
      <c r="P1408" s="18">
        <f>IF(SUMIFS('Daily NSE Equity Futures'!$J:$J,'Daily NSE Equity Futures'!$A:$A,$A1408)=0,"",SUMIFS('Daily NSE Equity Futures'!$J:$J,'Daily NSE Equity Futures'!$A:$A,$A1408))</f>
        <v>977509</v>
      </c>
      <c r="Q1408" s="7">
        <f>IF(SUMIFS('Daily BSE Equity Futures'!$J:$J,'Daily BSE Equity Futures'!$A:$A,$A1408)=0,"",SUMIFS('Daily BSE Equity Futures'!$J:$J,'Daily BSE Equity Futures'!$A:$A,$A1408))</f>
        <v>1174</v>
      </c>
      <c r="R1408" s="7">
        <f t="shared" si="258"/>
        <v>978683</v>
      </c>
      <c r="S1408" s="19">
        <f t="shared" si="259"/>
        <v>0.99880042873943864</v>
      </c>
      <c r="T1408" s="19">
        <f t="shared" si="260"/>
        <v>1.1995712605613871E-3</v>
      </c>
    </row>
    <row r="1409" spans="1:20" x14ac:dyDescent="0.2">
      <c r="A1409" s="9">
        <v>45993</v>
      </c>
      <c r="B1409" s="4" t="s">
        <v>223</v>
      </c>
      <c r="C1409" s="8">
        <v>45992</v>
      </c>
      <c r="D1409" s="4" t="s">
        <v>195</v>
      </c>
      <c r="E1409" s="14">
        <f>IF(SUMIFS('Daily NSE Equity Futures'!$I:$I,'Daily NSE Equity Futures'!$A:$A,$A1409)=0,"",SUMIFS('Daily NSE Equity Futures'!$I:$I,'Daily NSE Equity Futures'!$A:$A,$A1409))</f>
        <v>833.40589999999997</v>
      </c>
      <c r="F1409" s="6">
        <f>IF(SUMIFS('Daily BSE Equity Futures'!$I:$I,'Daily BSE Equity Futures'!$A:$A,$A1409)=0,"",SUMIFS('Daily BSE Equity Futures'!$I:$I,'Daily BSE Equity Futures'!$A:$A,$A1409))</f>
        <v>2.0798999999999999</v>
      </c>
      <c r="G1409" s="6">
        <f t="shared" si="252"/>
        <v>835.48579999999993</v>
      </c>
      <c r="H1409" s="15">
        <f t="shared" si="253"/>
        <v>0.99751055014938617</v>
      </c>
      <c r="I1409" s="15">
        <f t="shared" si="254"/>
        <v>2.4894498506138583E-3</v>
      </c>
      <c r="J1409" s="20">
        <f t="shared" si="255"/>
        <v>-0.18849744656988754</v>
      </c>
      <c r="K1409" s="15">
        <f t="shared" si="256"/>
        <v>0.88107081486840921</v>
      </c>
      <c r="L1409" s="15">
        <f t="shared" si="257"/>
        <v>-0.18734714474356895</v>
      </c>
      <c r="M1409" s="15">
        <f t="shared" si="261"/>
        <v>9.3985800209774872E-3</v>
      </c>
      <c r="N1409" s="15">
        <f t="shared" si="262"/>
        <v>2.8482421005785463E-2</v>
      </c>
      <c r="O1409" s="15">
        <f t="shared" si="263"/>
        <v>9.4452089079646306E-3</v>
      </c>
      <c r="P1409" s="18">
        <f>IF(SUMIFS('Daily NSE Equity Futures'!$J:$J,'Daily NSE Equity Futures'!$A:$A,$A1409)=0,"",SUMIFS('Daily NSE Equity Futures'!$J:$J,'Daily NSE Equity Futures'!$A:$A,$A1409))</f>
        <v>987695</v>
      </c>
      <c r="Q1409" s="7">
        <f>IF(SUMIFS('Daily BSE Equity Futures'!$J:$J,'Daily BSE Equity Futures'!$A:$A,$A1409)=0,"",SUMIFS('Daily BSE Equity Futures'!$J:$J,'Daily BSE Equity Futures'!$A:$A,$A1409))</f>
        <v>1217</v>
      </c>
      <c r="R1409" s="7">
        <f t="shared" si="258"/>
        <v>988912</v>
      </c>
      <c r="S1409" s="19">
        <f t="shared" si="259"/>
        <v>0.99876935460384741</v>
      </c>
      <c r="T1409" s="19">
        <f t="shared" si="260"/>
        <v>1.2306453961525394E-3</v>
      </c>
    </row>
    <row r="1410" spans="1:20" x14ac:dyDescent="0.2">
      <c r="A1410" s="9">
        <v>45994</v>
      </c>
      <c r="B1410" s="4" t="s">
        <v>221</v>
      </c>
      <c r="C1410" s="8">
        <v>45992</v>
      </c>
      <c r="D1410" s="4" t="s">
        <v>195</v>
      </c>
      <c r="E1410" s="14">
        <f>IF(SUMIFS('Daily NSE Equity Futures'!$I:$I,'Daily NSE Equity Futures'!$A:$A,$A1410)=0,"",SUMIFS('Daily NSE Equity Futures'!$I:$I,'Daily NSE Equity Futures'!$A:$A,$A1410))</f>
        <v>1008.955</v>
      </c>
      <c r="F1410" s="6">
        <f>IF(SUMIFS('Daily BSE Equity Futures'!$I:$I,'Daily BSE Equity Futures'!$A:$A,$A1410)=0,"",SUMIFS('Daily BSE Equity Futures'!$I:$I,'Daily BSE Equity Futures'!$A:$A,$A1410))</f>
        <v>2.2833999999999999</v>
      </c>
      <c r="G1410" s="6">
        <f t="shared" ref="G1410:G1473" si="264">IF(OR(E1410="",F1410=""),"",E1410+F1410)</f>
        <v>1011.2384000000001</v>
      </c>
      <c r="H1410" s="15">
        <f t="shared" ref="H1410:H1473" si="265">IF(G1410="","",E1410/G1410)</f>
        <v>0.99774197657051</v>
      </c>
      <c r="I1410" s="15">
        <f t="shared" ref="I1410:I1473" si="266">IF(G1410="","",F1410/G1410)</f>
        <v>2.2580234294900191E-3</v>
      </c>
      <c r="J1410" s="20">
        <f t="shared" ref="J1410:J1473" si="267">IFERROR(IF(OR(E1410="",INDEX(E:E,MATCH(DATE(YEAR($A1410)-1,MONTH($A1410),DAY($A1410)),$A:$A,0))=""),"",E1410/INDEX(E:E,MATCH(DATE(YEAR($A1410)-1,MONTH($A1410),DAY($A1410)),$A:$A,0))-1),"")</f>
        <v>-0.10334231838028496</v>
      </c>
      <c r="K1410" s="15">
        <f t="shared" ref="K1410:K1473" si="268">IFERROR(IF(OR(F1410="",INDEX(F:F,MATCH(DATE(YEAR($A1410)-1,MONTH($A1410),DAY($A1410)),$A:$A,0))=""),"",F1410/INDEX(F:F,MATCH(DATE(YEAR($A1410)-1,MONTH($A1410),DAY($A1410)),$A:$A,0))-1),"")</f>
        <v>1.3694095672927258</v>
      </c>
      <c r="L1410" s="15">
        <f t="shared" ref="L1410:L1473" si="269">IFERROR(IF(OR(G1410="",INDEX(G:G,MATCH(DATE(YEAR($A1410)-1,MONTH($A1410),DAY($A1410)),$A:$A,0))=""),"",G1410/INDEX(G:G,MATCH(DATE(YEAR($A1410)-1,MONTH($A1410),DAY($A1410)),$A:$A,0))-1),"")</f>
        <v>-0.10208207467992458</v>
      </c>
      <c r="M1410" s="15">
        <f t="shared" si="261"/>
        <v>0.21064057741851849</v>
      </c>
      <c r="N1410" s="15">
        <f t="shared" si="262"/>
        <v>9.7841242367421533E-2</v>
      </c>
      <c r="O1410" s="15">
        <f t="shared" si="263"/>
        <v>0.21035976913072618</v>
      </c>
      <c r="P1410" s="18">
        <f>IF(SUMIFS('Daily NSE Equity Futures'!$J:$J,'Daily NSE Equity Futures'!$A:$A,$A1410)=0,"",SUMIFS('Daily NSE Equity Futures'!$J:$J,'Daily NSE Equity Futures'!$A:$A,$A1410))</f>
        <v>1218501</v>
      </c>
      <c r="Q1410" s="7">
        <f>IF(SUMIFS('Daily BSE Equity Futures'!$J:$J,'Daily BSE Equity Futures'!$A:$A,$A1410)=0,"",SUMIFS('Daily BSE Equity Futures'!$J:$J,'Daily BSE Equity Futures'!$A:$A,$A1410))</f>
        <v>1393</v>
      </c>
      <c r="R1410" s="7">
        <f t="shared" ref="R1410:R1473" si="270">IF(OR(P1410="",Q1410=""),"",P1410+Q1410)</f>
        <v>1219894</v>
      </c>
      <c r="S1410" s="19">
        <f t="shared" ref="S1410:S1473" si="271">IF(R1410="","",P1410/R1410)</f>
        <v>0.99885809750683252</v>
      </c>
      <c r="T1410" s="19">
        <f t="shared" ref="T1410:T1473" si="272">IF(R1410="","",Q1410/R1410)</f>
        <v>1.1419024931674392E-3</v>
      </c>
    </row>
    <row r="1411" spans="1:20" x14ac:dyDescent="0.2">
      <c r="A1411" s="9">
        <v>45995</v>
      </c>
      <c r="B1411" s="4" t="s">
        <v>224</v>
      </c>
      <c r="C1411" s="8">
        <v>45992</v>
      </c>
      <c r="D1411" s="4" t="s">
        <v>195</v>
      </c>
      <c r="E1411" s="14">
        <f>IF(SUMIFS('Daily NSE Equity Futures'!$I:$I,'Daily NSE Equity Futures'!$A:$A,$A1411)=0,"",SUMIFS('Daily NSE Equity Futures'!$I:$I,'Daily NSE Equity Futures'!$A:$A,$A1411))</f>
        <v>836.47069999999997</v>
      </c>
      <c r="F1411" s="6">
        <f>IF(SUMIFS('Daily BSE Equity Futures'!$I:$I,'Daily BSE Equity Futures'!$A:$A,$A1411)=0,"",SUMIFS('Daily BSE Equity Futures'!$I:$I,'Daily BSE Equity Futures'!$A:$A,$A1411))</f>
        <v>3.3742000000000001</v>
      </c>
      <c r="G1411" s="6">
        <f t="shared" si="264"/>
        <v>839.84489999999994</v>
      </c>
      <c r="H1411" s="15">
        <f t="shared" si="265"/>
        <v>0.99598235340834962</v>
      </c>
      <c r="I1411" s="15">
        <f t="shared" si="266"/>
        <v>4.017646591650435E-3</v>
      </c>
      <c r="J1411" s="20">
        <f t="shared" si="267"/>
        <v>-0.32941849126942846</v>
      </c>
      <c r="K1411" s="15">
        <f t="shared" si="268"/>
        <v>1.9976901208244495</v>
      </c>
      <c r="L1411" s="15">
        <f t="shared" si="269"/>
        <v>-0.32732047012643195</v>
      </c>
      <c r="M1411" s="15">
        <f t="shared" ref="M1411:M1474" si="273">IF(OR(E1411="",E1410=""),"",E1411/E1410-1)</f>
        <v>-0.17095341219380455</v>
      </c>
      <c r="N1411" s="15">
        <f t="shared" ref="N1411:N1474" si="274">IF(OR(F1411="",F1410=""),"",F1411/F1410-1)</f>
        <v>0.47770868003853906</v>
      </c>
      <c r="O1411" s="15">
        <f t="shared" ref="O1411:O1474" si="275">IF(OR(G1411="",G1410=""),"",G1411/G1410-1)</f>
        <v>-0.16948871799172194</v>
      </c>
      <c r="P1411" s="18">
        <f>IF(SUMIFS('Daily NSE Equity Futures'!$J:$J,'Daily NSE Equity Futures'!$A:$A,$A1411)=0,"",SUMIFS('Daily NSE Equity Futures'!$J:$J,'Daily NSE Equity Futures'!$A:$A,$A1411))</f>
        <v>1031563</v>
      </c>
      <c r="Q1411" s="7">
        <f>IF(SUMIFS('Daily BSE Equity Futures'!$J:$J,'Daily BSE Equity Futures'!$A:$A,$A1411)=0,"",SUMIFS('Daily BSE Equity Futures'!$J:$J,'Daily BSE Equity Futures'!$A:$A,$A1411))</f>
        <v>1991</v>
      </c>
      <c r="R1411" s="7">
        <f t="shared" si="270"/>
        <v>1033554</v>
      </c>
      <c r="S1411" s="19">
        <f t="shared" si="271"/>
        <v>0.99807363717812514</v>
      </c>
      <c r="T1411" s="19">
        <f t="shared" si="272"/>
        <v>1.9263628218748126E-3</v>
      </c>
    </row>
    <row r="1412" spans="1:20" x14ac:dyDescent="0.2">
      <c r="A1412" s="9">
        <v>45996</v>
      </c>
      <c r="B1412" s="4" t="s">
        <v>222</v>
      </c>
      <c r="C1412" s="8">
        <v>45992</v>
      </c>
      <c r="D1412" s="4" t="s">
        <v>195</v>
      </c>
      <c r="E1412" s="14">
        <f>IF(SUMIFS('Daily NSE Equity Futures'!$I:$I,'Daily NSE Equity Futures'!$A:$A,$A1412)=0,"",SUMIFS('Daily NSE Equity Futures'!$I:$I,'Daily NSE Equity Futures'!$A:$A,$A1412))</f>
        <v>1049.5371</v>
      </c>
      <c r="F1412" s="6">
        <f>IF(SUMIFS('Daily BSE Equity Futures'!$I:$I,'Daily BSE Equity Futures'!$A:$A,$A1412)=0,"",SUMIFS('Daily BSE Equity Futures'!$I:$I,'Daily BSE Equity Futures'!$A:$A,$A1412))</f>
        <v>2.4799000000000002</v>
      </c>
      <c r="G1412" s="6">
        <f t="shared" si="264"/>
        <v>1052.0170000000001</v>
      </c>
      <c r="H1412" s="15">
        <f t="shared" si="265"/>
        <v>0.99764271870131371</v>
      </c>
      <c r="I1412" s="15">
        <f t="shared" si="266"/>
        <v>2.3572812986862382E-3</v>
      </c>
      <c r="J1412" s="20">
        <f t="shared" si="267"/>
        <v>-0.38098028142431439</v>
      </c>
      <c r="K1412" s="15">
        <f t="shared" si="268"/>
        <v>7.3921704486402229E-2</v>
      </c>
      <c r="L1412" s="15">
        <f t="shared" si="269"/>
        <v>-0.38036156025500656</v>
      </c>
      <c r="M1412" s="15">
        <f t="shared" si="273"/>
        <v>0.2547206973298648</v>
      </c>
      <c r="N1412" s="15">
        <f t="shared" si="274"/>
        <v>-0.26504060221682169</v>
      </c>
      <c r="O1412" s="15">
        <f t="shared" si="275"/>
        <v>0.25263248011626915</v>
      </c>
      <c r="P1412" s="18">
        <f>IF(SUMIFS('Daily NSE Equity Futures'!$J:$J,'Daily NSE Equity Futures'!$A:$A,$A1412)=0,"",SUMIFS('Daily NSE Equity Futures'!$J:$J,'Daily NSE Equity Futures'!$A:$A,$A1412))</f>
        <v>1268701</v>
      </c>
      <c r="Q1412" s="7">
        <f>IF(SUMIFS('Daily BSE Equity Futures'!$J:$J,'Daily BSE Equity Futures'!$A:$A,$A1412)=0,"",SUMIFS('Daily BSE Equity Futures'!$J:$J,'Daily BSE Equity Futures'!$A:$A,$A1412))</f>
        <v>1445</v>
      </c>
      <c r="R1412" s="7">
        <f t="shared" si="270"/>
        <v>1270146</v>
      </c>
      <c r="S1412" s="19">
        <f t="shared" si="271"/>
        <v>0.99886233551103576</v>
      </c>
      <c r="T1412" s="19">
        <f t="shared" si="272"/>
        <v>1.1376644889642608E-3</v>
      </c>
    </row>
    <row r="1413" spans="1:20" x14ac:dyDescent="0.2">
      <c r="A1413" s="9">
        <v>45999</v>
      </c>
      <c r="B1413" s="4" t="s">
        <v>225</v>
      </c>
      <c r="C1413" s="8">
        <v>45992</v>
      </c>
      <c r="D1413" s="4" t="s">
        <v>195</v>
      </c>
      <c r="E1413" s="14">
        <f>IF(SUMIFS('Daily NSE Equity Futures'!$I:$I,'Daily NSE Equity Futures'!$A:$A,$A1413)=0,"",SUMIFS('Daily NSE Equity Futures'!$I:$I,'Daily NSE Equity Futures'!$A:$A,$A1413))</f>
        <v>1137.7274</v>
      </c>
      <c r="F1413" s="6">
        <f>IF(SUMIFS('Daily BSE Equity Futures'!$I:$I,'Daily BSE Equity Futures'!$A:$A,$A1413)=0,"",SUMIFS('Daily BSE Equity Futures'!$I:$I,'Daily BSE Equity Futures'!$A:$A,$A1413))</f>
        <v>1.8653</v>
      </c>
      <c r="G1413" s="6">
        <f t="shared" si="264"/>
        <v>1139.5926999999999</v>
      </c>
      <c r="H1413" s="15">
        <f t="shared" si="265"/>
        <v>0.99836318712817318</v>
      </c>
      <c r="I1413" s="15">
        <f t="shared" si="266"/>
        <v>1.6368128718269256E-3</v>
      </c>
      <c r="J1413" s="20" t="str">
        <f t="shared" si="267"/>
        <v/>
      </c>
      <c r="K1413" s="15" t="str">
        <f t="shared" si="268"/>
        <v/>
      </c>
      <c r="L1413" s="15" t="str">
        <f t="shared" si="269"/>
        <v/>
      </c>
      <c r="M1413" s="15">
        <f t="shared" si="273"/>
        <v>8.4027806163307517E-2</v>
      </c>
      <c r="N1413" s="15">
        <f t="shared" si="274"/>
        <v>-0.24783257389410873</v>
      </c>
      <c r="O1413" s="15">
        <f t="shared" si="275"/>
        <v>8.3245517895623289E-2</v>
      </c>
      <c r="P1413" s="18">
        <f>IF(SUMIFS('Daily NSE Equity Futures'!$J:$J,'Daily NSE Equity Futures'!$A:$A,$A1413)=0,"",SUMIFS('Daily NSE Equity Futures'!$J:$J,'Daily NSE Equity Futures'!$A:$A,$A1413))</f>
        <v>1383480</v>
      </c>
      <c r="Q1413" s="7">
        <f>IF(SUMIFS('Daily BSE Equity Futures'!$J:$J,'Daily BSE Equity Futures'!$A:$A,$A1413)=0,"",SUMIFS('Daily BSE Equity Futures'!$J:$J,'Daily BSE Equity Futures'!$A:$A,$A1413))</f>
        <v>1117</v>
      </c>
      <c r="R1413" s="7">
        <f t="shared" si="270"/>
        <v>1384597</v>
      </c>
      <c r="S1413" s="19">
        <f t="shared" si="271"/>
        <v>0.99919326706615719</v>
      </c>
      <c r="T1413" s="19">
        <f t="shared" si="272"/>
        <v>8.0673293384284377E-4</v>
      </c>
    </row>
    <row r="1414" spans="1:20" x14ac:dyDescent="0.2">
      <c r="A1414" s="9">
        <v>46000</v>
      </c>
      <c r="B1414" s="4" t="s">
        <v>223</v>
      </c>
      <c r="C1414" s="8">
        <v>45992</v>
      </c>
      <c r="D1414" s="4" t="s">
        <v>195</v>
      </c>
      <c r="E1414" s="14">
        <f>IF(SUMIFS('Daily NSE Equity Futures'!$I:$I,'Daily NSE Equity Futures'!$A:$A,$A1414)=0,"",SUMIFS('Daily NSE Equity Futures'!$I:$I,'Daily NSE Equity Futures'!$A:$A,$A1414))</f>
        <v>1062.1244999999999</v>
      </c>
      <c r="F1414" s="6">
        <f>IF(SUMIFS('Daily BSE Equity Futures'!$I:$I,'Daily BSE Equity Futures'!$A:$A,$A1414)=0,"",SUMIFS('Daily BSE Equity Futures'!$I:$I,'Daily BSE Equity Futures'!$A:$A,$A1414))</f>
        <v>2.3353000000000002</v>
      </c>
      <c r="G1414" s="6">
        <f t="shared" si="264"/>
        <v>1064.4597999999999</v>
      </c>
      <c r="H1414" s="15">
        <f t="shared" si="265"/>
        <v>0.99780611724369495</v>
      </c>
      <c r="I1414" s="15">
        <f t="shared" si="266"/>
        <v>2.1938827563051234E-3</v>
      </c>
      <c r="J1414" s="20">
        <f t="shared" si="267"/>
        <v>4.7991703088825277E-2</v>
      </c>
      <c r="K1414" s="15">
        <f t="shared" si="268"/>
        <v>1.3653398156588681</v>
      </c>
      <c r="L1414" s="15">
        <f t="shared" si="269"/>
        <v>4.9273765716166373E-2</v>
      </c>
      <c r="M1414" s="15">
        <f t="shared" si="273"/>
        <v>-6.6450803593198216E-2</v>
      </c>
      <c r="N1414" s="15">
        <f t="shared" si="274"/>
        <v>0.25197019246233854</v>
      </c>
      <c r="O1414" s="15">
        <f t="shared" si="275"/>
        <v>-6.5929608008194585E-2</v>
      </c>
      <c r="P1414" s="18">
        <f>IF(SUMIFS('Daily NSE Equity Futures'!$J:$J,'Daily NSE Equity Futures'!$A:$A,$A1414)=0,"",SUMIFS('Daily NSE Equity Futures'!$J:$J,'Daily NSE Equity Futures'!$A:$A,$A1414))</f>
        <v>1293314</v>
      </c>
      <c r="Q1414" s="7">
        <f>IF(SUMIFS('Daily BSE Equity Futures'!$J:$J,'Daily BSE Equity Futures'!$A:$A,$A1414)=0,"",SUMIFS('Daily BSE Equity Futures'!$J:$J,'Daily BSE Equity Futures'!$A:$A,$A1414))</f>
        <v>1387</v>
      </c>
      <c r="R1414" s="7">
        <f t="shared" si="270"/>
        <v>1294701</v>
      </c>
      <c r="S1414" s="19">
        <f t="shared" si="271"/>
        <v>0.99892871018096074</v>
      </c>
      <c r="T1414" s="19">
        <f t="shared" si="272"/>
        <v>1.0712898190392995E-3</v>
      </c>
    </row>
    <row r="1415" spans="1:20" x14ac:dyDescent="0.2">
      <c r="A1415" s="9">
        <v>46001</v>
      </c>
      <c r="B1415" s="4" t="s">
        <v>221</v>
      </c>
      <c r="C1415" s="8">
        <v>45992</v>
      </c>
      <c r="D1415" s="4" t="s">
        <v>195</v>
      </c>
      <c r="E1415" s="14">
        <f>IF(SUMIFS('Daily NSE Equity Futures'!$I:$I,'Daily NSE Equity Futures'!$A:$A,$A1415)=0,"",SUMIFS('Daily NSE Equity Futures'!$I:$I,'Daily NSE Equity Futures'!$A:$A,$A1415))</f>
        <v>902.83879999999999</v>
      </c>
      <c r="F1415" s="6">
        <f>IF(SUMIFS('Daily BSE Equity Futures'!$I:$I,'Daily BSE Equity Futures'!$A:$A,$A1415)=0,"",SUMIFS('Daily BSE Equity Futures'!$I:$I,'Daily BSE Equity Futures'!$A:$A,$A1415))</f>
        <v>2.5301</v>
      </c>
      <c r="G1415" s="6">
        <f t="shared" si="264"/>
        <v>905.36889999999994</v>
      </c>
      <c r="H1415" s="15">
        <f t="shared" si="265"/>
        <v>0.99720544851938264</v>
      </c>
      <c r="I1415" s="15">
        <f t="shared" si="266"/>
        <v>2.7945514806174592E-3</v>
      </c>
      <c r="J1415" s="20">
        <f t="shared" si="267"/>
        <v>-4.4028899835518276E-2</v>
      </c>
      <c r="K1415" s="15">
        <f t="shared" si="268"/>
        <v>1.8184248635401579</v>
      </c>
      <c r="L1415" s="15">
        <f t="shared" si="269"/>
        <v>-4.2260263024634259E-2</v>
      </c>
      <c r="M1415" s="15">
        <f t="shared" si="273"/>
        <v>-0.14996895373376651</v>
      </c>
      <c r="N1415" s="15">
        <f t="shared" si="274"/>
        <v>8.3415407014088006E-2</v>
      </c>
      <c r="O1415" s="15">
        <f t="shared" si="275"/>
        <v>-0.14945693580913055</v>
      </c>
      <c r="P1415" s="18">
        <f>IF(SUMIFS('Daily NSE Equity Futures'!$J:$J,'Daily NSE Equity Futures'!$A:$A,$A1415)=0,"",SUMIFS('Daily NSE Equity Futures'!$J:$J,'Daily NSE Equity Futures'!$A:$A,$A1415))</f>
        <v>1137273</v>
      </c>
      <c r="Q1415" s="7">
        <f>IF(SUMIFS('Daily BSE Equity Futures'!$J:$J,'Daily BSE Equity Futures'!$A:$A,$A1415)=0,"",SUMIFS('Daily BSE Equity Futures'!$J:$J,'Daily BSE Equity Futures'!$A:$A,$A1415))</f>
        <v>1516</v>
      </c>
      <c r="R1415" s="7">
        <f t="shared" si="270"/>
        <v>1138789</v>
      </c>
      <c r="S1415" s="19">
        <f t="shared" si="271"/>
        <v>0.99866876128940485</v>
      </c>
      <c r="T1415" s="19">
        <f t="shared" si="272"/>
        <v>1.3312387105952025E-3</v>
      </c>
    </row>
    <row r="1416" spans="1:20" x14ac:dyDescent="0.2">
      <c r="A1416" s="9">
        <v>46002</v>
      </c>
      <c r="B1416" s="4" t="s">
        <v>224</v>
      </c>
      <c r="C1416" s="8">
        <v>45992</v>
      </c>
      <c r="D1416" s="4" t="s">
        <v>195</v>
      </c>
      <c r="E1416" s="14">
        <f>IF(SUMIFS('Daily NSE Equity Futures'!$I:$I,'Daily NSE Equity Futures'!$A:$A,$A1416)=0,"",SUMIFS('Daily NSE Equity Futures'!$I:$I,'Daily NSE Equity Futures'!$A:$A,$A1416))</f>
        <v>910.59519999999998</v>
      </c>
      <c r="F1416" s="6">
        <f>IF(SUMIFS('Daily BSE Equity Futures'!$I:$I,'Daily BSE Equity Futures'!$A:$A,$A1416)=0,"",SUMIFS('Daily BSE Equity Futures'!$I:$I,'Daily BSE Equity Futures'!$A:$A,$A1416))</f>
        <v>3.7280000000000002</v>
      </c>
      <c r="G1416" s="6">
        <f t="shared" si="264"/>
        <v>914.32319999999993</v>
      </c>
      <c r="H1416" s="15">
        <f t="shared" si="265"/>
        <v>0.99592266717064604</v>
      </c>
      <c r="I1416" s="15">
        <f t="shared" si="266"/>
        <v>4.0773328293539973E-3</v>
      </c>
      <c r="J1416" s="20">
        <f t="shared" si="267"/>
        <v>-4.4270105823451811E-4</v>
      </c>
      <c r="K1416" s="15">
        <f t="shared" si="268"/>
        <v>4.6811947576958248</v>
      </c>
      <c r="L1416" s="15">
        <f t="shared" si="269"/>
        <v>2.9270950942279494E-3</v>
      </c>
      <c r="M1416" s="15">
        <f t="shared" si="273"/>
        <v>8.5911239082767654E-3</v>
      </c>
      <c r="N1416" s="15">
        <f t="shared" si="274"/>
        <v>0.47345954705347615</v>
      </c>
      <c r="O1416" s="15">
        <f t="shared" si="275"/>
        <v>9.8902226484696154E-3</v>
      </c>
      <c r="P1416" s="18">
        <f>IF(SUMIFS('Daily NSE Equity Futures'!$J:$J,'Daily NSE Equity Futures'!$A:$A,$A1416)=0,"",SUMIFS('Daily NSE Equity Futures'!$J:$J,'Daily NSE Equity Futures'!$A:$A,$A1416))</f>
        <v>1116165</v>
      </c>
      <c r="Q1416" s="7">
        <f>IF(SUMIFS('Daily BSE Equity Futures'!$J:$J,'Daily BSE Equity Futures'!$A:$A,$A1416)=0,"",SUMIFS('Daily BSE Equity Futures'!$J:$J,'Daily BSE Equity Futures'!$A:$A,$A1416))</f>
        <v>2215</v>
      </c>
      <c r="R1416" s="7">
        <f t="shared" si="270"/>
        <v>1118380</v>
      </c>
      <c r="S1416" s="19">
        <f t="shared" si="271"/>
        <v>0.99801945671417591</v>
      </c>
      <c r="T1416" s="19">
        <f t="shared" si="272"/>
        <v>1.9805432858241386E-3</v>
      </c>
    </row>
    <row r="1417" spans="1:20" x14ac:dyDescent="0.2">
      <c r="A1417" s="9">
        <v>46003</v>
      </c>
      <c r="B1417" s="4" t="s">
        <v>222</v>
      </c>
      <c r="C1417" s="8">
        <v>45992</v>
      </c>
      <c r="D1417" s="4" t="s">
        <v>195</v>
      </c>
      <c r="E1417" s="14">
        <f>IF(SUMIFS('Daily NSE Equity Futures'!$I:$I,'Daily NSE Equity Futures'!$A:$A,$A1417)=0,"",SUMIFS('Daily NSE Equity Futures'!$I:$I,'Daily NSE Equity Futures'!$A:$A,$A1417))</f>
        <v>908.67970000000003</v>
      </c>
      <c r="F1417" s="6">
        <f>IF(SUMIFS('Daily BSE Equity Futures'!$I:$I,'Daily BSE Equity Futures'!$A:$A,$A1417)=0,"",SUMIFS('Daily BSE Equity Futures'!$I:$I,'Daily BSE Equity Futures'!$A:$A,$A1417))</f>
        <v>1.9955000000000001</v>
      </c>
      <c r="G1417" s="6">
        <f t="shared" si="264"/>
        <v>910.67520000000002</v>
      </c>
      <c r="H1417" s="15">
        <f t="shared" si="265"/>
        <v>0.9978087687026066</v>
      </c>
      <c r="I1417" s="15">
        <f t="shared" si="266"/>
        <v>2.1912312973934064E-3</v>
      </c>
      <c r="J1417" s="20">
        <f t="shared" si="267"/>
        <v>-0.12008260001210436</v>
      </c>
      <c r="K1417" s="15">
        <f t="shared" si="268"/>
        <v>1.2416310941361495</v>
      </c>
      <c r="L1417" s="15">
        <f t="shared" si="269"/>
        <v>-0.11890978298003141</v>
      </c>
      <c r="M1417" s="15">
        <f t="shared" si="273"/>
        <v>-2.1035691820030511E-3</v>
      </c>
      <c r="N1417" s="15">
        <f t="shared" si="274"/>
        <v>-0.4647263948497854</v>
      </c>
      <c r="O1417" s="15">
        <f t="shared" si="275"/>
        <v>-3.9898364167068046E-3</v>
      </c>
      <c r="P1417" s="18">
        <f>IF(SUMIFS('Daily NSE Equity Futures'!$J:$J,'Daily NSE Equity Futures'!$A:$A,$A1417)=0,"",SUMIFS('Daily NSE Equity Futures'!$J:$J,'Daily NSE Equity Futures'!$A:$A,$A1417))</f>
        <v>1137711</v>
      </c>
      <c r="Q1417" s="7">
        <f>IF(SUMIFS('Daily BSE Equity Futures'!$J:$J,'Daily BSE Equity Futures'!$A:$A,$A1417)=0,"",SUMIFS('Daily BSE Equity Futures'!$J:$J,'Daily BSE Equity Futures'!$A:$A,$A1417))</f>
        <v>1206</v>
      </c>
      <c r="R1417" s="7">
        <f t="shared" si="270"/>
        <v>1138917</v>
      </c>
      <c r="S1417" s="19">
        <f t="shared" si="271"/>
        <v>0.99894109930749997</v>
      </c>
      <c r="T1417" s="19">
        <f t="shared" si="272"/>
        <v>1.0589006924999803E-3</v>
      </c>
    </row>
    <row r="1418" spans="1:20" x14ac:dyDescent="0.2">
      <c r="A1418" s="9">
        <v>46006</v>
      </c>
      <c r="B1418" s="4" t="s">
        <v>225</v>
      </c>
      <c r="C1418" s="8">
        <v>45992</v>
      </c>
      <c r="D1418" s="4" t="s">
        <v>195</v>
      </c>
      <c r="E1418" s="14">
        <f>IF(SUMIFS('Daily NSE Equity Futures'!$I:$I,'Daily NSE Equity Futures'!$A:$A,$A1418)=0,"",SUMIFS('Daily NSE Equity Futures'!$I:$I,'Daily NSE Equity Futures'!$A:$A,$A1418))</f>
        <v>819.44590000000005</v>
      </c>
      <c r="F1418" s="6">
        <f>IF(SUMIFS('Daily BSE Equity Futures'!$I:$I,'Daily BSE Equity Futures'!$A:$A,$A1418)=0,"",SUMIFS('Daily BSE Equity Futures'!$I:$I,'Daily BSE Equity Futures'!$A:$A,$A1418))</f>
        <v>1.7114</v>
      </c>
      <c r="G1418" s="6">
        <f t="shared" si="264"/>
        <v>821.15730000000008</v>
      </c>
      <c r="H1418" s="15">
        <f t="shared" si="265"/>
        <v>0.99791586825082113</v>
      </c>
      <c r="I1418" s="15">
        <f t="shared" si="266"/>
        <v>2.0841317491788721E-3</v>
      </c>
      <c r="J1418" s="20" t="str">
        <f t="shared" si="267"/>
        <v/>
      </c>
      <c r="K1418" s="15" t="str">
        <f t="shared" si="268"/>
        <v/>
      </c>
      <c r="L1418" s="15" t="str">
        <f t="shared" si="269"/>
        <v/>
      </c>
      <c r="M1418" s="15">
        <f t="shared" si="273"/>
        <v>-9.8201599529515127E-2</v>
      </c>
      <c r="N1418" s="15">
        <f t="shared" si="274"/>
        <v>-0.14237033324981208</v>
      </c>
      <c r="O1418" s="15">
        <f t="shared" si="275"/>
        <v>-9.8298383441209225E-2</v>
      </c>
      <c r="P1418" s="18">
        <f>IF(SUMIFS('Daily NSE Equity Futures'!$J:$J,'Daily NSE Equity Futures'!$A:$A,$A1418)=0,"",SUMIFS('Daily NSE Equity Futures'!$J:$J,'Daily NSE Equity Futures'!$A:$A,$A1418))</f>
        <v>1029144</v>
      </c>
      <c r="Q1418" s="7">
        <f>IF(SUMIFS('Daily BSE Equity Futures'!$J:$J,'Daily BSE Equity Futures'!$A:$A,$A1418)=0,"",SUMIFS('Daily BSE Equity Futures'!$J:$J,'Daily BSE Equity Futures'!$A:$A,$A1418))</f>
        <v>1009</v>
      </c>
      <c r="R1418" s="7">
        <f t="shared" si="270"/>
        <v>1030153</v>
      </c>
      <c r="S1418" s="19">
        <f t="shared" si="271"/>
        <v>0.99902053384303113</v>
      </c>
      <c r="T1418" s="19">
        <f t="shared" si="272"/>
        <v>9.7946615696891618E-4</v>
      </c>
    </row>
    <row r="1419" spans="1:20" x14ac:dyDescent="0.2">
      <c r="A1419" s="9">
        <v>46007</v>
      </c>
      <c r="B1419" s="4" t="s">
        <v>223</v>
      </c>
      <c r="C1419" s="8">
        <v>45992</v>
      </c>
      <c r="D1419" s="4" t="s">
        <v>195</v>
      </c>
      <c r="E1419" s="14">
        <f>IF(SUMIFS('Daily NSE Equity Futures'!$I:$I,'Daily NSE Equity Futures'!$A:$A,$A1419)=0,"",SUMIFS('Daily NSE Equity Futures'!$I:$I,'Daily NSE Equity Futures'!$A:$A,$A1419))</f>
        <v>934.39099999999996</v>
      </c>
      <c r="F1419" s="6">
        <f>IF(SUMIFS('Daily BSE Equity Futures'!$I:$I,'Daily BSE Equity Futures'!$A:$A,$A1419)=0,"",SUMIFS('Daily BSE Equity Futures'!$I:$I,'Daily BSE Equity Futures'!$A:$A,$A1419))</f>
        <v>1.5802</v>
      </c>
      <c r="G1419" s="6">
        <f t="shared" si="264"/>
        <v>935.97119999999995</v>
      </c>
      <c r="H1419" s="15">
        <f t="shared" si="265"/>
        <v>0.99831170018906568</v>
      </c>
      <c r="I1419" s="15">
        <f t="shared" si="266"/>
        <v>1.6882998109343536E-3</v>
      </c>
      <c r="J1419" s="20">
        <f t="shared" si="267"/>
        <v>-2.248647981374341E-2</v>
      </c>
      <c r="K1419" s="15">
        <f t="shared" si="268"/>
        <v>0.11856728250867121</v>
      </c>
      <c r="L1419" s="15">
        <f t="shared" si="269"/>
        <v>-2.2278324559682705E-2</v>
      </c>
      <c r="M1419" s="15">
        <f t="shared" si="273"/>
        <v>0.14027173728003262</v>
      </c>
      <c r="N1419" s="15">
        <f t="shared" si="274"/>
        <v>-7.6662381675820956E-2</v>
      </c>
      <c r="O1419" s="15">
        <f t="shared" si="275"/>
        <v>0.13981961799523646</v>
      </c>
      <c r="P1419" s="18">
        <f>IF(SUMIFS('Daily NSE Equity Futures'!$J:$J,'Daily NSE Equity Futures'!$A:$A,$A1419)=0,"",SUMIFS('Daily NSE Equity Futures'!$J:$J,'Daily NSE Equity Futures'!$A:$A,$A1419))</f>
        <v>1174708</v>
      </c>
      <c r="Q1419" s="7">
        <f>IF(SUMIFS('Daily BSE Equity Futures'!$J:$J,'Daily BSE Equity Futures'!$A:$A,$A1419)=0,"",SUMIFS('Daily BSE Equity Futures'!$J:$J,'Daily BSE Equity Futures'!$A:$A,$A1419))</f>
        <v>965</v>
      </c>
      <c r="R1419" s="7">
        <f t="shared" si="270"/>
        <v>1175673</v>
      </c>
      <c r="S1419" s="19">
        <f t="shared" si="271"/>
        <v>0.99917919353425655</v>
      </c>
      <c r="T1419" s="19">
        <f t="shared" si="272"/>
        <v>8.2080646574345074E-4</v>
      </c>
    </row>
    <row r="1420" spans="1:20" x14ac:dyDescent="0.2">
      <c r="A1420" s="9">
        <v>46008</v>
      </c>
      <c r="B1420" s="4" t="s">
        <v>221</v>
      </c>
      <c r="C1420" s="8">
        <v>45992</v>
      </c>
      <c r="D1420" s="4" t="s">
        <v>195</v>
      </c>
      <c r="E1420" s="14">
        <f>IF(SUMIFS('Daily NSE Equity Futures'!$I:$I,'Daily NSE Equity Futures'!$A:$A,$A1420)=0,"",SUMIFS('Daily NSE Equity Futures'!$I:$I,'Daily NSE Equity Futures'!$A:$A,$A1420))</f>
        <v>835.61509999999998</v>
      </c>
      <c r="F1420" s="6">
        <f>IF(SUMIFS('Daily BSE Equity Futures'!$I:$I,'Daily BSE Equity Futures'!$A:$A,$A1420)=0,"",SUMIFS('Daily BSE Equity Futures'!$I:$I,'Daily BSE Equity Futures'!$A:$A,$A1420))</f>
        <v>1.6406000000000001</v>
      </c>
      <c r="G1420" s="6">
        <f t="shared" si="264"/>
        <v>837.25569999999993</v>
      </c>
      <c r="H1420" s="15">
        <f t="shared" si="265"/>
        <v>0.99804050303867753</v>
      </c>
      <c r="I1420" s="15">
        <f t="shared" si="266"/>
        <v>1.9594969613225687E-3</v>
      </c>
      <c r="J1420" s="20">
        <f t="shared" si="267"/>
        <v>-0.39257926421132394</v>
      </c>
      <c r="K1420" s="15">
        <f t="shared" si="268"/>
        <v>-0.22929487480621968</v>
      </c>
      <c r="L1420" s="15">
        <f t="shared" si="269"/>
        <v>-0.39232699110172453</v>
      </c>
      <c r="M1420" s="15">
        <f t="shared" si="273"/>
        <v>-0.10571152761531311</v>
      </c>
      <c r="N1420" s="15">
        <f t="shared" si="274"/>
        <v>3.8223009745601777E-2</v>
      </c>
      <c r="O1420" s="15">
        <f t="shared" si="275"/>
        <v>-0.10546852296309972</v>
      </c>
      <c r="P1420" s="18">
        <f>IF(SUMIFS('Daily NSE Equity Futures'!$J:$J,'Daily NSE Equity Futures'!$A:$A,$A1420)=0,"",SUMIFS('Daily NSE Equity Futures'!$J:$J,'Daily NSE Equity Futures'!$A:$A,$A1420))</f>
        <v>1078083</v>
      </c>
      <c r="Q1420" s="7">
        <f>IF(SUMIFS('Daily BSE Equity Futures'!$J:$J,'Daily BSE Equity Futures'!$A:$A,$A1420)=0,"",SUMIFS('Daily BSE Equity Futures'!$J:$J,'Daily BSE Equity Futures'!$A:$A,$A1420))</f>
        <v>974</v>
      </c>
      <c r="R1420" s="7">
        <f t="shared" si="270"/>
        <v>1079057</v>
      </c>
      <c r="S1420" s="19">
        <f t="shared" si="271"/>
        <v>0.99909736000971217</v>
      </c>
      <c r="T1420" s="19">
        <f t="shared" si="272"/>
        <v>9.0263999028781616E-4</v>
      </c>
    </row>
    <row r="1421" spans="1:20" x14ac:dyDescent="0.2">
      <c r="A1421" s="9">
        <v>46009</v>
      </c>
      <c r="B1421" s="4" t="s">
        <v>224</v>
      </c>
      <c r="C1421" s="8">
        <v>45992</v>
      </c>
      <c r="D1421" s="4" t="s">
        <v>195</v>
      </c>
      <c r="E1421" s="14">
        <f>IF(SUMIFS('Daily NSE Equity Futures'!$I:$I,'Daily NSE Equity Futures'!$A:$A,$A1421)=0,"",SUMIFS('Daily NSE Equity Futures'!$I:$I,'Daily NSE Equity Futures'!$A:$A,$A1421))</f>
        <v>1088.8616999999999</v>
      </c>
      <c r="F1421" s="6">
        <f>IF(SUMIFS('Daily BSE Equity Futures'!$I:$I,'Daily BSE Equity Futures'!$A:$A,$A1421)=0,"",SUMIFS('Daily BSE Equity Futures'!$I:$I,'Daily BSE Equity Futures'!$A:$A,$A1421))</f>
        <v>3.0804</v>
      </c>
      <c r="G1421" s="6">
        <f t="shared" si="264"/>
        <v>1091.9421</v>
      </c>
      <c r="H1421" s="15">
        <f t="shared" si="265"/>
        <v>0.99717897130259925</v>
      </c>
      <c r="I1421" s="15">
        <f t="shared" si="266"/>
        <v>2.8210286974007137E-3</v>
      </c>
      <c r="J1421" s="20">
        <f t="shared" si="267"/>
        <v>-0.17557581872539196</v>
      </c>
      <c r="K1421" s="15">
        <f t="shared" si="268"/>
        <v>1.504390243902439</v>
      </c>
      <c r="L1421" s="15">
        <f t="shared" si="269"/>
        <v>-0.17401274538682088</v>
      </c>
      <c r="M1421" s="15">
        <f t="shared" si="273"/>
        <v>0.30306608868125995</v>
      </c>
      <c r="N1421" s="15">
        <f t="shared" si="274"/>
        <v>0.87760575399244178</v>
      </c>
      <c r="O1421" s="15">
        <f t="shared" si="275"/>
        <v>0.30419189740959673</v>
      </c>
      <c r="P1421" s="18">
        <f>IF(SUMIFS('Daily NSE Equity Futures'!$J:$J,'Daily NSE Equity Futures'!$A:$A,$A1421)=0,"",SUMIFS('Daily NSE Equity Futures'!$J:$J,'Daily NSE Equity Futures'!$A:$A,$A1421))</f>
        <v>1410066</v>
      </c>
      <c r="Q1421" s="7">
        <f>IF(SUMIFS('Daily BSE Equity Futures'!$J:$J,'Daily BSE Equity Futures'!$A:$A,$A1421)=0,"",SUMIFS('Daily BSE Equity Futures'!$J:$J,'Daily BSE Equity Futures'!$A:$A,$A1421))</f>
        <v>1820</v>
      </c>
      <c r="R1421" s="7">
        <f t="shared" si="270"/>
        <v>1411886</v>
      </c>
      <c r="S1421" s="19">
        <f t="shared" si="271"/>
        <v>0.99871094408472072</v>
      </c>
      <c r="T1421" s="19">
        <f t="shared" si="272"/>
        <v>1.2890559152792789E-3</v>
      </c>
    </row>
    <row r="1422" spans="1:20" x14ac:dyDescent="0.2">
      <c r="A1422" s="9">
        <v>46010</v>
      </c>
      <c r="B1422" s="4" t="s">
        <v>222</v>
      </c>
      <c r="C1422" s="8">
        <v>45992</v>
      </c>
      <c r="D1422" s="4" t="s">
        <v>195</v>
      </c>
      <c r="E1422" s="14">
        <f>IF(SUMIFS('Daily NSE Equity Futures'!$I:$I,'Daily NSE Equity Futures'!$A:$A,$A1422)=0,"",SUMIFS('Daily NSE Equity Futures'!$I:$I,'Daily NSE Equity Futures'!$A:$A,$A1422))</f>
        <v>1202.0644</v>
      </c>
      <c r="F1422" s="6">
        <f>IF(SUMIFS('Daily BSE Equity Futures'!$I:$I,'Daily BSE Equity Futures'!$A:$A,$A1422)=0,"",SUMIFS('Daily BSE Equity Futures'!$I:$I,'Daily BSE Equity Futures'!$A:$A,$A1422))</f>
        <v>1.7153</v>
      </c>
      <c r="G1422" s="6">
        <f t="shared" si="264"/>
        <v>1203.7797</v>
      </c>
      <c r="H1422" s="15">
        <f t="shared" si="265"/>
        <v>0.9985750715018703</v>
      </c>
      <c r="I1422" s="15">
        <f t="shared" si="266"/>
        <v>1.4249284981296827E-3</v>
      </c>
      <c r="J1422" s="20">
        <f t="shared" si="267"/>
        <v>-0.22305000523540575</v>
      </c>
      <c r="K1422" s="15">
        <f t="shared" si="268"/>
        <v>0.19766792347437523</v>
      </c>
      <c r="L1422" s="15">
        <f t="shared" si="269"/>
        <v>-0.22266090796648452</v>
      </c>
      <c r="M1422" s="15">
        <f t="shared" si="273"/>
        <v>0.10396425918920649</v>
      </c>
      <c r="N1422" s="15">
        <f t="shared" si="274"/>
        <v>-0.44315673289183222</v>
      </c>
      <c r="O1422" s="15">
        <f t="shared" si="275"/>
        <v>0.10242081516959556</v>
      </c>
      <c r="P1422" s="18">
        <f>IF(SUMIFS('Daily NSE Equity Futures'!$J:$J,'Daily NSE Equity Futures'!$A:$A,$A1422)=0,"",SUMIFS('Daily NSE Equity Futures'!$J:$J,'Daily NSE Equity Futures'!$A:$A,$A1422))</f>
        <v>1585421</v>
      </c>
      <c r="Q1422" s="7">
        <f>IF(SUMIFS('Daily BSE Equity Futures'!$J:$J,'Daily BSE Equity Futures'!$A:$A,$A1422)=0,"",SUMIFS('Daily BSE Equity Futures'!$J:$J,'Daily BSE Equity Futures'!$A:$A,$A1422))</f>
        <v>1047</v>
      </c>
      <c r="R1422" s="7">
        <f t="shared" si="270"/>
        <v>1586468</v>
      </c>
      <c r="S1422" s="19">
        <f t="shared" si="271"/>
        <v>0.99934004341720095</v>
      </c>
      <c r="T1422" s="19">
        <f t="shared" si="272"/>
        <v>6.5995658279902275E-4</v>
      </c>
    </row>
    <row r="1423" spans="1:20" x14ac:dyDescent="0.2">
      <c r="A1423" s="9">
        <v>46013</v>
      </c>
      <c r="B1423" s="4" t="s">
        <v>225</v>
      </c>
      <c r="C1423" s="8">
        <v>45992</v>
      </c>
      <c r="D1423" s="4" t="s">
        <v>195</v>
      </c>
      <c r="E1423" s="14">
        <f>IF(SUMIFS('Daily NSE Equity Futures'!$I:$I,'Daily NSE Equity Futures'!$A:$A,$A1423)=0,"",SUMIFS('Daily NSE Equity Futures'!$I:$I,'Daily NSE Equity Futures'!$A:$A,$A1423))</f>
        <v>1341.0715</v>
      </c>
      <c r="F1423" s="6">
        <f>IF(SUMIFS('Daily BSE Equity Futures'!$I:$I,'Daily BSE Equity Futures'!$A:$A,$A1423)=0,"",SUMIFS('Daily BSE Equity Futures'!$I:$I,'Daily BSE Equity Futures'!$A:$A,$A1423))</f>
        <v>1.6341000000000001</v>
      </c>
      <c r="G1423" s="6">
        <f t="shared" si="264"/>
        <v>1342.7056</v>
      </c>
      <c r="H1423" s="15">
        <f t="shared" si="265"/>
        <v>0.99878297967923868</v>
      </c>
      <c r="I1423" s="15">
        <f t="shared" si="266"/>
        <v>1.2170203207613048E-3</v>
      </c>
      <c r="J1423" s="20" t="str">
        <f t="shared" si="267"/>
        <v/>
      </c>
      <c r="K1423" s="15" t="str">
        <f t="shared" si="268"/>
        <v/>
      </c>
      <c r="L1423" s="15" t="str">
        <f t="shared" si="269"/>
        <v/>
      </c>
      <c r="M1423" s="15">
        <f t="shared" si="273"/>
        <v>0.11564031011982379</v>
      </c>
      <c r="N1423" s="15">
        <f t="shared" si="274"/>
        <v>-4.7338657960706576E-2</v>
      </c>
      <c r="O1423" s="15">
        <f t="shared" si="275"/>
        <v>0.11540807674361009</v>
      </c>
      <c r="P1423" s="18">
        <f>IF(SUMIFS('Daily NSE Equity Futures'!$J:$J,'Daily NSE Equity Futures'!$A:$A,$A1423)=0,"",SUMIFS('Daily NSE Equity Futures'!$J:$J,'Daily NSE Equity Futures'!$A:$A,$A1423))</f>
        <v>1784393</v>
      </c>
      <c r="Q1423" s="7">
        <f>IF(SUMIFS('Daily BSE Equity Futures'!$J:$J,'Daily BSE Equity Futures'!$A:$A,$A1423)=0,"",SUMIFS('Daily BSE Equity Futures'!$J:$J,'Daily BSE Equity Futures'!$A:$A,$A1423))</f>
        <v>983</v>
      </c>
      <c r="R1423" s="7">
        <f t="shared" si="270"/>
        <v>1785376</v>
      </c>
      <c r="S1423" s="19">
        <f t="shared" si="271"/>
        <v>0.99944941569730972</v>
      </c>
      <c r="T1423" s="19">
        <f t="shared" si="272"/>
        <v>5.5058430269030166E-4</v>
      </c>
    </row>
    <row r="1424" spans="1:20" x14ac:dyDescent="0.2">
      <c r="A1424" s="9">
        <v>46014</v>
      </c>
      <c r="B1424" s="4" t="s">
        <v>223</v>
      </c>
      <c r="C1424" s="8">
        <v>45992</v>
      </c>
      <c r="D1424" s="4" t="s">
        <v>195</v>
      </c>
      <c r="E1424" s="14">
        <f>IF(SUMIFS('Daily NSE Equity Futures'!$I:$I,'Daily NSE Equity Futures'!$A:$A,$A1424)=0,"",SUMIFS('Daily NSE Equity Futures'!$I:$I,'Daily NSE Equity Futures'!$A:$A,$A1424))</f>
        <v>1797.5835</v>
      </c>
      <c r="F1424" s="6">
        <f>IF(SUMIFS('Daily BSE Equity Futures'!$I:$I,'Daily BSE Equity Futures'!$A:$A,$A1424)=0,"",SUMIFS('Daily BSE Equity Futures'!$I:$I,'Daily BSE Equity Futures'!$A:$A,$A1424))</f>
        <v>2.2118000000000002</v>
      </c>
      <c r="G1424" s="6">
        <f t="shared" si="264"/>
        <v>1799.7953</v>
      </c>
      <c r="H1424" s="15">
        <f t="shared" si="265"/>
        <v>0.99877108246698942</v>
      </c>
      <c r="I1424" s="15">
        <f t="shared" si="266"/>
        <v>1.2289175330105597E-3</v>
      </c>
      <c r="J1424" s="20">
        <f t="shared" si="267"/>
        <v>-0.45344001040103243</v>
      </c>
      <c r="K1424" s="15">
        <f t="shared" si="268"/>
        <v>0.35113011606597455</v>
      </c>
      <c r="L1424" s="15">
        <f t="shared" si="269"/>
        <v>-0.4530397475941117</v>
      </c>
      <c r="M1424" s="15">
        <f t="shared" si="273"/>
        <v>0.34040839731513195</v>
      </c>
      <c r="N1424" s="15">
        <f t="shared" si="274"/>
        <v>0.35352793586683795</v>
      </c>
      <c r="O1424" s="15">
        <f t="shared" si="275"/>
        <v>0.34042436406014831</v>
      </c>
      <c r="P1424" s="18">
        <f>IF(SUMIFS('Daily NSE Equity Futures'!$J:$J,'Daily NSE Equity Futures'!$A:$A,$A1424)=0,"",SUMIFS('Daily NSE Equity Futures'!$J:$J,'Daily NSE Equity Futures'!$A:$A,$A1424))</f>
        <v>2477539</v>
      </c>
      <c r="Q1424" s="7">
        <f>IF(SUMIFS('Daily BSE Equity Futures'!$J:$J,'Daily BSE Equity Futures'!$A:$A,$A1424)=0,"",SUMIFS('Daily BSE Equity Futures'!$J:$J,'Daily BSE Equity Futures'!$A:$A,$A1424))</f>
        <v>1293</v>
      </c>
      <c r="R1424" s="7">
        <f t="shared" si="270"/>
        <v>2478832</v>
      </c>
      <c r="S1424" s="19">
        <f t="shared" si="271"/>
        <v>0.9994783833676506</v>
      </c>
      <c r="T1424" s="19">
        <f t="shared" si="272"/>
        <v>5.2161663234942903E-4</v>
      </c>
    </row>
    <row r="1425" spans="1:20" x14ac:dyDescent="0.2">
      <c r="A1425" s="9">
        <v>46015</v>
      </c>
      <c r="B1425" s="4" t="s">
        <v>221</v>
      </c>
      <c r="C1425" s="8">
        <v>45992</v>
      </c>
      <c r="D1425" s="4" t="s">
        <v>195</v>
      </c>
      <c r="E1425" s="14">
        <f>IF(SUMIFS('Daily NSE Equity Futures'!$I:$I,'Daily NSE Equity Futures'!$A:$A,$A1425)=0,"",SUMIFS('Daily NSE Equity Futures'!$I:$I,'Daily NSE Equity Futures'!$A:$A,$A1425))</f>
        <v>2883.7141000000001</v>
      </c>
      <c r="F1425" s="6">
        <f>IF(SUMIFS('Daily BSE Equity Futures'!$I:$I,'Daily BSE Equity Futures'!$A:$A,$A1425)=0,"",SUMIFS('Daily BSE Equity Futures'!$I:$I,'Daily BSE Equity Futures'!$A:$A,$A1425))</f>
        <v>5.3400999999999996</v>
      </c>
      <c r="G1425" s="6">
        <f t="shared" si="264"/>
        <v>2889.0542</v>
      </c>
      <c r="H1425" s="15">
        <f t="shared" si="265"/>
        <v>0.99815160961673899</v>
      </c>
      <c r="I1425" s="15">
        <f t="shared" si="266"/>
        <v>1.8483903832610684E-3</v>
      </c>
      <c r="J1425" s="20">
        <f t="shared" si="267"/>
        <v>-9.2441281675491704E-2</v>
      </c>
      <c r="K1425" s="15">
        <f t="shared" si="268"/>
        <v>3.496926315789473</v>
      </c>
      <c r="L1425" s="15">
        <f t="shared" si="269"/>
        <v>-9.1100334065483457E-2</v>
      </c>
      <c r="M1425" s="15">
        <f t="shared" si="273"/>
        <v>0.60421705027888839</v>
      </c>
      <c r="N1425" s="15">
        <f t="shared" si="274"/>
        <v>1.4143683877384929</v>
      </c>
      <c r="O1425" s="15">
        <f t="shared" si="275"/>
        <v>0.60521265946188429</v>
      </c>
      <c r="P1425" s="18">
        <f>IF(SUMIFS('Daily NSE Equity Futures'!$J:$J,'Daily NSE Equity Futures'!$A:$A,$A1425)=0,"",SUMIFS('Daily NSE Equity Futures'!$J:$J,'Daily NSE Equity Futures'!$A:$A,$A1425))</f>
        <v>4032991</v>
      </c>
      <c r="Q1425" s="7">
        <f>IF(SUMIFS('Daily BSE Equity Futures'!$J:$J,'Daily BSE Equity Futures'!$A:$A,$A1425)=0,"",SUMIFS('Daily BSE Equity Futures'!$J:$J,'Daily BSE Equity Futures'!$A:$A,$A1425))</f>
        <v>3111</v>
      </c>
      <c r="R1425" s="7">
        <f t="shared" si="270"/>
        <v>4036102</v>
      </c>
      <c r="S1425" s="19">
        <f t="shared" si="271"/>
        <v>0.99922920679408</v>
      </c>
      <c r="T1425" s="19">
        <f t="shared" si="272"/>
        <v>7.7079320591996931E-4</v>
      </c>
    </row>
    <row r="1426" spans="1:20" x14ac:dyDescent="0.2">
      <c r="A1426" s="9">
        <v>46017</v>
      </c>
      <c r="B1426" s="4" t="s">
        <v>222</v>
      </c>
      <c r="C1426" s="8">
        <v>45992</v>
      </c>
      <c r="D1426" s="4" t="s">
        <v>195</v>
      </c>
      <c r="E1426" s="14">
        <f>IF(SUMIFS('Daily NSE Equity Futures'!$I:$I,'Daily NSE Equity Futures'!$A:$A,$A1426)=0,"",SUMIFS('Daily NSE Equity Futures'!$I:$I,'Daily NSE Equity Futures'!$A:$A,$A1426))</f>
        <v>3286.1264000000001</v>
      </c>
      <c r="F1426" s="6">
        <f>IF(SUMIFS('Daily BSE Equity Futures'!$I:$I,'Daily BSE Equity Futures'!$A:$A,$A1426)=0,"",SUMIFS('Daily BSE Equity Futures'!$I:$I,'Daily BSE Equity Futures'!$A:$A,$A1426))</f>
        <v>1.0371999999999999</v>
      </c>
      <c r="G1426" s="6">
        <f t="shared" si="264"/>
        <v>3287.1636000000003</v>
      </c>
      <c r="H1426" s="15">
        <f t="shared" si="265"/>
        <v>0.99968446961386404</v>
      </c>
      <c r="I1426" s="15">
        <f t="shared" si="266"/>
        <v>3.155303861359379E-4</v>
      </c>
      <c r="J1426" s="20">
        <f t="shared" si="267"/>
        <v>9.2698464698002914E-2</v>
      </c>
      <c r="K1426" s="15">
        <f t="shared" si="268"/>
        <v>-0.50168156048813306</v>
      </c>
      <c r="L1426" s="15">
        <f t="shared" si="269"/>
        <v>9.2287376175516966E-2</v>
      </c>
      <c r="M1426" s="15">
        <f t="shared" si="273"/>
        <v>0.13954653132916328</v>
      </c>
      <c r="N1426" s="15">
        <f t="shared" si="274"/>
        <v>-0.80577142750135766</v>
      </c>
      <c r="O1426" s="15">
        <f t="shared" si="275"/>
        <v>0.13779921470493717</v>
      </c>
      <c r="P1426" s="18">
        <f>IF(SUMIFS('Daily NSE Equity Futures'!$J:$J,'Daily NSE Equity Futures'!$A:$A,$A1426)=0,"",SUMIFS('Daily NSE Equity Futures'!$J:$J,'Daily NSE Equity Futures'!$A:$A,$A1426))</f>
        <v>4498105</v>
      </c>
      <c r="Q1426" s="7">
        <f>IF(SUMIFS('Daily BSE Equity Futures'!$J:$J,'Daily BSE Equity Futures'!$A:$A,$A1426)=0,"",SUMIFS('Daily BSE Equity Futures'!$J:$J,'Daily BSE Equity Futures'!$A:$A,$A1426))</f>
        <v>605</v>
      </c>
      <c r="R1426" s="7">
        <f t="shared" si="270"/>
        <v>4498710</v>
      </c>
      <c r="S1426" s="19">
        <f t="shared" si="271"/>
        <v>0.99986551700376325</v>
      </c>
      <c r="T1426" s="19">
        <f t="shared" si="272"/>
        <v>1.3448299623669896E-4</v>
      </c>
    </row>
    <row r="1427" spans="1:20" x14ac:dyDescent="0.2">
      <c r="A1427" s="9">
        <v>46020</v>
      </c>
      <c r="B1427" s="4" t="s">
        <v>225</v>
      </c>
      <c r="C1427" s="8">
        <v>45992</v>
      </c>
      <c r="D1427" s="4" t="s">
        <v>195</v>
      </c>
      <c r="E1427" s="14">
        <f>IF(SUMIFS('Daily NSE Equity Futures'!$I:$I,'Daily NSE Equity Futures'!$A:$A,$A1427)=0,"",SUMIFS('Daily NSE Equity Futures'!$I:$I,'Daily NSE Equity Futures'!$A:$A,$A1427))</f>
        <v>3142.0962</v>
      </c>
      <c r="F1427" s="6">
        <f>IF(SUMIFS('Daily BSE Equity Futures'!$I:$I,'Daily BSE Equity Futures'!$A:$A,$A1427)=0,"",SUMIFS('Daily BSE Equity Futures'!$I:$I,'Daily BSE Equity Futures'!$A:$A,$A1427))</f>
        <v>1.4437</v>
      </c>
      <c r="G1427" s="6">
        <f t="shared" si="264"/>
        <v>3143.5398999999998</v>
      </c>
      <c r="H1427" s="15">
        <f t="shared" si="265"/>
        <v>0.99954074067900334</v>
      </c>
      <c r="I1427" s="15">
        <f t="shared" si="266"/>
        <v>4.5925932099668914E-4</v>
      </c>
      <c r="J1427" s="20" t="str">
        <f t="shared" si="267"/>
        <v/>
      </c>
      <c r="K1427" s="15" t="str">
        <f t="shared" si="268"/>
        <v/>
      </c>
      <c r="L1427" s="15" t="str">
        <f t="shared" si="269"/>
        <v/>
      </c>
      <c r="M1427" s="15">
        <f t="shared" si="273"/>
        <v>-4.3829780862963852E-2</v>
      </c>
      <c r="N1427" s="15">
        <f t="shared" si="274"/>
        <v>0.39192055534130366</v>
      </c>
      <c r="O1427" s="15">
        <f t="shared" si="275"/>
        <v>-4.3692288391122491E-2</v>
      </c>
      <c r="P1427" s="18">
        <f>IF(SUMIFS('Daily NSE Equity Futures'!$J:$J,'Daily NSE Equity Futures'!$A:$A,$A1427)=0,"",SUMIFS('Daily NSE Equity Futures'!$J:$J,'Daily NSE Equity Futures'!$A:$A,$A1427))</f>
        <v>4246564</v>
      </c>
      <c r="Q1427" s="7">
        <f>IF(SUMIFS('Daily BSE Equity Futures'!$J:$J,'Daily BSE Equity Futures'!$A:$A,$A1427)=0,"",SUMIFS('Daily BSE Equity Futures'!$J:$J,'Daily BSE Equity Futures'!$A:$A,$A1427))</f>
        <v>844</v>
      </c>
      <c r="R1427" s="7">
        <f t="shared" si="270"/>
        <v>4247408</v>
      </c>
      <c r="S1427" s="19">
        <f t="shared" si="271"/>
        <v>0.9998012905753344</v>
      </c>
      <c r="T1427" s="19">
        <f t="shared" si="272"/>
        <v>1.9870942466558428E-4</v>
      </c>
    </row>
    <row r="1428" spans="1:20" x14ac:dyDescent="0.2">
      <c r="A1428" s="9">
        <v>46021</v>
      </c>
      <c r="B1428" s="4" t="s">
        <v>223</v>
      </c>
      <c r="C1428" s="8">
        <v>45992</v>
      </c>
      <c r="D1428" s="4" t="s">
        <v>195</v>
      </c>
      <c r="E1428" s="14">
        <f>IF(SUMIFS('Daily NSE Equity Futures'!$I:$I,'Daily NSE Equity Futures'!$A:$A,$A1428)=0,"",SUMIFS('Daily NSE Equity Futures'!$I:$I,'Daily NSE Equity Futures'!$A:$A,$A1428))</f>
        <v>3085.4675999999999</v>
      </c>
      <c r="F1428" s="6">
        <f>IF(SUMIFS('Daily BSE Equity Futures'!$I:$I,'Daily BSE Equity Futures'!$A:$A,$A1428)=0,"",SUMIFS('Daily BSE Equity Futures'!$I:$I,'Daily BSE Equity Futures'!$A:$A,$A1428))</f>
        <v>1.5474000000000001</v>
      </c>
      <c r="G1428" s="6">
        <f t="shared" si="264"/>
        <v>3087.0149999999999</v>
      </c>
      <c r="H1428" s="15">
        <f t="shared" si="265"/>
        <v>0.99949873907318232</v>
      </c>
      <c r="I1428" s="15">
        <f t="shared" si="266"/>
        <v>5.0126092681765399E-4</v>
      </c>
      <c r="J1428" s="20">
        <f t="shared" si="267"/>
        <v>1.397996340520455</v>
      </c>
      <c r="K1428" s="15">
        <f t="shared" si="268"/>
        <v>-0.26391399486252487</v>
      </c>
      <c r="L1428" s="15">
        <f t="shared" si="269"/>
        <v>1.3952855237079738</v>
      </c>
      <c r="M1428" s="15">
        <f t="shared" si="273"/>
        <v>-1.8022554497217458E-2</v>
      </c>
      <c r="N1428" s="15">
        <f t="shared" si="274"/>
        <v>7.1829327422594735E-2</v>
      </c>
      <c r="O1428" s="15">
        <f t="shared" si="275"/>
        <v>-1.7981289182936733E-2</v>
      </c>
      <c r="P1428" s="18">
        <f>IF(SUMIFS('Daily NSE Equity Futures'!$J:$J,'Daily NSE Equity Futures'!$A:$A,$A1428)=0,"",SUMIFS('Daily NSE Equity Futures'!$J:$J,'Daily NSE Equity Futures'!$A:$A,$A1428))</f>
        <v>4138361</v>
      </c>
      <c r="Q1428" s="7">
        <f>IF(SUMIFS('Daily BSE Equity Futures'!$J:$J,'Daily BSE Equity Futures'!$A:$A,$A1428)=0,"",SUMIFS('Daily BSE Equity Futures'!$J:$J,'Daily BSE Equity Futures'!$A:$A,$A1428))</f>
        <v>912</v>
      </c>
      <c r="R1428" s="7">
        <f t="shared" si="270"/>
        <v>4139273</v>
      </c>
      <c r="S1428" s="19">
        <f t="shared" si="271"/>
        <v>0.9997796714543834</v>
      </c>
      <c r="T1428" s="19">
        <f t="shared" si="272"/>
        <v>2.2032854561658533E-4</v>
      </c>
    </row>
    <row r="1429" spans="1:20" x14ac:dyDescent="0.2">
      <c r="A1429" s="9">
        <v>46022</v>
      </c>
      <c r="B1429" s="4" t="s">
        <v>221</v>
      </c>
      <c r="C1429" s="8">
        <v>45992</v>
      </c>
      <c r="D1429" s="4" t="s">
        <v>195</v>
      </c>
      <c r="E1429" s="14">
        <f>IF(SUMIFS('Daily NSE Equity Futures'!$I:$I,'Daily NSE Equity Futures'!$A:$A,$A1429)=0,"",SUMIFS('Daily NSE Equity Futures'!$I:$I,'Daily NSE Equity Futures'!$A:$A,$A1429))</f>
        <v>1013.0625</v>
      </c>
      <c r="F1429" s="6">
        <f>IF(SUMIFS('Daily BSE Equity Futures'!$I:$I,'Daily BSE Equity Futures'!$A:$A,$A1429)=0,"",SUMIFS('Daily BSE Equity Futures'!$I:$I,'Daily BSE Equity Futures'!$A:$A,$A1429))</f>
        <v>2.5876999999999999</v>
      </c>
      <c r="G1429" s="6">
        <f t="shared" si="264"/>
        <v>1015.6502</v>
      </c>
      <c r="H1429" s="15">
        <f t="shared" si="265"/>
        <v>0.99745217398667374</v>
      </c>
      <c r="I1429" s="15">
        <f t="shared" si="266"/>
        <v>2.5478260133262416E-3</v>
      </c>
      <c r="J1429" s="20">
        <f t="shared" si="267"/>
        <v>0.15847139695598123</v>
      </c>
      <c r="K1429" s="15">
        <f t="shared" si="268"/>
        <v>1.3168591637568268</v>
      </c>
      <c r="L1429" s="15">
        <f t="shared" si="269"/>
        <v>0.15994901775812909</v>
      </c>
      <c r="M1429" s="15">
        <f t="shared" si="273"/>
        <v>-0.67166645989087681</v>
      </c>
      <c r="N1429" s="15">
        <f t="shared" si="274"/>
        <v>0.67228900090474331</v>
      </c>
      <c r="O1429" s="15">
        <f t="shared" si="275"/>
        <v>-0.67099278753099667</v>
      </c>
      <c r="P1429" s="18">
        <f>IF(SUMIFS('Daily NSE Equity Futures'!$J:$J,'Daily NSE Equity Futures'!$A:$A,$A1429)=0,"",SUMIFS('Daily NSE Equity Futures'!$J:$J,'Daily NSE Equity Futures'!$A:$A,$A1429))</f>
        <v>1258164</v>
      </c>
      <c r="Q1429" s="7">
        <f>IF(SUMIFS('Daily BSE Equity Futures'!$J:$J,'Daily BSE Equity Futures'!$A:$A,$A1429)=0,"",SUMIFS('Daily BSE Equity Futures'!$J:$J,'Daily BSE Equity Futures'!$A:$A,$A1429))</f>
        <v>1514</v>
      </c>
      <c r="R1429" s="7">
        <f t="shared" si="270"/>
        <v>1259678</v>
      </c>
      <c r="S1429" s="19">
        <f t="shared" si="271"/>
        <v>0.99879810554760817</v>
      </c>
      <c r="T1429" s="19">
        <f t="shared" si="272"/>
        <v>1.2018944523918018E-3</v>
      </c>
    </row>
    <row r="1430" spans="1:20" x14ac:dyDescent="0.2">
      <c r="A1430" s="9">
        <v>46023</v>
      </c>
      <c r="B1430" s="4" t="s">
        <v>224</v>
      </c>
      <c r="C1430" s="8">
        <v>46023</v>
      </c>
      <c r="D1430" s="4" t="s">
        <v>196</v>
      </c>
      <c r="E1430" s="14">
        <f>IF(SUMIFS('Daily NSE Equity Futures'!$I:$I,'Daily NSE Equity Futures'!$A:$A,$A1430)=0,"",SUMIFS('Daily NSE Equity Futures'!$I:$I,'Daily NSE Equity Futures'!$A:$A,$A1430))</f>
        <v>681.41219999999998</v>
      </c>
      <c r="F1430" s="6">
        <f>IF(SUMIFS('Daily BSE Equity Futures'!$I:$I,'Daily BSE Equity Futures'!$A:$A,$A1430)=0,"",SUMIFS('Daily BSE Equity Futures'!$I:$I,'Daily BSE Equity Futures'!$A:$A,$A1430))</f>
        <v>1.4461999999999999</v>
      </c>
      <c r="G1430" s="6">
        <f t="shared" si="264"/>
        <v>682.85839999999996</v>
      </c>
      <c r="H1430" s="15">
        <f t="shared" si="265"/>
        <v>0.99788213779020662</v>
      </c>
      <c r="I1430" s="15">
        <f t="shared" si="266"/>
        <v>2.1178622097934212E-3</v>
      </c>
      <c r="J1430" s="20">
        <f t="shared" si="267"/>
        <v>-3.1961325743159685E-2</v>
      </c>
      <c r="K1430" s="15">
        <f t="shared" si="268"/>
        <v>0.73218349502934488</v>
      </c>
      <c r="L1430" s="15">
        <f t="shared" si="269"/>
        <v>-3.1056055736472077E-2</v>
      </c>
      <c r="M1430" s="15">
        <f t="shared" si="273"/>
        <v>-0.32737397741995189</v>
      </c>
      <c r="N1430" s="15">
        <f t="shared" si="274"/>
        <v>-0.44112532364648138</v>
      </c>
      <c r="O1430" s="15">
        <f t="shared" si="275"/>
        <v>-0.32766379605891882</v>
      </c>
      <c r="P1430" s="18">
        <f>IF(SUMIFS('Daily NSE Equity Futures'!$J:$J,'Daily NSE Equity Futures'!$A:$A,$A1430)=0,"",SUMIFS('Daily NSE Equity Futures'!$J:$J,'Daily NSE Equity Futures'!$A:$A,$A1430))</f>
        <v>921151</v>
      </c>
      <c r="Q1430" s="7">
        <f>IF(SUMIFS('Daily BSE Equity Futures'!$J:$J,'Daily BSE Equity Futures'!$A:$A,$A1430)=0,"",SUMIFS('Daily BSE Equity Futures'!$J:$J,'Daily BSE Equity Futures'!$A:$A,$A1430))</f>
        <v>844</v>
      </c>
      <c r="R1430" s="7">
        <f t="shared" si="270"/>
        <v>921995</v>
      </c>
      <c r="S1430" s="19">
        <f t="shared" si="271"/>
        <v>0.9990845937342393</v>
      </c>
      <c r="T1430" s="19">
        <f t="shared" si="272"/>
        <v>9.1540626576066034E-4</v>
      </c>
    </row>
    <row r="1431" spans="1:20" x14ac:dyDescent="0.2">
      <c r="A1431" s="9">
        <v>46024</v>
      </c>
      <c r="B1431" s="4" t="s">
        <v>222</v>
      </c>
      <c r="C1431" s="8">
        <v>46023</v>
      </c>
      <c r="D1431" s="4" t="s">
        <v>196</v>
      </c>
      <c r="E1431" s="14">
        <f>IF(SUMIFS('Daily NSE Equity Futures'!$I:$I,'Daily NSE Equity Futures'!$A:$A,$A1431)=0,"",SUMIFS('Daily NSE Equity Futures'!$I:$I,'Daily NSE Equity Futures'!$A:$A,$A1431))</f>
        <v>1048.1817000000001</v>
      </c>
      <c r="F1431" s="6">
        <f>IF(SUMIFS('Daily BSE Equity Futures'!$I:$I,'Daily BSE Equity Futures'!$A:$A,$A1431)=0,"",SUMIFS('Daily BSE Equity Futures'!$I:$I,'Daily BSE Equity Futures'!$A:$A,$A1431))</f>
        <v>1.4350000000000001</v>
      </c>
      <c r="G1431" s="6">
        <f t="shared" si="264"/>
        <v>1049.6167</v>
      </c>
      <c r="H1431" s="15">
        <f t="shared" si="265"/>
        <v>0.99863283425273253</v>
      </c>
      <c r="I1431" s="15">
        <f t="shared" si="266"/>
        <v>1.3671657472675502E-3</v>
      </c>
      <c r="J1431" s="20">
        <f t="shared" si="267"/>
        <v>-0.21674001232673368</v>
      </c>
      <c r="K1431" s="15">
        <f t="shared" si="268"/>
        <v>-0.2361332907484297</v>
      </c>
      <c r="L1431" s="15">
        <f t="shared" si="269"/>
        <v>-0.21676719835010327</v>
      </c>
      <c r="M1431" s="15">
        <f t="shared" si="273"/>
        <v>0.53824909504115137</v>
      </c>
      <c r="N1431" s="15">
        <f t="shared" si="274"/>
        <v>-7.7444336882864784E-3</v>
      </c>
      <c r="O1431" s="15">
        <f t="shared" si="275"/>
        <v>0.5370927559798635</v>
      </c>
      <c r="P1431" s="18">
        <f>IF(SUMIFS('Daily NSE Equity Futures'!$J:$J,'Daily NSE Equity Futures'!$A:$A,$A1431)=0,"",SUMIFS('Daily NSE Equity Futures'!$J:$J,'Daily NSE Equity Futures'!$A:$A,$A1431))</f>
        <v>1365811</v>
      </c>
      <c r="Q1431" s="7">
        <f>IF(SUMIFS('Daily BSE Equity Futures'!$J:$J,'Daily BSE Equity Futures'!$A:$A,$A1431)=0,"",SUMIFS('Daily BSE Equity Futures'!$J:$J,'Daily BSE Equity Futures'!$A:$A,$A1431))</f>
        <v>851</v>
      </c>
      <c r="R1431" s="7">
        <f t="shared" si="270"/>
        <v>1366662</v>
      </c>
      <c r="S1431" s="19">
        <f t="shared" si="271"/>
        <v>0.99937731494692905</v>
      </c>
      <c r="T1431" s="19">
        <f t="shared" si="272"/>
        <v>6.2268505307091289E-4</v>
      </c>
    </row>
    <row r="1432" spans="1:20" x14ac:dyDescent="0.2">
      <c r="A1432" s="9">
        <v>46027</v>
      </c>
      <c r="B1432" s="4" t="s">
        <v>225</v>
      </c>
      <c r="C1432" s="8">
        <v>46023</v>
      </c>
      <c r="D1432" s="4" t="s">
        <v>196</v>
      </c>
      <c r="E1432" s="14">
        <f>IF(SUMIFS('Daily NSE Equity Futures'!$I:$I,'Daily NSE Equity Futures'!$A:$A,$A1432)=0,"",SUMIFS('Daily NSE Equity Futures'!$I:$I,'Daily NSE Equity Futures'!$A:$A,$A1432))</f>
        <v>1114.6217999999999</v>
      </c>
      <c r="F1432" s="6">
        <f>IF(SUMIFS('Daily BSE Equity Futures'!$I:$I,'Daily BSE Equity Futures'!$A:$A,$A1432)=0,"",SUMIFS('Daily BSE Equity Futures'!$I:$I,'Daily BSE Equity Futures'!$A:$A,$A1432))</f>
        <v>1.6761999999999999</v>
      </c>
      <c r="G1432" s="6">
        <f t="shared" si="264"/>
        <v>1116.298</v>
      </c>
      <c r="H1432" s="15">
        <f t="shared" si="265"/>
        <v>0.99849842963079738</v>
      </c>
      <c r="I1432" s="15">
        <f t="shared" si="266"/>
        <v>1.5015703692024889E-3</v>
      </c>
      <c r="J1432" s="20" t="str">
        <f t="shared" si="267"/>
        <v/>
      </c>
      <c r="K1432" s="15" t="str">
        <f t="shared" si="268"/>
        <v/>
      </c>
      <c r="L1432" s="15" t="str">
        <f t="shared" si="269"/>
        <v/>
      </c>
      <c r="M1432" s="15">
        <f t="shared" si="273"/>
        <v>6.3386052246475755E-2</v>
      </c>
      <c r="N1432" s="15">
        <f t="shared" si="274"/>
        <v>0.16808362369337959</v>
      </c>
      <c r="O1432" s="15">
        <f t="shared" si="275"/>
        <v>6.3529191179980238E-2</v>
      </c>
      <c r="P1432" s="18">
        <f>IF(SUMIFS('Daily NSE Equity Futures'!$J:$J,'Daily NSE Equity Futures'!$A:$A,$A1432)=0,"",SUMIFS('Daily NSE Equity Futures'!$J:$J,'Daily NSE Equity Futures'!$A:$A,$A1432))</f>
        <v>1435660</v>
      </c>
      <c r="Q1432" s="7">
        <f>IF(SUMIFS('Daily BSE Equity Futures'!$J:$J,'Daily BSE Equity Futures'!$A:$A,$A1432)=0,"",SUMIFS('Daily BSE Equity Futures'!$J:$J,'Daily BSE Equity Futures'!$A:$A,$A1432))</f>
        <v>977</v>
      </c>
      <c r="R1432" s="7">
        <f t="shared" si="270"/>
        <v>1436637</v>
      </c>
      <c r="S1432" s="19">
        <f t="shared" si="271"/>
        <v>0.99931993955327614</v>
      </c>
      <c r="T1432" s="19">
        <f t="shared" si="272"/>
        <v>6.8006044672384186E-4</v>
      </c>
    </row>
    <row r="1433" spans="1:20" x14ac:dyDescent="0.2">
      <c r="A1433" s="9">
        <v>46028</v>
      </c>
      <c r="B1433" s="4" t="s">
        <v>223</v>
      </c>
      <c r="C1433" s="8">
        <v>46023</v>
      </c>
      <c r="D1433" s="4" t="s">
        <v>196</v>
      </c>
      <c r="E1433" s="14">
        <f>IF(SUMIFS('Daily NSE Equity Futures'!$I:$I,'Daily NSE Equity Futures'!$A:$A,$A1433)=0,"",SUMIFS('Daily NSE Equity Futures'!$I:$I,'Daily NSE Equity Futures'!$A:$A,$A1433))</f>
        <v>1133.1211000000001</v>
      </c>
      <c r="F1433" s="6">
        <f>IF(SUMIFS('Daily BSE Equity Futures'!$I:$I,'Daily BSE Equity Futures'!$A:$A,$A1433)=0,"",SUMIFS('Daily BSE Equity Futures'!$I:$I,'Daily BSE Equity Futures'!$A:$A,$A1433))</f>
        <v>1.784</v>
      </c>
      <c r="G1433" s="6">
        <f t="shared" si="264"/>
        <v>1134.9051000000002</v>
      </c>
      <c r="H1433" s="15">
        <f t="shared" si="265"/>
        <v>0.9984280623992261</v>
      </c>
      <c r="I1433" s="15">
        <f t="shared" si="266"/>
        <v>1.5719376007738441E-3</v>
      </c>
      <c r="J1433" s="20">
        <f t="shared" si="267"/>
        <v>-0.26534579194456376</v>
      </c>
      <c r="K1433" s="15">
        <f t="shared" si="268"/>
        <v>-0.49915777653003923</v>
      </c>
      <c r="L1433" s="15">
        <f t="shared" si="269"/>
        <v>-0.26588451494842302</v>
      </c>
      <c r="M1433" s="15">
        <f t="shared" si="273"/>
        <v>1.6596930008008215E-2</v>
      </c>
      <c r="N1433" s="15">
        <f t="shared" si="274"/>
        <v>6.431213459014451E-2</v>
      </c>
      <c r="O1433" s="15">
        <f t="shared" si="275"/>
        <v>1.6668577745369229E-2</v>
      </c>
      <c r="P1433" s="18">
        <f>IF(SUMIFS('Daily NSE Equity Futures'!$J:$J,'Daily NSE Equity Futures'!$A:$A,$A1433)=0,"",SUMIFS('Daily NSE Equity Futures'!$J:$J,'Daily NSE Equity Futures'!$A:$A,$A1433))</f>
        <v>1508751</v>
      </c>
      <c r="Q1433" s="7">
        <f>IF(SUMIFS('Daily BSE Equity Futures'!$J:$J,'Daily BSE Equity Futures'!$A:$A,$A1433)=0,"",SUMIFS('Daily BSE Equity Futures'!$J:$J,'Daily BSE Equity Futures'!$A:$A,$A1433))</f>
        <v>1047</v>
      </c>
      <c r="R1433" s="7">
        <f t="shared" si="270"/>
        <v>1509798</v>
      </c>
      <c r="S1433" s="19">
        <f t="shared" si="271"/>
        <v>0.99930652974768808</v>
      </c>
      <c r="T1433" s="19">
        <f t="shared" si="272"/>
        <v>6.9347025231189866E-4</v>
      </c>
    </row>
    <row r="1434" spans="1:20" x14ac:dyDescent="0.2">
      <c r="A1434" s="9">
        <v>46029</v>
      </c>
      <c r="B1434" s="4" t="s">
        <v>221</v>
      </c>
      <c r="C1434" s="8">
        <v>46023</v>
      </c>
      <c r="D1434" s="4" t="s">
        <v>196</v>
      </c>
      <c r="E1434" s="14">
        <f>IF(SUMIFS('Daily NSE Equity Futures'!$I:$I,'Daily NSE Equity Futures'!$A:$A,$A1434)=0,"",SUMIFS('Daily NSE Equity Futures'!$I:$I,'Daily NSE Equity Futures'!$A:$A,$A1434))</f>
        <v>1088.5092999999999</v>
      </c>
      <c r="F1434" s="6">
        <f>IF(SUMIFS('Daily BSE Equity Futures'!$I:$I,'Daily BSE Equity Futures'!$A:$A,$A1434)=0,"",SUMIFS('Daily BSE Equity Futures'!$I:$I,'Daily BSE Equity Futures'!$A:$A,$A1434))</f>
        <v>2.016</v>
      </c>
      <c r="G1434" s="6">
        <f t="shared" si="264"/>
        <v>1090.5253</v>
      </c>
      <c r="H1434" s="15">
        <f t="shared" si="265"/>
        <v>0.99815134962939411</v>
      </c>
      <c r="I1434" s="15">
        <f t="shared" si="266"/>
        <v>1.8486503706057989E-3</v>
      </c>
      <c r="J1434" s="20">
        <f t="shared" si="267"/>
        <v>0.11913464334198198</v>
      </c>
      <c r="K1434" s="15">
        <f t="shared" si="268"/>
        <v>-0.57291754936022365</v>
      </c>
      <c r="L1434" s="15">
        <f t="shared" si="269"/>
        <v>0.11579219100691329</v>
      </c>
      <c r="M1434" s="15">
        <f t="shared" si="273"/>
        <v>-3.9370725688543051E-2</v>
      </c>
      <c r="N1434" s="15">
        <f t="shared" si="274"/>
        <v>0.13004484304932729</v>
      </c>
      <c r="O1434" s="15">
        <f t="shared" si="275"/>
        <v>-3.9104414985887459E-2</v>
      </c>
      <c r="P1434" s="18">
        <f>IF(SUMIFS('Daily NSE Equity Futures'!$J:$J,'Daily NSE Equity Futures'!$A:$A,$A1434)=0,"",SUMIFS('Daily NSE Equity Futures'!$J:$J,'Daily NSE Equity Futures'!$A:$A,$A1434))</f>
        <v>1439035</v>
      </c>
      <c r="Q1434" s="7">
        <f>IF(SUMIFS('Daily BSE Equity Futures'!$J:$J,'Daily BSE Equity Futures'!$A:$A,$A1434)=0,"",SUMIFS('Daily BSE Equity Futures'!$J:$J,'Daily BSE Equity Futures'!$A:$A,$A1434))</f>
        <v>1180</v>
      </c>
      <c r="R1434" s="7">
        <f t="shared" si="270"/>
        <v>1440215</v>
      </c>
      <c r="S1434" s="19">
        <f t="shared" si="271"/>
        <v>0.99918067788489917</v>
      </c>
      <c r="T1434" s="19">
        <f t="shared" si="272"/>
        <v>8.1932211510087039E-4</v>
      </c>
    </row>
    <row r="1435" spans="1:20" x14ac:dyDescent="0.2">
      <c r="A1435" s="9">
        <v>46030</v>
      </c>
      <c r="B1435" s="4" t="s">
        <v>224</v>
      </c>
      <c r="C1435" s="8">
        <v>46023</v>
      </c>
      <c r="D1435" s="4" t="s">
        <v>196</v>
      </c>
      <c r="E1435" s="14">
        <f>IF(SUMIFS('Daily NSE Equity Futures'!$I:$I,'Daily NSE Equity Futures'!$A:$A,$A1435)=0,"",SUMIFS('Daily NSE Equity Futures'!$I:$I,'Daily NSE Equity Futures'!$A:$A,$A1435))</f>
        <v>1315.3613</v>
      </c>
      <c r="F1435" s="6">
        <f>IF(SUMIFS('Daily BSE Equity Futures'!$I:$I,'Daily BSE Equity Futures'!$A:$A,$A1435)=0,"",SUMIFS('Daily BSE Equity Futures'!$I:$I,'Daily BSE Equity Futures'!$A:$A,$A1435))</f>
        <v>3.5638999999999998</v>
      </c>
      <c r="G1435" s="6">
        <f t="shared" si="264"/>
        <v>1318.9252000000001</v>
      </c>
      <c r="H1435" s="15">
        <f t="shared" si="265"/>
        <v>0.9972978755732318</v>
      </c>
      <c r="I1435" s="15">
        <f t="shared" si="266"/>
        <v>2.7021244267680985E-3</v>
      </c>
      <c r="J1435" s="20">
        <f t="shared" si="267"/>
        <v>0.11054062731941094</v>
      </c>
      <c r="K1435" s="15">
        <f t="shared" si="268"/>
        <v>0.46247281382083782</v>
      </c>
      <c r="L1435" s="15">
        <f t="shared" si="269"/>
        <v>0.11126321985335919</v>
      </c>
      <c r="M1435" s="15">
        <f t="shared" si="273"/>
        <v>0.20840612018657079</v>
      </c>
      <c r="N1435" s="15">
        <f t="shared" si="274"/>
        <v>0.76780753968253967</v>
      </c>
      <c r="O1435" s="15">
        <f t="shared" si="275"/>
        <v>0.20944025782803943</v>
      </c>
      <c r="P1435" s="18">
        <f>IF(SUMIFS('Daily NSE Equity Futures'!$J:$J,'Daily NSE Equity Futures'!$A:$A,$A1435)=0,"",SUMIFS('Daily NSE Equity Futures'!$J:$J,'Daily NSE Equity Futures'!$A:$A,$A1435))</f>
        <v>1669497</v>
      </c>
      <c r="Q1435" s="7">
        <f>IF(SUMIFS('Daily BSE Equity Futures'!$J:$J,'Daily BSE Equity Futures'!$A:$A,$A1435)=0,"",SUMIFS('Daily BSE Equity Futures'!$J:$J,'Daily BSE Equity Futures'!$A:$A,$A1435))</f>
        <v>2095</v>
      </c>
      <c r="R1435" s="7">
        <f t="shared" si="270"/>
        <v>1671592</v>
      </c>
      <c r="S1435" s="19">
        <f t="shared" si="271"/>
        <v>0.9987467037411043</v>
      </c>
      <c r="T1435" s="19">
        <f t="shared" si="272"/>
        <v>1.2532962588957114E-3</v>
      </c>
    </row>
    <row r="1436" spans="1:20" x14ac:dyDescent="0.2">
      <c r="A1436" s="9">
        <v>46031</v>
      </c>
      <c r="B1436" s="4" t="s">
        <v>222</v>
      </c>
      <c r="C1436" s="8">
        <v>46023</v>
      </c>
      <c r="D1436" s="4" t="s">
        <v>196</v>
      </c>
      <c r="E1436" s="14">
        <f>IF(SUMIFS('Daily NSE Equity Futures'!$I:$I,'Daily NSE Equity Futures'!$A:$A,$A1436)=0,"",SUMIFS('Daily NSE Equity Futures'!$I:$I,'Daily NSE Equity Futures'!$A:$A,$A1436))</f>
        <v>1264.5600999999999</v>
      </c>
      <c r="F1436" s="6">
        <f>IF(SUMIFS('Daily BSE Equity Futures'!$I:$I,'Daily BSE Equity Futures'!$A:$A,$A1436)=0,"",SUMIFS('Daily BSE Equity Futures'!$I:$I,'Daily BSE Equity Futures'!$A:$A,$A1436))</f>
        <v>2.4369999999999998</v>
      </c>
      <c r="G1436" s="6">
        <f t="shared" si="264"/>
        <v>1266.9970999999998</v>
      </c>
      <c r="H1436" s="15">
        <f t="shared" si="265"/>
        <v>0.9980765543977963</v>
      </c>
      <c r="I1436" s="15">
        <f t="shared" si="266"/>
        <v>1.9234456022038252E-3</v>
      </c>
      <c r="J1436" s="20">
        <f t="shared" si="267"/>
        <v>9.3819663356559557E-2</v>
      </c>
      <c r="K1436" s="15">
        <f t="shared" si="268"/>
        <v>0.17917452944307333</v>
      </c>
      <c r="L1436" s="15">
        <f t="shared" si="269"/>
        <v>9.3971976121135725E-2</v>
      </c>
      <c r="M1436" s="15">
        <f t="shared" si="273"/>
        <v>-3.8621479893015009E-2</v>
      </c>
      <c r="N1436" s="15">
        <f t="shared" si="274"/>
        <v>-0.31619854653609814</v>
      </c>
      <c r="O1436" s="15">
        <f t="shared" si="275"/>
        <v>-3.9371527665102102E-2</v>
      </c>
      <c r="P1436" s="18">
        <f>IF(SUMIFS('Daily NSE Equity Futures'!$J:$J,'Daily NSE Equity Futures'!$A:$A,$A1436)=0,"",SUMIFS('Daily NSE Equity Futures'!$J:$J,'Daily NSE Equity Futures'!$A:$A,$A1436))</f>
        <v>1632593</v>
      </c>
      <c r="Q1436" s="7">
        <f>IF(SUMIFS('Daily BSE Equity Futures'!$J:$J,'Daily BSE Equity Futures'!$A:$A,$A1436)=0,"",SUMIFS('Daily BSE Equity Futures'!$J:$J,'Daily BSE Equity Futures'!$A:$A,$A1436))</f>
        <v>1444</v>
      </c>
      <c r="R1436" s="7">
        <f t="shared" si="270"/>
        <v>1634037</v>
      </c>
      <c r="S1436" s="19">
        <f t="shared" si="271"/>
        <v>0.999116299080131</v>
      </c>
      <c r="T1436" s="19">
        <f t="shared" si="272"/>
        <v>8.8370091986901154E-4</v>
      </c>
    </row>
    <row r="1437" spans="1:20" x14ac:dyDescent="0.2">
      <c r="A1437" s="9">
        <v>46034</v>
      </c>
      <c r="B1437" s="4" t="s">
        <v>225</v>
      </c>
      <c r="C1437" s="8">
        <v>46023</v>
      </c>
      <c r="D1437" s="4" t="s">
        <v>196</v>
      </c>
      <c r="E1437" s="14">
        <f>IF(SUMIFS('Daily NSE Equity Futures'!$I:$I,'Daily NSE Equity Futures'!$A:$A,$A1437)=0,"",SUMIFS('Daily NSE Equity Futures'!$I:$I,'Daily NSE Equity Futures'!$A:$A,$A1437))</f>
        <v>1239.7028</v>
      </c>
      <c r="F1437" s="6">
        <f>IF(SUMIFS('Daily BSE Equity Futures'!$I:$I,'Daily BSE Equity Futures'!$A:$A,$A1437)=0,"",SUMIFS('Daily BSE Equity Futures'!$I:$I,'Daily BSE Equity Futures'!$A:$A,$A1437))</f>
        <v>2.8128000000000002</v>
      </c>
      <c r="G1437" s="6">
        <f t="shared" si="264"/>
        <v>1242.5155999999999</v>
      </c>
      <c r="H1437" s="15">
        <f t="shared" si="265"/>
        <v>0.99773620548506603</v>
      </c>
      <c r="I1437" s="15">
        <f t="shared" si="266"/>
        <v>2.263794514934058E-3</v>
      </c>
      <c r="J1437" s="20" t="str">
        <f t="shared" si="267"/>
        <v/>
      </c>
      <c r="K1437" s="15" t="str">
        <f t="shared" si="268"/>
        <v/>
      </c>
      <c r="L1437" s="15" t="str">
        <f t="shared" si="269"/>
        <v/>
      </c>
      <c r="M1437" s="15">
        <f t="shared" si="273"/>
        <v>-1.9656875145752206E-2</v>
      </c>
      <c r="N1437" s="15">
        <f t="shared" si="274"/>
        <v>0.15420599097250731</v>
      </c>
      <c r="O1437" s="15">
        <f t="shared" si="275"/>
        <v>-1.9322459380530455E-2</v>
      </c>
      <c r="P1437" s="18">
        <f>IF(SUMIFS('Daily NSE Equity Futures'!$J:$J,'Daily NSE Equity Futures'!$A:$A,$A1437)=0,"",SUMIFS('Daily NSE Equity Futures'!$J:$J,'Daily NSE Equity Futures'!$A:$A,$A1437))</f>
        <v>1554158</v>
      </c>
      <c r="Q1437" s="7">
        <f>IF(SUMIFS('Daily BSE Equity Futures'!$J:$J,'Daily BSE Equity Futures'!$A:$A,$A1437)=0,"",SUMIFS('Daily BSE Equity Futures'!$J:$J,'Daily BSE Equity Futures'!$A:$A,$A1437))</f>
        <v>1675</v>
      </c>
      <c r="R1437" s="7">
        <f t="shared" si="270"/>
        <v>1555833</v>
      </c>
      <c r="S1437" s="19">
        <f t="shared" si="271"/>
        <v>0.99892340630388998</v>
      </c>
      <c r="T1437" s="19">
        <f t="shared" si="272"/>
        <v>1.0765936961100581E-3</v>
      </c>
    </row>
    <row r="1438" spans="1:20" x14ac:dyDescent="0.2">
      <c r="A1438" s="9">
        <v>46035</v>
      </c>
      <c r="B1438" s="4" t="s">
        <v>223</v>
      </c>
      <c r="C1438" s="8">
        <v>46023</v>
      </c>
      <c r="D1438" s="4" t="s">
        <v>196</v>
      </c>
      <c r="E1438" s="14">
        <f>IF(SUMIFS('Daily NSE Equity Futures'!$I:$I,'Daily NSE Equity Futures'!$A:$A,$A1438)=0,"",SUMIFS('Daily NSE Equity Futures'!$I:$I,'Daily NSE Equity Futures'!$A:$A,$A1438))</f>
        <v>1108.7923000000001</v>
      </c>
      <c r="F1438" s="6">
        <f>IF(SUMIFS('Daily BSE Equity Futures'!$I:$I,'Daily BSE Equity Futures'!$A:$A,$A1438)=0,"",SUMIFS('Daily BSE Equity Futures'!$I:$I,'Daily BSE Equity Futures'!$A:$A,$A1438))</f>
        <v>3.4832999999999998</v>
      </c>
      <c r="G1438" s="6">
        <f t="shared" si="264"/>
        <v>1112.2756000000002</v>
      </c>
      <c r="H1438" s="15">
        <f t="shared" si="265"/>
        <v>0.99686831213415084</v>
      </c>
      <c r="I1438" s="15">
        <f t="shared" si="266"/>
        <v>3.1316878658490749E-3</v>
      </c>
      <c r="J1438" s="20">
        <f t="shared" si="267"/>
        <v>-0.20347314842498787</v>
      </c>
      <c r="K1438" s="15">
        <f t="shared" si="268"/>
        <v>0.59967853042479891</v>
      </c>
      <c r="L1438" s="15">
        <f t="shared" si="269"/>
        <v>-0.20221877415568201</v>
      </c>
      <c r="M1438" s="15">
        <f t="shared" si="273"/>
        <v>-0.10559829339741744</v>
      </c>
      <c r="N1438" s="15">
        <f t="shared" si="274"/>
        <v>0.23837457337883938</v>
      </c>
      <c r="O1438" s="15">
        <f t="shared" si="275"/>
        <v>-0.10481960950832314</v>
      </c>
      <c r="P1438" s="18">
        <f>IF(SUMIFS('Daily NSE Equity Futures'!$J:$J,'Daily NSE Equity Futures'!$A:$A,$A1438)=0,"",SUMIFS('Daily NSE Equity Futures'!$J:$J,'Daily NSE Equity Futures'!$A:$A,$A1438))</f>
        <v>1443239</v>
      </c>
      <c r="Q1438" s="7">
        <f>IF(SUMIFS('Daily BSE Equity Futures'!$J:$J,'Daily BSE Equity Futures'!$A:$A,$A1438)=0,"",SUMIFS('Daily BSE Equity Futures'!$J:$J,'Daily BSE Equity Futures'!$A:$A,$A1438))</f>
        <v>2073</v>
      </c>
      <c r="R1438" s="7">
        <f t="shared" si="270"/>
        <v>1445312</v>
      </c>
      <c r="S1438" s="19">
        <f t="shared" si="271"/>
        <v>0.99856570761192043</v>
      </c>
      <c r="T1438" s="19">
        <f t="shared" si="272"/>
        <v>1.4342923880795288E-3</v>
      </c>
    </row>
    <row r="1439" spans="1:20" x14ac:dyDescent="0.2">
      <c r="A1439" s="9">
        <v>46036</v>
      </c>
      <c r="B1439" s="4" t="s">
        <v>221</v>
      </c>
      <c r="C1439" s="8">
        <v>46023</v>
      </c>
      <c r="D1439" s="4" t="s">
        <v>196</v>
      </c>
      <c r="E1439" s="14">
        <f>IF(SUMIFS('Daily NSE Equity Futures'!$I:$I,'Daily NSE Equity Futures'!$A:$A,$A1439)=0,"",SUMIFS('Daily NSE Equity Futures'!$I:$I,'Daily NSE Equity Futures'!$A:$A,$A1439))</f>
        <v>1119.6312</v>
      </c>
      <c r="F1439" s="6">
        <f>IF(SUMIFS('Daily BSE Equity Futures'!$I:$I,'Daily BSE Equity Futures'!$A:$A,$A1439)=0,"",SUMIFS('Daily BSE Equity Futures'!$I:$I,'Daily BSE Equity Futures'!$A:$A,$A1439))</f>
        <v>3.6692</v>
      </c>
      <c r="G1439" s="6">
        <f t="shared" si="264"/>
        <v>1123.3004000000001</v>
      </c>
      <c r="H1439" s="15">
        <f t="shared" si="265"/>
        <v>0.99673355408757969</v>
      </c>
      <c r="I1439" s="15">
        <f t="shared" si="266"/>
        <v>3.2664459124202216E-3</v>
      </c>
      <c r="J1439" s="20">
        <f t="shared" si="267"/>
        <v>-0.1197873460456943</v>
      </c>
      <c r="K1439" s="15">
        <f t="shared" si="268"/>
        <v>-0.16415326438562128</v>
      </c>
      <c r="L1439" s="15">
        <f t="shared" si="269"/>
        <v>-0.11993993061371644</v>
      </c>
      <c r="M1439" s="15">
        <f t="shared" si="273"/>
        <v>9.7754105976384231E-3</v>
      </c>
      <c r="N1439" s="15">
        <f t="shared" si="274"/>
        <v>5.3368931760112481E-2</v>
      </c>
      <c r="O1439" s="15">
        <f t="shared" si="275"/>
        <v>9.9119318988925009E-3</v>
      </c>
      <c r="P1439" s="18">
        <f>IF(SUMIFS('Daily NSE Equity Futures'!$J:$J,'Daily NSE Equity Futures'!$A:$A,$A1439)=0,"",SUMIFS('Daily NSE Equity Futures'!$J:$J,'Daily NSE Equity Futures'!$A:$A,$A1439))</f>
        <v>1442763</v>
      </c>
      <c r="Q1439" s="7">
        <f>IF(SUMIFS('Daily BSE Equity Futures'!$J:$J,'Daily BSE Equity Futures'!$A:$A,$A1439)=0,"",SUMIFS('Daily BSE Equity Futures'!$J:$J,'Daily BSE Equity Futures'!$A:$A,$A1439))</f>
        <v>2188</v>
      </c>
      <c r="R1439" s="7">
        <f t="shared" si="270"/>
        <v>1444951</v>
      </c>
      <c r="S1439" s="19">
        <f t="shared" si="271"/>
        <v>0.99848576180091919</v>
      </c>
      <c r="T1439" s="19">
        <f t="shared" si="272"/>
        <v>1.5142381990807994E-3</v>
      </c>
    </row>
    <row r="1440" spans="1:20" x14ac:dyDescent="0.2">
      <c r="A1440" s="9">
        <v>46038</v>
      </c>
      <c r="B1440" s="4" t="s">
        <v>222</v>
      </c>
      <c r="C1440" s="8">
        <v>46023</v>
      </c>
      <c r="D1440" s="4" t="s">
        <v>196</v>
      </c>
      <c r="E1440" s="14">
        <f>IF(SUMIFS('Daily NSE Equity Futures'!$I:$I,'Daily NSE Equity Futures'!$A:$A,$A1440)=0,"",SUMIFS('Daily NSE Equity Futures'!$I:$I,'Daily NSE Equity Futures'!$A:$A,$A1440))</f>
        <v>1456.2158999999999</v>
      </c>
      <c r="F1440" s="6">
        <f>IF(SUMIFS('Daily BSE Equity Futures'!$I:$I,'Daily BSE Equity Futures'!$A:$A,$A1440)=0,"",SUMIFS('Daily BSE Equity Futures'!$I:$I,'Daily BSE Equity Futures'!$A:$A,$A1440))</f>
        <v>2.3696999999999999</v>
      </c>
      <c r="G1440" s="6">
        <f t="shared" si="264"/>
        <v>1458.5855999999999</v>
      </c>
      <c r="H1440" s="15">
        <f t="shared" si="265"/>
        <v>0.99837534389479787</v>
      </c>
      <c r="I1440" s="15">
        <f t="shared" si="266"/>
        <v>1.6246561052021904E-3</v>
      </c>
      <c r="J1440" s="20">
        <f t="shared" si="267"/>
        <v>0.2494186260011455</v>
      </c>
      <c r="K1440" s="15">
        <f t="shared" si="268"/>
        <v>2.2600082542302928</v>
      </c>
      <c r="L1440" s="15">
        <f t="shared" si="269"/>
        <v>0.25067179470602041</v>
      </c>
      <c r="M1440" s="15">
        <f t="shared" si="273"/>
        <v>0.30062104378656107</v>
      </c>
      <c r="N1440" s="15">
        <f t="shared" si="274"/>
        <v>-0.35416439550855772</v>
      </c>
      <c r="O1440" s="15">
        <f t="shared" si="275"/>
        <v>0.29848222256486312</v>
      </c>
      <c r="P1440" s="18">
        <f>IF(SUMIFS('Daily NSE Equity Futures'!$J:$J,'Daily NSE Equity Futures'!$A:$A,$A1440)=0,"",SUMIFS('Daily NSE Equity Futures'!$J:$J,'Daily NSE Equity Futures'!$A:$A,$A1440))</f>
        <v>1842459</v>
      </c>
      <c r="Q1440" s="7">
        <f>IF(SUMIFS('Daily BSE Equity Futures'!$J:$J,'Daily BSE Equity Futures'!$A:$A,$A1440)=0,"",SUMIFS('Daily BSE Equity Futures'!$J:$J,'Daily BSE Equity Futures'!$A:$A,$A1440))</f>
        <v>1407</v>
      </c>
      <c r="R1440" s="7">
        <f t="shared" si="270"/>
        <v>1843866</v>
      </c>
      <c r="S1440" s="19">
        <f t="shared" si="271"/>
        <v>0.9992369293647152</v>
      </c>
      <c r="T1440" s="19">
        <f t="shared" si="272"/>
        <v>7.6307063528477663E-4</v>
      </c>
    </row>
    <row r="1441" spans="1:20" x14ac:dyDescent="0.2">
      <c r="A1441" s="9">
        <v>46041</v>
      </c>
      <c r="B1441" s="4" t="s">
        <v>225</v>
      </c>
      <c r="C1441" s="8">
        <v>46023</v>
      </c>
      <c r="D1441" s="4" t="s">
        <v>196</v>
      </c>
      <c r="E1441" s="14">
        <f>IF(SUMIFS('Daily NSE Equity Futures'!$I:$I,'Daily NSE Equity Futures'!$A:$A,$A1441)=0,"",SUMIFS('Daily NSE Equity Futures'!$I:$I,'Daily NSE Equity Futures'!$A:$A,$A1441))</f>
        <v>1412.4099000000001</v>
      </c>
      <c r="F1441" s="6">
        <f>IF(SUMIFS('Daily BSE Equity Futures'!$I:$I,'Daily BSE Equity Futures'!$A:$A,$A1441)=0,"",SUMIFS('Daily BSE Equity Futures'!$I:$I,'Daily BSE Equity Futures'!$A:$A,$A1441))</f>
        <v>2.0585</v>
      </c>
      <c r="G1441" s="6">
        <f t="shared" si="264"/>
        <v>1414.4684000000002</v>
      </c>
      <c r="H1441" s="15">
        <f t="shared" si="265"/>
        <v>0.99854468293529919</v>
      </c>
      <c r="I1441" s="15">
        <f t="shared" si="266"/>
        <v>1.4553170647007736E-3</v>
      </c>
      <c r="J1441" s="20" t="str">
        <f t="shared" si="267"/>
        <v/>
      </c>
      <c r="K1441" s="15" t="str">
        <f t="shared" si="268"/>
        <v/>
      </c>
      <c r="L1441" s="15" t="str">
        <f t="shared" si="269"/>
        <v/>
      </c>
      <c r="M1441" s="15">
        <f t="shared" si="273"/>
        <v>-3.0082077801787399E-2</v>
      </c>
      <c r="N1441" s="15">
        <f t="shared" si="274"/>
        <v>-0.1313246402498206</v>
      </c>
      <c r="O1441" s="15">
        <f t="shared" si="275"/>
        <v>-3.0246562148974809E-2</v>
      </c>
      <c r="P1441" s="18">
        <f>IF(SUMIFS('Daily NSE Equity Futures'!$J:$J,'Daily NSE Equity Futures'!$A:$A,$A1441)=0,"",SUMIFS('Daily NSE Equity Futures'!$J:$J,'Daily NSE Equity Futures'!$A:$A,$A1441))</f>
        <v>1850739</v>
      </c>
      <c r="Q1441" s="7">
        <f>IF(SUMIFS('Daily BSE Equity Futures'!$J:$J,'Daily BSE Equity Futures'!$A:$A,$A1441)=0,"",SUMIFS('Daily BSE Equity Futures'!$J:$J,'Daily BSE Equity Futures'!$A:$A,$A1441))</f>
        <v>1233</v>
      </c>
      <c r="R1441" s="7">
        <f t="shared" si="270"/>
        <v>1851972</v>
      </c>
      <c r="S1441" s="19">
        <f t="shared" si="271"/>
        <v>0.99933422319559906</v>
      </c>
      <c r="T1441" s="19">
        <f t="shared" si="272"/>
        <v>6.657768044009305E-4</v>
      </c>
    </row>
    <row r="1442" spans="1:20" x14ac:dyDescent="0.2">
      <c r="A1442" s="9">
        <v>46042</v>
      </c>
      <c r="B1442" s="4" t="s">
        <v>223</v>
      </c>
      <c r="C1442" s="8">
        <v>46023</v>
      </c>
      <c r="D1442" s="4" t="s">
        <v>196</v>
      </c>
      <c r="E1442" s="14">
        <f>IF(SUMIFS('Daily NSE Equity Futures'!$I:$I,'Daily NSE Equity Futures'!$A:$A,$A1442)=0,"",SUMIFS('Daily NSE Equity Futures'!$I:$I,'Daily NSE Equity Futures'!$A:$A,$A1442))</f>
        <v>1749.1469</v>
      </c>
      <c r="F1442" s="6">
        <f>IF(SUMIFS('Daily BSE Equity Futures'!$I:$I,'Daily BSE Equity Futures'!$A:$A,$A1442)=0,"",SUMIFS('Daily BSE Equity Futures'!$I:$I,'Daily BSE Equity Futures'!$A:$A,$A1442))</f>
        <v>2.3933</v>
      </c>
      <c r="G1442" s="6">
        <f t="shared" si="264"/>
        <v>1751.5401999999999</v>
      </c>
      <c r="H1442" s="15">
        <f t="shared" si="265"/>
        <v>0.99863360258588418</v>
      </c>
      <c r="I1442" s="15">
        <f t="shared" si="266"/>
        <v>1.3663974141158736E-3</v>
      </c>
      <c r="J1442" s="20">
        <f t="shared" si="267"/>
        <v>0.47868517801358679</v>
      </c>
      <c r="K1442" s="15">
        <f t="shared" si="268"/>
        <v>0.43949236136172254</v>
      </c>
      <c r="L1442" s="15">
        <f t="shared" si="269"/>
        <v>0.47863016901920896</v>
      </c>
      <c r="M1442" s="15">
        <f t="shared" si="273"/>
        <v>0.23841308390715743</v>
      </c>
      <c r="N1442" s="15">
        <f t="shared" si="274"/>
        <v>0.16264270099587086</v>
      </c>
      <c r="O1442" s="15">
        <f t="shared" si="275"/>
        <v>0.23830281397590758</v>
      </c>
      <c r="P1442" s="18">
        <f>IF(SUMIFS('Daily NSE Equity Futures'!$J:$J,'Daily NSE Equity Futures'!$A:$A,$A1442)=0,"",SUMIFS('Daily NSE Equity Futures'!$J:$J,'Daily NSE Equity Futures'!$A:$A,$A1442))</f>
        <v>2324818</v>
      </c>
      <c r="Q1442" s="7">
        <f>IF(SUMIFS('Daily BSE Equity Futures'!$J:$J,'Daily BSE Equity Futures'!$A:$A,$A1442)=0,"",SUMIFS('Daily BSE Equity Futures'!$J:$J,'Daily BSE Equity Futures'!$A:$A,$A1442))</f>
        <v>1440</v>
      </c>
      <c r="R1442" s="7">
        <f t="shared" si="270"/>
        <v>2326258</v>
      </c>
      <c r="S1442" s="19">
        <f t="shared" si="271"/>
        <v>0.99938098009765042</v>
      </c>
      <c r="T1442" s="19">
        <f t="shared" si="272"/>
        <v>6.1901990234961045E-4</v>
      </c>
    </row>
    <row r="1443" spans="1:20" x14ac:dyDescent="0.2">
      <c r="A1443" s="9">
        <v>46043</v>
      </c>
      <c r="B1443" s="4" t="s">
        <v>221</v>
      </c>
      <c r="C1443" s="8">
        <v>46023</v>
      </c>
      <c r="D1443" s="4" t="s">
        <v>196</v>
      </c>
      <c r="E1443" s="14">
        <f>IF(SUMIFS('Daily NSE Equity Futures'!$I:$I,'Daily NSE Equity Futures'!$A:$A,$A1443)=0,"",SUMIFS('Daily NSE Equity Futures'!$I:$I,'Daily NSE Equity Futures'!$A:$A,$A1443))</f>
        <v>3732.4875999999999</v>
      </c>
      <c r="F1443" s="6">
        <f>IF(SUMIFS('Daily BSE Equity Futures'!$I:$I,'Daily BSE Equity Futures'!$A:$A,$A1443)=0,"",SUMIFS('Daily BSE Equity Futures'!$I:$I,'Daily BSE Equity Futures'!$A:$A,$A1443))</f>
        <v>4.9355000000000002</v>
      </c>
      <c r="G1443" s="6">
        <f t="shared" si="264"/>
        <v>3737.4231</v>
      </c>
      <c r="H1443" s="15">
        <f t="shared" si="265"/>
        <v>0.99867943771204282</v>
      </c>
      <c r="I1443" s="15">
        <f t="shared" si="266"/>
        <v>1.3205622879571756E-3</v>
      </c>
      <c r="J1443" s="20">
        <f t="shared" si="267"/>
        <v>1.2320225163232701</v>
      </c>
      <c r="K1443" s="15">
        <f t="shared" si="268"/>
        <v>-0.48532248813806766</v>
      </c>
      <c r="L1443" s="15">
        <f t="shared" si="269"/>
        <v>1.2222305398612145</v>
      </c>
      <c r="M1443" s="15">
        <f t="shared" si="273"/>
        <v>1.1338902981790722</v>
      </c>
      <c r="N1443" s="15">
        <f t="shared" si="274"/>
        <v>1.0622153511887351</v>
      </c>
      <c r="O1443" s="15">
        <f t="shared" si="275"/>
        <v>1.1337923617168477</v>
      </c>
      <c r="P1443" s="18">
        <f>IF(SUMIFS('Daily NSE Equity Futures'!$J:$J,'Daily NSE Equity Futures'!$A:$A,$A1443)=0,"",SUMIFS('Daily NSE Equity Futures'!$J:$J,'Daily NSE Equity Futures'!$A:$A,$A1443))</f>
        <v>5235036</v>
      </c>
      <c r="Q1443" s="7">
        <f>IF(SUMIFS('Daily BSE Equity Futures'!$J:$J,'Daily BSE Equity Futures'!$A:$A,$A1443)=0,"",SUMIFS('Daily BSE Equity Futures'!$J:$J,'Daily BSE Equity Futures'!$A:$A,$A1443))</f>
        <v>2998</v>
      </c>
      <c r="R1443" s="7">
        <f t="shared" si="270"/>
        <v>5238034</v>
      </c>
      <c r="S1443" s="19">
        <f t="shared" si="271"/>
        <v>0.99942764785413762</v>
      </c>
      <c r="T1443" s="19">
        <f t="shared" si="272"/>
        <v>5.7235214586235977E-4</v>
      </c>
    </row>
    <row r="1444" spans="1:20" x14ac:dyDescent="0.2">
      <c r="A1444" s="9">
        <v>46044</v>
      </c>
      <c r="B1444" s="4" t="s">
        <v>224</v>
      </c>
      <c r="C1444" s="8">
        <v>46023</v>
      </c>
      <c r="D1444" s="4" t="s">
        <v>196</v>
      </c>
      <c r="E1444" s="14">
        <f>IF(SUMIFS('Daily NSE Equity Futures'!$I:$I,'Daily NSE Equity Futures'!$A:$A,$A1444)=0,"",SUMIFS('Daily NSE Equity Futures'!$I:$I,'Daily NSE Equity Futures'!$A:$A,$A1444))</f>
        <v>4398.5189</v>
      </c>
      <c r="F1444" s="6">
        <f>IF(SUMIFS('Daily BSE Equity Futures'!$I:$I,'Daily BSE Equity Futures'!$A:$A,$A1444)=0,"",SUMIFS('Daily BSE Equity Futures'!$I:$I,'Daily BSE Equity Futures'!$A:$A,$A1444))</f>
        <v>4.851</v>
      </c>
      <c r="G1444" s="6">
        <f t="shared" si="264"/>
        <v>4403.3698999999997</v>
      </c>
      <c r="H1444" s="15">
        <f t="shared" si="265"/>
        <v>0.99889834374350439</v>
      </c>
      <c r="I1444" s="15">
        <f t="shared" si="266"/>
        <v>1.1016562564957354E-3</v>
      </c>
      <c r="J1444" s="20">
        <f t="shared" si="267"/>
        <v>2.0796238093070962</v>
      </c>
      <c r="K1444" s="15">
        <f t="shared" si="268"/>
        <v>2.7954776621547608</v>
      </c>
      <c r="L1444" s="15">
        <f t="shared" si="269"/>
        <v>2.0802638269528209</v>
      </c>
      <c r="M1444" s="15">
        <f t="shared" si="273"/>
        <v>0.17844166448135024</v>
      </c>
      <c r="N1444" s="15">
        <f t="shared" si="274"/>
        <v>-1.7120859082159878E-2</v>
      </c>
      <c r="O1444" s="15">
        <f t="shared" si="275"/>
        <v>0.1781834119877943</v>
      </c>
      <c r="P1444" s="18">
        <f>IF(SUMIFS('Daily NSE Equity Futures'!$J:$J,'Daily NSE Equity Futures'!$A:$A,$A1444)=0,"",SUMIFS('Daily NSE Equity Futures'!$J:$J,'Daily NSE Equity Futures'!$A:$A,$A1444))</f>
        <v>6088342</v>
      </c>
      <c r="Q1444" s="7">
        <f>IF(SUMIFS('Daily BSE Equity Futures'!$J:$J,'Daily BSE Equity Futures'!$A:$A,$A1444)=0,"",SUMIFS('Daily BSE Equity Futures'!$J:$J,'Daily BSE Equity Futures'!$A:$A,$A1444))</f>
        <v>2918</v>
      </c>
      <c r="R1444" s="7">
        <f t="shared" si="270"/>
        <v>6091260</v>
      </c>
      <c r="S1444" s="19">
        <f t="shared" si="271"/>
        <v>0.99952095297196308</v>
      </c>
      <c r="T1444" s="19">
        <f t="shared" si="272"/>
        <v>4.7904702803689222E-4</v>
      </c>
    </row>
    <row r="1445" spans="1:20" x14ac:dyDescent="0.2">
      <c r="A1445" s="9">
        <v>46045</v>
      </c>
      <c r="B1445" s="4" t="s">
        <v>222</v>
      </c>
      <c r="C1445" s="8">
        <v>46023</v>
      </c>
      <c r="D1445" s="4" t="s">
        <v>196</v>
      </c>
      <c r="E1445" s="14">
        <f>IF(SUMIFS('Daily NSE Equity Futures'!$I:$I,'Daily NSE Equity Futures'!$A:$A,$A1445)=0,"",SUMIFS('Daily NSE Equity Futures'!$I:$I,'Daily NSE Equity Futures'!$A:$A,$A1445))</f>
        <v>4333.5437000000002</v>
      </c>
      <c r="F1445" s="6">
        <f>IF(SUMIFS('Daily BSE Equity Futures'!$I:$I,'Daily BSE Equity Futures'!$A:$A,$A1445)=0,"",SUMIFS('Daily BSE Equity Futures'!$I:$I,'Daily BSE Equity Futures'!$A:$A,$A1445))</f>
        <v>3.0960999999999999</v>
      </c>
      <c r="G1445" s="6">
        <f t="shared" si="264"/>
        <v>4336.6397999999999</v>
      </c>
      <c r="H1445" s="15">
        <f t="shared" si="265"/>
        <v>0.99928606014269394</v>
      </c>
      <c r="I1445" s="15">
        <f t="shared" si="266"/>
        <v>7.1393985730611057E-4</v>
      </c>
      <c r="J1445" s="20">
        <f t="shared" si="267"/>
        <v>1.9951927416640345</v>
      </c>
      <c r="K1445" s="15">
        <f t="shared" si="268"/>
        <v>4.233434753211629</v>
      </c>
      <c r="L1445" s="15">
        <f t="shared" si="269"/>
        <v>1.9961075692647476</v>
      </c>
      <c r="M1445" s="15">
        <f t="shared" si="273"/>
        <v>-1.477206338706416E-2</v>
      </c>
      <c r="N1445" s="15">
        <f t="shared" si="274"/>
        <v>-0.36176046176046184</v>
      </c>
      <c r="O1445" s="15">
        <f t="shared" si="275"/>
        <v>-1.5154325327063622E-2</v>
      </c>
      <c r="P1445" s="18">
        <f>IF(SUMIFS('Daily NSE Equity Futures'!$J:$J,'Daily NSE Equity Futures'!$A:$A,$A1445)=0,"",SUMIFS('Daily NSE Equity Futures'!$J:$J,'Daily NSE Equity Futures'!$A:$A,$A1445))</f>
        <v>6113995</v>
      </c>
      <c r="Q1445" s="7">
        <f>IF(SUMIFS('Daily BSE Equity Futures'!$J:$J,'Daily BSE Equity Futures'!$A:$A,$A1445)=0,"",SUMIFS('Daily BSE Equity Futures'!$J:$J,'Daily BSE Equity Futures'!$A:$A,$A1445))</f>
        <v>1878</v>
      </c>
      <c r="R1445" s="7">
        <f t="shared" si="270"/>
        <v>6115873</v>
      </c>
      <c r="S1445" s="19">
        <f t="shared" si="271"/>
        <v>0.99969293018347505</v>
      </c>
      <c r="T1445" s="19">
        <f t="shared" si="272"/>
        <v>3.0706981652496709E-4</v>
      </c>
    </row>
    <row r="1446" spans="1:20" x14ac:dyDescent="0.2">
      <c r="A1446" s="9">
        <v>46049</v>
      </c>
      <c r="B1446" s="4" t="s">
        <v>223</v>
      </c>
      <c r="C1446" s="8">
        <v>46023</v>
      </c>
      <c r="D1446" s="4" t="s">
        <v>196</v>
      </c>
      <c r="E1446" s="14">
        <f>IF(SUMIFS('Daily NSE Equity Futures'!$I:$I,'Daily NSE Equity Futures'!$A:$A,$A1446)=0,"",SUMIFS('Daily NSE Equity Futures'!$I:$I,'Daily NSE Equity Futures'!$A:$A,$A1446))</f>
        <v>3885.4304999999999</v>
      </c>
      <c r="F1446" s="6">
        <f>IF(SUMIFS('Daily BSE Equity Futures'!$I:$I,'Daily BSE Equity Futures'!$A:$A,$A1446)=0,"",SUMIFS('Daily BSE Equity Futures'!$I:$I,'Daily BSE Equity Futures'!$A:$A,$A1446))</f>
        <v>4.2976000000000001</v>
      </c>
      <c r="G1446" s="6">
        <f t="shared" si="264"/>
        <v>3889.7280999999998</v>
      </c>
      <c r="H1446" s="15">
        <f t="shared" si="265"/>
        <v>0.99889514128249735</v>
      </c>
      <c r="I1446" s="15">
        <f t="shared" si="266"/>
        <v>1.104858717502645E-3</v>
      </c>
      <c r="J1446" s="20">
        <f t="shared" si="267"/>
        <v>0.23949848780393657</v>
      </c>
      <c r="K1446" s="15">
        <f t="shared" si="268"/>
        <v>1.3384481445206222</v>
      </c>
      <c r="L1446" s="15">
        <f t="shared" si="269"/>
        <v>0.2401424025303478</v>
      </c>
      <c r="M1446" s="15">
        <f t="shared" si="273"/>
        <v>-0.10340571851161906</v>
      </c>
      <c r="N1446" s="15">
        <f t="shared" si="274"/>
        <v>0.38806886082490877</v>
      </c>
      <c r="O1446" s="15">
        <f t="shared" si="275"/>
        <v>-0.1030548352205779</v>
      </c>
      <c r="P1446" s="18">
        <f>IF(SUMIFS('Daily NSE Equity Futures'!$J:$J,'Daily NSE Equity Futures'!$A:$A,$A1446)=0,"",SUMIFS('Daily NSE Equity Futures'!$J:$J,'Daily NSE Equity Futures'!$A:$A,$A1446))</f>
        <v>5426694</v>
      </c>
      <c r="Q1446" s="7">
        <f>IF(SUMIFS('Daily BSE Equity Futures'!$J:$J,'Daily BSE Equity Futures'!$A:$A,$A1446)=0,"",SUMIFS('Daily BSE Equity Futures'!$J:$J,'Daily BSE Equity Futures'!$A:$A,$A1446))</f>
        <v>2617</v>
      </c>
      <c r="R1446" s="7">
        <f t="shared" si="270"/>
        <v>5429311</v>
      </c>
      <c r="S1446" s="19">
        <f t="shared" si="271"/>
        <v>0.99951798672059866</v>
      </c>
      <c r="T1446" s="19">
        <f t="shared" si="272"/>
        <v>4.8201327940138261E-4</v>
      </c>
    </row>
    <row r="1447" spans="1:20" x14ac:dyDescent="0.2">
      <c r="A1447" s="9">
        <v>46050</v>
      </c>
      <c r="B1447" s="4" t="s">
        <v>221</v>
      </c>
      <c r="C1447" s="8">
        <v>46023</v>
      </c>
      <c r="D1447" s="4" t="s">
        <v>196</v>
      </c>
      <c r="E1447" s="14">
        <f>IF(SUMIFS('Daily NSE Equity Futures'!$I:$I,'Daily NSE Equity Futures'!$A:$A,$A1447)=0,"",SUMIFS('Daily NSE Equity Futures'!$I:$I,'Daily NSE Equity Futures'!$A:$A,$A1447))</f>
        <v>1317.3507</v>
      </c>
      <c r="F1447" s="6">
        <f>IF(SUMIFS('Daily BSE Equity Futures'!$I:$I,'Daily BSE Equity Futures'!$A:$A,$A1447)=0,"",SUMIFS('Daily BSE Equity Futures'!$I:$I,'Daily BSE Equity Futures'!$A:$A,$A1447))</f>
        <v>5.0834000000000001</v>
      </c>
      <c r="G1447" s="6">
        <f t="shared" si="264"/>
        <v>1322.4340999999999</v>
      </c>
      <c r="H1447" s="15">
        <f t="shared" si="265"/>
        <v>0.99615602773703427</v>
      </c>
      <c r="I1447" s="15">
        <f t="shared" si="266"/>
        <v>3.8439722629656937E-3</v>
      </c>
      <c r="J1447" s="20">
        <f t="shared" si="267"/>
        <v>-0.6588081427678476</v>
      </c>
      <c r="K1447" s="15">
        <f t="shared" si="268"/>
        <v>0.16519586494601968</v>
      </c>
      <c r="L1447" s="15">
        <f t="shared" si="269"/>
        <v>-0.65787812450126304</v>
      </c>
      <c r="M1447" s="15">
        <f t="shared" si="273"/>
        <v>-0.66095116101034357</v>
      </c>
      <c r="N1447" s="15">
        <f t="shared" si="274"/>
        <v>0.18284623976172742</v>
      </c>
      <c r="O1447" s="15">
        <f t="shared" si="275"/>
        <v>-0.66001888409629461</v>
      </c>
      <c r="P1447" s="18">
        <f>IF(SUMIFS('Daily NSE Equity Futures'!$J:$J,'Daily NSE Equity Futures'!$A:$A,$A1447)=0,"",SUMIFS('Daily NSE Equity Futures'!$J:$J,'Daily NSE Equity Futures'!$A:$A,$A1447))</f>
        <v>1700689</v>
      </c>
      <c r="Q1447" s="7">
        <f>IF(SUMIFS('Daily BSE Equity Futures'!$J:$J,'Daily BSE Equity Futures'!$A:$A,$A1447)=0,"",SUMIFS('Daily BSE Equity Futures'!$J:$J,'Daily BSE Equity Futures'!$A:$A,$A1447))</f>
        <v>3079</v>
      </c>
      <c r="R1447" s="7">
        <f t="shared" si="270"/>
        <v>1703768</v>
      </c>
      <c r="S1447" s="19">
        <f t="shared" si="271"/>
        <v>0.99819282907062468</v>
      </c>
      <c r="T1447" s="19">
        <f t="shared" si="272"/>
        <v>1.807170929375361E-3</v>
      </c>
    </row>
    <row r="1448" spans="1:20" x14ac:dyDescent="0.2">
      <c r="A1448" s="9">
        <v>46051</v>
      </c>
      <c r="B1448" s="4" t="s">
        <v>224</v>
      </c>
      <c r="C1448" s="8">
        <v>46023</v>
      </c>
      <c r="D1448" s="4" t="s">
        <v>196</v>
      </c>
      <c r="E1448" s="14">
        <f>IF(SUMIFS('Daily NSE Equity Futures'!$I:$I,'Daily NSE Equity Futures'!$A:$A,$A1448)=0,"",SUMIFS('Daily NSE Equity Futures'!$I:$I,'Daily NSE Equity Futures'!$A:$A,$A1448))</f>
        <v>1406.9945</v>
      </c>
      <c r="F1448" s="6">
        <f>IF(SUMIFS('Daily BSE Equity Futures'!$I:$I,'Daily BSE Equity Futures'!$A:$A,$A1448)=0,"",SUMIFS('Daily BSE Equity Futures'!$I:$I,'Daily BSE Equity Futures'!$A:$A,$A1448))</f>
        <v>8.6401000000000003</v>
      </c>
      <c r="G1448" s="6">
        <f t="shared" si="264"/>
        <v>1415.6346000000001</v>
      </c>
      <c r="H1448" s="15">
        <f t="shared" si="265"/>
        <v>0.99389665949108619</v>
      </c>
      <c r="I1448" s="15">
        <f t="shared" si="266"/>
        <v>6.1033405089138118E-3</v>
      </c>
      <c r="J1448" s="20">
        <f t="shared" si="267"/>
        <v>-0.55926754804104317</v>
      </c>
      <c r="K1448" s="15">
        <f t="shared" si="268"/>
        <v>11.988725195429947</v>
      </c>
      <c r="L1448" s="15">
        <f t="shared" si="269"/>
        <v>-0.55665346942281824</v>
      </c>
      <c r="M1448" s="15">
        <f t="shared" si="273"/>
        <v>6.8048546222353679E-2</v>
      </c>
      <c r="N1448" s="15">
        <f t="shared" si="274"/>
        <v>0.69966951253098331</v>
      </c>
      <c r="O1448" s="15">
        <f t="shared" si="275"/>
        <v>7.0476479697551664E-2</v>
      </c>
      <c r="P1448" s="18">
        <f>IF(SUMIFS('Daily NSE Equity Futures'!$J:$J,'Daily NSE Equity Futures'!$A:$A,$A1448)=0,"",SUMIFS('Daily NSE Equity Futures'!$J:$J,'Daily NSE Equity Futures'!$A:$A,$A1448))</f>
        <v>1778977</v>
      </c>
      <c r="Q1448" s="7">
        <f>IF(SUMIFS('Daily BSE Equity Futures'!$J:$J,'Daily BSE Equity Futures'!$A:$A,$A1448)=0,"",SUMIFS('Daily BSE Equity Futures'!$J:$J,'Daily BSE Equity Futures'!$A:$A,$A1448))</f>
        <v>5226</v>
      </c>
      <c r="R1448" s="7">
        <f t="shared" si="270"/>
        <v>1784203</v>
      </c>
      <c r="S1448" s="19">
        <f t="shared" si="271"/>
        <v>0.99707096109579463</v>
      </c>
      <c r="T1448" s="19">
        <f t="shared" si="272"/>
        <v>2.9290389042054073E-3</v>
      </c>
    </row>
    <row r="1449" spans="1:20" x14ac:dyDescent="0.2">
      <c r="A1449" s="9">
        <v>46052</v>
      </c>
      <c r="B1449" s="4" t="s">
        <v>222</v>
      </c>
      <c r="C1449" s="8">
        <v>46023</v>
      </c>
      <c r="D1449" s="4" t="s">
        <v>196</v>
      </c>
      <c r="E1449" s="14">
        <f>IF(SUMIFS('Daily NSE Equity Futures'!$I:$I,'Daily NSE Equity Futures'!$A:$A,$A1449)=0,"",SUMIFS('Daily NSE Equity Futures'!$I:$I,'Daily NSE Equity Futures'!$A:$A,$A1449))</f>
        <v>1324.4969000000001</v>
      </c>
      <c r="F1449" s="6">
        <f>IF(SUMIFS('Daily BSE Equity Futures'!$I:$I,'Daily BSE Equity Futures'!$A:$A,$A1449)=0,"",SUMIFS('Daily BSE Equity Futures'!$I:$I,'Daily BSE Equity Futures'!$A:$A,$A1449))</f>
        <v>2.8628</v>
      </c>
      <c r="G1449" s="6">
        <f t="shared" si="264"/>
        <v>1327.3597000000002</v>
      </c>
      <c r="H1449" s="15">
        <f t="shared" si="265"/>
        <v>0.99784323721746249</v>
      </c>
      <c r="I1449" s="15">
        <f t="shared" si="266"/>
        <v>2.1567627825373934E-3</v>
      </c>
      <c r="J1449" s="20">
        <f t="shared" si="267"/>
        <v>-0.61875049059543485</v>
      </c>
      <c r="K1449" s="15">
        <f t="shared" si="268"/>
        <v>2.0885748192901068</v>
      </c>
      <c r="L1449" s="15">
        <f t="shared" si="269"/>
        <v>-0.6180283598812738</v>
      </c>
      <c r="M1449" s="15">
        <f t="shared" si="273"/>
        <v>-5.8633917900887234E-2</v>
      </c>
      <c r="N1449" s="15">
        <f t="shared" si="274"/>
        <v>-0.66866124234673219</v>
      </c>
      <c r="O1449" s="15">
        <f t="shared" si="275"/>
        <v>-6.2357122381721863E-2</v>
      </c>
      <c r="P1449" s="18">
        <f>IF(SUMIFS('Daily NSE Equity Futures'!$J:$J,'Daily NSE Equity Futures'!$A:$A,$A1449)=0,"",SUMIFS('Daily NSE Equity Futures'!$J:$J,'Daily NSE Equity Futures'!$A:$A,$A1449))</f>
        <v>1694291</v>
      </c>
      <c r="Q1449" s="7">
        <f>IF(SUMIFS('Daily BSE Equity Futures'!$J:$J,'Daily BSE Equity Futures'!$A:$A,$A1449)=0,"",SUMIFS('Daily BSE Equity Futures'!$J:$J,'Daily BSE Equity Futures'!$A:$A,$A1449))</f>
        <v>1729</v>
      </c>
      <c r="R1449" s="7">
        <f t="shared" si="270"/>
        <v>1696020</v>
      </c>
      <c r="S1449" s="19">
        <f t="shared" si="271"/>
        <v>0.99898055447459344</v>
      </c>
      <c r="T1449" s="19">
        <f t="shared" si="272"/>
        <v>1.01944552540654E-3</v>
      </c>
    </row>
    <row r="1450" spans="1:20" x14ac:dyDescent="0.2">
      <c r="A1450" s="9">
        <v>46054</v>
      </c>
      <c r="B1450" s="4" t="s">
        <v>227</v>
      </c>
      <c r="C1450" s="8">
        <v>46054</v>
      </c>
      <c r="D1450" s="4" t="s">
        <v>196</v>
      </c>
      <c r="E1450" s="14">
        <f>IF(SUMIFS('Daily NSE Equity Futures'!$I:$I,'Daily NSE Equity Futures'!$A:$A,$A1450)=0,"",SUMIFS('Daily NSE Equity Futures'!$I:$I,'Daily NSE Equity Futures'!$A:$A,$A1450))</f>
        <v>1709.6922999999999</v>
      </c>
      <c r="F1450" s="6">
        <f>IF(SUMIFS('Daily BSE Equity Futures'!$I:$I,'Daily BSE Equity Futures'!$A:$A,$A1450)=0,"",SUMIFS('Daily BSE Equity Futures'!$I:$I,'Daily BSE Equity Futures'!$A:$A,$A1450))</f>
        <v>5.2161999999999997</v>
      </c>
      <c r="G1450" s="6">
        <f t="shared" si="264"/>
        <v>1714.9085</v>
      </c>
      <c r="H1450" s="15">
        <f t="shared" si="265"/>
        <v>0.99695832168305187</v>
      </c>
      <c r="I1450" s="15">
        <f t="shared" si="266"/>
        <v>3.0416783169481053E-3</v>
      </c>
      <c r="J1450" s="20">
        <f t="shared" si="267"/>
        <v>9.3355537774494346E-2</v>
      </c>
      <c r="K1450" s="15">
        <f t="shared" si="268"/>
        <v>0.8688019489825165</v>
      </c>
      <c r="L1450" s="15">
        <f t="shared" si="269"/>
        <v>9.4737231171813097E-2</v>
      </c>
      <c r="M1450" s="15">
        <f t="shared" si="273"/>
        <v>0.29082393473325596</v>
      </c>
      <c r="N1450" s="15">
        <f t="shared" si="274"/>
        <v>0.82206231661310603</v>
      </c>
      <c r="O1450" s="15">
        <f t="shared" si="275"/>
        <v>0.29196968990394967</v>
      </c>
      <c r="P1450" s="18">
        <f>IF(SUMIFS('Daily NSE Equity Futures'!$J:$J,'Daily NSE Equity Futures'!$A:$A,$A1450)=0,"",SUMIFS('Daily NSE Equity Futures'!$J:$J,'Daily NSE Equity Futures'!$A:$A,$A1450))</f>
        <v>2050946</v>
      </c>
      <c r="Q1450" s="7">
        <f>IF(SUMIFS('Daily BSE Equity Futures'!$J:$J,'Daily BSE Equity Futures'!$A:$A,$A1450)=0,"",SUMIFS('Daily BSE Equity Futures'!$J:$J,'Daily BSE Equity Futures'!$A:$A,$A1450))</f>
        <v>3179</v>
      </c>
      <c r="R1450" s="7">
        <f t="shared" si="270"/>
        <v>2054125</v>
      </c>
      <c r="S1450" s="19">
        <f t="shared" si="271"/>
        <v>0.99845238240126577</v>
      </c>
      <c r="T1450" s="19">
        <f t="shared" si="272"/>
        <v>1.5476175987342543E-3</v>
      </c>
    </row>
    <row r="1451" spans="1:20" x14ac:dyDescent="0.2">
      <c r="A1451" s="9">
        <v>46055</v>
      </c>
      <c r="B1451" s="4" t="s">
        <v>225</v>
      </c>
      <c r="C1451" s="8">
        <v>46054</v>
      </c>
      <c r="D1451" s="4" t="s">
        <v>196</v>
      </c>
      <c r="E1451" s="14">
        <f>IF(SUMIFS('Daily NSE Equity Futures'!$I:$I,'Daily NSE Equity Futures'!$A:$A,$A1451)=0,"",SUMIFS('Daily NSE Equity Futures'!$I:$I,'Daily NSE Equity Futures'!$A:$A,$A1451))</f>
        <v>1458.4937</v>
      </c>
      <c r="F1451" s="6">
        <f>IF(SUMIFS('Daily BSE Equity Futures'!$I:$I,'Daily BSE Equity Futures'!$A:$A,$A1451)=0,"",SUMIFS('Daily BSE Equity Futures'!$I:$I,'Daily BSE Equity Futures'!$A:$A,$A1451))</f>
        <v>3.0337000000000001</v>
      </c>
      <c r="G1451" s="6">
        <f t="shared" si="264"/>
        <v>1461.5273999999999</v>
      </c>
      <c r="H1451" s="15">
        <f t="shared" si="265"/>
        <v>0.99792429481650502</v>
      </c>
      <c r="I1451" s="15">
        <f t="shared" si="266"/>
        <v>2.0757051834950206E-3</v>
      </c>
      <c r="J1451" s="20" t="str">
        <f t="shared" si="267"/>
        <v/>
      </c>
      <c r="K1451" s="15" t="str">
        <f t="shared" si="268"/>
        <v/>
      </c>
      <c r="L1451" s="15" t="str">
        <f t="shared" si="269"/>
        <v/>
      </c>
      <c r="M1451" s="15">
        <f t="shared" si="273"/>
        <v>-0.14692620420645275</v>
      </c>
      <c r="N1451" s="15">
        <f t="shared" si="274"/>
        <v>-0.4184080365016678</v>
      </c>
      <c r="O1451" s="15">
        <f t="shared" si="275"/>
        <v>-0.1477519646091906</v>
      </c>
      <c r="P1451" s="18">
        <f>IF(SUMIFS('Daily NSE Equity Futures'!$J:$J,'Daily NSE Equity Futures'!$A:$A,$A1451)=0,"",SUMIFS('Daily NSE Equity Futures'!$J:$J,'Daily NSE Equity Futures'!$A:$A,$A1451))</f>
        <v>1874905</v>
      </c>
      <c r="Q1451" s="7">
        <f>IF(SUMIFS('Daily BSE Equity Futures'!$J:$J,'Daily BSE Equity Futures'!$A:$A,$A1451)=0,"",SUMIFS('Daily BSE Equity Futures'!$J:$J,'Daily BSE Equity Futures'!$A:$A,$A1451))</f>
        <v>1866</v>
      </c>
      <c r="R1451" s="7">
        <f t="shared" si="270"/>
        <v>1876771</v>
      </c>
      <c r="S1451" s="19">
        <f t="shared" si="271"/>
        <v>0.9990057391125502</v>
      </c>
      <c r="T1451" s="19">
        <f t="shared" si="272"/>
        <v>9.9426088744977411E-4</v>
      </c>
    </row>
    <row r="1452" spans="1:20" x14ac:dyDescent="0.2">
      <c r="A1452" s="9">
        <v>46056</v>
      </c>
      <c r="B1452" s="4" t="s">
        <v>223</v>
      </c>
      <c r="C1452" s="8">
        <v>46054</v>
      </c>
      <c r="D1452" s="4" t="s">
        <v>196</v>
      </c>
      <c r="E1452" s="14">
        <f>IF(SUMIFS('Daily NSE Equity Futures'!$I:$I,'Daily NSE Equity Futures'!$A:$A,$A1452)=0,"",SUMIFS('Daily NSE Equity Futures'!$I:$I,'Daily NSE Equity Futures'!$A:$A,$A1452))</f>
        <v>2196.8471</v>
      </c>
      <c r="F1452" s="6">
        <f>IF(SUMIFS('Daily BSE Equity Futures'!$I:$I,'Daily BSE Equity Futures'!$A:$A,$A1452)=0,"",SUMIFS('Daily BSE Equity Futures'!$I:$I,'Daily BSE Equity Futures'!$A:$A,$A1452))</f>
        <v>5.7817999999999996</v>
      </c>
      <c r="G1452" s="6">
        <f t="shared" si="264"/>
        <v>2202.6289000000002</v>
      </c>
      <c r="H1452" s="15">
        <f t="shared" si="265"/>
        <v>0.99737504579187164</v>
      </c>
      <c r="I1452" s="15">
        <f t="shared" si="266"/>
        <v>2.6249542081282959E-3</v>
      </c>
      <c r="J1452" s="20">
        <f t="shared" si="267"/>
        <v>0.63516790554577107</v>
      </c>
      <c r="K1452" s="15">
        <f t="shared" si="268"/>
        <v>1.7923307253936054</v>
      </c>
      <c r="L1452" s="15">
        <f t="shared" si="269"/>
        <v>0.63694857941244254</v>
      </c>
      <c r="M1452" s="15">
        <f t="shared" si="273"/>
        <v>0.50624380482411402</v>
      </c>
      <c r="N1452" s="15">
        <f t="shared" si="274"/>
        <v>0.90585753370471678</v>
      </c>
      <c r="O1452" s="15">
        <f t="shared" si="275"/>
        <v>0.50707328511254746</v>
      </c>
      <c r="P1452" s="18">
        <f>IF(SUMIFS('Daily NSE Equity Futures'!$J:$J,'Daily NSE Equity Futures'!$A:$A,$A1452)=0,"",SUMIFS('Daily NSE Equity Futures'!$J:$J,'Daily NSE Equity Futures'!$A:$A,$A1452))</f>
        <v>2616911</v>
      </c>
      <c r="Q1452" s="7">
        <f>IF(SUMIFS('Daily BSE Equity Futures'!$J:$J,'Daily BSE Equity Futures'!$A:$A,$A1452)=0,"",SUMIFS('Daily BSE Equity Futures'!$J:$J,'Daily BSE Equity Futures'!$A:$A,$A1452))</f>
        <v>3435</v>
      </c>
      <c r="R1452" s="7">
        <f t="shared" si="270"/>
        <v>2620346</v>
      </c>
      <c r="S1452" s="19">
        <f t="shared" si="271"/>
        <v>0.99868910441598169</v>
      </c>
      <c r="T1452" s="19">
        <f t="shared" si="272"/>
        <v>1.3108955840182939E-3</v>
      </c>
    </row>
    <row r="1453" spans="1:20" x14ac:dyDescent="0.2">
      <c r="A1453" s="9">
        <v>46057</v>
      </c>
      <c r="B1453" s="4" t="s">
        <v>221</v>
      </c>
      <c r="C1453" s="8">
        <v>46054</v>
      </c>
      <c r="D1453" s="4" t="s">
        <v>196</v>
      </c>
      <c r="E1453" s="14">
        <f>IF(SUMIFS('Daily NSE Equity Futures'!$I:$I,'Daily NSE Equity Futures'!$A:$A,$A1453)=0,"",SUMIFS('Daily NSE Equity Futures'!$I:$I,'Daily NSE Equity Futures'!$A:$A,$A1453))</f>
        <v>1283.1659</v>
      </c>
      <c r="F1453" s="6">
        <f>IF(SUMIFS('Daily BSE Equity Futures'!$I:$I,'Daily BSE Equity Futures'!$A:$A,$A1453)=0,"",SUMIFS('Daily BSE Equity Futures'!$I:$I,'Daily BSE Equity Futures'!$A:$A,$A1453))</f>
        <v>2.7723</v>
      </c>
      <c r="G1453" s="6">
        <f t="shared" si="264"/>
        <v>1285.9382000000001</v>
      </c>
      <c r="H1453" s="15">
        <f t="shared" si="265"/>
        <v>0.99784414212129313</v>
      </c>
      <c r="I1453" s="15">
        <f t="shared" si="266"/>
        <v>2.1558578787067681E-3</v>
      </c>
      <c r="J1453" s="20">
        <f t="shared" si="267"/>
        <v>-0.16397209031165672</v>
      </c>
      <c r="K1453" s="15">
        <f t="shared" si="268"/>
        <v>-0.58034241080213733</v>
      </c>
      <c r="L1453" s="15">
        <f t="shared" si="269"/>
        <v>-0.16575651258564783</v>
      </c>
      <c r="M1453" s="15">
        <f t="shared" si="273"/>
        <v>-0.41590568592597998</v>
      </c>
      <c r="N1453" s="15">
        <f t="shared" si="274"/>
        <v>-0.52051264312151924</v>
      </c>
      <c r="O1453" s="15">
        <f t="shared" si="275"/>
        <v>-0.41618027439846994</v>
      </c>
      <c r="P1453" s="18">
        <f>IF(SUMIFS('Daily NSE Equity Futures'!$J:$J,'Daily NSE Equity Futures'!$A:$A,$A1453)=0,"",SUMIFS('Daily NSE Equity Futures'!$J:$J,'Daily NSE Equity Futures'!$A:$A,$A1453))</f>
        <v>1745731</v>
      </c>
      <c r="Q1453" s="7">
        <f>IF(SUMIFS('Daily BSE Equity Futures'!$J:$J,'Daily BSE Equity Futures'!$A:$A,$A1453)=0,"",SUMIFS('Daily BSE Equity Futures'!$J:$J,'Daily BSE Equity Futures'!$A:$A,$A1453))</f>
        <v>1648</v>
      </c>
      <c r="R1453" s="7">
        <f t="shared" si="270"/>
        <v>1747379</v>
      </c>
      <c r="S1453" s="19">
        <f t="shared" si="271"/>
        <v>0.99905687317977387</v>
      </c>
      <c r="T1453" s="19">
        <f t="shared" si="272"/>
        <v>9.4312682022617872E-4</v>
      </c>
    </row>
    <row r="1454" spans="1:20" x14ac:dyDescent="0.2">
      <c r="A1454" s="9">
        <v>46058</v>
      </c>
      <c r="B1454" s="4" t="s">
        <v>224</v>
      </c>
      <c r="C1454" s="8">
        <v>46054</v>
      </c>
      <c r="D1454" s="4" t="s">
        <v>196</v>
      </c>
      <c r="E1454" s="14">
        <f>IF(SUMIFS('Daily NSE Equity Futures'!$I:$I,'Daily NSE Equity Futures'!$A:$A,$A1454)=0,"",SUMIFS('Daily NSE Equity Futures'!$I:$I,'Daily NSE Equity Futures'!$A:$A,$A1454))</f>
        <v>1009.8526000000001</v>
      </c>
      <c r="F1454" s="6">
        <f>IF(SUMIFS('Daily BSE Equity Futures'!$I:$I,'Daily BSE Equity Futures'!$A:$A,$A1454)=0,"",SUMIFS('Daily BSE Equity Futures'!$I:$I,'Daily BSE Equity Futures'!$A:$A,$A1454))</f>
        <v>3.3365</v>
      </c>
      <c r="G1454" s="6">
        <f t="shared" si="264"/>
        <v>1013.1891000000001</v>
      </c>
      <c r="H1454" s="15">
        <f t="shared" si="265"/>
        <v>0.99670693259530718</v>
      </c>
      <c r="I1454" s="15">
        <f t="shared" si="266"/>
        <v>3.2930674046927665E-3</v>
      </c>
      <c r="J1454" s="20">
        <f t="shared" si="267"/>
        <v>-7.4653892949501088E-2</v>
      </c>
      <c r="K1454" s="15">
        <f t="shared" si="268"/>
        <v>2.0148188307581099</v>
      </c>
      <c r="L1454" s="15">
        <f t="shared" si="269"/>
        <v>-7.2537127977613913E-2</v>
      </c>
      <c r="M1454" s="15">
        <f t="shared" si="273"/>
        <v>-0.21299919207641027</v>
      </c>
      <c r="N1454" s="15">
        <f t="shared" si="274"/>
        <v>0.20351332828337476</v>
      </c>
      <c r="O1454" s="15">
        <f t="shared" si="275"/>
        <v>-0.21210125027781268</v>
      </c>
      <c r="P1454" s="18">
        <f>IF(SUMIFS('Daily NSE Equity Futures'!$J:$J,'Daily NSE Equity Futures'!$A:$A,$A1454)=0,"",SUMIFS('Daily NSE Equity Futures'!$J:$J,'Daily NSE Equity Futures'!$A:$A,$A1454))</f>
        <v>1376292</v>
      </c>
      <c r="Q1454" s="7">
        <f>IF(SUMIFS('Daily BSE Equity Futures'!$J:$J,'Daily BSE Equity Futures'!$A:$A,$A1454)=0,"",SUMIFS('Daily BSE Equity Futures'!$J:$J,'Daily BSE Equity Futures'!$A:$A,$A1454))</f>
        <v>1989</v>
      </c>
      <c r="R1454" s="7">
        <f t="shared" si="270"/>
        <v>1378281</v>
      </c>
      <c r="S1454" s="19">
        <f t="shared" si="271"/>
        <v>0.99855689804909153</v>
      </c>
      <c r="T1454" s="19">
        <f t="shared" si="272"/>
        <v>1.4431019509084141E-3</v>
      </c>
    </row>
    <row r="1455" spans="1:20" x14ac:dyDescent="0.2">
      <c r="A1455" s="9">
        <v>46059</v>
      </c>
      <c r="B1455" s="4" t="s">
        <v>222</v>
      </c>
      <c r="C1455" s="8">
        <v>46054</v>
      </c>
      <c r="D1455" s="4" t="s">
        <v>196</v>
      </c>
      <c r="E1455" s="14">
        <f>IF(SUMIFS('Daily NSE Equity Futures'!$I:$I,'Daily NSE Equity Futures'!$A:$A,$A1455)=0,"",SUMIFS('Daily NSE Equity Futures'!$I:$I,'Daily NSE Equity Futures'!$A:$A,$A1455))</f>
        <v>1075.4023</v>
      </c>
      <c r="F1455" s="6">
        <f>IF(SUMIFS('Daily BSE Equity Futures'!$I:$I,'Daily BSE Equity Futures'!$A:$A,$A1455)=0,"",SUMIFS('Daily BSE Equity Futures'!$I:$I,'Daily BSE Equity Futures'!$A:$A,$A1455))</f>
        <v>1.9333</v>
      </c>
      <c r="G1455" s="6">
        <f t="shared" si="264"/>
        <v>1077.3355999999999</v>
      </c>
      <c r="H1455" s="15">
        <f t="shared" si="265"/>
        <v>0.99820548026074707</v>
      </c>
      <c r="I1455" s="15">
        <f t="shared" si="266"/>
        <v>1.7945197392530241E-3</v>
      </c>
      <c r="J1455" s="20">
        <f t="shared" si="267"/>
        <v>7.0867703506196644E-3</v>
      </c>
      <c r="K1455" s="15">
        <f t="shared" si="268"/>
        <v>1.2806417364633713</v>
      </c>
      <c r="L1455" s="15">
        <f t="shared" si="269"/>
        <v>8.0969792244185435E-3</v>
      </c>
      <c r="M1455" s="15">
        <f t="shared" si="273"/>
        <v>6.4910166097507549E-2</v>
      </c>
      <c r="N1455" s="15">
        <f t="shared" si="274"/>
        <v>-0.42056046755582199</v>
      </c>
      <c r="O1455" s="15">
        <f t="shared" si="275"/>
        <v>6.3311478577888103E-2</v>
      </c>
      <c r="P1455" s="18">
        <f>IF(SUMIFS('Daily NSE Equity Futures'!$J:$J,'Daily NSE Equity Futures'!$A:$A,$A1455)=0,"",SUMIFS('Daily NSE Equity Futures'!$J:$J,'Daily NSE Equity Futures'!$A:$A,$A1455))</f>
        <v>1447593</v>
      </c>
      <c r="Q1455" s="7">
        <f>IF(SUMIFS('Daily BSE Equity Futures'!$J:$J,'Daily BSE Equity Futures'!$A:$A,$A1455)=0,"",SUMIFS('Daily BSE Equity Futures'!$J:$J,'Daily BSE Equity Futures'!$A:$A,$A1455))</f>
        <v>1158</v>
      </c>
      <c r="R1455" s="7">
        <f t="shared" si="270"/>
        <v>1448751</v>
      </c>
      <c r="S1455" s="19">
        <f t="shared" si="271"/>
        <v>0.99920069080193907</v>
      </c>
      <c r="T1455" s="19">
        <f t="shared" si="272"/>
        <v>7.9930919806095045E-4</v>
      </c>
    </row>
    <row r="1456" spans="1:20" x14ac:dyDescent="0.2">
      <c r="A1456" s="9">
        <v>46062</v>
      </c>
      <c r="B1456" s="4" t="s">
        <v>225</v>
      </c>
      <c r="C1456" s="8">
        <v>46054</v>
      </c>
      <c r="D1456" s="4" t="s">
        <v>196</v>
      </c>
      <c r="E1456" s="14">
        <f>IF(SUMIFS('Daily NSE Equity Futures'!$I:$I,'Daily NSE Equity Futures'!$A:$A,$A1456)=0,"",SUMIFS('Daily NSE Equity Futures'!$I:$I,'Daily NSE Equity Futures'!$A:$A,$A1456))</f>
        <v>1084.0164</v>
      </c>
      <c r="F1456" s="6">
        <f>IF(SUMIFS('Daily BSE Equity Futures'!$I:$I,'Daily BSE Equity Futures'!$A:$A,$A1456)=0,"",SUMIFS('Daily BSE Equity Futures'!$I:$I,'Daily BSE Equity Futures'!$A:$A,$A1456))</f>
        <v>2.1755</v>
      </c>
      <c r="G1456" s="6">
        <f t="shared" si="264"/>
        <v>1086.1919</v>
      </c>
      <c r="H1456" s="15">
        <f t="shared" si="265"/>
        <v>0.99799713107785093</v>
      </c>
      <c r="I1456" s="15">
        <f t="shared" si="266"/>
        <v>2.0028689221490235E-3</v>
      </c>
      <c r="J1456" s="20" t="str">
        <f t="shared" si="267"/>
        <v/>
      </c>
      <c r="K1456" s="15" t="str">
        <f t="shared" si="268"/>
        <v/>
      </c>
      <c r="L1456" s="15" t="str">
        <f t="shared" si="269"/>
        <v/>
      </c>
      <c r="M1456" s="15">
        <f t="shared" si="273"/>
        <v>8.0101186318830564E-3</v>
      </c>
      <c r="N1456" s="15">
        <f t="shared" si="274"/>
        <v>0.1252780220348626</v>
      </c>
      <c r="O1456" s="15">
        <f t="shared" si="275"/>
        <v>8.22055819932066E-3</v>
      </c>
      <c r="P1456" s="18">
        <f>IF(SUMIFS('Daily NSE Equity Futures'!$J:$J,'Daily NSE Equity Futures'!$A:$A,$A1456)=0,"",SUMIFS('Daily NSE Equity Futures'!$J:$J,'Daily NSE Equity Futures'!$A:$A,$A1456))</f>
        <v>1432822</v>
      </c>
      <c r="Q1456" s="7">
        <f>IF(SUMIFS('Daily BSE Equity Futures'!$J:$J,'Daily BSE Equity Futures'!$A:$A,$A1456)=0,"",SUMIFS('Daily BSE Equity Futures'!$J:$J,'Daily BSE Equity Futures'!$A:$A,$A1456))</f>
        <v>1288</v>
      </c>
      <c r="R1456" s="7">
        <f t="shared" si="270"/>
        <v>1434110</v>
      </c>
      <c r="S1456" s="19">
        <f t="shared" si="271"/>
        <v>0.9991018820034725</v>
      </c>
      <c r="T1456" s="19">
        <f t="shared" si="272"/>
        <v>8.9811799652746301E-4</v>
      </c>
    </row>
    <row r="1457" spans="1:20" x14ac:dyDescent="0.2">
      <c r="A1457" s="9">
        <v>46063</v>
      </c>
      <c r="B1457" s="4" t="s">
        <v>223</v>
      </c>
      <c r="C1457" s="8">
        <v>46054</v>
      </c>
      <c r="D1457" s="4" t="s">
        <v>196</v>
      </c>
      <c r="E1457" s="14">
        <f>IF(SUMIFS('Daily NSE Equity Futures'!$I:$I,'Daily NSE Equity Futures'!$A:$A,$A1457)=0,"",SUMIFS('Daily NSE Equity Futures'!$I:$I,'Daily NSE Equity Futures'!$A:$A,$A1457))</f>
        <v>1013.8073000000001</v>
      </c>
      <c r="F1457" s="6">
        <f>IF(SUMIFS('Daily BSE Equity Futures'!$I:$I,'Daily BSE Equity Futures'!$A:$A,$A1457)=0,"",SUMIFS('Daily BSE Equity Futures'!$I:$I,'Daily BSE Equity Futures'!$A:$A,$A1457))</f>
        <v>1.7831999999999999</v>
      </c>
      <c r="G1457" s="6">
        <f t="shared" si="264"/>
        <v>1015.5905</v>
      </c>
      <c r="H1457" s="15">
        <f t="shared" si="265"/>
        <v>0.99824417420210221</v>
      </c>
      <c r="I1457" s="15">
        <f t="shared" si="266"/>
        <v>1.7558257978978731E-3</v>
      </c>
      <c r="J1457" s="20">
        <f t="shared" si="267"/>
        <v>0.12881918769473466</v>
      </c>
      <c r="K1457" s="15">
        <f t="shared" si="268"/>
        <v>-0.21174078330828405</v>
      </c>
      <c r="L1457" s="15">
        <f t="shared" si="269"/>
        <v>0.12796352809767209</v>
      </c>
      <c r="M1457" s="15">
        <f t="shared" si="273"/>
        <v>-6.4767562557171532E-2</v>
      </c>
      <c r="N1457" s="15">
        <f t="shared" si="274"/>
        <v>-0.18032636175591821</v>
      </c>
      <c r="O1457" s="15">
        <f t="shared" si="275"/>
        <v>-6.4999011684767738E-2</v>
      </c>
      <c r="P1457" s="18">
        <f>IF(SUMIFS('Daily NSE Equity Futures'!$J:$J,'Daily NSE Equity Futures'!$A:$A,$A1457)=0,"",SUMIFS('Daily NSE Equity Futures'!$J:$J,'Daily NSE Equity Futures'!$A:$A,$A1457))</f>
        <v>1325775</v>
      </c>
      <c r="Q1457" s="7">
        <f>IF(SUMIFS('Daily BSE Equity Futures'!$J:$J,'Daily BSE Equity Futures'!$A:$A,$A1457)=0,"",SUMIFS('Daily BSE Equity Futures'!$J:$J,'Daily BSE Equity Futures'!$A:$A,$A1457))</f>
        <v>1054</v>
      </c>
      <c r="R1457" s="7">
        <f t="shared" si="270"/>
        <v>1326829</v>
      </c>
      <c r="S1457" s="19">
        <f t="shared" si="271"/>
        <v>0.9992056248393727</v>
      </c>
      <c r="T1457" s="19">
        <f t="shared" si="272"/>
        <v>7.9437516062733028E-4</v>
      </c>
    </row>
    <row r="1458" spans="1:20" x14ac:dyDescent="0.2">
      <c r="A1458" s="9">
        <v>46064</v>
      </c>
      <c r="B1458" s="4" t="s">
        <v>221</v>
      </c>
      <c r="C1458" s="8">
        <v>46054</v>
      </c>
      <c r="D1458" s="4" t="s">
        <v>196</v>
      </c>
      <c r="E1458" s="14">
        <f>IF(SUMIFS('Daily NSE Equity Futures'!$I:$I,'Daily NSE Equity Futures'!$A:$A,$A1458)=0,"",SUMIFS('Daily NSE Equity Futures'!$I:$I,'Daily NSE Equity Futures'!$A:$A,$A1458))</f>
        <v>1094.8115</v>
      </c>
      <c r="F1458" s="6">
        <f>IF(SUMIFS('Daily BSE Equity Futures'!$I:$I,'Daily BSE Equity Futures'!$A:$A,$A1458)=0,"",SUMIFS('Daily BSE Equity Futures'!$I:$I,'Daily BSE Equity Futures'!$A:$A,$A1458))</f>
        <v>1.496</v>
      </c>
      <c r="G1458" s="6">
        <f t="shared" si="264"/>
        <v>1096.3075000000001</v>
      </c>
      <c r="H1458" s="15">
        <f t="shared" si="265"/>
        <v>0.9986354193508663</v>
      </c>
      <c r="I1458" s="15">
        <f t="shared" si="266"/>
        <v>1.3645806491335687E-3</v>
      </c>
      <c r="J1458" s="20">
        <f t="shared" si="267"/>
        <v>-6.3185457724248995E-2</v>
      </c>
      <c r="K1458" s="15">
        <f t="shared" si="268"/>
        <v>-0.69872724343483172</v>
      </c>
      <c r="L1458" s="15">
        <f t="shared" si="269"/>
        <v>-6.5874444772962781E-2</v>
      </c>
      <c r="M1458" s="15">
        <f t="shared" si="273"/>
        <v>7.9900983155280159E-2</v>
      </c>
      <c r="N1458" s="15">
        <f t="shared" si="274"/>
        <v>-0.16105877074921482</v>
      </c>
      <c r="O1458" s="15">
        <f t="shared" si="275"/>
        <v>7.9477899803119589E-2</v>
      </c>
      <c r="P1458" s="18">
        <f>IF(SUMIFS('Daily NSE Equity Futures'!$J:$J,'Daily NSE Equity Futures'!$A:$A,$A1458)=0,"",SUMIFS('Daily NSE Equity Futures'!$J:$J,'Daily NSE Equity Futures'!$A:$A,$A1458))</f>
        <v>1429983</v>
      </c>
      <c r="Q1458" s="7">
        <f>IF(SUMIFS('Daily BSE Equity Futures'!$J:$J,'Daily BSE Equity Futures'!$A:$A,$A1458)=0,"",SUMIFS('Daily BSE Equity Futures'!$J:$J,'Daily BSE Equity Futures'!$A:$A,$A1458))</f>
        <v>885</v>
      </c>
      <c r="R1458" s="7">
        <f t="shared" si="270"/>
        <v>1430868</v>
      </c>
      <c r="S1458" s="19">
        <f t="shared" si="271"/>
        <v>0.99938149430974765</v>
      </c>
      <c r="T1458" s="19">
        <f t="shared" si="272"/>
        <v>6.1850569025235027E-4</v>
      </c>
    </row>
    <row r="1459" spans="1:20" x14ac:dyDescent="0.2">
      <c r="A1459" s="9">
        <v>46065</v>
      </c>
      <c r="B1459" s="4" t="s">
        <v>224</v>
      </c>
      <c r="C1459" s="8">
        <v>46054</v>
      </c>
      <c r="D1459" s="4" t="s">
        <v>196</v>
      </c>
      <c r="E1459" s="14">
        <f>IF(SUMIFS('Daily NSE Equity Futures'!$I:$I,'Daily NSE Equity Futures'!$A:$A,$A1459)=0,"",SUMIFS('Daily NSE Equity Futures'!$I:$I,'Daily NSE Equity Futures'!$A:$A,$A1459))</f>
        <v>1149.9538</v>
      </c>
      <c r="F1459" s="6">
        <f>IF(SUMIFS('Daily BSE Equity Futures'!$I:$I,'Daily BSE Equity Futures'!$A:$A,$A1459)=0,"",SUMIFS('Daily BSE Equity Futures'!$I:$I,'Daily BSE Equity Futures'!$A:$A,$A1459))</f>
        <v>2.5409999999999999</v>
      </c>
      <c r="G1459" s="6">
        <f t="shared" si="264"/>
        <v>1152.4947999999999</v>
      </c>
      <c r="H1459" s="15">
        <f t="shared" si="265"/>
        <v>0.99779521781790259</v>
      </c>
      <c r="I1459" s="15">
        <f t="shared" si="266"/>
        <v>2.2047821820974809E-3</v>
      </c>
      <c r="J1459" s="20">
        <f t="shared" si="267"/>
        <v>-0.20795234023326392</v>
      </c>
      <c r="K1459" s="15">
        <f t="shared" si="268"/>
        <v>0.36444181925575903</v>
      </c>
      <c r="L1459" s="15">
        <f t="shared" si="269"/>
        <v>-0.20721907844666243</v>
      </c>
      <c r="M1459" s="15">
        <f t="shared" si="273"/>
        <v>5.0366935312608607E-2</v>
      </c>
      <c r="N1459" s="15">
        <f t="shared" si="274"/>
        <v>0.69852941176470584</v>
      </c>
      <c r="O1459" s="15">
        <f t="shared" si="275"/>
        <v>5.1251405285469565E-2</v>
      </c>
      <c r="P1459" s="18">
        <f>IF(SUMIFS('Daily NSE Equity Futures'!$J:$J,'Daily NSE Equity Futures'!$A:$A,$A1459)=0,"",SUMIFS('Daily NSE Equity Futures'!$J:$J,'Daily NSE Equity Futures'!$A:$A,$A1459))</f>
        <v>1541787</v>
      </c>
      <c r="Q1459" s="7">
        <f>IF(SUMIFS('Daily BSE Equity Futures'!$J:$J,'Daily BSE Equity Futures'!$A:$A,$A1459)=0,"",SUMIFS('Daily BSE Equity Futures'!$J:$J,'Daily BSE Equity Futures'!$A:$A,$A1459))</f>
        <v>1513</v>
      </c>
      <c r="R1459" s="7">
        <f t="shared" si="270"/>
        <v>1543300</v>
      </c>
      <c r="S1459" s="19">
        <f t="shared" si="271"/>
        <v>0.99901963325341803</v>
      </c>
      <c r="T1459" s="19">
        <f t="shared" si="272"/>
        <v>9.8036674658199966E-4</v>
      </c>
    </row>
    <row r="1460" spans="1:20" x14ac:dyDescent="0.2">
      <c r="A1460" s="9">
        <v>46066</v>
      </c>
      <c r="B1460" s="4" t="s">
        <v>222</v>
      </c>
      <c r="C1460" s="8">
        <v>46054</v>
      </c>
      <c r="D1460" s="4" t="s">
        <v>196</v>
      </c>
      <c r="E1460" s="14">
        <f>IF(SUMIFS('Daily NSE Equity Futures'!$I:$I,'Daily NSE Equity Futures'!$A:$A,$A1460)=0,"",SUMIFS('Daily NSE Equity Futures'!$I:$I,'Daily NSE Equity Futures'!$A:$A,$A1460))</f>
        <v>1295.0069000000001</v>
      </c>
      <c r="F1460" s="6">
        <f>IF(SUMIFS('Daily BSE Equity Futures'!$I:$I,'Daily BSE Equity Futures'!$A:$A,$A1460)=0,"",SUMIFS('Daily BSE Equity Futures'!$I:$I,'Daily BSE Equity Futures'!$A:$A,$A1460))</f>
        <v>2.7496</v>
      </c>
      <c r="G1460" s="6">
        <f t="shared" si="264"/>
        <v>1297.7565000000002</v>
      </c>
      <c r="H1460" s="15">
        <f t="shared" si="265"/>
        <v>0.99788126663206844</v>
      </c>
      <c r="I1460" s="15">
        <f t="shared" si="266"/>
        <v>2.1187333679315032E-3</v>
      </c>
      <c r="J1460" s="20">
        <f t="shared" si="267"/>
        <v>0.22442203096967561</v>
      </c>
      <c r="K1460" s="15">
        <f t="shared" si="268"/>
        <v>0.99912752653773462</v>
      </c>
      <c r="L1460" s="15">
        <f t="shared" si="269"/>
        <v>0.22542817534918291</v>
      </c>
      <c r="M1460" s="15">
        <f t="shared" si="273"/>
        <v>0.12613819789977665</v>
      </c>
      <c r="N1460" s="15">
        <f t="shared" si="274"/>
        <v>8.2093663911845693E-2</v>
      </c>
      <c r="O1460" s="15">
        <f t="shared" si="275"/>
        <v>0.12604108929602131</v>
      </c>
      <c r="P1460" s="18">
        <f>IF(SUMIFS('Daily NSE Equity Futures'!$J:$J,'Daily NSE Equity Futures'!$A:$A,$A1460)=0,"",SUMIFS('Daily NSE Equity Futures'!$J:$J,'Daily NSE Equity Futures'!$A:$A,$A1460))</f>
        <v>1763887</v>
      </c>
      <c r="Q1460" s="7">
        <f>IF(SUMIFS('Daily BSE Equity Futures'!$J:$J,'Daily BSE Equity Futures'!$A:$A,$A1460)=0,"",SUMIFS('Daily BSE Equity Futures'!$J:$J,'Daily BSE Equity Futures'!$A:$A,$A1460))</f>
        <v>1655</v>
      </c>
      <c r="R1460" s="7">
        <f t="shared" si="270"/>
        <v>1765542</v>
      </c>
      <c r="S1460" s="19">
        <f t="shared" si="271"/>
        <v>0.9990626108016688</v>
      </c>
      <c r="T1460" s="19">
        <f t="shared" si="272"/>
        <v>9.3738919833116405E-4</v>
      </c>
    </row>
    <row r="1461" spans="1:20" x14ac:dyDescent="0.2">
      <c r="A1461" s="9">
        <v>46069</v>
      </c>
      <c r="B1461" s="4" t="s">
        <v>225</v>
      </c>
      <c r="C1461" s="8">
        <v>46054</v>
      </c>
      <c r="D1461" s="4" t="s">
        <v>196</v>
      </c>
      <c r="E1461" s="14">
        <f>IF(SUMIFS('Daily NSE Equity Futures'!$I:$I,'Daily NSE Equity Futures'!$A:$A,$A1461)=0,"",SUMIFS('Daily NSE Equity Futures'!$I:$I,'Daily NSE Equity Futures'!$A:$A,$A1461))</f>
        <v>1027.7190000000001</v>
      </c>
      <c r="F1461" s="6">
        <f>IF(SUMIFS('Daily BSE Equity Futures'!$I:$I,'Daily BSE Equity Futures'!$A:$A,$A1461)=0,"",SUMIFS('Daily BSE Equity Futures'!$I:$I,'Daily BSE Equity Futures'!$A:$A,$A1461))</f>
        <v>2.1779999999999999</v>
      </c>
      <c r="G1461" s="6">
        <f t="shared" si="264"/>
        <v>1029.8970000000002</v>
      </c>
      <c r="H1461" s="15">
        <f t="shared" si="265"/>
        <v>0.99788522541574531</v>
      </c>
      <c r="I1461" s="15">
        <f t="shared" si="266"/>
        <v>2.1147745842545417E-3</v>
      </c>
      <c r="J1461" s="20" t="str">
        <f t="shared" si="267"/>
        <v/>
      </c>
      <c r="K1461" s="15" t="str">
        <f t="shared" si="268"/>
        <v/>
      </c>
      <c r="L1461" s="15" t="str">
        <f t="shared" si="269"/>
        <v/>
      </c>
      <c r="M1461" s="15">
        <f t="shared" si="273"/>
        <v>-0.20639882304874202</v>
      </c>
      <c r="N1461" s="15">
        <f t="shared" si="274"/>
        <v>-0.20788478324119875</v>
      </c>
      <c r="O1461" s="15">
        <f t="shared" si="275"/>
        <v>-0.20640197140218519</v>
      </c>
      <c r="P1461" s="18">
        <f>IF(SUMIFS('Daily NSE Equity Futures'!$J:$J,'Daily NSE Equity Futures'!$A:$A,$A1461)=0,"",SUMIFS('Daily NSE Equity Futures'!$J:$J,'Daily NSE Equity Futures'!$A:$A,$A1461))</f>
        <v>1337933</v>
      </c>
      <c r="Q1461" s="7">
        <f>IF(SUMIFS('Daily BSE Equity Futures'!$J:$J,'Daily BSE Equity Futures'!$A:$A,$A1461)=0,"",SUMIFS('Daily BSE Equity Futures'!$J:$J,'Daily BSE Equity Futures'!$A:$A,$A1461))</f>
        <v>1309</v>
      </c>
      <c r="R1461" s="7">
        <f t="shared" si="270"/>
        <v>1339242</v>
      </c>
      <c r="S1461" s="19">
        <f t="shared" si="271"/>
        <v>0.99902258143039124</v>
      </c>
      <c r="T1461" s="19">
        <f t="shared" si="272"/>
        <v>9.7741856960877863E-4</v>
      </c>
    </row>
    <row r="1462" spans="1:20" x14ac:dyDescent="0.2">
      <c r="A1462" s="9">
        <v>46070</v>
      </c>
      <c r="B1462" s="4" t="s">
        <v>223</v>
      </c>
      <c r="C1462" s="8">
        <v>46054</v>
      </c>
      <c r="D1462" s="4" t="s">
        <v>196</v>
      </c>
      <c r="E1462" s="14">
        <f>IF(SUMIFS('Daily NSE Equity Futures'!$I:$I,'Daily NSE Equity Futures'!$A:$A,$A1462)=0,"",SUMIFS('Daily NSE Equity Futures'!$I:$I,'Daily NSE Equity Futures'!$A:$A,$A1462))</f>
        <v>1212.0488</v>
      </c>
      <c r="F1462" s="6">
        <f>IF(SUMIFS('Daily BSE Equity Futures'!$I:$I,'Daily BSE Equity Futures'!$A:$A,$A1462)=0,"",SUMIFS('Daily BSE Equity Futures'!$I:$I,'Daily BSE Equity Futures'!$A:$A,$A1462))</f>
        <v>1.8634999999999999</v>
      </c>
      <c r="G1462" s="6">
        <f t="shared" si="264"/>
        <v>1213.9123</v>
      </c>
      <c r="H1462" s="15">
        <f t="shared" si="265"/>
        <v>0.99846488086495211</v>
      </c>
      <c r="I1462" s="15">
        <f t="shared" si="266"/>
        <v>1.5351191350478942E-3</v>
      </c>
      <c r="J1462" s="20">
        <f t="shared" si="267"/>
        <v>0.11941641962608918</v>
      </c>
      <c r="K1462" s="15">
        <f t="shared" si="268"/>
        <v>-0.16659212880143126</v>
      </c>
      <c r="L1462" s="15">
        <f t="shared" si="269"/>
        <v>0.11882699749471537</v>
      </c>
      <c r="M1462" s="15">
        <f t="shared" si="273"/>
        <v>0.17935817086187944</v>
      </c>
      <c r="N1462" s="15">
        <f t="shared" si="274"/>
        <v>-0.14439853076216713</v>
      </c>
      <c r="O1462" s="15">
        <f t="shared" si="275"/>
        <v>0.17867349841780267</v>
      </c>
      <c r="P1462" s="18">
        <f>IF(SUMIFS('Daily NSE Equity Futures'!$J:$J,'Daily NSE Equity Futures'!$A:$A,$A1462)=0,"",SUMIFS('Daily NSE Equity Futures'!$J:$J,'Daily NSE Equity Futures'!$A:$A,$A1462))</f>
        <v>1642593</v>
      </c>
      <c r="Q1462" s="7">
        <f>IF(SUMIFS('Daily BSE Equity Futures'!$J:$J,'Daily BSE Equity Futures'!$A:$A,$A1462)=0,"",SUMIFS('Daily BSE Equity Futures'!$J:$J,'Daily BSE Equity Futures'!$A:$A,$A1462))</f>
        <v>1115</v>
      </c>
      <c r="R1462" s="7">
        <f t="shared" si="270"/>
        <v>1643708</v>
      </c>
      <c r="S1462" s="19">
        <f t="shared" si="271"/>
        <v>0.9993216556712019</v>
      </c>
      <c r="T1462" s="19">
        <f t="shared" si="272"/>
        <v>6.7834432879805898E-4</v>
      </c>
    </row>
    <row r="1463" spans="1:20" x14ac:dyDescent="0.2">
      <c r="A1463" s="9">
        <v>46071</v>
      </c>
      <c r="B1463" s="4" t="s">
        <v>221</v>
      </c>
      <c r="C1463" s="8">
        <v>46054</v>
      </c>
      <c r="D1463" s="4" t="s">
        <v>196</v>
      </c>
      <c r="E1463" s="14">
        <f>IF(SUMIFS('Daily NSE Equity Futures'!$I:$I,'Daily NSE Equity Futures'!$A:$A,$A1463)=0,"",SUMIFS('Daily NSE Equity Futures'!$I:$I,'Daily NSE Equity Futures'!$A:$A,$A1463))</f>
        <v>1593.3191999999999</v>
      </c>
      <c r="F1463" s="6">
        <f>IF(SUMIFS('Daily BSE Equity Futures'!$I:$I,'Daily BSE Equity Futures'!$A:$A,$A1463)=0,"",SUMIFS('Daily BSE Equity Futures'!$I:$I,'Daily BSE Equity Futures'!$A:$A,$A1463))</f>
        <v>2.3041</v>
      </c>
      <c r="G1463" s="6">
        <f t="shared" si="264"/>
        <v>1595.6233</v>
      </c>
      <c r="H1463" s="15">
        <f t="shared" si="265"/>
        <v>0.99855598749404073</v>
      </c>
      <c r="I1463" s="15">
        <f t="shared" si="266"/>
        <v>1.4440125059592701E-3</v>
      </c>
      <c r="J1463" s="20">
        <f t="shared" si="267"/>
        <v>0.67598498037660137</v>
      </c>
      <c r="K1463" s="15">
        <f t="shared" si="268"/>
        <v>-0.47819095932602596</v>
      </c>
      <c r="L1463" s="15">
        <f t="shared" si="269"/>
        <v>0.67064897105713062</v>
      </c>
      <c r="M1463" s="15">
        <f t="shared" si="273"/>
        <v>0.31456687222494661</v>
      </c>
      <c r="N1463" s="15">
        <f t="shared" si="274"/>
        <v>0.23643681244969161</v>
      </c>
      <c r="O1463" s="15">
        <f t="shared" si="275"/>
        <v>0.31444693327516338</v>
      </c>
      <c r="P1463" s="18">
        <f>IF(SUMIFS('Daily NSE Equity Futures'!$J:$J,'Daily NSE Equity Futures'!$A:$A,$A1463)=0,"",SUMIFS('Daily NSE Equity Futures'!$J:$J,'Daily NSE Equity Futures'!$A:$A,$A1463))</f>
        <v>2201852</v>
      </c>
      <c r="Q1463" s="7">
        <f>IF(SUMIFS('Daily BSE Equity Futures'!$J:$J,'Daily BSE Equity Futures'!$A:$A,$A1463)=0,"",SUMIFS('Daily BSE Equity Futures'!$J:$J,'Daily BSE Equity Futures'!$A:$A,$A1463))</f>
        <v>1377</v>
      </c>
      <c r="R1463" s="7">
        <f t="shared" si="270"/>
        <v>2203229</v>
      </c>
      <c r="S1463" s="19">
        <f t="shared" si="271"/>
        <v>0.999375008226562</v>
      </c>
      <c r="T1463" s="19">
        <f t="shared" si="272"/>
        <v>6.2499177343798584E-4</v>
      </c>
    </row>
    <row r="1464" spans="1:20" x14ac:dyDescent="0.2">
      <c r="A1464" s="9">
        <v>46072</v>
      </c>
      <c r="B1464" s="4" t="s">
        <v>224</v>
      </c>
      <c r="C1464" s="8">
        <v>46054</v>
      </c>
      <c r="D1464" s="4" t="s">
        <v>196</v>
      </c>
      <c r="E1464" s="14">
        <f>IF(SUMIFS('Daily NSE Equity Futures'!$I:$I,'Daily NSE Equity Futures'!$A:$A,$A1464)=0,"",SUMIFS('Daily NSE Equity Futures'!$I:$I,'Daily NSE Equity Futures'!$A:$A,$A1464))</f>
        <v>3585.8598999999999</v>
      </c>
      <c r="F1464" s="6">
        <f>IF(SUMIFS('Daily BSE Equity Futures'!$I:$I,'Daily BSE Equity Futures'!$A:$A,$A1464)=0,"",SUMIFS('Daily BSE Equity Futures'!$I:$I,'Daily BSE Equity Futures'!$A:$A,$A1464))</f>
        <v>4.7007000000000003</v>
      </c>
      <c r="G1464" s="6">
        <f t="shared" si="264"/>
        <v>3590.5605999999998</v>
      </c>
      <c r="H1464" s="15">
        <f t="shared" si="265"/>
        <v>0.99869081725009745</v>
      </c>
      <c r="I1464" s="15">
        <f t="shared" si="266"/>
        <v>1.3091827499026199E-3</v>
      </c>
      <c r="J1464" s="20">
        <f t="shared" si="267"/>
        <v>1.9304793032737981</v>
      </c>
      <c r="K1464" s="15">
        <f t="shared" si="268"/>
        <v>2.1886446886446889</v>
      </c>
      <c r="L1464" s="15">
        <f t="shared" si="269"/>
        <v>1.930789957204087</v>
      </c>
      <c r="M1464" s="15">
        <f t="shared" si="273"/>
        <v>1.2505596493157181</v>
      </c>
      <c r="N1464" s="15">
        <f t="shared" si="274"/>
        <v>1.0401458270040362</v>
      </c>
      <c r="O1464" s="15">
        <f t="shared" si="275"/>
        <v>1.250255809124873</v>
      </c>
      <c r="P1464" s="18">
        <f>IF(SUMIFS('Daily NSE Equity Futures'!$J:$J,'Daily NSE Equity Futures'!$A:$A,$A1464)=0,"",SUMIFS('Daily NSE Equity Futures'!$J:$J,'Daily NSE Equity Futures'!$A:$A,$A1464))</f>
        <v>5043602</v>
      </c>
      <c r="Q1464" s="7">
        <f>IF(SUMIFS('Daily BSE Equity Futures'!$J:$J,'Daily BSE Equity Futures'!$A:$A,$A1464)=0,"",SUMIFS('Daily BSE Equity Futures'!$J:$J,'Daily BSE Equity Futures'!$A:$A,$A1464))</f>
        <v>2827</v>
      </c>
      <c r="R1464" s="7">
        <f t="shared" si="270"/>
        <v>5046429</v>
      </c>
      <c r="S1464" s="19">
        <f t="shared" si="271"/>
        <v>0.99943980188763182</v>
      </c>
      <c r="T1464" s="19">
        <f t="shared" si="272"/>
        <v>5.6019811236817166E-4</v>
      </c>
    </row>
    <row r="1465" spans="1:20" x14ac:dyDescent="0.2">
      <c r="A1465" s="9">
        <v>46073</v>
      </c>
      <c r="B1465" s="4" t="s">
        <v>222</v>
      </c>
      <c r="C1465" s="8">
        <v>46054</v>
      </c>
      <c r="D1465" s="4" t="s">
        <v>196</v>
      </c>
      <c r="E1465" s="14">
        <f>IF(SUMIFS('Daily NSE Equity Futures'!$I:$I,'Daily NSE Equity Futures'!$A:$A,$A1465)=0,"",SUMIFS('Daily NSE Equity Futures'!$I:$I,'Daily NSE Equity Futures'!$A:$A,$A1465))</f>
        <v>3924.8072000000002</v>
      </c>
      <c r="F1465" s="6">
        <f>IF(SUMIFS('Daily BSE Equity Futures'!$I:$I,'Daily BSE Equity Futures'!$A:$A,$A1465)=0,"",SUMIFS('Daily BSE Equity Futures'!$I:$I,'Daily BSE Equity Futures'!$A:$A,$A1465))</f>
        <v>3.7522000000000002</v>
      </c>
      <c r="G1465" s="6">
        <f t="shared" si="264"/>
        <v>3928.5594000000001</v>
      </c>
      <c r="H1465" s="15">
        <f t="shared" si="265"/>
        <v>0.99904489162108634</v>
      </c>
      <c r="I1465" s="15">
        <f t="shared" si="266"/>
        <v>9.5510837891365477E-4</v>
      </c>
      <c r="J1465" s="20">
        <f t="shared" si="267"/>
        <v>2.1564710191165282</v>
      </c>
      <c r="K1465" s="15">
        <f t="shared" si="268"/>
        <v>3.0806960304513327</v>
      </c>
      <c r="L1465" s="15">
        <f t="shared" si="269"/>
        <v>2.1571539738030507</v>
      </c>
      <c r="M1465" s="15">
        <f t="shared" si="273"/>
        <v>9.4523296908504584E-2</v>
      </c>
      <c r="N1465" s="15">
        <f t="shared" si="274"/>
        <v>-0.20177845852745335</v>
      </c>
      <c r="O1465" s="15">
        <f t="shared" si="275"/>
        <v>9.4135383761521974E-2</v>
      </c>
      <c r="P1465" s="18">
        <f>IF(SUMIFS('Daily NSE Equity Futures'!$J:$J,'Daily NSE Equity Futures'!$A:$A,$A1465)=0,"",SUMIFS('Daily NSE Equity Futures'!$J:$J,'Daily NSE Equity Futures'!$A:$A,$A1465))</f>
        <v>5466061</v>
      </c>
      <c r="Q1465" s="7">
        <f>IF(SUMIFS('Daily BSE Equity Futures'!$J:$J,'Daily BSE Equity Futures'!$A:$A,$A1465)=0,"",SUMIFS('Daily BSE Equity Futures'!$J:$J,'Daily BSE Equity Futures'!$A:$A,$A1465))</f>
        <v>2260</v>
      </c>
      <c r="R1465" s="7">
        <f t="shared" si="270"/>
        <v>5468321</v>
      </c>
      <c r="S1465" s="19">
        <f t="shared" si="271"/>
        <v>0.99958671043634784</v>
      </c>
      <c r="T1465" s="19">
        <f t="shared" si="272"/>
        <v>4.1328956365217041E-4</v>
      </c>
    </row>
    <row r="1466" spans="1:20" x14ac:dyDescent="0.2">
      <c r="A1466" s="9">
        <v>46076</v>
      </c>
      <c r="B1466" s="4" t="s">
        <v>225</v>
      </c>
      <c r="C1466" s="8">
        <v>46054</v>
      </c>
      <c r="D1466" s="4" t="s">
        <v>196</v>
      </c>
      <c r="E1466" s="14">
        <f>IF(SUMIFS('Daily NSE Equity Futures'!$I:$I,'Daily NSE Equity Futures'!$A:$A,$A1466)=0,"",SUMIFS('Daily NSE Equity Futures'!$I:$I,'Daily NSE Equity Futures'!$A:$A,$A1466))</f>
        <v>3760.6412999999998</v>
      </c>
      <c r="F1466" s="6">
        <f>IF(SUMIFS('Daily BSE Equity Futures'!$I:$I,'Daily BSE Equity Futures'!$A:$A,$A1466)=0,"",SUMIFS('Daily BSE Equity Futures'!$I:$I,'Daily BSE Equity Futures'!$A:$A,$A1466))</f>
        <v>2.6072000000000002</v>
      </c>
      <c r="G1466" s="6">
        <f t="shared" si="264"/>
        <v>3763.2484999999997</v>
      </c>
      <c r="H1466" s="15">
        <f t="shared" si="265"/>
        <v>0.99930719430300707</v>
      </c>
      <c r="I1466" s="15">
        <f t="shared" si="266"/>
        <v>6.9280569699290394E-4</v>
      </c>
      <c r="J1466" s="20" t="str">
        <f t="shared" si="267"/>
        <v/>
      </c>
      <c r="K1466" s="15" t="str">
        <f t="shared" si="268"/>
        <v/>
      </c>
      <c r="L1466" s="15" t="str">
        <f t="shared" si="269"/>
        <v/>
      </c>
      <c r="M1466" s="15">
        <f t="shared" si="273"/>
        <v>-4.1827761628647764E-2</v>
      </c>
      <c r="N1466" s="15">
        <f t="shared" si="274"/>
        <v>-0.30515430947177657</v>
      </c>
      <c r="O1466" s="15">
        <f t="shared" si="275"/>
        <v>-4.207926702088316E-2</v>
      </c>
      <c r="P1466" s="18">
        <f>IF(SUMIFS('Daily NSE Equity Futures'!$J:$J,'Daily NSE Equity Futures'!$A:$A,$A1466)=0,"",SUMIFS('Daily NSE Equity Futures'!$J:$J,'Daily NSE Equity Futures'!$A:$A,$A1466))</f>
        <v>5160195</v>
      </c>
      <c r="Q1466" s="7">
        <f>IF(SUMIFS('Daily BSE Equity Futures'!$J:$J,'Daily BSE Equity Futures'!$A:$A,$A1466)=0,"",SUMIFS('Daily BSE Equity Futures'!$J:$J,'Daily BSE Equity Futures'!$A:$A,$A1466))</f>
        <v>1566</v>
      </c>
      <c r="R1466" s="7">
        <f t="shared" si="270"/>
        <v>5161761</v>
      </c>
      <c r="S1466" s="19">
        <f t="shared" si="271"/>
        <v>0.99969661516680064</v>
      </c>
      <c r="T1466" s="19">
        <f t="shared" si="272"/>
        <v>3.0338483319936743E-4</v>
      </c>
    </row>
    <row r="1467" spans="1:20" x14ac:dyDescent="0.2">
      <c r="A1467" s="9">
        <v>46077</v>
      </c>
      <c r="B1467" s="4" t="s">
        <v>223</v>
      </c>
      <c r="C1467" s="8">
        <v>46054</v>
      </c>
      <c r="D1467" s="4" t="s">
        <v>196</v>
      </c>
      <c r="E1467" s="14">
        <f>IF(SUMIFS('Daily NSE Equity Futures'!$I:$I,'Daily NSE Equity Futures'!$A:$A,$A1467)=0,"",SUMIFS('Daily NSE Equity Futures'!$I:$I,'Daily NSE Equity Futures'!$A:$A,$A1467))</f>
        <v>2987.6943999999999</v>
      </c>
      <c r="F1467" s="6">
        <f>IF(SUMIFS('Daily BSE Equity Futures'!$I:$I,'Daily BSE Equity Futures'!$A:$A,$A1467)=0,"",SUMIFS('Daily BSE Equity Futures'!$I:$I,'Daily BSE Equity Futures'!$A:$A,$A1467))</f>
        <v>4.7276999999999996</v>
      </c>
      <c r="G1467" s="6">
        <f t="shared" si="264"/>
        <v>2992.4220999999998</v>
      </c>
      <c r="H1467" s="15">
        <f t="shared" si="265"/>
        <v>0.99842010924862512</v>
      </c>
      <c r="I1467" s="15">
        <f t="shared" si="266"/>
        <v>1.579890751374948E-3</v>
      </c>
      <c r="J1467" s="20">
        <f t="shared" si="267"/>
        <v>-9.9911650967636767E-2</v>
      </c>
      <c r="K1467" s="15">
        <f t="shared" si="268"/>
        <v>0.99279210925644912</v>
      </c>
      <c r="L1467" s="15">
        <f t="shared" si="269"/>
        <v>-9.913122981647704E-2</v>
      </c>
      <c r="M1467" s="15">
        <f t="shared" si="273"/>
        <v>-0.20553592814076682</v>
      </c>
      <c r="N1467" s="15">
        <f t="shared" si="274"/>
        <v>0.8133246394599567</v>
      </c>
      <c r="O1467" s="15">
        <f t="shared" si="275"/>
        <v>-0.20483005573509161</v>
      </c>
      <c r="P1467" s="18">
        <f>IF(SUMIFS('Daily NSE Equity Futures'!$J:$J,'Daily NSE Equity Futures'!$A:$A,$A1467)=0,"",SUMIFS('Daily NSE Equity Futures'!$J:$J,'Daily NSE Equity Futures'!$A:$A,$A1467))</f>
        <v>4109714</v>
      </c>
      <c r="Q1467" s="7">
        <f>IF(SUMIFS('Daily BSE Equity Futures'!$J:$J,'Daily BSE Equity Futures'!$A:$A,$A1467)=0,"",SUMIFS('Daily BSE Equity Futures'!$J:$J,'Daily BSE Equity Futures'!$A:$A,$A1467))</f>
        <v>2855</v>
      </c>
      <c r="R1467" s="7">
        <f t="shared" si="270"/>
        <v>4112569</v>
      </c>
      <c r="S1467" s="19">
        <f t="shared" si="271"/>
        <v>0.99930578672357839</v>
      </c>
      <c r="T1467" s="19">
        <f t="shared" si="272"/>
        <v>6.942132764216236E-4</v>
      </c>
    </row>
    <row r="1468" spans="1:20" x14ac:dyDescent="0.2">
      <c r="A1468" s="9">
        <v>46078</v>
      </c>
      <c r="B1468" s="4" t="s">
        <v>221</v>
      </c>
      <c r="C1468" s="8">
        <v>46054</v>
      </c>
      <c r="D1468" s="4" t="s">
        <v>196</v>
      </c>
      <c r="E1468" s="14">
        <f>IF(SUMIFS('Daily NSE Equity Futures'!$I:$I,'Daily NSE Equity Futures'!$A:$A,$A1468)=0,"",SUMIFS('Daily NSE Equity Futures'!$I:$I,'Daily NSE Equity Futures'!$A:$A,$A1468))</f>
        <v>1091.9377999999999</v>
      </c>
      <c r="F1468" s="6">
        <f>IF(SUMIFS('Daily BSE Equity Futures'!$I:$I,'Daily BSE Equity Futures'!$A:$A,$A1468)=0,"",SUMIFS('Daily BSE Equity Futures'!$I:$I,'Daily BSE Equity Futures'!$A:$A,$A1468))</f>
        <v>5.8281000000000001</v>
      </c>
      <c r="G1468" s="6">
        <f t="shared" si="264"/>
        <v>1097.7658999999999</v>
      </c>
      <c r="H1468" s="15">
        <f t="shared" si="265"/>
        <v>0.99469094458117169</v>
      </c>
      <c r="I1468" s="15">
        <f t="shared" si="266"/>
        <v>5.3090554188283687E-3</v>
      </c>
      <c r="J1468" s="20">
        <f t="shared" si="267"/>
        <v>-0.63475997346038882</v>
      </c>
      <c r="K1468" s="15">
        <f t="shared" si="268"/>
        <v>0.11666538933169845</v>
      </c>
      <c r="L1468" s="15">
        <f t="shared" si="269"/>
        <v>-0.63345045163325642</v>
      </c>
      <c r="M1468" s="15">
        <f t="shared" si="273"/>
        <v>-0.6345215896244274</v>
      </c>
      <c r="N1468" s="15">
        <f t="shared" si="274"/>
        <v>0.23275588552573145</v>
      </c>
      <c r="O1468" s="15">
        <f t="shared" si="275"/>
        <v>-0.63315138596256193</v>
      </c>
      <c r="P1468" s="18">
        <f>IF(SUMIFS('Daily NSE Equity Futures'!$J:$J,'Daily NSE Equity Futures'!$A:$A,$A1468)=0,"",SUMIFS('Daily NSE Equity Futures'!$J:$J,'Daily NSE Equity Futures'!$A:$A,$A1468))</f>
        <v>1419181</v>
      </c>
      <c r="Q1468" s="7">
        <f>IF(SUMIFS('Daily BSE Equity Futures'!$J:$J,'Daily BSE Equity Futures'!$A:$A,$A1468)=0,"",SUMIFS('Daily BSE Equity Futures'!$J:$J,'Daily BSE Equity Futures'!$A:$A,$A1468))</f>
        <v>3523</v>
      </c>
      <c r="R1468" s="7">
        <f t="shared" si="270"/>
        <v>1422704</v>
      </c>
      <c r="S1468" s="19">
        <f t="shared" si="271"/>
        <v>0.99752372946164491</v>
      </c>
      <c r="T1468" s="19">
        <f t="shared" si="272"/>
        <v>2.4762705383551322E-3</v>
      </c>
    </row>
    <row r="1469" spans="1:20" x14ac:dyDescent="0.2">
      <c r="A1469" s="9">
        <v>46079</v>
      </c>
      <c r="B1469" s="4" t="s">
        <v>224</v>
      </c>
      <c r="C1469" s="8">
        <v>46054</v>
      </c>
      <c r="D1469" s="4" t="s">
        <v>196</v>
      </c>
      <c r="E1469" s="14">
        <f>IF(SUMIFS('Daily NSE Equity Futures'!$I:$I,'Daily NSE Equity Futures'!$A:$A,$A1469)=0,"",SUMIFS('Daily NSE Equity Futures'!$I:$I,'Daily NSE Equity Futures'!$A:$A,$A1469))</f>
        <v>972.30370000000005</v>
      </c>
      <c r="F1469" s="6">
        <f>IF(SUMIFS('Daily BSE Equity Futures'!$I:$I,'Daily BSE Equity Futures'!$A:$A,$A1469)=0,"",SUMIFS('Daily BSE Equity Futures'!$I:$I,'Daily BSE Equity Futures'!$A:$A,$A1469))</f>
        <v>8.0763999999999996</v>
      </c>
      <c r="G1469" s="6">
        <f t="shared" si="264"/>
        <v>980.38010000000008</v>
      </c>
      <c r="H1469" s="15">
        <f t="shared" si="265"/>
        <v>0.99176197068871552</v>
      </c>
      <c r="I1469" s="15">
        <f t="shared" si="266"/>
        <v>8.2380293112844696E-3</v>
      </c>
      <c r="J1469" s="20" t="str">
        <f t="shared" si="267"/>
        <v/>
      </c>
      <c r="K1469" s="15" t="str">
        <f t="shared" si="268"/>
        <v/>
      </c>
      <c r="L1469" s="15" t="str">
        <f t="shared" si="269"/>
        <v/>
      </c>
      <c r="M1469" s="15">
        <f t="shared" si="273"/>
        <v>-0.10956127720828046</v>
      </c>
      <c r="N1469" s="15">
        <f t="shared" si="274"/>
        <v>0.385768946998164</v>
      </c>
      <c r="O1469" s="15">
        <f t="shared" si="275"/>
        <v>-0.10693154159734763</v>
      </c>
      <c r="P1469" s="18">
        <f>IF(SUMIFS('Daily NSE Equity Futures'!$J:$J,'Daily NSE Equity Futures'!$A:$A,$A1469)=0,"",SUMIFS('Daily NSE Equity Futures'!$J:$J,'Daily NSE Equity Futures'!$A:$A,$A1469))</f>
        <v>1275248</v>
      </c>
      <c r="Q1469" s="7">
        <f>IF(SUMIFS('Daily BSE Equity Futures'!$J:$J,'Daily BSE Equity Futures'!$A:$A,$A1469)=0,"",SUMIFS('Daily BSE Equity Futures'!$J:$J,'Daily BSE Equity Futures'!$A:$A,$A1469))</f>
        <v>4892</v>
      </c>
      <c r="R1469" s="7">
        <f t="shared" si="270"/>
        <v>1280140</v>
      </c>
      <c r="S1469" s="19">
        <f t="shared" si="271"/>
        <v>0.99617854297186248</v>
      </c>
      <c r="T1469" s="19">
        <f t="shared" si="272"/>
        <v>3.8214570281375473E-3</v>
      </c>
    </row>
    <row r="1470" spans="1:20" x14ac:dyDescent="0.2">
      <c r="A1470" s="9">
        <v>46080</v>
      </c>
      <c r="B1470" s="4" t="s">
        <v>222</v>
      </c>
      <c r="C1470" s="8">
        <v>46054</v>
      </c>
      <c r="D1470" s="4" t="s">
        <v>196</v>
      </c>
      <c r="E1470" s="14">
        <f>IF(SUMIFS('Daily NSE Equity Futures'!$I:$I,'Daily NSE Equity Futures'!$A:$A,$A1470)=0,"",SUMIFS('Daily NSE Equity Futures'!$I:$I,'Daily NSE Equity Futures'!$A:$A,$A1470))</f>
        <v>1114.7294999999999</v>
      </c>
      <c r="F1470" s="6">
        <f>IF(SUMIFS('Daily BSE Equity Futures'!$I:$I,'Daily BSE Equity Futures'!$A:$A,$A1470)=0,"",SUMIFS('Daily BSE Equity Futures'!$I:$I,'Daily BSE Equity Futures'!$A:$A,$A1470))</f>
        <v>3.5282</v>
      </c>
      <c r="G1470" s="6">
        <f t="shared" si="264"/>
        <v>1118.2576999999999</v>
      </c>
      <c r="H1470" s="15">
        <f t="shared" si="265"/>
        <v>0.99684491329681879</v>
      </c>
      <c r="I1470" s="15">
        <f t="shared" si="266"/>
        <v>3.1550867031812082E-3</v>
      </c>
      <c r="J1470" s="20">
        <f t="shared" si="267"/>
        <v>-0.66131071502565109</v>
      </c>
      <c r="K1470" s="15">
        <f t="shared" si="268"/>
        <v>4.6083293594023207</v>
      </c>
      <c r="L1470" s="15">
        <f t="shared" si="269"/>
        <v>-0.6603036683548944</v>
      </c>
      <c r="M1470" s="15">
        <f t="shared" si="273"/>
        <v>0.14648283247302252</v>
      </c>
      <c r="N1470" s="15">
        <f t="shared" si="274"/>
        <v>-0.56314694665940268</v>
      </c>
      <c r="O1470" s="15">
        <f t="shared" si="275"/>
        <v>0.14063688155236909</v>
      </c>
      <c r="P1470" s="18">
        <f>IF(SUMIFS('Daily NSE Equity Futures'!$J:$J,'Daily NSE Equity Futures'!$A:$A,$A1470)=0,"",SUMIFS('Daily NSE Equity Futures'!$J:$J,'Daily NSE Equity Futures'!$A:$A,$A1470))</f>
        <v>1401165</v>
      </c>
      <c r="Q1470" s="7">
        <f>IF(SUMIFS('Daily BSE Equity Futures'!$J:$J,'Daily BSE Equity Futures'!$A:$A,$A1470)=0,"",SUMIFS('Daily BSE Equity Futures'!$J:$J,'Daily BSE Equity Futures'!$A:$A,$A1470))</f>
        <v>2153</v>
      </c>
      <c r="R1470" s="7">
        <f t="shared" si="270"/>
        <v>1403318</v>
      </c>
      <c r="S1470" s="19">
        <f t="shared" si="271"/>
        <v>0.9984657789610053</v>
      </c>
      <c r="T1470" s="19">
        <f t="shared" si="272"/>
        <v>1.5342210389947253E-3</v>
      </c>
    </row>
    <row r="1471" spans="1:20" x14ac:dyDescent="0.2">
      <c r="A1471" s="9">
        <v>46083</v>
      </c>
      <c r="B1471" s="4" t="s">
        <v>225</v>
      </c>
      <c r="C1471" s="8">
        <v>46082</v>
      </c>
      <c r="D1471" s="4" t="s">
        <v>196</v>
      </c>
      <c r="E1471" s="14">
        <f>IF(SUMIFS('Daily NSE Equity Futures'!$I:$I,'Daily NSE Equity Futures'!$A:$A,$A1471)=0,"",SUMIFS('Daily NSE Equity Futures'!$I:$I,'Daily NSE Equity Futures'!$A:$A,$A1471))</f>
        <v>1357.1536000000001</v>
      </c>
      <c r="F1471" s="6">
        <f>IF(SUMIFS('Daily BSE Equity Futures'!$I:$I,'Daily BSE Equity Futures'!$A:$A,$A1471)=0,"",SUMIFS('Daily BSE Equity Futures'!$I:$I,'Daily BSE Equity Futures'!$A:$A,$A1471))</f>
        <v>5.1496000000000004</v>
      </c>
      <c r="G1471" s="6">
        <f t="shared" si="264"/>
        <v>1362.3032000000001</v>
      </c>
      <c r="H1471" s="15">
        <f t="shared" si="265"/>
        <v>0.99621993106967677</v>
      </c>
      <c r="I1471" s="15">
        <f t="shared" si="266"/>
        <v>3.7800689303232938E-3</v>
      </c>
      <c r="J1471" s="20" t="str">
        <f t="shared" si="267"/>
        <v/>
      </c>
      <c r="K1471" s="15" t="str">
        <f t="shared" si="268"/>
        <v/>
      </c>
      <c r="L1471" s="15" t="str">
        <f t="shared" si="269"/>
        <v/>
      </c>
      <c r="M1471" s="15">
        <f t="shared" si="273"/>
        <v>0.21747347674929229</v>
      </c>
      <c r="N1471" s="15">
        <f t="shared" si="274"/>
        <v>0.4595544470268127</v>
      </c>
      <c r="O1471" s="15">
        <f t="shared" si="275"/>
        <v>0.21823726319970804</v>
      </c>
      <c r="P1471" s="18">
        <f>IF(SUMIFS('Daily NSE Equity Futures'!$J:$J,'Daily NSE Equity Futures'!$A:$A,$A1471)=0,"",SUMIFS('Daily NSE Equity Futures'!$J:$J,'Daily NSE Equity Futures'!$A:$A,$A1471))</f>
        <v>1678879</v>
      </c>
      <c r="Q1471" s="7">
        <f>IF(SUMIFS('Daily BSE Equity Futures'!$J:$J,'Daily BSE Equity Futures'!$A:$A,$A1471)=0,"",SUMIFS('Daily BSE Equity Futures'!$J:$J,'Daily BSE Equity Futures'!$A:$A,$A1471))</f>
        <v>3199</v>
      </c>
      <c r="R1471" s="7">
        <f t="shared" si="270"/>
        <v>1682078</v>
      </c>
      <c r="S1471" s="19">
        <f t="shared" si="271"/>
        <v>0.99809818569650155</v>
      </c>
      <c r="T1471" s="19">
        <f t="shared" si="272"/>
        <v>1.9018143034984108E-3</v>
      </c>
    </row>
    <row r="1472" spans="1:20" x14ac:dyDescent="0.2">
      <c r="A1472" s="9">
        <v>46085</v>
      </c>
      <c r="B1472" s="4" t="s">
        <v>221</v>
      </c>
      <c r="C1472" s="8">
        <v>46082</v>
      </c>
      <c r="D1472" s="4" t="s">
        <v>196</v>
      </c>
      <c r="E1472" s="14">
        <f>IF(SUMIFS('Daily NSE Equity Futures'!$I:$I,'Daily NSE Equity Futures'!$A:$A,$A1472)=0,"",SUMIFS('Daily NSE Equity Futures'!$I:$I,'Daily NSE Equity Futures'!$A:$A,$A1472))</f>
        <v>1449.7876000000001</v>
      </c>
      <c r="F1472" s="6">
        <f>IF(SUMIFS('Daily BSE Equity Futures'!$I:$I,'Daily BSE Equity Futures'!$A:$A,$A1472)=0,"",SUMIFS('Daily BSE Equity Futures'!$I:$I,'Daily BSE Equity Futures'!$A:$A,$A1472))</f>
        <v>6.3849</v>
      </c>
      <c r="G1472" s="6">
        <f t="shared" si="264"/>
        <v>1456.1725000000001</v>
      </c>
      <c r="H1472" s="15">
        <f t="shared" si="265"/>
        <v>0.99561528596371651</v>
      </c>
      <c r="I1472" s="15">
        <f t="shared" si="266"/>
        <v>4.3847140362834758E-3</v>
      </c>
      <c r="J1472" s="20">
        <f t="shared" si="267"/>
        <v>0.5889500718201055</v>
      </c>
      <c r="K1472" s="15">
        <f t="shared" si="268"/>
        <v>0.66755465016062066</v>
      </c>
      <c r="L1472" s="15">
        <f t="shared" si="269"/>
        <v>0.58927855191965084</v>
      </c>
      <c r="M1472" s="15">
        <f t="shared" si="273"/>
        <v>6.8256091278098507E-2</v>
      </c>
      <c r="N1472" s="15">
        <f t="shared" si="274"/>
        <v>0.23988270933664735</v>
      </c>
      <c r="O1472" s="15">
        <f t="shared" si="275"/>
        <v>6.8904851724638227E-2</v>
      </c>
      <c r="P1472" s="18">
        <f>IF(SUMIFS('Daily NSE Equity Futures'!$J:$J,'Daily NSE Equity Futures'!$A:$A,$A1472)=0,"",SUMIFS('Daily NSE Equity Futures'!$J:$J,'Daily NSE Equity Futures'!$A:$A,$A1472))</f>
        <v>1796014</v>
      </c>
      <c r="Q1472" s="7">
        <f>IF(SUMIFS('Daily BSE Equity Futures'!$J:$J,'Daily BSE Equity Futures'!$A:$A,$A1472)=0,"",SUMIFS('Daily BSE Equity Futures'!$J:$J,'Daily BSE Equity Futures'!$A:$A,$A1472))</f>
        <v>4037</v>
      </c>
      <c r="R1472" s="7">
        <f t="shared" si="270"/>
        <v>1800051</v>
      </c>
      <c r="S1472" s="19">
        <f t="shared" si="271"/>
        <v>0.99775728576579215</v>
      </c>
      <c r="T1472" s="19">
        <f t="shared" si="272"/>
        <v>2.2427142342078083E-3</v>
      </c>
    </row>
    <row r="1473" spans="1:20" x14ac:dyDescent="0.2">
      <c r="A1473" s="9">
        <v>46086</v>
      </c>
      <c r="B1473" s="4" t="s">
        <v>224</v>
      </c>
      <c r="C1473" s="8">
        <v>46082</v>
      </c>
      <c r="D1473" s="4" t="s">
        <v>196</v>
      </c>
      <c r="E1473" s="14">
        <f>IF(SUMIFS('Daily NSE Equity Futures'!$I:$I,'Daily NSE Equity Futures'!$A:$A,$A1473)=0,"",SUMIFS('Daily NSE Equity Futures'!$I:$I,'Daily NSE Equity Futures'!$A:$A,$A1473))</f>
        <v>1327.3916999999999</v>
      </c>
      <c r="F1473" s="6">
        <f>IF(SUMIFS('Daily BSE Equity Futures'!$I:$I,'Daily BSE Equity Futures'!$A:$A,$A1473)=0,"",SUMIFS('Daily BSE Equity Futures'!$I:$I,'Daily BSE Equity Futures'!$A:$A,$A1473))</f>
        <v>6.8601000000000001</v>
      </c>
      <c r="G1473" s="6">
        <f t="shared" si="264"/>
        <v>1334.2518</v>
      </c>
      <c r="H1473" s="15">
        <f t="shared" si="265"/>
        <v>0.99485846674518252</v>
      </c>
      <c r="I1473" s="15">
        <f t="shared" si="266"/>
        <v>5.1415332548174191E-3</v>
      </c>
      <c r="J1473" s="20">
        <f t="shared" si="267"/>
        <v>0.16806927079515521</v>
      </c>
      <c r="K1473" s="15">
        <f t="shared" si="268"/>
        <v>3.9137597593295617</v>
      </c>
      <c r="L1473" s="15">
        <f t="shared" si="269"/>
        <v>0.17266532031891169</v>
      </c>
      <c r="M1473" s="15">
        <f t="shared" si="273"/>
        <v>-8.442333207981656E-2</v>
      </c>
      <c r="N1473" s="15">
        <f t="shared" si="274"/>
        <v>7.4425597895033668E-2</v>
      </c>
      <c r="O1473" s="15">
        <f t="shared" si="275"/>
        <v>-8.3726824946907086E-2</v>
      </c>
      <c r="P1473" s="18">
        <f>IF(SUMIFS('Daily NSE Equity Futures'!$J:$J,'Daily NSE Equity Futures'!$A:$A,$A1473)=0,"",SUMIFS('Daily NSE Equity Futures'!$J:$J,'Daily NSE Equity Futures'!$A:$A,$A1473))</f>
        <v>1695706</v>
      </c>
      <c r="Q1473" s="7">
        <f>IF(SUMIFS('Daily BSE Equity Futures'!$J:$J,'Daily BSE Equity Futures'!$A:$A,$A1473)=0,"",SUMIFS('Daily BSE Equity Futures'!$J:$J,'Daily BSE Equity Futures'!$A:$A,$A1473))</f>
        <v>4300</v>
      </c>
      <c r="R1473" s="7">
        <f t="shared" si="270"/>
        <v>1700006</v>
      </c>
      <c r="S1473" s="19">
        <f t="shared" si="271"/>
        <v>0.99747059716259823</v>
      </c>
      <c r="T1473" s="19">
        <f t="shared" si="272"/>
        <v>2.5294028374017504E-3</v>
      </c>
    </row>
    <row r="1474" spans="1:20" x14ac:dyDescent="0.2">
      <c r="A1474" s="9">
        <v>46087</v>
      </c>
      <c r="B1474" s="4" t="s">
        <v>222</v>
      </c>
      <c r="C1474" s="8">
        <v>46082</v>
      </c>
      <c r="D1474" s="4" t="s">
        <v>196</v>
      </c>
      <c r="E1474" s="14">
        <f>IF(SUMIFS('Daily NSE Equity Futures'!$I:$I,'Daily NSE Equity Futures'!$A:$A,$A1474)=0,"",SUMIFS('Daily NSE Equity Futures'!$I:$I,'Daily NSE Equity Futures'!$A:$A,$A1474))</f>
        <v>1123.5211999999999</v>
      </c>
      <c r="F1474" s="6">
        <f>IF(SUMIFS('Daily BSE Equity Futures'!$I:$I,'Daily BSE Equity Futures'!$A:$A,$A1474)=0,"",SUMIFS('Daily BSE Equity Futures'!$I:$I,'Daily BSE Equity Futures'!$A:$A,$A1474))</f>
        <v>3.2334000000000001</v>
      </c>
      <c r="G1474" s="6">
        <f t="shared" ref="G1474:G1537" si="276">IF(OR(E1474="",F1474=""),"",E1474+F1474)</f>
        <v>1126.7546</v>
      </c>
      <c r="H1474" s="15">
        <f t="shared" ref="H1474:H1537" si="277">IF(G1474="","",E1474/G1474)</f>
        <v>0.99713034231233666</v>
      </c>
      <c r="I1474" s="15">
        <f t="shared" ref="I1474:I1537" si="278">IF(G1474="","",F1474/G1474)</f>
        <v>2.869657687663312E-3</v>
      </c>
      <c r="J1474" s="20">
        <f t="shared" ref="J1474:J1537" si="279">IFERROR(IF(OR(E1474="",INDEX(E:E,MATCH(DATE(YEAR($A1474)-1,MONTH($A1474),DAY($A1474)),$A:$A,0))=""),"",E1474/INDEX(E:E,MATCH(DATE(YEAR($A1474)-1,MONTH($A1474),DAY($A1474)),$A:$A,0))-1),"")</f>
        <v>-2.6480782738006137E-2</v>
      </c>
      <c r="K1474" s="15">
        <f t="shared" ref="K1474:K1537" si="280">IFERROR(IF(OR(F1474="",INDEX(F:F,MATCH(DATE(YEAR($A1474)-1,MONTH($A1474),DAY($A1474)),$A:$A,0))=""),"",F1474/INDEX(F:F,MATCH(DATE(YEAR($A1474)-1,MONTH($A1474),DAY($A1474)),$A:$A,0))-1),"")</f>
        <v>1.4460246614721233</v>
      </c>
      <c r="L1474" s="15">
        <f t="shared" ref="L1474:L1537" si="281">IFERROR(IF(OR(G1474="",INDEX(G:G,MATCH(DATE(YEAR($A1474)-1,MONTH($A1474),DAY($A1474)),$A:$A,0))=""),"",G1474/INDEX(G:G,MATCH(DATE(YEAR($A1474)-1,MONTH($A1474),DAY($A1474)),$A:$A,0))-1),"")</f>
        <v>-2.4796086494759728E-2</v>
      </c>
      <c r="M1474" s="15">
        <f t="shared" si="273"/>
        <v>-0.15358729454161868</v>
      </c>
      <c r="N1474" s="15">
        <f t="shared" si="274"/>
        <v>-0.52866576288975375</v>
      </c>
      <c r="O1474" s="15">
        <f t="shared" si="275"/>
        <v>-0.15551577295979668</v>
      </c>
      <c r="P1474" s="18">
        <f>IF(SUMIFS('Daily NSE Equity Futures'!$J:$J,'Daily NSE Equity Futures'!$A:$A,$A1474)=0,"",SUMIFS('Daily NSE Equity Futures'!$J:$J,'Daily NSE Equity Futures'!$A:$A,$A1474))</f>
        <v>1464137</v>
      </c>
      <c r="Q1474" s="7">
        <f>IF(SUMIFS('Daily BSE Equity Futures'!$J:$J,'Daily BSE Equity Futures'!$A:$A,$A1474)=0,"",SUMIFS('Daily BSE Equity Futures'!$J:$J,'Daily BSE Equity Futures'!$A:$A,$A1474))</f>
        <v>2049</v>
      </c>
      <c r="R1474" s="7">
        <f t="shared" ref="R1474:R1537" si="282">IF(OR(P1474="",Q1474=""),"",P1474+Q1474)</f>
        <v>1466186</v>
      </c>
      <c r="S1474" s="19">
        <f t="shared" ref="S1474:S1537" si="283">IF(R1474="","",P1474/R1474)</f>
        <v>0.99860249654545874</v>
      </c>
      <c r="T1474" s="19">
        <f t="shared" ref="T1474:T1537" si="284">IF(R1474="","",Q1474/R1474)</f>
        <v>1.3975034545412382E-3</v>
      </c>
    </row>
    <row r="1475" spans="1:20" x14ac:dyDescent="0.2">
      <c r="A1475" s="9">
        <v>46090</v>
      </c>
      <c r="B1475" s="4" t="s">
        <v>225</v>
      </c>
      <c r="C1475" s="8">
        <v>46082</v>
      </c>
      <c r="D1475" s="4" t="s">
        <v>196</v>
      </c>
      <c r="E1475" s="14">
        <f>IF(SUMIFS('Daily NSE Equity Futures'!$I:$I,'Daily NSE Equity Futures'!$A:$A,$A1475)=0,"",SUMIFS('Daily NSE Equity Futures'!$I:$I,'Daily NSE Equity Futures'!$A:$A,$A1475))</f>
        <v>1512.7678000000001</v>
      </c>
      <c r="F1475" s="6">
        <f>IF(SUMIFS('Daily BSE Equity Futures'!$I:$I,'Daily BSE Equity Futures'!$A:$A,$A1475)=0,"",SUMIFS('Daily BSE Equity Futures'!$I:$I,'Daily BSE Equity Futures'!$A:$A,$A1475))</f>
        <v>5.2336999999999998</v>
      </c>
      <c r="G1475" s="6">
        <f t="shared" si="276"/>
        <v>1518.0015000000001</v>
      </c>
      <c r="H1475" s="15">
        <f t="shared" si="277"/>
        <v>0.99655224319607061</v>
      </c>
      <c r="I1475" s="15">
        <f t="shared" si="278"/>
        <v>3.4477568039293764E-3</v>
      </c>
      <c r="J1475" s="20" t="str">
        <f t="shared" si="279"/>
        <v/>
      </c>
      <c r="K1475" s="15" t="str">
        <f t="shared" si="280"/>
        <v/>
      </c>
      <c r="L1475" s="15" t="str">
        <f t="shared" si="281"/>
        <v/>
      </c>
      <c r="M1475" s="15">
        <f t="shared" ref="M1475:M1538" si="285">IF(OR(E1475="",E1474=""),"",E1475/E1474-1)</f>
        <v>0.34645238558916391</v>
      </c>
      <c r="N1475" s="15">
        <f t="shared" ref="N1475:N1538" si="286">IF(OR(F1475="",F1474=""),"",F1475/F1474-1)</f>
        <v>0.61863672913960532</v>
      </c>
      <c r="O1475" s="15">
        <f t="shared" ref="O1475:O1538" si="287">IF(OR(G1475="",G1474=""),"",G1475/G1474-1)</f>
        <v>0.34723346148309497</v>
      </c>
      <c r="P1475" s="18">
        <f>IF(SUMIFS('Daily NSE Equity Futures'!$J:$J,'Daily NSE Equity Futures'!$A:$A,$A1475)=0,"",SUMIFS('Daily NSE Equity Futures'!$J:$J,'Daily NSE Equity Futures'!$A:$A,$A1475))</f>
        <v>1902095</v>
      </c>
      <c r="Q1475" s="7">
        <f>IF(SUMIFS('Daily BSE Equity Futures'!$J:$J,'Daily BSE Equity Futures'!$A:$A,$A1475)=0,"",SUMIFS('Daily BSE Equity Futures'!$J:$J,'Daily BSE Equity Futures'!$A:$A,$A1475))</f>
        <v>3384</v>
      </c>
      <c r="R1475" s="7">
        <f t="shared" si="282"/>
        <v>1905479</v>
      </c>
      <c r="S1475" s="19">
        <f t="shared" si="283"/>
        <v>0.9982240685937761</v>
      </c>
      <c r="T1475" s="19">
        <f t="shared" si="284"/>
        <v>1.7759314062238418E-3</v>
      </c>
    </row>
    <row r="1476" spans="1:20" x14ac:dyDescent="0.2">
      <c r="A1476" s="9">
        <v>46091</v>
      </c>
      <c r="B1476" s="4" t="s">
        <v>223</v>
      </c>
      <c r="C1476" s="8">
        <v>46082</v>
      </c>
      <c r="D1476" s="4" t="s">
        <v>196</v>
      </c>
      <c r="E1476" s="14">
        <f>IF(SUMIFS('Daily NSE Equity Futures'!$I:$I,'Daily NSE Equity Futures'!$A:$A,$A1476)=0,"",SUMIFS('Daily NSE Equity Futures'!$I:$I,'Daily NSE Equity Futures'!$A:$A,$A1476))</f>
        <v>1163.3305</v>
      </c>
      <c r="F1476" s="6">
        <f>IF(SUMIFS('Daily BSE Equity Futures'!$I:$I,'Daily BSE Equity Futures'!$A:$A,$A1476)=0,"",SUMIFS('Daily BSE Equity Futures'!$I:$I,'Daily BSE Equity Futures'!$A:$A,$A1476))</f>
        <v>3.1110000000000002</v>
      </c>
      <c r="G1476" s="6">
        <f t="shared" si="276"/>
        <v>1166.4415000000001</v>
      </c>
      <c r="H1476" s="15">
        <f t="shared" si="277"/>
        <v>0.99733291382379652</v>
      </c>
      <c r="I1476" s="15">
        <f t="shared" si="278"/>
        <v>2.6670861762034359E-3</v>
      </c>
      <c r="J1476" s="20">
        <f t="shared" si="279"/>
        <v>0.21900885117846136</v>
      </c>
      <c r="K1476" s="15">
        <f t="shared" si="280"/>
        <v>0.61618785391448916</v>
      </c>
      <c r="L1476" s="15">
        <f t="shared" si="281"/>
        <v>0.21980835969848078</v>
      </c>
      <c r="M1476" s="15">
        <f t="shared" si="285"/>
        <v>-0.23099202666793939</v>
      </c>
      <c r="N1476" s="15">
        <f t="shared" si="286"/>
        <v>-0.40558304832145509</v>
      </c>
      <c r="O1476" s="15">
        <f t="shared" si="287"/>
        <v>-0.23159397405075022</v>
      </c>
      <c r="P1476" s="18">
        <f>IF(SUMIFS('Daily NSE Equity Futures'!$J:$J,'Daily NSE Equity Futures'!$A:$A,$A1476)=0,"",SUMIFS('Daily NSE Equity Futures'!$J:$J,'Daily NSE Equity Futures'!$A:$A,$A1476))</f>
        <v>1509367</v>
      </c>
      <c r="Q1476" s="7">
        <f>IF(SUMIFS('Daily BSE Equity Futures'!$J:$J,'Daily BSE Equity Futures'!$A:$A,$A1476)=0,"",SUMIFS('Daily BSE Equity Futures'!$J:$J,'Daily BSE Equity Futures'!$A:$A,$A1476))</f>
        <v>1985</v>
      </c>
      <c r="R1476" s="7">
        <f t="shared" si="282"/>
        <v>1511352</v>
      </c>
      <c r="S1476" s="19">
        <f t="shared" si="283"/>
        <v>0.99868660642921037</v>
      </c>
      <c r="T1476" s="19">
        <f t="shared" si="284"/>
        <v>1.3133935707895976E-3</v>
      </c>
    </row>
    <row r="1477" spans="1:20" x14ac:dyDescent="0.2">
      <c r="A1477" s="9">
        <v>46092</v>
      </c>
      <c r="B1477" s="4" t="s">
        <v>221</v>
      </c>
      <c r="C1477" s="8">
        <v>46082</v>
      </c>
      <c r="D1477" s="4" t="s">
        <v>196</v>
      </c>
      <c r="E1477" s="14">
        <f>IF(SUMIFS('Daily NSE Equity Futures'!$I:$I,'Daily NSE Equity Futures'!$A:$A,$A1477)=0,"",SUMIFS('Daily NSE Equity Futures'!$I:$I,'Daily NSE Equity Futures'!$A:$A,$A1477))</f>
        <v>1167.259</v>
      </c>
      <c r="F1477" s="6">
        <f>IF(SUMIFS('Daily BSE Equity Futures'!$I:$I,'Daily BSE Equity Futures'!$A:$A,$A1477)=0,"",SUMIFS('Daily BSE Equity Futures'!$I:$I,'Daily BSE Equity Futures'!$A:$A,$A1477))</f>
        <v>5.3132999999999999</v>
      </c>
      <c r="G1477" s="6">
        <f t="shared" si="276"/>
        <v>1172.5723</v>
      </c>
      <c r="H1477" s="15">
        <f t="shared" si="277"/>
        <v>0.99546868026815916</v>
      </c>
      <c r="I1477" s="15">
        <f t="shared" si="278"/>
        <v>4.5313197318408421E-3</v>
      </c>
      <c r="J1477" s="20">
        <f t="shared" si="279"/>
        <v>0.10495887710348795</v>
      </c>
      <c r="K1477" s="15">
        <f t="shared" si="280"/>
        <v>0.70336293399160077</v>
      </c>
      <c r="L1477" s="15">
        <f t="shared" si="281"/>
        <v>0.10672065053983881</v>
      </c>
      <c r="M1477" s="15">
        <f t="shared" si="285"/>
        <v>3.3769423220657568E-3</v>
      </c>
      <c r="N1477" s="15">
        <f t="shared" si="286"/>
        <v>0.7079074252651878</v>
      </c>
      <c r="O1477" s="15">
        <f t="shared" si="287"/>
        <v>5.2559858338372401E-3</v>
      </c>
      <c r="P1477" s="18">
        <f>IF(SUMIFS('Daily NSE Equity Futures'!$J:$J,'Daily NSE Equity Futures'!$A:$A,$A1477)=0,"",SUMIFS('Daily NSE Equity Futures'!$J:$J,'Daily NSE Equity Futures'!$A:$A,$A1477))</f>
        <v>1476041</v>
      </c>
      <c r="Q1477" s="7">
        <f>IF(SUMIFS('Daily BSE Equity Futures'!$J:$J,'Daily BSE Equity Futures'!$A:$A,$A1477)=0,"",SUMIFS('Daily BSE Equity Futures'!$J:$J,'Daily BSE Equity Futures'!$A:$A,$A1477))</f>
        <v>3429</v>
      </c>
      <c r="R1477" s="7">
        <f t="shared" si="282"/>
        <v>1479470</v>
      </c>
      <c r="S1477" s="19">
        <f t="shared" si="283"/>
        <v>0.99768227811310806</v>
      </c>
      <c r="T1477" s="19">
        <f t="shared" si="284"/>
        <v>2.3177218868919275E-3</v>
      </c>
    </row>
    <row r="1478" spans="1:20" x14ac:dyDescent="0.2">
      <c r="A1478" s="9">
        <v>46093</v>
      </c>
      <c r="B1478" s="4" t="s">
        <v>224</v>
      </c>
      <c r="C1478" s="8">
        <v>46082</v>
      </c>
      <c r="D1478" s="4" t="s">
        <v>196</v>
      </c>
      <c r="E1478" s="14">
        <f>IF(SUMIFS('Daily NSE Equity Futures'!$I:$I,'Daily NSE Equity Futures'!$A:$A,$A1478)=0,"",SUMIFS('Daily NSE Equity Futures'!$I:$I,'Daily NSE Equity Futures'!$A:$A,$A1478))</f>
        <v>1257.4304</v>
      </c>
      <c r="F1478" s="6">
        <f>IF(SUMIFS('Daily BSE Equity Futures'!$I:$I,'Daily BSE Equity Futures'!$A:$A,$A1478)=0,"",SUMIFS('Daily BSE Equity Futures'!$I:$I,'Daily BSE Equity Futures'!$A:$A,$A1478))</f>
        <v>6.2007000000000003</v>
      </c>
      <c r="G1478" s="6">
        <f t="shared" si="276"/>
        <v>1263.6311000000001</v>
      </c>
      <c r="H1478" s="15">
        <f t="shared" si="277"/>
        <v>0.99509295078286686</v>
      </c>
      <c r="I1478" s="15">
        <f t="shared" si="278"/>
        <v>4.9070492171330703E-3</v>
      </c>
      <c r="J1478" s="20">
        <f t="shared" si="279"/>
        <v>0.22258846269586208</v>
      </c>
      <c r="K1478" s="15">
        <f t="shared" si="280"/>
        <v>3.261063771302914</v>
      </c>
      <c r="L1478" s="15">
        <f t="shared" si="281"/>
        <v>0.22688146078799476</v>
      </c>
      <c r="M1478" s="15">
        <f t="shared" si="285"/>
        <v>7.7250550220645087E-2</v>
      </c>
      <c r="N1478" s="15">
        <f t="shared" si="286"/>
        <v>0.16701484952854173</v>
      </c>
      <c r="O1478" s="15">
        <f t="shared" si="287"/>
        <v>7.7657300961313958E-2</v>
      </c>
      <c r="P1478" s="18">
        <f>IF(SUMIFS('Daily NSE Equity Futures'!$J:$J,'Daily NSE Equity Futures'!$A:$A,$A1478)=0,"",SUMIFS('Daily NSE Equity Futures'!$J:$J,'Daily NSE Equity Futures'!$A:$A,$A1478))</f>
        <v>1641459</v>
      </c>
      <c r="Q1478" s="7">
        <f>IF(SUMIFS('Daily BSE Equity Futures'!$J:$J,'Daily BSE Equity Futures'!$A:$A,$A1478)=0,"",SUMIFS('Daily BSE Equity Futures'!$J:$J,'Daily BSE Equity Futures'!$A:$A,$A1478))</f>
        <v>4054</v>
      </c>
      <c r="R1478" s="7">
        <f t="shared" si="282"/>
        <v>1645513</v>
      </c>
      <c r="S1478" s="19">
        <f t="shared" si="283"/>
        <v>0.99753633061543723</v>
      </c>
      <c r="T1478" s="19">
        <f t="shared" si="284"/>
        <v>2.4636693845627475E-3</v>
      </c>
    </row>
    <row r="1479" spans="1:20" x14ac:dyDescent="0.2">
      <c r="A1479" s="9">
        <v>46094</v>
      </c>
      <c r="B1479" s="4" t="s">
        <v>222</v>
      </c>
      <c r="C1479" s="8">
        <v>46082</v>
      </c>
      <c r="D1479" s="4" t="s">
        <v>196</v>
      </c>
      <c r="E1479" s="14">
        <f>IF(SUMIFS('Daily NSE Equity Futures'!$I:$I,'Daily NSE Equity Futures'!$A:$A,$A1479)=0,"",SUMIFS('Daily NSE Equity Futures'!$I:$I,'Daily NSE Equity Futures'!$A:$A,$A1479))</f>
        <v>1450.6818000000001</v>
      </c>
      <c r="F1479" s="6">
        <f>IF(SUMIFS('Daily BSE Equity Futures'!$I:$I,'Daily BSE Equity Futures'!$A:$A,$A1479)=0,"",SUMIFS('Daily BSE Equity Futures'!$I:$I,'Daily BSE Equity Futures'!$A:$A,$A1479))</f>
        <v>5.6676000000000002</v>
      </c>
      <c r="G1479" s="6">
        <f t="shared" si="276"/>
        <v>1456.3494000000001</v>
      </c>
      <c r="H1479" s="15">
        <f t="shared" si="277"/>
        <v>0.99610835147115107</v>
      </c>
      <c r="I1479" s="15">
        <f t="shared" si="278"/>
        <v>3.8916485288489149E-3</v>
      </c>
      <c r="J1479" s="20">
        <f t="shared" si="279"/>
        <v>0.86760164215057434</v>
      </c>
      <c r="K1479" s="15">
        <f t="shared" si="280"/>
        <v>5.6850672328379339</v>
      </c>
      <c r="L1479" s="15">
        <f t="shared" si="281"/>
        <v>0.87285395231052298</v>
      </c>
      <c r="M1479" s="15">
        <f t="shared" si="285"/>
        <v>0.15368755201083117</v>
      </c>
      <c r="N1479" s="15">
        <f t="shared" si="286"/>
        <v>-8.597416420726689E-2</v>
      </c>
      <c r="O1479" s="15">
        <f t="shared" si="287"/>
        <v>0.15251152017388625</v>
      </c>
      <c r="P1479" s="18">
        <f>IF(SUMIFS('Daily NSE Equity Futures'!$J:$J,'Daily NSE Equity Futures'!$A:$A,$A1479)=0,"",SUMIFS('Daily NSE Equity Futures'!$J:$J,'Daily NSE Equity Futures'!$A:$A,$A1479))</f>
        <v>1891351</v>
      </c>
      <c r="Q1479" s="7">
        <f>IF(SUMIFS('Daily BSE Equity Futures'!$J:$J,'Daily BSE Equity Futures'!$A:$A,$A1479)=0,"",SUMIFS('Daily BSE Equity Futures'!$J:$J,'Daily BSE Equity Futures'!$A:$A,$A1479))</f>
        <v>3782</v>
      </c>
      <c r="R1479" s="7">
        <f t="shared" si="282"/>
        <v>1895133</v>
      </c>
      <c r="S1479" s="19">
        <f t="shared" si="283"/>
        <v>0.99800436169915252</v>
      </c>
      <c r="T1479" s="19">
        <f t="shared" si="284"/>
        <v>1.9956383008474868E-3</v>
      </c>
    </row>
    <row r="1480" spans="1:20" x14ac:dyDescent="0.2">
      <c r="A1480" s="9">
        <v>46097</v>
      </c>
      <c r="B1480" s="4" t="s">
        <v>225</v>
      </c>
      <c r="C1480" s="8">
        <v>46082</v>
      </c>
      <c r="D1480" s="4" t="s">
        <v>196</v>
      </c>
      <c r="E1480" s="14">
        <f>IF(SUMIFS('Daily NSE Equity Futures'!$I:$I,'Daily NSE Equity Futures'!$A:$A,$A1480)=0,"",SUMIFS('Daily NSE Equity Futures'!$I:$I,'Daily NSE Equity Futures'!$A:$A,$A1480))</f>
        <v>1371.9452000000001</v>
      </c>
      <c r="F1480" s="6">
        <f>IF(SUMIFS('Daily BSE Equity Futures'!$I:$I,'Daily BSE Equity Futures'!$A:$A,$A1480)=0,"",SUMIFS('Daily BSE Equity Futures'!$I:$I,'Daily BSE Equity Futures'!$A:$A,$A1480))</f>
        <v>5.9476000000000004</v>
      </c>
      <c r="G1480" s="6">
        <f t="shared" si="276"/>
        <v>1377.8928000000001</v>
      </c>
      <c r="H1480" s="15">
        <f t="shared" si="277"/>
        <v>0.99568355390201624</v>
      </c>
      <c r="I1480" s="15">
        <f t="shared" si="278"/>
        <v>4.3164460979838197E-3</v>
      </c>
      <c r="J1480" s="20" t="str">
        <f t="shared" si="279"/>
        <v/>
      </c>
      <c r="K1480" s="15" t="str">
        <f t="shared" si="280"/>
        <v/>
      </c>
      <c r="L1480" s="15" t="str">
        <f t="shared" si="281"/>
        <v/>
      </c>
      <c r="M1480" s="15">
        <f t="shared" si="285"/>
        <v>-5.4275582694978231E-2</v>
      </c>
      <c r="N1480" s="15">
        <f t="shared" si="286"/>
        <v>4.9403627637800929E-2</v>
      </c>
      <c r="O1480" s="15">
        <f t="shared" si="287"/>
        <v>-5.3872099648614502E-2</v>
      </c>
      <c r="P1480" s="18">
        <f>IF(SUMIFS('Daily NSE Equity Futures'!$J:$J,'Daily NSE Equity Futures'!$A:$A,$A1480)=0,"",SUMIFS('Daily NSE Equity Futures'!$J:$J,'Daily NSE Equity Futures'!$A:$A,$A1480))</f>
        <v>1802364</v>
      </c>
      <c r="Q1480" s="7">
        <f>IF(SUMIFS('Daily BSE Equity Futures'!$J:$J,'Daily BSE Equity Futures'!$A:$A,$A1480)=0,"",SUMIFS('Daily BSE Equity Futures'!$J:$J,'Daily BSE Equity Futures'!$A:$A,$A1480))</f>
        <v>3966</v>
      </c>
      <c r="R1480" s="7">
        <f t="shared" si="282"/>
        <v>1806330</v>
      </c>
      <c r="S1480" s="19">
        <f t="shared" si="283"/>
        <v>0.99780438790254278</v>
      </c>
      <c r="T1480" s="19">
        <f t="shared" si="284"/>
        <v>2.1956120974572753E-3</v>
      </c>
    </row>
    <row r="1481" spans="1:20" x14ac:dyDescent="0.2">
      <c r="A1481" s="9">
        <v>46098</v>
      </c>
      <c r="B1481" s="4" t="s">
        <v>223</v>
      </c>
      <c r="C1481" s="8">
        <v>46082</v>
      </c>
      <c r="D1481" s="4" t="s">
        <v>196</v>
      </c>
      <c r="E1481" s="14">
        <f>IF(SUMIFS('Daily NSE Equity Futures'!$I:$I,'Daily NSE Equity Futures'!$A:$A,$A1481)=0,"",SUMIFS('Daily NSE Equity Futures'!$I:$I,'Daily NSE Equity Futures'!$A:$A,$A1481))</f>
        <v>1087.1152</v>
      </c>
      <c r="F1481" s="6">
        <f>IF(SUMIFS('Daily BSE Equity Futures'!$I:$I,'Daily BSE Equity Futures'!$A:$A,$A1481)=0,"",SUMIFS('Daily BSE Equity Futures'!$I:$I,'Daily BSE Equity Futures'!$A:$A,$A1481))</f>
        <v>4.4611999999999998</v>
      </c>
      <c r="G1481" s="6">
        <f t="shared" si="276"/>
        <v>1091.5763999999999</v>
      </c>
      <c r="H1481" s="15">
        <f t="shared" si="277"/>
        <v>0.99591306664380064</v>
      </c>
      <c r="I1481" s="15">
        <f t="shared" si="278"/>
        <v>4.0869333561993461E-3</v>
      </c>
      <c r="J1481" s="20">
        <f t="shared" si="279"/>
        <v>0.30516680833489396</v>
      </c>
      <c r="K1481" s="15">
        <f t="shared" si="280"/>
        <v>2.1827067132767355</v>
      </c>
      <c r="L1481" s="15">
        <f t="shared" si="281"/>
        <v>0.30832111899591252</v>
      </c>
      <c r="M1481" s="15">
        <f t="shared" si="285"/>
        <v>-0.20761033312409283</v>
      </c>
      <c r="N1481" s="15">
        <f t="shared" si="286"/>
        <v>-0.24991593247696553</v>
      </c>
      <c r="O1481" s="15">
        <f t="shared" si="287"/>
        <v>-0.20779294296334239</v>
      </c>
      <c r="P1481" s="18">
        <f>IF(SUMIFS('Daily NSE Equity Futures'!$J:$J,'Daily NSE Equity Futures'!$A:$A,$A1481)=0,"",SUMIFS('Daily NSE Equity Futures'!$J:$J,'Daily NSE Equity Futures'!$A:$A,$A1481))</f>
        <v>1468915</v>
      </c>
      <c r="Q1481" s="7">
        <f>IF(SUMIFS('Daily BSE Equity Futures'!$J:$J,'Daily BSE Equity Futures'!$A:$A,$A1481)=0,"",SUMIFS('Daily BSE Equity Futures'!$J:$J,'Daily BSE Equity Futures'!$A:$A,$A1481))</f>
        <v>2939</v>
      </c>
      <c r="R1481" s="7">
        <f t="shared" si="282"/>
        <v>1471854</v>
      </c>
      <c r="S1481" s="19">
        <f t="shared" si="283"/>
        <v>0.9980031986868263</v>
      </c>
      <c r="T1481" s="19">
        <f t="shared" si="284"/>
        <v>1.9968013131737251E-3</v>
      </c>
    </row>
    <row r="1482" spans="1:20" x14ac:dyDescent="0.2">
      <c r="A1482" s="9">
        <v>46099</v>
      </c>
      <c r="B1482" s="4" t="s">
        <v>221</v>
      </c>
      <c r="C1482" s="8">
        <v>46082</v>
      </c>
      <c r="D1482" s="4" t="s">
        <v>196</v>
      </c>
      <c r="E1482" s="14">
        <f>IF(SUMIFS('Daily NSE Equity Futures'!$I:$I,'Daily NSE Equity Futures'!$A:$A,$A1482)=0,"",SUMIFS('Daily NSE Equity Futures'!$I:$I,'Daily NSE Equity Futures'!$A:$A,$A1482))</f>
        <v>1158.5416</v>
      </c>
      <c r="F1482" s="6">
        <f>IF(SUMIFS('Daily BSE Equity Futures'!$I:$I,'Daily BSE Equity Futures'!$A:$A,$A1482)=0,"",SUMIFS('Daily BSE Equity Futures'!$I:$I,'Daily BSE Equity Futures'!$A:$A,$A1482))</f>
        <v>5.1902999999999997</v>
      </c>
      <c r="G1482" s="6">
        <f t="shared" si="276"/>
        <v>1163.7319</v>
      </c>
      <c r="H1482" s="15">
        <f t="shared" si="277"/>
        <v>0.99553995211440027</v>
      </c>
      <c r="I1482" s="15">
        <f t="shared" si="278"/>
        <v>4.4600478855997671E-3</v>
      </c>
      <c r="J1482" s="20">
        <f t="shared" si="279"/>
        <v>2.0612909562936155E-2</v>
      </c>
      <c r="K1482" s="15">
        <f t="shared" si="280"/>
        <v>0.29308154164279143</v>
      </c>
      <c r="L1482" s="15">
        <f t="shared" si="281"/>
        <v>2.157297208136999E-2</v>
      </c>
      <c r="M1482" s="15">
        <f t="shared" si="285"/>
        <v>6.5702696457560439E-2</v>
      </c>
      <c r="N1482" s="15">
        <f t="shared" si="286"/>
        <v>0.16343136375862999</v>
      </c>
      <c r="O1482" s="15">
        <f t="shared" si="287"/>
        <v>6.6102107007810051E-2</v>
      </c>
      <c r="P1482" s="18">
        <f>IF(SUMIFS('Daily NSE Equity Futures'!$J:$J,'Daily NSE Equity Futures'!$A:$A,$A1482)=0,"",SUMIFS('Daily NSE Equity Futures'!$J:$J,'Daily NSE Equity Futures'!$A:$A,$A1482))</f>
        <v>1573837</v>
      </c>
      <c r="Q1482" s="7">
        <f>IF(SUMIFS('Daily BSE Equity Futures'!$J:$J,'Daily BSE Equity Futures'!$A:$A,$A1482)=0,"",SUMIFS('Daily BSE Equity Futures'!$J:$J,'Daily BSE Equity Futures'!$A:$A,$A1482))</f>
        <v>3384</v>
      </c>
      <c r="R1482" s="7">
        <f t="shared" si="282"/>
        <v>1577221</v>
      </c>
      <c r="S1482" s="19">
        <f t="shared" si="283"/>
        <v>0.99785445413166574</v>
      </c>
      <c r="T1482" s="19">
        <f t="shared" si="284"/>
        <v>2.1455458683342409E-3</v>
      </c>
    </row>
    <row r="1483" spans="1:20" x14ac:dyDescent="0.2">
      <c r="A1483" s="9">
        <v>46100</v>
      </c>
      <c r="B1483" s="4" t="s">
        <v>224</v>
      </c>
      <c r="C1483" s="8">
        <v>46082</v>
      </c>
      <c r="D1483" s="4" t="s">
        <v>196</v>
      </c>
      <c r="E1483" s="14">
        <f>IF(SUMIFS('Daily NSE Equity Futures'!$I:$I,'Daily NSE Equity Futures'!$A:$A,$A1483)=0,"",SUMIFS('Daily NSE Equity Futures'!$I:$I,'Daily NSE Equity Futures'!$A:$A,$A1483))</f>
        <v>1465.9131</v>
      </c>
      <c r="F1483" s="6">
        <f>IF(SUMIFS('Daily BSE Equity Futures'!$I:$I,'Daily BSE Equity Futures'!$A:$A,$A1483)=0,"",SUMIFS('Daily BSE Equity Futures'!$I:$I,'Daily BSE Equity Futures'!$A:$A,$A1483))</f>
        <v>8.9662000000000006</v>
      </c>
      <c r="G1483" s="6">
        <f t="shared" si="276"/>
        <v>1474.8793000000001</v>
      </c>
      <c r="H1483" s="15">
        <f t="shared" si="277"/>
        <v>0.99392072286864419</v>
      </c>
      <c r="I1483" s="15">
        <f t="shared" si="278"/>
        <v>6.0792771313557658E-3</v>
      </c>
      <c r="J1483" s="20">
        <f t="shared" si="279"/>
        <v>0.24515285327212188</v>
      </c>
      <c r="K1483" s="15">
        <f t="shared" si="280"/>
        <v>6.64056242011078</v>
      </c>
      <c r="L1483" s="15">
        <f t="shared" si="281"/>
        <v>0.25152129559262137</v>
      </c>
      <c r="M1483" s="15">
        <f t="shared" si="285"/>
        <v>0.26530898847309414</v>
      </c>
      <c r="N1483" s="15">
        <f t="shared" si="286"/>
        <v>0.72749166714833469</v>
      </c>
      <c r="O1483" s="15">
        <f t="shared" si="287"/>
        <v>0.26737034535188053</v>
      </c>
      <c r="P1483" s="18">
        <f>IF(SUMIFS('Daily NSE Equity Futures'!$J:$J,'Daily NSE Equity Futures'!$A:$A,$A1483)=0,"",SUMIFS('Daily NSE Equity Futures'!$J:$J,'Daily NSE Equity Futures'!$A:$A,$A1483))</f>
        <v>2007571</v>
      </c>
      <c r="Q1483" s="7">
        <f>IF(SUMIFS('Daily BSE Equity Futures'!$J:$J,'Daily BSE Equity Futures'!$A:$A,$A1483)=0,"",SUMIFS('Daily BSE Equity Futures'!$J:$J,'Daily BSE Equity Futures'!$A:$A,$A1483))</f>
        <v>5975</v>
      </c>
      <c r="R1483" s="7">
        <f t="shared" si="282"/>
        <v>2013546</v>
      </c>
      <c r="S1483" s="19">
        <f t="shared" si="283"/>
        <v>0.99703259821230805</v>
      </c>
      <c r="T1483" s="19">
        <f t="shared" si="284"/>
        <v>2.9674017876919622E-3</v>
      </c>
    </row>
    <row r="1484" spans="1:20" x14ac:dyDescent="0.2">
      <c r="A1484" s="9">
        <v>46101</v>
      </c>
      <c r="B1484" s="4" t="s">
        <v>222</v>
      </c>
      <c r="C1484" s="8">
        <v>46082</v>
      </c>
      <c r="D1484" s="4" t="s">
        <v>196</v>
      </c>
      <c r="E1484" s="14">
        <f>IF(SUMIFS('Daily NSE Equity Futures'!$I:$I,'Daily NSE Equity Futures'!$A:$A,$A1484)=0,"",SUMIFS('Daily NSE Equity Futures'!$I:$I,'Daily NSE Equity Futures'!$A:$A,$A1484))</f>
        <v>1411.7657999999999</v>
      </c>
      <c r="F1484" s="6">
        <f>IF(SUMIFS('Daily BSE Equity Futures'!$I:$I,'Daily BSE Equity Futures'!$A:$A,$A1484)=0,"",SUMIFS('Daily BSE Equity Futures'!$I:$I,'Daily BSE Equity Futures'!$A:$A,$A1484))</f>
        <v>5.2889999999999997</v>
      </c>
      <c r="G1484" s="6">
        <f t="shared" si="276"/>
        <v>1417.0547999999999</v>
      </c>
      <c r="H1484" s="15">
        <f t="shared" si="277"/>
        <v>0.99626761082210791</v>
      </c>
      <c r="I1484" s="15">
        <f t="shared" si="278"/>
        <v>3.7323891778920618E-3</v>
      </c>
      <c r="J1484" s="20">
        <f t="shared" si="279"/>
        <v>-3.6376869454024408E-2</v>
      </c>
      <c r="K1484" s="15">
        <f t="shared" si="280"/>
        <v>2.1758136183499457</v>
      </c>
      <c r="L1484" s="15">
        <f t="shared" si="281"/>
        <v>-3.3865027914221302E-2</v>
      </c>
      <c r="M1484" s="15">
        <f t="shared" si="285"/>
        <v>-3.6937592003236763E-2</v>
      </c>
      <c r="N1484" s="15">
        <f t="shared" si="286"/>
        <v>-0.41011799870625243</v>
      </c>
      <c r="O1484" s="15">
        <f t="shared" si="287"/>
        <v>-3.9206259115576514E-2</v>
      </c>
      <c r="P1484" s="18">
        <f>IF(SUMIFS('Daily NSE Equity Futures'!$J:$J,'Daily NSE Equity Futures'!$A:$A,$A1484)=0,"",SUMIFS('Daily NSE Equity Futures'!$J:$J,'Daily NSE Equity Futures'!$A:$A,$A1484))</f>
        <v>1925513</v>
      </c>
      <c r="Q1484" s="7">
        <f>IF(SUMIFS('Daily BSE Equity Futures'!$J:$J,'Daily BSE Equity Futures'!$A:$A,$A1484)=0,"",SUMIFS('Daily BSE Equity Futures'!$J:$J,'Daily BSE Equity Futures'!$A:$A,$A1484))</f>
        <v>3534</v>
      </c>
      <c r="R1484" s="7">
        <f t="shared" si="282"/>
        <v>1929047</v>
      </c>
      <c r="S1484" s="19">
        <f t="shared" si="283"/>
        <v>0.99816800731138222</v>
      </c>
      <c r="T1484" s="19">
        <f t="shared" si="284"/>
        <v>1.8319926886177474E-3</v>
      </c>
    </row>
    <row r="1485" spans="1:20" x14ac:dyDescent="0.2">
      <c r="A1485" s="9">
        <v>46104</v>
      </c>
      <c r="B1485" s="4" t="s">
        <v>225</v>
      </c>
      <c r="C1485" s="8">
        <v>46082</v>
      </c>
      <c r="D1485" s="4" t="s">
        <v>196</v>
      </c>
      <c r="E1485" s="14">
        <f>IF(SUMIFS('Daily NSE Equity Futures'!$I:$I,'Daily NSE Equity Futures'!$A:$A,$A1485)=0,"",SUMIFS('Daily NSE Equity Futures'!$I:$I,'Daily NSE Equity Futures'!$A:$A,$A1485))</f>
        <v>1580.4880000000001</v>
      </c>
      <c r="F1485" s="6">
        <f>IF(SUMIFS('Daily BSE Equity Futures'!$I:$I,'Daily BSE Equity Futures'!$A:$A,$A1485)=0,"",SUMIFS('Daily BSE Equity Futures'!$I:$I,'Daily BSE Equity Futures'!$A:$A,$A1485))</f>
        <v>5.9748999999999999</v>
      </c>
      <c r="G1485" s="6">
        <f t="shared" si="276"/>
        <v>1586.4629</v>
      </c>
      <c r="H1485" s="15">
        <f t="shared" si="277"/>
        <v>0.99623382305378849</v>
      </c>
      <c r="I1485" s="15">
        <f t="shared" si="278"/>
        <v>3.7661769462116008E-3</v>
      </c>
      <c r="J1485" s="20" t="str">
        <f t="shared" si="279"/>
        <v/>
      </c>
      <c r="K1485" s="15" t="str">
        <f t="shared" si="280"/>
        <v/>
      </c>
      <c r="L1485" s="15" t="str">
        <f t="shared" si="281"/>
        <v/>
      </c>
      <c r="M1485" s="15">
        <f t="shared" si="285"/>
        <v>0.1195114657119476</v>
      </c>
      <c r="N1485" s="15">
        <f t="shared" si="286"/>
        <v>0.12968425033087549</v>
      </c>
      <c r="O1485" s="15">
        <f t="shared" si="287"/>
        <v>0.11954943450316824</v>
      </c>
      <c r="P1485" s="18">
        <f>IF(SUMIFS('Daily NSE Equity Futures'!$J:$J,'Daily NSE Equity Futures'!$A:$A,$A1485)=0,"",SUMIFS('Daily NSE Equity Futures'!$J:$J,'Daily NSE Equity Futures'!$A:$A,$A1485))</f>
        <v>2277427</v>
      </c>
      <c r="Q1485" s="7">
        <f>IF(SUMIFS('Daily BSE Equity Futures'!$J:$J,'Daily BSE Equity Futures'!$A:$A,$A1485)=0,"",SUMIFS('Daily BSE Equity Futures'!$J:$J,'Daily BSE Equity Futures'!$A:$A,$A1485))</f>
        <v>4088</v>
      </c>
      <c r="R1485" s="7">
        <f t="shared" si="282"/>
        <v>2281515</v>
      </c>
      <c r="S1485" s="19">
        <f t="shared" si="283"/>
        <v>0.99820820814239664</v>
      </c>
      <c r="T1485" s="19">
        <f t="shared" si="284"/>
        <v>1.7917918576033907E-3</v>
      </c>
    </row>
    <row r="1486" spans="1:20" x14ac:dyDescent="0.2">
      <c r="A1486" s="9">
        <v>46105</v>
      </c>
      <c r="B1486" s="4" t="s">
        <v>223</v>
      </c>
      <c r="C1486" s="8">
        <v>46082</v>
      </c>
      <c r="D1486" s="4" t="s">
        <v>196</v>
      </c>
      <c r="E1486" s="14">
        <f>IF(SUMIFS('Daily NSE Equity Futures'!$I:$I,'Daily NSE Equity Futures'!$A:$A,$A1486)=0,"",SUMIFS('Daily NSE Equity Futures'!$I:$I,'Daily NSE Equity Futures'!$A:$A,$A1486))</f>
        <v>3662.1545999999998</v>
      </c>
      <c r="F1486" s="6">
        <f>IF(SUMIFS('Daily BSE Equity Futures'!$I:$I,'Daily BSE Equity Futures'!$A:$A,$A1486)=0,"",SUMIFS('Daily BSE Equity Futures'!$I:$I,'Daily BSE Equity Futures'!$A:$A,$A1486))</f>
        <v>8.0451999999999995</v>
      </c>
      <c r="G1486" s="6">
        <f t="shared" si="276"/>
        <v>3670.1997999999999</v>
      </c>
      <c r="H1486" s="15">
        <f t="shared" si="277"/>
        <v>0.9978079667488402</v>
      </c>
      <c r="I1486" s="15">
        <f t="shared" si="278"/>
        <v>2.1920332511597869E-3</v>
      </c>
      <c r="J1486" s="20">
        <f t="shared" si="279"/>
        <v>9.3753767833115953E-2</v>
      </c>
      <c r="K1486" s="15">
        <f t="shared" si="280"/>
        <v>0.87289319303473301</v>
      </c>
      <c r="L1486" s="15">
        <f t="shared" si="281"/>
        <v>9.4752077059669038E-2</v>
      </c>
      <c r="M1486" s="15">
        <f t="shared" si="285"/>
        <v>1.317103704678555</v>
      </c>
      <c r="N1486" s="15">
        <f t="shared" si="286"/>
        <v>0.3464995230045691</v>
      </c>
      <c r="O1486" s="15">
        <f t="shared" si="287"/>
        <v>1.3134482375856376</v>
      </c>
      <c r="P1486" s="18">
        <f>IF(SUMIFS('Daily NSE Equity Futures'!$J:$J,'Daily NSE Equity Futures'!$A:$A,$A1486)=0,"",SUMIFS('Daily NSE Equity Futures'!$J:$J,'Daily NSE Equity Futures'!$A:$A,$A1486))</f>
        <v>5632195</v>
      </c>
      <c r="Q1486" s="7">
        <f>IF(SUMIFS('Daily BSE Equity Futures'!$J:$J,'Daily BSE Equity Futures'!$A:$A,$A1486)=0,"",SUMIFS('Daily BSE Equity Futures'!$J:$J,'Daily BSE Equity Futures'!$A:$A,$A1486))</f>
        <v>5432</v>
      </c>
      <c r="R1486" s="7">
        <f t="shared" si="282"/>
        <v>5637627</v>
      </c>
      <c r="S1486" s="19">
        <f t="shared" si="283"/>
        <v>0.99903647403419915</v>
      </c>
      <c r="T1486" s="19">
        <f t="shared" si="284"/>
        <v>9.6352596580085912E-4</v>
      </c>
    </row>
    <row r="1487" spans="1:20" x14ac:dyDescent="0.2">
      <c r="A1487" s="9">
        <v>46106</v>
      </c>
      <c r="B1487" s="4" t="s">
        <v>221</v>
      </c>
      <c r="C1487" s="8">
        <v>46082</v>
      </c>
      <c r="D1487" s="4" t="s">
        <v>196</v>
      </c>
      <c r="E1487" s="14">
        <f>IF(SUMIFS('Daily NSE Equity Futures'!$I:$I,'Daily NSE Equity Futures'!$A:$A,$A1487)=0,"",SUMIFS('Daily NSE Equity Futures'!$I:$I,'Daily NSE Equity Futures'!$A:$A,$A1487))</f>
        <v>4109.1180000000004</v>
      </c>
      <c r="F1487" s="6">
        <f>IF(SUMIFS('Daily BSE Equity Futures'!$I:$I,'Daily BSE Equity Futures'!$A:$A,$A1487)=0,"",SUMIFS('Daily BSE Equity Futures'!$I:$I,'Daily BSE Equity Futures'!$A:$A,$A1487))</f>
        <v>13.2415</v>
      </c>
      <c r="G1487" s="6">
        <f t="shared" si="276"/>
        <v>4122.3595000000005</v>
      </c>
      <c r="H1487" s="15">
        <f t="shared" si="277"/>
        <v>0.99678788324987178</v>
      </c>
      <c r="I1487" s="15">
        <f t="shared" si="278"/>
        <v>3.2121167501281728E-3</v>
      </c>
      <c r="J1487" s="20">
        <f t="shared" si="279"/>
        <v>0.14456276019497194</v>
      </c>
      <c r="K1487" s="15">
        <f t="shared" si="280"/>
        <v>1.4821452002924254</v>
      </c>
      <c r="L1487" s="15">
        <f t="shared" si="281"/>
        <v>0.14654737717479449</v>
      </c>
      <c r="M1487" s="15">
        <f t="shared" si="285"/>
        <v>0.12204929851951096</v>
      </c>
      <c r="N1487" s="15">
        <f t="shared" si="286"/>
        <v>0.64588823149206998</v>
      </c>
      <c r="O1487" s="15">
        <f t="shared" si="287"/>
        <v>0.12319757087883887</v>
      </c>
      <c r="P1487" s="18">
        <f>IF(SUMIFS('Daily NSE Equity Futures'!$J:$J,'Daily NSE Equity Futures'!$A:$A,$A1487)=0,"",SUMIFS('Daily NSE Equity Futures'!$J:$J,'Daily NSE Equity Futures'!$A:$A,$A1487))</f>
        <v>6295965</v>
      </c>
      <c r="Q1487" s="7">
        <f>IF(SUMIFS('Daily BSE Equity Futures'!$J:$J,'Daily BSE Equity Futures'!$A:$A,$A1487)=0,"",SUMIFS('Daily BSE Equity Futures'!$J:$J,'Daily BSE Equity Futures'!$A:$A,$A1487))</f>
        <v>8757</v>
      </c>
      <c r="R1487" s="7">
        <f t="shared" si="282"/>
        <v>6304722</v>
      </c>
      <c r="S1487" s="19">
        <f t="shared" si="283"/>
        <v>0.99861104105779763</v>
      </c>
      <c r="T1487" s="19">
        <f t="shared" si="284"/>
        <v>1.3889589422023682E-3</v>
      </c>
    </row>
    <row r="1488" spans="1:20" x14ac:dyDescent="0.2">
      <c r="A1488" s="9">
        <v>46108</v>
      </c>
      <c r="B1488" s="4" t="s">
        <v>222</v>
      </c>
      <c r="C1488" s="8">
        <v>46082</v>
      </c>
      <c r="D1488" s="4" t="s">
        <v>196</v>
      </c>
      <c r="E1488" s="14">
        <f>IF(SUMIFS('Daily NSE Equity Futures'!$I:$I,'Daily NSE Equity Futures'!$A:$A,$A1488)=0,"",SUMIFS('Daily NSE Equity Futures'!$I:$I,'Daily NSE Equity Futures'!$A:$A,$A1488))</f>
        <v>4103.6201000000001</v>
      </c>
      <c r="F1488" s="6">
        <f>IF(SUMIFS('Daily BSE Equity Futures'!$I:$I,'Daily BSE Equity Futures'!$A:$A,$A1488)=0,"",SUMIFS('Daily BSE Equity Futures'!$I:$I,'Daily BSE Equity Futures'!$A:$A,$A1488))</f>
        <v>18.7409</v>
      </c>
      <c r="G1488" s="6">
        <f t="shared" si="276"/>
        <v>4122.3609999999999</v>
      </c>
      <c r="H1488" s="15">
        <f t="shared" si="277"/>
        <v>0.99545384307681939</v>
      </c>
      <c r="I1488" s="15">
        <f t="shared" si="278"/>
        <v>4.5461569231806725E-3</v>
      </c>
      <c r="J1488" s="20">
        <f t="shared" si="279"/>
        <v>0.40643485693050163</v>
      </c>
      <c r="K1488" s="15">
        <f t="shared" si="280"/>
        <v>21.118376017939337</v>
      </c>
      <c r="L1488" s="15">
        <f t="shared" si="281"/>
        <v>0.4124477625113685</v>
      </c>
      <c r="M1488" s="15">
        <f t="shared" si="285"/>
        <v>-1.3379756921072516E-3</v>
      </c>
      <c r="N1488" s="15">
        <f t="shared" si="286"/>
        <v>0.41531548540573193</v>
      </c>
      <c r="O1488" s="15">
        <f t="shared" si="287"/>
        <v>3.6386928403686625E-7</v>
      </c>
      <c r="P1488" s="18">
        <f>IF(SUMIFS('Daily NSE Equity Futures'!$J:$J,'Daily NSE Equity Futures'!$A:$A,$A1488)=0,"",SUMIFS('Daily NSE Equity Futures'!$J:$J,'Daily NSE Equity Futures'!$A:$A,$A1488))</f>
        <v>6141317</v>
      </c>
      <c r="Q1488" s="7">
        <f>IF(SUMIFS('Daily BSE Equity Futures'!$J:$J,'Daily BSE Equity Futures'!$A:$A,$A1488)=0,"",SUMIFS('Daily BSE Equity Futures'!$J:$J,'Daily BSE Equity Futures'!$A:$A,$A1488))</f>
        <v>12608</v>
      </c>
      <c r="R1488" s="7">
        <f t="shared" si="282"/>
        <v>6153925</v>
      </c>
      <c r="S1488" s="19">
        <f t="shared" si="283"/>
        <v>0.99795122624991373</v>
      </c>
      <c r="T1488" s="19">
        <f t="shared" si="284"/>
        <v>2.0487737500863271E-3</v>
      </c>
    </row>
    <row r="1489" spans="1:20" x14ac:dyDescent="0.2">
      <c r="A1489" s="9">
        <v>46111</v>
      </c>
      <c r="B1489" s="4" t="s">
        <v>225</v>
      </c>
      <c r="C1489" s="8">
        <v>46082</v>
      </c>
      <c r="D1489" s="4" t="s">
        <v>196</v>
      </c>
      <c r="E1489" s="14">
        <f>IF(SUMIFS('Daily NSE Equity Futures'!$I:$I,'Daily NSE Equity Futures'!$A:$A,$A1489)=0,"",SUMIFS('Daily NSE Equity Futures'!$I:$I,'Daily NSE Equity Futures'!$A:$A,$A1489))</f>
        <v>3201.8652000000002</v>
      </c>
      <c r="F1489" s="6">
        <f>IF(SUMIFS('Daily BSE Equity Futures'!$I:$I,'Daily BSE Equity Futures'!$A:$A,$A1489)=0,"",SUMIFS('Daily BSE Equity Futures'!$I:$I,'Daily BSE Equity Futures'!$A:$A,$A1489))</f>
        <v>24.703099999999999</v>
      </c>
      <c r="G1489" s="6">
        <f t="shared" si="276"/>
        <v>3226.5683000000004</v>
      </c>
      <c r="H1489" s="15">
        <f t="shared" si="277"/>
        <v>0.99234384717658075</v>
      </c>
      <c r="I1489" s="15">
        <f t="shared" si="278"/>
        <v>7.6561528234192332E-3</v>
      </c>
      <c r="J1489" s="20" t="str">
        <f t="shared" si="279"/>
        <v/>
      </c>
      <c r="K1489" s="15" t="str">
        <f t="shared" si="280"/>
        <v/>
      </c>
      <c r="L1489" s="15" t="str">
        <f t="shared" si="281"/>
        <v/>
      </c>
      <c r="M1489" s="15">
        <f t="shared" si="285"/>
        <v>-0.21974619434191778</v>
      </c>
      <c r="N1489" s="15">
        <f t="shared" si="286"/>
        <v>0.31813840317167252</v>
      </c>
      <c r="O1489" s="15">
        <f t="shared" si="287"/>
        <v>-0.21730088655505897</v>
      </c>
      <c r="P1489" s="18">
        <f>IF(SUMIFS('Daily NSE Equity Futures'!$J:$J,'Daily NSE Equity Futures'!$A:$A,$A1489)=0,"",SUMIFS('Daily NSE Equity Futures'!$J:$J,'Daily NSE Equity Futures'!$A:$A,$A1489))</f>
        <v>4641719</v>
      </c>
      <c r="Q1489" s="7">
        <f>IF(SUMIFS('Daily BSE Equity Futures'!$J:$J,'Daily BSE Equity Futures'!$A:$A,$A1489)=0,"",SUMIFS('Daily BSE Equity Futures'!$J:$J,'Daily BSE Equity Futures'!$A:$A,$A1489))</f>
        <v>16891</v>
      </c>
      <c r="R1489" s="7">
        <f t="shared" si="282"/>
        <v>4658610</v>
      </c>
      <c r="S1489" s="19">
        <f t="shared" si="283"/>
        <v>0.99637424038500755</v>
      </c>
      <c r="T1489" s="19">
        <f t="shared" si="284"/>
        <v>3.6257596149924546E-3</v>
      </c>
    </row>
    <row r="1490" spans="1:20" x14ac:dyDescent="0.2">
      <c r="A1490" s="9">
        <v>46113</v>
      </c>
      <c r="B1490" s="4" t="s">
        <v>221</v>
      </c>
      <c r="C1490" s="8">
        <v>46113</v>
      </c>
      <c r="D1490" s="4" t="s">
        <v>197</v>
      </c>
      <c r="E1490" s="14">
        <f>IF(SUMIFS('Daily NSE Equity Futures'!$I:$I,'Daily NSE Equity Futures'!$A:$A,$A1490)=0,"",SUMIFS('Daily NSE Equity Futures'!$I:$I,'Daily NSE Equity Futures'!$A:$A,$A1490))</f>
        <v>1189.5854999999999</v>
      </c>
      <c r="F1490" s="6">
        <f>IF(SUMIFS('Daily BSE Equity Futures'!$I:$I,'Daily BSE Equity Futures'!$A:$A,$A1490)=0,"",SUMIFS('Daily BSE Equity Futures'!$I:$I,'Daily BSE Equity Futures'!$A:$A,$A1490))</f>
        <v>9.9921000000000006</v>
      </c>
      <c r="G1490" s="6">
        <f t="shared" si="276"/>
        <v>1199.5775999999998</v>
      </c>
      <c r="H1490" s="15">
        <f t="shared" si="277"/>
        <v>0.99167031795191918</v>
      </c>
      <c r="I1490" s="15">
        <f t="shared" si="278"/>
        <v>8.3296820480809261E-3</v>
      </c>
      <c r="J1490" s="20">
        <f t="shared" si="279"/>
        <v>-7.5866203434034829E-2</v>
      </c>
      <c r="K1490" s="15">
        <f t="shared" si="280"/>
        <v>0.86183573078929743</v>
      </c>
      <c r="L1490" s="15">
        <f t="shared" si="281"/>
        <v>-7.1972951482836445E-2</v>
      </c>
      <c r="M1490" s="15">
        <f t="shared" si="285"/>
        <v>-0.62847108616565128</v>
      </c>
      <c r="N1490" s="15">
        <f t="shared" si="286"/>
        <v>-0.59551230412377387</v>
      </c>
      <c r="O1490" s="15">
        <f t="shared" si="287"/>
        <v>-0.62821874869346495</v>
      </c>
      <c r="P1490" s="18">
        <f>IF(SUMIFS('Daily NSE Equity Futures'!$J:$J,'Daily NSE Equity Futures'!$A:$A,$A1490)=0,"",SUMIFS('Daily NSE Equity Futures'!$J:$J,'Daily NSE Equity Futures'!$A:$A,$A1490))</f>
        <v>1606476</v>
      </c>
      <c r="Q1490" s="7">
        <f>IF(SUMIFS('Daily BSE Equity Futures'!$J:$J,'Daily BSE Equity Futures'!$A:$A,$A1490)=0,"",SUMIFS('Daily BSE Equity Futures'!$J:$J,'Daily BSE Equity Futures'!$A:$A,$A1490))</f>
        <v>6758</v>
      </c>
      <c r="R1490" s="7">
        <f t="shared" si="282"/>
        <v>1613234</v>
      </c>
      <c r="S1490" s="19">
        <f t="shared" si="283"/>
        <v>0.99581089910081244</v>
      </c>
      <c r="T1490" s="19">
        <f t="shared" si="284"/>
        <v>4.1891008991875945E-3</v>
      </c>
    </row>
    <row r="1491" spans="1:20" x14ac:dyDescent="0.2">
      <c r="A1491" s="9">
        <v>46114</v>
      </c>
      <c r="B1491" s="4" t="s">
        <v>224</v>
      </c>
      <c r="C1491" s="8">
        <v>46113</v>
      </c>
      <c r="D1491" s="4" t="s">
        <v>197</v>
      </c>
      <c r="E1491" s="14">
        <f>IF(SUMIFS('Daily NSE Equity Futures'!$I:$I,'Daily NSE Equity Futures'!$A:$A,$A1491)=0,"",SUMIFS('Daily NSE Equity Futures'!$I:$I,'Daily NSE Equity Futures'!$A:$A,$A1491))</f>
        <v>1102.7143000000001</v>
      </c>
      <c r="F1491" s="6">
        <f>IF(SUMIFS('Daily BSE Equity Futures'!$I:$I,'Daily BSE Equity Futures'!$A:$A,$A1491)=0,"",SUMIFS('Daily BSE Equity Futures'!$I:$I,'Daily BSE Equity Futures'!$A:$A,$A1491))</f>
        <v>15.9465</v>
      </c>
      <c r="G1491" s="6">
        <f t="shared" si="276"/>
        <v>1118.6608000000001</v>
      </c>
      <c r="H1491" s="15">
        <f t="shared" si="277"/>
        <v>0.98574500867465809</v>
      </c>
      <c r="I1491" s="15">
        <f t="shared" si="278"/>
        <v>1.4254991325341871E-2</v>
      </c>
      <c r="J1491" s="20">
        <f t="shared" si="279"/>
        <v>0.17661200529879362</v>
      </c>
      <c r="K1491" s="15">
        <f t="shared" si="280"/>
        <v>11.470868851176977</v>
      </c>
      <c r="L1491" s="15">
        <f t="shared" si="281"/>
        <v>0.19200079448193108</v>
      </c>
      <c r="M1491" s="15">
        <f t="shared" si="285"/>
        <v>-7.3026444925564316E-2</v>
      </c>
      <c r="N1491" s="15">
        <f t="shared" si="286"/>
        <v>0.59591076950791111</v>
      </c>
      <c r="O1491" s="15">
        <f t="shared" si="287"/>
        <v>-6.745441061920443E-2</v>
      </c>
      <c r="P1491" s="18">
        <f>IF(SUMIFS('Daily NSE Equity Futures'!$J:$J,'Daily NSE Equity Futures'!$A:$A,$A1491)=0,"",SUMIFS('Daily NSE Equity Futures'!$J:$J,'Daily NSE Equity Futures'!$A:$A,$A1491))</f>
        <v>1507579</v>
      </c>
      <c r="Q1491" s="7">
        <f>IF(SUMIFS('Daily BSE Equity Futures'!$J:$J,'Daily BSE Equity Futures'!$A:$A,$A1491)=0,"",SUMIFS('Daily BSE Equity Futures'!$J:$J,'Daily BSE Equity Futures'!$A:$A,$A1491))</f>
        <v>10834</v>
      </c>
      <c r="R1491" s="7">
        <f t="shared" si="282"/>
        <v>1518413</v>
      </c>
      <c r="S1491" s="19">
        <f t="shared" si="283"/>
        <v>0.99286491883301842</v>
      </c>
      <c r="T1491" s="19">
        <f t="shared" si="284"/>
        <v>7.1350811669815785E-3</v>
      </c>
    </row>
    <row r="1492" spans="1:20" x14ac:dyDescent="0.2">
      <c r="A1492" s="9">
        <v>46118</v>
      </c>
      <c r="B1492" s="4" t="s">
        <v>225</v>
      </c>
      <c r="C1492" s="8">
        <v>46113</v>
      </c>
      <c r="D1492" s="4" t="s">
        <v>197</v>
      </c>
      <c r="E1492" s="14">
        <f>IF(SUMIFS('Daily NSE Equity Futures'!$I:$I,'Daily NSE Equity Futures'!$A:$A,$A1492)=0,"",SUMIFS('Daily NSE Equity Futures'!$I:$I,'Daily NSE Equity Futures'!$A:$A,$A1492))</f>
        <v>1009.43</v>
      </c>
      <c r="F1492" s="6">
        <f>IF(SUMIFS('Daily BSE Equity Futures'!$I:$I,'Daily BSE Equity Futures'!$A:$A,$A1492)=0,"",SUMIFS('Daily BSE Equity Futures'!$I:$I,'Daily BSE Equity Futures'!$A:$A,$A1492))</f>
        <v>3.5224000000000002</v>
      </c>
      <c r="G1492" s="6">
        <f t="shared" si="276"/>
        <v>1012.9523999999999</v>
      </c>
      <c r="H1492" s="15">
        <f t="shared" si="277"/>
        <v>0.99652264015564807</v>
      </c>
      <c r="I1492" s="15">
        <f t="shared" si="278"/>
        <v>3.4773598443520156E-3</v>
      </c>
      <c r="J1492" s="20" t="str">
        <f t="shared" si="279"/>
        <v/>
      </c>
      <c r="K1492" s="15" t="str">
        <f t="shared" si="280"/>
        <v/>
      </c>
      <c r="L1492" s="15" t="str">
        <f t="shared" si="281"/>
        <v/>
      </c>
      <c r="M1492" s="15">
        <f t="shared" si="285"/>
        <v>-8.459516667191147E-2</v>
      </c>
      <c r="N1492" s="15">
        <f t="shared" si="286"/>
        <v>-0.77911140375631016</v>
      </c>
      <c r="O1492" s="15">
        <f t="shared" si="287"/>
        <v>-9.4495489606858718E-2</v>
      </c>
      <c r="P1492" s="18">
        <f>IF(SUMIFS('Daily NSE Equity Futures'!$J:$J,'Daily NSE Equity Futures'!$A:$A,$A1492)=0,"",SUMIFS('Daily NSE Equity Futures'!$J:$J,'Daily NSE Equity Futures'!$A:$A,$A1492))</f>
        <v>1373751</v>
      </c>
      <c r="Q1492" s="7">
        <f>IF(SUMIFS('Daily BSE Equity Futures'!$J:$J,'Daily BSE Equity Futures'!$A:$A,$A1492)=0,"",SUMIFS('Daily BSE Equity Futures'!$J:$J,'Daily BSE Equity Futures'!$A:$A,$A1492))</f>
        <v>2384</v>
      </c>
      <c r="R1492" s="7">
        <f t="shared" si="282"/>
        <v>1376135</v>
      </c>
      <c r="S1492" s="19">
        <f t="shared" si="283"/>
        <v>0.99826761182587465</v>
      </c>
      <c r="T1492" s="19">
        <f t="shared" si="284"/>
        <v>1.7323881741253583E-3</v>
      </c>
    </row>
    <row r="1493" spans="1:20" x14ac:dyDescent="0.2">
      <c r="A1493" s="9">
        <v>46119</v>
      </c>
      <c r="B1493" s="4" t="s">
        <v>223</v>
      </c>
      <c r="C1493" s="8">
        <v>46113</v>
      </c>
      <c r="D1493" s="4" t="s">
        <v>197</v>
      </c>
      <c r="E1493" s="14">
        <f>IF(SUMIFS('Daily NSE Equity Futures'!$I:$I,'Daily NSE Equity Futures'!$A:$A,$A1493)=0,"",SUMIFS('Daily NSE Equity Futures'!$I:$I,'Daily NSE Equity Futures'!$A:$A,$A1493))</f>
        <v>921.36540000000002</v>
      </c>
      <c r="F1493" s="6">
        <f>IF(SUMIFS('Daily BSE Equity Futures'!$I:$I,'Daily BSE Equity Futures'!$A:$A,$A1493)=0,"",SUMIFS('Daily BSE Equity Futures'!$I:$I,'Daily BSE Equity Futures'!$A:$A,$A1493))</f>
        <v>3.1435</v>
      </c>
      <c r="G1493" s="6">
        <f t="shared" si="276"/>
        <v>924.50890000000004</v>
      </c>
      <c r="H1493" s="15">
        <f t="shared" si="277"/>
        <v>0.99659981639982043</v>
      </c>
      <c r="I1493" s="15">
        <f t="shared" si="278"/>
        <v>3.4001836001795113E-3</v>
      </c>
      <c r="J1493" s="20">
        <f t="shared" si="279"/>
        <v>-0.55085971136363709</v>
      </c>
      <c r="K1493" s="15">
        <f t="shared" si="280"/>
        <v>-0.65219075016596595</v>
      </c>
      <c r="L1493" s="15">
        <f t="shared" si="281"/>
        <v>-0.55130419496690952</v>
      </c>
      <c r="M1493" s="15">
        <f t="shared" si="285"/>
        <v>-8.724190880001581E-2</v>
      </c>
      <c r="N1493" s="15">
        <f t="shared" si="286"/>
        <v>-0.10756870315693856</v>
      </c>
      <c r="O1493" s="15">
        <f t="shared" si="287"/>
        <v>-8.7312592378476883E-2</v>
      </c>
      <c r="P1493" s="18">
        <f>IF(SUMIFS('Daily NSE Equity Futures'!$J:$J,'Daily NSE Equity Futures'!$A:$A,$A1493)=0,"",SUMIFS('Daily NSE Equity Futures'!$J:$J,'Daily NSE Equity Futures'!$A:$A,$A1493))</f>
        <v>1245919</v>
      </c>
      <c r="Q1493" s="7">
        <f>IF(SUMIFS('Daily BSE Equity Futures'!$J:$J,'Daily BSE Equity Futures'!$A:$A,$A1493)=0,"",SUMIFS('Daily BSE Equity Futures'!$J:$J,'Daily BSE Equity Futures'!$A:$A,$A1493))</f>
        <v>2111</v>
      </c>
      <c r="R1493" s="7">
        <f t="shared" si="282"/>
        <v>1248030</v>
      </c>
      <c r="S1493" s="19">
        <f t="shared" si="283"/>
        <v>0.99830853424997801</v>
      </c>
      <c r="T1493" s="19">
        <f t="shared" si="284"/>
        <v>1.6914657500220348E-3</v>
      </c>
    </row>
    <row r="1494" spans="1:20" x14ac:dyDescent="0.2">
      <c r="A1494" s="9">
        <v>46120</v>
      </c>
      <c r="B1494" s="4" t="s">
        <v>221</v>
      </c>
      <c r="C1494" s="8">
        <v>46113</v>
      </c>
      <c r="D1494" s="4" t="s">
        <v>197</v>
      </c>
      <c r="E1494" s="14">
        <f>IF(SUMIFS('Daily NSE Equity Futures'!$I:$I,'Daily NSE Equity Futures'!$A:$A,$A1494)=0,"",SUMIFS('Daily NSE Equity Futures'!$I:$I,'Daily NSE Equity Futures'!$A:$A,$A1494))</f>
        <v>1455.3453999999999</v>
      </c>
      <c r="F1494" s="6">
        <f>IF(SUMIFS('Daily BSE Equity Futures'!$I:$I,'Daily BSE Equity Futures'!$A:$A,$A1494)=0,"",SUMIFS('Daily BSE Equity Futures'!$I:$I,'Daily BSE Equity Futures'!$A:$A,$A1494))</f>
        <v>7.2274000000000003</v>
      </c>
      <c r="G1494" s="6">
        <f t="shared" si="276"/>
        <v>1462.5727999999999</v>
      </c>
      <c r="H1494" s="15">
        <f t="shared" si="277"/>
        <v>0.99505843401436156</v>
      </c>
      <c r="I1494" s="15">
        <f t="shared" si="278"/>
        <v>4.9415659856384591E-3</v>
      </c>
      <c r="J1494" s="20">
        <f t="shared" si="279"/>
        <v>9.9331591287413534E-2</v>
      </c>
      <c r="K1494" s="15">
        <f t="shared" si="280"/>
        <v>-0.15195250164272966</v>
      </c>
      <c r="L1494" s="15">
        <f t="shared" si="281"/>
        <v>9.7724270042190087E-2</v>
      </c>
      <c r="M1494" s="15">
        <f t="shared" si="285"/>
        <v>0.57955291136393861</v>
      </c>
      <c r="N1494" s="15">
        <f t="shared" si="286"/>
        <v>1.2991569906155562</v>
      </c>
      <c r="O1494" s="15">
        <f t="shared" si="287"/>
        <v>0.5819996973528323</v>
      </c>
      <c r="P1494" s="18">
        <f>IF(SUMIFS('Daily NSE Equity Futures'!$J:$J,'Daily NSE Equity Futures'!$A:$A,$A1494)=0,"",SUMIFS('Daily NSE Equity Futures'!$J:$J,'Daily NSE Equity Futures'!$A:$A,$A1494))</f>
        <v>1948294</v>
      </c>
      <c r="Q1494" s="7">
        <f>IF(SUMIFS('Daily BSE Equity Futures'!$J:$J,'Daily BSE Equity Futures'!$A:$A,$A1494)=0,"",SUMIFS('Daily BSE Equity Futures'!$J:$J,'Daily BSE Equity Futures'!$A:$A,$A1494))</f>
        <v>4666</v>
      </c>
      <c r="R1494" s="7">
        <f t="shared" si="282"/>
        <v>1952960</v>
      </c>
      <c r="S1494" s="19">
        <f t="shared" si="283"/>
        <v>0.99761080616090447</v>
      </c>
      <c r="T1494" s="19">
        <f t="shared" si="284"/>
        <v>2.389193839095527E-3</v>
      </c>
    </row>
    <row r="1495" spans="1:20" x14ac:dyDescent="0.2">
      <c r="A1495" s="9">
        <v>46121</v>
      </c>
      <c r="B1495" s="4" t="s">
        <v>224</v>
      </c>
      <c r="C1495" s="8">
        <v>46113</v>
      </c>
      <c r="D1495" s="4" t="s">
        <v>197</v>
      </c>
      <c r="E1495" s="14">
        <f>IF(SUMIFS('Daily NSE Equity Futures'!$I:$I,'Daily NSE Equity Futures'!$A:$A,$A1495)=0,"",SUMIFS('Daily NSE Equity Futures'!$I:$I,'Daily NSE Equity Futures'!$A:$A,$A1495))</f>
        <v>1010.0697</v>
      </c>
      <c r="F1495" s="6">
        <f>IF(SUMIFS('Daily BSE Equity Futures'!$I:$I,'Daily BSE Equity Futures'!$A:$A,$A1495)=0,"",SUMIFS('Daily BSE Equity Futures'!$I:$I,'Daily BSE Equity Futures'!$A:$A,$A1495))</f>
        <v>5.1445999999999996</v>
      </c>
      <c r="G1495" s="6">
        <f t="shared" si="276"/>
        <v>1015.2143</v>
      </c>
      <c r="H1495" s="15">
        <f t="shared" si="277"/>
        <v>0.99493249848825027</v>
      </c>
      <c r="I1495" s="15">
        <f t="shared" si="278"/>
        <v>5.0675015117497852E-3</v>
      </c>
      <c r="J1495" s="20">
        <f t="shared" si="279"/>
        <v>-4.0943293465913411E-2</v>
      </c>
      <c r="K1495" s="15">
        <f t="shared" si="280"/>
        <v>1.8164896529070402</v>
      </c>
      <c r="L1495" s="15">
        <f t="shared" si="281"/>
        <v>-3.7727434637571111E-2</v>
      </c>
      <c r="M1495" s="15">
        <f t="shared" si="285"/>
        <v>-0.30595877789561154</v>
      </c>
      <c r="N1495" s="15">
        <f t="shared" si="286"/>
        <v>-0.2881810886349172</v>
      </c>
      <c r="O1495" s="15">
        <f t="shared" si="287"/>
        <v>-0.30587092827105766</v>
      </c>
      <c r="P1495" s="18">
        <f>IF(SUMIFS('Daily NSE Equity Futures'!$J:$J,'Daily NSE Equity Futures'!$A:$A,$A1495)=0,"",SUMIFS('Daily NSE Equity Futures'!$J:$J,'Daily NSE Equity Futures'!$A:$A,$A1495))</f>
        <v>1371189</v>
      </c>
      <c r="Q1495" s="7">
        <f>IF(SUMIFS('Daily BSE Equity Futures'!$J:$J,'Daily BSE Equity Futures'!$A:$A,$A1495)=0,"",SUMIFS('Daily BSE Equity Futures'!$J:$J,'Daily BSE Equity Futures'!$A:$A,$A1495))</f>
        <v>3329</v>
      </c>
      <c r="R1495" s="7">
        <f t="shared" si="282"/>
        <v>1374518</v>
      </c>
      <c r="S1495" s="19">
        <f t="shared" si="283"/>
        <v>0.99757806009088279</v>
      </c>
      <c r="T1495" s="19">
        <f t="shared" si="284"/>
        <v>2.4219399091172326E-3</v>
      </c>
    </row>
    <row r="1496" spans="1:20" x14ac:dyDescent="0.2">
      <c r="A1496" s="9">
        <v>46122</v>
      </c>
      <c r="B1496" s="4" t="s">
        <v>222</v>
      </c>
      <c r="C1496" s="8">
        <v>46113</v>
      </c>
      <c r="D1496" s="4" t="s">
        <v>197</v>
      </c>
      <c r="E1496" s="14">
        <f>IF(SUMIFS('Daily NSE Equity Futures'!$I:$I,'Daily NSE Equity Futures'!$A:$A,$A1496)=0,"",SUMIFS('Daily NSE Equity Futures'!$I:$I,'Daily NSE Equity Futures'!$A:$A,$A1496))</f>
        <v>1025.6953000000001</v>
      </c>
      <c r="F1496" s="6">
        <f>IF(SUMIFS('Daily BSE Equity Futures'!$I:$I,'Daily BSE Equity Futures'!$A:$A,$A1496)=0,"",SUMIFS('Daily BSE Equity Futures'!$I:$I,'Daily BSE Equity Futures'!$A:$A,$A1496))</f>
        <v>2.6968999999999999</v>
      </c>
      <c r="G1496" s="6">
        <f t="shared" si="276"/>
        <v>1028.3922</v>
      </c>
      <c r="H1496" s="15">
        <f t="shared" si="277"/>
        <v>0.99737755692818375</v>
      </c>
      <c r="I1496" s="15">
        <f t="shared" si="278"/>
        <v>2.6224430718163748E-3</v>
      </c>
      <c r="J1496" s="20" t="str">
        <f t="shared" si="279"/>
        <v/>
      </c>
      <c r="K1496" s="15" t="str">
        <f t="shared" si="280"/>
        <v/>
      </c>
      <c r="L1496" s="15" t="str">
        <f t="shared" si="281"/>
        <v/>
      </c>
      <c r="M1496" s="15">
        <f t="shared" si="285"/>
        <v>1.5469823518119652E-2</v>
      </c>
      <c r="N1496" s="15">
        <f t="shared" si="286"/>
        <v>-0.4757804299654006</v>
      </c>
      <c r="O1496" s="15">
        <f t="shared" si="287"/>
        <v>1.2980412115944473E-2</v>
      </c>
      <c r="P1496" s="18">
        <f>IF(SUMIFS('Daily NSE Equity Futures'!$J:$J,'Daily NSE Equity Futures'!$A:$A,$A1496)=0,"",SUMIFS('Daily NSE Equity Futures'!$J:$J,'Daily NSE Equity Futures'!$A:$A,$A1496))</f>
        <v>1393097</v>
      </c>
      <c r="Q1496" s="7">
        <f>IF(SUMIFS('Daily BSE Equity Futures'!$J:$J,'Daily BSE Equity Futures'!$A:$A,$A1496)=0,"",SUMIFS('Daily BSE Equity Futures'!$J:$J,'Daily BSE Equity Futures'!$A:$A,$A1496))</f>
        <v>1737</v>
      </c>
      <c r="R1496" s="7">
        <f t="shared" si="282"/>
        <v>1394834</v>
      </c>
      <c r="S1496" s="19">
        <f t="shared" si="283"/>
        <v>0.99875469052231303</v>
      </c>
      <c r="T1496" s="19">
        <f t="shared" si="284"/>
        <v>1.2453094776869505E-3</v>
      </c>
    </row>
    <row r="1497" spans="1:20" x14ac:dyDescent="0.2">
      <c r="A1497" s="9">
        <v>46125</v>
      </c>
      <c r="B1497" s="4" t="s">
        <v>225</v>
      </c>
      <c r="C1497" s="8">
        <v>46113</v>
      </c>
      <c r="D1497" s="4" t="s">
        <v>197</v>
      </c>
      <c r="E1497" s="14">
        <f>IF(SUMIFS('Daily NSE Equity Futures'!$I:$I,'Daily NSE Equity Futures'!$A:$A,$A1497)=0,"",SUMIFS('Daily NSE Equity Futures'!$I:$I,'Daily NSE Equity Futures'!$A:$A,$A1497))</f>
        <v>996.3904</v>
      </c>
      <c r="F1497" s="6">
        <f>IF(SUMIFS('Daily BSE Equity Futures'!$I:$I,'Daily BSE Equity Futures'!$A:$A,$A1497)=0,"",SUMIFS('Daily BSE Equity Futures'!$I:$I,'Daily BSE Equity Futures'!$A:$A,$A1497))</f>
        <v>3.7839</v>
      </c>
      <c r="G1497" s="6">
        <f t="shared" si="276"/>
        <v>1000.1743</v>
      </c>
      <c r="H1497" s="15">
        <f t="shared" si="277"/>
        <v>0.99621675941883325</v>
      </c>
      <c r="I1497" s="15">
        <f t="shared" si="278"/>
        <v>3.7832405811667026E-3</v>
      </c>
      <c r="J1497" s="20" t="str">
        <f t="shared" si="279"/>
        <v/>
      </c>
      <c r="K1497" s="15" t="str">
        <f t="shared" si="280"/>
        <v/>
      </c>
      <c r="L1497" s="15" t="str">
        <f t="shared" si="281"/>
        <v/>
      </c>
      <c r="M1497" s="15">
        <f t="shared" si="285"/>
        <v>-2.8570765606511062E-2</v>
      </c>
      <c r="N1497" s="15">
        <f t="shared" si="286"/>
        <v>0.40305535985761431</v>
      </c>
      <c r="O1497" s="15">
        <f t="shared" si="287"/>
        <v>-2.743885066417262E-2</v>
      </c>
      <c r="P1497" s="18">
        <f>IF(SUMIFS('Daily NSE Equity Futures'!$J:$J,'Daily NSE Equity Futures'!$A:$A,$A1497)=0,"",SUMIFS('Daily NSE Equity Futures'!$J:$J,'Daily NSE Equity Futures'!$A:$A,$A1497))</f>
        <v>1326963</v>
      </c>
      <c r="Q1497" s="7">
        <f>IF(SUMIFS('Daily BSE Equity Futures'!$J:$J,'Daily BSE Equity Futures'!$A:$A,$A1497)=0,"",SUMIFS('Daily BSE Equity Futures'!$J:$J,'Daily BSE Equity Futures'!$A:$A,$A1497))</f>
        <v>2466</v>
      </c>
      <c r="R1497" s="7">
        <f t="shared" si="282"/>
        <v>1329429</v>
      </c>
      <c r="S1497" s="19">
        <f t="shared" si="283"/>
        <v>0.9981450682962385</v>
      </c>
      <c r="T1497" s="19">
        <f t="shared" si="284"/>
        <v>1.8549317037615397E-3</v>
      </c>
    </row>
    <row r="1498" spans="1:20" x14ac:dyDescent="0.2">
      <c r="A1498" s="9">
        <v>46127</v>
      </c>
      <c r="B1498" s="4" t="s">
        <v>221</v>
      </c>
      <c r="C1498" s="8">
        <v>46113</v>
      </c>
      <c r="D1498" s="4" t="s">
        <v>197</v>
      </c>
      <c r="E1498" s="14">
        <f>IF(SUMIFS('Daily NSE Equity Futures'!$I:$I,'Daily NSE Equity Futures'!$A:$A,$A1498)=0,"",SUMIFS('Daily NSE Equity Futures'!$I:$I,'Daily NSE Equity Futures'!$A:$A,$A1498))</f>
        <v>1092.1015</v>
      </c>
      <c r="F1498" s="6">
        <f>IF(SUMIFS('Daily BSE Equity Futures'!$I:$I,'Daily BSE Equity Futures'!$A:$A,$A1498)=0,"",SUMIFS('Daily BSE Equity Futures'!$I:$I,'Daily BSE Equity Futures'!$A:$A,$A1498))</f>
        <v>3.7549999999999999</v>
      </c>
      <c r="G1498" s="6">
        <f t="shared" si="276"/>
        <v>1095.8565000000001</v>
      </c>
      <c r="H1498" s="15">
        <f t="shared" si="277"/>
        <v>0.99657345646989359</v>
      </c>
      <c r="I1498" s="15">
        <f t="shared" si="278"/>
        <v>3.4265435301063592E-3</v>
      </c>
      <c r="J1498" s="20">
        <f t="shared" si="279"/>
        <v>-0.141256742021723</v>
      </c>
      <c r="K1498" s="15">
        <f t="shared" si="280"/>
        <v>-6.9027531670677877E-3</v>
      </c>
      <c r="L1498" s="15">
        <f t="shared" si="281"/>
        <v>-0.14085847004174734</v>
      </c>
      <c r="M1498" s="15">
        <f t="shared" si="285"/>
        <v>9.6057830344411066E-2</v>
      </c>
      <c r="N1498" s="15">
        <f t="shared" si="286"/>
        <v>-7.6376225587357904E-3</v>
      </c>
      <c r="O1498" s="15">
        <f t="shared" si="287"/>
        <v>9.5665525498905613E-2</v>
      </c>
      <c r="P1498" s="18">
        <f>IF(SUMIFS('Daily NSE Equity Futures'!$J:$J,'Daily NSE Equity Futures'!$A:$A,$A1498)=0,"",SUMIFS('Daily NSE Equity Futures'!$J:$J,'Daily NSE Equity Futures'!$A:$A,$A1498))</f>
        <v>1489699</v>
      </c>
      <c r="Q1498" s="7">
        <f>IF(SUMIFS('Daily BSE Equity Futures'!$J:$J,'Daily BSE Equity Futures'!$A:$A,$A1498)=0,"",SUMIFS('Daily BSE Equity Futures'!$J:$J,'Daily BSE Equity Futures'!$A:$A,$A1498))</f>
        <v>2397</v>
      </c>
      <c r="R1498" s="7">
        <f t="shared" si="282"/>
        <v>1492096</v>
      </c>
      <c r="S1498" s="19">
        <f t="shared" si="283"/>
        <v>0.99839353500042893</v>
      </c>
      <c r="T1498" s="19">
        <f t="shared" si="284"/>
        <v>1.6064649995710732E-3</v>
      </c>
    </row>
    <row r="1499" spans="1:20" x14ac:dyDescent="0.2">
      <c r="A1499" s="9">
        <v>46128</v>
      </c>
      <c r="B1499" s="4" t="s">
        <v>224</v>
      </c>
      <c r="C1499" s="8">
        <v>46113</v>
      </c>
      <c r="D1499" s="4" t="s">
        <v>197</v>
      </c>
      <c r="E1499" s="14">
        <f>IF(SUMIFS('Daily NSE Equity Futures'!$I:$I,'Daily NSE Equity Futures'!$A:$A,$A1499)=0,"",SUMIFS('Daily NSE Equity Futures'!$I:$I,'Daily NSE Equity Futures'!$A:$A,$A1499))</f>
        <v>1142.3805</v>
      </c>
      <c r="F1499" s="6">
        <f>IF(SUMIFS('Daily BSE Equity Futures'!$I:$I,'Daily BSE Equity Futures'!$A:$A,$A1499)=0,"",SUMIFS('Daily BSE Equity Futures'!$I:$I,'Daily BSE Equity Futures'!$A:$A,$A1499))</f>
        <v>6.593</v>
      </c>
      <c r="G1499" s="6">
        <f t="shared" si="276"/>
        <v>1148.9735000000001</v>
      </c>
      <c r="H1499" s="15">
        <f t="shared" si="277"/>
        <v>0.99426183458539286</v>
      </c>
      <c r="I1499" s="15">
        <f t="shared" si="278"/>
        <v>5.7381654146070379E-3</v>
      </c>
      <c r="J1499" s="20">
        <f t="shared" si="279"/>
        <v>-0.11266076210412657</v>
      </c>
      <c r="K1499" s="15">
        <f t="shared" si="280"/>
        <v>3.2984743773634113</v>
      </c>
      <c r="L1499" s="15">
        <f t="shared" si="281"/>
        <v>-0.10860166477327415</v>
      </c>
      <c r="M1499" s="15">
        <f t="shared" si="285"/>
        <v>4.6038761049224775E-2</v>
      </c>
      <c r="N1499" s="15">
        <f t="shared" si="286"/>
        <v>0.75579227696404794</v>
      </c>
      <c r="O1499" s="15">
        <f t="shared" si="287"/>
        <v>4.8470762367152975E-2</v>
      </c>
      <c r="P1499" s="18">
        <f>IF(SUMIFS('Daily NSE Equity Futures'!$J:$J,'Daily NSE Equity Futures'!$A:$A,$A1499)=0,"",SUMIFS('Daily NSE Equity Futures'!$J:$J,'Daily NSE Equity Futures'!$A:$A,$A1499))</f>
        <v>1598596</v>
      </c>
      <c r="Q1499" s="7">
        <f>IF(SUMIFS('Daily BSE Equity Futures'!$J:$J,'Daily BSE Equity Futures'!$A:$A,$A1499)=0,"",SUMIFS('Daily BSE Equity Futures'!$J:$J,'Daily BSE Equity Futures'!$A:$A,$A1499))</f>
        <v>4210</v>
      </c>
      <c r="R1499" s="7">
        <f t="shared" si="282"/>
        <v>1602806</v>
      </c>
      <c r="S1499" s="19">
        <f t="shared" si="283"/>
        <v>0.99737335647608005</v>
      </c>
      <c r="T1499" s="19">
        <f t="shared" si="284"/>
        <v>2.6266435239199254E-3</v>
      </c>
    </row>
    <row r="1500" spans="1:20" x14ac:dyDescent="0.2">
      <c r="A1500" s="9">
        <v>46129</v>
      </c>
      <c r="B1500" s="4" t="s">
        <v>222</v>
      </c>
      <c r="C1500" s="8">
        <v>46113</v>
      </c>
      <c r="D1500" s="4" t="s">
        <v>197</v>
      </c>
      <c r="E1500" s="14">
        <f>IF(SUMIFS('Daily NSE Equity Futures'!$I:$I,'Daily NSE Equity Futures'!$A:$A,$A1500)=0,"",SUMIFS('Daily NSE Equity Futures'!$I:$I,'Daily NSE Equity Futures'!$A:$A,$A1500))</f>
        <v>1117.7639999999999</v>
      </c>
      <c r="F1500" s="6">
        <f>IF(SUMIFS('Daily BSE Equity Futures'!$I:$I,'Daily BSE Equity Futures'!$A:$A,$A1500)=0,"",SUMIFS('Daily BSE Equity Futures'!$I:$I,'Daily BSE Equity Futures'!$A:$A,$A1500))</f>
        <v>2.2728000000000002</v>
      </c>
      <c r="G1500" s="6">
        <f t="shared" si="276"/>
        <v>1120.0367999999999</v>
      </c>
      <c r="H1500" s="15">
        <f t="shared" si="277"/>
        <v>0.9979707809600542</v>
      </c>
      <c r="I1500" s="15">
        <f t="shared" si="278"/>
        <v>2.0292190399458306E-3</v>
      </c>
      <c r="J1500" s="20">
        <f t="shared" si="279"/>
        <v>-0.42962686353151036</v>
      </c>
      <c r="K1500" s="15">
        <f t="shared" si="280"/>
        <v>-0.27100105847259193</v>
      </c>
      <c r="L1500" s="15">
        <f t="shared" si="281"/>
        <v>-0.42937490635305475</v>
      </c>
      <c r="M1500" s="15">
        <f t="shared" si="285"/>
        <v>-2.1548424539809763E-2</v>
      </c>
      <c r="N1500" s="15">
        <f t="shared" si="286"/>
        <v>-0.65527074169573796</v>
      </c>
      <c r="O1500" s="15">
        <f t="shared" si="287"/>
        <v>-2.5184828022578598E-2</v>
      </c>
      <c r="P1500" s="18">
        <f>IF(SUMIFS('Daily NSE Equity Futures'!$J:$J,'Daily NSE Equity Futures'!$A:$A,$A1500)=0,"",SUMIFS('Daily NSE Equity Futures'!$J:$J,'Daily NSE Equity Futures'!$A:$A,$A1500))</f>
        <v>1567881</v>
      </c>
      <c r="Q1500" s="7">
        <f>IF(SUMIFS('Daily BSE Equity Futures'!$J:$J,'Daily BSE Equity Futures'!$A:$A,$A1500)=0,"",SUMIFS('Daily BSE Equity Futures'!$J:$J,'Daily BSE Equity Futures'!$A:$A,$A1500))</f>
        <v>1454</v>
      </c>
      <c r="R1500" s="7">
        <f t="shared" si="282"/>
        <v>1569335</v>
      </c>
      <c r="S1500" s="19">
        <f t="shared" si="283"/>
        <v>0.99907349291260306</v>
      </c>
      <c r="T1500" s="19">
        <f t="shared" si="284"/>
        <v>9.2650708739689107E-4</v>
      </c>
    </row>
    <row r="1501" spans="1:20" x14ac:dyDescent="0.2">
      <c r="A1501" s="9">
        <v>46132</v>
      </c>
      <c r="B1501" s="4" t="s">
        <v>225</v>
      </c>
      <c r="C1501" s="8">
        <v>46113</v>
      </c>
      <c r="D1501" s="4" t="s">
        <v>197</v>
      </c>
      <c r="E1501" s="14">
        <f>IF(SUMIFS('Daily NSE Equity Futures'!$I:$I,'Daily NSE Equity Futures'!$A:$A,$A1501)=0,"",SUMIFS('Daily NSE Equity Futures'!$I:$I,'Daily NSE Equity Futures'!$A:$A,$A1501))</f>
        <v>1136.2764999999999</v>
      </c>
      <c r="F1501" s="6">
        <f>IF(SUMIFS('Daily BSE Equity Futures'!$I:$I,'Daily BSE Equity Futures'!$A:$A,$A1501)=0,"",SUMIFS('Daily BSE Equity Futures'!$I:$I,'Daily BSE Equity Futures'!$A:$A,$A1501))</f>
        <v>2.4984999999999999</v>
      </c>
      <c r="G1501" s="6">
        <f t="shared" si="276"/>
        <v>1138.7749999999999</v>
      </c>
      <c r="H1501" s="15">
        <f t="shared" si="277"/>
        <v>0.99780597571952323</v>
      </c>
      <c r="I1501" s="15">
        <f t="shared" si="278"/>
        <v>2.1940242804768285E-3</v>
      </c>
      <c r="J1501" s="20" t="str">
        <f t="shared" si="279"/>
        <v/>
      </c>
      <c r="K1501" s="15" t="str">
        <f t="shared" si="280"/>
        <v/>
      </c>
      <c r="L1501" s="15" t="str">
        <f t="shared" si="281"/>
        <v/>
      </c>
      <c r="M1501" s="15">
        <f t="shared" si="285"/>
        <v>1.6562082872592088E-2</v>
      </c>
      <c r="N1501" s="15">
        <f t="shared" si="286"/>
        <v>9.930482224568804E-2</v>
      </c>
      <c r="O1501" s="15">
        <f t="shared" si="287"/>
        <v>1.672998601474518E-2</v>
      </c>
      <c r="P1501" s="18">
        <f>IF(SUMIFS('Daily NSE Equity Futures'!$J:$J,'Daily NSE Equity Futures'!$A:$A,$A1501)=0,"",SUMIFS('Daily NSE Equity Futures'!$J:$J,'Daily NSE Equity Futures'!$A:$A,$A1501))</f>
        <v>1544393</v>
      </c>
      <c r="Q1501" s="7">
        <f>IF(SUMIFS('Daily BSE Equity Futures'!$J:$J,'Daily BSE Equity Futures'!$A:$A,$A1501)=0,"",SUMIFS('Daily BSE Equity Futures'!$J:$J,'Daily BSE Equity Futures'!$A:$A,$A1501))</f>
        <v>1583</v>
      </c>
      <c r="R1501" s="7">
        <f t="shared" si="282"/>
        <v>1545976</v>
      </c>
      <c r="S1501" s="19">
        <f t="shared" si="283"/>
        <v>0.99897605137466561</v>
      </c>
      <c r="T1501" s="19">
        <f t="shared" si="284"/>
        <v>1.0239486253344166E-3</v>
      </c>
    </row>
    <row r="1502" spans="1:20" x14ac:dyDescent="0.2">
      <c r="A1502" s="9">
        <v>46133</v>
      </c>
      <c r="B1502" s="4" t="s">
        <v>223</v>
      </c>
      <c r="C1502" s="8">
        <v>46113</v>
      </c>
      <c r="D1502" s="4" t="s">
        <v>197</v>
      </c>
      <c r="E1502" s="14">
        <f>IF(SUMIFS('Daily NSE Equity Futures'!$I:$I,'Daily NSE Equity Futures'!$A:$A,$A1502)=0,"",SUMIFS('Daily NSE Equity Futures'!$I:$I,'Daily NSE Equity Futures'!$A:$A,$A1502))</f>
        <v>1194.873</v>
      </c>
      <c r="F1502" s="6">
        <f>IF(SUMIFS('Daily BSE Equity Futures'!$I:$I,'Daily BSE Equity Futures'!$A:$A,$A1502)=0,"",SUMIFS('Daily BSE Equity Futures'!$I:$I,'Daily BSE Equity Futures'!$A:$A,$A1502))</f>
        <v>2.8929</v>
      </c>
      <c r="G1502" s="6">
        <f t="shared" si="276"/>
        <v>1197.7659000000001</v>
      </c>
      <c r="H1502" s="15">
        <f t="shared" si="277"/>
        <v>0.99758475341466968</v>
      </c>
      <c r="I1502" s="15">
        <f t="shared" si="278"/>
        <v>2.4152465853302385E-3</v>
      </c>
      <c r="J1502" s="20">
        <f t="shared" si="279"/>
        <v>-0.67585206051820623</v>
      </c>
      <c r="K1502" s="15">
        <f t="shared" si="280"/>
        <v>-1.5685607349438579E-2</v>
      </c>
      <c r="L1502" s="15">
        <f t="shared" si="281"/>
        <v>-0.67532612992935603</v>
      </c>
      <c r="M1502" s="15">
        <f t="shared" si="285"/>
        <v>5.1568874301281431E-2</v>
      </c>
      <c r="N1502" s="15">
        <f t="shared" si="286"/>
        <v>0.15785471282769659</v>
      </c>
      <c r="O1502" s="15">
        <f t="shared" si="287"/>
        <v>5.1802068011679525E-2</v>
      </c>
      <c r="P1502" s="18">
        <f>IF(SUMIFS('Daily NSE Equity Futures'!$J:$J,'Daily NSE Equity Futures'!$A:$A,$A1502)=0,"",SUMIFS('Daily NSE Equity Futures'!$J:$J,'Daily NSE Equity Futures'!$A:$A,$A1502))</f>
        <v>1652836</v>
      </c>
      <c r="Q1502" s="7">
        <f>IF(SUMIFS('Daily BSE Equity Futures'!$J:$J,'Daily BSE Equity Futures'!$A:$A,$A1502)=0,"",SUMIFS('Daily BSE Equity Futures'!$J:$J,'Daily BSE Equity Futures'!$A:$A,$A1502))</f>
        <v>1825</v>
      </c>
      <c r="R1502" s="7">
        <f t="shared" si="282"/>
        <v>1654661</v>
      </c>
      <c r="S1502" s="19">
        <f t="shared" si="283"/>
        <v>0.99889705504632065</v>
      </c>
      <c r="T1502" s="19">
        <f t="shared" si="284"/>
        <v>1.1029449536793337E-3</v>
      </c>
    </row>
    <row r="1503" spans="1:20" x14ac:dyDescent="0.2">
      <c r="A1503" s="9">
        <v>46134</v>
      </c>
      <c r="B1503" s="4" t="s">
        <v>221</v>
      </c>
      <c r="C1503" s="8">
        <v>46113</v>
      </c>
      <c r="D1503" s="4" t="s">
        <v>197</v>
      </c>
      <c r="E1503" s="14">
        <f>IF(SUMIFS('Daily NSE Equity Futures'!$I:$I,'Daily NSE Equity Futures'!$A:$A,$A1503)=0,"",SUMIFS('Daily NSE Equity Futures'!$I:$I,'Daily NSE Equity Futures'!$A:$A,$A1503))</f>
        <v>1562.0923</v>
      </c>
      <c r="F1503" s="6">
        <f>IF(SUMIFS('Daily BSE Equity Futures'!$I:$I,'Daily BSE Equity Futures'!$A:$A,$A1503)=0,"",SUMIFS('Daily BSE Equity Futures'!$I:$I,'Daily BSE Equity Futures'!$A:$A,$A1503))</f>
        <v>3.5133999999999999</v>
      </c>
      <c r="G1503" s="6">
        <f t="shared" si="276"/>
        <v>1565.6057000000001</v>
      </c>
      <c r="H1503" s="15">
        <f t="shared" si="277"/>
        <v>0.99775588451166208</v>
      </c>
      <c r="I1503" s="15">
        <f t="shared" si="278"/>
        <v>2.244115488337836E-3</v>
      </c>
      <c r="J1503" s="20">
        <f t="shared" si="279"/>
        <v>-0.56919718488925686</v>
      </c>
      <c r="K1503" s="15">
        <f t="shared" si="280"/>
        <v>9.9862258953168137E-2</v>
      </c>
      <c r="L1503" s="15">
        <f t="shared" si="281"/>
        <v>-0.5686082823711931</v>
      </c>
      <c r="M1503" s="15">
        <f t="shared" si="285"/>
        <v>0.30732914711437953</v>
      </c>
      <c r="N1503" s="15">
        <f t="shared" si="286"/>
        <v>0.21449064952124153</v>
      </c>
      <c r="O1503" s="15">
        <f t="shared" si="287"/>
        <v>0.30710491925008054</v>
      </c>
      <c r="P1503" s="18">
        <f>IF(SUMIFS('Daily NSE Equity Futures'!$J:$J,'Daily NSE Equity Futures'!$A:$A,$A1503)=0,"",SUMIFS('Daily NSE Equity Futures'!$J:$J,'Daily NSE Equity Futures'!$A:$A,$A1503))</f>
        <v>2250198</v>
      </c>
      <c r="Q1503" s="7">
        <f>IF(SUMIFS('Daily BSE Equity Futures'!$J:$J,'Daily BSE Equity Futures'!$A:$A,$A1503)=0,"",SUMIFS('Daily BSE Equity Futures'!$J:$J,'Daily BSE Equity Futures'!$A:$A,$A1503))</f>
        <v>2230</v>
      </c>
      <c r="R1503" s="7">
        <f t="shared" si="282"/>
        <v>2252428</v>
      </c>
      <c r="S1503" s="19">
        <f t="shared" si="283"/>
        <v>0.99900995725501551</v>
      </c>
      <c r="T1503" s="19">
        <f t="shared" si="284"/>
        <v>9.900427449845233E-4</v>
      </c>
    </row>
    <row r="1504" spans="1:20" x14ac:dyDescent="0.2">
      <c r="A1504" s="9">
        <v>46135</v>
      </c>
      <c r="B1504" s="4" t="s">
        <v>224</v>
      </c>
      <c r="C1504" s="8">
        <v>46113</v>
      </c>
      <c r="D1504" s="4" t="s">
        <v>197</v>
      </c>
      <c r="E1504" s="14">
        <f>IF(SUMIFS('Daily NSE Equity Futures'!$I:$I,'Daily NSE Equity Futures'!$A:$A,$A1504)=0,"",SUMIFS('Daily NSE Equity Futures'!$I:$I,'Daily NSE Equity Futures'!$A:$A,$A1504))</f>
        <v>3447.9196000000002</v>
      </c>
      <c r="F1504" s="6">
        <f>IF(SUMIFS('Daily BSE Equity Futures'!$I:$I,'Daily BSE Equity Futures'!$A:$A,$A1504)=0,"",SUMIFS('Daily BSE Equity Futures'!$I:$I,'Daily BSE Equity Futures'!$A:$A,$A1504))</f>
        <v>7.0747999999999998</v>
      </c>
      <c r="G1504" s="6">
        <f t="shared" si="276"/>
        <v>3454.9944</v>
      </c>
      <c r="H1504" s="15">
        <f t="shared" si="277"/>
        <v>0.99795229769402816</v>
      </c>
      <c r="I1504" s="15">
        <f t="shared" si="278"/>
        <v>2.0477023059718995E-3</v>
      </c>
      <c r="J1504" s="20">
        <f t="shared" si="279"/>
        <v>-4.4972353271523713E-2</v>
      </c>
      <c r="K1504" s="15">
        <f t="shared" si="280"/>
        <v>2.6275444803363586</v>
      </c>
      <c r="L1504" s="15">
        <f t="shared" si="281"/>
        <v>-4.3529420362939941E-2</v>
      </c>
      <c r="M1504" s="15">
        <f t="shared" si="285"/>
        <v>1.2072444758866041</v>
      </c>
      <c r="N1504" s="15">
        <f t="shared" si="286"/>
        <v>1.0136619798485795</v>
      </c>
      <c r="O1504" s="15">
        <f t="shared" si="287"/>
        <v>1.2068100544089742</v>
      </c>
      <c r="P1504" s="18">
        <f>IF(SUMIFS('Daily NSE Equity Futures'!$J:$J,'Daily NSE Equity Futures'!$A:$A,$A1504)=0,"",SUMIFS('Daily NSE Equity Futures'!$J:$J,'Daily NSE Equity Futures'!$A:$A,$A1504))</f>
        <v>5098293</v>
      </c>
      <c r="Q1504" s="7">
        <f>IF(SUMIFS('Daily BSE Equity Futures'!$J:$J,'Daily BSE Equity Futures'!$A:$A,$A1504)=0,"",SUMIFS('Daily BSE Equity Futures'!$J:$J,'Daily BSE Equity Futures'!$A:$A,$A1504))</f>
        <v>4539</v>
      </c>
      <c r="R1504" s="7">
        <f t="shared" si="282"/>
        <v>5102832</v>
      </c>
      <c r="S1504" s="19">
        <f t="shared" si="283"/>
        <v>0.99911049393748408</v>
      </c>
      <c r="T1504" s="19">
        <f t="shared" si="284"/>
        <v>8.8950606251587353E-4</v>
      </c>
    </row>
    <row r="1505" spans="1:20" x14ac:dyDescent="0.2">
      <c r="A1505" s="9">
        <v>46136</v>
      </c>
      <c r="B1505" s="4" t="s">
        <v>222</v>
      </c>
      <c r="C1505" s="8">
        <v>46113</v>
      </c>
      <c r="D1505" s="4" t="s">
        <v>197</v>
      </c>
      <c r="E1505" s="14">
        <f>IF(SUMIFS('Daily NSE Equity Futures'!$I:$I,'Daily NSE Equity Futures'!$A:$A,$A1505)=0,"",SUMIFS('Daily NSE Equity Futures'!$I:$I,'Daily NSE Equity Futures'!$A:$A,$A1505))</f>
        <v>3700.4922999999999</v>
      </c>
      <c r="F1505" s="6">
        <f>IF(SUMIFS('Daily BSE Equity Futures'!$I:$I,'Daily BSE Equity Futures'!$A:$A,$A1505)=0,"",SUMIFS('Daily BSE Equity Futures'!$I:$I,'Daily BSE Equity Futures'!$A:$A,$A1505))</f>
        <v>3.2279</v>
      </c>
      <c r="G1505" s="6">
        <f t="shared" si="276"/>
        <v>3703.7201999999997</v>
      </c>
      <c r="H1505" s="15">
        <f t="shared" si="277"/>
        <v>0.99912847088179069</v>
      </c>
      <c r="I1505" s="15">
        <f t="shared" si="278"/>
        <v>8.7152911820930759E-4</v>
      </c>
      <c r="J1505" s="20">
        <f t="shared" si="279"/>
        <v>0.25160820404587714</v>
      </c>
      <c r="K1505" s="15">
        <f t="shared" si="280"/>
        <v>1.8137203626220364</v>
      </c>
      <c r="L1505" s="15">
        <f t="shared" si="281"/>
        <v>0.25221409123163463</v>
      </c>
      <c r="M1505" s="15">
        <f t="shared" si="285"/>
        <v>7.3253651274234999E-2</v>
      </c>
      <c r="N1505" s="15">
        <f t="shared" si="286"/>
        <v>-0.54374681969808325</v>
      </c>
      <c r="O1505" s="15">
        <f t="shared" si="287"/>
        <v>7.1990217987039307E-2</v>
      </c>
      <c r="P1505" s="18">
        <f>IF(SUMIFS('Daily NSE Equity Futures'!$J:$J,'Daily NSE Equity Futures'!$A:$A,$A1505)=0,"",SUMIFS('Daily NSE Equity Futures'!$J:$J,'Daily NSE Equity Futures'!$A:$A,$A1505))</f>
        <v>5497166</v>
      </c>
      <c r="Q1505" s="7">
        <f>IF(SUMIFS('Daily BSE Equity Futures'!$J:$J,'Daily BSE Equity Futures'!$A:$A,$A1505)=0,"",SUMIFS('Daily BSE Equity Futures'!$J:$J,'Daily BSE Equity Futures'!$A:$A,$A1505))</f>
        <v>2096</v>
      </c>
      <c r="R1505" s="7">
        <f t="shared" si="282"/>
        <v>5499262</v>
      </c>
      <c r="S1505" s="19">
        <f t="shared" si="283"/>
        <v>0.99961885794857563</v>
      </c>
      <c r="T1505" s="19">
        <f t="shared" si="284"/>
        <v>3.8114205142435474E-4</v>
      </c>
    </row>
    <row r="1506" spans="1:20" x14ac:dyDescent="0.2">
      <c r="A1506" s="9">
        <v>46139</v>
      </c>
      <c r="B1506" s="4" t="s">
        <v>225</v>
      </c>
      <c r="C1506" s="8">
        <v>46113</v>
      </c>
      <c r="D1506" s="4" t="s">
        <v>197</v>
      </c>
      <c r="E1506" s="14">
        <f>IF(SUMIFS('Daily NSE Equity Futures'!$I:$I,'Daily NSE Equity Futures'!$A:$A,$A1506)=0,"",SUMIFS('Daily NSE Equity Futures'!$I:$I,'Daily NSE Equity Futures'!$A:$A,$A1506))</f>
        <v>3573.9989</v>
      </c>
      <c r="F1506" s="6">
        <f>IF(SUMIFS('Daily BSE Equity Futures'!$I:$I,'Daily BSE Equity Futures'!$A:$A,$A1506)=0,"",SUMIFS('Daily BSE Equity Futures'!$I:$I,'Daily BSE Equity Futures'!$A:$A,$A1506))</f>
        <v>2.6751</v>
      </c>
      <c r="G1506" s="6">
        <f t="shared" si="276"/>
        <v>3576.674</v>
      </c>
      <c r="H1506" s="15">
        <f t="shared" si="277"/>
        <v>0.99925207049901665</v>
      </c>
      <c r="I1506" s="15">
        <f t="shared" si="278"/>
        <v>7.4792950098331575E-4</v>
      </c>
      <c r="J1506" s="20" t="str">
        <f t="shared" si="279"/>
        <v/>
      </c>
      <c r="K1506" s="15" t="str">
        <f t="shared" si="280"/>
        <v/>
      </c>
      <c r="L1506" s="15" t="str">
        <f t="shared" si="281"/>
        <v/>
      </c>
      <c r="M1506" s="15">
        <f t="shared" si="285"/>
        <v>-3.4182857237670783E-2</v>
      </c>
      <c r="N1506" s="15">
        <f t="shared" si="286"/>
        <v>-0.17125685430155824</v>
      </c>
      <c r="O1506" s="15">
        <f t="shared" si="287"/>
        <v>-3.430232121746124E-2</v>
      </c>
      <c r="P1506" s="18">
        <f>IF(SUMIFS('Daily NSE Equity Futures'!$J:$J,'Daily NSE Equity Futures'!$A:$A,$A1506)=0,"",SUMIFS('Daily NSE Equity Futures'!$J:$J,'Daily NSE Equity Futures'!$A:$A,$A1506))</f>
        <v>5160579</v>
      </c>
      <c r="Q1506" s="7">
        <f>IF(SUMIFS('Daily BSE Equity Futures'!$J:$J,'Daily BSE Equity Futures'!$A:$A,$A1506)=0,"",SUMIFS('Daily BSE Equity Futures'!$J:$J,'Daily BSE Equity Futures'!$A:$A,$A1506))</f>
        <v>1724</v>
      </c>
      <c r="R1506" s="7">
        <f t="shared" si="282"/>
        <v>5162303</v>
      </c>
      <c r="S1506" s="19">
        <f t="shared" si="283"/>
        <v>0.99966604052493624</v>
      </c>
      <c r="T1506" s="19">
        <f t="shared" si="284"/>
        <v>3.3395947506374577E-4</v>
      </c>
    </row>
    <row r="1507" spans="1:20" x14ac:dyDescent="0.2">
      <c r="A1507" s="9">
        <v>46140</v>
      </c>
      <c r="B1507" s="4" t="s">
        <v>223</v>
      </c>
      <c r="C1507" s="8">
        <v>46113</v>
      </c>
      <c r="D1507" s="4" t="s">
        <v>197</v>
      </c>
      <c r="E1507" s="14">
        <f>IF(SUMIFS('Daily NSE Equity Futures'!$I:$I,'Daily NSE Equity Futures'!$A:$A,$A1507)=0,"",SUMIFS('Daily NSE Equity Futures'!$I:$I,'Daily NSE Equity Futures'!$A:$A,$A1507))</f>
        <v>2606.1188999999999</v>
      </c>
      <c r="F1507" s="6">
        <f>IF(SUMIFS('Daily BSE Equity Futures'!$I:$I,'Daily BSE Equity Futures'!$A:$A,$A1507)=0,"",SUMIFS('Daily BSE Equity Futures'!$I:$I,'Daily BSE Equity Futures'!$A:$A,$A1507))</f>
        <v>2.4645999999999999</v>
      </c>
      <c r="G1507" s="6">
        <f t="shared" si="276"/>
        <v>2608.5834999999997</v>
      </c>
      <c r="H1507" s="15">
        <f t="shared" si="277"/>
        <v>0.99905519604797022</v>
      </c>
      <c r="I1507" s="15">
        <f t="shared" si="278"/>
        <v>9.4480395202990437E-4</v>
      </c>
      <c r="J1507" s="20">
        <f t="shared" si="279"/>
        <v>1.178886168424564</v>
      </c>
      <c r="K1507" s="15">
        <f t="shared" si="280"/>
        <v>-0.22367467792232343</v>
      </c>
      <c r="L1507" s="15">
        <f t="shared" si="281"/>
        <v>1.1751732661626413</v>
      </c>
      <c r="M1507" s="15">
        <f t="shared" si="285"/>
        <v>-0.27081149913056779</v>
      </c>
      <c r="N1507" s="15">
        <f t="shared" si="286"/>
        <v>-7.8688647153377533E-2</v>
      </c>
      <c r="O1507" s="15">
        <f t="shared" si="287"/>
        <v>-0.270667804781761</v>
      </c>
      <c r="P1507" s="18">
        <f>IF(SUMIFS('Daily NSE Equity Futures'!$J:$J,'Daily NSE Equity Futures'!$A:$A,$A1507)=0,"",SUMIFS('Daily NSE Equity Futures'!$J:$J,'Daily NSE Equity Futures'!$A:$A,$A1507))</f>
        <v>3615818</v>
      </c>
      <c r="Q1507" s="7">
        <f>IF(SUMIFS('Daily BSE Equity Futures'!$J:$J,'Daily BSE Equity Futures'!$A:$A,$A1507)=0,"",SUMIFS('Daily BSE Equity Futures'!$J:$J,'Daily BSE Equity Futures'!$A:$A,$A1507))</f>
        <v>1590</v>
      </c>
      <c r="R1507" s="7">
        <f t="shared" si="282"/>
        <v>3617408</v>
      </c>
      <c r="S1507" s="19">
        <f t="shared" si="283"/>
        <v>0.99956045875942112</v>
      </c>
      <c r="T1507" s="19">
        <f t="shared" si="284"/>
        <v>4.3954124057888965E-4</v>
      </c>
    </row>
    <row r="1508" spans="1:20" x14ac:dyDescent="0.2">
      <c r="A1508" s="9">
        <v>46141</v>
      </c>
      <c r="B1508" s="4" t="s">
        <v>221</v>
      </c>
      <c r="C1508" s="8">
        <v>46113</v>
      </c>
      <c r="D1508" s="4" t="s">
        <v>197</v>
      </c>
      <c r="E1508" s="14">
        <f>IF(SUMIFS('Daily NSE Equity Futures'!$I:$I,'Daily NSE Equity Futures'!$A:$A,$A1508)=0,"",SUMIFS('Daily NSE Equity Futures'!$I:$I,'Daily NSE Equity Futures'!$A:$A,$A1508))</f>
        <v>1068.4740999999999</v>
      </c>
      <c r="F1508" s="6">
        <f>IF(SUMIFS('Daily BSE Equity Futures'!$I:$I,'Daily BSE Equity Futures'!$A:$A,$A1508)=0,"",SUMIFS('Daily BSE Equity Futures'!$I:$I,'Daily BSE Equity Futures'!$A:$A,$A1508))</f>
        <v>4.4828000000000001</v>
      </c>
      <c r="G1508" s="6">
        <f t="shared" si="276"/>
        <v>1072.9568999999999</v>
      </c>
      <c r="H1508" s="15">
        <f t="shared" si="277"/>
        <v>0.99582201298113648</v>
      </c>
      <c r="I1508" s="15">
        <f t="shared" si="278"/>
        <v>4.1779870188634795E-3</v>
      </c>
      <c r="J1508" s="20">
        <f t="shared" si="279"/>
        <v>2.0743423019224716E-2</v>
      </c>
      <c r="K1508" s="15">
        <f t="shared" si="280"/>
        <v>-0.15902823374917918</v>
      </c>
      <c r="L1508" s="15">
        <f t="shared" si="281"/>
        <v>1.9832596261616597E-2</v>
      </c>
      <c r="M1508" s="15">
        <f t="shared" si="285"/>
        <v>-0.5900132952491155</v>
      </c>
      <c r="N1508" s="15">
        <f t="shared" si="286"/>
        <v>0.81887527387811421</v>
      </c>
      <c r="O1508" s="15">
        <f t="shared" si="287"/>
        <v>-0.58868217176103421</v>
      </c>
      <c r="P1508" s="18">
        <f>IF(SUMIFS('Daily NSE Equity Futures'!$J:$J,'Daily NSE Equity Futures'!$A:$A,$A1508)=0,"",SUMIFS('Daily NSE Equity Futures'!$J:$J,'Daily NSE Equity Futures'!$A:$A,$A1508))</f>
        <v>1407720</v>
      </c>
      <c r="Q1508" s="7">
        <f>IF(SUMIFS('Daily BSE Equity Futures'!$J:$J,'Daily BSE Equity Futures'!$A:$A,$A1508)=0,"",SUMIFS('Daily BSE Equity Futures'!$J:$J,'Daily BSE Equity Futures'!$A:$A,$A1508))</f>
        <v>2879</v>
      </c>
      <c r="R1508" s="7">
        <f t="shared" si="282"/>
        <v>1410599</v>
      </c>
      <c r="S1508" s="19">
        <f t="shared" si="283"/>
        <v>0.99795902308168372</v>
      </c>
      <c r="T1508" s="19">
        <f t="shared" si="284"/>
        <v>2.0409769183162615E-3</v>
      </c>
    </row>
    <row r="1509" spans="1:20" x14ac:dyDescent="0.2">
      <c r="A1509" s="9">
        <v>46142</v>
      </c>
      <c r="B1509" s="4" t="s">
        <v>224</v>
      </c>
      <c r="C1509" s="8">
        <v>46113</v>
      </c>
      <c r="D1509" s="4" t="s">
        <v>197</v>
      </c>
      <c r="E1509" s="14">
        <f>IF(SUMIFS('Daily NSE Equity Futures'!$I:$I,'Daily NSE Equity Futures'!$A:$A,$A1509)=0,"",SUMIFS('Daily NSE Equity Futures'!$I:$I,'Daily NSE Equity Futures'!$A:$A,$A1509))</f>
        <v>1101.202</v>
      </c>
      <c r="F1509" s="6">
        <f>IF(SUMIFS('Daily BSE Equity Futures'!$I:$I,'Daily BSE Equity Futures'!$A:$A,$A1509)=0,"",SUMIFS('Daily BSE Equity Futures'!$I:$I,'Daily BSE Equity Futures'!$A:$A,$A1509))</f>
        <v>10.912800000000001</v>
      </c>
      <c r="G1509" s="6">
        <f t="shared" si="276"/>
        <v>1112.1148000000001</v>
      </c>
      <c r="H1509" s="15">
        <f t="shared" si="277"/>
        <v>0.99018734396844632</v>
      </c>
      <c r="I1509" s="15">
        <f t="shared" si="278"/>
        <v>9.8126560315535769E-3</v>
      </c>
      <c r="J1509" s="20">
        <f t="shared" si="279"/>
        <v>4.0419054184079428E-2</v>
      </c>
      <c r="K1509" s="15">
        <f t="shared" si="280"/>
        <v>7.0329775487670219</v>
      </c>
      <c r="L1509" s="15">
        <f t="shared" si="281"/>
        <v>4.9382603051331131E-2</v>
      </c>
      <c r="M1509" s="15">
        <f t="shared" si="285"/>
        <v>3.0630503818482868E-2</v>
      </c>
      <c r="N1509" s="15">
        <f t="shared" si="286"/>
        <v>1.4343713750334612</v>
      </c>
      <c r="O1509" s="15">
        <f t="shared" si="287"/>
        <v>3.6495314956267233E-2</v>
      </c>
      <c r="P1509" s="18">
        <f>IF(SUMIFS('Daily NSE Equity Futures'!$J:$J,'Daily NSE Equity Futures'!$A:$A,$A1509)=0,"",SUMIFS('Daily NSE Equity Futures'!$J:$J,'Daily NSE Equity Futures'!$A:$A,$A1509))</f>
        <v>1480726</v>
      </c>
      <c r="Q1509" s="7">
        <f>IF(SUMIFS('Daily BSE Equity Futures'!$J:$J,'Daily BSE Equity Futures'!$A:$A,$A1509)=0,"",SUMIFS('Daily BSE Equity Futures'!$J:$J,'Daily BSE Equity Futures'!$A:$A,$A1509))</f>
        <v>7075</v>
      </c>
      <c r="R1509" s="7">
        <f t="shared" si="282"/>
        <v>1487801</v>
      </c>
      <c r="S1509" s="19">
        <f t="shared" si="283"/>
        <v>0.99524465973608034</v>
      </c>
      <c r="T1509" s="19">
        <f t="shared" si="284"/>
        <v>4.7553402639197041E-3</v>
      </c>
    </row>
    <row r="1510" spans="1:20" x14ac:dyDescent="0.2">
      <c r="A1510" s="9">
        <v>46146</v>
      </c>
      <c r="B1510" s="4" t="s">
        <v>225</v>
      </c>
      <c r="C1510" s="8">
        <v>46143</v>
      </c>
      <c r="D1510" s="4" t="s">
        <v>197</v>
      </c>
      <c r="E1510" s="14">
        <f>IF(SUMIFS('Daily NSE Equity Futures'!$I:$I,'Daily NSE Equity Futures'!$A:$A,$A1510)=0,"",SUMIFS('Daily NSE Equity Futures'!$I:$I,'Daily NSE Equity Futures'!$A:$A,$A1510))</f>
        <v>1078.5337999999999</v>
      </c>
      <c r="F1510" s="6">
        <f>IF(SUMIFS('Daily BSE Equity Futures'!$I:$I,'Daily BSE Equity Futures'!$A:$A,$A1510)=0,"",SUMIFS('Daily BSE Equity Futures'!$I:$I,'Daily BSE Equity Futures'!$A:$A,$A1510))</f>
        <v>2.8250000000000002</v>
      </c>
      <c r="G1510" s="6">
        <f t="shared" si="276"/>
        <v>1081.3588</v>
      </c>
      <c r="H1510" s="15">
        <f t="shared" si="277"/>
        <v>0.99738754611327896</v>
      </c>
      <c r="I1510" s="15">
        <f t="shared" si="278"/>
        <v>2.6124538867210406E-3</v>
      </c>
      <c r="J1510" s="20" t="str">
        <f t="shared" si="279"/>
        <v/>
      </c>
      <c r="K1510" s="15" t="str">
        <f t="shared" si="280"/>
        <v/>
      </c>
      <c r="L1510" s="15" t="str">
        <f t="shared" si="281"/>
        <v/>
      </c>
      <c r="M1510" s="15">
        <f t="shared" si="285"/>
        <v>-2.0584960797383256E-2</v>
      </c>
      <c r="N1510" s="15">
        <f t="shared" si="286"/>
        <v>-0.74112968257459133</v>
      </c>
      <c r="O1510" s="15">
        <f t="shared" si="287"/>
        <v>-2.7655418307534485E-2</v>
      </c>
      <c r="P1510" s="18">
        <f>IF(SUMIFS('Daily NSE Equity Futures'!$J:$J,'Daily NSE Equity Futures'!$A:$A,$A1510)=0,"",SUMIFS('Daily NSE Equity Futures'!$J:$J,'Daily NSE Equity Futures'!$A:$A,$A1510))</f>
        <v>1421819</v>
      </c>
      <c r="Q1510" s="7">
        <f>IF(SUMIFS('Daily BSE Equity Futures'!$J:$J,'Daily BSE Equity Futures'!$A:$A,$A1510)=0,"",SUMIFS('Daily BSE Equity Futures'!$J:$J,'Daily BSE Equity Futures'!$A:$A,$A1510))</f>
        <v>1811</v>
      </c>
      <c r="R1510" s="7">
        <f t="shared" si="282"/>
        <v>1423630</v>
      </c>
      <c r="S1510" s="19">
        <f t="shared" si="283"/>
        <v>0.99872789980542698</v>
      </c>
      <c r="T1510" s="19">
        <f t="shared" si="284"/>
        <v>1.272100194573028E-3</v>
      </c>
    </row>
    <row r="1511" spans="1:20" x14ac:dyDescent="0.2">
      <c r="A1511" s="9">
        <v>46147</v>
      </c>
      <c r="B1511" s="4" t="s">
        <v>223</v>
      </c>
      <c r="C1511" s="8">
        <v>46143</v>
      </c>
      <c r="D1511" s="4" t="s">
        <v>197</v>
      </c>
      <c r="E1511" s="14">
        <f>IF(SUMIFS('Daily NSE Equity Futures'!$I:$I,'Daily NSE Equity Futures'!$A:$A,$A1511)=0,"",SUMIFS('Daily NSE Equity Futures'!$I:$I,'Daily NSE Equity Futures'!$A:$A,$A1511))</f>
        <v>885.10500000000002</v>
      </c>
      <c r="F1511" s="6">
        <f>IF(SUMIFS('Daily BSE Equity Futures'!$I:$I,'Daily BSE Equity Futures'!$A:$A,$A1511)=0,"",SUMIFS('Daily BSE Equity Futures'!$I:$I,'Daily BSE Equity Futures'!$A:$A,$A1511))</f>
        <v>2.4710000000000001</v>
      </c>
      <c r="G1511" s="6">
        <f t="shared" si="276"/>
        <v>887.57600000000002</v>
      </c>
      <c r="H1511" s="15">
        <f t="shared" si="277"/>
        <v>0.99721601305127672</v>
      </c>
      <c r="I1511" s="15">
        <f t="shared" si="278"/>
        <v>2.7839869487232645E-3</v>
      </c>
      <c r="J1511" s="20">
        <f t="shared" si="279"/>
        <v>-0.15450346870371801</v>
      </c>
      <c r="K1511" s="15">
        <f t="shared" si="280"/>
        <v>9.719817059633229E-2</v>
      </c>
      <c r="L1511" s="15">
        <f t="shared" si="281"/>
        <v>-0.15396314073464012</v>
      </c>
      <c r="M1511" s="15">
        <f t="shared" si="285"/>
        <v>-0.17934421712142901</v>
      </c>
      <c r="N1511" s="15">
        <f t="shared" si="286"/>
        <v>-0.12530973451327432</v>
      </c>
      <c r="O1511" s="15">
        <f t="shared" si="287"/>
        <v>-0.17920305452732244</v>
      </c>
      <c r="P1511" s="18">
        <f>IF(SUMIFS('Daily NSE Equity Futures'!$J:$J,'Daily NSE Equity Futures'!$A:$A,$A1511)=0,"",SUMIFS('Daily NSE Equity Futures'!$J:$J,'Daily NSE Equity Futures'!$A:$A,$A1511))</f>
        <v>1180841</v>
      </c>
      <c r="Q1511" s="7">
        <f>IF(SUMIFS('Daily BSE Equity Futures'!$J:$J,'Daily BSE Equity Futures'!$A:$A,$A1511)=0,"",SUMIFS('Daily BSE Equity Futures'!$J:$J,'Daily BSE Equity Futures'!$A:$A,$A1511))</f>
        <v>1596</v>
      </c>
      <c r="R1511" s="7">
        <f t="shared" si="282"/>
        <v>1182437</v>
      </c>
      <c r="S1511" s="19">
        <f t="shared" si="283"/>
        <v>0.99865024521390988</v>
      </c>
      <c r="T1511" s="19">
        <f t="shared" si="284"/>
        <v>1.3497547860900835E-3</v>
      </c>
    </row>
    <row r="1512" spans="1:20" x14ac:dyDescent="0.2">
      <c r="A1512" s="9">
        <v>46148</v>
      </c>
      <c r="B1512" s="4" t="s">
        <v>221</v>
      </c>
      <c r="C1512" s="8">
        <v>46143</v>
      </c>
      <c r="D1512" s="4" t="s">
        <v>197</v>
      </c>
      <c r="E1512" s="14">
        <f>IF(SUMIFS('Daily NSE Equity Futures'!$I:$I,'Daily NSE Equity Futures'!$A:$A,$A1512)=0,"",SUMIFS('Daily NSE Equity Futures'!$I:$I,'Daily NSE Equity Futures'!$A:$A,$A1512))</f>
        <v>1302.8363999999999</v>
      </c>
      <c r="F1512" s="6">
        <f>IF(SUMIFS('Daily BSE Equity Futures'!$I:$I,'Daily BSE Equity Futures'!$A:$A,$A1512)=0,"",SUMIFS('Daily BSE Equity Futures'!$I:$I,'Daily BSE Equity Futures'!$A:$A,$A1512))</f>
        <v>5.0744999999999996</v>
      </c>
      <c r="G1512" s="6">
        <f t="shared" si="276"/>
        <v>1307.9108999999999</v>
      </c>
      <c r="H1512" s="15">
        <f t="shared" si="277"/>
        <v>0.99612014855140363</v>
      </c>
      <c r="I1512" s="15">
        <f t="shared" si="278"/>
        <v>3.8798514485963837E-3</v>
      </c>
      <c r="J1512" s="20">
        <f t="shared" si="279"/>
        <v>0.20080905798387128</v>
      </c>
      <c r="K1512" s="15">
        <f t="shared" si="280"/>
        <v>0.51134739099356663</v>
      </c>
      <c r="L1512" s="15">
        <f t="shared" si="281"/>
        <v>0.20176710390508101</v>
      </c>
      <c r="M1512" s="15">
        <f t="shared" si="285"/>
        <v>0.47195688647109657</v>
      </c>
      <c r="N1512" s="15">
        <f t="shared" si="286"/>
        <v>1.0536220153783891</v>
      </c>
      <c r="O1512" s="15">
        <f t="shared" si="287"/>
        <v>0.47357623459850173</v>
      </c>
      <c r="P1512" s="18">
        <f>IF(SUMIFS('Daily NSE Equity Futures'!$J:$J,'Daily NSE Equity Futures'!$A:$A,$A1512)=0,"",SUMIFS('Daily NSE Equity Futures'!$J:$J,'Daily NSE Equity Futures'!$A:$A,$A1512))</f>
        <v>1718695</v>
      </c>
      <c r="Q1512" s="7">
        <f>IF(SUMIFS('Daily BSE Equity Futures'!$J:$J,'Daily BSE Equity Futures'!$A:$A,$A1512)=0,"",SUMIFS('Daily BSE Equity Futures'!$J:$J,'Daily BSE Equity Futures'!$A:$A,$A1512))</f>
        <v>3247</v>
      </c>
      <c r="R1512" s="7">
        <f t="shared" si="282"/>
        <v>1721942</v>
      </c>
      <c r="S1512" s="19">
        <f t="shared" si="283"/>
        <v>0.99811433834589081</v>
      </c>
      <c r="T1512" s="19">
        <f t="shared" si="284"/>
        <v>1.8856616541091395E-3</v>
      </c>
    </row>
    <row r="1513" spans="1:20" x14ac:dyDescent="0.2">
      <c r="A1513" s="9">
        <v>46149</v>
      </c>
      <c r="B1513" s="4" t="s">
        <v>224</v>
      </c>
      <c r="C1513" s="8">
        <v>46143</v>
      </c>
      <c r="D1513" s="4" t="s">
        <v>197</v>
      </c>
      <c r="E1513" s="14">
        <f>IF(SUMIFS('Daily NSE Equity Futures'!$I:$I,'Daily NSE Equity Futures'!$A:$A,$A1513)=0,"",SUMIFS('Daily NSE Equity Futures'!$I:$I,'Daily NSE Equity Futures'!$A:$A,$A1513))</f>
        <v>1060.9099000000001</v>
      </c>
      <c r="F1513" s="6">
        <f>IF(SUMIFS('Daily BSE Equity Futures'!$I:$I,'Daily BSE Equity Futures'!$A:$A,$A1513)=0,"",SUMIFS('Daily BSE Equity Futures'!$I:$I,'Daily BSE Equity Futures'!$A:$A,$A1513))</f>
        <v>6.3537999999999997</v>
      </c>
      <c r="G1513" s="6">
        <f t="shared" si="276"/>
        <v>1067.2637000000002</v>
      </c>
      <c r="H1513" s="15">
        <f t="shared" si="277"/>
        <v>0.99404664470458415</v>
      </c>
      <c r="I1513" s="15">
        <f t="shared" si="278"/>
        <v>5.9533552954157427E-3</v>
      </c>
      <c r="J1513" s="20">
        <f t="shared" si="279"/>
        <v>-9.502220795972105E-2</v>
      </c>
      <c r="K1513" s="15">
        <f t="shared" si="280"/>
        <v>2.7252579737335831</v>
      </c>
      <c r="L1513" s="15">
        <f t="shared" si="281"/>
        <v>-9.0924910807867465E-2</v>
      </c>
      <c r="M1513" s="15">
        <f t="shared" si="285"/>
        <v>-0.18569215597599198</v>
      </c>
      <c r="N1513" s="15">
        <f t="shared" si="286"/>
        <v>0.25210365553256486</v>
      </c>
      <c r="O1513" s="15">
        <f t="shared" si="287"/>
        <v>-0.18399357326252097</v>
      </c>
      <c r="P1513" s="18">
        <f>IF(SUMIFS('Daily NSE Equity Futures'!$J:$J,'Daily NSE Equity Futures'!$A:$A,$A1513)=0,"",SUMIFS('Daily NSE Equity Futures'!$J:$J,'Daily NSE Equity Futures'!$A:$A,$A1513))</f>
        <v>1402762</v>
      </c>
      <c r="Q1513" s="7">
        <f>IF(SUMIFS('Daily BSE Equity Futures'!$J:$J,'Daily BSE Equity Futures'!$A:$A,$A1513)=0,"",SUMIFS('Daily BSE Equity Futures'!$J:$J,'Daily BSE Equity Futures'!$A:$A,$A1513))</f>
        <v>4052</v>
      </c>
      <c r="R1513" s="7">
        <f t="shared" si="282"/>
        <v>1406814</v>
      </c>
      <c r="S1513" s="19">
        <f t="shared" si="283"/>
        <v>0.99711973295687983</v>
      </c>
      <c r="T1513" s="19">
        <f t="shared" si="284"/>
        <v>2.8802670431201283E-3</v>
      </c>
    </row>
    <row r="1514" spans="1:20" x14ac:dyDescent="0.2">
      <c r="A1514" s="9">
        <v>46150</v>
      </c>
      <c r="B1514" s="4" t="s">
        <v>222</v>
      </c>
      <c r="C1514" s="8">
        <v>46143</v>
      </c>
      <c r="D1514" s="4" t="s">
        <v>197</v>
      </c>
      <c r="E1514" s="14">
        <f>IF(SUMIFS('Daily NSE Equity Futures'!$I:$I,'Daily NSE Equity Futures'!$A:$A,$A1514)=0,"",SUMIFS('Daily NSE Equity Futures'!$I:$I,'Daily NSE Equity Futures'!$A:$A,$A1514))</f>
        <v>1034.1166000000001</v>
      </c>
      <c r="F1514" s="6">
        <f>IF(SUMIFS('Daily BSE Equity Futures'!$I:$I,'Daily BSE Equity Futures'!$A:$A,$A1514)=0,"",SUMIFS('Daily BSE Equity Futures'!$I:$I,'Daily BSE Equity Futures'!$A:$A,$A1514))</f>
        <v>2.1722000000000001</v>
      </c>
      <c r="G1514" s="6">
        <f t="shared" si="276"/>
        <v>1036.2888</v>
      </c>
      <c r="H1514" s="15">
        <f t="shared" si="277"/>
        <v>0.99790386618093341</v>
      </c>
      <c r="I1514" s="15">
        <f t="shared" si="278"/>
        <v>2.0961338190666539E-3</v>
      </c>
      <c r="J1514" s="20">
        <f t="shared" si="279"/>
        <v>-0.23670830147774025</v>
      </c>
      <c r="K1514" s="15">
        <f t="shared" si="280"/>
        <v>-6.2251769987912153E-2</v>
      </c>
      <c r="L1514" s="15">
        <f t="shared" si="281"/>
        <v>-0.23641053218111585</v>
      </c>
      <c r="M1514" s="15">
        <f t="shared" si="285"/>
        <v>-2.5255019299942449E-2</v>
      </c>
      <c r="N1514" s="15">
        <f t="shared" si="286"/>
        <v>-0.65812584595045487</v>
      </c>
      <c r="O1514" s="15">
        <f t="shared" si="287"/>
        <v>-2.9022724187096505E-2</v>
      </c>
      <c r="P1514" s="18">
        <f>IF(SUMIFS('Daily NSE Equity Futures'!$J:$J,'Daily NSE Equity Futures'!$A:$A,$A1514)=0,"",SUMIFS('Daily NSE Equity Futures'!$J:$J,'Daily NSE Equity Futures'!$A:$A,$A1514))</f>
        <v>1359543</v>
      </c>
      <c r="Q1514" s="7">
        <f>IF(SUMIFS('Daily BSE Equity Futures'!$J:$J,'Daily BSE Equity Futures'!$A:$A,$A1514)=0,"",SUMIFS('Daily BSE Equity Futures'!$J:$J,'Daily BSE Equity Futures'!$A:$A,$A1514))</f>
        <v>1397</v>
      </c>
      <c r="R1514" s="7">
        <f t="shared" si="282"/>
        <v>1360940</v>
      </c>
      <c r="S1514" s="19">
        <f t="shared" si="283"/>
        <v>0.99897350360780046</v>
      </c>
      <c r="T1514" s="19">
        <f t="shared" si="284"/>
        <v>1.0264963921995092E-3</v>
      </c>
    </row>
    <row r="1515" spans="1:20" x14ac:dyDescent="0.2">
      <c r="A1515" s="9">
        <v>46153</v>
      </c>
      <c r="B1515" s="4" t="s">
        <v>225</v>
      </c>
      <c r="C1515" s="8">
        <v>46143</v>
      </c>
      <c r="D1515" s="4" t="s">
        <v>197</v>
      </c>
      <c r="E1515" s="14">
        <f>IF(SUMIFS('Daily NSE Equity Futures'!$I:$I,'Daily NSE Equity Futures'!$A:$A,$A1515)=0,"",SUMIFS('Daily NSE Equity Futures'!$I:$I,'Daily NSE Equity Futures'!$A:$A,$A1515))</f>
        <v>1031.9413</v>
      </c>
      <c r="F1515" s="6">
        <f>IF(SUMIFS('Daily BSE Equity Futures'!$I:$I,'Daily BSE Equity Futures'!$A:$A,$A1515)=0,"",SUMIFS('Daily BSE Equity Futures'!$I:$I,'Daily BSE Equity Futures'!$A:$A,$A1515))</f>
        <v>2.9192999999999998</v>
      </c>
      <c r="G1515" s="6">
        <f t="shared" si="276"/>
        <v>1034.8606</v>
      </c>
      <c r="H1515" s="15">
        <f t="shared" si="277"/>
        <v>0.99717904034611038</v>
      </c>
      <c r="I1515" s="15">
        <f t="shared" si="278"/>
        <v>2.8209596538896157E-3</v>
      </c>
      <c r="J1515" s="20" t="str">
        <f t="shared" si="279"/>
        <v/>
      </c>
      <c r="K1515" s="15" t="str">
        <f t="shared" si="280"/>
        <v/>
      </c>
      <c r="L1515" s="15" t="str">
        <f t="shared" si="281"/>
        <v/>
      </c>
      <c r="M1515" s="15">
        <f t="shared" si="285"/>
        <v>-2.1035345530668881E-3</v>
      </c>
      <c r="N1515" s="15">
        <f t="shared" si="286"/>
        <v>0.34393702237363022</v>
      </c>
      <c r="O1515" s="15">
        <f t="shared" si="287"/>
        <v>-1.3781872389241334E-3</v>
      </c>
      <c r="P1515" s="18">
        <f>IF(SUMIFS('Daily NSE Equity Futures'!$J:$J,'Daily NSE Equity Futures'!$A:$A,$A1515)=0,"",SUMIFS('Daily NSE Equity Futures'!$J:$J,'Daily NSE Equity Futures'!$A:$A,$A1515))</f>
        <v>1339514</v>
      </c>
      <c r="Q1515" s="7">
        <f>IF(SUMIFS('Daily BSE Equity Futures'!$J:$J,'Daily BSE Equity Futures'!$A:$A,$A1515)=0,"",SUMIFS('Daily BSE Equity Futures'!$J:$J,'Daily BSE Equity Futures'!$A:$A,$A1515))</f>
        <v>1900</v>
      </c>
      <c r="R1515" s="7">
        <f t="shared" si="282"/>
        <v>1341414</v>
      </c>
      <c r="S1515" s="19">
        <f t="shared" si="283"/>
        <v>0.99858358418802851</v>
      </c>
      <c r="T1515" s="19">
        <f t="shared" si="284"/>
        <v>1.4164158119715465E-3</v>
      </c>
    </row>
    <row r="1516" spans="1:20" x14ac:dyDescent="0.2">
      <c r="A1516" s="9">
        <v>46154</v>
      </c>
      <c r="B1516" s="4" t="s">
        <v>223</v>
      </c>
      <c r="C1516" s="8">
        <v>46143</v>
      </c>
      <c r="D1516" s="4" t="s">
        <v>197</v>
      </c>
      <c r="E1516" s="14">
        <f>IF(SUMIFS('Daily NSE Equity Futures'!$I:$I,'Daily NSE Equity Futures'!$A:$A,$A1516)=0,"",SUMIFS('Daily NSE Equity Futures'!$I:$I,'Daily NSE Equity Futures'!$A:$A,$A1516))</f>
        <v>1043.9545000000001</v>
      </c>
      <c r="F1516" s="6">
        <f>IF(SUMIFS('Daily BSE Equity Futures'!$I:$I,'Daily BSE Equity Futures'!$A:$A,$A1516)=0,"",SUMIFS('Daily BSE Equity Futures'!$I:$I,'Daily BSE Equity Futures'!$A:$A,$A1516))</f>
        <v>4.3914999999999997</v>
      </c>
      <c r="G1516" s="6">
        <f t="shared" si="276"/>
        <v>1048.346</v>
      </c>
      <c r="H1516" s="15">
        <f t="shared" si="277"/>
        <v>0.99581102040738467</v>
      </c>
      <c r="I1516" s="15">
        <f t="shared" si="278"/>
        <v>4.1889795926154149E-3</v>
      </c>
      <c r="J1516" s="20">
        <f t="shared" si="279"/>
        <v>-0.39347343158407477</v>
      </c>
      <c r="K1516" s="15">
        <f t="shared" si="280"/>
        <v>-0.27277394141123101</v>
      </c>
      <c r="L1516" s="15">
        <f t="shared" si="281"/>
        <v>-0.39305144744480547</v>
      </c>
      <c r="M1516" s="15">
        <f t="shared" si="285"/>
        <v>1.1641359833161058E-2</v>
      </c>
      <c r="N1516" s="15">
        <f t="shared" si="286"/>
        <v>0.50429897578186544</v>
      </c>
      <c r="O1516" s="15">
        <f t="shared" si="287"/>
        <v>1.3031127090933792E-2</v>
      </c>
      <c r="P1516" s="18">
        <f>IF(SUMIFS('Daily NSE Equity Futures'!$J:$J,'Daily NSE Equity Futures'!$A:$A,$A1516)=0,"",SUMIFS('Daily NSE Equity Futures'!$J:$J,'Daily NSE Equity Futures'!$A:$A,$A1516))</f>
        <v>1423137</v>
      </c>
      <c r="Q1516" s="7">
        <f>IF(SUMIFS('Daily BSE Equity Futures'!$J:$J,'Daily BSE Equity Futures'!$A:$A,$A1516)=0,"",SUMIFS('Daily BSE Equity Futures'!$J:$J,'Daily BSE Equity Futures'!$A:$A,$A1516))</f>
        <v>2913</v>
      </c>
      <c r="R1516" s="7">
        <f t="shared" si="282"/>
        <v>1426050</v>
      </c>
      <c r="S1516" s="19">
        <f t="shared" si="283"/>
        <v>0.99795729462501315</v>
      </c>
      <c r="T1516" s="19">
        <f t="shared" si="284"/>
        <v>2.0427053749868516E-3</v>
      </c>
    </row>
    <row r="1517" spans="1:20" x14ac:dyDescent="0.2">
      <c r="A1517" s="9">
        <v>46155</v>
      </c>
      <c r="B1517" s="4" t="s">
        <v>221</v>
      </c>
      <c r="C1517" s="8">
        <v>46143</v>
      </c>
      <c r="D1517" s="4" t="s">
        <v>197</v>
      </c>
      <c r="E1517" s="14">
        <f>IF(SUMIFS('Daily NSE Equity Futures'!$I:$I,'Daily NSE Equity Futures'!$A:$A,$A1517)=0,"",SUMIFS('Daily NSE Equity Futures'!$I:$I,'Daily NSE Equity Futures'!$A:$A,$A1517))</f>
        <v>1096.1130000000001</v>
      </c>
      <c r="F1517" s="6">
        <f>IF(SUMIFS('Daily BSE Equity Futures'!$I:$I,'Daily BSE Equity Futures'!$A:$A,$A1517)=0,"",SUMIFS('Daily BSE Equity Futures'!$I:$I,'Daily BSE Equity Futures'!$A:$A,$A1517))</f>
        <v>3.8372999999999999</v>
      </c>
      <c r="G1517" s="6">
        <f t="shared" si="276"/>
        <v>1099.9503</v>
      </c>
      <c r="H1517" s="15">
        <f t="shared" si="277"/>
        <v>0.99651138783270488</v>
      </c>
      <c r="I1517" s="15">
        <f t="shared" si="278"/>
        <v>3.4886121672951949E-3</v>
      </c>
      <c r="J1517" s="20">
        <f t="shared" si="279"/>
        <v>-0.24399894639767117</v>
      </c>
      <c r="K1517" s="15">
        <f t="shared" si="280"/>
        <v>-0.46617419974124619</v>
      </c>
      <c r="L1517" s="15">
        <f t="shared" si="281"/>
        <v>-0.24509502349644963</v>
      </c>
      <c r="M1517" s="15">
        <f t="shared" si="285"/>
        <v>4.9962426523378234E-2</v>
      </c>
      <c r="N1517" s="15">
        <f t="shared" si="286"/>
        <v>-0.12619833769782529</v>
      </c>
      <c r="O1517" s="15">
        <f t="shared" si="287"/>
        <v>4.9224492677035991E-2</v>
      </c>
      <c r="P1517" s="18">
        <f>IF(SUMIFS('Daily NSE Equity Futures'!$J:$J,'Daily NSE Equity Futures'!$A:$A,$A1517)=0,"",SUMIFS('Daily NSE Equity Futures'!$J:$J,'Daily NSE Equity Futures'!$A:$A,$A1517))</f>
        <v>1529613</v>
      </c>
      <c r="Q1517" s="7">
        <f>IF(SUMIFS('Daily BSE Equity Futures'!$J:$J,'Daily BSE Equity Futures'!$A:$A,$A1517)=0,"",SUMIFS('Daily BSE Equity Futures'!$J:$J,'Daily BSE Equity Futures'!$A:$A,$A1517))</f>
        <v>2559</v>
      </c>
      <c r="R1517" s="7">
        <f t="shared" si="282"/>
        <v>1532172</v>
      </c>
      <c r="S1517" s="19">
        <f t="shared" si="283"/>
        <v>0.9983298219782113</v>
      </c>
      <c r="T1517" s="19">
        <f t="shared" si="284"/>
        <v>1.6701780217886764E-3</v>
      </c>
    </row>
    <row r="1518" spans="1:20" x14ac:dyDescent="0.2">
      <c r="A1518" s="9">
        <v>46156</v>
      </c>
      <c r="B1518" s="4" t="s">
        <v>224</v>
      </c>
      <c r="C1518" s="8">
        <v>46143</v>
      </c>
      <c r="D1518" s="4" t="s">
        <v>197</v>
      </c>
      <c r="E1518" s="14">
        <f>IF(SUMIFS('Daily NSE Equity Futures'!$I:$I,'Daily NSE Equity Futures'!$A:$A,$A1518)=0,"",SUMIFS('Daily NSE Equity Futures'!$I:$I,'Daily NSE Equity Futures'!$A:$A,$A1518))</f>
        <v>1168.3616999999999</v>
      </c>
      <c r="F1518" s="6">
        <f>IF(SUMIFS('Daily BSE Equity Futures'!$I:$I,'Daily BSE Equity Futures'!$A:$A,$A1518)=0,"",SUMIFS('Daily BSE Equity Futures'!$I:$I,'Daily BSE Equity Futures'!$A:$A,$A1518))</f>
        <v>5.2996999999999996</v>
      </c>
      <c r="G1518" s="6">
        <f t="shared" si="276"/>
        <v>1173.6614</v>
      </c>
      <c r="H1518" s="15">
        <f t="shared" si="277"/>
        <v>0.99548447277894625</v>
      </c>
      <c r="I1518" s="15">
        <f t="shared" si="278"/>
        <v>4.5155272210537041E-3</v>
      </c>
      <c r="J1518" s="20">
        <f t="shared" si="279"/>
        <v>-2.5390478043122888E-2</v>
      </c>
      <c r="K1518" s="15">
        <f t="shared" si="280"/>
        <v>0.82333310397027448</v>
      </c>
      <c r="L1518" s="15">
        <f t="shared" si="281"/>
        <v>-2.3337647199016431E-2</v>
      </c>
      <c r="M1518" s="15">
        <f t="shared" si="285"/>
        <v>6.5913550883895944E-2</v>
      </c>
      <c r="N1518" s="15">
        <f t="shared" si="286"/>
        <v>0.38110129518150782</v>
      </c>
      <c r="O1518" s="15">
        <f t="shared" si="287"/>
        <v>6.7013118683635131E-2</v>
      </c>
      <c r="P1518" s="18">
        <f>IF(SUMIFS('Daily NSE Equity Futures'!$J:$J,'Daily NSE Equity Futures'!$A:$A,$A1518)=0,"",SUMIFS('Daily NSE Equity Futures'!$J:$J,'Daily NSE Equity Futures'!$A:$A,$A1518))</f>
        <v>1647146</v>
      </c>
      <c r="Q1518" s="7">
        <f>IF(SUMIFS('Daily BSE Equity Futures'!$J:$J,'Daily BSE Equity Futures'!$A:$A,$A1518)=0,"",SUMIFS('Daily BSE Equity Futures'!$J:$J,'Daily BSE Equity Futures'!$A:$A,$A1518))</f>
        <v>3513</v>
      </c>
      <c r="R1518" s="7">
        <f t="shared" si="282"/>
        <v>1650659</v>
      </c>
      <c r="S1518" s="19">
        <f t="shared" si="283"/>
        <v>0.9978717590974272</v>
      </c>
      <c r="T1518" s="19">
        <f t="shared" si="284"/>
        <v>2.1282409025728511E-3</v>
      </c>
    </row>
    <row r="1519" spans="1:20" x14ac:dyDescent="0.2">
      <c r="A1519" s="9">
        <v>46157</v>
      </c>
      <c r="B1519" s="4" t="s">
        <v>222</v>
      </c>
      <c r="C1519" s="8">
        <v>46143</v>
      </c>
      <c r="D1519" s="4" t="s">
        <v>197</v>
      </c>
      <c r="E1519" s="14">
        <f>IF(SUMIFS('Daily NSE Equity Futures'!$I:$I,'Daily NSE Equity Futures'!$A:$A,$A1519)=0,"",SUMIFS('Daily NSE Equity Futures'!$I:$I,'Daily NSE Equity Futures'!$A:$A,$A1519))</f>
        <v>1047.9206999999999</v>
      </c>
      <c r="F1519" s="6">
        <f>IF(SUMIFS('Daily BSE Equity Futures'!$I:$I,'Daily BSE Equity Futures'!$A:$A,$A1519)=0,"",SUMIFS('Daily BSE Equity Futures'!$I:$I,'Daily BSE Equity Futures'!$A:$A,$A1519))</f>
        <v>2.1850000000000001</v>
      </c>
      <c r="G1519" s="6">
        <f t="shared" si="276"/>
        <v>1050.1056999999998</v>
      </c>
      <c r="H1519" s="15">
        <f t="shared" si="277"/>
        <v>0.99791925708050155</v>
      </c>
      <c r="I1519" s="15">
        <f t="shared" si="278"/>
        <v>2.0807429194984852E-3</v>
      </c>
      <c r="J1519" s="20">
        <f t="shared" si="279"/>
        <v>-0.36113794575431246</v>
      </c>
      <c r="K1519" s="15">
        <f t="shared" si="280"/>
        <v>-0.46037391025166086</v>
      </c>
      <c r="L1519" s="15">
        <f t="shared" si="281"/>
        <v>-0.36138230879871269</v>
      </c>
      <c r="M1519" s="15">
        <f t="shared" si="285"/>
        <v>-0.10308537159340303</v>
      </c>
      <c r="N1519" s="15">
        <f t="shared" si="286"/>
        <v>-0.58771251202898278</v>
      </c>
      <c r="O1519" s="15">
        <f t="shared" si="287"/>
        <v>-0.10527371863810131</v>
      </c>
      <c r="P1519" s="18">
        <f>IF(SUMIFS('Daily NSE Equity Futures'!$J:$J,'Daily NSE Equity Futures'!$A:$A,$A1519)=0,"",SUMIFS('Daily NSE Equity Futures'!$J:$J,'Daily NSE Equity Futures'!$A:$A,$A1519))</f>
        <v>1419380</v>
      </c>
      <c r="Q1519" s="7">
        <f>IF(SUMIFS('Daily BSE Equity Futures'!$J:$J,'Daily BSE Equity Futures'!$A:$A,$A1519)=0,"",SUMIFS('Daily BSE Equity Futures'!$J:$J,'Daily BSE Equity Futures'!$A:$A,$A1519))</f>
        <v>1446</v>
      </c>
      <c r="R1519" s="7">
        <f t="shared" si="282"/>
        <v>1420826</v>
      </c>
      <c r="S1519" s="19">
        <f t="shared" si="283"/>
        <v>0.99898228213729201</v>
      </c>
      <c r="T1519" s="19">
        <f t="shared" si="284"/>
        <v>1.0177178627080305E-3</v>
      </c>
    </row>
    <row r="1520" spans="1:20" x14ac:dyDescent="0.2">
      <c r="A1520" s="9">
        <v>46160</v>
      </c>
      <c r="B1520" s="4" t="s">
        <v>225</v>
      </c>
      <c r="C1520" s="8">
        <v>46143</v>
      </c>
      <c r="D1520" s="4" t="s">
        <v>197</v>
      </c>
      <c r="E1520" s="14">
        <f>IF(SUMIFS('Daily NSE Equity Futures'!$I:$I,'Daily NSE Equity Futures'!$A:$A,$A1520)=0,"",SUMIFS('Daily NSE Equity Futures'!$I:$I,'Daily NSE Equity Futures'!$A:$A,$A1520))</f>
        <v>1100.9443000000001</v>
      </c>
      <c r="F1520" s="6">
        <f>IF(SUMIFS('Daily BSE Equity Futures'!$I:$I,'Daily BSE Equity Futures'!$A:$A,$A1520)=0,"",SUMIFS('Daily BSE Equity Futures'!$I:$I,'Daily BSE Equity Futures'!$A:$A,$A1520))</f>
        <v>3.0032000000000001</v>
      </c>
      <c r="G1520" s="6">
        <f t="shared" si="276"/>
        <v>1103.9475000000002</v>
      </c>
      <c r="H1520" s="15">
        <f t="shared" si="277"/>
        <v>0.9972795807771655</v>
      </c>
      <c r="I1520" s="15">
        <f t="shared" si="278"/>
        <v>2.7204192228344188E-3</v>
      </c>
      <c r="J1520" s="20" t="str">
        <f t="shared" si="279"/>
        <v/>
      </c>
      <c r="K1520" s="15" t="str">
        <f t="shared" si="280"/>
        <v/>
      </c>
      <c r="L1520" s="15" t="str">
        <f t="shared" si="281"/>
        <v/>
      </c>
      <c r="M1520" s="15">
        <f t="shared" si="285"/>
        <v>5.0598866879908222E-2</v>
      </c>
      <c r="N1520" s="15">
        <f t="shared" si="286"/>
        <v>0.37446224256292915</v>
      </c>
      <c r="O1520" s="15">
        <f t="shared" si="287"/>
        <v>5.1272743305745605E-2</v>
      </c>
      <c r="P1520" s="18">
        <f>IF(SUMIFS('Daily NSE Equity Futures'!$J:$J,'Daily NSE Equity Futures'!$A:$A,$A1520)=0,"",SUMIFS('Daily NSE Equity Futures'!$J:$J,'Daily NSE Equity Futures'!$A:$A,$A1520))</f>
        <v>1498558</v>
      </c>
      <c r="Q1520" s="7">
        <f>IF(SUMIFS('Daily BSE Equity Futures'!$J:$J,'Daily BSE Equity Futures'!$A:$A,$A1520)=0,"",SUMIFS('Daily BSE Equity Futures'!$J:$J,'Daily BSE Equity Futures'!$A:$A,$A1520))</f>
        <v>2002</v>
      </c>
      <c r="R1520" s="7">
        <f t="shared" si="282"/>
        <v>1500560</v>
      </c>
      <c r="S1520" s="19">
        <f t="shared" si="283"/>
        <v>0.99866583142293541</v>
      </c>
      <c r="T1520" s="19">
        <f t="shared" si="284"/>
        <v>1.3341685770645625E-3</v>
      </c>
    </row>
    <row r="1521" spans="1:20" x14ac:dyDescent="0.2">
      <c r="A1521" s="9">
        <v>46161</v>
      </c>
      <c r="B1521" s="4" t="s">
        <v>223</v>
      </c>
      <c r="C1521" s="8">
        <v>46143</v>
      </c>
      <c r="D1521" s="4" t="s">
        <v>197</v>
      </c>
      <c r="E1521" s="14">
        <f>IF(SUMIFS('Daily NSE Equity Futures'!$I:$I,'Daily NSE Equity Futures'!$A:$A,$A1521)=0,"",SUMIFS('Daily NSE Equity Futures'!$I:$I,'Daily NSE Equity Futures'!$A:$A,$A1521))</f>
        <v>1064.7917</v>
      </c>
      <c r="F1521" s="6">
        <f>IF(SUMIFS('Daily BSE Equity Futures'!$I:$I,'Daily BSE Equity Futures'!$A:$A,$A1521)=0,"",SUMIFS('Daily BSE Equity Futures'!$I:$I,'Daily BSE Equity Futures'!$A:$A,$A1521))</f>
        <v>2.3856999999999999</v>
      </c>
      <c r="G1521" s="6">
        <f t="shared" si="276"/>
        <v>1067.1774</v>
      </c>
      <c r="H1521" s="15">
        <f t="shared" si="277"/>
        <v>0.99776447664652568</v>
      </c>
      <c r="I1521" s="15">
        <f t="shared" si="278"/>
        <v>2.2355233534743146E-3</v>
      </c>
      <c r="J1521" s="20">
        <f t="shared" si="279"/>
        <v>-5.9321430464512326E-2</v>
      </c>
      <c r="K1521" s="15">
        <f t="shared" si="280"/>
        <v>0.10833914053426263</v>
      </c>
      <c r="L1521" s="15">
        <f t="shared" si="281"/>
        <v>-5.9003211819141699E-2</v>
      </c>
      <c r="M1521" s="15">
        <f t="shared" si="285"/>
        <v>-3.2837810232543174E-2</v>
      </c>
      <c r="N1521" s="15">
        <f t="shared" si="286"/>
        <v>-0.20561401172083116</v>
      </c>
      <c r="O1521" s="15">
        <f t="shared" si="287"/>
        <v>-3.3307833932320285E-2</v>
      </c>
      <c r="P1521" s="18">
        <f>IF(SUMIFS('Daily NSE Equity Futures'!$J:$J,'Daily NSE Equity Futures'!$A:$A,$A1521)=0,"",SUMIFS('Daily NSE Equity Futures'!$J:$J,'Daily NSE Equity Futures'!$A:$A,$A1521))</f>
        <v>1518320</v>
      </c>
      <c r="Q1521" s="7">
        <f>IF(SUMIFS('Daily BSE Equity Futures'!$J:$J,'Daily BSE Equity Futures'!$A:$A,$A1521)=0,"",SUMIFS('Daily BSE Equity Futures'!$J:$J,'Daily BSE Equity Futures'!$A:$A,$A1521))</f>
        <v>1573</v>
      </c>
      <c r="R1521" s="7">
        <f t="shared" si="282"/>
        <v>1519893</v>
      </c>
      <c r="S1521" s="19">
        <f t="shared" si="283"/>
        <v>0.99896505872452868</v>
      </c>
      <c r="T1521" s="19">
        <f t="shared" si="284"/>
        <v>1.0349412754713655E-3</v>
      </c>
    </row>
    <row r="1522" spans="1:20" x14ac:dyDescent="0.2">
      <c r="A1522" s="9">
        <v>46162</v>
      </c>
      <c r="B1522" s="4" t="s">
        <v>221</v>
      </c>
      <c r="C1522" s="8">
        <v>46143</v>
      </c>
      <c r="D1522" s="4" t="s">
        <v>197</v>
      </c>
      <c r="E1522" s="14">
        <f>IF(SUMIFS('Daily NSE Equity Futures'!$I:$I,'Daily NSE Equity Futures'!$A:$A,$A1522)=0,"",SUMIFS('Daily NSE Equity Futures'!$I:$I,'Daily NSE Equity Futures'!$A:$A,$A1522))</f>
        <v>1512.4487999999999</v>
      </c>
      <c r="F1522" s="6">
        <f>IF(SUMIFS('Daily BSE Equity Futures'!$I:$I,'Daily BSE Equity Futures'!$A:$A,$A1522)=0,"",SUMIFS('Daily BSE Equity Futures'!$I:$I,'Daily BSE Equity Futures'!$A:$A,$A1522))</f>
        <v>2.9125999999999999</v>
      </c>
      <c r="G1522" s="6">
        <f t="shared" si="276"/>
        <v>1515.3614</v>
      </c>
      <c r="H1522" s="15">
        <f t="shared" si="277"/>
        <v>0.99807795025001944</v>
      </c>
      <c r="I1522" s="15">
        <f t="shared" si="278"/>
        <v>1.9220497499804336E-3</v>
      </c>
      <c r="J1522" s="20">
        <f t="shared" si="279"/>
        <v>8.9448358867866062E-2</v>
      </c>
      <c r="K1522" s="15">
        <f t="shared" si="280"/>
        <v>-0.43936710809978441</v>
      </c>
      <c r="L1522" s="15">
        <f t="shared" si="281"/>
        <v>8.7476797954452623E-2</v>
      </c>
      <c r="M1522" s="15">
        <f t="shared" si="285"/>
        <v>0.42041753330721865</v>
      </c>
      <c r="N1522" s="15">
        <f t="shared" si="286"/>
        <v>0.22085760992580794</v>
      </c>
      <c r="O1522" s="15">
        <f t="shared" si="287"/>
        <v>0.419971412438082</v>
      </c>
      <c r="P1522" s="18">
        <f>IF(SUMIFS('Daily NSE Equity Futures'!$J:$J,'Daily NSE Equity Futures'!$A:$A,$A1522)=0,"",SUMIFS('Daily NSE Equity Futures'!$J:$J,'Daily NSE Equity Futures'!$A:$A,$A1522))</f>
        <v>2208164</v>
      </c>
      <c r="Q1522" s="7">
        <f>IF(SUMIFS('Daily BSE Equity Futures'!$J:$J,'Daily BSE Equity Futures'!$A:$A,$A1522)=0,"",SUMIFS('Daily BSE Equity Futures'!$J:$J,'Daily BSE Equity Futures'!$A:$A,$A1522))</f>
        <v>1935</v>
      </c>
      <c r="R1522" s="7">
        <f t="shared" si="282"/>
        <v>2210099</v>
      </c>
      <c r="S1522" s="19">
        <f t="shared" si="283"/>
        <v>0.99912447360955325</v>
      </c>
      <c r="T1522" s="19">
        <f t="shared" si="284"/>
        <v>8.7552639044676276E-4</v>
      </c>
    </row>
    <row r="1523" spans="1:20" x14ac:dyDescent="0.2">
      <c r="A1523" s="9">
        <v>46163</v>
      </c>
      <c r="B1523" s="4" t="s">
        <v>224</v>
      </c>
      <c r="C1523" s="8">
        <v>46143</v>
      </c>
      <c r="D1523" s="4" t="s">
        <v>197</v>
      </c>
      <c r="E1523" s="14">
        <f>IF(SUMIFS('Daily NSE Equity Futures'!$I:$I,'Daily NSE Equity Futures'!$A:$A,$A1523)=0,"",SUMIFS('Daily NSE Equity Futures'!$I:$I,'Daily NSE Equity Futures'!$A:$A,$A1523))</f>
        <v>3447.3238000000001</v>
      </c>
      <c r="F1523" s="6">
        <f>IF(SUMIFS('Daily BSE Equity Futures'!$I:$I,'Daily BSE Equity Futures'!$A:$A,$A1523)=0,"",SUMIFS('Daily BSE Equity Futures'!$I:$I,'Daily BSE Equity Futures'!$A:$A,$A1523))</f>
        <v>4.5766999999999998</v>
      </c>
      <c r="G1523" s="6">
        <f t="shared" si="276"/>
        <v>3451.9005000000002</v>
      </c>
      <c r="H1523" s="15">
        <f t="shared" si="277"/>
        <v>0.99867415065990461</v>
      </c>
      <c r="I1523" s="15">
        <f t="shared" si="278"/>
        <v>1.3258493400954052E-3</v>
      </c>
      <c r="J1523" s="20">
        <f t="shared" si="279"/>
        <v>1.5942500653769383</v>
      </c>
      <c r="K1523" s="15">
        <f t="shared" si="280"/>
        <v>0.5642024676168016</v>
      </c>
      <c r="L1523" s="15">
        <f t="shared" si="281"/>
        <v>1.5919870300799306</v>
      </c>
      <c r="M1523" s="15">
        <f t="shared" si="285"/>
        <v>1.2792995042212341</v>
      </c>
      <c r="N1523" s="15">
        <f t="shared" si="286"/>
        <v>0.57134518986472571</v>
      </c>
      <c r="O1523" s="15">
        <f t="shared" si="287"/>
        <v>1.2779387808083276</v>
      </c>
      <c r="P1523" s="18">
        <f>IF(SUMIFS('Daily NSE Equity Futures'!$J:$J,'Daily NSE Equity Futures'!$A:$A,$A1523)=0,"",SUMIFS('Daily NSE Equity Futures'!$J:$J,'Daily NSE Equity Futures'!$A:$A,$A1523))</f>
        <v>5163300</v>
      </c>
      <c r="Q1523" s="7">
        <f>IF(SUMIFS('Daily BSE Equity Futures'!$J:$J,'Daily BSE Equity Futures'!$A:$A,$A1523)=0,"",SUMIFS('Daily BSE Equity Futures'!$J:$J,'Daily BSE Equity Futures'!$A:$A,$A1523))</f>
        <v>3031</v>
      </c>
      <c r="R1523" s="7">
        <f t="shared" si="282"/>
        <v>5166331</v>
      </c>
      <c r="S1523" s="19">
        <f t="shared" si="283"/>
        <v>0.99941331672322198</v>
      </c>
      <c r="T1523" s="19">
        <f t="shared" si="284"/>
        <v>5.8668327677804618E-4</v>
      </c>
    </row>
    <row r="1524" spans="1:20" x14ac:dyDescent="0.2">
      <c r="A1524" s="9">
        <v>46164</v>
      </c>
      <c r="B1524" s="4" t="s">
        <v>222</v>
      </c>
      <c r="C1524" s="8">
        <v>46143</v>
      </c>
      <c r="D1524" s="4" t="s">
        <v>197</v>
      </c>
      <c r="E1524" s="14">
        <f>IF(SUMIFS('Daily NSE Equity Futures'!$I:$I,'Daily NSE Equity Futures'!$A:$A,$A1524)=0,"",SUMIFS('Daily NSE Equity Futures'!$I:$I,'Daily NSE Equity Futures'!$A:$A,$A1524))</f>
        <v>3782.2341999999999</v>
      </c>
      <c r="F1524" s="6">
        <f>IF(SUMIFS('Daily BSE Equity Futures'!$I:$I,'Daily BSE Equity Futures'!$A:$A,$A1524)=0,"",SUMIFS('Daily BSE Equity Futures'!$I:$I,'Daily BSE Equity Futures'!$A:$A,$A1524))</f>
        <v>3.4759000000000002</v>
      </c>
      <c r="G1524" s="6">
        <f t="shared" si="276"/>
        <v>3785.7100999999998</v>
      </c>
      <c r="H1524" s="15">
        <f t="shared" si="277"/>
        <v>0.9990818367206723</v>
      </c>
      <c r="I1524" s="15">
        <f t="shared" si="278"/>
        <v>9.1816327932770143E-4</v>
      </c>
      <c r="J1524" s="20">
        <f t="shared" si="279"/>
        <v>1.6603948915421634</v>
      </c>
      <c r="K1524" s="15">
        <f t="shared" si="280"/>
        <v>5.3217642805496457E-3</v>
      </c>
      <c r="L1524" s="15">
        <f t="shared" si="281"/>
        <v>1.6563795531523593</v>
      </c>
      <c r="M1524" s="15">
        <f t="shared" si="285"/>
        <v>9.7150839152388313E-2</v>
      </c>
      <c r="N1524" s="15">
        <f t="shared" si="286"/>
        <v>-0.24052264732230633</v>
      </c>
      <c r="O1524" s="15">
        <f t="shared" si="287"/>
        <v>9.6703134983177952E-2</v>
      </c>
      <c r="P1524" s="18">
        <f>IF(SUMIFS('Daily NSE Equity Futures'!$J:$J,'Daily NSE Equity Futures'!$A:$A,$A1524)=0,"",SUMIFS('Daily NSE Equity Futures'!$J:$J,'Daily NSE Equity Futures'!$A:$A,$A1524))</f>
        <v>5593057</v>
      </c>
      <c r="Q1524" s="7">
        <f>IF(SUMIFS('Daily BSE Equity Futures'!$J:$J,'Daily BSE Equity Futures'!$A:$A,$A1524)=0,"",SUMIFS('Daily BSE Equity Futures'!$J:$J,'Daily BSE Equity Futures'!$A:$A,$A1524))</f>
        <v>2306</v>
      </c>
      <c r="R1524" s="7">
        <f t="shared" si="282"/>
        <v>5595363</v>
      </c>
      <c r="S1524" s="19">
        <f t="shared" si="283"/>
        <v>0.99958787302986418</v>
      </c>
      <c r="T1524" s="19">
        <f t="shared" si="284"/>
        <v>4.121269701358071E-4</v>
      </c>
    </row>
    <row r="1525" spans="1:20" x14ac:dyDescent="0.2">
      <c r="A1525" s="9">
        <v>46167</v>
      </c>
      <c r="B1525" s="4" t="s">
        <v>225</v>
      </c>
      <c r="C1525" s="8">
        <v>46143</v>
      </c>
      <c r="D1525" s="4" t="s">
        <v>197</v>
      </c>
      <c r="E1525" s="14">
        <f>IF(SUMIFS('Daily NSE Equity Futures'!$I:$I,'Daily NSE Equity Futures'!$A:$A,$A1525)=0,"",SUMIFS('Daily NSE Equity Futures'!$I:$I,'Daily NSE Equity Futures'!$A:$A,$A1525))</f>
        <v>3451.1970000000001</v>
      </c>
      <c r="F1525" s="6">
        <f>IF(SUMIFS('Daily BSE Equity Futures'!$I:$I,'Daily BSE Equity Futures'!$A:$A,$A1525)=0,"",SUMIFS('Daily BSE Equity Futures'!$I:$I,'Daily BSE Equity Futures'!$A:$A,$A1525))</f>
        <v>4.1026999999999996</v>
      </c>
      <c r="G1525" s="6">
        <f t="shared" si="276"/>
        <v>3455.2997</v>
      </c>
      <c r="H1525" s="15">
        <f t="shared" si="277"/>
        <v>0.99881263555806754</v>
      </c>
      <c r="I1525" s="15">
        <f t="shared" si="278"/>
        <v>1.1873644419324897E-3</v>
      </c>
      <c r="J1525" s="20" t="str">
        <f t="shared" si="279"/>
        <v/>
      </c>
      <c r="K1525" s="15" t="str">
        <f t="shared" si="280"/>
        <v/>
      </c>
      <c r="L1525" s="15" t="str">
        <f t="shared" si="281"/>
        <v/>
      </c>
      <c r="M1525" s="15">
        <f t="shared" si="285"/>
        <v>-8.7524246912049963E-2</v>
      </c>
      <c r="N1525" s="15">
        <f t="shared" si="286"/>
        <v>0.18032739722086344</v>
      </c>
      <c r="O1525" s="15">
        <f t="shared" si="287"/>
        <v>-8.7278315368099602E-2</v>
      </c>
      <c r="P1525" s="18">
        <f>IF(SUMIFS('Daily NSE Equity Futures'!$J:$J,'Daily NSE Equity Futures'!$A:$A,$A1525)=0,"",SUMIFS('Daily NSE Equity Futures'!$J:$J,'Daily NSE Equity Futures'!$A:$A,$A1525))</f>
        <v>5012050</v>
      </c>
      <c r="Q1525" s="7">
        <f>IF(SUMIFS('Daily BSE Equity Futures'!$J:$J,'Daily BSE Equity Futures'!$A:$A,$A1525)=0,"",SUMIFS('Daily BSE Equity Futures'!$J:$J,'Daily BSE Equity Futures'!$A:$A,$A1525))</f>
        <v>2675</v>
      </c>
      <c r="R1525" s="7">
        <f t="shared" si="282"/>
        <v>5014725</v>
      </c>
      <c r="S1525" s="19">
        <f t="shared" si="283"/>
        <v>0.99946657094855651</v>
      </c>
      <c r="T1525" s="19">
        <f t="shared" si="284"/>
        <v>5.3342905144349885E-4</v>
      </c>
    </row>
    <row r="1526" spans="1:20" x14ac:dyDescent="0.2">
      <c r="A1526" s="9">
        <v>46168</v>
      </c>
      <c r="B1526" s="4" t="s">
        <v>223</v>
      </c>
      <c r="C1526" s="8">
        <v>46143</v>
      </c>
      <c r="D1526" s="4" t="s">
        <v>197</v>
      </c>
      <c r="E1526" s="14">
        <f>IF(SUMIFS('Daily NSE Equity Futures'!$I:$I,'Daily NSE Equity Futures'!$A:$A,$A1526)=0,"",SUMIFS('Daily NSE Equity Futures'!$I:$I,'Daily NSE Equity Futures'!$A:$A,$A1526))</f>
        <v>2342.3465999999999</v>
      </c>
      <c r="F1526" s="6">
        <f>IF(SUMIFS('Daily BSE Equity Futures'!$I:$I,'Daily BSE Equity Futures'!$A:$A,$A1526)=0,"",SUMIFS('Daily BSE Equity Futures'!$I:$I,'Daily BSE Equity Futures'!$A:$A,$A1526))</f>
        <v>3.8833000000000002</v>
      </c>
      <c r="G1526" s="6">
        <f t="shared" si="276"/>
        <v>2346.2298999999998</v>
      </c>
      <c r="H1526" s="15">
        <f t="shared" si="277"/>
        <v>0.99834487660395088</v>
      </c>
      <c r="I1526" s="15">
        <f t="shared" si="278"/>
        <v>1.6551233960491257E-3</v>
      </c>
      <c r="J1526" s="20">
        <f t="shared" si="279"/>
        <v>-0.26931160434118162</v>
      </c>
      <c r="K1526" s="15">
        <f t="shared" si="280"/>
        <v>0.11285284424702691</v>
      </c>
      <c r="L1526" s="15">
        <f t="shared" si="281"/>
        <v>-0.26889605552604801</v>
      </c>
      <c r="M1526" s="15">
        <f t="shared" si="285"/>
        <v>-0.32129443784287026</v>
      </c>
      <c r="N1526" s="15">
        <f t="shared" si="286"/>
        <v>-5.3476978575084599E-2</v>
      </c>
      <c r="O1526" s="15">
        <f t="shared" si="287"/>
        <v>-0.32097644091480693</v>
      </c>
      <c r="P1526" s="18">
        <f>IF(SUMIFS('Daily NSE Equity Futures'!$J:$J,'Daily NSE Equity Futures'!$A:$A,$A1526)=0,"",SUMIFS('Daily NSE Equity Futures'!$J:$J,'Daily NSE Equity Futures'!$A:$A,$A1526))</f>
        <v>3253306</v>
      </c>
      <c r="Q1526" s="7">
        <f>IF(SUMIFS('Daily BSE Equity Futures'!$J:$J,'Daily BSE Equity Futures'!$A:$A,$A1526)=0,"",SUMIFS('Daily BSE Equity Futures'!$J:$J,'Daily BSE Equity Futures'!$A:$A,$A1526))</f>
        <v>2538</v>
      </c>
      <c r="R1526" s="7">
        <f t="shared" si="282"/>
        <v>3255844</v>
      </c>
      <c r="S1526" s="19">
        <f t="shared" si="283"/>
        <v>0.99922047862244012</v>
      </c>
      <c r="T1526" s="19">
        <f t="shared" si="284"/>
        <v>7.7952137755985852E-4</v>
      </c>
    </row>
    <row r="1527" spans="1:20" x14ac:dyDescent="0.2">
      <c r="A1527" s="9">
        <v>46169</v>
      </c>
      <c r="B1527" s="4" t="s">
        <v>221</v>
      </c>
      <c r="C1527" s="8">
        <v>46143</v>
      </c>
      <c r="D1527" s="4" t="s">
        <v>197</v>
      </c>
      <c r="E1527" s="14">
        <f>IF(SUMIFS('Daily NSE Equity Futures'!$I:$I,'Daily NSE Equity Futures'!$A:$A,$A1527)=0,"",SUMIFS('Daily NSE Equity Futures'!$I:$I,'Daily NSE Equity Futures'!$A:$A,$A1527))</f>
        <v>894.71950000000004</v>
      </c>
      <c r="F1527" s="6">
        <f>IF(SUMIFS('Daily BSE Equity Futures'!$I:$I,'Daily BSE Equity Futures'!$A:$A,$A1527)=0,"",SUMIFS('Daily BSE Equity Futures'!$I:$I,'Daily BSE Equity Futures'!$A:$A,$A1527))</f>
        <v>7.2327000000000004</v>
      </c>
      <c r="G1527" s="6">
        <f t="shared" si="276"/>
        <v>901.95220000000006</v>
      </c>
      <c r="H1527" s="15">
        <f t="shared" si="277"/>
        <v>0.99198106063713798</v>
      </c>
      <c r="I1527" s="15">
        <f t="shared" si="278"/>
        <v>8.0189393628620226E-3</v>
      </c>
      <c r="J1527" s="20">
        <f t="shared" si="279"/>
        <v>-0.75507933770100366</v>
      </c>
      <c r="K1527" s="15">
        <f t="shared" si="280"/>
        <v>-0.42322506559063466</v>
      </c>
      <c r="L1527" s="15">
        <f t="shared" si="281"/>
        <v>-0.75394408702307636</v>
      </c>
      <c r="M1527" s="15">
        <f t="shared" si="285"/>
        <v>-0.61802429239122847</v>
      </c>
      <c r="N1527" s="15">
        <f t="shared" si="286"/>
        <v>0.86251384132052644</v>
      </c>
      <c r="O1527" s="15">
        <f t="shared" si="287"/>
        <v>-0.61557381908737918</v>
      </c>
      <c r="P1527" s="18">
        <f>IF(SUMIFS('Daily NSE Equity Futures'!$J:$J,'Daily NSE Equity Futures'!$A:$A,$A1527)=0,"",SUMIFS('Daily NSE Equity Futures'!$J:$J,'Daily NSE Equity Futures'!$A:$A,$A1527))</f>
        <v>1232814</v>
      </c>
      <c r="Q1527" s="7">
        <f>IF(SUMIFS('Daily BSE Equity Futures'!$J:$J,'Daily BSE Equity Futures'!$A:$A,$A1527)=0,"",SUMIFS('Daily BSE Equity Futures'!$J:$J,'Daily BSE Equity Futures'!$A:$A,$A1527))</f>
        <v>4742</v>
      </c>
      <c r="R1527" s="7">
        <f t="shared" si="282"/>
        <v>1237556</v>
      </c>
      <c r="S1527" s="19">
        <f t="shared" si="283"/>
        <v>0.99616825420425414</v>
      </c>
      <c r="T1527" s="19">
        <f t="shared" si="284"/>
        <v>3.8317457957458088E-3</v>
      </c>
    </row>
    <row r="1528" spans="1:20" x14ac:dyDescent="0.2">
      <c r="A1528" s="9">
        <v>46171</v>
      </c>
      <c r="B1528" s="4" t="s">
        <v>222</v>
      </c>
      <c r="C1528" s="8">
        <v>46143</v>
      </c>
      <c r="D1528" s="4" t="s">
        <v>197</v>
      </c>
      <c r="E1528" s="14">
        <f>IF(SUMIFS('Daily NSE Equity Futures'!$I:$I,'Daily NSE Equity Futures'!$A:$A,$A1528)=0,"",SUMIFS('Daily NSE Equity Futures'!$I:$I,'Daily NSE Equity Futures'!$A:$A,$A1528))</f>
        <v>1624.8458000000001</v>
      </c>
      <c r="F1528" s="6">
        <f>IF(SUMIFS('Daily BSE Equity Futures'!$I:$I,'Daily BSE Equity Futures'!$A:$A,$A1528)=0,"",SUMIFS('Daily BSE Equity Futures'!$I:$I,'Daily BSE Equity Futures'!$A:$A,$A1528))</f>
        <v>5.2714999999999996</v>
      </c>
      <c r="G1528" s="6">
        <f t="shared" si="276"/>
        <v>1630.1173000000001</v>
      </c>
      <c r="H1528" s="15">
        <f t="shared" si="277"/>
        <v>0.99676618363598735</v>
      </c>
      <c r="I1528" s="15">
        <f t="shared" si="278"/>
        <v>3.2338163640125771E-3</v>
      </c>
      <c r="J1528" s="20">
        <f t="shared" si="279"/>
        <v>-0.42841597311407564</v>
      </c>
      <c r="K1528" s="15">
        <f t="shared" si="280"/>
        <v>0.72666229937766125</v>
      </c>
      <c r="L1528" s="15">
        <f t="shared" si="281"/>
        <v>-0.42717677718267011</v>
      </c>
      <c r="M1528" s="15">
        <f t="shared" si="285"/>
        <v>0.81603932852698535</v>
      </c>
      <c r="N1528" s="15">
        <f t="shared" si="286"/>
        <v>-0.2711573824436242</v>
      </c>
      <c r="O1528" s="15">
        <f t="shared" si="287"/>
        <v>0.80732116402620901</v>
      </c>
      <c r="P1528" s="18">
        <f>IF(SUMIFS('Daily NSE Equity Futures'!$J:$J,'Daily NSE Equity Futures'!$A:$A,$A1528)=0,"",SUMIFS('Daily NSE Equity Futures'!$J:$J,'Daily NSE Equity Futures'!$A:$A,$A1528))</f>
        <v>2244571</v>
      </c>
      <c r="Q1528" s="7">
        <f>IF(SUMIFS('Daily BSE Equity Futures'!$J:$J,'Daily BSE Equity Futures'!$A:$A,$A1528)=0,"",SUMIFS('Daily BSE Equity Futures'!$J:$J,'Daily BSE Equity Futures'!$A:$A,$A1528))</f>
        <v>3476</v>
      </c>
      <c r="R1528" s="7">
        <f t="shared" si="282"/>
        <v>2248047</v>
      </c>
      <c r="S1528" s="19">
        <f t="shared" si="283"/>
        <v>0.99845376898258797</v>
      </c>
      <c r="T1528" s="19">
        <f t="shared" si="284"/>
        <v>1.5462310174120025E-3</v>
      </c>
    </row>
    <row r="1529" spans="1:20" x14ac:dyDescent="0.2">
      <c r="A1529" s="9">
        <v>46174</v>
      </c>
      <c r="B1529" s="4" t="s">
        <v>225</v>
      </c>
      <c r="C1529" s="8">
        <v>46174</v>
      </c>
      <c r="D1529" s="4" t="s">
        <v>197</v>
      </c>
      <c r="E1529" s="14">
        <f>IF(SUMIFS('Daily NSE Equity Futures'!$I:$I,'Daily NSE Equity Futures'!$A:$A,$A1529)=0,"",SUMIFS('Daily NSE Equity Futures'!$I:$I,'Daily NSE Equity Futures'!$A:$A,$A1529))</f>
        <v>888.27049999999997</v>
      </c>
      <c r="F1529" s="6">
        <f>IF(SUMIFS('Daily BSE Equity Futures'!$I:$I,'Daily BSE Equity Futures'!$A:$A,$A1529)=0,"",SUMIFS('Daily BSE Equity Futures'!$I:$I,'Daily BSE Equity Futures'!$A:$A,$A1529))</f>
        <v>3.4861</v>
      </c>
      <c r="G1529" s="6">
        <f t="shared" si="276"/>
        <v>891.75659999999993</v>
      </c>
      <c r="H1529" s="15">
        <f t="shared" si="277"/>
        <v>0.99609074942646914</v>
      </c>
      <c r="I1529" s="15">
        <f t="shared" si="278"/>
        <v>3.9092505735309393E-3</v>
      </c>
      <c r="J1529" s="20" t="str">
        <f t="shared" si="279"/>
        <v/>
      </c>
      <c r="K1529" s="15" t="str">
        <f t="shared" si="280"/>
        <v/>
      </c>
      <c r="L1529" s="15" t="str">
        <f t="shared" si="281"/>
        <v/>
      </c>
      <c r="M1529" s="15">
        <f t="shared" si="285"/>
        <v>-0.45332012428502455</v>
      </c>
      <c r="N1529" s="15">
        <f t="shared" si="286"/>
        <v>-0.33868917765341933</v>
      </c>
      <c r="O1529" s="15">
        <f t="shared" si="287"/>
        <v>-0.45294942885398504</v>
      </c>
      <c r="P1529" s="18">
        <f>IF(SUMIFS('Daily NSE Equity Futures'!$J:$J,'Daily NSE Equity Futures'!$A:$A,$A1529)=0,"",SUMIFS('Daily NSE Equity Futures'!$J:$J,'Daily NSE Equity Futures'!$A:$A,$A1529))</f>
        <v>1193394</v>
      </c>
      <c r="Q1529" s="7">
        <f>IF(SUMIFS('Daily BSE Equity Futures'!$J:$J,'Daily BSE Equity Futures'!$A:$A,$A1529)=0,"",SUMIFS('Daily BSE Equity Futures'!$J:$J,'Daily BSE Equity Futures'!$A:$A,$A1529))</f>
        <v>2317</v>
      </c>
      <c r="R1529" s="7">
        <f t="shared" si="282"/>
        <v>1195711</v>
      </c>
      <c r="S1529" s="19">
        <f t="shared" si="283"/>
        <v>0.99806224079229844</v>
      </c>
      <c r="T1529" s="19">
        <f t="shared" si="284"/>
        <v>1.9377592077015266E-3</v>
      </c>
    </row>
    <row r="1530" spans="1:20" x14ac:dyDescent="0.2">
      <c r="A1530" s="9">
        <v>46175</v>
      </c>
      <c r="B1530" s="4" t="s">
        <v>223</v>
      </c>
      <c r="C1530" s="8">
        <v>46174</v>
      </c>
      <c r="D1530" s="4" t="s">
        <v>197</v>
      </c>
      <c r="E1530" s="14">
        <f>IF(SUMIFS('Daily NSE Equity Futures'!$I:$I,'Daily NSE Equity Futures'!$A:$A,$A1530)=0,"",SUMIFS('Daily NSE Equity Futures'!$I:$I,'Daily NSE Equity Futures'!$A:$A,$A1530))</f>
        <v>1028.4099000000001</v>
      </c>
      <c r="F1530" s="6">
        <f>IF(SUMIFS('Daily BSE Equity Futures'!$I:$I,'Daily BSE Equity Futures'!$A:$A,$A1530)=0,"",SUMIFS('Daily BSE Equity Futures'!$I:$I,'Daily BSE Equity Futures'!$A:$A,$A1530))</f>
        <v>3.0036999999999998</v>
      </c>
      <c r="G1530" s="6">
        <f t="shared" si="276"/>
        <v>1031.4136000000001</v>
      </c>
      <c r="H1530" s="15">
        <f t="shared" si="277"/>
        <v>0.9970877832132522</v>
      </c>
      <c r="I1530" s="15">
        <f t="shared" si="278"/>
        <v>2.9122167867478184E-3</v>
      </c>
      <c r="J1530" s="20">
        <f t="shared" si="279"/>
        <v>1.6275770554730729E-2</v>
      </c>
      <c r="K1530" s="15">
        <f t="shared" si="280"/>
        <v>-0.56615246844036171</v>
      </c>
      <c r="L1530" s="15">
        <f t="shared" si="281"/>
        <v>1.2318042304403587E-2</v>
      </c>
      <c r="M1530" s="15">
        <f t="shared" si="285"/>
        <v>0.15776658123848541</v>
      </c>
      <c r="N1530" s="15">
        <f t="shared" si="286"/>
        <v>-0.13837813028886148</v>
      </c>
      <c r="O1530" s="15">
        <f t="shared" si="287"/>
        <v>0.1566088773550991</v>
      </c>
      <c r="P1530" s="18">
        <f>IF(SUMIFS('Daily NSE Equity Futures'!$J:$J,'Daily NSE Equity Futures'!$A:$A,$A1530)=0,"",SUMIFS('Daily NSE Equity Futures'!$J:$J,'Daily NSE Equity Futures'!$A:$A,$A1530))</f>
        <v>1429311</v>
      </c>
      <c r="Q1530" s="7">
        <f>IF(SUMIFS('Daily BSE Equity Futures'!$J:$J,'Daily BSE Equity Futures'!$A:$A,$A1530)=0,"",SUMIFS('Daily BSE Equity Futures'!$J:$J,'Daily BSE Equity Futures'!$A:$A,$A1530))</f>
        <v>2001</v>
      </c>
      <c r="R1530" s="7">
        <f t="shared" si="282"/>
        <v>1431312</v>
      </c>
      <c r="S1530" s="19">
        <f t="shared" si="283"/>
        <v>0.99860198195781213</v>
      </c>
      <c r="T1530" s="19">
        <f t="shared" si="284"/>
        <v>1.3980180421878667E-3</v>
      </c>
    </row>
    <row r="1531" spans="1:20" x14ac:dyDescent="0.2">
      <c r="A1531" s="9">
        <v>46176</v>
      </c>
      <c r="B1531" s="4" t="s">
        <v>221</v>
      </c>
      <c r="C1531" s="8">
        <v>46174</v>
      </c>
      <c r="D1531" s="4" t="s">
        <v>197</v>
      </c>
      <c r="E1531" s="14">
        <f>IF(SUMIFS('Daily NSE Equity Futures'!$I:$I,'Daily NSE Equity Futures'!$A:$A,$A1531)=0,"",SUMIFS('Daily NSE Equity Futures'!$I:$I,'Daily NSE Equity Futures'!$A:$A,$A1531))</f>
        <v>1099.6384</v>
      </c>
      <c r="F1531" s="6">
        <f>IF(SUMIFS('Daily BSE Equity Futures'!$I:$I,'Daily BSE Equity Futures'!$A:$A,$A1531)=0,"",SUMIFS('Daily BSE Equity Futures'!$I:$I,'Daily BSE Equity Futures'!$A:$A,$A1531))</f>
        <v>5.8474000000000004</v>
      </c>
      <c r="G1531" s="6">
        <f t="shared" si="276"/>
        <v>1105.4858000000002</v>
      </c>
      <c r="H1531" s="15">
        <f t="shared" si="277"/>
        <v>0.99471056073266606</v>
      </c>
      <c r="I1531" s="15">
        <f t="shared" si="278"/>
        <v>5.289439267333872E-3</v>
      </c>
      <c r="J1531" s="20">
        <f t="shared" si="279"/>
        <v>3.7661824944945632E-3</v>
      </c>
      <c r="K1531" s="15">
        <f t="shared" si="280"/>
        <v>-0.61561620783045412</v>
      </c>
      <c r="L1531" s="15">
        <f t="shared" si="281"/>
        <v>-4.7168295227736357E-3</v>
      </c>
      <c r="M1531" s="15">
        <f t="shared" si="285"/>
        <v>6.926080738818241E-2</v>
      </c>
      <c r="N1531" s="15">
        <f t="shared" si="286"/>
        <v>0.9467323634184508</v>
      </c>
      <c r="O1531" s="15">
        <f t="shared" si="287"/>
        <v>7.1816194783547616E-2</v>
      </c>
      <c r="P1531" s="18">
        <f>IF(SUMIFS('Daily NSE Equity Futures'!$J:$J,'Daily NSE Equity Futures'!$A:$A,$A1531)=0,"",SUMIFS('Daily NSE Equity Futures'!$J:$J,'Daily NSE Equity Futures'!$A:$A,$A1531))</f>
        <v>1439024</v>
      </c>
      <c r="Q1531" s="7">
        <f>IF(SUMIFS('Daily BSE Equity Futures'!$J:$J,'Daily BSE Equity Futures'!$A:$A,$A1531)=0,"",SUMIFS('Daily BSE Equity Futures'!$J:$J,'Daily BSE Equity Futures'!$A:$A,$A1531))</f>
        <v>3913</v>
      </c>
      <c r="R1531" s="7">
        <f t="shared" si="282"/>
        <v>1442937</v>
      </c>
      <c r="S1531" s="19">
        <f t="shared" si="283"/>
        <v>0.99728816989237923</v>
      </c>
      <c r="T1531" s="19">
        <f t="shared" si="284"/>
        <v>2.7118301076207761E-3</v>
      </c>
    </row>
    <row r="1532" spans="1:20" x14ac:dyDescent="0.2">
      <c r="A1532" s="9">
        <v>46177</v>
      </c>
      <c r="B1532" s="4" t="s">
        <v>224</v>
      </c>
      <c r="C1532" s="8">
        <v>46174</v>
      </c>
      <c r="D1532" s="4" t="s">
        <v>197</v>
      </c>
      <c r="E1532" s="14">
        <f>IF(SUMIFS('Daily NSE Equity Futures'!$I:$I,'Daily NSE Equity Futures'!$A:$A,$A1532)=0,"",SUMIFS('Daily NSE Equity Futures'!$I:$I,'Daily NSE Equity Futures'!$A:$A,$A1532))</f>
        <v>772.87649999999996</v>
      </c>
      <c r="F1532" s="6">
        <f>IF(SUMIFS('Daily BSE Equity Futures'!$I:$I,'Daily BSE Equity Futures'!$A:$A,$A1532)=0,"",SUMIFS('Daily BSE Equity Futures'!$I:$I,'Daily BSE Equity Futures'!$A:$A,$A1532))</f>
        <v>6.1520000000000001</v>
      </c>
      <c r="G1532" s="6">
        <f t="shared" si="276"/>
        <v>779.02850000000001</v>
      </c>
      <c r="H1532" s="15">
        <f t="shared" si="277"/>
        <v>0.99210298467899438</v>
      </c>
      <c r="I1532" s="15">
        <f t="shared" si="278"/>
        <v>7.8970153210055852E-3</v>
      </c>
      <c r="J1532" s="20">
        <f t="shared" si="279"/>
        <v>-5.4937797511362407E-2</v>
      </c>
      <c r="K1532" s="15">
        <f t="shared" si="280"/>
        <v>0.49052672384552021</v>
      </c>
      <c r="L1532" s="15">
        <f t="shared" si="281"/>
        <v>-5.2198702983201839E-2</v>
      </c>
      <c r="M1532" s="15">
        <f t="shared" si="285"/>
        <v>-0.29715395533659072</v>
      </c>
      <c r="N1532" s="15">
        <f t="shared" si="286"/>
        <v>5.2091527858535436E-2</v>
      </c>
      <c r="O1532" s="15">
        <f t="shared" si="287"/>
        <v>-0.29530664256383943</v>
      </c>
      <c r="P1532" s="18">
        <f>IF(SUMIFS('Daily NSE Equity Futures'!$J:$J,'Daily NSE Equity Futures'!$A:$A,$A1532)=0,"",SUMIFS('Daily NSE Equity Futures'!$J:$J,'Daily NSE Equity Futures'!$A:$A,$A1532))</f>
        <v>1040438</v>
      </c>
      <c r="Q1532" s="7">
        <f>IF(SUMIFS('Daily BSE Equity Futures'!$J:$J,'Daily BSE Equity Futures'!$A:$A,$A1532)=0,"",SUMIFS('Daily BSE Equity Futures'!$J:$J,'Daily BSE Equity Futures'!$A:$A,$A1532))</f>
        <v>4125</v>
      </c>
      <c r="R1532" s="7">
        <f t="shared" si="282"/>
        <v>1044563</v>
      </c>
      <c r="S1532" s="19">
        <f t="shared" si="283"/>
        <v>0.99605098017065508</v>
      </c>
      <c r="T1532" s="19">
        <f t="shared" si="284"/>
        <v>3.9490198293449033E-3</v>
      </c>
    </row>
    <row r="1533" spans="1:20" x14ac:dyDescent="0.2">
      <c r="A1533" s="9">
        <v>46178</v>
      </c>
      <c r="B1533" s="4" t="s">
        <v>222</v>
      </c>
      <c r="C1533" s="8">
        <v>46174</v>
      </c>
      <c r="D1533" s="4" t="s">
        <v>197</v>
      </c>
      <c r="E1533" s="14">
        <f>IF(SUMIFS('Daily NSE Equity Futures'!$I:$I,'Daily NSE Equity Futures'!$A:$A,$A1533)=0,"",SUMIFS('Daily NSE Equity Futures'!$I:$I,'Daily NSE Equity Futures'!$A:$A,$A1533))</f>
        <v>940.21100000000001</v>
      </c>
      <c r="F1533" s="6">
        <f>IF(SUMIFS('Daily BSE Equity Futures'!$I:$I,'Daily BSE Equity Futures'!$A:$A,$A1533)=0,"",SUMIFS('Daily BSE Equity Futures'!$I:$I,'Daily BSE Equity Futures'!$A:$A,$A1533))</f>
        <v>2.7376999999999998</v>
      </c>
      <c r="G1533" s="6">
        <f t="shared" si="276"/>
        <v>942.94870000000003</v>
      </c>
      <c r="H1533" s="15">
        <f t="shared" si="277"/>
        <v>0.99709666071971892</v>
      </c>
      <c r="I1533" s="15">
        <f t="shared" si="278"/>
        <v>2.9033392802811009E-3</v>
      </c>
      <c r="J1533" s="20">
        <f t="shared" si="279"/>
        <v>-0.12757453898486193</v>
      </c>
      <c r="K1533" s="15">
        <f t="shared" si="280"/>
        <v>-0.4547500497908783</v>
      </c>
      <c r="L1533" s="15">
        <f t="shared" si="281"/>
        <v>-0.12909178264938215</v>
      </c>
      <c r="M1533" s="15">
        <f t="shared" si="285"/>
        <v>0.2165087177576237</v>
      </c>
      <c r="N1533" s="15">
        <f t="shared" si="286"/>
        <v>-0.55499024707412226</v>
      </c>
      <c r="O1533" s="15">
        <f t="shared" si="287"/>
        <v>0.21041617861220741</v>
      </c>
      <c r="P1533" s="18">
        <f>IF(SUMIFS('Daily NSE Equity Futures'!$J:$J,'Daily NSE Equity Futures'!$A:$A,$A1533)=0,"",SUMIFS('Daily NSE Equity Futures'!$J:$J,'Daily NSE Equity Futures'!$A:$A,$A1533))</f>
        <v>1179750</v>
      </c>
      <c r="Q1533" s="7">
        <f>IF(SUMIFS('Daily BSE Equity Futures'!$J:$J,'Daily BSE Equity Futures'!$A:$A,$A1533)=0,"",SUMIFS('Daily BSE Equity Futures'!$J:$J,'Daily BSE Equity Futures'!$A:$A,$A1533))</f>
        <v>1839</v>
      </c>
      <c r="R1533" s="7">
        <f t="shared" si="282"/>
        <v>1181589</v>
      </c>
      <c r="S1533" s="19">
        <f t="shared" si="283"/>
        <v>0.99844362125916875</v>
      </c>
      <c r="T1533" s="19">
        <f t="shared" si="284"/>
        <v>1.5563787408312028E-3</v>
      </c>
    </row>
    <row r="1534" spans="1:20" x14ac:dyDescent="0.2">
      <c r="A1534" s="9">
        <v>46181</v>
      </c>
      <c r="B1534" s="4" t="s">
        <v>225</v>
      </c>
      <c r="C1534" s="8">
        <v>46174</v>
      </c>
      <c r="D1534" s="4" t="s">
        <v>197</v>
      </c>
      <c r="E1534" s="14">
        <f>IF(SUMIFS('Daily NSE Equity Futures'!$I:$I,'Daily NSE Equity Futures'!$A:$A,$A1534)=0,"",SUMIFS('Daily NSE Equity Futures'!$I:$I,'Daily NSE Equity Futures'!$A:$A,$A1534))</f>
        <v>760.18259999999998</v>
      </c>
      <c r="F1534" s="6">
        <f>IF(SUMIFS('Daily BSE Equity Futures'!$I:$I,'Daily BSE Equity Futures'!$A:$A,$A1534)=0,"",SUMIFS('Daily BSE Equity Futures'!$I:$I,'Daily BSE Equity Futures'!$A:$A,$A1534))</f>
        <v>1.9202999999999999</v>
      </c>
      <c r="G1534" s="6">
        <f t="shared" si="276"/>
        <v>762.10289999999998</v>
      </c>
      <c r="H1534" s="15">
        <f t="shared" si="277"/>
        <v>0.99748026152373914</v>
      </c>
      <c r="I1534" s="15">
        <f t="shared" si="278"/>
        <v>2.5197384762608828E-3</v>
      </c>
      <c r="J1534" s="20" t="str">
        <f t="shared" si="279"/>
        <v/>
      </c>
      <c r="K1534" s="15" t="str">
        <f t="shared" si="280"/>
        <v/>
      </c>
      <c r="L1534" s="15" t="str">
        <f t="shared" si="281"/>
        <v/>
      </c>
      <c r="M1534" s="15">
        <f t="shared" si="285"/>
        <v>-0.19147659408366846</v>
      </c>
      <c r="N1534" s="15">
        <f t="shared" si="286"/>
        <v>-0.29857179384154586</v>
      </c>
      <c r="O1534" s="15">
        <f t="shared" si="287"/>
        <v>-0.19178752778385511</v>
      </c>
      <c r="P1534" s="18">
        <f>IF(SUMIFS('Daily NSE Equity Futures'!$J:$J,'Daily NSE Equity Futures'!$A:$A,$A1534)=0,"",SUMIFS('Daily NSE Equity Futures'!$J:$J,'Daily NSE Equity Futures'!$A:$A,$A1534))</f>
        <v>1007059</v>
      </c>
      <c r="Q1534" s="7">
        <f>IF(SUMIFS('Daily BSE Equity Futures'!$J:$J,'Daily BSE Equity Futures'!$A:$A,$A1534)=0,"",SUMIFS('Daily BSE Equity Futures'!$J:$J,'Daily BSE Equity Futures'!$A:$A,$A1534))</f>
        <v>1302</v>
      </c>
      <c r="R1534" s="7">
        <f t="shared" si="282"/>
        <v>1008361</v>
      </c>
      <c r="S1534" s="19">
        <f t="shared" si="283"/>
        <v>0.99870879575866178</v>
      </c>
      <c r="T1534" s="19">
        <f t="shared" si="284"/>
        <v>1.2912042413381715E-3</v>
      </c>
    </row>
    <row r="1535" spans="1:20" x14ac:dyDescent="0.2">
      <c r="A1535" s="9">
        <v>46182</v>
      </c>
      <c r="B1535" s="4" t="s">
        <v>223</v>
      </c>
      <c r="C1535" s="8">
        <v>46174</v>
      </c>
      <c r="D1535" s="4" t="s">
        <v>197</v>
      </c>
      <c r="E1535" s="14">
        <f>IF(SUMIFS('Daily NSE Equity Futures'!$I:$I,'Daily NSE Equity Futures'!$A:$A,$A1535)=0,"",SUMIFS('Daily NSE Equity Futures'!$I:$I,'Daily NSE Equity Futures'!$A:$A,$A1535))</f>
        <v>817.37260000000003</v>
      </c>
      <c r="F1535" s="6">
        <f>IF(SUMIFS('Daily BSE Equity Futures'!$I:$I,'Daily BSE Equity Futures'!$A:$A,$A1535)=0,"",SUMIFS('Daily BSE Equity Futures'!$I:$I,'Daily BSE Equity Futures'!$A:$A,$A1535))</f>
        <v>1.87</v>
      </c>
      <c r="G1535" s="6">
        <f t="shared" si="276"/>
        <v>819.24260000000004</v>
      </c>
      <c r="H1535" s="15">
        <f t="shared" si="277"/>
        <v>0.99771740385570773</v>
      </c>
      <c r="I1535" s="15">
        <f t="shared" si="278"/>
        <v>2.2825961442923012E-3</v>
      </c>
      <c r="J1535" s="20">
        <f t="shared" si="279"/>
        <v>-0.24198336221046324</v>
      </c>
      <c r="K1535" s="15">
        <f t="shared" si="280"/>
        <v>-8.6938083121289589E-3</v>
      </c>
      <c r="L1535" s="15">
        <f t="shared" si="281"/>
        <v>-0.24157595506052776</v>
      </c>
      <c r="M1535" s="15">
        <f t="shared" si="285"/>
        <v>7.5231924540235529E-2</v>
      </c>
      <c r="N1535" s="15">
        <f t="shared" si="286"/>
        <v>-2.6193823881685008E-2</v>
      </c>
      <c r="O1535" s="15">
        <f t="shared" si="287"/>
        <v>7.4976358179453362E-2</v>
      </c>
      <c r="P1535" s="18">
        <f>IF(SUMIFS('Daily NSE Equity Futures'!$J:$J,'Daily NSE Equity Futures'!$A:$A,$A1535)=0,"",SUMIFS('Daily NSE Equity Futures'!$J:$J,'Daily NSE Equity Futures'!$A:$A,$A1535))</f>
        <v>1057610</v>
      </c>
      <c r="Q1535" s="7">
        <f>IF(SUMIFS('Daily BSE Equity Futures'!$J:$J,'Daily BSE Equity Futures'!$A:$A,$A1535)=0,"",SUMIFS('Daily BSE Equity Futures'!$J:$J,'Daily BSE Equity Futures'!$A:$A,$A1535))</f>
        <v>1267</v>
      </c>
      <c r="R1535" s="7">
        <f t="shared" si="282"/>
        <v>1058877</v>
      </c>
      <c r="S1535" s="19">
        <f t="shared" si="283"/>
        <v>0.99880344931469844</v>
      </c>
      <c r="T1535" s="19">
        <f t="shared" si="284"/>
        <v>1.1965506853015035E-3</v>
      </c>
    </row>
    <row r="1536" spans="1:20" x14ac:dyDescent="0.2">
      <c r="A1536" s="9">
        <v>46183</v>
      </c>
      <c r="B1536" s="4" t="s">
        <v>221</v>
      </c>
      <c r="C1536" s="8">
        <v>46174</v>
      </c>
      <c r="D1536" s="4" t="s">
        <v>197</v>
      </c>
      <c r="E1536" s="14">
        <f>IF(SUMIFS('Daily NSE Equity Futures'!$I:$I,'Daily NSE Equity Futures'!$A:$A,$A1536)=0,"",SUMIFS('Daily NSE Equity Futures'!$I:$I,'Daily NSE Equity Futures'!$A:$A,$A1536))</f>
        <v>838.3175</v>
      </c>
      <c r="F1536" s="6">
        <f>IF(SUMIFS('Daily BSE Equity Futures'!$I:$I,'Daily BSE Equity Futures'!$A:$A,$A1536)=0,"",SUMIFS('Daily BSE Equity Futures'!$I:$I,'Daily BSE Equity Futures'!$A:$A,$A1536))</f>
        <v>2.2105999999999999</v>
      </c>
      <c r="G1536" s="6">
        <f t="shared" si="276"/>
        <v>840.52809999999999</v>
      </c>
      <c r="H1536" s="15">
        <f t="shared" si="277"/>
        <v>0.99736998679758593</v>
      </c>
      <c r="I1536" s="15">
        <f t="shared" si="278"/>
        <v>2.6300132024140535E-3</v>
      </c>
      <c r="J1536" s="20">
        <f t="shared" si="279"/>
        <v>-0.16651612304760999</v>
      </c>
      <c r="K1536" s="15">
        <f t="shared" si="280"/>
        <v>-0.48187038556193595</v>
      </c>
      <c r="L1536" s="15">
        <f t="shared" si="281"/>
        <v>-0.16784817385164408</v>
      </c>
      <c r="M1536" s="15">
        <f t="shared" si="285"/>
        <v>2.5624666155924514E-2</v>
      </c>
      <c r="N1536" s="15">
        <f t="shared" si="286"/>
        <v>0.18213903743315485</v>
      </c>
      <c r="O1536" s="15">
        <f t="shared" si="287"/>
        <v>2.5981925256328253E-2</v>
      </c>
      <c r="P1536" s="18">
        <f>IF(SUMIFS('Daily NSE Equity Futures'!$J:$J,'Daily NSE Equity Futures'!$A:$A,$A1536)=0,"",SUMIFS('Daily NSE Equity Futures'!$J:$J,'Daily NSE Equity Futures'!$A:$A,$A1536))</f>
        <v>1115564</v>
      </c>
      <c r="Q1536" s="7">
        <f>IF(SUMIFS('Daily BSE Equity Futures'!$J:$J,'Daily BSE Equity Futures'!$A:$A,$A1536)=0,"",SUMIFS('Daily BSE Equity Futures'!$J:$J,'Daily BSE Equity Futures'!$A:$A,$A1536))</f>
        <v>1499</v>
      </c>
      <c r="R1536" s="7">
        <f t="shared" si="282"/>
        <v>1117063</v>
      </c>
      <c r="S1536" s="19">
        <f t="shared" si="283"/>
        <v>0.99865808821883817</v>
      </c>
      <c r="T1536" s="19">
        <f t="shared" si="284"/>
        <v>1.3419117811618504E-3</v>
      </c>
    </row>
    <row r="1537" spans="1:20" x14ac:dyDescent="0.2">
      <c r="A1537" s="9">
        <v>46184</v>
      </c>
      <c r="B1537" s="4" t="s">
        <v>224</v>
      </c>
      <c r="C1537" s="8">
        <v>46174</v>
      </c>
      <c r="D1537" s="4" t="s">
        <v>197</v>
      </c>
      <c r="E1537" s="14">
        <f>IF(SUMIFS('Daily NSE Equity Futures'!$I:$I,'Daily NSE Equity Futures'!$A:$A,$A1537)=0,"",SUMIFS('Daily NSE Equity Futures'!$I:$I,'Daily NSE Equity Futures'!$A:$A,$A1537))</f>
        <v>721.66570000000002</v>
      </c>
      <c r="F1537" s="6">
        <f>IF(SUMIFS('Daily BSE Equity Futures'!$I:$I,'Daily BSE Equity Futures'!$A:$A,$A1537)=0,"",SUMIFS('Daily BSE Equity Futures'!$I:$I,'Daily BSE Equity Futures'!$A:$A,$A1537))</f>
        <v>3.6751</v>
      </c>
      <c r="G1537" s="6">
        <f t="shared" si="276"/>
        <v>725.34080000000006</v>
      </c>
      <c r="H1537" s="15">
        <f t="shared" si="277"/>
        <v>0.99493327826037081</v>
      </c>
      <c r="I1537" s="15">
        <f t="shared" si="278"/>
        <v>5.0667217396291502E-3</v>
      </c>
      <c r="J1537" s="20">
        <f t="shared" si="279"/>
        <v>-0.30983217901415205</v>
      </c>
      <c r="K1537" s="15">
        <f t="shared" si="280"/>
        <v>0.876103935882383</v>
      </c>
      <c r="L1537" s="15">
        <f t="shared" si="281"/>
        <v>-0.30761459870681174</v>
      </c>
      <c r="M1537" s="15">
        <f t="shared" si="285"/>
        <v>-0.13914990442165409</v>
      </c>
      <c r="N1537" s="15">
        <f t="shared" si="286"/>
        <v>0.66248982176784588</v>
      </c>
      <c r="O1537" s="15">
        <f t="shared" si="287"/>
        <v>-0.137041581358196</v>
      </c>
      <c r="P1537" s="18">
        <f>IF(SUMIFS('Daily NSE Equity Futures'!$J:$J,'Daily NSE Equity Futures'!$A:$A,$A1537)=0,"",SUMIFS('Daily NSE Equity Futures'!$J:$J,'Daily NSE Equity Futures'!$A:$A,$A1537))</f>
        <v>972907</v>
      </c>
      <c r="Q1537" s="7">
        <f>IF(SUMIFS('Daily BSE Equity Futures'!$J:$J,'Daily BSE Equity Futures'!$A:$A,$A1537)=0,"",SUMIFS('Daily BSE Equity Futures'!$J:$J,'Daily BSE Equity Futures'!$A:$A,$A1537))</f>
        <v>2497</v>
      </c>
      <c r="R1537" s="7">
        <f t="shared" si="282"/>
        <v>975404</v>
      </c>
      <c r="S1537" s="19">
        <f t="shared" si="283"/>
        <v>0.99744003510340329</v>
      </c>
      <c r="T1537" s="19">
        <f t="shared" si="284"/>
        <v>2.5599648965966924E-3</v>
      </c>
    </row>
    <row r="1538" spans="1:20" x14ac:dyDescent="0.2">
      <c r="A1538" s="9">
        <v>46185</v>
      </c>
      <c r="B1538" s="4" t="s">
        <v>222</v>
      </c>
      <c r="C1538" s="8">
        <v>46174</v>
      </c>
      <c r="D1538" s="4" t="s">
        <v>197</v>
      </c>
      <c r="E1538" s="14">
        <f>IF(SUMIFS('Daily NSE Equity Futures'!$I:$I,'Daily NSE Equity Futures'!$A:$A,$A1538)=0,"",SUMIFS('Daily NSE Equity Futures'!$I:$I,'Daily NSE Equity Futures'!$A:$A,$A1538))</f>
        <v>1055.3981000000001</v>
      </c>
      <c r="F1538" s="6">
        <f>IF(SUMIFS('Daily BSE Equity Futures'!$I:$I,'Daily BSE Equity Futures'!$A:$A,$A1538)=0,"",SUMIFS('Daily BSE Equity Futures'!$I:$I,'Daily BSE Equity Futures'!$A:$A,$A1538))</f>
        <v>4.8845000000000001</v>
      </c>
      <c r="G1538" s="6">
        <f t="shared" ref="G1538:G1601" si="288">IF(OR(E1538="",F1538=""),"",E1538+F1538)</f>
        <v>1060.2826</v>
      </c>
      <c r="H1538" s="15">
        <f t="shared" ref="H1538:H1601" si="289">IF(G1538="","",E1538/G1538)</f>
        <v>0.99539320931985498</v>
      </c>
      <c r="I1538" s="15">
        <f t="shared" ref="I1538:I1586" si="290">IF(G1538="","",F1538/G1538)</f>
        <v>4.6067906801450856E-3</v>
      </c>
      <c r="J1538" s="20">
        <f t="shared" ref="J1538:J1586" si="291">IFERROR(IF(OR(E1538="",INDEX(E:E,MATCH(DATE(YEAR($A1538)-1,MONTH($A1538),DAY($A1538)),$A:$A,0))=""),"",E1538/INDEX(E:E,MATCH(DATE(YEAR($A1538)-1,MONTH($A1538),DAY($A1538)),$A:$A,0))-1),"")</f>
        <v>-0.15952718740132632</v>
      </c>
      <c r="K1538" s="15">
        <f t="shared" ref="K1538:K1586" si="292">IFERROR(IF(OR(F1538="",INDEX(F:F,MATCH(DATE(YEAR($A1538)-1,MONTH($A1538),DAY($A1538)),$A:$A,0))=""),"",F1538/INDEX(F:F,MATCH(DATE(YEAR($A1538)-1,MONTH($A1538),DAY($A1538)),$A:$A,0))-1),"")</f>
        <v>0.40820503949720344</v>
      </c>
      <c r="L1538" s="15">
        <f t="shared" ref="L1538:L1586" si="293">IFERROR(IF(OR(G1538="",INDEX(G:G,MATCH(DATE(YEAR($A1538)-1,MONTH($A1538),DAY($A1538)),$A:$A,0))=""),"",G1538/INDEX(G:G,MATCH(DATE(YEAR($A1538)-1,MONTH($A1538),DAY($A1538)),$A:$A,0))-1),"")</f>
        <v>-0.15796329396696163</v>
      </c>
      <c r="M1538" s="15">
        <f t="shared" si="285"/>
        <v>0.46244736309346579</v>
      </c>
      <c r="N1538" s="15">
        <f t="shared" si="286"/>
        <v>0.32907948083045357</v>
      </c>
      <c r="O1538" s="15">
        <f t="shared" si="287"/>
        <v>0.46177162514503522</v>
      </c>
      <c r="P1538" s="18">
        <f>IF(SUMIFS('Daily NSE Equity Futures'!$J:$J,'Daily NSE Equity Futures'!$A:$A,$A1538)=0,"",SUMIFS('Daily NSE Equity Futures'!$J:$J,'Daily NSE Equity Futures'!$A:$A,$A1538))</f>
        <v>1358626</v>
      </c>
      <c r="Q1538" s="7">
        <f>IF(SUMIFS('Daily BSE Equity Futures'!$J:$J,'Daily BSE Equity Futures'!$A:$A,$A1538)=0,"",SUMIFS('Daily BSE Equity Futures'!$J:$J,'Daily BSE Equity Futures'!$A:$A,$A1538))</f>
        <v>3255</v>
      </c>
      <c r="R1538" s="7">
        <f t="shared" ref="R1538:R1601" si="294">IF(OR(P1538="",Q1538=""),"",P1538+Q1538)</f>
        <v>1361881</v>
      </c>
      <c r="S1538" s="19">
        <f t="shared" ref="S1538:S1601" si="295">IF(R1538="","",P1538/R1538)</f>
        <v>0.99760992333397702</v>
      </c>
      <c r="T1538" s="19">
        <f t="shared" ref="T1538:T1586" si="296">IF(R1538="","",Q1538/R1538)</f>
        <v>2.3900766660229491E-3</v>
      </c>
    </row>
    <row r="1539" spans="1:20" x14ac:dyDescent="0.2">
      <c r="A1539" s="9">
        <v>46188</v>
      </c>
      <c r="B1539" s="4" t="s">
        <v>225</v>
      </c>
      <c r="C1539" s="8">
        <v>46174</v>
      </c>
      <c r="D1539" s="4" t="s">
        <v>197</v>
      </c>
      <c r="E1539" s="14">
        <f>IF(SUMIFS('Daily NSE Equity Futures'!$I:$I,'Daily NSE Equity Futures'!$A:$A,$A1539)=0,"",SUMIFS('Daily NSE Equity Futures'!$I:$I,'Daily NSE Equity Futures'!$A:$A,$A1539))</f>
        <v>1047.2276999999999</v>
      </c>
      <c r="F1539" s="6">
        <f>IF(SUMIFS('Daily BSE Equity Futures'!$I:$I,'Daily BSE Equity Futures'!$A:$A,$A1539)=0,"",SUMIFS('Daily BSE Equity Futures'!$I:$I,'Daily BSE Equity Futures'!$A:$A,$A1539))</f>
        <v>3.5078999999999998</v>
      </c>
      <c r="G1539" s="6">
        <f t="shared" si="288"/>
        <v>1050.7356</v>
      </c>
      <c r="H1539" s="15">
        <f t="shared" si="289"/>
        <v>0.99666148172765812</v>
      </c>
      <c r="I1539" s="15">
        <f t="shared" si="290"/>
        <v>3.3385182723417763E-3</v>
      </c>
      <c r="J1539" s="20" t="str">
        <f t="shared" si="291"/>
        <v/>
      </c>
      <c r="K1539" s="15" t="str">
        <f t="shared" si="292"/>
        <v/>
      </c>
      <c r="L1539" s="15" t="str">
        <f t="shared" si="293"/>
        <v/>
      </c>
      <c r="M1539" s="15">
        <f t="shared" ref="M1539:M1586" si="297">IF(OR(E1539="",E1538=""),"",E1539/E1538-1)</f>
        <v>-7.7415337397330752E-3</v>
      </c>
      <c r="N1539" s="15">
        <f t="shared" ref="N1539:N1586" si="298">IF(OR(F1539="",F1538=""),"",F1539/F1538-1)</f>
        <v>-0.28183027945542027</v>
      </c>
      <c r="O1539" s="15">
        <f t="shared" ref="O1539:O1586" si="299">IF(OR(G1539="",G1538=""),"",G1539/G1538-1)</f>
        <v>-9.004203219028617E-3</v>
      </c>
      <c r="P1539" s="18">
        <f>IF(SUMIFS('Daily NSE Equity Futures'!$J:$J,'Daily NSE Equity Futures'!$A:$A,$A1539)=0,"",SUMIFS('Daily NSE Equity Futures'!$J:$J,'Daily NSE Equity Futures'!$A:$A,$A1539))</f>
        <v>1407687</v>
      </c>
      <c r="Q1539" s="7">
        <f>IF(SUMIFS('Daily BSE Equity Futures'!$J:$J,'Daily BSE Equity Futures'!$A:$A,$A1539)=0,"",SUMIFS('Daily BSE Equity Futures'!$J:$J,'Daily BSE Equity Futures'!$A:$A,$A1539))</f>
        <v>2290</v>
      </c>
      <c r="R1539" s="7">
        <f t="shared" si="294"/>
        <v>1409977</v>
      </c>
      <c r="S1539" s="19">
        <f t="shared" si="295"/>
        <v>0.99837586003175938</v>
      </c>
      <c r="T1539" s="19">
        <f t="shared" si="296"/>
        <v>1.6241399682406167E-3</v>
      </c>
    </row>
    <row r="1540" spans="1:20" x14ac:dyDescent="0.2">
      <c r="A1540" s="9">
        <v>46189</v>
      </c>
      <c r="B1540" s="4" t="s">
        <v>223</v>
      </c>
      <c r="C1540" s="8">
        <v>46174</v>
      </c>
      <c r="D1540" s="4" t="s">
        <v>197</v>
      </c>
      <c r="E1540" s="14">
        <f>IF(SUMIFS('Daily NSE Equity Futures'!$I:$I,'Daily NSE Equity Futures'!$A:$A,$A1540)=0,"",SUMIFS('Daily NSE Equity Futures'!$I:$I,'Daily NSE Equity Futures'!$A:$A,$A1540))</f>
        <v>735.14930000000004</v>
      </c>
      <c r="F1540" s="6">
        <f>IF(SUMIFS('Daily BSE Equity Futures'!$I:$I,'Daily BSE Equity Futures'!$A:$A,$A1540)=0,"",SUMIFS('Daily BSE Equity Futures'!$I:$I,'Daily BSE Equity Futures'!$A:$A,$A1540))</f>
        <v>1.8775999999999999</v>
      </c>
      <c r="G1540" s="6">
        <f t="shared" si="288"/>
        <v>737.02690000000007</v>
      </c>
      <c r="H1540" s="15">
        <f t="shared" si="289"/>
        <v>0.99745246747438931</v>
      </c>
      <c r="I1540" s="15">
        <f t="shared" si="290"/>
        <v>2.547532525610666E-3</v>
      </c>
      <c r="J1540" s="20">
        <f t="shared" si="291"/>
        <v>-0.32127131179181312</v>
      </c>
      <c r="K1540" s="15">
        <f t="shared" si="292"/>
        <v>-0.52142329161675116</v>
      </c>
      <c r="L1540" s="15">
        <f t="shared" si="293"/>
        <v>-0.3219936852962263</v>
      </c>
      <c r="M1540" s="15">
        <f t="shared" si="297"/>
        <v>-0.2980043404123095</v>
      </c>
      <c r="N1540" s="15">
        <f t="shared" si="298"/>
        <v>-0.46475099062116931</v>
      </c>
      <c r="O1540" s="15">
        <f t="shared" si="299"/>
        <v>-0.29856102715088351</v>
      </c>
      <c r="P1540" s="18">
        <f>IF(SUMIFS('Daily NSE Equity Futures'!$J:$J,'Daily NSE Equity Futures'!$A:$A,$A1540)=0,"",SUMIFS('Daily NSE Equity Futures'!$J:$J,'Daily NSE Equity Futures'!$A:$A,$A1540))</f>
        <v>1020133</v>
      </c>
      <c r="Q1540" s="7">
        <f>IF(SUMIFS('Daily BSE Equity Futures'!$J:$J,'Daily BSE Equity Futures'!$A:$A,$A1540)=0,"",SUMIFS('Daily BSE Equity Futures'!$J:$J,'Daily BSE Equity Futures'!$A:$A,$A1540))</f>
        <v>1234</v>
      </c>
      <c r="R1540" s="7">
        <f t="shared" si="294"/>
        <v>1021367</v>
      </c>
      <c r="S1540" s="19">
        <f t="shared" si="295"/>
        <v>0.99879181528285133</v>
      </c>
      <c r="T1540" s="19">
        <f t="shared" si="296"/>
        <v>1.2081847171486841E-3</v>
      </c>
    </row>
    <row r="1541" spans="1:20" x14ac:dyDescent="0.2">
      <c r="A1541" s="9">
        <v>46190</v>
      </c>
      <c r="B1541" s="4" t="s">
        <v>221</v>
      </c>
      <c r="C1541" s="8">
        <v>46174</v>
      </c>
      <c r="D1541" s="4" t="s">
        <v>197</v>
      </c>
      <c r="E1541" s="14">
        <f>IF(SUMIFS('Daily NSE Equity Futures'!$I:$I,'Daily NSE Equity Futures'!$A:$A,$A1541)=0,"",SUMIFS('Daily NSE Equity Futures'!$I:$I,'Daily NSE Equity Futures'!$A:$A,$A1541))</f>
        <v>854.83420000000001</v>
      </c>
      <c r="F1541" s="6">
        <f>IF(SUMIFS('Daily BSE Equity Futures'!$I:$I,'Daily BSE Equity Futures'!$A:$A,$A1541)=0,"",SUMIFS('Daily BSE Equity Futures'!$I:$I,'Daily BSE Equity Futures'!$A:$A,$A1541))</f>
        <v>2.7875000000000001</v>
      </c>
      <c r="G1541" s="6">
        <f t="shared" si="288"/>
        <v>857.62170000000003</v>
      </c>
      <c r="H1541" s="15">
        <f t="shared" si="289"/>
        <v>0.9967497324286454</v>
      </c>
      <c r="I1541" s="15">
        <f t="shared" si="290"/>
        <v>3.2502675713545963E-3</v>
      </c>
      <c r="J1541" s="20">
        <f t="shared" si="291"/>
        <v>-7.8361079326669913E-2</v>
      </c>
      <c r="K1541" s="15">
        <f t="shared" si="292"/>
        <v>-0.45242211134247434</v>
      </c>
      <c r="L1541" s="15">
        <f t="shared" si="293"/>
        <v>-8.0402879715858577E-2</v>
      </c>
      <c r="M1541" s="15">
        <f t="shared" si="297"/>
        <v>0.16280352848054136</v>
      </c>
      <c r="N1541" s="15">
        <f t="shared" si="298"/>
        <v>0.48460801022582034</v>
      </c>
      <c r="O1541" s="15">
        <f t="shared" si="299"/>
        <v>0.16362333586467459</v>
      </c>
      <c r="P1541" s="18">
        <f>IF(SUMIFS('Daily NSE Equity Futures'!$J:$J,'Daily NSE Equity Futures'!$A:$A,$A1541)=0,"",SUMIFS('Daily NSE Equity Futures'!$J:$J,'Daily NSE Equity Futures'!$A:$A,$A1541))</f>
        <v>1241607</v>
      </c>
      <c r="Q1541" s="7">
        <f>IF(SUMIFS('Daily BSE Equity Futures'!$J:$J,'Daily BSE Equity Futures'!$A:$A,$A1541)=0,"",SUMIFS('Daily BSE Equity Futures'!$J:$J,'Daily BSE Equity Futures'!$A:$A,$A1541))</f>
        <v>1807</v>
      </c>
      <c r="R1541" s="7">
        <f t="shared" si="294"/>
        <v>1243414</v>
      </c>
      <c r="S1541" s="19">
        <f t="shared" si="295"/>
        <v>0.99854674307993962</v>
      </c>
      <c r="T1541" s="19">
        <f t="shared" si="296"/>
        <v>1.4532569200604143E-3</v>
      </c>
    </row>
    <row r="1542" spans="1:20" x14ac:dyDescent="0.2">
      <c r="A1542" s="9">
        <v>46191</v>
      </c>
      <c r="B1542" s="4" t="s">
        <v>224</v>
      </c>
      <c r="C1542" s="8">
        <v>46174</v>
      </c>
      <c r="D1542" s="4" t="s">
        <v>197</v>
      </c>
      <c r="E1542" s="14">
        <f>IF(SUMIFS('Daily NSE Equity Futures'!$I:$I,'Daily NSE Equity Futures'!$A:$A,$A1542)=0,"",SUMIFS('Daily NSE Equity Futures'!$I:$I,'Daily NSE Equity Futures'!$A:$A,$A1542))</f>
        <v>894.02160000000003</v>
      </c>
      <c r="F1542" s="6">
        <f>IF(SUMIFS('Daily BSE Equity Futures'!$I:$I,'Daily BSE Equity Futures'!$A:$A,$A1542)=0,"",SUMIFS('Daily BSE Equity Futures'!$I:$I,'Daily BSE Equity Futures'!$A:$A,$A1542))</f>
        <v>4.3205</v>
      </c>
      <c r="G1542" s="6">
        <f t="shared" si="288"/>
        <v>898.34210000000007</v>
      </c>
      <c r="H1542" s="15">
        <f t="shared" si="289"/>
        <v>0.99519058496757518</v>
      </c>
      <c r="I1542" s="15">
        <f t="shared" si="290"/>
        <v>4.8094150324247296E-3</v>
      </c>
      <c r="J1542" s="20">
        <f t="shared" si="291"/>
        <v>-9.9118729655085613E-2</v>
      </c>
      <c r="K1542" s="15">
        <f t="shared" si="292"/>
        <v>0.86421297894373472</v>
      </c>
      <c r="L1542" s="15">
        <f t="shared" si="293"/>
        <v>-9.6874223386433145E-2</v>
      </c>
      <c r="M1542" s="15">
        <f t="shared" si="297"/>
        <v>4.5842105989676085E-2</v>
      </c>
      <c r="N1542" s="15">
        <f t="shared" si="298"/>
        <v>0.54995515695067265</v>
      </c>
      <c r="O1542" s="15">
        <f t="shared" si="299"/>
        <v>4.748060829151135E-2</v>
      </c>
      <c r="P1542" s="18">
        <f>IF(SUMIFS('Daily NSE Equity Futures'!$J:$J,'Daily NSE Equity Futures'!$A:$A,$A1542)=0,"",SUMIFS('Daily NSE Equity Futures'!$J:$J,'Daily NSE Equity Futures'!$A:$A,$A1542))</f>
        <v>1259020</v>
      </c>
      <c r="Q1542" s="7">
        <f>IF(SUMIFS('Daily BSE Equity Futures'!$J:$J,'Daily BSE Equity Futures'!$A:$A,$A1542)=0,"",SUMIFS('Daily BSE Equity Futures'!$J:$J,'Daily BSE Equity Futures'!$A:$A,$A1542))</f>
        <v>2799</v>
      </c>
      <c r="R1542" s="7">
        <f t="shared" si="294"/>
        <v>1261819</v>
      </c>
      <c r="S1542" s="19">
        <f t="shared" si="295"/>
        <v>0.99778177377262511</v>
      </c>
      <c r="T1542" s="19">
        <f t="shared" si="296"/>
        <v>2.2182262273749247E-3</v>
      </c>
    </row>
    <row r="1543" spans="1:20" x14ac:dyDescent="0.2">
      <c r="A1543" s="9">
        <v>46192</v>
      </c>
      <c r="B1543" s="4" t="s">
        <v>222</v>
      </c>
      <c r="C1543" s="8">
        <v>46174</v>
      </c>
      <c r="D1543" s="4" t="s">
        <v>197</v>
      </c>
      <c r="E1543" s="14">
        <f>IF(SUMIFS('Daily NSE Equity Futures'!$I:$I,'Daily NSE Equity Futures'!$A:$A,$A1543)=0,"",SUMIFS('Daily NSE Equity Futures'!$I:$I,'Daily NSE Equity Futures'!$A:$A,$A1543))</f>
        <v>1131.4007999999999</v>
      </c>
      <c r="F1543" s="6">
        <f>IF(SUMIFS('Daily BSE Equity Futures'!$I:$I,'Daily BSE Equity Futures'!$A:$A,$A1543)=0,"",SUMIFS('Daily BSE Equity Futures'!$I:$I,'Daily BSE Equity Futures'!$A:$A,$A1543))</f>
        <v>3.1842000000000001</v>
      </c>
      <c r="G1543" s="6">
        <f t="shared" si="288"/>
        <v>1134.5849999999998</v>
      </c>
      <c r="H1543" s="15">
        <f t="shared" si="289"/>
        <v>0.99719351128386158</v>
      </c>
      <c r="I1543" s="15">
        <f t="shared" si="290"/>
        <v>2.8064887161385007E-3</v>
      </c>
      <c r="J1543" s="20">
        <f t="shared" si="291"/>
        <v>7.4290445620375012E-2</v>
      </c>
      <c r="K1543" s="15">
        <f t="shared" si="292"/>
        <v>0.85267935067201983</v>
      </c>
      <c r="L1543" s="15">
        <f t="shared" si="293"/>
        <v>7.5558663229560619E-2</v>
      </c>
      <c r="M1543" s="15">
        <f t="shared" si="297"/>
        <v>0.26551841700468959</v>
      </c>
      <c r="N1543" s="15">
        <f t="shared" si="298"/>
        <v>-0.26300196736488834</v>
      </c>
      <c r="O1543" s="15">
        <f t="shared" si="299"/>
        <v>0.26297654312315966</v>
      </c>
      <c r="P1543" s="18">
        <f>IF(SUMIFS('Daily NSE Equity Futures'!$J:$J,'Daily NSE Equity Futures'!$A:$A,$A1543)=0,"",SUMIFS('Daily NSE Equity Futures'!$J:$J,'Daily NSE Equity Futures'!$A:$A,$A1543))</f>
        <v>1627168</v>
      </c>
      <c r="Q1543" s="7">
        <f>IF(SUMIFS('Daily BSE Equity Futures'!$J:$J,'Daily BSE Equity Futures'!$A:$A,$A1543)=0,"",SUMIFS('Daily BSE Equity Futures'!$J:$J,'Daily BSE Equity Futures'!$A:$A,$A1543))</f>
        <v>2062</v>
      </c>
      <c r="R1543" s="7">
        <f t="shared" si="294"/>
        <v>1629230</v>
      </c>
      <c r="S1543" s="19">
        <f t="shared" si="295"/>
        <v>0.99873437145154464</v>
      </c>
      <c r="T1543" s="19">
        <f t="shared" si="296"/>
        <v>1.2656285484554054E-3</v>
      </c>
    </row>
    <row r="1544" spans="1:20" x14ac:dyDescent="0.2">
      <c r="A1544" s="9">
        <v>46195</v>
      </c>
      <c r="B1544" s="4" t="s">
        <v>225</v>
      </c>
      <c r="C1544" s="8">
        <v>46174</v>
      </c>
      <c r="D1544" s="4" t="s">
        <v>197</v>
      </c>
      <c r="E1544" s="14">
        <f>IF(SUMIFS('Daily NSE Equity Futures'!$I:$I,'Daily NSE Equity Futures'!$A:$A,$A1544)=0,"",SUMIFS('Daily NSE Equity Futures'!$I:$I,'Daily NSE Equity Futures'!$A:$A,$A1544))</f>
        <v>922.21489999999994</v>
      </c>
      <c r="F1544" s="6">
        <f>IF(SUMIFS('Daily BSE Equity Futures'!$I:$I,'Daily BSE Equity Futures'!$A:$A,$A1544)=0,"",SUMIFS('Daily BSE Equity Futures'!$I:$I,'Daily BSE Equity Futures'!$A:$A,$A1544))</f>
        <v>1.7794000000000001</v>
      </c>
      <c r="G1544" s="6">
        <f t="shared" si="288"/>
        <v>923.99429999999995</v>
      </c>
      <c r="H1544" s="15">
        <f t="shared" si="289"/>
        <v>0.99807423054449573</v>
      </c>
      <c r="I1544" s="15">
        <f t="shared" si="290"/>
        <v>1.9257694555042169E-3</v>
      </c>
      <c r="J1544" s="20" t="str">
        <f t="shared" si="291"/>
        <v/>
      </c>
      <c r="K1544" s="15" t="str">
        <f t="shared" si="292"/>
        <v/>
      </c>
      <c r="L1544" s="15" t="str">
        <f t="shared" si="293"/>
        <v/>
      </c>
      <c r="M1544" s="15">
        <f t="shared" si="297"/>
        <v>-0.1848910660130344</v>
      </c>
      <c r="N1544" s="15">
        <f t="shared" si="298"/>
        <v>-0.44117831794485274</v>
      </c>
      <c r="O1544" s="15">
        <f t="shared" si="299"/>
        <v>-0.18561033329367116</v>
      </c>
      <c r="P1544" s="18">
        <f>IF(SUMIFS('Daily NSE Equity Futures'!$J:$J,'Daily NSE Equity Futures'!$A:$A,$A1544)=0,"",SUMIFS('Daily NSE Equity Futures'!$J:$J,'Daily NSE Equity Futures'!$A:$A,$A1544))</f>
        <v>1320494</v>
      </c>
      <c r="Q1544" s="7">
        <f>IF(SUMIFS('Daily BSE Equity Futures'!$J:$J,'Daily BSE Equity Futures'!$A:$A,$A1544)=0,"",SUMIFS('Daily BSE Equity Futures'!$J:$J,'Daily BSE Equity Futures'!$A:$A,$A1544))</f>
        <v>1158</v>
      </c>
      <c r="R1544" s="7">
        <f t="shared" si="294"/>
        <v>1321652</v>
      </c>
      <c r="S1544" s="19">
        <f t="shared" si="295"/>
        <v>0.99912382382049136</v>
      </c>
      <c r="T1544" s="19">
        <f t="shared" si="296"/>
        <v>8.761761795086755E-4</v>
      </c>
    </row>
    <row r="1545" spans="1:20" x14ac:dyDescent="0.2">
      <c r="A1545" s="9">
        <v>46196</v>
      </c>
      <c r="B1545" s="4" t="s">
        <v>223</v>
      </c>
      <c r="C1545" s="8">
        <v>46174</v>
      </c>
      <c r="D1545" s="4" t="s">
        <v>197</v>
      </c>
      <c r="E1545" s="14">
        <f>IF(SUMIFS('Daily NSE Equity Futures'!$I:$I,'Daily NSE Equity Futures'!$A:$A,$A1545)=0,"",SUMIFS('Daily NSE Equity Futures'!$I:$I,'Daily NSE Equity Futures'!$A:$A,$A1545))</f>
        <v>1420.5963999999999</v>
      </c>
      <c r="F1545" s="6">
        <f>IF(SUMIFS('Daily BSE Equity Futures'!$I:$I,'Daily BSE Equity Futures'!$A:$A,$A1545)=0,"",SUMIFS('Daily BSE Equity Futures'!$I:$I,'Daily BSE Equity Futures'!$A:$A,$A1545))</f>
        <v>3.1764000000000001</v>
      </c>
      <c r="G1545" s="6">
        <f t="shared" si="288"/>
        <v>1423.7728</v>
      </c>
      <c r="H1545" s="15">
        <f t="shared" si="289"/>
        <v>0.99776902606932782</v>
      </c>
      <c r="I1545" s="15">
        <f t="shared" si="290"/>
        <v>2.2309739306720848E-3</v>
      </c>
      <c r="J1545" s="20">
        <f t="shared" si="291"/>
        <v>-0.60463060392870038</v>
      </c>
      <c r="K1545" s="15">
        <f t="shared" si="292"/>
        <v>-0.19509413881357218</v>
      </c>
      <c r="L1545" s="15">
        <f t="shared" si="293"/>
        <v>-0.60418130199372388</v>
      </c>
      <c r="M1545" s="15">
        <f t="shared" si="297"/>
        <v>0.54041796548721988</v>
      </c>
      <c r="N1545" s="15">
        <f t="shared" si="298"/>
        <v>0.78509609980892425</v>
      </c>
      <c r="O1545" s="15">
        <f t="shared" si="299"/>
        <v>0.54088915916472646</v>
      </c>
      <c r="P1545" s="18">
        <f>IF(SUMIFS('Daily NSE Equity Futures'!$J:$J,'Daily NSE Equity Futures'!$A:$A,$A1545)=0,"",SUMIFS('Daily NSE Equity Futures'!$J:$J,'Daily NSE Equity Futures'!$A:$A,$A1545))</f>
        <v>2045606</v>
      </c>
      <c r="Q1545" s="7">
        <f>IF(SUMIFS('Daily BSE Equity Futures'!$J:$J,'Daily BSE Equity Futures'!$A:$A,$A1545)=0,"",SUMIFS('Daily BSE Equity Futures'!$J:$J,'Daily BSE Equity Futures'!$A:$A,$A1545))</f>
        <v>2078</v>
      </c>
      <c r="R1545" s="7">
        <f t="shared" si="294"/>
        <v>2047684</v>
      </c>
      <c r="S1545" s="19">
        <f t="shared" si="295"/>
        <v>0.99898519498125682</v>
      </c>
      <c r="T1545" s="19">
        <f t="shared" si="296"/>
        <v>1.0148050187431263E-3</v>
      </c>
    </row>
    <row r="1546" spans="1:20" x14ac:dyDescent="0.2">
      <c r="A1546" s="9">
        <v>46197</v>
      </c>
      <c r="B1546" s="4" t="s">
        <v>221</v>
      </c>
      <c r="C1546" s="8">
        <v>46174</v>
      </c>
      <c r="D1546" s="4" t="s">
        <v>197</v>
      </c>
      <c r="E1546" s="14">
        <f>IF(SUMIFS('Daily NSE Equity Futures'!$I:$I,'Daily NSE Equity Futures'!$A:$A,$A1546)=0,"",SUMIFS('Daily NSE Equity Futures'!$I:$I,'Daily NSE Equity Futures'!$A:$A,$A1546))</f>
        <v>3679.5390000000002</v>
      </c>
      <c r="F1546" s="6">
        <f>IF(SUMIFS('Daily BSE Equity Futures'!$I:$I,'Daily BSE Equity Futures'!$A:$A,$A1546)=0,"",SUMIFS('Daily BSE Equity Futures'!$I:$I,'Daily BSE Equity Futures'!$A:$A,$A1546))</f>
        <v>4.8132999999999999</v>
      </c>
      <c r="G1546" s="6">
        <f t="shared" si="288"/>
        <v>3684.3523</v>
      </c>
      <c r="H1546" s="15">
        <f t="shared" si="289"/>
        <v>0.9986935831299304</v>
      </c>
      <c r="I1546" s="15">
        <f t="shared" si="290"/>
        <v>1.3064168700696727E-3</v>
      </c>
      <c r="J1546" s="20">
        <f t="shared" si="291"/>
        <v>-0.10744839338047363</v>
      </c>
      <c r="K1546" s="15">
        <f t="shared" si="292"/>
        <v>-0.53511305137293919</v>
      </c>
      <c r="L1546" s="15">
        <f t="shared" si="293"/>
        <v>-0.10851978808512208</v>
      </c>
      <c r="M1546" s="15">
        <f t="shared" si="297"/>
        <v>1.5901367904353414</v>
      </c>
      <c r="N1546" s="15">
        <f t="shared" si="298"/>
        <v>0.51533182218864115</v>
      </c>
      <c r="O1546" s="15">
        <f t="shared" si="299"/>
        <v>1.587738928570626</v>
      </c>
      <c r="P1546" s="18">
        <f>IF(SUMIFS('Daily NSE Equity Futures'!$J:$J,'Daily NSE Equity Futures'!$A:$A,$A1546)=0,"",SUMIFS('Daily NSE Equity Futures'!$J:$J,'Daily NSE Equity Futures'!$A:$A,$A1546))</f>
        <v>5415415</v>
      </c>
      <c r="Q1546" s="7">
        <f>IF(SUMIFS('Daily BSE Equity Futures'!$J:$J,'Daily BSE Equity Futures'!$A:$A,$A1546)=0,"",SUMIFS('Daily BSE Equity Futures'!$J:$J,'Daily BSE Equity Futures'!$A:$A,$A1546))</f>
        <v>3132</v>
      </c>
      <c r="R1546" s="7">
        <f t="shared" si="294"/>
        <v>5418547</v>
      </c>
      <c r="S1546" s="19">
        <f t="shared" si="295"/>
        <v>0.99942198526652992</v>
      </c>
      <c r="T1546" s="19">
        <f t="shared" si="296"/>
        <v>5.7801473347006123E-4</v>
      </c>
    </row>
    <row r="1547" spans="1:20" x14ac:dyDescent="0.2">
      <c r="A1547" s="9">
        <v>46198</v>
      </c>
      <c r="B1547" s="4" t="s">
        <v>224</v>
      </c>
      <c r="C1547" s="8">
        <v>46174</v>
      </c>
      <c r="D1547" s="4" t="s">
        <v>197</v>
      </c>
      <c r="E1547" s="14">
        <f>IF(SUMIFS('Daily NSE Equity Futures'!$I:$I,'Daily NSE Equity Futures'!$A:$A,$A1547)=0,"",SUMIFS('Daily NSE Equity Futures'!$I:$I,'Daily NSE Equity Futures'!$A:$A,$A1547))</f>
        <v>4188.4169000000002</v>
      </c>
      <c r="F1547" s="6">
        <f>IF(SUMIFS('Daily BSE Equity Futures'!$I:$I,'Daily BSE Equity Futures'!$A:$A,$A1547)=0,"",SUMIFS('Daily BSE Equity Futures'!$I:$I,'Daily BSE Equity Futures'!$A:$A,$A1547))</f>
        <v>10.629</v>
      </c>
      <c r="G1547" s="6">
        <f t="shared" si="288"/>
        <v>4199.0459000000001</v>
      </c>
      <c r="H1547" s="15">
        <f t="shared" si="289"/>
        <v>0.99746871068973075</v>
      </c>
      <c r="I1547" s="15">
        <f t="shared" si="290"/>
        <v>2.5312893102692685E-3</v>
      </c>
      <c r="J1547" s="20">
        <f t="shared" si="291"/>
        <v>0.25524939769460508</v>
      </c>
      <c r="K1547" s="15">
        <f t="shared" si="292"/>
        <v>3.9686798803290939</v>
      </c>
      <c r="L1547" s="15">
        <f t="shared" si="293"/>
        <v>0.25762858407874001</v>
      </c>
      <c r="M1547" s="15">
        <f t="shared" si="297"/>
        <v>0.13829936304520762</v>
      </c>
      <c r="N1547" s="15">
        <f t="shared" si="298"/>
        <v>1.208256289863503</v>
      </c>
      <c r="O1547" s="15">
        <f t="shared" si="299"/>
        <v>0.13969717282465099</v>
      </c>
      <c r="P1547" s="18">
        <f>IF(SUMIFS('Daily NSE Equity Futures'!$J:$J,'Daily NSE Equity Futures'!$A:$A,$A1547)=0,"",SUMIFS('Daily NSE Equity Futures'!$J:$J,'Daily NSE Equity Futures'!$A:$A,$A1547))</f>
        <v>6008717</v>
      </c>
      <c r="Q1547" s="7">
        <f>IF(SUMIFS('Daily BSE Equity Futures'!$J:$J,'Daily BSE Equity Futures'!$A:$A,$A1547)=0,"",SUMIFS('Daily BSE Equity Futures'!$J:$J,'Daily BSE Equity Futures'!$A:$A,$A1547))</f>
        <v>6855</v>
      </c>
      <c r="R1547" s="7">
        <f t="shared" si="294"/>
        <v>6015572</v>
      </c>
      <c r="S1547" s="19">
        <f t="shared" si="295"/>
        <v>0.99886045749265406</v>
      </c>
      <c r="T1547" s="19">
        <f t="shared" si="296"/>
        <v>1.1395425073459349E-3</v>
      </c>
    </row>
    <row r="1548" spans="1:20" x14ac:dyDescent="0.2">
      <c r="A1548" s="9">
        <v>46202</v>
      </c>
      <c r="B1548" s="4" t="s">
        <v>225</v>
      </c>
      <c r="C1548" s="8">
        <v>46174</v>
      </c>
      <c r="D1548" s="4" t="s">
        <v>197</v>
      </c>
      <c r="E1548" s="14">
        <f>IF(SUMIFS('Daily NSE Equity Futures'!$I:$I,'Daily NSE Equity Futures'!$A:$A,$A1548)=0,"",SUMIFS('Daily NSE Equity Futures'!$I:$I,'Daily NSE Equity Futures'!$A:$A,$A1548))</f>
        <v>4035.0502999999999</v>
      </c>
      <c r="F1548" s="6">
        <f>IF(SUMIFS('Daily BSE Equity Futures'!$I:$I,'Daily BSE Equity Futures'!$A:$A,$A1548)=0,"",SUMIFS('Daily BSE Equity Futures'!$I:$I,'Daily BSE Equity Futures'!$A:$A,$A1548))</f>
        <v>2.2425000000000002</v>
      </c>
      <c r="G1548" s="6">
        <f t="shared" si="288"/>
        <v>4037.2927999999997</v>
      </c>
      <c r="H1548" s="15">
        <f t="shared" si="289"/>
        <v>0.99944455353845041</v>
      </c>
      <c r="I1548" s="15">
        <f t="shared" si="290"/>
        <v>5.5544646154968012E-4</v>
      </c>
      <c r="J1548" s="20" t="str">
        <f t="shared" si="291"/>
        <v/>
      </c>
      <c r="K1548" s="15" t="str">
        <f t="shared" si="292"/>
        <v/>
      </c>
      <c r="L1548" s="15" t="str">
        <f t="shared" si="293"/>
        <v/>
      </c>
      <c r="M1548" s="15">
        <f t="shared" si="297"/>
        <v>-3.6616842034039254E-2</v>
      </c>
      <c r="N1548" s="15">
        <f t="shared" si="298"/>
        <v>-0.78902060400790286</v>
      </c>
      <c r="O1548" s="15">
        <f t="shared" si="299"/>
        <v>-3.8521393633730083E-2</v>
      </c>
      <c r="P1548" s="18">
        <f>IF(SUMIFS('Daily NSE Equity Futures'!$J:$J,'Daily NSE Equity Futures'!$A:$A,$A1548)=0,"",SUMIFS('Daily NSE Equity Futures'!$J:$J,'Daily NSE Equity Futures'!$A:$A,$A1548))</f>
        <v>5762611</v>
      </c>
      <c r="Q1548" s="7">
        <f>IF(SUMIFS('Daily BSE Equity Futures'!$J:$J,'Daily BSE Equity Futures'!$A:$A,$A1548)=0,"",SUMIFS('Daily BSE Equity Futures'!$J:$J,'Daily BSE Equity Futures'!$A:$A,$A1548))</f>
        <v>1454</v>
      </c>
      <c r="R1548" s="7">
        <f t="shared" si="294"/>
        <v>5764065</v>
      </c>
      <c r="S1548" s="19">
        <f t="shared" si="295"/>
        <v>0.99974774746641482</v>
      </c>
      <c r="T1548" s="19">
        <f t="shared" si="296"/>
        <v>2.5225253358523888E-4</v>
      </c>
    </row>
    <row r="1549" spans="1:20" x14ac:dyDescent="0.2">
      <c r="A1549" s="9">
        <v>46203</v>
      </c>
      <c r="B1549" s="4" t="s">
        <v>223</v>
      </c>
      <c r="C1549" s="8">
        <v>46174</v>
      </c>
      <c r="D1549" s="4" t="s">
        <v>197</v>
      </c>
      <c r="E1549" s="14">
        <f>IF(SUMIFS('Daily NSE Equity Futures'!$I:$I,'Daily NSE Equity Futures'!$A:$A,$A1549)=0,"",SUMIFS('Daily NSE Equity Futures'!$I:$I,'Daily NSE Equity Futures'!$A:$A,$A1549))</f>
        <v>2591.6098999999999</v>
      </c>
      <c r="F1549" s="6">
        <f>IF(SUMIFS('Daily BSE Equity Futures'!$I:$I,'Daily BSE Equity Futures'!$A:$A,$A1549)=0,"",SUMIFS('Daily BSE Equity Futures'!$I:$I,'Daily BSE Equity Futures'!$A:$A,$A1549))</f>
        <v>1.7142999999999999</v>
      </c>
      <c r="G1549" s="6">
        <f t="shared" si="288"/>
        <v>2593.3242</v>
      </c>
      <c r="H1549" s="15">
        <f t="shared" si="289"/>
        <v>0.99933895654079807</v>
      </c>
      <c r="I1549" s="15">
        <f t="shared" si="290"/>
        <v>6.6104345920189997E-4</v>
      </c>
      <c r="J1549" s="20">
        <f t="shared" si="291"/>
        <v>1.5743253646367559</v>
      </c>
      <c r="K1549" s="15">
        <f t="shared" si="292"/>
        <v>-0.5769249753208292</v>
      </c>
      <c r="L1549" s="15">
        <f t="shared" si="293"/>
        <v>1.565701346166898</v>
      </c>
      <c r="M1549" s="15">
        <f t="shared" si="297"/>
        <v>-0.35772550344663612</v>
      </c>
      <c r="N1549" s="15">
        <f t="shared" si="298"/>
        <v>-0.23554069119286514</v>
      </c>
      <c r="O1549" s="15">
        <f t="shared" si="299"/>
        <v>-0.35765763632501457</v>
      </c>
      <c r="P1549" s="18">
        <f>IF(SUMIFS('Daily NSE Equity Futures'!$J:$J,'Daily NSE Equity Futures'!$A:$A,$A1549)=0,"",SUMIFS('Daily NSE Equity Futures'!$J:$J,'Daily NSE Equity Futures'!$A:$A,$A1549))</f>
        <v>3584799</v>
      </c>
      <c r="Q1549" s="7">
        <f>IF(SUMIFS('Daily BSE Equity Futures'!$J:$J,'Daily BSE Equity Futures'!$A:$A,$A1549)=0,"",SUMIFS('Daily BSE Equity Futures'!$J:$J,'Daily BSE Equity Futures'!$A:$A,$A1549))</f>
        <v>1116</v>
      </c>
      <c r="R1549" s="7">
        <f t="shared" si="294"/>
        <v>3585915</v>
      </c>
      <c r="S1549" s="19">
        <f t="shared" si="295"/>
        <v>0.99968878236098735</v>
      </c>
      <c r="T1549" s="19">
        <f t="shared" si="296"/>
        <v>3.1121763901263694E-4</v>
      </c>
    </row>
    <row r="1550" spans="1:20" x14ac:dyDescent="0.2">
      <c r="A1550" s="9">
        <v>46204</v>
      </c>
      <c r="B1550" s="4" t="s">
        <v>221</v>
      </c>
      <c r="C1550" s="8">
        <v>46204</v>
      </c>
      <c r="D1550" s="4" t="s">
        <v>198</v>
      </c>
      <c r="E1550" s="14">
        <f>IF(SUMIFS('Daily NSE Equity Futures'!$I:$I,'Daily NSE Equity Futures'!$A:$A,$A1550)=0,"",SUMIFS('Daily NSE Equity Futures'!$I:$I,'Daily NSE Equity Futures'!$A:$A,$A1550))</f>
        <v>778.74030000000005</v>
      </c>
      <c r="F1550" s="6">
        <f>IF(SUMIFS('Daily BSE Equity Futures'!$I:$I,'Daily BSE Equity Futures'!$A:$A,$A1550)=0,"",SUMIFS('Daily BSE Equity Futures'!$I:$I,'Daily BSE Equity Futures'!$A:$A,$A1550))</f>
        <v>2.2907000000000002</v>
      </c>
      <c r="G1550" s="6">
        <f t="shared" si="288"/>
        <v>781.03100000000006</v>
      </c>
      <c r="H1550" s="15">
        <f t="shared" si="289"/>
        <v>0.99706708184438264</v>
      </c>
      <c r="I1550" s="15">
        <f t="shared" si="290"/>
        <v>2.9329181556173828E-3</v>
      </c>
      <c r="J1550" s="20">
        <f t="shared" si="291"/>
        <v>-0.1649542340966702</v>
      </c>
      <c r="K1550" s="15">
        <f t="shared" si="292"/>
        <v>-0.45558037836296228</v>
      </c>
      <c r="L1550" s="15">
        <f t="shared" si="293"/>
        <v>-0.16625959830892978</v>
      </c>
      <c r="M1550" s="15">
        <f t="shared" si="297"/>
        <v>-0.69951484596505042</v>
      </c>
      <c r="N1550" s="15">
        <f t="shared" si="298"/>
        <v>0.33623053141223846</v>
      </c>
      <c r="O1550" s="15">
        <f t="shared" si="299"/>
        <v>-0.69883017325793673</v>
      </c>
      <c r="P1550" s="18">
        <f>IF(SUMIFS('Daily NSE Equity Futures'!$J:$J,'Daily NSE Equity Futures'!$A:$A,$A1550)=0,"",SUMIFS('Daily NSE Equity Futures'!$J:$J,'Daily NSE Equity Futures'!$A:$A,$A1550))</f>
        <v>1069288</v>
      </c>
      <c r="Q1550" s="7">
        <f>IF(SUMIFS('Daily BSE Equity Futures'!$J:$J,'Daily BSE Equity Futures'!$A:$A,$A1550)=0,"",SUMIFS('Daily BSE Equity Futures'!$J:$J,'Daily BSE Equity Futures'!$A:$A,$A1550))</f>
        <v>1485</v>
      </c>
      <c r="R1550" s="7">
        <f t="shared" si="294"/>
        <v>1070773</v>
      </c>
      <c r="S1550" s="19">
        <f t="shared" si="295"/>
        <v>0.99861315143359053</v>
      </c>
      <c r="T1550" s="19">
        <f t="shared" si="296"/>
        <v>1.3868485664095005E-3</v>
      </c>
    </row>
    <row r="1551" spans="1:20" x14ac:dyDescent="0.2">
      <c r="A1551" s="9">
        <v>46205</v>
      </c>
      <c r="B1551" s="4" t="s">
        <v>224</v>
      </c>
      <c r="C1551" s="8">
        <v>46204</v>
      </c>
      <c r="D1551" s="4" t="s">
        <v>198</v>
      </c>
      <c r="E1551" s="14">
        <f>IF(SUMIFS('Daily NSE Equity Futures'!$I:$I,'Daily NSE Equity Futures'!$A:$A,$A1551)=0,"",SUMIFS('Daily NSE Equity Futures'!$I:$I,'Daily NSE Equity Futures'!$A:$A,$A1551))</f>
        <v>816.90459999999996</v>
      </c>
      <c r="F1551" s="6">
        <f>IF(SUMIFS('Daily BSE Equity Futures'!$I:$I,'Daily BSE Equity Futures'!$A:$A,$A1551)=0,"",SUMIFS('Daily BSE Equity Futures'!$I:$I,'Daily BSE Equity Futures'!$A:$A,$A1551))</f>
        <v>3.0813999999999999</v>
      </c>
      <c r="G1551" s="6">
        <f t="shared" si="288"/>
        <v>819.98599999999999</v>
      </c>
      <c r="H1551" s="15">
        <f t="shared" si="289"/>
        <v>0.99624213096321157</v>
      </c>
      <c r="I1551" s="15">
        <f t="shared" si="290"/>
        <v>3.757869036788433E-3</v>
      </c>
      <c r="J1551" s="20">
        <f t="shared" si="291"/>
        <v>-0.22307192340972215</v>
      </c>
      <c r="K1551" s="15">
        <f t="shared" si="292"/>
        <v>0.44972947541754871</v>
      </c>
      <c r="L1551" s="15">
        <f t="shared" si="293"/>
        <v>-0.22171460907433627</v>
      </c>
      <c r="M1551" s="15">
        <f t="shared" si="297"/>
        <v>4.900773723923102E-2</v>
      </c>
      <c r="N1551" s="15">
        <f t="shared" si="298"/>
        <v>0.34517832976819296</v>
      </c>
      <c r="O1551" s="15">
        <f t="shared" si="299"/>
        <v>4.9876381347219167E-2</v>
      </c>
      <c r="P1551" s="18">
        <f>IF(SUMIFS('Daily NSE Equity Futures'!$J:$J,'Daily NSE Equity Futures'!$A:$A,$A1551)=0,"",SUMIFS('Daily NSE Equity Futures'!$J:$J,'Daily NSE Equity Futures'!$A:$A,$A1551))</f>
        <v>1111055</v>
      </c>
      <c r="Q1551" s="7">
        <f>IF(SUMIFS('Daily BSE Equity Futures'!$J:$J,'Daily BSE Equity Futures'!$A:$A,$A1551)=0,"",SUMIFS('Daily BSE Equity Futures'!$J:$J,'Daily BSE Equity Futures'!$A:$A,$A1551))</f>
        <v>1985</v>
      </c>
      <c r="R1551" s="7">
        <f t="shared" si="294"/>
        <v>1113040</v>
      </c>
      <c r="S1551" s="19">
        <f t="shared" si="295"/>
        <v>0.99821659598936252</v>
      </c>
      <c r="T1551" s="19">
        <f t="shared" si="296"/>
        <v>1.7834040106375333E-3</v>
      </c>
    </row>
    <row r="1552" spans="1:20" x14ac:dyDescent="0.2">
      <c r="A1552" s="9">
        <v>46206</v>
      </c>
      <c r="B1552" s="4" t="s">
        <v>222</v>
      </c>
      <c r="C1552" s="8">
        <v>46204</v>
      </c>
      <c r="D1552" s="4" t="s">
        <v>198</v>
      </c>
      <c r="E1552" s="14">
        <f>IF(SUMIFS('Daily NSE Equity Futures'!$I:$I,'Daily NSE Equity Futures'!$A:$A,$A1552)=0,"",SUMIFS('Daily NSE Equity Futures'!$I:$I,'Daily NSE Equity Futures'!$A:$A,$A1552))</f>
        <v>885.61500000000001</v>
      </c>
      <c r="F1552" s="6">
        <f>IF(SUMIFS('Daily BSE Equity Futures'!$I:$I,'Daily BSE Equity Futures'!$A:$A,$A1552)=0,"",SUMIFS('Daily BSE Equity Futures'!$I:$I,'Daily BSE Equity Futures'!$A:$A,$A1552))</f>
        <v>2.4636999999999998</v>
      </c>
      <c r="G1552" s="6">
        <f t="shared" si="288"/>
        <v>888.07870000000003</v>
      </c>
      <c r="H1552" s="15">
        <f t="shared" si="289"/>
        <v>0.9972258089288708</v>
      </c>
      <c r="I1552" s="15">
        <f t="shared" si="290"/>
        <v>2.7741910711291686E-3</v>
      </c>
      <c r="J1552" s="20">
        <f t="shared" si="291"/>
        <v>-5.6420737168402346E-2</v>
      </c>
      <c r="K1552" s="15">
        <f t="shared" si="292"/>
        <v>-3.806809308136816E-2</v>
      </c>
      <c r="L1552" s="15">
        <f t="shared" si="293"/>
        <v>-5.6370792163896399E-2</v>
      </c>
      <c r="M1552" s="15">
        <f t="shared" si="297"/>
        <v>8.4110678284832874E-2</v>
      </c>
      <c r="N1552" s="15">
        <f t="shared" si="298"/>
        <v>-0.20046082949308763</v>
      </c>
      <c r="O1552" s="15">
        <f t="shared" si="299"/>
        <v>8.3041295827001926E-2</v>
      </c>
      <c r="P1552" s="18">
        <f>IF(SUMIFS('Daily NSE Equity Futures'!$J:$J,'Daily NSE Equity Futures'!$A:$A,$A1552)=0,"",SUMIFS('Daily NSE Equity Futures'!$J:$J,'Daily NSE Equity Futures'!$A:$A,$A1552))</f>
        <v>1186233</v>
      </c>
      <c r="Q1552" s="7">
        <f>IF(SUMIFS('Daily BSE Equity Futures'!$J:$J,'Daily BSE Equity Futures'!$A:$A,$A1552)=0,"",SUMIFS('Daily BSE Equity Futures'!$J:$J,'Daily BSE Equity Futures'!$A:$A,$A1552))</f>
        <v>1578</v>
      </c>
      <c r="R1552" s="7">
        <f t="shared" si="294"/>
        <v>1187811</v>
      </c>
      <c r="S1552" s="19">
        <f t="shared" si="295"/>
        <v>0.99867150582037045</v>
      </c>
      <c r="T1552" s="19">
        <f t="shared" si="296"/>
        <v>1.3284941796295876E-3</v>
      </c>
    </row>
    <row r="1553" spans="1:20" x14ac:dyDescent="0.2">
      <c r="A1553" s="9">
        <v>46209</v>
      </c>
      <c r="B1553" s="4" t="s">
        <v>225</v>
      </c>
      <c r="C1553" s="8">
        <v>46204</v>
      </c>
      <c r="D1553" s="4" t="s">
        <v>198</v>
      </c>
      <c r="E1553" s="14">
        <f>IF(SUMIFS('Daily NSE Equity Futures'!$I:$I,'Daily NSE Equity Futures'!$A:$A,$A1553)=0,"",SUMIFS('Daily NSE Equity Futures'!$I:$I,'Daily NSE Equity Futures'!$A:$A,$A1553))</f>
        <v>756.5163</v>
      </c>
      <c r="F1553" s="6">
        <f>IF(SUMIFS('Daily BSE Equity Futures'!$I:$I,'Daily BSE Equity Futures'!$A:$A,$A1553)=0,"",SUMIFS('Daily BSE Equity Futures'!$I:$I,'Daily BSE Equity Futures'!$A:$A,$A1553))</f>
        <v>1.0585</v>
      </c>
      <c r="G1553" s="6">
        <f t="shared" si="288"/>
        <v>757.57479999999998</v>
      </c>
      <c r="H1553" s="15">
        <f t="shared" si="289"/>
        <v>0.99860277823391175</v>
      </c>
      <c r="I1553" s="15">
        <f t="shared" si="290"/>
        <v>1.3972217660883123E-3</v>
      </c>
      <c r="J1553" s="20" t="str">
        <f t="shared" si="291"/>
        <v/>
      </c>
      <c r="K1553" s="15" t="str">
        <f t="shared" si="292"/>
        <v/>
      </c>
      <c r="L1553" s="15" t="str">
        <f t="shared" si="293"/>
        <v/>
      </c>
      <c r="M1553" s="15">
        <f t="shared" si="297"/>
        <v>-0.14577293745024644</v>
      </c>
      <c r="N1553" s="15">
        <f t="shared" si="298"/>
        <v>-0.57036165117506188</v>
      </c>
      <c r="O1553" s="15">
        <f t="shared" si="299"/>
        <v>-0.14695082766876411</v>
      </c>
      <c r="P1553" s="18">
        <f>IF(SUMIFS('Daily NSE Equity Futures'!$J:$J,'Daily NSE Equity Futures'!$A:$A,$A1553)=0,"",SUMIFS('Daily NSE Equity Futures'!$J:$J,'Daily NSE Equity Futures'!$A:$A,$A1553))</f>
        <v>1003126</v>
      </c>
      <c r="Q1553" s="7">
        <f>IF(SUMIFS('Daily BSE Equity Futures'!$J:$J,'Daily BSE Equity Futures'!$A:$A,$A1553)=0,"",SUMIFS('Daily BSE Equity Futures'!$J:$J,'Daily BSE Equity Futures'!$A:$A,$A1553))</f>
        <v>674</v>
      </c>
      <c r="R1553" s="7">
        <f t="shared" si="294"/>
        <v>1003800</v>
      </c>
      <c r="S1553" s="19">
        <f t="shared" si="295"/>
        <v>0.99932855150428368</v>
      </c>
      <c r="T1553" s="19">
        <f t="shared" si="296"/>
        <v>6.7144849571627819E-4</v>
      </c>
    </row>
    <row r="1554" spans="1:20" x14ac:dyDescent="0.2">
      <c r="A1554" s="9">
        <v>46210</v>
      </c>
      <c r="B1554" s="4" t="s">
        <v>223</v>
      </c>
      <c r="C1554" s="8">
        <v>46204</v>
      </c>
      <c r="D1554" s="4" t="s">
        <v>198</v>
      </c>
      <c r="E1554" s="14">
        <f>IF(SUMIFS('Daily NSE Equity Futures'!$I:$I,'Daily NSE Equity Futures'!$A:$A,$A1554)=0,"",SUMIFS('Daily NSE Equity Futures'!$I:$I,'Daily NSE Equity Futures'!$A:$A,$A1554))</f>
        <v>855.84159999999997</v>
      </c>
      <c r="F1554" s="6">
        <f>IF(SUMIFS('Daily BSE Equity Futures'!$I:$I,'Daily BSE Equity Futures'!$A:$A,$A1554)=0,"",SUMIFS('Daily BSE Equity Futures'!$I:$I,'Daily BSE Equity Futures'!$A:$A,$A1554))</f>
        <v>1.5718000000000001</v>
      </c>
      <c r="G1554" s="6">
        <f t="shared" si="288"/>
        <v>857.41340000000002</v>
      </c>
      <c r="H1554" s="15">
        <f t="shared" si="289"/>
        <v>0.99816681194858858</v>
      </c>
      <c r="I1554" s="15">
        <f t="shared" si="290"/>
        <v>1.8331880514113729E-3</v>
      </c>
      <c r="J1554" s="20">
        <f t="shared" si="291"/>
        <v>0.18437421638314833</v>
      </c>
      <c r="K1554" s="15">
        <f t="shared" si="292"/>
        <v>6.7871458658876449E-2</v>
      </c>
      <c r="L1554" s="15">
        <f t="shared" si="293"/>
        <v>0.18413739204099189</v>
      </c>
      <c r="M1554" s="15">
        <f t="shared" si="297"/>
        <v>0.13129300716983883</v>
      </c>
      <c r="N1554" s="15">
        <f t="shared" si="298"/>
        <v>0.48493150684931519</v>
      </c>
      <c r="O1554" s="15">
        <f t="shared" si="299"/>
        <v>0.13178711857891789</v>
      </c>
      <c r="P1554" s="18">
        <f>IF(SUMIFS('Daily NSE Equity Futures'!$J:$J,'Daily NSE Equity Futures'!$A:$A,$A1554)=0,"",SUMIFS('Daily NSE Equity Futures'!$J:$J,'Daily NSE Equity Futures'!$A:$A,$A1554))</f>
        <v>1177839</v>
      </c>
      <c r="Q1554" s="7">
        <f>IF(SUMIFS('Daily BSE Equity Futures'!$J:$J,'Daily BSE Equity Futures'!$A:$A,$A1554)=0,"",SUMIFS('Daily BSE Equity Futures'!$J:$J,'Daily BSE Equity Futures'!$A:$A,$A1554))</f>
        <v>1000</v>
      </c>
      <c r="R1554" s="7">
        <f t="shared" si="294"/>
        <v>1178839</v>
      </c>
      <c r="S1554" s="19">
        <f t="shared" si="295"/>
        <v>0.99915170773956408</v>
      </c>
      <c r="T1554" s="19">
        <f t="shared" si="296"/>
        <v>8.4829226043590348E-4</v>
      </c>
    </row>
    <row r="1555" spans="1:20" x14ac:dyDescent="0.2">
      <c r="A1555" s="9">
        <v>46211</v>
      </c>
      <c r="B1555" s="4" t="s">
        <v>221</v>
      </c>
      <c r="C1555" s="8">
        <v>46204</v>
      </c>
      <c r="D1555" s="4" t="s">
        <v>198</v>
      </c>
      <c r="E1555" s="14">
        <f>IF(SUMIFS('Daily NSE Equity Futures'!$I:$I,'Daily NSE Equity Futures'!$A:$A,$A1555)=0,"",SUMIFS('Daily NSE Equity Futures'!$I:$I,'Daily NSE Equity Futures'!$A:$A,$A1555))</f>
        <v>1317.1410000000001</v>
      </c>
      <c r="F1555" s="6">
        <f>IF(SUMIFS('Daily BSE Equity Futures'!$I:$I,'Daily BSE Equity Futures'!$A:$A,$A1555)=0,"",SUMIFS('Daily BSE Equity Futures'!$I:$I,'Daily BSE Equity Futures'!$A:$A,$A1555))</f>
        <v>4.9185999999999996</v>
      </c>
      <c r="G1555" s="6">
        <f t="shared" si="288"/>
        <v>1322.0596</v>
      </c>
      <c r="H1555" s="15">
        <f t="shared" si="289"/>
        <v>0.99627959284135148</v>
      </c>
      <c r="I1555" s="15">
        <f t="shared" si="290"/>
        <v>3.7204071586485203E-3</v>
      </c>
      <c r="J1555" s="20">
        <f t="shared" si="291"/>
        <v>0.50513989674725757</v>
      </c>
      <c r="K1555" s="15">
        <f t="shared" si="292"/>
        <v>0.32605413566267649</v>
      </c>
      <c r="L1555" s="15">
        <f t="shared" si="293"/>
        <v>0.504384023479167</v>
      </c>
      <c r="M1555" s="15">
        <f t="shared" si="297"/>
        <v>0.5390009085793448</v>
      </c>
      <c r="N1555" s="15">
        <f t="shared" si="298"/>
        <v>2.1292785341646514</v>
      </c>
      <c r="O1555" s="15">
        <f t="shared" si="299"/>
        <v>0.54191618652099449</v>
      </c>
      <c r="P1555" s="18">
        <f>IF(SUMIFS('Daily NSE Equity Futures'!$J:$J,'Daily NSE Equity Futures'!$A:$A,$A1555)=0,"",SUMIFS('Daily NSE Equity Futures'!$J:$J,'Daily NSE Equity Futures'!$A:$A,$A1555))</f>
        <v>1690169</v>
      </c>
      <c r="Q1555" s="7">
        <f>IF(SUMIFS('Daily BSE Equity Futures'!$J:$J,'Daily BSE Equity Futures'!$A:$A,$A1555)=0,"",SUMIFS('Daily BSE Equity Futures'!$J:$J,'Daily BSE Equity Futures'!$A:$A,$A1555))</f>
        <v>3181</v>
      </c>
      <c r="R1555" s="7">
        <f t="shared" si="294"/>
        <v>1693350</v>
      </c>
      <c r="S1555" s="19">
        <f t="shared" si="295"/>
        <v>0.99812147518233085</v>
      </c>
      <c r="T1555" s="19">
        <f t="shared" si="296"/>
        <v>1.8785248176691174E-3</v>
      </c>
    </row>
    <row r="1556" spans="1:20" x14ac:dyDescent="0.2">
      <c r="A1556" s="9">
        <v>46212</v>
      </c>
      <c r="B1556" s="4" t="s">
        <v>224</v>
      </c>
      <c r="C1556" s="8">
        <v>46204</v>
      </c>
      <c r="D1556" s="4" t="s">
        <v>198</v>
      </c>
      <c r="E1556" s="14">
        <f>IF(SUMIFS('Daily NSE Equity Futures'!$I:$I,'Daily NSE Equity Futures'!$A:$A,$A1556)=0,"",SUMIFS('Daily NSE Equity Futures'!$I:$I,'Daily NSE Equity Futures'!$A:$A,$A1556))</f>
        <v>887.70569999999998</v>
      </c>
      <c r="F1556" s="6">
        <f>IF(SUMIFS('Daily BSE Equity Futures'!$I:$I,'Daily BSE Equity Futures'!$A:$A,$A1556)=0,"",SUMIFS('Daily BSE Equity Futures'!$I:$I,'Daily BSE Equity Futures'!$A:$A,$A1556))</f>
        <v>3.8327</v>
      </c>
      <c r="G1556" s="6">
        <f t="shared" si="288"/>
        <v>891.53840000000002</v>
      </c>
      <c r="H1556" s="15">
        <f t="shared" si="289"/>
        <v>0.9957010264504591</v>
      </c>
      <c r="I1556" s="15">
        <f t="shared" si="290"/>
        <v>4.2989735495408835E-3</v>
      </c>
      <c r="J1556" s="20">
        <f t="shared" si="291"/>
        <v>3.5312236129447561E-2</v>
      </c>
      <c r="K1556" s="15">
        <f t="shared" si="292"/>
        <v>2.0809485530546623</v>
      </c>
      <c r="L1556" s="15">
        <f t="shared" si="293"/>
        <v>3.827584921832794E-2</v>
      </c>
      <c r="M1556" s="15">
        <f t="shared" si="297"/>
        <v>-0.32603593692702604</v>
      </c>
      <c r="N1556" s="15">
        <f t="shared" si="298"/>
        <v>-0.22077420404180048</v>
      </c>
      <c r="O1556" s="15">
        <f t="shared" si="299"/>
        <v>-0.32564432042246805</v>
      </c>
      <c r="P1556" s="18">
        <f>IF(SUMIFS('Daily NSE Equity Futures'!$J:$J,'Daily NSE Equity Futures'!$A:$A,$A1556)=0,"",SUMIFS('Daily NSE Equity Futures'!$J:$J,'Daily NSE Equity Futures'!$A:$A,$A1556))</f>
        <v>1183677</v>
      </c>
      <c r="Q1556" s="7">
        <f>IF(SUMIFS('Daily BSE Equity Futures'!$J:$J,'Daily BSE Equity Futures'!$A:$A,$A1556)=0,"",SUMIFS('Daily BSE Equity Futures'!$J:$J,'Daily BSE Equity Futures'!$A:$A,$A1556))</f>
        <v>2481</v>
      </c>
      <c r="R1556" s="7">
        <f t="shared" si="294"/>
        <v>1186158</v>
      </c>
      <c r="S1556" s="19">
        <f t="shared" si="295"/>
        <v>0.99790837308351843</v>
      </c>
      <c r="T1556" s="19">
        <f t="shared" si="296"/>
        <v>2.0916269164816155E-3</v>
      </c>
    </row>
    <row r="1557" spans="1:20" x14ac:dyDescent="0.2">
      <c r="A1557" s="9">
        <v>46213</v>
      </c>
      <c r="B1557" s="4" t="s">
        <v>222</v>
      </c>
      <c r="C1557" s="8">
        <v>46204</v>
      </c>
      <c r="D1557" s="4" t="s">
        <v>198</v>
      </c>
      <c r="E1557" s="14">
        <f>IF(SUMIFS('Daily NSE Equity Futures'!$I:$I,'Daily NSE Equity Futures'!$A:$A,$A1557)=0,"",SUMIFS('Daily NSE Equity Futures'!$I:$I,'Daily NSE Equity Futures'!$A:$A,$A1557))</f>
        <v>861.16909999999996</v>
      </c>
      <c r="F1557" s="6">
        <f>IF(SUMIFS('Daily BSE Equity Futures'!$I:$I,'Daily BSE Equity Futures'!$A:$A,$A1557)=0,"",SUMIFS('Daily BSE Equity Futures'!$I:$I,'Daily BSE Equity Futures'!$A:$A,$A1557))</f>
        <v>1.8827</v>
      </c>
      <c r="G1557" s="6">
        <f t="shared" si="288"/>
        <v>863.05179999999996</v>
      </c>
      <c r="H1557" s="15">
        <f t="shared" si="289"/>
        <v>0.99781855503922245</v>
      </c>
      <c r="I1557" s="15">
        <f t="shared" si="290"/>
        <v>2.1814449607775572E-3</v>
      </c>
      <c r="J1557" s="20">
        <f t="shared" si="291"/>
        <v>-1.3282211298782487E-2</v>
      </c>
      <c r="K1557" s="15">
        <f t="shared" si="292"/>
        <v>0.20709110726421742</v>
      </c>
      <c r="L1557" s="15">
        <f t="shared" si="293"/>
        <v>-1.2889087646299369E-2</v>
      </c>
      <c r="M1557" s="15">
        <f t="shared" si="297"/>
        <v>-2.9893465818682907E-2</v>
      </c>
      <c r="N1557" s="15">
        <f t="shared" si="298"/>
        <v>-0.50877971143058409</v>
      </c>
      <c r="O1557" s="15">
        <f t="shared" si="299"/>
        <v>-3.195218512180753E-2</v>
      </c>
      <c r="P1557" s="18">
        <f>IF(SUMIFS('Daily NSE Equity Futures'!$J:$J,'Daily NSE Equity Futures'!$A:$A,$A1557)=0,"",SUMIFS('Daily NSE Equity Futures'!$J:$J,'Daily NSE Equity Futures'!$A:$A,$A1557))</f>
        <v>1155033</v>
      </c>
      <c r="Q1557" s="7">
        <f>IF(SUMIFS('Daily BSE Equity Futures'!$J:$J,'Daily BSE Equity Futures'!$A:$A,$A1557)=0,"",SUMIFS('Daily BSE Equity Futures'!$J:$J,'Daily BSE Equity Futures'!$A:$A,$A1557))</f>
        <v>1211</v>
      </c>
      <c r="R1557" s="7">
        <f t="shared" si="294"/>
        <v>1156244</v>
      </c>
      <c r="S1557" s="19">
        <f t="shared" si="295"/>
        <v>0.99895264321371613</v>
      </c>
      <c r="T1557" s="19">
        <f t="shared" si="296"/>
        <v>1.0473567862838639E-3</v>
      </c>
    </row>
    <row r="1558" spans="1:20" x14ac:dyDescent="0.2">
      <c r="A1558" s="9">
        <v>46216</v>
      </c>
      <c r="B1558" s="4" t="s">
        <v>225</v>
      </c>
      <c r="C1558" s="8">
        <v>46204</v>
      </c>
      <c r="D1558" s="4" t="s">
        <v>198</v>
      </c>
      <c r="E1558" s="14">
        <f>IF(SUMIFS('Daily NSE Equity Futures'!$I:$I,'Daily NSE Equity Futures'!$A:$A,$A1558)=0,"",SUMIFS('Daily NSE Equity Futures'!$I:$I,'Daily NSE Equity Futures'!$A:$A,$A1558))</f>
        <v>854.16809999999998</v>
      </c>
      <c r="F1558" s="6">
        <f>IF(SUMIFS('Daily BSE Equity Futures'!$I:$I,'Daily BSE Equity Futures'!$A:$A,$A1558)=0,"",SUMIFS('Daily BSE Equity Futures'!$I:$I,'Daily BSE Equity Futures'!$A:$A,$A1558))</f>
        <v>1.8802000000000001</v>
      </c>
      <c r="G1558" s="6">
        <f t="shared" si="288"/>
        <v>856.04829999999993</v>
      </c>
      <c r="H1558" s="15">
        <f t="shared" si="289"/>
        <v>0.99780362860366645</v>
      </c>
      <c r="I1558" s="15">
        <f t="shared" si="290"/>
        <v>2.1963713963335952E-3</v>
      </c>
      <c r="J1558" s="20" t="str">
        <f t="shared" si="291"/>
        <v/>
      </c>
      <c r="K1558" s="15" t="str">
        <f t="shared" si="292"/>
        <v/>
      </c>
      <c r="L1558" s="15" t="str">
        <f t="shared" si="293"/>
        <v/>
      </c>
      <c r="M1558" s="15">
        <f t="shared" si="297"/>
        <v>-8.129646082285058E-3</v>
      </c>
      <c r="N1558" s="15">
        <f t="shared" si="298"/>
        <v>-1.3278801720932876E-3</v>
      </c>
      <c r="O1558" s="15">
        <f t="shared" si="299"/>
        <v>-8.1148084043159985E-3</v>
      </c>
      <c r="P1558" s="18">
        <f>IF(SUMIFS('Daily NSE Equity Futures'!$J:$J,'Daily NSE Equity Futures'!$A:$A,$A1558)=0,"",SUMIFS('Daily NSE Equity Futures'!$J:$J,'Daily NSE Equity Futures'!$A:$A,$A1558))</f>
        <v>1158953</v>
      </c>
      <c r="Q1558" s="7">
        <f>IF(SUMIFS('Daily BSE Equity Futures'!$J:$J,'Daily BSE Equity Futures'!$A:$A,$A1558)=0,"",SUMIFS('Daily BSE Equity Futures'!$J:$J,'Daily BSE Equity Futures'!$A:$A,$A1558))</f>
        <v>1232</v>
      </c>
      <c r="R1558" s="7">
        <f t="shared" si="294"/>
        <v>1160185</v>
      </c>
      <c r="S1558" s="19">
        <f t="shared" si="295"/>
        <v>0.99893810038916209</v>
      </c>
      <c r="T1558" s="19">
        <f t="shared" si="296"/>
        <v>1.0618996108379267E-3</v>
      </c>
    </row>
    <row r="1559" spans="1:20" x14ac:dyDescent="0.2">
      <c r="A1559" s="9">
        <v>46217</v>
      </c>
      <c r="B1559" s="4" t="s">
        <v>223</v>
      </c>
      <c r="C1559" s="8">
        <v>46204</v>
      </c>
      <c r="D1559" s="4" t="s">
        <v>198</v>
      </c>
      <c r="E1559" s="14">
        <f>IF(SUMIFS('Daily NSE Equity Futures'!$I:$I,'Daily NSE Equity Futures'!$A:$A,$A1559)=0,"",SUMIFS('Daily NSE Equity Futures'!$I:$I,'Daily NSE Equity Futures'!$A:$A,$A1559))</f>
        <v>934.67759999999998</v>
      </c>
      <c r="F1559" s="6">
        <f>IF(SUMIFS('Daily BSE Equity Futures'!$I:$I,'Daily BSE Equity Futures'!$A:$A,$A1559)=0,"",SUMIFS('Daily BSE Equity Futures'!$I:$I,'Daily BSE Equity Futures'!$A:$A,$A1559))</f>
        <v>1.9918</v>
      </c>
      <c r="G1559" s="6">
        <f t="shared" si="288"/>
        <v>936.6694</v>
      </c>
      <c r="H1559" s="15">
        <f t="shared" si="289"/>
        <v>0.99787352933703177</v>
      </c>
      <c r="I1559" s="15">
        <f t="shared" si="290"/>
        <v>2.1264706629681722E-3</v>
      </c>
      <c r="J1559" s="20">
        <f t="shared" si="291"/>
        <v>-2.3517627250810857E-2</v>
      </c>
      <c r="K1559" s="15">
        <f t="shared" si="292"/>
        <v>-8.8045419165789118E-2</v>
      </c>
      <c r="L1559" s="15">
        <f t="shared" si="293"/>
        <v>-2.3664530721904109E-2</v>
      </c>
      <c r="M1559" s="15">
        <f t="shared" si="297"/>
        <v>9.425486622598056E-2</v>
      </c>
      <c r="N1559" s="15">
        <f t="shared" si="298"/>
        <v>5.9355387724710162E-2</v>
      </c>
      <c r="O1559" s="15">
        <f t="shared" si="299"/>
        <v>9.4178214009653427E-2</v>
      </c>
      <c r="P1559" s="18">
        <f>IF(SUMIFS('Daily NSE Equity Futures'!$J:$J,'Daily NSE Equity Futures'!$A:$A,$A1559)=0,"",SUMIFS('Daily NSE Equity Futures'!$J:$J,'Daily NSE Equity Futures'!$A:$A,$A1559))</f>
        <v>1252729</v>
      </c>
      <c r="Q1559" s="7">
        <f>IF(SUMIFS('Daily BSE Equity Futures'!$J:$J,'Daily BSE Equity Futures'!$A:$A,$A1559)=0,"",SUMIFS('Daily BSE Equity Futures'!$J:$J,'Daily BSE Equity Futures'!$A:$A,$A1559))</f>
        <v>1287</v>
      </c>
      <c r="R1559" s="7">
        <f t="shared" si="294"/>
        <v>1254016</v>
      </c>
      <c r="S1559" s="19">
        <f t="shared" si="295"/>
        <v>0.9989736973052975</v>
      </c>
      <c r="T1559" s="19">
        <f t="shared" si="296"/>
        <v>1.02630269470246E-3</v>
      </c>
    </row>
    <row r="1560" spans="1:20" x14ac:dyDescent="0.2">
      <c r="A1560" s="9">
        <v>46218</v>
      </c>
      <c r="B1560" s="4" t="s">
        <v>221</v>
      </c>
      <c r="C1560" s="8">
        <v>46204</v>
      </c>
      <c r="D1560" s="4" t="s">
        <v>198</v>
      </c>
      <c r="E1560" s="14">
        <f>IF(SUMIFS('Daily NSE Equity Futures'!$I:$I,'Daily NSE Equity Futures'!$A:$A,$A1560)=0,"",SUMIFS('Daily NSE Equity Futures'!$I:$I,'Daily NSE Equity Futures'!$A:$A,$A1560))</f>
        <v>905.55859999999996</v>
      </c>
      <c r="F1560" s="6">
        <f>IF(SUMIFS('Daily BSE Equity Futures'!$I:$I,'Daily BSE Equity Futures'!$A:$A,$A1560)=0,"",SUMIFS('Daily BSE Equity Futures'!$I:$I,'Daily BSE Equity Futures'!$A:$A,$A1560))</f>
        <v>3.3330000000000002</v>
      </c>
      <c r="G1560" s="6">
        <f t="shared" si="288"/>
        <v>908.89159999999993</v>
      </c>
      <c r="H1560" s="15">
        <f t="shared" si="289"/>
        <v>0.99633289602412434</v>
      </c>
      <c r="I1560" s="15">
        <f t="shared" si="290"/>
        <v>3.6671039758756716E-3</v>
      </c>
      <c r="J1560" s="20">
        <f t="shared" si="291"/>
        <v>-6.4545200048345186E-2</v>
      </c>
      <c r="K1560" s="15">
        <f t="shared" si="292"/>
        <v>-0.17021435506759275</v>
      </c>
      <c r="L1560" s="15">
        <f t="shared" si="293"/>
        <v>-6.4981842127273093E-2</v>
      </c>
      <c r="M1560" s="15">
        <f t="shared" si="297"/>
        <v>-3.1154057826998316E-2</v>
      </c>
      <c r="N1560" s="15">
        <f t="shared" si="298"/>
        <v>0.67336077919469828</v>
      </c>
      <c r="O1560" s="15">
        <f t="shared" si="299"/>
        <v>-2.9655927694445916E-2</v>
      </c>
      <c r="P1560" s="18">
        <f>IF(SUMIFS('Daily NSE Equity Futures'!$J:$J,'Daily NSE Equity Futures'!$A:$A,$A1560)=0,"",SUMIFS('Daily NSE Equity Futures'!$J:$J,'Daily NSE Equity Futures'!$A:$A,$A1560))</f>
        <v>1223747</v>
      </c>
      <c r="Q1560" s="7">
        <f>IF(SUMIFS('Daily BSE Equity Futures'!$J:$J,'Daily BSE Equity Futures'!$A:$A,$A1560)=0,"",SUMIFS('Daily BSE Equity Futures'!$J:$J,'Daily BSE Equity Futures'!$A:$A,$A1560))</f>
        <v>2151</v>
      </c>
      <c r="R1560" s="7">
        <f t="shared" si="294"/>
        <v>1225898</v>
      </c>
      <c r="S1560" s="19">
        <f t="shared" si="295"/>
        <v>0.99824536788541951</v>
      </c>
      <c r="T1560" s="19">
        <f t="shared" si="296"/>
        <v>1.7546321145804954E-3</v>
      </c>
    </row>
    <row r="1561" spans="1:20" x14ac:dyDescent="0.2">
      <c r="A1561" s="9">
        <v>46219</v>
      </c>
      <c r="B1561" s="4" t="s">
        <v>224</v>
      </c>
      <c r="C1561" s="8">
        <v>46204</v>
      </c>
      <c r="D1561" s="4" t="s">
        <v>198</v>
      </c>
      <c r="E1561" s="14">
        <f>IF(SUMIFS('Daily NSE Equity Futures'!$I:$I,'Daily NSE Equity Futures'!$A:$A,$A1561)=0,"",SUMIFS('Daily NSE Equity Futures'!$I:$I,'Daily NSE Equity Futures'!$A:$A,$A1561))</f>
        <v>908.42930000000001</v>
      </c>
      <c r="F1561" s="6">
        <f>IF(SUMIFS('Daily BSE Equity Futures'!$I:$I,'Daily BSE Equity Futures'!$A:$A,$A1561)=0,"",SUMIFS('Daily BSE Equity Futures'!$I:$I,'Daily BSE Equity Futures'!$A:$A,$A1561))</f>
        <v>2.8677999999999999</v>
      </c>
      <c r="G1561" s="6">
        <f t="shared" si="288"/>
        <v>911.2971</v>
      </c>
      <c r="H1561" s="15">
        <f t="shared" si="289"/>
        <v>0.99685305703266258</v>
      </c>
      <c r="I1561" s="15">
        <f t="shared" si="290"/>
        <v>3.1469429673374356E-3</v>
      </c>
      <c r="J1561" s="20">
        <f t="shared" si="291"/>
        <v>-6.7978151338271009E-2</v>
      </c>
      <c r="K1561" s="15">
        <f t="shared" si="292"/>
        <v>1.1228810422681175</v>
      </c>
      <c r="L1561" s="15">
        <f t="shared" si="293"/>
        <v>-6.6329924175052235E-2</v>
      </c>
      <c r="M1561" s="15">
        <f t="shared" si="297"/>
        <v>3.1700875017917074E-3</v>
      </c>
      <c r="N1561" s="15">
        <f t="shared" si="298"/>
        <v>-0.13957395739573963</v>
      </c>
      <c r="O1561" s="15">
        <f t="shared" si="299"/>
        <v>2.6466302472154535E-3</v>
      </c>
      <c r="P1561" s="18">
        <f>IF(SUMIFS('Daily NSE Equity Futures'!$J:$J,'Daily NSE Equity Futures'!$A:$A,$A1561)=0,"",SUMIFS('Daily NSE Equity Futures'!$J:$J,'Daily NSE Equity Futures'!$A:$A,$A1561))</f>
        <v>1208360</v>
      </c>
      <c r="Q1561" s="7">
        <f>IF(SUMIFS('Daily BSE Equity Futures'!$J:$J,'Daily BSE Equity Futures'!$A:$A,$A1561)=0,"",SUMIFS('Daily BSE Equity Futures'!$J:$J,'Daily BSE Equity Futures'!$A:$A,$A1561))</f>
        <v>1851</v>
      </c>
      <c r="R1561" s="7">
        <f t="shared" si="294"/>
        <v>1210211</v>
      </c>
      <c r="S1561" s="19">
        <f t="shared" si="295"/>
        <v>0.99847051464579317</v>
      </c>
      <c r="T1561" s="19">
        <f t="shared" si="296"/>
        <v>1.5294853542068285E-3</v>
      </c>
    </row>
    <row r="1562" spans="1:20" x14ac:dyDescent="0.2">
      <c r="A1562" s="9">
        <v>46220</v>
      </c>
      <c r="B1562" s="4" t="s">
        <v>222</v>
      </c>
      <c r="C1562" s="8">
        <v>46204</v>
      </c>
      <c r="D1562" s="4" t="s">
        <v>198</v>
      </c>
      <c r="E1562" s="14">
        <f>IF(SUMIFS('Daily NSE Equity Futures'!$I:$I,'Daily NSE Equity Futures'!$A:$A,$A1562)=0,"",SUMIFS('Daily NSE Equity Futures'!$I:$I,'Daily NSE Equity Futures'!$A:$A,$A1562))</f>
        <v>1151.2673</v>
      </c>
      <c r="F1562" s="6">
        <f>IF(SUMIFS('Daily BSE Equity Futures'!$I:$I,'Daily BSE Equity Futures'!$A:$A,$A1562)=0,"",SUMIFS('Daily BSE Equity Futures'!$I:$I,'Daily BSE Equity Futures'!$A:$A,$A1562))</f>
        <v>2.9523000000000001</v>
      </c>
      <c r="G1562" s="6">
        <f t="shared" si="288"/>
        <v>1154.2195999999999</v>
      </c>
      <c r="H1562" s="15">
        <f t="shared" si="289"/>
        <v>0.99744216785090123</v>
      </c>
      <c r="I1562" s="15">
        <f t="shared" si="290"/>
        <v>2.5578321490988373E-3</v>
      </c>
      <c r="J1562" s="20">
        <f t="shared" si="291"/>
        <v>0.14746814770974792</v>
      </c>
      <c r="K1562" s="15">
        <f t="shared" si="292"/>
        <v>0.78981509548347995</v>
      </c>
      <c r="L1562" s="15">
        <f t="shared" si="293"/>
        <v>0.14852246914405787</v>
      </c>
      <c r="M1562" s="15">
        <f t="shared" si="297"/>
        <v>0.26731634481626698</v>
      </c>
      <c r="N1562" s="15">
        <f t="shared" si="298"/>
        <v>2.946509519492313E-2</v>
      </c>
      <c r="O1562" s="15">
        <f t="shared" si="299"/>
        <v>0.26656784049899862</v>
      </c>
      <c r="P1562" s="18">
        <f>IF(SUMIFS('Daily NSE Equity Futures'!$J:$J,'Daily NSE Equity Futures'!$A:$A,$A1562)=0,"",SUMIFS('Daily NSE Equity Futures'!$J:$J,'Daily NSE Equity Futures'!$A:$A,$A1562))</f>
        <v>1481512</v>
      </c>
      <c r="Q1562" s="7">
        <f>IF(SUMIFS('Daily BSE Equity Futures'!$J:$J,'Daily BSE Equity Futures'!$A:$A,$A1562)=0,"",SUMIFS('Daily BSE Equity Futures'!$J:$J,'Daily BSE Equity Futures'!$A:$A,$A1562))</f>
        <v>1894</v>
      </c>
      <c r="R1562" s="7">
        <f t="shared" si="294"/>
        <v>1483406</v>
      </c>
      <c r="S1562" s="19">
        <f t="shared" si="295"/>
        <v>0.99872320861584762</v>
      </c>
      <c r="T1562" s="19">
        <f t="shared" si="296"/>
        <v>1.2767913841524169E-3</v>
      </c>
    </row>
    <row r="1563" spans="1:20" x14ac:dyDescent="0.2">
      <c r="A1563" s="9">
        <v>46223</v>
      </c>
      <c r="B1563" s="4" t="s">
        <v>225</v>
      </c>
      <c r="C1563" s="8">
        <v>46204</v>
      </c>
      <c r="D1563" s="4" t="s">
        <v>198</v>
      </c>
      <c r="E1563" s="14">
        <f>IF(SUMIFS('Daily NSE Equity Futures'!$I:$I,'Daily NSE Equity Futures'!$A:$A,$A1563)=0,"",SUMIFS('Daily NSE Equity Futures'!$I:$I,'Daily NSE Equity Futures'!$A:$A,$A1563))</f>
        <v>1073.3896999999999</v>
      </c>
      <c r="F1563" s="6">
        <f>IF(SUMIFS('Daily BSE Equity Futures'!$I:$I,'Daily BSE Equity Futures'!$A:$A,$A1563)=0,"",SUMIFS('Daily BSE Equity Futures'!$I:$I,'Daily BSE Equity Futures'!$A:$A,$A1563))</f>
        <v>2.3567999999999998</v>
      </c>
      <c r="G1563" s="6">
        <f t="shared" si="288"/>
        <v>1075.7465</v>
      </c>
      <c r="H1563" s="15">
        <f t="shared" si="289"/>
        <v>0.9978091492744805</v>
      </c>
      <c r="I1563" s="15">
        <f t="shared" si="290"/>
        <v>2.1908507255194417E-3</v>
      </c>
      <c r="J1563" s="20" t="str">
        <f t="shared" si="291"/>
        <v/>
      </c>
      <c r="K1563" s="15" t="str">
        <f t="shared" si="292"/>
        <v/>
      </c>
      <c r="L1563" s="15" t="str">
        <f t="shared" si="293"/>
        <v/>
      </c>
      <c r="M1563" s="15">
        <f t="shared" si="297"/>
        <v>-6.7645107265706272E-2</v>
      </c>
      <c r="N1563" s="15">
        <f t="shared" si="298"/>
        <v>-0.20170714358296937</v>
      </c>
      <c r="O1563" s="15">
        <f t="shared" si="299"/>
        <v>-6.7988015452172146E-2</v>
      </c>
      <c r="P1563" s="18">
        <f>IF(SUMIFS('Daily NSE Equity Futures'!$J:$J,'Daily NSE Equity Futures'!$A:$A,$A1563)=0,"",SUMIFS('Daily NSE Equity Futures'!$J:$J,'Daily NSE Equity Futures'!$A:$A,$A1563))</f>
        <v>1410153</v>
      </c>
      <c r="Q1563" s="7">
        <f>IF(SUMIFS('Daily BSE Equity Futures'!$J:$J,'Daily BSE Equity Futures'!$A:$A,$A1563)=0,"",SUMIFS('Daily BSE Equity Futures'!$J:$J,'Daily BSE Equity Futures'!$A:$A,$A1563))</f>
        <v>1517</v>
      </c>
      <c r="R1563" s="7">
        <f t="shared" si="294"/>
        <v>1411670</v>
      </c>
      <c r="S1563" s="19">
        <f t="shared" si="295"/>
        <v>0.99892538624466054</v>
      </c>
      <c r="T1563" s="19">
        <f t="shared" si="296"/>
        <v>1.0746137553394207E-3</v>
      </c>
    </row>
    <row r="1564" spans="1:20" x14ac:dyDescent="0.2">
      <c r="A1564" s="9">
        <v>46224</v>
      </c>
      <c r="B1564" s="4" t="s">
        <v>223</v>
      </c>
      <c r="C1564" s="8">
        <v>46204</v>
      </c>
      <c r="D1564" s="4" t="s">
        <v>198</v>
      </c>
      <c r="E1564" s="14">
        <f>IF(SUMIFS('Daily NSE Equity Futures'!$I:$I,'Daily NSE Equity Futures'!$A:$A,$A1564)=0,"",SUMIFS('Daily NSE Equity Futures'!$I:$I,'Daily NSE Equity Futures'!$A:$A,$A1564))</f>
        <v>1033.6541</v>
      </c>
      <c r="F1564" s="6">
        <f>IF(SUMIFS('Daily BSE Equity Futures'!$I:$I,'Daily BSE Equity Futures'!$A:$A,$A1564)=0,"",SUMIFS('Daily BSE Equity Futures'!$I:$I,'Daily BSE Equity Futures'!$A:$A,$A1564))</f>
        <v>1.2183999999999999</v>
      </c>
      <c r="G1564" s="6">
        <f t="shared" si="288"/>
        <v>1034.8724999999999</v>
      </c>
      <c r="H1564" s="15">
        <f t="shared" si="289"/>
        <v>0.99882265689734728</v>
      </c>
      <c r="I1564" s="15">
        <f t="shared" si="290"/>
        <v>1.1773431026527422E-3</v>
      </c>
      <c r="J1564" s="20">
        <f t="shared" si="291"/>
        <v>-8.8289946020875254E-2</v>
      </c>
      <c r="K1564" s="15">
        <f t="shared" si="292"/>
        <v>-0.53878184502403759</v>
      </c>
      <c r="L1564" s="15">
        <f t="shared" si="293"/>
        <v>-8.9337174017339649E-2</v>
      </c>
      <c r="M1564" s="15">
        <f t="shared" si="297"/>
        <v>-3.7018801279721569E-2</v>
      </c>
      <c r="N1564" s="15">
        <f t="shared" si="298"/>
        <v>-0.4830278343516633</v>
      </c>
      <c r="O1564" s="15">
        <f t="shared" si="299"/>
        <v>-3.7995940493415481E-2</v>
      </c>
      <c r="P1564" s="18">
        <f>IF(SUMIFS('Daily NSE Equity Futures'!$J:$J,'Daily NSE Equity Futures'!$A:$A,$A1564)=0,"",SUMIFS('Daily NSE Equity Futures'!$J:$J,'Daily NSE Equity Futures'!$A:$A,$A1564))</f>
        <v>1424190</v>
      </c>
      <c r="Q1564" s="7">
        <f>IF(SUMIFS('Daily BSE Equity Futures'!$J:$J,'Daily BSE Equity Futures'!$A:$A,$A1564)=0,"",SUMIFS('Daily BSE Equity Futures'!$J:$J,'Daily BSE Equity Futures'!$A:$A,$A1564))</f>
        <v>785</v>
      </c>
      <c r="R1564" s="7">
        <f t="shared" si="294"/>
        <v>1424975</v>
      </c>
      <c r="S1564" s="19">
        <f t="shared" si="295"/>
        <v>0.99944911314233587</v>
      </c>
      <c r="T1564" s="19">
        <f t="shared" si="296"/>
        <v>5.508868576641695E-4</v>
      </c>
    </row>
    <row r="1565" spans="1:20" x14ac:dyDescent="0.2">
      <c r="A1565" s="9">
        <v>46225</v>
      </c>
      <c r="B1565" s="4" t="s">
        <v>221</v>
      </c>
      <c r="C1565" s="8">
        <v>46204</v>
      </c>
      <c r="D1565" s="4" t="s">
        <v>198</v>
      </c>
      <c r="E1565" s="14">
        <f>IF(SUMIFS('Daily NSE Equity Futures'!$I:$I,'Daily NSE Equity Futures'!$A:$A,$A1565)=0,"",SUMIFS('Daily NSE Equity Futures'!$I:$I,'Daily NSE Equity Futures'!$A:$A,$A1565))</f>
        <v>1362.3551</v>
      </c>
      <c r="F1565" s="6">
        <f>IF(SUMIFS('Daily BSE Equity Futures'!$I:$I,'Daily BSE Equity Futures'!$A:$A,$A1565)=0,"",SUMIFS('Daily BSE Equity Futures'!$I:$I,'Daily BSE Equity Futures'!$A:$A,$A1565))</f>
        <v>2.5636999999999999</v>
      </c>
      <c r="G1565" s="6">
        <f t="shared" si="288"/>
        <v>1364.9187999999999</v>
      </c>
      <c r="H1565" s="15">
        <f t="shared" si="289"/>
        <v>0.99812171976823827</v>
      </c>
      <c r="I1565" s="15">
        <f t="shared" si="290"/>
        <v>1.8782802317617723E-3</v>
      </c>
      <c r="J1565" s="20">
        <f t="shared" si="291"/>
        <v>0.31299325006319889</v>
      </c>
      <c r="K1565" s="15">
        <f t="shared" si="292"/>
        <v>-0.33106327462491847</v>
      </c>
      <c r="L1565" s="15">
        <f t="shared" si="293"/>
        <v>0.31062309288194245</v>
      </c>
      <c r="M1565" s="15">
        <f t="shared" si="297"/>
        <v>0.31799902888209908</v>
      </c>
      <c r="N1565" s="15">
        <f t="shared" si="298"/>
        <v>1.1041529875246225</v>
      </c>
      <c r="O1565" s="15">
        <f t="shared" si="299"/>
        <v>0.31892460182292992</v>
      </c>
      <c r="P1565" s="18">
        <f>IF(SUMIFS('Daily NSE Equity Futures'!$J:$J,'Daily NSE Equity Futures'!$A:$A,$A1565)=0,"",SUMIFS('Daily NSE Equity Futures'!$J:$J,'Daily NSE Equity Futures'!$A:$A,$A1565))</f>
        <v>1865192</v>
      </c>
      <c r="Q1565" s="7">
        <f>IF(SUMIFS('Daily BSE Equity Futures'!$J:$J,'Daily BSE Equity Futures'!$A:$A,$A1565)=0,"",SUMIFS('Daily BSE Equity Futures'!$J:$J,'Daily BSE Equity Futures'!$A:$A,$A1565))</f>
        <v>1663</v>
      </c>
      <c r="R1565" s="7">
        <f t="shared" si="294"/>
        <v>1866855</v>
      </c>
      <c r="S1565" s="19">
        <f t="shared" si="295"/>
        <v>0.99910919701851508</v>
      </c>
      <c r="T1565" s="19">
        <f t="shared" si="296"/>
        <v>8.9080298148490377E-4</v>
      </c>
    </row>
    <row r="1566" spans="1:20" x14ac:dyDescent="0.2">
      <c r="A1566" s="9">
        <v>46226</v>
      </c>
      <c r="B1566" s="4" t="s">
        <v>224</v>
      </c>
      <c r="C1566" s="8">
        <v>46204</v>
      </c>
      <c r="D1566" s="4" t="s">
        <v>198</v>
      </c>
      <c r="E1566" s="14">
        <f>IF(SUMIFS('Daily NSE Equity Futures'!$I:$I,'Daily NSE Equity Futures'!$A:$A,$A1566)=0,"",SUMIFS('Daily NSE Equity Futures'!$I:$I,'Daily NSE Equity Futures'!$A:$A,$A1566))</f>
        <v>3342.44</v>
      </c>
      <c r="F1566" s="6">
        <f>IF(SUMIFS('Daily BSE Equity Futures'!$I:$I,'Daily BSE Equity Futures'!$A:$A,$A1566)=0,"",SUMIFS('Daily BSE Equity Futures'!$I:$I,'Daily BSE Equity Futures'!$A:$A,$A1566))</f>
        <v>2.6457999999999999</v>
      </c>
      <c r="G1566" s="6">
        <f t="shared" si="288"/>
        <v>3345.0857999999998</v>
      </c>
      <c r="H1566" s="15">
        <f t="shared" si="289"/>
        <v>0.99920904868867644</v>
      </c>
      <c r="I1566" s="15">
        <f t="shared" si="290"/>
        <v>7.9095131132361394E-4</v>
      </c>
      <c r="J1566" s="20">
        <f t="shared" si="291"/>
        <v>2.060954894039607</v>
      </c>
      <c r="K1566" s="15">
        <f t="shared" si="292"/>
        <v>0.2022538283273505</v>
      </c>
      <c r="L1566" s="15">
        <f t="shared" si="293"/>
        <v>2.0572164634698047</v>
      </c>
      <c r="M1566" s="15">
        <f t="shared" si="297"/>
        <v>1.4534278911570118</v>
      </c>
      <c r="N1566" s="15">
        <f t="shared" si="298"/>
        <v>3.2024027772360242E-2</v>
      </c>
      <c r="O1566" s="15">
        <f t="shared" si="299"/>
        <v>1.4507580963790665</v>
      </c>
      <c r="P1566" s="18">
        <f>IF(SUMIFS('Daily NSE Equity Futures'!$J:$J,'Daily NSE Equity Futures'!$A:$A,$A1566)=0,"",SUMIFS('Daily NSE Equity Futures'!$J:$J,'Daily NSE Equity Futures'!$A:$A,$A1566))</f>
        <v>4689473</v>
      </c>
      <c r="Q1566" s="7">
        <f>IF(SUMIFS('Daily BSE Equity Futures'!$J:$J,'Daily BSE Equity Futures'!$A:$A,$A1566)=0,"",SUMIFS('Daily BSE Equity Futures'!$J:$J,'Daily BSE Equity Futures'!$A:$A,$A1566))</f>
        <v>1723</v>
      </c>
      <c r="R1566" s="7">
        <f t="shared" si="294"/>
        <v>4691196</v>
      </c>
      <c r="S1566" s="19">
        <f t="shared" si="295"/>
        <v>0.99963271626254802</v>
      </c>
      <c r="T1566" s="19">
        <f t="shared" si="296"/>
        <v>3.6728373745202717E-4</v>
      </c>
    </row>
    <row r="1567" spans="1:20" x14ac:dyDescent="0.2">
      <c r="A1567" s="9">
        <v>46227</v>
      </c>
      <c r="B1567" s="4" t="s">
        <v>222</v>
      </c>
      <c r="C1567" s="8">
        <v>46204</v>
      </c>
      <c r="D1567" s="4" t="s">
        <v>198</v>
      </c>
      <c r="E1567" s="14">
        <f>IF(SUMIFS('Daily NSE Equity Futures'!$I:$I,'Daily NSE Equity Futures'!$A:$A,$A1567)=0,"",SUMIFS('Daily NSE Equity Futures'!$I:$I,'Daily NSE Equity Futures'!$A:$A,$A1567))</f>
        <v>3748.8849</v>
      </c>
      <c r="F1567" s="6">
        <f>IF(SUMIFS('Daily BSE Equity Futures'!$I:$I,'Daily BSE Equity Futures'!$A:$A,$A1567)=0,"",SUMIFS('Daily BSE Equity Futures'!$I:$I,'Daily BSE Equity Futures'!$A:$A,$A1567))</f>
        <v>2.9436</v>
      </c>
      <c r="G1567" s="6">
        <f t="shared" si="288"/>
        <v>3751.8285000000001</v>
      </c>
      <c r="H1567" s="15">
        <f t="shared" si="289"/>
        <v>0.99921542255995977</v>
      </c>
      <c r="I1567" s="15">
        <f t="shared" si="290"/>
        <v>7.8457744004023641E-4</v>
      </c>
      <c r="J1567" s="20">
        <f t="shared" si="291"/>
        <v>2.0600549112654778</v>
      </c>
      <c r="K1567" s="15">
        <f t="shared" si="292"/>
        <v>0.63660624930501508</v>
      </c>
      <c r="L1567" s="15">
        <f t="shared" si="293"/>
        <v>2.05796818068006</v>
      </c>
      <c r="M1567" s="15">
        <f t="shared" si="297"/>
        <v>0.12160125537032829</v>
      </c>
      <c r="N1567" s="15">
        <f t="shared" si="298"/>
        <v>0.11255574873384244</v>
      </c>
      <c r="O1567" s="15">
        <f t="shared" si="299"/>
        <v>0.12159410081499256</v>
      </c>
      <c r="P1567" s="18">
        <f>IF(SUMIFS('Daily NSE Equity Futures'!$J:$J,'Daily NSE Equity Futures'!$A:$A,$A1567)=0,"",SUMIFS('Daily NSE Equity Futures'!$J:$J,'Daily NSE Equity Futures'!$A:$A,$A1567))</f>
        <v>5414887</v>
      </c>
      <c r="Q1567" s="7">
        <f>IF(SUMIFS('Daily BSE Equity Futures'!$J:$J,'Daily BSE Equity Futures'!$A:$A,$A1567)=0,"",SUMIFS('Daily BSE Equity Futures'!$J:$J,'Daily BSE Equity Futures'!$A:$A,$A1567))</f>
        <v>1917</v>
      </c>
      <c r="R1567" s="7">
        <f t="shared" si="294"/>
        <v>5416804</v>
      </c>
      <c r="S1567" s="19">
        <f t="shared" si="295"/>
        <v>0.999646101280386</v>
      </c>
      <c r="T1567" s="19">
        <f t="shared" si="296"/>
        <v>3.5389871961400115E-4</v>
      </c>
    </row>
    <row r="1568" spans="1:20" x14ac:dyDescent="0.2">
      <c r="A1568" s="9">
        <v>46230</v>
      </c>
      <c r="B1568" s="4" t="s">
        <v>225</v>
      </c>
      <c r="C1568" s="8">
        <v>46204</v>
      </c>
      <c r="D1568" s="4" t="s">
        <v>198</v>
      </c>
      <c r="E1568" s="14">
        <f>IF(SUMIFS('Daily NSE Equity Futures'!$I:$I,'Daily NSE Equity Futures'!$A:$A,$A1568)=0,"",SUMIFS('Daily NSE Equity Futures'!$I:$I,'Daily NSE Equity Futures'!$A:$A,$A1568))</f>
        <v>3507.9043999999999</v>
      </c>
      <c r="F1568" s="6">
        <f>IF(SUMIFS('Daily BSE Equity Futures'!$I:$I,'Daily BSE Equity Futures'!$A:$A,$A1568)=0,"",SUMIFS('Daily BSE Equity Futures'!$I:$I,'Daily BSE Equity Futures'!$A:$A,$A1568))</f>
        <v>1.8668</v>
      </c>
      <c r="G1568" s="6">
        <f t="shared" si="288"/>
        <v>3509.7711999999997</v>
      </c>
      <c r="H1568" s="15">
        <f t="shared" si="289"/>
        <v>0.99946811347702669</v>
      </c>
      <c r="I1568" s="15">
        <f t="shared" si="290"/>
        <v>5.3188652297334938E-4</v>
      </c>
      <c r="J1568" s="20" t="str">
        <f t="shared" si="291"/>
        <v/>
      </c>
      <c r="K1568" s="15" t="str">
        <f t="shared" si="292"/>
        <v/>
      </c>
      <c r="L1568" s="15" t="str">
        <f t="shared" si="293"/>
        <v/>
      </c>
      <c r="M1568" s="15">
        <f t="shared" si="297"/>
        <v>-6.4280581140274573E-2</v>
      </c>
      <c r="N1568" s="15">
        <f t="shared" si="298"/>
        <v>-0.36581057208859902</v>
      </c>
      <c r="O1568" s="15">
        <f t="shared" si="299"/>
        <v>-6.4517154768668261E-2</v>
      </c>
      <c r="P1568" s="18">
        <f>IF(SUMIFS('Daily NSE Equity Futures'!$J:$J,'Daily NSE Equity Futures'!$A:$A,$A1568)=0,"",SUMIFS('Daily NSE Equity Futures'!$J:$J,'Daily NSE Equity Futures'!$A:$A,$A1568))</f>
        <v>4976491</v>
      </c>
      <c r="Q1568" s="7">
        <f>IF(SUMIFS('Daily BSE Equity Futures'!$J:$J,'Daily BSE Equity Futures'!$A:$A,$A1568)=0,"",SUMIFS('Daily BSE Equity Futures'!$J:$J,'Daily BSE Equity Futures'!$A:$A,$A1568))</f>
        <v>1204</v>
      </c>
      <c r="R1568" s="7">
        <f t="shared" si="294"/>
        <v>4977695</v>
      </c>
      <c r="S1568" s="19">
        <f t="shared" si="295"/>
        <v>0.99975812097768146</v>
      </c>
      <c r="T1568" s="19">
        <f t="shared" si="296"/>
        <v>2.4187902231856311E-4</v>
      </c>
    </row>
    <row r="1569" spans="1:20" x14ac:dyDescent="0.2">
      <c r="A1569" s="9">
        <v>46231</v>
      </c>
      <c r="B1569" s="4" t="s">
        <v>223</v>
      </c>
      <c r="C1569" s="8">
        <v>46204</v>
      </c>
      <c r="D1569" s="4" t="s">
        <v>198</v>
      </c>
      <c r="E1569" s="14">
        <f>IF(SUMIFS('Daily NSE Equity Futures'!$I:$I,'Daily NSE Equity Futures'!$A:$A,$A1569)=0,"",SUMIFS('Daily NSE Equity Futures'!$I:$I,'Daily NSE Equity Futures'!$A:$A,$A1569))</f>
        <v>2531.7157000000002</v>
      </c>
      <c r="F1569" s="6">
        <f>IF(SUMIFS('Daily BSE Equity Futures'!$I:$I,'Daily BSE Equity Futures'!$A:$A,$A1569)=0,"",SUMIFS('Daily BSE Equity Futures'!$I:$I,'Daily BSE Equity Futures'!$A:$A,$A1569))</f>
        <v>1.5113000000000001</v>
      </c>
      <c r="G1569" s="6">
        <f t="shared" si="288"/>
        <v>2533.2270000000003</v>
      </c>
      <c r="H1569" s="15">
        <f t="shared" si="289"/>
        <v>0.99940340916941117</v>
      </c>
      <c r="I1569" s="15">
        <f t="shared" si="290"/>
        <v>5.9659083058881022E-4</v>
      </c>
      <c r="J1569" s="20">
        <f t="shared" si="291"/>
        <v>-0.22108075244541803</v>
      </c>
      <c r="K1569" s="15">
        <f t="shared" si="292"/>
        <v>-0.48547986245872055</v>
      </c>
      <c r="L1569" s="15">
        <f t="shared" si="293"/>
        <v>-0.22131947502516103</v>
      </c>
      <c r="M1569" s="15">
        <f t="shared" si="297"/>
        <v>-0.27828258375570314</v>
      </c>
      <c r="N1569" s="15">
        <f t="shared" si="298"/>
        <v>-0.1904328262266981</v>
      </c>
      <c r="O1569" s="15">
        <f t="shared" si="299"/>
        <v>-0.27823585765362691</v>
      </c>
      <c r="P1569" s="18">
        <f>IF(SUMIFS('Daily NSE Equity Futures'!$J:$J,'Daily NSE Equity Futures'!$A:$A,$A1569)=0,"",SUMIFS('Daily NSE Equity Futures'!$J:$J,'Daily NSE Equity Futures'!$A:$A,$A1569))</f>
        <v>3528834</v>
      </c>
      <c r="Q1569" s="7">
        <f>IF(SUMIFS('Daily BSE Equity Futures'!$J:$J,'Daily BSE Equity Futures'!$A:$A,$A1569)=0,"",SUMIFS('Daily BSE Equity Futures'!$J:$J,'Daily BSE Equity Futures'!$A:$A,$A1569))</f>
        <v>981</v>
      </c>
      <c r="R1569" s="7">
        <f t="shared" si="294"/>
        <v>3529815</v>
      </c>
      <c r="S1569" s="19">
        <f t="shared" si="295"/>
        <v>0.99972208175215982</v>
      </c>
      <c r="T1569" s="19">
        <f t="shared" si="296"/>
        <v>2.7791824784018424E-4</v>
      </c>
    </row>
    <row r="1570" spans="1:20" x14ac:dyDescent="0.2">
      <c r="A1570" s="9">
        <v>46232</v>
      </c>
      <c r="B1570" s="4" t="s">
        <v>221</v>
      </c>
      <c r="C1570" s="8">
        <v>46204</v>
      </c>
      <c r="D1570" s="4" t="s">
        <v>198</v>
      </c>
      <c r="E1570" s="14">
        <f>IF(SUMIFS('Daily NSE Equity Futures'!$I:$I,'Daily NSE Equity Futures'!$A:$A,$A1570)=0,"",SUMIFS('Daily NSE Equity Futures'!$I:$I,'Daily NSE Equity Futures'!$A:$A,$A1570))</f>
        <v>921.17430000000002</v>
      </c>
      <c r="F1570" s="6">
        <f>IF(SUMIFS('Daily BSE Equity Futures'!$I:$I,'Daily BSE Equity Futures'!$A:$A,$A1570)=0,"",SUMIFS('Daily BSE Equity Futures'!$I:$I,'Daily BSE Equity Futures'!$A:$A,$A1570))</f>
        <v>3.9695</v>
      </c>
      <c r="G1570" s="6">
        <f t="shared" si="288"/>
        <v>925.14380000000006</v>
      </c>
      <c r="H1570" s="15">
        <f t="shared" si="289"/>
        <v>0.99570931567611431</v>
      </c>
      <c r="I1570" s="15">
        <f t="shared" si="290"/>
        <v>4.2906843238856487E-3</v>
      </c>
      <c r="J1570" s="20">
        <f t="shared" si="291"/>
        <v>-0.7331524230867601</v>
      </c>
      <c r="K1570" s="15">
        <f t="shared" si="292"/>
        <v>-0.22139186379506492</v>
      </c>
      <c r="L1570" s="15">
        <f t="shared" si="293"/>
        <v>-0.73239774070039398</v>
      </c>
      <c r="M1570" s="15">
        <f t="shared" si="297"/>
        <v>-0.63614623079518773</v>
      </c>
      <c r="N1570" s="15">
        <f t="shared" si="298"/>
        <v>1.6265466816647915</v>
      </c>
      <c r="O1570" s="15">
        <f t="shared" si="299"/>
        <v>-0.63479632895117577</v>
      </c>
      <c r="P1570" s="18">
        <f>IF(SUMIFS('Daily NSE Equity Futures'!$J:$J,'Daily NSE Equity Futures'!$A:$A,$A1570)=0,"",SUMIFS('Daily NSE Equity Futures'!$J:$J,'Daily NSE Equity Futures'!$A:$A,$A1570))</f>
        <v>1275050</v>
      </c>
      <c r="Q1570" s="7">
        <f>IF(SUMIFS('Daily BSE Equity Futures'!$J:$J,'Daily BSE Equity Futures'!$A:$A,$A1570)=0,"",SUMIFS('Daily BSE Equity Futures'!$J:$J,'Daily BSE Equity Futures'!$A:$A,$A1570))</f>
        <v>2548</v>
      </c>
      <c r="R1570" s="7">
        <f t="shared" si="294"/>
        <v>1277598</v>
      </c>
      <c r="S1570" s="19">
        <f t="shared" si="295"/>
        <v>0.99800563244463436</v>
      </c>
      <c r="T1570" s="19">
        <f t="shared" si="296"/>
        <v>1.9943675553656158E-3</v>
      </c>
    </row>
    <row r="1571" spans="1:20" x14ac:dyDescent="0.2">
      <c r="A1571" s="9">
        <v>46233</v>
      </c>
      <c r="B1571" s="4" t="s">
        <v>224</v>
      </c>
      <c r="C1571" s="8">
        <v>46204</v>
      </c>
      <c r="D1571" s="4" t="s">
        <v>198</v>
      </c>
      <c r="E1571" s="14">
        <f>IF(SUMIFS('Daily NSE Equity Futures'!$I:$I,'Daily NSE Equity Futures'!$A:$A,$A1571)=0,"",SUMIFS('Daily NSE Equity Futures'!$I:$I,'Daily NSE Equity Futures'!$A:$A,$A1571))</f>
        <v>784.20330000000001</v>
      </c>
      <c r="F1571" s="6">
        <f>IF(SUMIFS('Daily BSE Equity Futures'!$I:$I,'Daily BSE Equity Futures'!$A:$A,$A1571)=0,"",SUMIFS('Daily BSE Equity Futures'!$I:$I,'Daily BSE Equity Futures'!$A:$A,$A1571))</f>
        <v>3.5183</v>
      </c>
      <c r="G1571" s="6">
        <f t="shared" si="288"/>
        <v>787.72159999999997</v>
      </c>
      <c r="H1571" s="15">
        <f t="shared" si="289"/>
        <v>0.99553357429833089</v>
      </c>
      <c r="I1571" s="15">
        <f t="shared" si="290"/>
        <v>4.4664257016692197E-3</v>
      </c>
      <c r="J1571" s="20">
        <f t="shared" si="291"/>
        <v>-0.73985283534833757</v>
      </c>
      <c r="K1571" s="15">
        <f t="shared" si="292"/>
        <v>1.9297193771338161</v>
      </c>
      <c r="L1571" s="15">
        <f t="shared" si="293"/>
        <v>-0.73878975529479241</v>
      </c>
      <c r="M1571" s="15">
        <f t="shared" si="297"/>
        <v>-0.14869172967591471</v>
      </c>
      <c r="N1571" s="15">
        <f t="shared" si="298"/>
        <v>-0.11366670865348283</v>
      </c>
      <c r="O1571" s="15">
        <f t="shared" si="299"/>
        <v>-0.14854144836727012</v>
      </c>
      <c r="P1571" s="18">
        <f>IF(SUMIFS('Daily NSE Equity Futures'!$J:$J,'Daily NSE Equity Futures'!$A:$A,$A1571)=0,"",SUMIFS('Daily NSE Equity Futures'!$J:$J,'Daily NSE Equity Futures'!$A:$A,$A1571))</f>
        <v>1082068</v>
      </c>
      <c r="Q1571" s="7">
        <f>IF(SUMIFS('Daily BSE Equity Futures'!$J:$J,'Daily BSE Equity Futures'!$A:$A,$A1571)=0,"",SUMIFS('Daily BSE Equity Futures'!$J:$J,'Daily BSE Equity Futures'!$A:$A,$A1571))</f>
        <v>2242</v>
      </c>
      <c r="R1571" s="7">
        <f t="shared" si="294"/>
        <v>1084310</v>
      </c>
      <c r="S1571" s="19">
        <f t="shared" si="295"/>
        <v>0.99793232562643519</v>
      </c>
      <c r="T1571" s="19">
        <f t="shared" si="296"/>
        <v>2.0676743735647553E-3</v>
      </c>
    </row>
    <row r="1572" spans="1:20" x14ac:dyDescent="0.2">
      <c r="A1572" s="9">
        <v>46234</v>
      </c>
      <c r="B1572" s="4" t="s">
        <v>222</v>
      </c>
      <c r="C1572" s="8">
        <v>46204</v>
      </c>
      <c r="D1572" s="4" t="s">
        <v>198</v>
      </c>
      <c r="E1572" s="14">
        <f>IF(SUMIFS('Daily NSE Equity Futures'!$I:$I,'Daily NSE Equity Futures'!$A:$A,$A1572)=0,"",SUMIFS('Daily NSE Equity Futures'!$I:$I,'Daily NSE Equity Futures'!$A:$A,$A1572))</f>
        <v>896.82470000000001</v>
      </c>
      <c r="F1572" s="6">
        <f>IF(SUMIFS('Daily BSE Equity Futures'!$I:$I,'Daily BSE Equity Futures'!$A:$A,$A1572)=0,"",SUMIFS('Daily BSE Equity Futures'!$I:$I,'Daily BSE Equity Futures'!$A:$A,$A1572))</f>
        <v>1.4756</v>
      </c>
      <c r="G1572" s="6">
        <f t="shared" si="288"/>
        <v>898.30029999999999</v>
      </c>
      <c r="H1572" s="15">
        <f t="shared" si="289"/>
        <v>0.99835734219391892</v>
      </c>
      <c r="I1572" s="15">
        <f t="shared" si="290"/>
        <v>1.6426578060811069E-3</v>
      </c>
      <c r="J1572" s="20">
        <f t="shared" si="291"/>
        <v>-0.71348336108753707</v>
      </c>
      <c r="K1572" s="15">
        <f t="shared" si="292"/>
        <v>-0.34338984559248875</v>
      </c>
      <c r="L1572" s="15">
        <f t="shared" si="293"/>
        <v>-0.71321783749337597</v>
      </c>
      <c r="M1572" s="15">
        <f t="shared" si="297"/>
        <v>0.14361250456354879</v>
      </c>
      <c r="N1572" s="15">
        <f t="shared" si="298"/>
        <v>-0.58059289998010399</v>
      </c>
      <c r="O1572" s="15">
        <f t="shared" si="299"/>
        <v>0.14037789493140718</v>
      </c>
      <c r="P1572" s="18">
        <f>IF(SUMIFS('Daily NSE Equity Futures'!$J:$J,'Daily NSE Equity Futures'!$A:$A,$A1572)=0,"",SUMIFS('Daily NSE Equity Futures'!$J:$J,'Daily NSE Equity Futures'!$A:$A,$A1572))</f>
        <v>1221411</v>
      </c>
      <c r="Q1572" s="7">
        <f>IF(SUMIFS('Daily BSE Equity Futures'!$J:$J,'Daily BSE Equity Futures'!$A:$A,$A1572)=0,"",SUMIFS('Daily BSE Equity Futures'!$J:$J,'Daily BSE Equity Futures'!$A:$A,$A1572))</f>
        <v>940</v>
      </c>
      <c r="R1572" s="7">
        <f t="shared" si="294"/>
        <v>1222351</v>
      </c>
      <c r="S1572" s="19">
        <f t="shared" si="295"/>
        <v>0.99923099011658678</v>
      </c>
      <c r="T1572" s="19">
        <f t="shared" si="296"/>
        <v>7.6900988341319315E-4</v>
      </c>
    </row>
    <row r="1573" spans="1:20" x14ac:dyDescent="0.2">
      <c r="A1573" s="9">
        <v>46237</v>
      </c>
      <c r="B1573" s="4" t="s">
        <v>225</v>
      </c>
      <c r="C1573" s="8">
        <v>46235</v>
      </c>
      <c r="D1573" s="4" t="s">
        <v>198</v>
      </c>
      <c r="E1573" s="14">
        <f>IF(SUMIFS('Daily NSE Equity Futures'!$I:$I,'Daily NSE Equity Futures'!$A:$A,$A1573)=0,"",SUMIFS('Daily NSE Equity Futures'!$I:$I,'Daily NSE Equity Futures'!$A:$A,$A1573))</f>
        <v>890.60080000000005</v>
      </c>
      <c r="F1573" s="6">
        <f>IF(SUMIFS('Daily BSE Equity Futures'!$I:$I,'Daily BSE Equity Futures'!$A:$A,$A1573)=0,"",SUMIFS('Daily BSE Equity Futures'!$I:$I,'Daily BSE Equity Futures'!$A:$A,$A1573))</f>
        <v>1.4453</v>
      </c>
      <c r="G1573" s="6">
        <f t="shared" si="288"/>
        <v>892.04610000000002</v>
      </c>
      <c r="H1573" s="15">
        <f t="shared" si="289"/>
        <v>0.99837979225513118</v>
      </c>
      <c r="I1573" s="15">
        <f t="shared" si="290"/>
        <v>1.620207744868791E-3</v>
      </c>
      <c r="J1573" s="20" t="str">
        <f t="shared" si="291"/>
        <v/>
      </c>
      <c r="K1573" s="15" t="str">
        <f t="shared" si="292"/>
        <v/>
      </c>
      <c r="L1573" s="15" t="str">
        <f t="shared" si="293"/>
        <v/>
      </c>
      <c r="M1573" s="15">
        <f t="shared" si="297"/>
        <v>-6.9399292860689021E-3</v>
      </c>
      <c r="N1573" s="15">
        <f t="shared" si="298"/>
        <v>-2.0534020059636782E-2</v>
      </c>
      <c r="O1573" s="15">
        <f t="shared" si="299"/>
        <v>-6.9622597253946594E-3</v>
      </c>
      <c r="P1573" s="18">
        <f>IF(SUMIFS('Daily NSE Equity Futures'!$J:$J,'Daily NSE Equity Futures'!$A:$A,$A1573)=0,"",SUMIFS('Daily NSE Equity Futures'!$J:$J,'Daily NSE Equity Futures'!$A:$A,$A1573))</f>
        <v>1148733</v>
      </c>
      <c r="Q1573" s="7">
        <f>IF(SUMIFS('Daily BSE Equity Futures'!$J:$J,'Daily BSE Equity Futures'!$A:$A,$A1573)=0,"",SUMIFS('Daily BSE Equity Futures'!$J:$J,'Daily BSE Equity Futures'!$A:$A,$A1573))</f>
        <v>916</v>
      </c>
      <c r="R1573" s="7">
        <f t="shared" si="294"/>
        <v>1149649</v>
      </c>
      <c r="S1573" s="19">
        <f t="shared" si="295"/>
        <v>0.99920323507435749</v>
      </c>
      <c r="T1573" s="19">
        <f t="shared" si="296"/>
        <v>7.967649256425222E-4</v>
      </c>
    </row>
    <row r="1574" spans="1:20" x14ac:dyDescent="0.2">
      <c r="A1574" s="9">
        <v>46238</v>
      </c>
      <c r="B1574" s="4" t="s">
        <v>223</v>
      </c>
      <c r="C1574" s="8">
        <v>46235</v>
      </c>
      <c r="D1574" s="4" t="s">
        <v>198</v>
      </c>
      <c r="E1574" s="14">
        <f>IF(SUMIFS('Daily NSE Equity Futures'!$I:$I,'Daily NSE Equity Futures'!$A:$A,$A1574)=0,"",SUMIFS('Daily NSE Equity Futures'!$I:$I,'Daily NSE Equity Futures'!$A:$A,$A1574))</f>
        <v>784.279</v>
      </c>
      <c r="F1574" s="6">
        <f>IF(SUMIFS('Daily BSE Equity Futures'!$I:$I,'Daily BSE Equity Futures'!$A:$A,$A1574)=0,"",SUMIFS('Daily BSE Equity Futures'!$I:$I,'Daily BSE Equity Futures'!$A:$A,$A1574))</f>
        <v>1.5980000000000001</v>
      </c>
      <c r="G1574" s="6">
        <f t="shared" si="288"/>
        <v>785.87699999999995</v>
      </c>
      <c r="H1574" s="15">
        <f t="shared" si="289"/>
        <v>0.99796660291623251</v>
      </c>
      <c r="I1574" s="15">
        <f t="shared" si="290"/>
        <v>2.0333970837675616E-3</v>
      </c>
      <c r="J1574" s="20">
        <f t="shared" si="291"/>
        <v>-0.12485251088021687</v>
      </c>
      <c r="K1574" s="15">
        <f t="shared" si="292"/>
        <v>-0.30834487534626032</v>
      </c>
      <c r="L1574" s="15">
        <f t="shared" si="293"/>
        <v>-0.12532435400213393</v>
      </c>
      <c r="M1574" s="15">
        <f t="shared" si="297"/>
        <v>-0.11938210700012852</v>
      </c>
      <c r="N1574" s="15">
        <f t="shared" si="298"/>
        <v>0.10565280564588675</v>
      </c>
      <c r="O1574" s="15">
        <f t="shared" si="299"/>
        <v>-0.11901750369179354</v>
      </c>
      <c r="P1574" s="18">
        <f>IF(SUMIFS('Daily NSE Equity Futures'!$J:$J,'Daily NSE Equity Futures'!$A:$A,$A1574)=0,"",SUMIFS('Daily NSE Equity Futures'!$J:$J,'Daily NSE Equity Futures'!$A:$A,$A1574))</f>
        <v>1011455</v>
      </c>
      <c r="Q1574" s="7">
        <f>IF(SUMIFS('Daily BSE Equity Futures'!$J:$J,'Daily BSE Equity Futures'!$A:$A,$A1574)=0,"",SUMIFS('Daily BSE Equity Futures'!$J:$J,'Daily BSE Equity Futures'!$A:$A,$A1574))</f>
        <v>1013</v>
      </c>
      <c r="R1574" s="7">
        <f t="shared" si="294"/>
        <v>1012468</v>
      </c>
      <c r="S1574" s="19">
        <f t="shared" si="295"/>
        <v>0.99899947455129445</v>
      </c>
      <c r="T1574" s="19">
        <f t="shared" si="296"/>
        <v>1.0005254487055392E-3</v>
      </c>
    </row>
    <row r="1575" spans="1:20" x14ac:dyDescent="0.2">
      <c r="A1575" s="9">
        <v>46239</v>
      </c>
      <c r="B1575" s="4" t="s">
        <v>221</v>
      </c>
      <c r="C1575" s="8">
        <v>46235</v>
      </c>
      <c r="D1575" s="4" t="s">
        <v>198</v>
      </c>
      <c r="E1575" s="14">
        <f>IF(SUMIFS('Daily NSE Equity Futures'!$I:$I,'Daily NSE Equity Futures'!$A:$A,$A1575)=0,"",SUMIFS('Daily NSE Equity Futures'!$I:$I,'Daily NSE Equity Futures'!$A:$A,$A1575))</f>
        <v>823.90970000000004</v>
      </c>
      <c r="F1575" s="6">
        <f>IF(SUMIFS('Daily BSE Equity Futures'!$I:$I,'Daily BSE Equity Futures'!$A:$A,$A1575)=0,"",SUMIFS('Daily BSE Equity Futures'!$I:$I,'Daily BSE Equity Futures'!$A:$A,$A1575))</f>
        <v>2.1589</v>
      </c>
      <c r="G1575" s="6">
        <f t="shared" si="288"/>
        <v>826.06860000000006</v>
      </c>
      <c r="H1575" s="15">
        <f t="shared" si="289"/>
        <v>0.99738653666293575</v>
      </c>
      <c r="I1575" s="15">
        <f t="shared" si="290"/>
        <v>2.6134633370642583E-3</v>
      </c>
      <c r="J1575" s="20">
        <f t="shared" si="291"/>
        <v>-3.0044029525681859E-2</v>
      </c>
      <c r="K1575" s="15">
        <f t="shared" si="292"/>
        <v>-0.5076737132562541</v>
      </c>
      <c r="L1575" s="15">
        <f t="shared" si="293"/>
        <v>-3.2497082799308519E-2</v>
      </c>
      <c r="M1575" s="15">
        <f t="shared" si="297"/>
        <v>5.0531379776839636E-2</v>
      </c>
      <c r="N1575" s="15">
        <f t="shared" si="298"/>
        <v>0.35100125156445561</v>
      </c>
      <c r="O1575" s="15">
        <f t="shared" si="299"/>
        <v>5.1142354337892604E-2</v>
      </c>
      <c r="P1575" s="18">
        <f>IF(SUMIFS('Daily NSE Equity Futures'!$J:$J,'Daily NSE Equity Futures'!$A:$A,$A1575)=0,"",SUMIFS('Daily NSE Equity Futures'!$J:$J,'Daily NSE Equity Futures'!$A:$A,$A1575))</f>
        <v>1069938</v>
      </c>
      <c r="Q1575" s="7">
        <f>IF(SUMIFS('Daily BSE Equity Futures'!$J:$J,'Daily BSE Equity Futures'!$A:$A,$A1575)=0,"",SUMIFS('Daily BSE Equity Futures'!$J:$J,'Daily BSE Equity Futures'!$A:$A,$A1575))</f>
        <v>1367</v>
      </c>
      <c r="R1575" s="7">
        <f t="shared" si="294"/>
        <v>1071305</v>
      </c>
      <c r="S1575" s="19">
        <f t="shared" si="295"/>
        <v>0.99872398616640456</v>
      </c>
      <c r="T1575" s="19">
        <f t="shared" si="296"/>
        <v>1.2760138335954747E-3</v>
      </c>
    </row>
    <row r="1576" spans="1:20" x14ac:dyDescent="0.2">
      <c r="A1576" s="9">
        <v>46240</v>
      </c>
      <c r="B1576" s="4" t="s">
        <v>224</v>
      </c>
      <c r="C1576" s="8">
        <v>46235</v>
      </c>
      <c r="D1576" s="4" t="s">
        <v>198</v>
      </c>
      <c r="E1576" s="14">
        <f>IF(SUMIFS('Daily NSE Equity Futures'!$I:$I,'Daily NSE Equity Futures'!$A:$A,$A1576)=0,"",SUMIFS('Daily NSE Equity Futures'!$I:$I,'Daily NSE Equity Futures'!$A:$A,$A1576))</f>
        <v>815.51509999999996</v>
      </c>
      <c r="F1576" s="6">
        <f>IF(SUMIFS('Daily BSE Equity Futures'!$I:$I,'Daily BSE Equity Futures'!$A:$A,$A1576)=0,"",SUMIFS('Daily BSE Equity Futures'!$I:$I,'Daily BSE Equity Futures'!$A:$A,$A1576))</f>
        <v>2.3458000000000001</v>
      </c>
      <c r="G1576" s="6">
        <f t="shared" si="288"/>
        <v>817.86090000000002</v>
      </c>
      <c r="H1576" s="15">
        <f t="shared" si="289"/>
        <v>0.99713178610201314</v>
      </c>
      <c r="I1576" s="15">
        <f t="shared" si="290"/>
        <v>2.8682138979868091E-3</v>
      </c>
      <c r="J1576" s="20">
        <f t="shared" si="291"/>
        <v>-5.6871503521372047E-2</v>
      </c>
      <c r="K1576" s="15">
        <f t="shared" si="292"/>
        <v>1.1085842696629213</v>
      </c>
      <c r="L1576" s="15">
        <f t="shared" si="293"/>
        <v>-5.537397094191876E-2</v>
      </c>
      <c r="M1576" s="15">
        <f t="shared" si="297"/>
        <v>-1.0188737916303259E-2</v>
      </c>
      <c r="N1576" s="15">
        <f t="shared" si="298"/>
        <v>8.6571865301774187E-2</v>
      </c>
      <c r="O1576" s="15">
        <f t="shared" si="299"/>
        <v>-9.9358576273206323E-3</v>
      </c>
      <c r="P1576" s="18">
        <f>IF(SUMIFS('Daily NSE Equity Futures'!$J:$J,'Daily NSE Equity Futures'!$A:$A,$A1576)=0,"",SUMIFS('Daily NSE Equity Futures'!$J:$J,'Daily NSE Equity Futures'!$A:$A,$A1576))</f>
        <v>1081356</v>
      </c>
      <c r="Q1576" s="7">
        <f>IF(SUMIFS('Daily BSE Equity Futures'!$J:$J,'Daily BSE Equity Futures'!$A:$A,$A1576)=0,"",SUMIFS('Daily BSE Equity Futures'!$J:$J,'Daily BSE Equity Futures'!$A:$A,$A1576))</f>
        <v>1481</v>
      </c>
      <c r="R1576" s="7">
        <f t="shared" si="294"/>
        <v>1082837</v>
      </c>
      <c r="S1576" s="19">
        <f t="shared" si="295"/>
        <v>0.998632296458285</v>
      </c>
      <c r="T1576" s="19">
        <f t="shared" si="296"/>
        <v>1.3677035417149581E-3</v>
      </c>
    </row>
    <row r="1577" spans="1:20" x14ac:dyDescent="0.2">
      <c r="A1577" s="9">
        <v>46241</v>
      </c>
      <c r="B1577" s="4" t="s">
        <v>222</v>
      </c>
      <c r="C1577" s="8">
        <v>46235</v>
      </c>
      <c r="D1577" s="4" t="s">
        <v>198</v>
      </c>
      <c r="E1577" s="14">
        <f>IF(SUMIFS('Daily NSE Equity Futures'!$I:$I,'Daily NSE Equity Futures'!$A:$A,$A1577)=0,"",SUMIFS('Daily NSE Equity Futures'!$I:$I,'Daily NSE Equity Futures'!$A:$A,$A1577))</f>
        <v>800.68539999999996</v>
      </c>
      <c r="F1577" s="6">
        <f>IF(SUMIFS('Daily BSE Equity Futures'!$I:$I,'Daily BSE Equity Futures'!$A:$A,$A1577)=0,"",SUMIFS('Daily BSE Equity Futures'!$I:$I,'Daily BSE Equity Futures'!$A:$A,$A1577))</f>
        <v>1.9151</v>
      </c>
      <c r="G1577" s="6">
        <f t="shared" si="288"/>
        <v>802.60050000000001</v>
      </c>
      <c r="H1577" s="15">
        <f t="shared" si="289"/>
        <v>0.99761388137684937</v>
      </c>
      <c r="I1577" s="15">
        <f t="shared" si="290"/>
        <v>2.386118623150621E-3</v>
      </c>
      <c r="J1577" s="20">
        <f t="shared" si="291"/>
        <v>-0.2658591122463847</v>
      </c>
      <c r="K1577" s="15">
        <f t="shared" si="292"/>
        <v>-0.10601251050322091</v>
      </c>
      <c r="L1577" s="15">
        <f t="shared" si="293"/>
        <v>-0.26554576294017251</v>
      </c>
      <c r="M1577" s="15">
        <f t="shared" si="297"/>
        <v>-1.8184457896610384E-2</v>
      </c>
      <c r="N1577" s="15">
        <f t="shared" si="298"/>
        <v>-0.18360474038707475</v>
      </c>
      <c r="O1577" s="15">
        <f t="shared" si="299"/>
        <v>-1.8658918649858469E-2</v>
      </c>
      <c r="P1577" s="18">
        <f>IF(SUMIFS('Daily NSE Equity Futures'!$J:$J,'Daily NSE Equity Futures'!$A:$A,$A1577)=0,"",SUMIFS('Daily NSE Equity Futures'!$J:$J,'Daily NSE Equity Futures'!$A:$A,$A1577))</f>
        <v>1048703</v>
      </c>
      <c r="Q1577" s="7">
        <f>IF(SUMIFS('Daily BSE Equity Futures'!$J:$J,'Daily BSE Equity Futures'!$A:$A,$A1577)=0,"",SUMIFS('Daily BSE Equity Futures'!$J:$J,'Daily BSE Equity Futures'!$A:$A,$A1577))</f>
        <v>1217</v>
      </c>
      <c r="R1577" s="7">
        <f t="shared" si="294"/>
        <v>1049920</v>
      </c>
      <c r="S1577" s="19">
        <f t="shared" si="295"/>
        <v>0.99884086406583361</v>
      </c>
      <c r="T1577" s="19">
        <f t="shared" si="296"/>
        <v>1.1591359341664128E-3</v>
      </c>
    </row>
    <row r="1578" spans="1:20" x14ac:dyDescent="0.2">
      <c r="A1578" s="9">
        <v>46244</v>
      </c>
      <c r="B1578" s="4" t="s">
        <v>225</v>
      </c>
      <c r="C1578" s="8">
        <v>46235</v>
      </c>
      <c r="D1578" s="4" t="s">
        <v>198</v>
      </c>
      <c r="E1578" s="14">
        <f>IF(SUMIFS('Daily NSE Equity Futures'!$I:$I,'Daily NSE Equity Futures'!$A:$A,$A1578)=0,"",SUMIFS('Daily NSE Equity Futures'!$I:$I,'Daily NSE Equity Futures'!$A:$A,$A1578))</f>
        <v>716.00030000000004</v>
      </c>
      <c r="F1578" s="6">
        <f>IF(SUMIFS('Daily BSE Equity Futures'!$I:$I,'Daily BSE Equity Futures'!$A:$A,$A1578)=0,"",SUMIFS('Daily BSE Equity Futures'!$I:$I,'Daily BSE Equity Futures'!$A:$A,$A1578))</f>
        <v>0.9204</v>
      </c>
      <c r="G1578" s="6">
        <f t="shared" si="288"/>
        <v>716.92070000000001</v>
      </c>
      <c r="H1578" s="15">
        <f t="shared" si="289"/>
        <v>0.99871617600105567</v>
      </c>
      <c r="I1578" s="15">
        <f t="shared" si="290"/>
        <v>1.2838239989443742E-3</v>
      </c>
      <c r="J1578" s="20" t="str">
        <f t="shared" si="291"/>
        <v/>
      </c>
      <c r="K1578" s="15" t="str">
        <f t="shared" si="292"/>
        <v/>
      </c>
      <c r="L1578" s="15" t="str">
        <f t="shared" si="293"/>
        <v/>
      </c>
      <c r="M1578" s="15">
        <f t="shared" si="297"/>
        <v>-0.10576576018496142</v>
      </c>
      <c r="N1578" s="15">
        <f t="shared" si="298"/>
        <v>-0.51939846483212371</v>
      </c>
      <c r="O1578" s="15">
        <f t="shared" si="299"/>
        <v>-0.10675273688466425</v>
      </c>
      <c r="P1578" s="18">
        <f>IF(SUMIFS('Daily NSE Equity Futures'!$J:$J,'Daily NSE Equity Futures'!$A:$A,$A1578)=0,"",SUMIFS('Daily NSE Equity Futures'!$J:$J,'Daily NSE Equity Futures'!$A:$A,$A1578))</f>
        <v>947206</v>
      </c>
      <c r="Q1578" s="7">
        <f>IF(SUMIFS('Daily BSE Equity Futures'!$J:$J,'Daily BSE Equity Futures'!$A:$A,$A1578)=0,"",SUMIFS('Daily BSE Equity Futures'!$J:$J,'Daily BSE Equity Futures'!$A:$A,$A1578))</f>
        <v>583</v>
      </c>
      <c r="R1578" s="7">
        <f t="shared" si="294"/>
        <v>947789</v>
      </c>
      <c r="S1578" s="19">
        <f t="shared" si="295"/>
        <v>0.99938488418835836</v>
      </c>
      <c r="T1578" s="19">
        <f t="shared" si="296"/>
        <v>6.1511581164162062E-4</v>
      </c>
    </row>
    <row r="1579" spans="1:20" x14ac:dyDescent="0.2">
      <c r="A1579" s="9">
        <v>46245</v>
      </c>
      <c r="B1579" s="4" t="s">
        <v>223</v>
      </c>
      <c r="C1579" s="8">
        <v>46235</v>
      </c>
      <c r="D1579" s="4" t="s">
        <v>198</v>
      </c>
      <c r="E1579" s="14">
        <f>IF(SUMIFS('Daily NSE Equity Futures'!$I:$I,'Daily NSE Equity Futures'!$A:$A,$A1579)=0,"",SUMIFS('Daily NSE Equity Futures'!$I:$I,'Daily NSE Equity Futures'!$A:$A,$A1579))</f>
        <v>670.8492</v>
      </c>
      <c r="F1579" s="6">
        <f>IF(SUMIFS('Daily BSE Equity Futures'!$I:$I,'Daily BSE Equity Futures'!$A:$A,$A1579)=0,"",SUMIFS('Daily BSE Equity Futures'!$I:$I,'Daily BSE Equity Futures'!$A:$A,$A1579))</f>
        <v>1.5204</v>
      </c>
      <c r="G1579" s="6">
        <f t="shared" si="288"/>
        <v>672.36959999999999</v>
      </c>
      <c r="H1579" s="15">
        <f t="shared" si="289"/>
        <v>0.99773874369096993</v>
      </c>
      <c r="I1579" s="15">
        <f t="shared" si="290"/>
        <v>2.2612563090300335E-3</v>
      </c>
      <c r="J1579" s="20">
        <f t="shared" si="291"/>
        <v>-0.21196994240566469</v>
      </c>
      <c r="K1579" s="15">
        <f t="shared" si="292"/>
        <v>-0.51325393776411832</v>
      </c>
      <c r="L1579" s="15">
        <f t="shared" si="293"/>
        <v>-0.21307137709138313</v>
      </c>
      <c r="M1579" s="15">
        <f t="shared" si="297"/>
        <v>-6.3060169108867692E-2</v>
      </c>
      <c r="N1579" s="15">
        <f t="shared" si="298"/>
        <v>0.65189048239895686</v>
      </c>
      <c r="O1579" s="15">
        <f t="shared" si="299"/>
        <v>-6.21422983044011E-2</v>
      </c>
      <c r="P1579" s="18">
        <f>IF(SUMIFS('Daily NSE Equity Futures'!$J:$J,'Daily NSE Equity Futures'!$A:$A,$A1579)=0,"",SUMIFS('Daily NSE Equity Futures'!$J:$J,'Daily NSE Equity Futures'!$A:$A,$A1579))</f>
        <v>874989</v>
      </c>
      <c r="Q1579" s="7">
        <f>IF(SUMIFS('Daily BSE Equity Futures'!$J:$J,'Daily BSE Equity Futures'!$A:$A,$A1579)=0,"",SUMIFS('Daily BSE Equity Futures'!$J:$J,'Daily BSE Equity Futures'!$A:$A,$A1579))</f>
        <v>968</v>
      </c>
      <c r="R1579" s="7">
        <f t="shared" si="294"/>
        <v>875957</v>
      </c>
      <c r="S1579" s="19">
        <f t="shared" si="295"/>
        <v>0.99889492292429882</v>
      </c>
      <c r="T1579" s="19">
        <f t="shared" si="296"/>
        <v>1.1050770757012045E-3</v>
      </c>
    </row>
    <row r="1580" spans="1:20" x14ac:dyDescent="0.2">
      <c r="A1580" s="9">
        <v>46246</v>
      </c>
      <c r="B1580" s="4" t="s">
        <v>221</v>
      </c>
      <c r="C1580" s="8">
        <v>46235</v>
      </c>
      <c r="D1580" s="4" t="s">
        <v>198</v>
      </c>
      <c r="E1580" s="14">
        <f>IF(SUMIFS('Daily NSE Equity Futures'!$I:$I,'Daily NSE Equity Futures'!$A:$A,$A1580)=0,"",SUMIFS('Daily NSE Equity Futures'!$I:$I,'Daily NSE Equity Futures'!$A:$A,$A1580))</f>
        <v>878.38109999999995</v>
      </c>
      <c r="F1580" s="6">
        <f>IF(SUMIFS('Daily BSE Equity Futures'!$I:$I,'Daily BSE Equity Futures'!$A:$A,$A1580)=0,"",SUMIFS('Daily BSE Equity Futures'!$I:$I,'Daily BSE Equity Futures'!$A:$A,$A1580))</f>
        <v>2.8228</v>
      </c>
      <c r="G1580" s="6">
        <f t="shared" si="288"/>
        <v>881.20389999999998</v>
      </c>
      <c r="H1580" s="15">
        <f t="shared" si="289"/>
        <v>0.99679665512147642</v>
      </c>
      <c r="I1580" s="15">
        <f t="shared" si="290"/>
        <v>3.2033448785235745E-3</v>
      </c>
      <c r="J1580" s="20">
        <f t="shared" si="291"/>
        <v>1.7050434698839378E-2</v>
      </c>
      <c r="K1580" s="15">
        <f t="shared" si="292"/>
        <v>-0.58944673919367041</v>
      </c>
      <c r="L1580" s="15">
        <f t="shared" si="293"/>
        <v>1.2260218188668848E-2</v>
      </c>
      <c r="M1580" s="15">
        <f t="shared" si="297"/>
        <v>0.30935700601565896</v>
      </c>
      <c r="N1580" s="15">
        <f t="shared" si="298"/>
        <v>0.85661667982109968</v>
      </c>
      <c r="O1580" s="15">
        <f t="shared" si="299"/>
        <v>0.31059450040572911</v>
      </c>
      <c r="P1580" s="18">
        <f>IF(SUMIFS('Daily NSE Equity Futures'!$J:$J,'Daily NSE Equity Futures'!$A:$A,$A1580)=0,"",SUMIFS('Daily NSE Equity Futures'!$J:$J,'Daily NSE Equity Futures'!$A:$A,$A1580))</f>
        <v>1155951</v>
      </c>
      <c r="Q1580" s="7">
        <f>IF(SUMIFS('Daily BSE Equity Futures'!$J:$J,'Daily BSE Equity Futures'!$A:$A,$A1580)=0,"",SUMIFS('Daily BSE Equity Futures'!$J:$J,'Daily BSE Equity Futures'!$A:$A,$A1580))</f>
        <v>1805</v>
      </c>
      <c r="R1580" s="7">
        <f t="shared" si="294"/>
        <v>1157756</v>
      </c>
      <c r="S1580" s="19">
        <f t="shared" si="295"/>
        <v>0.99844094956104745</v>
      </c>
      <c r="T1580" s="19">
        <f t="shared" si="296"/>
        <v>1.5590504389525945E-3</v>
      </c>
    </row>
    <row r="1581" spans="1:20" x14ac:dyDescent="0.2">
      <c r="A1581" s="9">
        <v>46247</v>
      </c>
      <c r="B1581" s="4" t="s">
        <v>224</v>
      </c>
      <c r="C1581" s="8">
        <v>46235</v>
      </c>
      <c r="D1581" s="4" t="s">
        <v>198</v>
      </c>
      <c r="E1581" s="14">
        <f>IF(SUMIFS('Daily NSE Equity Futures'!$I:$I,'Daily NSE Equity Futures'!$A:$A,$A1581)=0,"",SUMIFS('Daily NSE Equity Futures'!$I:$I,'Daily NSE Equity Futures'!$A:$A,$A1581))</f>
        <v>643.26110000000006</v>
      </c>
      <c r="F1581" s="6">
        <f>IF(SUMIFS('Daily BSE Equity Futures'!$I:$I,'Daily BSE Equity Futures'!$A:$A,$A1581)=0,"",SUMIFS('Daily BSE Equity Futures'!$I:$I,'Daily BSE Equity Futures'!$A:$A,$A1581))</f>
        <v>4.9930000000000003</v>
      </c>
      <c r="G1581" s="6">
        <f t="shared" si="288"/>
        <v>648.25410000000011</v>
      </c>
      <c r="H1581" s="15">
        <f t="shared" si="289"/>
        <v>0.9922977733577002</v>
      </c>
      <c r="I1581" s="15">
        <f t="shared" si="290"/>
        <v>7.7022266422996774E-3</v>
      </c>
      <c r="J1581" s="20">
        <f t="shared" si="291"/>
        <v>-0.32090201658796857</v>
      </c>
      <c r="K1581" s="15">
        <f t="shared" si="292"/>
        <v>1.9826762246117089</v>
      </c>
      <c r="L1581" s="15">
        <f t="shared" si="293"/>
        <v>-0.31683817529447422</v>
      </c>
      <c r="M1581" s="15">
        <f t="shared" si="297"/>
        <v>-0.26767424754471592</v>
      </c>
      <c r="N1581" s="15">
        <f t="shared" si="298"/>
        <v>0.76881110953663034</v>
      </c>
      <c r="O1581" s="15">
        <f t="shared" si="299"/>
        <v>-0.2643540274844447</v>
      </c>
      <c r="P1581" s="18">
        <f>IF(SUMIFS('Daily NSE Equity Futures'!$J:$J,'Daily NSE Equity Futures'!$A:$A,$A1581)=0,"",SUMIFS('Daily NSE Equity Futures'!$J:$J,'Daily NSE Equity Futures'!$A:$A,$A1581))</f>
        <v>862299</v>
      </c>
      <c r="Q1581" s="7">
        <f>IF(SUMIFS('Daily BSE Equity Futures'!$J:$J,'Daily BSE Equity Futures'!$A:$A,$A1581)=0,"",SUMIFS('Daily BSE Equity Futures'!$J:$J,'Daily BSE Equity Futures'!$A:$A,$A1581))</f>
        <v>3190</v>
      </c>
      <c r="R1581" s="7">
        <f t="shared" si="294"/>
        <v>865489</v>
      </c>
      <c r="S1581" s="19">
        <f t="shared" si="295"/>
        <v>0.99631422236446676</v>
      </c>
      <c r="T1581" s="19">
        <f t="shared" si="296"/>
        <v>3.6857776355332071E-3</v>
      </c>
    </row>
    <row r="1582" spans="1:20" x14ac:dyDescent="0.2">
      <c r="A1582" s="9">
        <v>46248</v>
      </c>
      <c r="B1582" s="4" t="s">
        <v>222</v>
      </c>
      <c r="C1582" s="8">
        <v>46235</v>
      </c>
      <c r="D1582" s="4" t="s">
        <v>198</v>
      </c>
      <c r="E1582" s="14">
        <f>IF(SUMIFS('Daily NSE Equity Futures'!$I:$I,'Daily NSE Equity Futures'!$A:$A,$A1582)=0,"",SUMIFS('Daily NSE Equity Futures'!$I:$I,'Daily NSE Equity Futures'!$A:$A,$A1582))</f>
        <v>662.29459999999995</v>
      </c>
      <c r="F1582" s="6">
        <f>IF(SUMIFS('Daily BSE Equity Futures'!$I:$I,'Daily BSE Equity Futures'!$A:$A,$A1582)=0,"",SUMIFS('Daily BSE Equity Futures'!$I:$I,'Daily BSE Equity Futures'!$A:$A,$A1582))</f>
        <v>0.79949999999999999</v>
      </c>
      <c r="G1582" s="6">
        <f t="shared" si="288"/>
        <v>663.09409999999991</v>
      </c>
      <c r="H1582" s="15">
        <f t="shared" si="289"/>
        <v>0.99879428877439869</v>
      </c>
      <c r="I1582" s="15">
        <f t="shared" si="290"/>
        <v>1.2057112256013138E-3</v>
      </c>
      <c r="J1582" s="20">
        <f t="shared" si="291"/>
        <v>-0.16950426913146477</v>
      </c>
      <c r="K1582" s="15">
        <f t="shared" si="292"/>
        <v>-0.16062992125984255</v>
      </c>
      <c r="L1582" s="15">
        <f t="shared" si="293"/>
        <v>-0.16949368222173389</v>
      </c>
      <c r="M1582" s="15">
        <f t="shared" si="297"/>
        <v>2.9589073550382317E-2</v>
      </c>
      <c r="N1582" s="15">
        <f t="shared" si="298"/>
        <v>-0.83987582615661927</v>
      </c>
      <c r="O1582" s="15">
        <f t="shared" si="299"/>
        <v>2.2892257835314567E-2</v>
      </c>
      <c r="P1582" s="18">
        <f>IF(SUMIFS('Daily NSE Equity Futures'!$J:$J,'Daily NSE Equity Futures'!$A:$A,$A1582)=0,"",SUMIFS('Daily NSE Equity Futures'!$J:$J,'Daily NSE Equity Futures'!$A:$A,$A1582))</f>
        <v>871046</v>
      </c>
      <c r="Q1582" s="7">
        <f>IF(SUMIFS('Daily BSE Equity Futures'!$J:$J,'Daily BSE Equity Futures'!$A:$A,$A1582)=0,"",SUMIFS('Daily BSE Equity Futures'!$J:$J,'Daily BSE Equity Futures'!$A:$A,$A1582))</f>
        <v>514</v>
      </c>
      <c r="R1582" s="7">
        <f t="shared" si="294"/>
        <v>871560</v>
      </c>
      <c r="S1582" s="19">
        <f t="shared" si="295"/>
        <v>0.99941025287989349</v>
      </c>
      <c r="T1582" s="19">
        <f t="shared" si="296"/>
        <v>5.8974712010647571E-4</v>
      </c>
    </row>
    <row r="1583" spans="1:20" x14ac:dyDescent="0.2">
      <c r="A1583" s="9">
        <v>46251</v>
      </c>
      <c r="B1583" s="4" t="s">
        <v>225</v>
      </c>
      <c r="C1583" s="8">
        <v>46235</v>
      </c>
      <c r="D1583" s="4" t="s">
        <v>198</v>
      </c>
      <c r="E1583" s="14">
        <f>IF(SUMIFS('Daily NSE Equity Futures'!$I:$I,'Daily NSE Equity Futures'!$A:$A,$A1583)=0,"",SUMIFS('Daily NSE Equity Futures'!$I:$I,'Daily NSE Equity Futures'!$A:$A,$A1583))</f>
        <v>675.56389999999999</v>
      </c>
      <c r="F1583" s="6">
        <f>IF(SUMIFS('Daily BSE Equity Futures'!$I:$I,'Daily BSE Equity Futures'!$A:$A,$A1583)=0,"",SUMIFS('Daily BSE Equity Futures'!$I:$I,'Daily BSE Equity Futures'!$A:$A,$A1583))</f>
        <v>1.3831</v>
      </c>
      <c r="G1583" s="6">
        <f t="shared" si="288"/>
        <v>676.947</v>
      </c>
      <c r="H1583" s="15">
        <f t="shared" si="289"/>
        <v>0.99795685629746489</v>
      </c>
      <c r="I1583" s="15">
        <f t="shared" si="290"/>
        <v>2.0431437025350582E-3</v>
      </c>
      <c r="J1583" s="20" t="str">
        <f t="shared" si="291"/>
        <v/>
      </c>
      <c r="K1583" s="15" t="str">
        <f t="shared" si="292"/>
        <v/>
      </c>
      <c r="L1583" s="15" t="str">
        <f t="shared" si="293"/>
        <v/>
      </c>
      <c r="M1583" s="15">
        <f t="shared" si="297"/>
        <v>2.0035343788096682E-2</v>
      </c>
      <c r="N1583" s="15">
        <f t="shared" si="298"/>
        <v>0.72995622263914939</v>
      </c>
      <c r="O1583" s="15">
        <f t="shared" si="299"/>
        <v>2.08913033610163E-2</v>
      </c>
      <c r="P1583" s="18">
        <f>IF(SUMIFS('Daily NSE Equity Futures'!$J:$J,'Daily NSE Equity Futures'!$A:$A,$A1583)=0,"",SUMIFS('Daily NSE Equity Futures'!$J:$J,'Daily NSE Equity Futures'!$A:$A,$A1583))</f>
        <v>887546</v>
      </c>
      <c r="Q1583" s="7">
        <f>IF(SUMIFS('Daily BSE Equity Futures'!$J:$J,'Daily BSE Equity Futures'!$A:$A,$A1583)=0,"",SUMIFS('Daily BSE Equity Futures'!$J:$J,'Daily BSE Equity Futures'!$A:$A,$A1583))</f>
        <v>888</v>
      </c>
      <c r="R1583" s="7">
        <f t="shared" si="294"/>
        <v>888434</v>
      </c>
      <c r="S1583" s="19">
        <f t="shared" si="295"/>
        <v>0.9990004884999899</v>
      </c>
      <c r="T1583" s="19">
        <f t="shared" si="296"/>
        <v>9.9951150001013011E-4</v>
      </c>
    </row>
    <row r="1584" spans="1:20" x14ac:dyDescent="0.2">
      <c r="A1584" s="9">
        <v>46252</v>
      </c>
      <c r="B1584" s="4" t="s">
        <v>223</v>
      </c>
      <c r="C1584" s="8">
        <v>46235</v>
      </c>
      <c r="D1584" s="4" t="s">
        <v>198</v>
      </c>
      <c r="E1584" s="14">
        <f>IF(SUMIFS('Daily NSE Equity Futures'!$I:$I,'Daily NSE Equity Futures'!$A:$A,$A1584)=0,"",SUMIFS('Daily NSE Equity Futures'!$I:$I,'Daily NSE Equity Futures'!$A:$A,$A1584))</f>
        <v>834.52719999999999</v>
      </c>
      <c r="F1584" s="6">
        <f>IF(SUMIFS('Daily BSE Equity Futures'!$I:$I,'Daily BSE Equity Futures'!$A:$A,$A1584)=0,"",SUMIFS('Daily BSE Equity Futures'!$I:$I,'Daily BSE Equity Futures'!$A:$A,$A1584))</f>
        <v>1.2605999999999999</v>
      </c>
      <c r="G1584" s="6">
        <f t="shared" si="288"/>
        <v>835.78779999999995</v>
      </c>
      <c r="H1584" s="15">
        <f t="shared" si="289"/>
        <v>0.9984917224204517</v>
      </c>
      <c r="I1584" s="15">
        <f t="shared" si="290"/>
        <v>1.5082775795483016E-3</v>
      </c>
      <c r="J1584" s="20">
        <f t="shared" si="291"/>
        <v>-0.36024278857284442</v>
      </c>
      <c r="K1584" s="15">
        <f t="shared" si="292"/>
        <v>-0.46389385047205922</v>
      </c>
      <c r="L1584" s="15">
        <f t="shared" si="293"/>
        <v>-0.36042929457183426</v>
      </c>
      <c r="M1584" s="15">
        <f t="shared" si="297"/>
        <v>0.23530460997101832</v>
      </c>
      <c r="N1584" s="15">
        <f t="shared" si="298"/>
        <v>-8.8569156243221814E-2</v>
      </c>
      <c r="O1584" s="15">
        <f t="shared" si="299"/>
        <v>0.23464288932516131</v>
      </c>
      <c r="P1584" s="18">
        <f>IF(SUMIFS('Daily NSE Equity Futures'!$J:$J,'Daily NSE Equity Futures'!$A:$A,$A1584)=0,"",SUMIFS('Daily NSE Equity Futures'!$J:$J,'Daily NSE Equity Futures'!$A:$A,$A1584))</f>
        <v>1118595</v>
      </c>
      <c r="Q1584" s="7">
        <f>IF(SUMIFS('Daily BSE Equity Futures'!$J:$J,'Daily BSE Equity Futures'!$A:$A,$A1584)=0,"",SUMIFS('Daily BSE Equity Futures'!$J:$J,'Daily BSE Equity Futures'!$A:$A,$A1584))</f>
        <v>812</v>
      </c>
      <c r="R1584" s="7">
        <f t="shared" si="294"/>
        <v>1119407</v>
      </c>
      <c r="S1584" s="19">
        <f t="shared" si="295"/>
        <v>0.99927461593504419</v>
      </c>
      <c r="T1584" s="19">
        <f t="shared" si="296"/>
        <v>7.2538406495582038E-4</v>
      </c>
    </row>
    <row r="1585" spans="1:20" x14ac:dyDescent="0.2">
      <c r="A1585" s="9">
        <v>46253</v>
      </c>
      <c r="B1585" s="4" t="s">
        <v>221</v>
      </c>
      <c r="C1585" s="8">
        <v>46235</v>
      </c>
      <c r="D1585" s="4" t="s">
        <v>198</v>
      </c>
      <c r="E1585" s="14">
        <f>IF(SUMIFS('Daily NSE Equity Futures'!$I:$I,'Daily NSE Equity Futures'!$A:$A,$A1585)=0,"",SUMIFS('Daily NSE Equity Futures'!$I:$I,'Daily NSE Equity Futures'!$A:$A,$A1585))</f>
        <v>1167.8813</v>
      </c>
      <c r="F1585" s="6">
        <f>IF(SUMIFS('Daily BSE Equity Futures'!$I:$I,'Daily BSE Equity Futures'!$A:$A,$A1585)=0,"",SUMIFS('Daily BSE Equity Futures'!$I:$I,'Daily BSE Equity Futures'!$A:$A,$A1585))</f>
        <v>2.0327000000000002</v>
      </c>
      <c r="G1585" s="6">
        <f t="shared" si="288"/>
        <v>1169.914</v>
      </c>
      <c r="H1585" s="15">
        <f t="shared" si="289"/>
        <v>0.99826252186058118</v>
      </c>
      <c r="I1585" s="15">
        <f t="shared" si="290"/>
        <v>1.7374781394187951E-3</v>
      </c>
      <c r="J1585" s="20">
        <f t="shared" si="291"/>
        <v>0.21846756496745856</v>
      </c>
      <c r="K1585" s="15">
        <f t="shared" si="292"/>
        <v>-7.3898583078955693E-2</v>
      </c>
      <c r="L1585" s="15">
        <f t="shared" si="293"/>
        <v>0.2177995845853129</v>
      </c>
      <c r="M1585" s="15">
        <f t="shared" si="297"/>
        <v>0.39945264815814263</v>
      </c>
      <c r="N1585" s="15">
        <f t="shared" si="298"/>
        <v>0.61248611772172001</v>
      </c>
      <c r="O1585" s="15">
        <f t="shared" si="299"/>
        <v>0.39977396176397884</v>
      </c>
      <c r="P1585" s="18">
        <f>IF(SUMIFS('Daily NSE Equity Futures'!$J:$J,'Daily NSE Equity Futures'!$A:$A,$A1585)=0,"",SUMIFS('Daily NSE Equity Futures'!$J:$J,'Daily NSE Equity Futures'!$A:$A,$A1585))</f>
        <v>1623673</v>
      </c>
      <c r="Q1585" s="7">
        <f>IF(SUMIFS('Daily BSE Equity Futures'!$J:$J,'Daily BSE Equity Futures'!$A:$A,$A1585)=0,"",SUMIFS('Daily BSE Equity Futures'!$J:$J,'Daily BSE Equity Futures'!$A:$A,$A1585))</f>
        <v>1314</v>
      </c>
      <c r="R1585" s="7">
        <f t="shared" si="294"/>
        <v>1624987</v>
      </c>
      <c r="S1585" s="19">
        <f t="shared" si="295"/>
        <v>0.99919137814640979</v>
      </c>
      <c r="T1585" s="19">
        <f t="shared" si="296"/>
        <v>8.0862185359021331E-4</v>
      </c>
    </row>
    <row r="1586" spans="1:20" x14ac:dyDescent="0.2">
      <c r="A1586" s="9">
        <v>46254</v>
      </c>
      <c r="B1586" s="4" t="s">
        <v>224</v>
      </c>
      <c r="C1586" s="8">
        <v>46235</v>
      </c>
      <c r="D1586" s="4" t="s">
        <v>198</v>
      </c>
      <c r="E1586" s="14">
        <f>IF(SUMIFS('Daily NSE Equity Futures'!$I:$I,'Daily NSE Equity Futures'!$A:$A,$A1586)=0,"",SUMIFS('Daily NSE Equity Futures'!$I:$I,'Daily NSE Equity Futures'!$A:$A,$A1586))</f>
        <v>3237.9648999999999</v>
      </c>
      <c r="F1586" s="6">
        <f>IF(SUMIFS('Daily BSE Equity Futures'!$I:$I,'Daily BSE Equity Futures'!$A:$A,$A1586)=0,"",SUMIFS('Daily BSE Equity Futures'!$I:$I,'Daily BSE Equity Futures'!$A:$A,$A1586))</f>
        <v>2.1261999999999999</v>
      </c>
      <c r="G1586" s="6">
        <f t="shared" si="288"/>
        <v>3240.0911000000001</v>
      </c>
      <c r="H1586" s="15">
        <f t="shared" si="289"/>
        <v>0.99934378388311362</v>
      </c>
      <c r="I1586" s="15">
        <f t="shared" si="290"/>
        <v>6.5621611688634299E-4</v>
      </c>
      <c r="J1586" s="20">
        <f t="shared" si="291"/>
        <v>2.038065933876219</v>
      </c>
      <c r="K1586" s="15">
        <f t="shared" si="292"/>
        <v>0.25847883989345943</v>
      </c>
      <c r="L1586" s="15">
        <f t="shared" si="293"/>
        <v>2.035249402428656</v>
      </c>
      <c r="M1586" s="15">
        <f t="shared" si="297"/>
        <v>1.7725119838805536</v>
      </c>
      <c r="N1586" s="15">
        <f t="shared" si="298"/>
        <v>4.5997933782653488E-2</v>
      </c>
      <c r="O1586" s="15">
        <f t="shared" si="299"/>
        <v>1.769512203461109</v>
      </c>
      <c r="P1586" s="18">
        <f>IF(SUMIFS('Daily NSE Equity Futures'!$J:$J,'Daily NSE Equity Futures'!$A:$A,$A1586)=0,"",SUMIFS('Daily NSE Equity Futures'!$J:$J,'Daily NSE Equity Futures'!$A:$A,$A1586))</f>
        <v>4586163</v>
      </c>
      <c r="Q1586" s="7">
        <f>IF(SUMIFS('Daily BSE Equity Futures'!$J:$J,'Daily BSE Equity Futures'!$A:$A,$A1586)=0,"",SUMIFS('Daily BSE Equity Futures'!$J:$J,'Daily BSE Equity Futures'!$A:$A,$A1586))</f>
        <v>1370</v>
      </c>
      <c r="R1586" s="7">
        <f t="shared" si="294"/>
        <v>4587533</v>
      </c>
      <c r="S1586" s="19">
        <f t="shared" si="295"/>
        <v>0.99970136454604253</v>
      </c>
      <c r="T1586" s="19">
        <f t="shared" si="296"/>
        <v>2.9863545395749741E-4</v>
      </c>
    </row>
    <row r="1588" spans="1:20" x14ac:dyDescent="0.2">
      <c r="A1588" s="1" t="s">
        <v>98</v>
      </c>
    </row>
    <row r="1589" spans="1:20" x14ac:dyDescent="0.2">
      <c r="A1589" s="4" t="s">
        <v>99</v>
      </c>
      <c r="B1589" s="5">
        <f>COUNTIF('Daily NSE Equity Futures'!$A:$A,"&gt;="&amp;DATE(2026,4,1))</f>
        <v>97</v>
      </c>
    </row>
    <row r="1590" spans="1:20" x14ac:dyDescent="0.2">
      <c r="A1590" s="4" t="s">
        <v>100</v>
      </c>
      <c r="B1590" s="9">
        <f>DATE(2025,4,1)</f>
        <v>45748</v>
      </c>
      <c r="C1590" s="9">
        <f>INDEX('Daily NSE Equity Futures'!$A:$A,COUNTIF('Daily NSE Equity Futures'!$A:$A,"&lt;"&amp;DATE(2025,4,1))+1+$B1589)</f>
        <v>45889</v>
      </c>
    </row>
    <row r="1591" spans="1:20" x14ac:dyDescent="0.2">
      <c r="E1591" s="2" t="s">
        <v>61</v>
      </c>
      <c r="F1591" s="2" t="s">
        <v>62</v>
      </c>
      <c r="G1591" s="2" t="s">
        <v>63</v>
      </c>
      <c r="H1591" s="2" t="s">
        <v>64</v>
      </c>
      <c r="I1591" s="2" t="s">
        <v>65</v>
      </c>
      <c r="P1591" s="3" t="s">
        <v>69</v>
      </c>
      <c r="Q1591" s="3" t="s">
        <v>70</v>
      </c>
      <c r="R1591" s="3" t="s">
        <v>71</v>
      </c>
      <c r="S1591" s="3" t="s">
        <v>72</v>
      </c>
      <c r="T1591" s="3" t="s">
        <v>73</v>
      </c>
    </row>
    <row r="1592" spans="1:20" x14ac:dyDescent="0.2">
      <c r="A1592" s="4" t="s">
        <v>101</v>
      </c>
      <c r="E1592" s="6">
        <f>SUMIFS('Daily NSE Equity Futures'!$I:$I,'Daily NSE Equity Futures'!$A:$A,"&gt;="&amp;$B$1590,'Daily NSE Equity Futures'!$A:$A,"&lt;="&amp;$C$1590)</f>
        <v>147287.09940000001</v>
      </c>
      <c r="F1592" s="6">
        <f>SUMIFS('Daily BSE Equity Futures'!$I:$I,'Daily BSE Equity Futures'!$A:$A,"&gt;="&amp;$B$1590,'Daily BSE Equity Futures'!$A:$A,"&lt;="&amp;$C$1590)</f>
        <v>328.26400000000018</v>
      </c>
      <c r="G1592" s="6">
        <f>E1592+F1592</f>
        <v>147615.3634</v>
      </c>
      <c r="H1592" s="15">
        <f>IF(G1592=0,"",E1592/G1592)</f>
        <v>0.99777622062880755</v>
      </c>
      <c r="I1592" s="15">
        <f>IF(G1592=0,"",F1592/G1592)</f>
        <v>2.2237793711924717E-3</v>
      </c>
      <c r="P1592" s="7">
        <f>SUMIFS('Daily NSE Equity Futures'!$J:$J,'Daily NSE Equity Futures'!$A:$A,"&gt;="&amp;$B$1590,'Daily NSE Equity Futures'!$A:$A,"&lt;="&amp;$C$1590)</f>
        <v>198081278</v>
      </c>
      <c r="Q1592" s="7">
        <f>SUMIFS('Daily BSE Equity Futures'!$J:$J,'Daily BSE Equity Futures'!$A:$A,"&gt;="&amp;$B$1590,'Daily BSE Equity Futures'!$A:$A,"&lt;="&amp;$C$1590)</f>
        <v>208467</v>
      </c>
      <c r="R1592" s="7">
        <f>P1592+Q1592</f>
        <v>198289745</v>
      </c>
      <c r="S1592" s="19">
        <f>IF(R1592=0,"",P1592/R1592)</f>
        <v>0.99894867482935135</v>
      </c>
      <c r="T1592" s="19">
        <f>IF(R1592=0,"",Q1592/R1592)</f>
        <v>1.0513251706486385E-3</v>
      </c>
    </row>
    <row r="1593" spans="1:20" x14ac:dyDescent="0.2">
      <c r="A1593" s="4" t="s">
        <v>102</v>
      </c>
      <c r="E1593" s="6">
        <f>SUMIFS('Daily NSE Equity Futures'!$I:$I,'Daily NSE Equity Futures'!$A:$A,"&gt;="&amp;DATE(2026,4,1))</f>
        <v>136565.33230000007</v>
      </c>
      <c r="F1593" s="6">
        <f>SUMIFS('Daily BSE Equity Futures'!$I:$I,'Daily BSE Equity Futures'!$A:$A,"&gt;="&amp;DATE(2026,4,1))</f>
        <v>339.53129999999987</v>
      </c>
      <c r="G1593" s="6">
        <f>E1593+F1593</f>
        <v>136904.86360000007</v>
      </c>
      <c r="H1593" s="15">
        <f>IF(G1593=0,"",E1593/G1593)</f>
        <v>0.9975199471291829</v>
      </c>
      <c r="I1593" s="15">
        <f>IF(G1593=0,"",F1593/G1593)</f>
        <v>2.4800528708170725E-3</v>
      </c>
      <c r="P1593" s="7">
        <f>SUMIFS('Daily NSE Equity Futures'!$J:$J,'Daily NSE Equity Futures'!$A:$A,"&gt;="&amp;DATE(2026,4,1))</f>
        <v>189867826</v>
      </c>
      <c r="Q1593" s="7">
        <f>SUMIFS('Daily BSE Equity Futures'!$J:$J,'Daily BSE Equity Futures'!$A:$A,"&gt;="&amp;DATE(2026,4,1))</f>
        <v>221567</v>
      </c>
      <c r="R1593" s="7">
        <f>P1593+Q1593</f>
        <v>190089393</v>
      </c>
      <c r="S1593" s="19">
        <f>IF(R1593=0,"",P1593/R1593)</f>
        <v>0.99883440629430598</v>
      </c>
      <c r="T1593" s="19">
        <f>IF(R1593=0,"",Q1593/R1593)</f>
        <v>1.1655937056940363E-3</v>
      </c>
    </row>
    <row r="1594" spans="1:20" x14ac:dyDescent="0.2">
      <c r="A1594" s="1" t="s">
        <v>103</v>
      </c>
      <c r="E1594" s="15">
        <f>IF(OR(E1592=0,E1592=""),"",E1593/E1592-1)</f>
        <v>-7.2795018325956251E-2</v>
      </c>
      <c r="F1594" s="15">
        <f>IF(OR(F1592=0,F1592=""),"",F1593/F1592-1)</f>
        <v>3.4323897838324235E-2</v>
      </c>
      <c r="G1594" s="15">
        <f>IF(OR(G1592=0,G1592=""),"",G1593/G1592-1)</f>
        <v>-7.25568094899256E-2</v>
      </c>
      <c r="P1594" s="19">
        <f>IF(OR(P1592=0,P1592=""),"",P1593/P1592-1)</f>
        <v>-4.1465059610530153E-2</v>
      </c>
      <c r="Q1594" s="19">
        <f>IF(OR(Q1592=0,Q1592=""),"",Q1593/Q1592-1)</f>
        <v>6.2839682059990354E-2</v>
      </c>
      <c r="R1594" s="19">
        <f>IF(OR(R1592=0,R1592=""),"",R1593/R1592-1)</f>
        <v>-4.1355401410194004E-2</v>
      </c>
    </row>
  </sheetData>
  <conditionalFormatting sqref="H2:H1586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I2:I1586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S2:S1586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T2:T1586">
    <cfRule type="colorScale" priority="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30" customWidth="1"/>
    <col min="3" max="3" width="26" customWidth="1"/>
    <col min="4" max="4" width="34" customWidth="1"/>
    <col min="5" max="6" width="30" customWidth="1"/>
    <col min="7" max="7" width="26" customWidth="1"/>
    <col min="8" max="8" width="18" customWidth="1"/>
  </cols>
  <sheetData>
    <row r="1" spans="1:8" x14ac:dyDescent="0.2">
      <c r="A1" s="1" t="s">
        <v>60</v>
      </c>
      <c r="B1" s="12" t="s">
        <v>228</v>
      </c>
      <c r="C1" s="3" t="s">
        <v>229</v>
      </c>
      <c r="D1" s="12" t="s">
        <v>230</v>
      </c>
      <c r="E1" s="3" t="s">
        <v>231</v>
      </c>
      <c r="F1" s="12" t="s">
        <v>232</v>
      </c>
      <c r="G1" s="3" t="s">
        <v>233</v>
      </c>
      <c r="H1" s="21" t="s">
        <v>234</v>
      </c>
    </row>
    <row r="2" spans="1:8" x14ac:dyDescent="0.2">
      <c r="A2" s="4" t="s">
        <v>86</v>
      </c>
      <c r="B2" s="14">
        <v>45571.136400000003</v>
      </c>
      <c r="C2" s="7">
        <v>140538674</v>
      </c>
      <c r="D2" s="14">
        <v>78286.06</v>
      </c>
      <c r="E2" s="7">
        <v>234243967</v>
      </c>
      <c r="F2" s="14">
        <v>123857.1964</v>
      </c>
      <c r="G2" s="7">
        <v>374782641</v>
      </c>
      <c r="H2" s="22">
        <v>247</v>
      </c>
    </row>
    <row r="3" spans="1:8" x14ac:dyDescent="0.2">
      <c r="A3" s="4" t="s">
        <v>87</v>
      </c>
      <c r="B3" s="14">
        <v>43359.407800000001</v>
      </c>
      <c r="C3" s="7">
        <v>66535070</v>
      </c>
      <c r="D3" s="14">
        <v>111295.8714</v>
      </c>
      <c r="E3" s="7">
        <v>173860130</v>
      </c>
      <c r="F3" s="14">
        <v>154655.27919999999</v>
      </c>
      <c r="G3" s="7">
        <v>240395200</v>
      </c>
      <c r="H3" s="22">
        <v>248</v>
      </c>
    </row>
    <row r="4" spans="1:8" x14ac:dyDescent="0.2">
      <c r="A4" s="4" t="s">
        <v>88</v>
      </c>
      <c r="B4" s="14">
        <v>48104.543400000002</v>
      </c>
      <c r="C4" s="7">
        <v>57674584</v>
      </c>
      <c r="D4" s="14">
        <v>155975.19709999999</v>
      </c>
      <c r="E4" s="7">
        <v>214758366</v>
      </c>
      <c r="F4" s="14">
        <v>204079.74050000001</v>
      </c>
      <c r="G4" s="7">
        <v>272432950</v>
      </c>
      <c r="H4" s="22">
        <v>246</v>
      </c>
    </row>
    <row r="5" spans="1:8" x14ac:dyDescent="0.2">
      <c r="A5" s="4" t="s">
        <v>89</v>
      </c>
      <c r="B5" s="14">
        <v>55689.144699999997</v>
      </c>
      <c r="C5" s="7">
        <v>69824522</v>
      </c>
      <c r="D5" s="14">
        <v>161470.10860000001</v>
      </c>
      <c r="E5" s="7">
        <v>255533869</v>
      </c>
      <c r="F5" s="14">
        <v>217159.25330000001</v>
      </c>
      <c r="G5" s="7">
        <v>325358391</v>
      </c>
      <c r="H5" s="22">
        <v>248</v>
      </c>
    </row>
    <row r="6" spans="1:8" x14ac:dyDescent="0.2">
      <c r="A6" s="4" t="s">
        <v>90</v>
      </c>
      <c r="B6" s="14">
        <v>66773.1204</v>
      </c>
      <c r="C6" s="7">
        <v>94472538</v>
      </c>
      <c r="D6" s="14">
        <v>148747.29259999999</v>
      </c>
      <c r="E6" s="7">
        <v>256643910</v>
      </c>
      <c r="F6" s="14">
        <v>215520.413</v>
      </c>
      <c r="G6" s="7">
        <v>351116448</v>
      </c>
      <c r="H6" s="22">
        <v>247</v>
      </c>
    </row>
    <row r="7" spans="1:8" x14ac:dyDescent="0.2">
      <c r="A7" s="4" t="s">
        <v>91</v>
      </c>
      <c r="B7" s="14">
        <v>90476.4565</v>
      </c>
      <c r="C7" s="7">
        <v>127599626</v>
      </c>
      <c r="D7" s="14">
        <v>180983.6539</v>
      </c>
      <c r="E7" s="7">
        <v>252830922</v>
      </c>
      <c r="F7" s="14">
        <v>271460.11040000001</v>
      </c>
      <c r="G7" s="7">
        <v>380430548</v>
      </c>
      <c r="H7" s="22">
        <v>249</v>
      </c>
    </row>
    <row r="8" spans="1:8" x14ac:dyDescent="0.2">
      <c r="A8" s="4" t="s">
        <v>92</v>
      </c>
      <c r="B8" s="14">
        <v>84293.782699999996</v>
      </c>
      <c r="C8" s="7">
        <v>93662982</v>
      </c>
      <c r="D8" s="14">
        <v>210389.3756</v>
      </c>
      <c r="E8" s="7">
        <v>265609687</v>
      </c>
      <c r="F8" s="14">
        <v>294683.15830000001</v>
      </c>
      <c r="G8" s="7">
        <v>359272669</v>
      </c>
      <c r="H8" s="22">
        <v>248</v>
      </c>
    </row>
    <row r="9" spans="1:8" x14ac:dyDescent="0.2">
      <c r="A9" s="4" t="s">
        <v>93</v>
      </c>
      <c r="B9" s="14">
        <v>95206.847099999999</v>
      </c>
      <c r="C9" s="7">
        <v>104737382</v>
      </c>
      <c r="D9" s="14">
        <v>190723.04370000001</v>
      </c>
      <c r="E9" s="7">
        <v>284126341</v>
      </c>
      <c r="F9" s="14">
        <v>285929.89079999999</v>
      </c>
      <c r="G9" s="7">
        <v>388863723</v>
      </c>
      <c r="H9" s="22">
        <v>249</v>
      </c>
    </row>
    <row r="10" spans="1:8" x14ac:dyDescent="0.2">
      <c r="A10" s="4" t="s">
        <v>94</v>
      </c>
      <c r="B10" s="14">
        <v>74171.171700000006</v>
      </c>
      <c r="C10" s="7">
        <v>85826189</v>
      </c>
      <c r="D10" s="14">
        <v>255469.66579999999</v>
      </c>
      <c r="E10" s="7">
        <v>325400128</v>
      </c>
      <c r="F10" s="14">
        <v>329640.83750000002</v>
      </c>
      <c r="G10" s="7">
        <v>411226317</v>
      </c>
      <c r="H10" s="22"/>
    </row>
    <row r="11" spans="1:8" x14ac:dyDescent="0.2">
      <c r="A11" s="4" t="s">
        <v>95</v>
      </c>
      <c r="B11" s="14">
        <v>87520.892300000007</v>
      </c>
      <c r="C11" s="7">
        <v>117228003</v>
      </c>
      <c r="D11" s="14">
        <v>375373.6961</v>
      </c>
      <c r="E11" s="7">
        <v>518840763</v>
      </c>
      <c r="F11" s="14">
        <v>462894.58840000001</v>
      </c>
      <c r="G11" s="7">
        <v>636068766</v>
      </c>
      <c r="H11" s="22"/>
    </row>
    <row r="12" spans="1:8" x14ac:dyDescent="0.2">
      <c r="A12" s="4" t="s">
        <v>96</v>
      </c>
      <c r="B12" s="14">
        <v>73462.3272</v>
      </c>
      <c r="C12" s="7">
        <v>41056558</v>
      </c>
      <c r="D12" s="14">
        <v>320362.40919999999</v>
      </c>
      <c r="E12" s="7">
        <v>482481566</v>
      </c>
      <c r="F12" s="14">
        <v>393824.73639999999</v>
      </c>
      <c r="G12" s="7">
        <v>523538124</v>
      </c>
      <c r="H12" s="22">
        <v>247</v>
      </c>
    </row>
    <row r="13" spans="1:8" x14ac:dyDescent="0.2">
      <c r="A13" s="4" t="s">
        <v>97</v>
      </c>
      <c r="B13" s="14">
        <v>19888.516899999999</v>
      </c>
      <c r="C13" s="7">
        <v>12453739</v>
      </c>
      <c r="D13" s="14">
        <v>116676.81540000001</v>
      </c>
      <c r="E13" s="7">
        <v>177414087</v>
      </c>
      <c r="F13" s="14">
        <v>136565.33230000001</v>
      </c>
      <c r="G13" s="7">
        <v>189867826</v>
      </c>
      <c r="H13" s="22">
        <v>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1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12" customWidth="1"/>
    <col min="4" max="4" width="30" customWidth="1"/>
    <col min="5" max="5" width="26" customWidth="1"/>
    <col min="6" max="6" width="34" customWidth="1"/>
    <col min="7" max="8" width="30" customWidth="1"/>
    <col min="9" max="9" width="26" customWidth="1"/>
    <col min="10" max="10" width="18" customWidth="1"/>
  </cols>
  <sheetData>
    <row r="1" spans="1:10" x14ac:dyDescent="0.2">
      <c r="A1" s="1" t="s">
        <v>205</v>
      </c>
      <c r="B1" s="1" t="s">
        <v>60</v>
      </c>
      <c r="C1" s="1" t="s">
        <v>104</v>
      </c>
      <c r="D1" s="12" t="s">
        <v>228</v>
      </c>
      <c r="E1" s="3" t="s">
        <v>229</v>
      </c>
      <c r="F1" s="12" t="s">
        <v>230</v>
      </c>
      <c r="G1" s="3" t="s">
        <v>231</v>
      </c>
      <c r="H1" s="12" t="s">
        <v>232</v>
      </c>
      <c r="I1" s="3" t="s">
        <v>233</v>
      </c>
      <c r="J1" s="21" t="s">
        <v>234</v>
      </c>
    </row>
    <row r="2" spans="1:10" x14ac:dyDescent="0.2">
      <c r="A2" s="8">
        <v>39904</v>
      </c>
      <c r="B2" s="4" t="s">
        <v>80</v>
      </c>
      <c r="C2" s="4" t="s">
        <v>129</v>
      </c>
      <c r="D2" s="14">
        <v>3017.6408000000001</v>
      </c>
      <c r="E2" s="7">
        <v>18662382</v>
      </c>
      <c r="F2" s="14">
        <v>3563.8312000000001</v>
      </c>
      <c r="G2" s="7">
        <v>9858642</v>
      </c>
      <c r="H2" s="14">
        <v>6581.4719999999998</v>
      </c>
      <c r="I2" s="7">
        <v>28521024</v>
      </c>
      <c r="J2" s="22">
        <v>17</v>
      </c>
    </row>
    <row r="3" spans="1:10" x14ac:dyDescent="0.2">
      <c r="A3" s="8">
        <v>39934</v>
      </c>
      <c r="B3" s="4" t="s">
        <v>80</v>
      </c>
      <c r="C3" s="4" t="s">
        <v>129</v>
      </c>
      <c r="D3" s="14">
        <v>3174.1514999999999</v>
      </c>
      <c r="E3" s="7">
        <v>16617516</v>
      </c>
      <c r="F3" s="14">
        <v>4481.5474999999997</v>
      </c>
      <c r="G3" s="7">
        <v>9528178</v>
      </c>
      <c r="H3" s="14">
        <v>7655.6989999999996</v>
      </c>
      <c r="I3" s="7">
        <v>26145694</v>
      </c>
      <c r="J3" s="22">
        <v>20</v>
      </c>
    </row>
    <row r="4" spans="1:10" x14ac:dyDescent="0.2">
      <c r="A4" s="8">
        <v>39965</v>
      </c>
      <c r="B4" s="4" t="s">
        <v>80</v>
      </c>
      <c r="C4" s="4" t="s">
        <v>129</v>
      </c>
      <c r="D4" s="14">
        <v>3469.3413999999998</v>
      </c>
      <c r="E4" s="7">
        <v>16207959</v>
      </c>
      <c r="F4" s="14">
        <v>5896.5748000000003</v>
      </c>
      <c r="G4" s="7">
        <v>11127649</v>
      </c>
      <c r="H4" s="14">
        <v>9365.9161999999997</v>
      </c>
      <c r="I4" s="7">
        <v>27335608</v>
      </c>
      <c r="J4" s="22">
        <v>22</v>
      </c>
    </row>
    <row r="5" spans="1:10" x14ac:dyDescent="0.2">
      <c r="A5" s="8">
        <v>39995</v>
      </c>
      <c r="B5" s="4" t="s">
        <v>80</v>
      </c>
      <c r="C5" s="4" t="s">
        <v>130</v>
      </c>
      <c r="D5" s="14">
        <v>3829.2366999999999</v>
      </c>
      <c r="E5" s="7">
        <v>18271805</v>
      </c>
      <c r="F5" s="14">
        <v>4506.3176000000003</v>
      </c>
      <c r="G5" s="7">
        <v>15500535</v>
      </c>
      <c r="H5" s="14">
        <v>8335.5542999999998</v>
      </c>
      <c r="I5" s="7">
        <v>33772340</v>
      </c>
      <c r="J5" s="22">
        <v>23</v>
      </c>
    </row>
    <row r="6" spans="1:10" x14ac:dyDescent="0.2">
      <c r="A6" s="8">
        <v>40026</v>
      </c>
      <c r="B6" s="4" t="s">
        <v>80</v>
      </c>
      <c r="C6" s="4" t="s">
        <v>130</v>
      </c>
      <c r="D6" s="14">
        <v>3663.1197000000002</v>
      </c>
      <c r="E6" s="7">
        <v>16892217</v>
      </c>
      <c r="F6" s="14">
        <v>4123.625</v>
      </c>
      <c r="G6" s="7">
        <v>13113118</v>
      </c>
      <c r="H6" s="14">
        <v>7786.7447000000002</v>
      </c>
      <c r="I6" s="7">
        <v>30005335</v>
      </c>
      <c r="J6" s="22">
        <v>21</v>
      </c>
    </row>
    <row r="7" spans="1:10" x14ac:dyDescent="0.2">
      <c r="A7" s="8">
        <v>40057</v>
      </c>
      <c r="B7" s="4" t="s">
        <v>80</v>
      </c>
      <c r="C7" s="4" t="s">
        <v>130</v>
      </c>
      <c r="D7" s="14">
        <v>3024.2494000000002</v>
      </c>
      <c r="E7" s="7">
        <v>13032242</v>
      </c>
      <c r="F7" s="14">
        <v>4341.1927999999998</v>
      </c>
      <c r="G7" s="7">
        <v>13157621</v>
      </c>
      <c r="H7" s="14">
        <v>7365.4422000000004</v>
      </c>
      <c r="I7" s="7">
        <v>26189863</v>
      </c>
      <c r="J7" s="22">
        <v>20</v>
      </c>
    </row>
    <row r="8" spans="1:10" x14ac:dyDescent="0.2">
      <c r="A8" s="8">
        <v>40087</v>
      </c>
      <c r="B8" s="4" t="s">
        <v>80</v>
      </c>
      <c r="C8" s="4" t="s">
        <v>131</v>
      </c>
      <c r="D8" s="14">
        <v>3296.0970000000002</v>
      </c>
      <c r="E8" s="7">
        <v>13615447</v>
      </c>
      <c r="F8" s="14">
        <v>4658.2932000000001</v>
      </c>
      <c r="G8" s="7">
        <v>14044526</v>
      </c>
      <c r="H8" s="14">
        <v>7954.3901999999998</v>
      </c>
      <c r="I8" s="7">
        <v>27659973</v>
      </c>
      <c r="J8" s="22">
        <v>20</v>
      </c>
    </row>
    <row r="9" spans="1:10" x14ac:dyDescent="0.2">
      <c r="A9" s="8">
        <v>40118</v>
      </c>
      <c r="B9" s="4" t="s">
        <v>80</v>
      </c>
      <c r="C9" s="4" t="s">
        <v>131</v>
      </c>
      <c r="D9" s="14">
        <v>3635.2278000000001</v>
      </c>
      <c r="E9" s="7">
        <v>15178552</v>
      </c>
      <c r="F9" s="14">
        <v>4382.1981999999998</v>
      </c>
      <c r="G9" s="7">
        <v>13260546</v>
      </c>
      <c r="H9" s="14">
        <v>8017.4260000000004</v>
      </c>
      <c r="I9" s="7">
        <v>28439098</v>
      </c>
      <c r="J9" s="22">
        <v>20</v>
      </c>
    </row>
    <row r="10" spans="1:10" x14ac:dyDescent="0.2">
      <c r="A10" s="8">
        <v>40148</v>
      </c>
      <c r="B10" s="4" t="s">
        <v>80</v>
      </c>
      <c r="C10" s="4" t="s">
        <v>131</v>
      </c>
      <c r="D10" s="14">
        <v>3294.9616000000001</v>
      </c>
      <c r="E10" s="7">
        <v>13337833</v>
      </c>
      <c r="F10" s="14">
        <v>3959.5376000000001</v>
      </c>
      <c r="G10" s="7">
        <v>11307332</v>
      </c>
      <c r="H10" s="14">
        <v>7254.4992000000002</v>
      </c>
      <c r="I10" s="7">
        <v>24645165</v>
      </c>
      <c r="J10" s="22">
        <v>21</v>
      </c>
    </row>
    <row r="11" spans="1:10" x14ac:dyDescent="0.2">
      <c r="A11" s="8">
        <v>40179</v>
      </c>
      <c r="B11" s="4" t="s">
        <v>80</v>
      </c>
      <c r="C11" s="4" t="s">
        <v>132</v>
      </c>
      <c r="D11" s="14">
        <v>2988.4915999999998</v>
      </c>
      <c r="E11" s="7">
        <v>12056359</v>
      </c>
      <c r="F11" s="14">
        <v>4441.3383000000003</v>
      </c>
      <c r="G11" s="7">
        <v>12546679</v>
      </c>
      <c r="H11" s="14">
        <v>7429.8298999999997</v>
      </c>
      <c r="I11" s="7">
        <v>24603038</v>
      </c>
      <c r="J11" s="22">
        <v>19</v>
      </c>
    </row>
    <row r="12" spans="1:10" x14ac:dyDescent="0.2">
      <c r="A12" s="8">
        <v>40210</v>
      </c>
      <c r="B12" s="4" t="s">
        <v>80</v>
      </c>
      <c r="C12" s="4" t="s">
        <v>132</v>
      </c>
      <c r="D12" s="14">
        <v>3268.7078000000001</v>
      </c>
      <c r="E12" s="7">
        <v>13891843</v>
      </c>
      <c r="F12" s="14">
        <v>3544.8461000000002</v>
      </c>
      <c r="G12" s="7">
        <v>10725789</v>
      </c>
      <c r="H12" s="14">
        <v>6813.5538999999999</v>
      </c>
      <c r="I12" s="7">
        <v>24617632</v>
      </c>
      <c r="J12" s="22">
        <v>20</v>
      </c>
    </row>
    <row r="13" spans="1:10" x14ac:dyDescent="0.2">
      <c r="A13" s="8">
        <v>40238</v>
      </c>
      <c r="B13" s="4" t="s">
        <v>80</v>
      </c>
      <c r="C13" s="4" t="s">
        <v>132</v>
      </c>
      <c r="D13" s="14">
        <v>2682.6614</v>
      </c>
      <c r="E13" s="7">
        <v>10542734</v>
      </c>
      <c r="F13" s="14">
        <v>4053.1641</v>
      </c>
      <c r="G13" s="7">
        <v>11420625</v>
      </c>
      <c r="H13" s="14">
        <v>6735.8254999999999</v>
      </c>
      <c r="I13" s="7">
        <v>21963359</v>
      </c>
      <c r="J13" s="22">
        <v>21</v>
      </c>
    </row>
    <row r="14" spans="1:10" x14ac:dyDescent="0.2">
      <c r="A14" s="8">
        <v>40269</v>
      </c>
      <c r="B14" s="4" t="s">
        <v>81</v>
      </c>
      <c r="C14" s="4" t="s">
        <v>133</v>
      </c>
      <c r="D14" s="14">
        <v>2795.7231000000002</v>
      </c>
      <c r="E14" s="7">
        <v>10785388</v>
      </c>
      <c r="F14" s="14">
        <v>4098.4431999999997</v>
      </c>
      <c r="G14" s="7">
        <v>11418975</v>
      </c>
      <c r="H14" s="14">
        <v>6894.1662999999999</v>
      </c>
      <c r="I14" s="7">
        <v>22204363</v>
      </c>
      <c r="J14" s="22">
        <v>20</v>
      </c>
    </row>
    <row r="15" spans="1:10" x14ac:dyDescent="0.2">
      <c r="A15" s="8">
        <v>40299</v>
      </c>
      <c r="B15" s="4" t="s">
        <v>81</v>
      </c>
      <c r="C15" s="4" t="s">
        <v>133</v>
      </c>
      <c r="D15" s="14">
        <v>3956.1269000000002</v>
      </c>
      <c r="E15" s="7">
        <v>16843664</v>
      </c>
      <c r="F15" s="14">
        <v>4315.9295000000002</v>
      </c>
      <c r="G15" s="7">
        <v>13886580</v>
      </c>
      <c r="H15" s="14">
        <v>8272.0563999999995</v>
      </c>
      <c r="I15" s="7">
        <v>30730244</v>
      </c>
      <c r="J15" s="22">
        <v>21</v>
      </c>
    </row>
    <row r="16" spans="1:10" x14ac:dyDescent="0.2">
      <c r="A16" s="8">
        <v>40330</v>
      </c>
      <c r="B16" s="4" t="s">
        <v>81</v>
      </c>
      <c r="C16" s="4" t="s">
        <v>133</v>
      </c>
      <c r="D16" s="14">
        <v>3722.6565999999998</v>
      </c>
      <c r="E16" s="7">
        <v>15434326</v>
      </c>
      <c r="F16" s="14">
        <v>4218.4322000000002</v>
      </c>
      <c r="G16" s="7">
        <v>14156191</v>
      </c>
      <c r="H16" s="14">
        <v>7941.0888000000004</v>
      </c>
      <c r="I16" s="7">
        <v>29590517</v>
      </c>
      <c r="J16" s="22">
        <v>22</v>
      </c>
    </row>
    <row r="17" spans="1:10" x14ac:dyDescent="0.2">
      <c r="A17" s="8">
        <v>40360</v>
      </c>
      <c r="B17" s="4" t="s">
        <v>81</v>
      </c>
      <c r="C17" s="4" t="s">
        <v>134</v>
      </c>
      <c r="D17" s="14">
        <v>2894.2323000000001</v>
      </c>
      <c r="E17" s="7">
        <v>11530614</v>
      </c>
      <c r="F17" s="14">
        <v>4234.2194</v>
      </c>
      <c r="G17" s="7">
        <v>14877996</v>
      </c>
      <c r="H17" s="14">
        <v>7128.4516999999996</v>
      </c>
      <c r="I17" s="7">
        <v>26408610</v>
      </c>
      <c r="J17" s="22">
        <v>22</v>
      </c>
    </row>
    <row r="18" spans="1:10" x14ac:dyDescent="0.2">
      <c r="A18" s="8">
        <v>40391</v>
      </c>
      <c r="B18" s="4" t="s">
        <v>81</v>
      </c>
      <c r="C18" s="4" t="s">
        <v>134</v>
      </c>
      <c r="D18" s="14">
        <v>2991.3047999999999</v>
      </c>
      <c r="E18" s="7">
        <v>11566700</v>
      </c>
      <c r="F18" s="14">
        <v>4962.6670999999997</v>
      </c>
      <c r="G18" s="7">
        <v>16620194</v>
      </c>
      <c r="H18" s="14">
        <v>7953.9718999999996</v>
      </c>
      <c r="I18" s="7">
        <v>28186894</v>
      </c>
      <c r="J18" s="22">
        <v>22</v>
      </c>
    </row>
    <row r="19" spans="1:10" x14ac:dyDescent="0.2">
      <c r="A19" s="8">
        <v>40422</v>
      </c>
      <c r="B19" s="4" t="s">
        <v>81</v>
      </c>
      <c r="C19" s="4" t="s">
        <v>134</v>
      </c>
      <c r="D19" s="14">
        <v>3838.7159000000001</v>
      </c>
      <c r="E19" s="7">
        <v>13736522</v>
      </c>
      <c r="F19" s="14">
        <v>5555.8095999999996</v>
      </c>
      <c r="G19" s="7">
        <v>17865765</v>
      </c>
      <c r="H19" s="14">
        <v>9394.5254999999997</v>
      </c>
      <c r="I19" s="7">
        <v>31602287</v>
      </c>
      <c r="J19" s="22">
        <v>21</v>
      </c>
    </row>
    <row r="20" spans="1:10" x14ac:dyDescent="0.2">
      <c r="A20" s="8">
        <v>40452</v>
      </c>
      <c r="B20" s="4" t="s">
        <v>81</v>
      </c>
      <c r="C20" s="4" t="s">
        <v>135</v>
      </c>
      <c r="D20" s="14">
        <v>4024.5726</v>
      </c>
      <c r="E20" s="7">
        <v>13795612</v>
      </c>
      <c r="F20" s="14">
        <v>6088.2957999999999</v>
      </c>
      <c r="G20" s="7">
        <v>18381074</v>
      </c>
      <c r="H20" s="14">
        <v>10112.868399999999</v>
      </c>
      <c r="I20" s="7">
        <v>32176686</v>
      </c>
      <c r="J20" s="22">
        <v>21</v>
      </c>
    </row>
    <row r="21" spans="1:10" x14ac:dyDescent="0.2">
      <c r="A21" s="8">
        <v>40483</v>
      </c>
      <c r="B21" s="4" t="s">
        <v>81</v>
      </c>
      <c r="C21" s="4" t="s">
        <v>135</v>
      </c>
      <c r="D21" s="14">
        <v>4247.8914000000004</v>
      </c>
      <c r="E21" s="7">
        <v>14761031</v>
      </c>
      <c r="F21" s="14">
        <v>5398.7248</v>
      </c>
      <c r="G21" s="7">
        <v>18364437</v>
      </c>
      <c r="H21" s="14">
        <v>9646.6162000000004</v>
      </c>
      <c r="I21" s="7">
        <v>33125468</v>
      </c>
      <c r="J21" s="22">
        <v>21</v>
      </c>
    </row>
    <row r="22" spans="1:10" x14ac:dyDescent="0.2">
      <c r="A22" s="8">
        <v>40513</v>
      </c>
      <c r="B22" s="4" t="s">
        <v>81</v>
      </c>
      <c r="C22" s="4" t="s">
        <v>135</v>
      </c>
      <c r="D22" s="14">
        <v>3227.9326000000001</v>
      </c>
      <c r="E22" s="7">
        <v>11406712</v>
      </c>
      <c r="F22" s="14">
        <v>4326.4426000000003</v>
      </c>
      <c r="G22" s="7">
        <v>15409764</v>
      </c>
      <c r="H22" s="14">
        <v>7554.3752000000004</v>
      </c>
      <c r="I22" s="7">
        <v>26816476</v>
      </c>
      <c r="J22" s="22">
        <v>22</v>
      </c>
    </row>
    <row r="23" spans="1:10" x14ac:dyDescent="0.2">
      <c r="A23" s="8">
        <v>40544</v>
      </c>
      <c r="B23" s="4" t="s">
        <v>81</v>
      </c>
      <c r="C23" s="4" t="s">
        <v>136</v>
      </c>
      <c r="D23" s="14">
        <v>3844.8440999999998</v>
      </c>
      <c r="E23" s="7">
        <v>14095425</v>
      </c>
      <c r="F23" s="14">
        <v>4111.4907999999996</v>
      </c>
      <c r="G23" s="7">
        <v>14823064</v>
      </c>
      <c r="H23" s="14">
        <v>7956.3348999999998</v>
      </c>
      <c r="I23" s="7">
        <v>28918489</v>
      </c>
      <c r="J23" s="22">
        <v>20</v>
      </c>
    </row>
    <row r="24" spans="1:10" x14ac:dyDescent="0.2">
      <c r="A24" s="8">
        <v>40575</v>
      </c>
      <c r="B24" s="4" t="s">
        <v>81</v>
      </c>
      <c r="C24" s="4" t="s">
        <v>136</v>
      </c>
      <c r="D24" s="14">
        <v>4027.5906</v>
      </c>
      <c r="E24" s="7">
        <v>15734318</v>
      </c>
      <c r="F24" s="14">
        <v>4013.0650999999998</v>
      </c>
      <c r="G24" s="7">
        <v>16048082</v>
      </c>
      <c r="H24" s="14">
        <v>8040.6557000000003</v>
      </c>
      <c r="I24" s="7">
        <v>31782400</v>
      </c>
      <c r="J24" s="22">
        <v>20</v>
      </c>
    </row>
    <row r="25" spans="1:10" x14ac:dyDescent="0.2">
      <c r="A25" s="8">
        <v>40603</v>
      </c>
      <c r="B25" s="4" t="s">
        <v>81</v>
      </c>
      <c r="C25" s="4" t="s">
        <v>136</v>
      </c>
      <c r="D25" s="14">
        <v>3995.9544000000001</v>
      </c>
      <c r="E25" s="7">
        <v>15333341</v>
      </c>
      <c r="F25" s="14">
        <v>3634.0468999999998</v>
      </c>
      <c r="G25" s="7">
        <v>14189337</v>
      </c>
      <c r="H25" s="14">
        <v>7630.0012999999999</v>
      </c>
      <c r="I25" s="7">
        <v>29522678</v>
      </c>
      <c r="J25" s="22">
        <v>22</v>
      </c>
    </row>
    <row r="26" spans="1:10" x14ac:dyDescent="0.2">
      <c r="A26" s="8">
        <v>40634</v>
      </c>
      <c r="B26" s="4" t="s">
        <v>82</v>
      </c>
      <c r="C26" s="4" t="s">
        <v>137</v>
      </c>
      <c r="D26" s="14">
        <v>2823.0266000000001</v>
      </c>
      <c r="E26" s="7">
        <v>10271439</v>
      </c>
      <c r="F26" s="14">
        <v>3531.5934000000002</v>
      </c>
      <c r="G26" s="7">
        <v>12880705</v>
      </c>
      <c r="H26" s="14">
        <v>6354.62</v>
      </c>
      <c r="I26" s="7">
        <v>23152144</v>
      </c>
      <c r="J26" s="22">
        <v>18</v>
      </c>
    </row>
    <row r="27" spans="1:10" x14ac:dyDescent="0.2">
      <c r="A27" s="8">
        <v>40664</v>
      </c>
      <c r="B27" s="4" t="s">
        <v>82</v>
      </c>
      <c r="C27" s="4" t="s">
        <v>137</v>
      </c>
      <c r="D27" s="14">
        <v>3057.4457000000002</v>
      </c>
      <c r="E27" s="7">
        <v>11888838</v>
      </c>
      <c r="F27" s="14">
        <v>3366.8859000000002</v>
      </c>
      <c r="G27" s="7">
        <v>13474455</v>
      </c>
      <c r="H27" s="14">
        <v>6424.3316000000004</v>
      </c>
      <c r="I27" s="7">
        <v>25363293</v>
      </c>
      <c r="J27" s="22">
        <v>22</v>
      </c>
    </row>
    <row r="28" spans="1:10" x14ac:dyDescent="0.2">
      <c r="A28" s="8">
        <v>40695</v>
      </c>
      <c r="B28" s="4" t="s">
        <v>82</v>
      </c>
      <c r="C28" s="4" t="s">
        <v>137</v>
      </c>
      <c r="D28" s="14">
        <v>2651.7770999999998</v>
      </c>
      <c r="E28" s="7">
        <v>10313335</v>
      </c>
      <c r="F28" s="14">
        <v>3226.9497000000001</v>
      </c>
      <c r="G28" s="7">
        <v>12993351</v>
      </c>
      <c r="H28" s="14">
        <v>5878.7268000000004</v>
      </c>
      <c r="I28" s="7">
        <v>23306686</v>
      </c>
      <c r="J28" s="22">
        <v>22</v>
      </c>
    </row>
    <row r="29" spans="1:10" x14ac:dyDescent="0.2">
      <c r="A29" s="8">
        <v>40725</v>
      </c>
      <c r="B29" s="4" t="s">
        <v>82</v>
      </c>
      <c r="C29" s="4" t="s">
        <v>138</v>
      </c>
      <c r="D29" s="14">
        <v>2656.4092999999998</v>
      </c>
      <c r="E29" s="7">
        <v>10048859</v>
      </c>
      <c r="F29" s="14">
        <v>3498.9069</v>
      </c>
      <c r="G29" s="7">
        <v>12260020</v>
      </c>
      <c r="H29" s="14">
        <v>6155.3162000000002</v>
      </c>
      <c r="I29" s="7">
        <v>22308879</v>
      </c>
      <c r="J29" s="22">
        <v>21</v>
      </c>
    </row>
    <row r="30" spans="1:10" x14ac:dyDescent="0.2">
      <c r="A30" s="8">
        <v>40756</v>
      </c>
      <c r="B30" s="4" t="s">
        <v>82</v>
      </c>
      <c r="C30" s="4" t="s">
        <v>138</v>
      </c>
      <c r="D30" s="14">
        <v>3471.7660000000001</v>
      </c>
      <c r="E30" s="7">
        <v>14585694</v>
      </c>
      <c r="F30" s="14">
        <v>3337.9092000000001</v>
      </c>
      <c r="G30" s="7">
        <v>13366537</v>
      </c>
      <c r="H30" s="14">
        <v>6809.6751999999997</v>
      </c>
      <c r="I30" s="7">
        <v>27952231</v>
      </c>
      <c r="J30" s="22">
        <v>21</v>
      </c>
    </row>
    <row r="31" spans="1:10" x14ac:dyDescent="0.2">
      <c r="A31" s="8">
        <v>40787</v>
      </c>
      <c r="B31" s="4" t="s">
        <v>82</v>
      </c>
      <c r="C31" s="4" t="s">
        <v>138</v>
      </c>
      <c r="D31" s="14">
        <v>3468.2629000000002</v>
      </c>
      <c r="E31" s="7">
        <v>14796435</v>
      </c>
      <c r="F31" s="14">
        <v>3262.895</v>
      </c>
      <c r="G31" s="7">
        <v>13329926</v>
      </c>
      <c r="H31" s="14">
        <v>6731.1579000000002</v>
      </c>
      <c r="I31" s="7">
        <v>28126361</v>
      </c>
      <c r="J31" s="22">
        <v>21</v>
      </c>
    </row>
    <row r="32" spans="1:10" x14ac:dyDescent="0.2">
      <c r="A32" s="8">
        <v>40817</v>
      </c>
      <c r="B32" s="4" t="s">
        <v>82</v>
      </c>
      <c r="C32" s="4" t="s">
        <v>139</v>
      </c>
      <c r="D32" s="14">
        <v>2659.45</v>
      </c>
      <c r="E32" s="7">
        <v>11289988</v>
      </c>
      <c r="F32" s="14">
        <v>2799.7085000000002</v>
      </c>
      <c r="G32" s="7">
        <v>11358625</v>
      </c>
      <c r="H32" s="14">
        <v>5459.1584999999995</v>
      </c>
      <c r="I32" s="7">
        <v>22648613</v>
      </c>
      <c r="J32" s="22">
        <v>19</v>
      </c>
    </row>
    <row r="33" spans="1:10" x14ac:dyDescent="0.2">
      <c r="A33" s="8">
        <v>40848</v>
      </c>
      <c r="B33" s="4" t="s">
        <v>82</v>
      </c>
      <c r="C33" s="4" t="s">
        <v>139</v>
      </c>
      <c r="D33" s="14">
        <v>3121.3892000000001</v>
      </c>
      <c r="E33" s="7">
        <v>13469578</v>
      </c>
      <c r="F33" s="14">
        <v>3054.2148000000002</v>
      </c>
      <c r="G33" s="7">
        <v>13398165</v>
      </c>
      <c r="H33" s="14">
        <v>6175.6040000000003</v>
      </c>
      <c r="I33" s="7">
        <v>26867743</v>
      </c>
      <c r="J33" s="22">
        <v>20</v>
      </c>
    </row>
    <row r="34" spans="1:10" x14ac:dyDescent="0.2">
      <c r="A34" s="8">
        <v>40878</v>
      </c>
      <c r="B34" s="4" t="s">
        <v>82</v>
      </c>
      <c r="C34" s="4" t="s">
        <v>139</v>
      </c>
      <c r="D34" s="14">
        <v>3071.9766</v>
      </c>
      <c r="E34" s="7">
        <v>13886601</v>
      </c>
      <c r="F34" s="14">
        <v>2799.2069999999999</v>
      </c>
      <c r="G34" s="7">
        <v>12755993</v>
      </c>
      <c r="H34" s="14">
        <v>5871.1836000000003</v>
      </c>
      <c r="I34" s="7">
        <v>26642594</v>
      </c>
      <c r="J34" s="22">
        <v>21</v>
      </c>
    </row>
    <row r="35" spans="1:10" x14ac:dyDescent="0.2">
      <c r="A35" s="8">
        <v>40909</v>
      </c>
      <c r="B35" s="4" t="s">
        <v>82</v>
      </c>
      <c r="C35" s="4" t="s">
        <v>140</v>
      </c>
      <c r="D35" s="14">
        <v>2507.3787000000002</v>
      </c>
      <c r="E35" s="7">
        <v>10856475</v>
      </c>
      <c r="F35" s="14">
        <v>3508.4812000000002</v>
      </c>
      <c r="G35" s="7">
        <v>13958030</v>
      </c>
      <c r="H35" s="14">
        <v>6015.8599000000004</v>
      </c>
      <c r="I35" s="7">
        <v>24814505</v>
      </c>
      <c r="J35" s="22">
        <v>22</v>
      </c>
    </row>
    <row r="36" spans="1:10" x14ac:dyDescent="0.2">
      <c r="A36" s="8">
        <v>40940</v>
      </c>
      <c r="B36" s="4" t="s">
        <v>82</v>
      </c>
      <c r="C36" s="4" t="s">
        <v>140</v>
      </c>
      <c r="D36" s="14">
        <v>2911.384</v>
      </c>
      <c r="E36" s="7">
        <v>11289436</v>
      </c>
      <c r="F36" s="14">
        <v>4518.6929</v>
      </c>
      <c r="G36" s="7">
        <v>15306021</v>
      </c>
      <c r="H36" s="14">
        <v>7430.0769</v>
      </c>
      <c r="I36" s="7">
        <v>26595457</v>
      </c>
      <c r="J36" s="22">
        <v>20</v>
      </c>
    </row>
    <row r="37" spans="1:10" x14ac:dyDescent="0.2">
      <c r="A37" s="8">
        <v>40969</v>
      </c>
      <c r="B37" s="4" t="s">
        <v>82</v>
      </c>
      <c r="C37" s="4" t="s">
        <v>140</v>
      </c>
      <c r="D37" s="14">
        <v>3379.7179999999998</v>
      </c>
      <c r="E37" s="7">
        <v>13492062</v>
      </c>
      <c r="F37" s="14">
        <v>3841.2628</v>
      </c>
      <c r="G37" s="7">
        <v>13262789</v>
      </c>
      <c r="H37" s="14">
        <v>7220.9808000000003</v>
      </c>
      <c r="I37" s="7">
        <v>26754851</v>
      </c>
      <c r="J37" s="22">
        <v>22</v>
      </c>
    </row>
    <row r="38" spans="1:10" x14ac:dyDescent="0.2">
      <c r="A38" s="8">
        <v>41000</v>
      </c>
      <c r="B38" s="4" t="s">
        <v>83</v>
      </c>
      <c r="C38" s="4" t="s">
        <v>141</v>
      </c>
      <c r="D38" s="14">
        <v>2289.8867</v>
      </c>
      <c r="E38" s="7">
        <v>9218725</v>
      </c>
      <c r="F38" s="14">
        <v>3038.5328</v>
      </c>
      <c r="G38" s="7">
        <v>10739998</v>
      </c>
      <c r="H38" s="14">
        <v>5328.4195</v>
      </c>
      <c r="I38" s="7">
        <v>19958723</v>
      </c>
      <c r="J38" s="22">
        <v>20</v>
      </c>
    </row>
    <row r="39" spans="1:10" x14ac:dyDescent="0.2">
      <c r="A39" s="8">
        <v>41030</v>
      </c>
      <c r="B39" s="4" t="s">
        <v>83</v>
      </c>
      <c r="C39" s="4" t="s">
        <v>141</v>
      </c>
      <c r="D39" s="14">
        <v>2659.5079999999998</v>
      </c>
      <c r="E39" s="7">
        <v>11441995</v>
      </c>
      <c r="F39" s="14">
        <v>3030.0720999999999</v>
      </c>
      <c r="G39" s="7">
        <v>12748843</v>
      </c>
      <c r="H39" s="14">
        <v>5689.5801000000001</v>
      </c>
      <c r="I39" s="7">
        <v>24190838</v>
      </c>
      <c r="J39" s="22">
        <v>22</v>
      </c>
    </row>
    <row r="40" spans="1:10" x14ac:dyDescent="0.2">
      <c r="A40" s="8">
        <v>41061</v>
      </c>
      <c r="B40" s="4" t="s">
        <v>83</v>
      </c>
      <c r="C40" s="4" t="s">
        <v>141</v>
      </c>
      <c r="D40" s="14">
        <v>2643.0427</v>
      </c>
      <c r="E40" s="7">
        <v>11066729</v>
      </c>
      <c r="F40" s="14">
        <v>3047.9645</v>
      </c>
      <c r="G40" s="7">
        <v>12482626</v>
      </c>
      <c r="H40" s="14">
        <v>5691.0072</v>
      </c>
      <c r="I40" s="7">
        <v>23549355</v>
      </c>
      <c r="J40" s="22">
        <v>21</v>
      </c>
    </row>
    <row r="41" spans="1:10" x14ac:dyDescent="0.2">
      <c r="A41" s="8">
        <v>41091</v>
      </c>
      <c r="B41" s="4" t="s">
        <v>83</v>
      </c>
      <c r="C41" s="4" t="s">
        <v>142</v>
      </c>
      <c r="D41" s="14">
        <v>2245.0446000000002</v>
      </c>
      <c r="E41" s="7">
        <v>9049837</v>
      </c>
      <c r="F41" s="14">
        <v>3357.8541</v>
      </c>
      <c r="G41" s="7">
        <v>12436098</v>
      </c>
      <c r="H41" s="14">
        <v>5602.8986999999997</v>
      </c>
      <c r="I41" s="7">
        <v>21485935</v>
      </c>
      <c r="J41" s="22">
        <v>22</v>
      </c>
    </row>
    <row r="42" spans="1:10" x14ac:dyDescent="0.2">
      <c r="A42" s="8">
        <v>41122</v>
      </c>
      <c r="B42" s="4" t="s">
        <v>83</v>
      </c>
      <c r="C42" s="4" t="s">
        <v>142</v>
      </c>
      <c r="D42" s="14">
        <v>1996.2835</v>
      </c>
      <c r="E42" s="7">
        <v>7881956</v>
      </c>
      <c r="F42" s="14">
        <v>3156.9893999999999</v>
      </c>
      <c r="G42" s="7">
        <v>11675491</v>
      </c>
      <c r="H42" s="14">
        <v>5153.2728999999999</v>
      </c>
      <c r="I42" s="7">
        <v>19557447</v>
      </c>
      <c r="J42" s="22">
        <v>21</v>
      </c>
    </row>
    <row r="43" spans="1:10" x14ac:dyDescent="0.2">
      <c r="A43" s="8">
        <v>41153</v>
      </c>
      <c r="B43" s="4" t="s">
        <v>83</v>
      </c>
      <c r="C43" s="4" t="s">
        <v>142</v>
      </c>
      <c r="D43" s="14">
        <v>2069.1012000000001</v>
      </c>
      <c r="E43" s="7">
        <v>7815624</v>
      </c>
      <c r="F43" s="14">
        <v>3498.7741000000001</v>
      </c>
      <c r="G43" s="7">
        <v>12441509</v>
      </c>
      <c r="H43" s="14">
        <v>5567.8752999999997</v>
      </c>
      <c r="I43" s="7">
        <v>20257133</v>
      </c>
      <c r="J43" s="22">
        <v>20</v>
      </c>
    </row>
    <row r="44" spans="1:10" x14ac:dyDescent="0.2">
      <c r="A44" s="8">
        <v>41183</v>
      </c>
      <c r="B44" s="4" t="s">
        <v>83</v>
      </c>
      <c r="C44" s="4" t="s">
        <v>143</v>
      </c>
      <c r="D44" s="14">
        <v>2160.0403000000001</v>
      </c>
      <c r="E44" s="7">
        <v>7925535</v>
      </c>
      <c r="F44" s="14">
        <v>3881.0331999999999</v>
      </c>
      <c r="G44" s="7">
        <v>12992449</v>
      </c>
      <c r="H44" s="14">
        <v>6041.0735000000004</v>
      </c>
      <c r="I44" s="7">
        <v>20917984</v>
      </c>
      <c r="J44" s="22">
        <v>21</v>
      </c>
    </row>
    <row r="45" spans="1:10" x14ac:dyDescent="0.2">
      <c r="A45" s="8">
        <v>41214</v>
      </c>
      <c r="B45" s="4" t="s">
        <v>83</v>
      </c>
      <c r="C45" s="4" t="s">
        <v>143</v>
      </c>
      <c r="D45" s="14">
        <v>1697.5681</v>
      </c>
      <c r="E45" s="7">
        <v>6169741</v>
      </c>
      <c r="F45" s="14">
        <v>3494.3051999999998</v>
      </c>
      <c r="G45" s="7">
        <v>12203483</v>
      </c>
      <c r="H45" s="14">
        <v>5191.8733000000002</v>
      </c>
      <c r="I45" s="7">
        <v>18373224</v>
      </c>
      <c r="J45" s="22">
        <v>20</v>
      </c>
    </row>
    <row r="46" spans="1:10" x14ac:dyDescent="0.2">
      <c r="A46" s="8">
        <v>41244</v>
      </c>
      <c r="B46" s="4" t="s">
        <v>83</v>
      </c>
      <c r="C46" s="4" t="s">
        <v>143</v>
      </c>
      <c r="D46" s="14">
        <v>1764.9232999999999</v>
      </c>
      <c r="E46" s="7">
        <v>6081895</v>
      </c>
      <c r="F46" s="14">
        <v>3923.2718</v>
      </c>
      <c r="G46" s="7">
        <v>12874846</v>
      </c>
      <c r="H46" s="14">
        <v>5688.1950999999999</v>
      </c>
      <c r="I46" s="7">
        <v>18956741</v>
      </c>
      <c r="J46" s="22">
        <v>20</v>
      </c>
    </row>
    <row r="47" spans="1:10" x14ac:dyDescent="0.2">
      <c r="A47" s="8">
        <v>41275</v>
      </c>
      <c r="B47" s="4" t="s">
        <v>83</v>
      </c>
      <c r="C47" s="4" t="s">
        <v>144</v>
      </c>
      <c r="D47" s="14">
        <v>1900.944</v>
      </c>
      <c r="E47" s="7">
        <v>6337412</v>
      </c>
      <c r="F47" s="14">
        <v>4953.6562999999996</v>
      </c>
      <c r="G47" s="7">
        <v>14648279</v>
      </c>
      <c r="H47" s="14">
        <v>6854.6003000000001</v>
      </c>
      <c r="I47" s="7">
        <v>20985691</v>
      </c>
      <c r="J47" s="22">
        <v>23</v>
      </c>
    </row>
    <row r="48" spans="1:10" x14ac:dyDescent="0.2">
      <c r="A48" s="8">
        <v>41306</v>
      </c>
      <c r="B48" s="4" t="s">
        <v>83</v>
      </c>
      <c r="C48" s="4" t="s">
        <v>144</v>
      </c>
      <c r="D48" s="14">
        <v>1796.8245999999999</v>
      </c>
      <c r="E48" s="7">
        <v>6051654</v>
      </c>
      <c r="F48" s="14">
        <v>3612.9429</v>
      </c>
      <c r="G48" s="7">
        <v>11500825</v>
      </c>
      <c r="H48" s="14">
        <v>5409.7674999999999</v>
      </c>
      <c r="I48" s="7">
        <v>17552479</v>
      </c>
      <c r="J48" s="22">
        <v>20</v>
      </c>
    </row>
    <row r="49" spans="1:10" x14ac:dyDescent="0.2">
      <c r="A49" s="8">
        <v>41334</v>
      </c>
      <c r="B49" s="4" t="s">
        <v>83</v>
      </c>
      <c r="C49" s="4" t="s">
        <v>144</v>
      </c>
      <c r="D49" s="14">
        <v>2047.6318000000001</v>
      </c>
      <c r="E49" s="7">
        <v>7056967</v>
      </c>
      <c r="F49" s="14">
        <v>3243.3166000000001</v>
      </c>
      <c r="G49" s="7">
        <v>10967220</v>
      </c>
      <c r="H49" s="14">
        <v>5290.9484000000002</v>
      </c>
      <c r="I49" s="7">
        <v>18024187</v>
      </c>
      <c r="J49" s="22">
        <v>19</v>
      </c>
    </row>
    <row r="50" spans="1:10" x14ac:dyDescent="0.2">
      <c r="A50" s="8">
        <v>41365</v>
      </c>
      <c r="B50" s="4" t="s">
        <v>84</v>
      </c>
      <c r="C50" s="4" t="s">
        <v>145</v>
      </c>
      <c r="D50" s="14">
        <v>2085.9005000000002</v>
      </c>
      <c r="E50" s="7">
        <v>7222107</v>
      </c>
      <c r="F50" s="14">
        <v>3650.6439999999998</v>
      </c>
      <c r="G50" s="7">
        <v>12251753</v>
      </c>
      <c r="H50" s="14">
        <v>5736.5445</v>
      </c>
      <c r="I50" s="7">
        <v>19473860</v>
      </c>
      <c r="J50" s="22">
        <v>20</v>
      </c>
    </row>
    <row r="51" spans="1:10" x14ac:dyDescent="0.2">
      <c r="A51" s="8">
        <v>41395</v>
      </c>
      <c r="B51" s="4" t="s">
        <v>84</v>
      </c>
      <c r="C51" s="4" t="s">
        <v>145</v>
      </c>
      <c r="D51" s="14">
        <v>2457.826</v>
      </c>
      <c r="E51" s="7">
        <v>7991561</v>
      </c>
      <c r="F51" s="14">
        <v>4098.5084999999999</v>
      </c>
      <c r="G51" s="7">
        <v>14019161</v>
      </c>
      <c r="H51" s="14">
        <v>6556.3344999999999</v>
      </c>
      <c r="I51" s="7">
        <v>22010722</v>
      </c>
      <c r="J51" s="22">
        <v>23</v>
      </c>
    </row>
    <row r="52" spans="1:10" x14ac:dyDescent="0.2">
      <c r="A52" s="8">
        <v>41426</v>
      </c>
      <c r="B52" s="4" t="s">
        <v>84</v>
      </c>
      <c r="C52" s="4" t="s">
        <v>145</v>
      </c>
      <c r="D52" s="14">
        <v>2463.5118000000002</v>
      </c>
      <c r="E52" s="7">
        <v>8501380</v>
      </c>
      <c r="F52" s="14">
        <v>3434.9313000000002</v>
      </c>
      <c r="G52" s="7">
        <v>12719906</v>
      </c>
      <c r="H52" s="14">
        <v>5898.4431000000004</v>
      </c>
      <c r="I52" s="7">
        <v>21221286</v>
      </c>
      <c r="J52" s="22">
        <v>20</v>
      </c>
    </row>
    <row r="53" spans="1:10" x14ac:dyDescent="0.2">
      <c r="A53" s="8">
        <v>41456</v>
      </c>
      <c r="B53" s="4" t="s">
        <v>84</v>
      </c>
      <c r="C53" s="4" t="s">
        <v>146</v>
      </c>
      <c r="D53" s="14">
        <v>2536.4445000000001</v>
      </c>
      <c r="E53" s="7">
        <v>8704083</v>
      </c>
      <c r="F53" s="14">
        <v>4285.0430999999999</v>
      </c>
      <c r="G53" s="7">
        <v>15223466</v>
      </c>
      <c r="H53" s="14">
        <v>6821.4876000000004</v>
      </c>
      <c r="I53" s="7">
        <v>23927549</v>
      </c>
      <c r="J53" s="22">
        <v>23</v>
      </c>
    </row>
    <row r="54" spans="1:10" x14ac:dyDescent="0.2">
      <c r="A54" s="8">
        <v>41487</v>
      </c>
      <c r="B54" s="4" t="s">
        <v>84</v>
      </c>
      <c r="C54" s="4" t="s">
        <v>146</v>
      </c>
      <c r="D54" s="14">
        <v>3277.3449999999998</v>
      </c>
      <c r="E54" s="7">
        <v>12433264</v>
      </c>
      <c r="F54" s="14">
        <v>4100.8846000000003</v>
      </c>
      <c r="G54" s="7">
        <v>16977082</v>
      </c>
      <c r="H54" s="14">
        <v>7378.2295999999997</v>
      </c>
      <c r="I54" s="7">
        <v>29410346</v>
      </c>
      <c r="J54" s="22">
        <v>20</v>
      </c>
    </row>
    <row r="55" spans="1:10" x14ac:dyDescent="0.2">
      <c r="A55" s="8">
        <v>41518</v>
      </c>
      <c r="B55" s="4" t="s">
        <v>84</v>
      </c>
      <c r="C55" s="4" t="s">
        <v>146</v>
      </c>
      <c r="D55" s="14">
        <v>3171.5436</v>
      </c>
      <c r="E55" s="7">
        <v>11286692</v>
      </c>
      <c r="F55" s="14">
        <v>3877.9857999999999</v>
      </c>
      <c r="G55" s="7">
        <v>14861402</v>
      </c>
      <c r="H55" s="14">
        <v>7049.5294000000004</v>
      </c>
      <c r="I55" s="7">
        <v>26148094</v>
      </c>
      <c r="J55" s="22">
        <v>20</v>
      </c>
    </row>
    <row r="56" spans="1:10" x14ac:dyDescent="0.2">
      <c r="A56" s="8">
        <v>41548</v>
      </c>
      <c r="B56" s="4" t="s">
        <v>84</v>
      </c>
      <c r="C56" s="4" t="s">
        <v>147</v>
      </c>
      <c r="D56" s="14">
        <v>2970.2613000000001</v>
      </c>
      <c r="E56" s="7">
        <v>10051520</v>
      </c>
      <c r="F56" s="14">
        <v>4164.3163999999997</v>
      </c>
      <c r="G56" s="7">
        <v>14628837</v>
      </c>
      <c r="H56" s="14">
        <v>7134.5776999999998</v>
      </c>
      <c r="I56" s="7">
        <v>24680357</v>
      </c>
      <c r="J56" s="22">
        <v>21</v>
      </c>
    </row>
    <row r="57" spans="1:10" x14ac:dyDescent="0.2">
      <c r="A57" s="8">
        <v>41579</v>
      </c>
      <c r="B57" s="4" t="s">
        <v>84</v>
      </c>
      <c r="C57" s="4" t="s">
        <v>147</v>
      </c>
      <c r="D57" s="14">
        <v>2540.5581999999999</v>
      </c>
      <c r="E57" s="7">
        <v>8491211</v>
      </c>
      <c r="F57" s="14">
        <v>3976.7615000000001</v>
      </c>
      <c r="G57" s="7">
        <v>14428865</v>
      </c>
      <c r="H57" s="14">
        <v>6517.3197</v>
      </c>
      <c r="I57" s="7">
        <v>22920076</v>
      </c>
      <c r="J57" s="22">
        <v>20</v>
      </c>
    </row>
    <row r="58" spans="1:10" x14ac:dyDescent="0.2">
      <c r="A58" s="8">
        <v>41609</v>
      </c>
      <c r="B58" s="4" t="s">
        <v>84</v>
      </c>
      <c r="C58" s="4" t="s">
        <v>147</v>
      </c>
      <c r="D58" s="14">
        <v>2339.7256000000002</v>
      </c>
      <c r="E58" s="7">
        <v>7621855</v>
      </c>
      <c r="F58" s="14">
        <v>4241.2808999999997</v>
      </c>
      <c r="G58" s="7">
        <v>14144654</v>
      </c>
      <c r="H58" s="14">
        <v>6581.0065000000004</v>
      </c>
      <c r="I58" s="7">
        <v>21766509</v>
      </c>
      <c r="J58" s="22">
        <v>21</v>
      </c>
    </row>
    <row r="59" spans="1:10" x14ac:dyDescent="0.2">
      <c r="A59" s="8">
        <v>41640</v>
      </c>
      <c r="B59" s="4" t="s">
        <v>84</v>
      </c>
      <c r="C59" s="4" t="s">
        <v>148</v>
      </c>
      <c r="D59" s="14">
        <v>2636.9092999999998</v>
      </c>
      <c r="E59" s="7">
        <v>8786901</v>
      </c>
      <c r="F59" s="14">
        <v>4852.3325000000004</v>
      </c>
      <c r="G59" s="7">
        <v>14731248</v>
      </c>
      <c r="H59" s="14">
        <v>7489.2417999999998</v>
      </c>
      <c r="I59" s="7">
        <v>23518149</v>
      </c>
      <c r="J59" s="22">
        <v>23</v>
      </c>
    </row>
    <row r="60" spans="1:10" x14ac:dyDescent="0.2">
      <c r="A60" s="8">
        <v>41671</v>
      </c>
      <c r="B60" s="4" t="s">
        <v>84</v>
      </c>
      <c r="C60" s="4" t="s">
        <v>148</v>
      </c>
      <c r="D60" s="14">
        <v>1812.0831000000001</v>
      </c>
      <c r="E60" s="7">
        <v>6200545</v>
      </c>
      <c r="F60" s="14">
        <v>3599.0949999999998</v>
      </c>
      <c r="G60" s="7">
        <v>11347588</v>
      </c>
      <c r="H60" s="14">
        <v>5411.1781000000001</v>
      </c>
      <c r="I60" s="7">
        <v>17548133</v>
      </c>
      <c r="J60" s="22">
        <v>19</v>
      </c>
    </row>
    <row r="61" spans="1:10" x14ac:dyDescent="0.2">
      <c r="A61" s="8">
        <v>41699</v>
      </c>
      <c r="B61" s="4" t="s">
        <v>84</v>
      </c>
      <c r="C61" s="4" t="s">
        <v>148</v>
      </c>
      <c r="D61" s="14">
        <v>2538.9234000000001</v>
      </c>
      <c r="E61" s="7">
        <v>7961864</v>
      </c>
      <c r="F61" s="14">
        <v>5211.0335999999998</v>
      </c>
      <c r="G61" s="7">
        <v>15080224</v>
      </c>
      <c r="H61" s="14">
        <v>7749.9570000000003</v>
      </c>
      <c r="I61" s="7">
        <v>23042088</v>
      </c>
      <c r="J61" s="22">
        <v>21</v>
      </c>
    </row>
    <row r="62" spans="1:10" x14ac:dyDescent="0.2">
      <c r="A62" s="8">
        <v>41730</v>
      </c>
      <c r="B62" s="4" t="s">
        <v>85</v>
      </c>
      <c r="C62" s="4" t="s">
        <v>149</v>
      </c>
      <c r="D62" s="14">
        <v>2190.2496000000001</v>
      </c>
      <c r="E62" s="7">
        <v>6556288</v>
      </c>
      <c r="F62" s="14">
        <v>5413.0289000000002</v>
      </c>
      <c r="G62" s="7">
        <v>14684079</v>
      </c>
      <c r="H62" s="14">
        <v>7603.2785000000003</v>
      </c>
      <c r="I62" s="7">
        <v>21240367</v>
      </c>
      <c r="J62" s="22">
        <v>18</v>
      </c>
    </row>
    <row r="63" spans="1:10" x14ac:dyDescent="0.2">
      <c r="A63" s="8">
        <v>41760</v>
      </c>
      <c r="B63" s="4" t="s">
        <v>85</v>
      </c>
      <c r="C63" s="4" t="s">
        <v>149</v>
      </c>
      <c r="D63" s="14">
        <v>3828.4018999999998</v>
      </c>
      <c r="E63" s="7">
        <v>10603369</v>
      </c>
      <c r="F63" s="14">
        <v>8088.8221000000003</v>
      </c>
      <c r="G63" s="7">
        <v>22571501</v>
      </c>
      <c r="H63" s="14">
        <v>11917.224</v>
      </c>
      <c r="I63" s="7">
        <v>33174870</v>
      </c>
      <c r="J63" s="22">
        <v>21</v>
      </c>
    </row>
    <row r="64" spans="1:10" x14ac:dyDescent="0.2">
      <c r="A64" s="8">
        <v>41791</v>
      </c>
      <c r="B64" s="4" t="s">
        <v>85</v>
      </c>
      <c r="C64" s="4" t="s">
        <v>149</v>
      </c>
      <c r="D64" s="14">
        <v>3396.1749</v>
      </c>
      <c r="E64" s="7">
        <v>8961322</v>
      </c>
      <c r="F64" s="14">
        <v>8347.2302</v>
      </c>
      <c r="G64" s="7">
        <v>21479352</v>
      </c>
      <c r="H64" s="14">
        <v>11743.4051</v>
      </c>
      <c r="I64" s="7">
        <v>30440674</v>
      </c>
      <c r="J64" s="22">
        <v>21</v>
      </c>
    </row>
    <row r="65" spans="1:10" x14ac:dyDescent="0.2">
      <c r="A65" s="8">
        <v>41821</v>
      </c>
      <c r="B65" s="4" t="s">
        <v>85</v>
      </c>
      <c r="C65" s="4" t="s">
        <v>150</v>
      </c>
      <c r="D65" s="14">
        <v>3662.4666999999999</v>
      </c>
      <c r="E65" s="7">
        <v>9553629</v>
      </c>
      <c r="F65" s="14">
        <v>8045.7236000000003</v>
      </c>
      <c r="G65" s="7">
        <v>20623544</v>
      </c>
      <c r="H65" s="14">
        <v>11708.1903</v>
      </c>
      <c r="I65" s="7">
        <v>30177173</v>
      </c>
      <c r="J65" s="22">
        <v>22</v>
      </c>
    </row>
    <row r="66" spans="1:10" x14ac:dyDescent="0.2">
      <c r="A66" s="8">
        <v>41852</v>
      </c>
      <c r="B66" s="4" t="s">
        <v>85</v>
      </c>
      <c r="C66" s="4" t="s">
        <v>150</v>
      </c>
      <c r="D66" s="14">
        <v>2862.3651</v>
      </c>
      <c r="E66" s="7">
        <v>7370130</v>
      </c>
      <c r="F66" s="14">
        <v>6091.6167999999998</v>
      </c>
      <c r="G66" s="7">
        <v>15750587</v>
      </c>
      <c r="H66" s="14">
        <v>8953.9819000000007</v>
      </c>
      <c r="I66" s="7">
        <v>23120717</v>
      </c>
      <c r="J66" s="22">
        <v>19</v>
      </c>
    </row>
    <row r="67" spans="1:10" x14ac:dyDescent="0.2">
      <c r="A67" s="8">
        <v>41883</v>
      </c>
      <c r="B67" s="4" t="s">
        <v>85</v>
      </c>
      <c r="C67" s="4" t="s">
        <v>150</v>
      </c>
      <c r="D67" s="14">
        <v>3326.5084999999999</v>
      </c>
      <c r="E67" s="7">
        <v>8275108</v>
      </c>
      <c r="F67" s="14">
        <v>7342.0335999999998</v>
      </c>
      <c r="G67" s="7">
        <v>18598889</v>
      </c>
      <c r="H67" s="14">
        <v>10668.542100000001</v>
      </c>
      <c r="I67" s="7">
        <v>26873997</v>
      </c>
      <c r="J67" s="22">
        <v>22</v>
      </c>
    </row>
    <row r="68" spans="1:10" x14ac:dyDescent="0.2">
      <c r="A68" s="8">
        <v>41913</v>
      </c>
      <c r="B68" s="4" t="s">
        <v>85</v>
      </c>
      <c r="C68" s="4" t="s">
        <v>151</v>
      </c>
      <c r="D68" s="14">
        <v>2787.6976</v>
      </c>
      <c r="E68" s="7">
        <v>7242737</v>
      </c>
      <c r="F68" s="14">
        <v>5545.5565999999999</v>
      </c>
      <c r="G68" s="7">
        <v>14906874</v>
      </c>
      <c r="H68" s="14">
        <v>8333.2541999999994</v>
      </c>
      <c r="I68" s="7">
        <v>22149611</v>
      </c>
      <c r="J68" s="22">
        <v>18</v>
      </c>
    </row>
    <row r="69" spans="1:10" x14ac:dyDescent="0.2">
      <c r="A69" s="8">
        <v>41944</v>
      </c>
      <c r="B69" s="4" t="s">
        <v>85</v>
      </c>
      <c r="C69" s="4" t="s">
        <v>151</v>
      </c>
      <c r="D69" s="14">
        <v>2613.2496999999998</v>
      </c>
      <c r="E69" s="7">
        <v>9984368</v>
      </c>
      <c r="F69" s="14">
        <v>6289.5407999999998</v>
      </c>
      <c r="G69" s="7">
        <v>20521972</v>
      </c>
      <c r="H69" s="14">
        <v>8902.7904999999992</v>
      </c>
      <c r="I69" s="7">
        <v>30506340</v>
      </c>
      <c r="J69" s="22">
        <v>18</v>
      </c>
    </row>
    <row r="70" spans="1:10" x14ac:dyDescent="0.2">
      <c r="A70" s="8">
        <v>41974</v>
      </c>
      <c r="B70" s="4" t="s">
        <v>85</v>
      </c>
      <c r="C70" s="4" t="s">
        <v>151</v>
      </c>
      <c r="D70" s="14">
        <v>3541.2339000000002</v>
      </c>
      <c r="E70" s="7">
        <v>13528861</v>
      </c>
      <c r="F70" s="14">
        <v>6354.9189999999999</v>
      </c>
      <c r="G70" s="7">
        <v>20709029</v>
      </c>
      <c r="H70" s="14">
        <v>9896.1528999999991</v>
      </c>
      <c r="I70" s="7">
        <v>34237890</v>
      </c>
      <c r="J70" s="22">
        <v>22</v>
      </c>
    </row>
    <row r="71" spans="1:10" x14ac:dyDescent="0.2">
      <c r="A71" s="8">
        <v>42005</v>
      </c>
      <c r="B71" s="4" t="s">
        <v>85</v>
      </c>
      <c r="C71" s="4" t="s">
        <v>152</v>
      </c>
      <c r="D71" s="14">
        <v>4086.5596999999998</v>
      </c>
      <c r="E71" s="7">
        <v>15301396</v>
      </c>
      <c r="F71" s="14">
        <v>7146.9874</v>
      </c>
      <c r="G71" s="7">
        <v>22662120</v>
      </c>
      <c r="H71" s="14">
        <v>11233.5471</v>
      </c>
      <c r="I71" s="7">
        <v>37963516</v>
      </c>
      <c r="J71" s="22">
        <v>21</v>
      </c>
    </row>
    <row r="72" spans="1:10" x14ac:dyDescent="0.2">
      <c r="A72" s="8">
        <v>42036</v>
      </c>
      <c r="B72" s="4" t="s">
        <v>85</v>
      </c>
      <c r="C72" s="4" t="s">
        <v>152</v>
      </c>
      <c r="D72" s="14">
        <v>4384.5951999999997</v>
      </c>
      <c r="E72" s="7">
        <v>15942266</v>
      </c>
      <c r="F72" s="14">
        <v>7265.7205999999996</v>
      </c>
      <c r="G72" s="7">
        <v>22961513</v>
      </c>
      <c r="H72" s="14">
        <v>11650.3158</v>
      </c>
      <c r="I72" s="7">
        <v>38903779</v>
      </c>
      <c r="J72" s="22">
        <v>20</v>
      </c>
    </row>
    <row r="73" spans="1:10" x14ac:dyDescent="0.2">
      <c r="A73" s="8">
        <v>42064</v>
      </c>
      <c r="B73" s="4" t="s">
        <v>85</v>
      </c>
      <c r="C73" s="4" t="s">
        <v>152</v>
      </c>
      <c r="D73" s="14">
        <v>4392.6491999999998</v>
      </c>
      <c r="E73" s="7">
        <v>15983570</v>
      </c>
      <c r="F73" s="14">
        <v>6986.4831000000004</v>
      </c>
      <c r="G73" s="7">
        <v>22135281</v>
      </c>
      <c r="H73" s="14">
        <v>11379.132299999999</v>
      </c>
      <c r="I73" s="7">
        <v>38118851</v>
      </c>
      <c r="J73" s="22">
        <v>21</v>
      </c>
    </row>
    <row r="74" spans="1:10" x14ac:dyDescent="0.2">
      <c r="A74" s="8">
        <v>42095</v>
      </c>
      <c r="B74" s="4" t="s">
        <v>86</v>
      </c>
      <c r="C74" s="4" t="s">
        <v>153</v>
      </c>
      <c r="D74" s="14">
        <v>3854.6093999999998</v>
      </c>
      <c r="E74" s="7">
        <v>14679474</v>
      </c>
      <c r="F74" s="14">
        <v>6764.0992999999999</v>
      </c>
      <c r="G74" s="7">
        <v>21704444</v>
      </c>
      <c r="H74" s="14">
        <v>10618.708699999999</v>
      </c>
      <c r="I74" s="7">
        <v>36383918</v>
      </c>
      <c r="J74" s="22">
        <v>19</v>
      </c>
    </row>
    <row r="75" spans="1:10" x14ac:dyDescent="0.2">
      <c r="A75" s="8">
        <v>42125</v>
      </c>
      <c r="B75" s="4" t="s">
        <v>86</v>
      </c>
      <c r="C75" s="4" t="s">
        <v>153</v>
      </c>
      <c r="D75" s="14">
        <v>3766.2181</v>
      </c>
      <c r="E75" s="7">
        <v>14755172</v>
      </c>
      <c r="F75" s="14">
        <v>6285.3059000000003</v>
      </c>
      <c r="G75" s="7">
        <v>23811852</v>
      </c>
      <c r="H75" s="14">
        <v>10051.523999999999</v>
      </c>
      <c r="I75" s="7">
        <v>38567024</v>
      </c>
      <c r="J75" s="22">
        <v>20</v>
      </c>
    </row>
    <row r="76" spans="1:10" x14ac:dyDescent="0.2">
      <c r="A76" s="8">
        <v>42156</v>
      </c>
      <c r="B76" s="4" t="s">
        <v>86</v>
      </c>
      <c r="C76" s="4" t="s">
        <v>153</v>
      </c>
      <c r="D76" s="14">
        <v>4039.0839999999998</v>
      </c>
      <c r="E76" s="7">
        <v>15854662</v>
      </c>
      <c r="F76" s="14">
        <v>6122.5006999999996</v>
      </c>
      <c r="G76" s="7">
        <v>23688366</v>
      </c>
      <c r="H76" s="14">
        <v>10161.584699999999</v>
      </c>
      <c r="I76" s="7">
        <v>39543028</v>
      </c>
      <c r="J76" s="22">
        <v>22</v>
      </c>
    </row>
    <row r="77" spans="1:10" x14ac:dyDescent="0.2">
      <c r="A77" s="8">
        <v>42186</v>
      </c>
      <c r="B77" s="4" t="s">
        <v>86</v>
      </c>
      <c r="C77" s="4" t="s">
        <v>154</v>
      </c>
      <c r="D77" s="14">
        <v>3917.3577</v>
      </c>
      <c r="E77" s="7">
        <v>14788998</v>
      </c>
      <c r="F77" s="14">
        <v>7198.8068000000003</v>
      </c>
      <c r="G77" s="7">
        <v>25841503</v>
      </c>
      <c r="H77" s="14">
        <v>11116.164500000001</v>
      </c>
      <c r="I77" s="7">
        <v>40630501</v>
      </c>
      <c r="J77" s="22">
        <v>23</v>
      </c>
    </row>
    <row r="78" spans="1:10" x14ac:dyDescent="0.2">
      <c r="A78" s="8">
        <v>42217</v>
      </c>
      <c r="B78" s="4" t="s">
        <v>86</v>
      </c>
      <c r="C78" s="4" t="s">
        <v>154</v>
      </c>
      <c r="D78" s="14">
        <v>4351.2227000000003</v>
      </c>
      <c r="E78" s="7">
        <v>17167223</v>
      </c>
      <c r="F78" s="14">
        <v>7349.2408999999998</v>
      </c>
      <c r="G78" s="7">
        <v>27086931</v>
      </c>
      <c r="H78" s="14">
        <v>11700.463599999999</v>
      </c>
      <c r="I78" s="7">
        <v>44254154</v>
      </c>
      <c r="J78" s="22">
        <v>21</v>
      </c>
    </row>
    <row r="79" spans="1:10" x14ac:dyDescent="0.2">
      <c r="A79" s="8">
        <v>42248</v>
      </c>
      <c r="B79" s="4" t="s">
        <v>86</v>
      </c>
      <c r="C79" s="4" t="s">
        <v>154</v>
      </c>
      <c r="D79" s="14">
        <v>4582.1634000000004</v>
      </c>
      <c r="E79" s="7">
        <v>18492423</v>
      </c>
      <c r="F79" s="14">
        <v>5703.2478000000001</v>
      </c>
      <c r="G79" s="7">
        <v>22454408</v>
      </c>
      <c r="H79" s="14">
        <v>10285.4112</v>
      </c>
      <c r="I79" s="7">
        <v>40946831</v>
      </c>
      <c r="J79" s="22">
        <v>20</v>
      </c>
    </row>
    <row r="80" spans="1:10" x14ac:dyDescent="0.2">
      <c r="A80" s="8">
        <v>42278</v>
      </c>
      <c r="B80" s="4" t="s">
        <v>86</v>
      </c>
      <c r="C80" s="4" t="s">
        <v>155</v>
      </c>
      <c r="D80" s="14">
        <v>3355.8191000000002</v>
      </c>
      <c r="E80" s="7">
        <v>11502566</v>
      </c>
      <c r="F80" s="14">
        <v>6276.7137000000002</v>
      </c>
      <c r="G80" s="7">
        <v>20717819</v>
      </c>
      <c r="H80" s="14">
        <v>9632.5328000000009</v>
      </c>
      <c r="I80" s="7">
        <v>32220385</v>
      </c>
      <c r="J80" s="22">
        <v>20</v>
      </c>
    </row>
    <row r="81" spans="1:10" x14ac:dyDescent="0.2">
      <c r="A81" s="8">
        <v>42309</v>
      </c>
      <c r="B81" s="4" t="s">
        <v>86</v>
      </c>
      <c r="C81" s="4" t="s">
        <v>155</v>
      </c>
      <c r="D81" s="14">
        <v>2894.3789999999999</v>
      </c>
      <c r="E81" s="7">
        <v>5139890</v>
      </c>
      <c r="F81" s="14">
        <v>5976.3249999999998</v>
      </c>
      <c r="G81" s="7">
        <v>11876912</v>
      </c>
      <c r="H81" s="14">
        <v>8870.7039999999997</v>
      </c>
      <c r="I81" s="7">
        <v>17016802</v>
      </c>
      <c r="J81" s="22">
        <v>19</v>
      </c>
    </row>
    <row r="82" spans="1:10" x14ac:dyDescent="0.2">
      <c r="A82" s="8">
        <v>42339</v>
      </c>
      <c r="B82" s="4" t="s">
        <v>86</v>
      </c>
      <c r="C82" s="4" t="s">
        <v>155</v>
      </c>
      <c r="D82" s="14">
        <v>3003.5735</v>
      </c>
      <c r="E82" s="7">
        <v>5397473</v>
      </c>
      <c r="F82" s="14">
        <v>6305.2070999999996</v>
      </c>
      <c r="G82" s="7">
        <v>12428874</v>
      </c>
      <c r="H82" s="14">
        <v>9308.7806</v>
      </c>
      <c r="I82" s="7">
        <v>17826347</v>
      </c>
      <c r="J82" s="22">
        <v>22</v>
      </c>
    </row>
    <row r="83" spans="1:10" x14ac:dyDescent="0.2">
      <c r="A83" s="8">
        <v>42370</v>
      </c>
      <c r="B83" s="4" t="s">
        <v>86</v>
      </c>
      <c r="C83" s="4" t="s">
        <v>156</v>
      </c>
      <c r="D83" s="14">
        <v>3791.3584999999998</v>
      </c>
      <c r="E83" s="7">
        <v>7151353</v>
      </c>
      <c r="F83" s="14">
        <v>6989.0922</v>
      </c>
      <c r="G83" s="7">
        <v>14605105</v>
      </c>
      <c r="H83" s="14">
        <v>10780.450699999999</v>
      </c>
      <c r="I83" s="7">
        <v>21756458</v>
      </c>
      <c r="J83" s="22">
        <v>20</v>
      </c>
    </row>
    <row r="84" spans="1:10" x14ac:dyDescent="0.2">
      <c r="A84" s="8">
        <v>42401</v>
      </c>
      <c r="B84" s="4" t="s">
        <v>86</v>
      </c>
      <c r="C84" s="4" t="s">
        <v>156</v>
      </c>
      <c r="D84" s="14">
        <v>4222.2831999999999</v>
      </c>
      <c r="E84" s="7">
        <v>8444204</v>
      </c>
      <c r="F84" s="14">
        <v>6846.1558999999997</v>
      </c>
      <c r="G84" s="7">
        <v>16054224</v>
      </c>
      <c r="H84" s="14">
        <v>11068.4391</v>
      </c>
      <c r="I84" s="7">
        <v>24498428</v>
      </c>
      <c r="J84" s="22">
        <v>21</v>
      </c>
    </row>
    <row r="85" spans="1:10" x14ac:dyDescent="0.2">
      <c r="A85" s="8">
        <v>42430</v>
      </c>
      <c r="B85" s="4" t="s">
        <v>86</v>
      </c>
      <c r="C85" s="4" t="s">
        <v>156</v>
      </c>
      <c r="D85" s="14">
        <v>3793.0677999999998</v>
      </c>
      <c r="E85" s="7">
        <v>7165236</v>
      </c>
      <c r="F85" s="14">
        <v>6469.3647000000001</v>
      </c>
      <c r="G85" s="7">
        <v>13973529</v>
      </c>
      <c r="H85" s="14">
        <v>10262.432500000001</v>
      </c>
      <c r="I85" s="7">
        <v>21138765</v>
      </c>
      <c r="J85" s="22">
        <v>20</v>
      </c>
    </row>
    <row r="86" spans="1:10" x14ac:dyDescent="0.2">
      <c r="A86" s="8">
        <v>42461</v>
      </c>
      <c r="B86" s="4" t="s">
        <v>87</v>
      </c>
      <c r="C86" s="4" t="s">
        <v>157</v>
      </c>
      <c r="D86" s="14">
        <v>3334.3888000000002</v>
      </c>
      <c r="E86" s="7">
        <v>6059350</v>
      </c>
      <c r="F86" s="14">
        <v>6476.0294000000004</v>
      </c>
      <c r="G86" s="7">
        <v>13129520</v>
      </c>
      <c r="H86" s="14">
        <v>9810.4182000000001</v>
      </c>
      <c r="I86" s="7">
        <v>19188870</v>
      </c>
      <c r="J86" s="22">
        <v>18</v>
      </c>
    </row>
    <row r="87" spans="1:10" x14ac:dyDescent="0.2">
      <c r="A87" s="8">
        <v>42491</v>
      </c>
      <c r="B87" s="4" t="s">
        <v>87</v>
      </c>
      <c r="C87" s="4" t="s">
        <v>157</v>
      </c>
      <c r="D87" s="14">
        <v>4018.9331999999999</v>
      </c>
      <c r="E87" s="7">
        <v>7166531</v>
      </c>
      <c r="F87" s="14">
        <v>7758.2151999999996</v>
      </c>
      <c r="G87" s="7">
        <v>15783401</v>
      </c>
      <c r="H87" s="14">
        <v>11777.1484</v>
      </c>
      <c r="I87" s="7">
        <v>22949932</v>
      </c>
      <c r="J87" s="22">
        <v>22</v>
      </c>
    </row>
    <row r="88" spans="1:10" x14ac:dyDescent="0.2">
      <c r="A88" s="8">
        <v>42522</v>
      </c>
      <c r="B88" s="4" t="s">
        <v>87</v>
      </c>
      <c r="C88" s="4" t="s">
        <v>157</v>
      </c>
      <c r="D88" s="14">
        <v>4008.9180000000001</v>
      </c>
      <c r="E88" s="7">
        <v>6831756</v>
      </c>
      <c r="F88" s="14">
        <v>7809.1162999999997</v>
      </c>
      <c r="G88" s="7">
        <v>14803058</v>
      </c>
      <c r="H88" s="14">
        <v>11818.034299999999</v>
      </c>
      <c r="I88" s="7">
        <v>21634814</v>
      </c>
      <c r="J88" s="22">
        <v>22</v>
      </c>
    </row>
    <row r="89" spans="1:10" x14ac:dyDescent="0.2">
      <c r="A89" s="8">
        <v>42552</v>
      </c>
      <c r="B89" s="4" t="s">
        <v>87</v>
      </c>
      <c r="C89" s="4" t="s">
        <v>158</v>
      </c>
      <c r="D89" s="14">
        <v>3174.5998</v>
      </c>
      <c r="E89" s="7">
        <v>4701956</v>
      </c>
      <c r="F89" s="14">
        <v>9275.7217000000001</v>
      </c>
      <c r="G89" s="7">
        <v>13905533</v>
      </c>
      <c r="H89" s="14">
        <v>12450.3215</v>
      </c>
      <c r="I89" s="7">
        <v>18607489</v>
      </c>
      <c r="J89" s="22">
        <v>20</v>
      </c>
    </row>
    <row r="90" spans="1:10" x14ac:dyDescent="0.2">
      <c r="A90" s="8">
        <v>42583</v>
      </c>
      <c r="B90" s="4" t="s">
        <v>87</v>
      </c>
      <c r="C90" s="4" t="s">
        <v>158</v>
      </c>
      <c r="D90" s="14">
        <v>3892.9670000000001</v>
      </c>
      <c r="E90" s="7">
        <v>5681464</v>
      </c>
      <c r="F90" s="14">
        <v>10624.7562</v>
      </c>
      <c r="G90" s="7">
        <v>15504379</v>
      </c>
      <c r="H90" s="14">
        <v>14517.7232</v>
      </c>
      <c r="I90" s="7">
        <v>21185843</v>
      </c>
      <c r="J90" s="22">
        <v>22</v>
      </c>
    </row>
    <row r="91" spans="1:10" x14ac:dyDescent="0.2">
      <c r="A91" s="8">
        <v>42614</v>
      </c>
      <c r="B91" s="4" t="s">
        <v>87</v>
      </c>
      <c r="C91" s="4" t="s">
        <v>158</v>
      </c>
      <c r="D91" s="14">
        <v>3770.9490000000001</v>
      </c>
      <c r="E91" s="7">
        <v>5343280</v>
      </c>
      <c r="F91" s="14">
        <v>10582.7111</v>
      </c>
      <c r="G91" s="7">
        <v>15006450</v>
      </c>
      <c r="H91" s="14">
        <v>14353.660099999999</v>
      </c>
      <c r="I91" s="7">
        <v>20349730</v>
      </c>
      <c r="J91" s="22">
        <v>20</v>
      </c>
    </row>
    <row r="92" spans="1:10" x14ac:dyDescent="0.2">
      <c r="A92" s="8">
        <v>42644</v>
      </c>
      <c r="B92" s="4" t="s">
        <v>87</v>
      </c>
      <c r="C92" s="4" t="s">
        <v>159</v>
      </c>
      <c r="D92" s="14">
        <v>3141.6644000000001</v>
      </c>
      <c r="E92" s="7">
        <v>4527265</v>
      </c>
      <c r="F92" s="14">
        <v>9501.7968999999994</v>
      </c>
      <c r="G92" s="7">
        <v>13242218</v>
      </c>
      <c r="H92" s="14">
        <v>12643.461300000001</v>
      </c>
      <c r="I92" s="7">
        <v>17769483</v>
      </c>
      <c r="J92" s="22">
        <v>19</v>
      </c>
    </row>
    <row r="93" spans="1:10" x14ac:dyDescent="0.2">
      <c r="A93" s="8">
        <v>42675</v>
      </c>
      <c r="B93" s="4" t="s">
        <v>87</v>
      </c>
      <c r="C93" s="4" t="s">
        <v>159</v>
      </c>
      <c r="D93" s="14">
        <v>4389.2457000000004</v>
      </c>
      <c r="E93" s="7">
        <v>6602274</v>
      </c>
      <c r="F93" s="14">
        <v>9455.3482999999997</v>
      </c>
      <c r="G93" s="7">
        <v>14435919</v>
      </c>
      <c r="H93" s="14">
        <v>13844.593999999999</v>
      </c>
      <c r="I93" s="7">
        <v>21038193</v>
      </c>
      <c r="J93" s="22">
        <v>21</v>
      </c>
    </row>
    <row r="94" spans="1:10" x14ac:dyDescent="0.2">
      <c r="A94" s="8">
        <v>42705</v>
      </c>
      <c r="B94" s="4" t="s">
        <v>87</v>
      </c>
      <c r="C94" s="4" t="s">
        <v>159</v>
      </c>
      <c r="D94" s="14">
        <v>3385.4306999999999</v>
      </c>
      <c r="E94" s="7">
        <v>5199107</v>
      </c>
      <c r="F94" s="14">
        <v>7810.5531000000001</v>
      </c>
      <c r="G94" s="7">
        <v>12269473</v>
      </c>
      <c r="H94" s="14">
        <v>11195.9838</v>
      </c>
      <c r="I94" s="7">
        <v>17468580</v>
      </c>
      <c r="J94" s="22">
        <v>22</v>
      </c>
    </row>
    <row r="95" spans="1:10" x14ac:dyDescent="0.2">
      <c r="A95" s="8">
        <v>42736</v>
      </c>
      <c r="B95" s="4" t="s">
        <v>87</v>
      </c>
      <c r="C95" s="4" t="s">
        <v>160</v>
      </c>
      <c r="D95" s="14">
        <v>3244.6930000000002</v>
      </c>
      <c r="E95" s="7">
        <v>4792429</v>
      </c>
      <c r="F95" s="14">
        <v>9635.7404000000006</v>
      </c>
      <c r="G95" s="7">
        <v>14512081</v>
      </c>
      <c r="H95" s="14">
        <v>12880.4334</v>
      </c>
      <c r="I95" s="7">
        <v>19304510</v>
      </c>
      <c r="J95" s="22">
        <v>21</v>
      </c>
    </row>
    <row r="96" spans="1:10" x14ac:dyDescent="0.2">
      <c r="A96" s="8">
        <v>42767</v>
      </c>
      <c r="B96" s="4" t="s">
        <v>87</v>
      </c>
      <c r="C96" s="4" t="s">
        <v>160</v>
      </c>
      <c r="D96" s="14">
        <v>3517.7292000000002</v>
      </c>
      <c r="E96" s="7">
        <v>4881690</v>
      </c>
      <c r="F96" s="14">
        <v>10884.5646</v>
      </c>
      <c r="G96" s="7">
        <v>15436866</v>
      </c>
      <c r="H96" s="14">
        <v>14402.293799999999</v>
      </c>
      <c r="I96" s="7">
        <v>20318556</v>
      </c>
      <c r="J96" s="22">
        <v>19</v>
      </c>
    </row>
    <row r="97" spans="1:10" x14ac:dyDescent="0.2">
      <c r="A97" s="8">
        <v>42795</v>
      </c>
      <c r="B97" s="4" t="s">
        <v>87</v>
      </c>
      <c r="C97" s="4" t="s">
        <v>160</v>
      </c>
      <c r="D97" s="14">
        <v>3479.8890000000001</v>
      </c>
      <c r="E97" s="7">
        <v>4747968</v>
      </c>
      <c r="F97" s="14">
        <v>11481.3182</v>
      </c>
      <c r="G97" s="7">
        <v>15831232</v>
      </c>
      <c r="H97" s="14">
        <v>14961.207200000001</v>
      </c>
      <c r="I97" s="7">
        <v>20579200</v>
      </c>
      <c r="J97" s="22">
        <v>22</v>
      </c>
    </row>
    <row r="98" spans="1:10" x14ac:dyDescent="0.2">
      <c r="A98" s="8">
        <v>42826</v>
      </c>
      <c r="B98" s="4" t="s">
        <v>88</v>
      </c>
      <c r="C98" s="4" t="s">
        <v>161</v>
      </c>
      <c r="D98" s="14">
        <v>3145.7986000000001</v>
      </c>
      <c r="E98" s="7">
        <v>4174077</v>
      </c>
      <c r="F98" s="14">
        <v>11606.825000000001</v>
      </c>
      <c r="G98" s="7">
        <v>15323013</v>
      </c>
      <c r="H98" s="14">
        <v>14752.623600000001</v>
      </c>
      <c r="I98" s="7">
        <v>19497090</v>
      </c>
      <c r="J98" s="22">
        <v>18</v>
      </c>
    </row>
    <row r="99" spans="1:10" x14ac:dyDescent="0.2">
      <c r="A99" s="8">
        <v>42856</v>
      </c>
      <c r="B99" s="4" t="s">
        <v>88</v>
      </c>
      <c r="C99" s="4" t="s">
        <v>161</v>
      </c>
      <c r="D99" s="14">
        <v>3759.4881999999998</v>
      </c>
      <c r="E99" s="7">
        <v>4816269</v>
      </c>
      <c r="F99" s="14">
        <v>14021.4787</v>
      </c>
      <c r="G99" s="7">
        <v>19724492</v>
      </c>
      <c r="H99" s="14">
        <v>17780.966899999999</v>
      </c>
      <c r="I99" s="7">
        <v>24540761</v>
      </c>
      <c r="J99" s="22">
        <v>22</v>
      </c>
    </row>
    <row r="100" spans="1:10" x14ac:dyDescent="0.2">
      <c r="A100" s="8">
        <v>42887</v>
      </c>
      <c r="B100" s="4" t="s">
        <v>88</v>
      </c>
      <c r="C100" s="4" t="s">
        <v>161</v>
      </c>
      <c r="D100" s="14">
        <v>3221.4360000000001</v>
      </c>
      <c r="E100" s="7">
        <v>4052219</v>
      </c>
      <c r="F100" s="14">
        <v>11103.6175</v>
      </c>
      <c r="G100" s="7">
        <v>15718759</v>
      </c>
      <c r="H100" s="14">
        <v>14325.0535</v>
      </c>
      <c r="I100" s="7">
        <v>19770978</v>
      </c>
      <c r="J100" s="22">
        <v>21</v>
      </c>
    </row>
    <row r="101" spans="1:10" x14ac:dyDescent="0.2">
      <c r="A101" s="8">
        <v>42917</v>
      </c>
      <c r="B101" s="4" t="s">
        <v>88</v>
      </c>
      <c r="C101" s="4" t="s">
        <v>162</v>
      </c>
      <c r="D101" s="14">
        <v>3467.3168000000001</v>
      </c>
      <c r="E101" s="7">
        <v>4224510</v>
      </c>
      <c r="F101" s="14">
        <v>12343.6296</v>
      </c>
      <c r="G101" s="7">
        <v>16974717</v>
      </c>
      <c r="H101" s="14">
        <v>15810.946400000001</v>
      </c>
      <c r="I101" s="7">
        <v>21199227</v>
      </c>
      <c r="J101" s="22">
        <v>21</v>
      </c>
    </row>
    <row r="102" spans="1:10" x14ac:dyDescent="0.2">
      <c r="A102" s="8">
        <v>42948</v>
      </c>
      <c r="B102" s="4" t="s">
        <v>88</v>
      </c>
      <c r="C102" s="4" t="s">
        <v>162</v>
      </c>
      <c r="D102" s="14">
        <v>3993.1743999999999</v>
      </c>
      <c r="E102" s="7">
        <v>4789537</v>
      </c>
      <c r="F102" s="14">
        <v>12579.6844</v>
      </c>
      <c r="G102" s="7">
        <v>17470818</v>
      </c>
      <c r="H102" s="14">
        <v>16572.858800000002</v>
      </c>
      <c r="I102" s="7">
        <v>22260355</v>
      </c>
      <c r="J102" s="22">
        <v>21</v>
      </c>
    </row>
    <row r="103" spans="1:10" x14ac:dyDescent="0.2">
      <c r="A103" s="8">
        <v>42979</v>
      </c>
      <c r="B103" s="4" t="s">
        <v>88</v>
      </c>
      <c r="C103" s="4" t="s">
        <v>162</v>
      </c>
      <c r="D103" s="14">
        <v>3698.9106000000002</v>
      </c>
      <c r="E103" s="7">
        <v>4467175</v>
      </c>
      <c r="F103" s="14">
        <v>12803.96</v>
      </c>
      <c r="G103" s="7">
        <v>17314055</v>
      </c>
      <c r="H103" s="14">
        <v>16502.870599999998</v>
      </c>
      <c r="I103" s="7">
        <v>21781230</v>
      </c>
      <c r="J103" s="22">
        <v>21</v>
      </c>
    </row>
    <row r="104" spans="1:10" x14ac:dyDescent="0.2">
      <c r="A104" s="8">
        <v>43009</v>
      </c>
      <c r="B104" s="4" t="s">
        <v>88</v>
      </c>
      <c r="C104" s="4" t="s">
        <v>163</v>
      </c>
      <c r="D104" s="14">
        <v>3582.9627</v>
      </c>
      <c r="E104" s="7">
        <v>4238220</v>
      </c>
      <c r="F104" s="14">
        <v>12612.995500000001</v>
      </c>
      <c r="G104" s="7">
        <v>16836256</v>
      </c>
      <c r="H104" s="14">
        <v>16195.958199999999</v>
      </c>
      <c r="I104" s="7">
        <v>21074476</v>
      </c>
      <c r="J104" s="22">
        <v>20</v>
      </c>
    </row>
    <row r="105" spans="1:10" x14ac:dyDescent="0.2">
      <c r="A105" s="8">
        <v>43040</v>
      </c>
      <c r="B105" s="4" t="s">
        <v>88</v>
      </c>
      <c r="C105" s="4" t="s">
        <v>163</v>
      </c>
      <c r="D105" s="14">
        <v>3779.5925000000002</v>
      </c>
      <c r="E105" s="7">
        <v>4378831</v>
      </c>
      <c r="F105" s="14">
        <v>13964.1345</v>
      </c>
      <c r="G105" s="7">
        <v>19600435</v>
      </c>
      <c r="H105" s="14">
        <v>17743.726999999999</v>
      </c>
      <c r="I105" s="7">
        <v>23979266</v>
      </c>
      <c r="J105" s="22">
        <v>22</v>
      </c>
    </row>
    <row r="106" spans="1:10" x14ac:dyDescent="0.2">
      <c r="A106" s="8">
        <v>43070</v>
      </c>
      <c r="B106" s="4" t="s">
        <v>88</v>
      </c>
      <c r="C106" s="4" t="s">
        <v>163</v>
      </c>
      <c r="D106" s="14">
        <v>4065.5581999999999</v>
      </c>
      <c r="E106" s="7">
        <v>4769247</v>
      </c>
      <c r="F106" s="14">
        <v>12440.6895</v>
      </c>
      <c r="G106" s="7">
        <v>17181163</v>
      </c>
      <c r="H106" s="14">
        <v>16506.2477</v>
      </c>
      <c r="I106" s="7">
        <v>21950410</v>
      </c>
      <c r="J106" s="22">
        <v>20</v>
      </c>
    </row>
    <row r="107" spans="1:10" x14ac:dyDescent="0.2">
      <c r="A107" s="8">
        <v>43101</v>
      </c>
      <c r="B107" s="4" t="s">
        <v>88</v>
      </c>
      <c r="C107" s="4" t="s">
        <v>164</v>
      </c>
      <c r="D107" s="14">
        <v>4503.7550000000001</v>
      </c>
      <c r="E107" s="7">
        <v>5031029</v>
      </c>
      <c r="F107" s="14">
        <v>16989.465100000001</v>
      </c>
      <c r="G107" s="7">
        <v>21968814</v>
      </c>
      <c r="H107" s="14">
        <v>21493.220099999999</v>
      </c>
      <c r="I107" s="7">
        <v>26999843</v>
      </c>
      <c r="J107" s="22">
        <v>22</v>
      </c>
    </row>
    <row r="108" spans="1:10" x14ac:dyDescent="0.2">
      <c r="A108" s="8">
        <v>43132</v>
      </c>
      <c r="B108" s="4" t="s">
        <v>88</v>
      </c>
      <c r="C108" s="4" t="s">
        <v>164</v>
      </c>
      <c r="D108" s="14">
        <v>5562.5619999999999</v>
      </c>
      <c r="E108" s="7">
        <v>6420118</v>
      </c>
      <c r="F108" s="14">
        <v>13541.516600000001</v>
      </c>
      <c r="G108" s="7">
        <v>19092878</v>
      </c>
      <c r="H108" s="14">
        <v>19104.078600000001</v>
      </c>
      <c r="I108" s="7">
        <v>25512996</v>
      </c>
      <c r="J108" s="22">
        <v>19</v>
      </c>
    </row>
    <row r="109" spans="1:10" x14ac:dyDescent="0.2">
      <c r="A109" s="8">
        <v>43160</v>
      </c>
      <c r="B109" s="4" t="s">
        <v>88</v>
      </c>
      <c r="C109" s="4" t="s">
        <v>164</v>
      </c>
      <c r="D109" s="14">
        <v>5323.9884000000002</v>
      </c>
      <c r="E109" s="7">
        <v>6313352</v>
      </c>
      <c r="F109" s="14">
        <v>11967.200699999999</v>
      </c>
      <c r="G109" s="7">
        <v>17552966</v>
      </c>
      <c r="H109" s="14">
        <v>17291.1891</v>
      </c>
      <c r="I109" s="7">
        <v>23866318</v>
      </c>
      <c r="J109" s="22">
        <v>19</v>
      </c>
    </row>
    <row r="110" spans="1:10" x14ac:dyDescent="0.2">
      <c r="A110" s="8">
        <v>43191</v>
      </c>
      <c r="B110" s="4" t="s">
        <v>89</v>
      </c>
      <c r="C110" s="4" t="s">
        <v>165</v>
      </c>
      <c r="D110" s="14">
        <v>4336.9128000000001</v>
      </c>
      <c r="E110" s="7">
        <v>4993824</v>
      </c>
      <c r="F110" s="14">
        <v>14319.5676</v>
      </c>
      <c r="G110" s="7">
        <v>19971346</v>
      </c>
      <c r="H110" s="14">
        <v>18656.4804</v>
      </c>
      <c r="I110" s="7">
        <v>24965170</v>
      </c>
      <c r="J110" s="22">
        <v>21</v>
      </c>
    </row>
    <row r="111" spans="1:10" x14ac:dyDescent="0.2">
      <c r="A111" s="8">
        <v>43221</v>
      </c>
      <c r="B111" s="4" t="s">
        <v>89</v>
      </c>
      <c r="C111" s="4" t="s">
        <v>165</v>
      </c>
      <c r="D111" s="14">
        <v>4467.4088000000002</v>
      </c>
      <c r="E111" s="7">
        <v>4991448</v>
      </c>
      <c r="F111" s="14">
        <v>14304.865400000001</v>
      </c>
      <c r="G111" s="7">
        <v>21801493</v>
      </c>
      <c r="H111" s="14">
        <v>18772.2742</v>
      </c>
      <c r="I111" s="7">
        <v>26792941</v>
      </c>
      <c r="J111" s="22">
        <v>22</v>
      </c>
    </row>
    <row r="112" spans="1:10" x14ac:dyDescent="0.2">
      <c r="A112" s="8">
        <v>43252</v>
      </c>
      <c r="B112" s="4" t="s">
        <v>89</v>
      </c>
      <c r="C112" s="4" t="s">
        <v>165</v>
      </c>
      <c r="D112" s="14">
        <v>4685.9105</v>
      </c>
      <c r="E112" s="7">
        <v>5182508</v>
      </c>
      <c r="F112" s="14">
        <v>13173.534100000001</v>
      </c>
      <c r="G112" s="7">
        <v>20044920</v>
      </c>
      <c r="H112" s="14">
        <v>17859.444599999999</v>
      </c>
      <c r="I112" s="7">
        <v>25227428</v>
      </c>
      <c r="J112" s="22">
        <v>21</v>
      </c>
    </row>
    <row r="113" spans="1:10" x14ac:dyDescent="0.2">
      <c r="A113" s="8">
        <v>43282</v>
      </c>
      <c r="B113" s="4" t="s">
        <v>89</v>
      </c>
      <c r="C113" s="4" t="s">
        <v>166</v>
      </c>
      <c r="D113" s="14">
        <v>4294.5677999999998</v>
      </c>
      <c r="E113" s="7">
        <v>4672793</v>
      </c>
      <c r="F113" s="14">
        <v>14768.8236</v>
      </c>
      <c r="G113" s="7">
        <v>21816111</v>
      </c>
      <c r="H113" s="14">
        <v>19063.3914</v>
      </c>
      <c r="I113" s="7">
        <v>26488904</v>
      </c>
      <c r="J113" s="22">
        <v>22</v>
      </c>
    </row>
    <row r="114" spans="1:10" x14ac:dyDescent="0.2">
      <c r="A114" s="8">
        <v>43313</v>
      </c>
      <c r="B114" s="4" t="s">
        <v>89</v>
      </c>
      <c r="C114" s="4" t="s">
        <v>166</v>
      </c>
      <c r="D114" s="14">
        <v>3942.2910999999999</v>
      </c>
      <c r="E114" s="7">
        <v>4086103</v>
      </c>
      <c r="F114" s="14">
        <v>15449.872300000001</v>
      </c>
      <c r="G114" s="7">
        <v>21581854</v>
      </c>
      <c r="H114" s="14">
        <v>19392.163400000001</v>
      </c>
      <c r="I114" s="7">
        <v>25667957</v>
      </c>
      <c r="J114" s="22">
        <v>21</v>
      </c>
    </row>
    <row r="115" spans="1:10" x14ac:dyDescent="0.2">
      <c r="A115" s="8">
        <v>43344</v>
      </c>
      <c r="B115" s="4" t="s">
        <v>89</v>
      </c>
      <c r="C115" s="4" t="s">
        <v>166</v>
      </c>
      <c r="D115" s="14">
        <v>5400.3957</v>
      </c>
      <c r="E115" s="7">
        <v>5832447</v>
      </c>
      <c r="F115" s="14">
        <v>14643.9408</v>
      </c>
      <c r="G115" s="7">
        <v>21640734</v>
      </c>
      <c r="H115" s="14">
        <v>20044.336500000001</v>
      </c>
      <c r="I115" s="7">
        <v>27473181</v>
      </c>
      <c r="J115" s="22">
        <v>18</v>
      </c>
    </row>
    <row r="116" spans="1:10" x14ac:dyDescent="0.2">
      <c r="A116" s="8">
        <v>43374</v>
      </c>
      <c r="B116" s="4" t="s">
        <v>89</v>
      </c>
      <c r="C116" s="4" t="s">
        <v>167</v>
      </c>
      <c r="D116" s="14">
        <v>6672.6986999999999</v>
      </c>
      <c r="E116" s="7">
        <v>8230210</v>
      </c>
      <c r="F116" s="14">
        <v>14880.6492</v>
      </c>
      <c r="G116" s="7">
        <v>24929740</v>
      </c>
      <c r="H116" s="14">
        <v>21553.347900000001</v>
      </c>
      <c r="I116" s="7">
        <v>33159950</v>
      </c>
      <c r="J116" s="22">
        <v>21</v>
      </c>
    </row>
    <row r="117" spans="1:10" x14ac:dyDescent="0.2">
      <c r="A117" s="8">
        <v>43405</v>
      </c>
      <c r="B117" s="4" t="s">
        <v>89</v>
      </c>
      <c r="C117" s="4" t="s">
        <v>167</v>
      </c>
      <c r="D117" s="14">
        <v>4418.5454</v>
      </c>
      <c r="E117" s="7">
        <v>6717256</v>
      </c>
      <c r="F117" s="14">
        <v>11871.573200000001</v>
      </c>
      <c r="G117" s="7">
        <v>21315096</v>
      </c>
      <c r="H117" s="14">
        <v>16290.1186</v>
      </c>
      <c r="I117" s="7">
        <v>28032352</v>
      </c>
      <c r="J117" s="22">
        <v>20</v>
      </c>
    </row>
    <row r="118" spans="1:10" x14ac:dyDescent="0.2">
      <c r="A118" s="8">
        <v>43435</v>
      </c>
      <c r="B118" s="4" t="s">
        <v>89</v>
      </c>
      <c r="C118" s="4" t="s">
        <v>167</v>
      </c>
      <c r="D118" s="14">
        <v>4321.9372000000003</v>
      </c>
      <c r="E118" s="7">
        <v>6343194</v>
      </c>
      <c r="F118" s="14">
        <v>11708.3925</v>
      </c>
      <c r="G118" s="7">
        <v>20474282</v>
      </c>
      <c r="H118" s="14">
        <v>16030.3297</v>
      </c>
      <c r="I118" s="7">
        <v>26817476</v>
      </c>
      <c r="J118" s="22">
        <v>20</v>
      </c>
    </row>
    <row r="119" spans="1:10" x14ac:dyDescent="0.2">
      <c r="A119" s="8">
        <v>43466</v>
      </c>
      <c r="B119" s="4" t="s">
        <v>89</v>
      </c>
      <c r="C119" s="4" t="s">
        <v>168</v>
      </c>
      <c r="D119" s="14">
        <v>4723.0337</v>
      </c>
      <c r="E119" s="7">
        <v>6852010</v>
      </c>
      <c r="F119" s="14">
        <v>12773.855</v>
      </c>
      <c r="G119" s="7">
        <v>21835896</v>
      </c>
      <c r="H119" s="14">
        <v>17496.8887</v>
      </c>
      <c r="I119" s="7">
        <v>28687906</v>
      </c>
      <c r="J119" s="22">
        <v>23</v>
      </c>
    </row>
    <row r="120" spans="1:10" x14ac:dyDescent="0.2">
      <c r="A120" s="8">
        <v>43497</v>
      </c>
      <c r="B120" s="4" t="s">
        <v>89</v>
      </c>
      <c r="C120" s="4" t="s">
        <v>168</v>
      </c>
      <c r="D120" s="14">
        <v>4134.3991999999998</v>
      </c>
      <c r="E120" s="7">
        <v>5953512</v>
      </c>
      <c r="F120" s="14">
        <v>11566.607400000001</v>
      </c>
      <c r="G120" s="7">
        <v>20566789</v>
      </c>
      <c r="H120" s="14">
        <v>15701.006600000001</v>
      </c>
      <c r="I120" s="7">
        <v>26520301</v>
      </c>
      <c r="J120" s="22">
        <v>20</v>
      </c>
    </row>
    <row r="121" spans="1:10" x14ac:dyDescent="0.2">
      <c r="A121" s="8">
        <v>43525</v>
      </c>
      <c r="B121" s="4" t="s">
        <v>89</v>
      </c>
      <c r="C121" s="4" t="s">
        <v>168</v>
      </c>
      <c r="D121" s="14">
        <v>4291.0438000000004</v>
      </c>
      <c r="E121" s="7">
        <v>5969217</v>
      </c>
      <c r="F121" s="14">
        <v>12008.4275</v>
      </c>
      <c r="G121" s="7">
        <v>19555608</v>
      </c>
      <c r="H121" s="14">
        <v>16299.471299999999</v>
      </c>
      <c r="I121" s="7">
        <v>25524825</v>
      </c>
      <c r="J121" s="22">
        <v>19</v>
      </c>
    </row>
    <row r="122" spans="1:10" x14ac:dyDescent="0.2">
      <c r="A122" s="8">
        <v>43556</v>
      </c>
      <c r="B122" s="4" t="s">
        <v>90</v>
      </c>
      <c r="C122" s="4" t="s">
        <v>169</v>
      </c>
      <c r="D122" s="14">
        <v>4062.1932999999999</v>
      </c>
      <c r="E122" s="7">
        <v>5521413</v>
      </c>
      <c r="F122" s="14">
        <v>11591.2821</v>
      </c>
      <c r="G122" s="7">
        <v>18819091</v>
      </c>
      <c r="H122" s="14">
        <v>15653.475399999999</v>
      </c>
      <c r="I122" s="7">
        <v>24340504</v>
      </c>
      <c r="J122" s="22">
        <v>19</v>
      </c>
    </row>
    <row r="123" spans="1:10" x14ac:dyDescent="0.2">
      <c r="A123" s="8">
        <v>43586</v>
      </c>
      <c r="B123" s="4" t="s">
        <v>90</v>
      </c>
      <c r="C123" s="4" t="s">
        <v>169</v>
      </c>
      <c r="D123" s="14">
        <v>5881.5347000000002</v>
      </c>
      <c r="E123" s="7">
        <v>7895357</v>
      </c>
      <c r="F123" s="14">
        <v>13705.5134</v>
      </c>
      <c r="G123" s="7">
        <v>23660383</v>
      </c>
      <c r="H123" s="14">
        <v>19587.0481</v>
      </c>
      <c r="I123" s="7">
        <v>31555740</v>
      </c>
      <c r="J123" s="22">
        <v>22</v>
      </c>
    </row>
    <row r="124" spans="1:10" x14ac:dyDescent="0.2">
      <c r="A124" s="8">
        <v>43617</v>
      </c>
      <c r="B124" s="4" t="s">
        <v>90</v>
      </c>
      <c r="C124" s="4" t="s">
        <v>169</v>
      </c>
      <c r="D124" s="14">
        <v>4536.1567999999997</v>
      </c>
      <c r="E124" s="7">
        <v>6004647</v>
      </c>
      <c r="F124" s="14">
        <v>10746.7353</v>
      </c>
      <c r="G124" s="7">
        <v>19002686</v>
      </c>
      <c r="H124" s="14">
        <v>15282.892099999999</v>
      </c>
      <c r="I124" s="7">
        <v>25007333</v>
      </c>
      <c r="J124" s="22">
        <v>19</v>
      </c>
    </row>
    <row r="125" spans="1:10" x14ac:dyDescent="0.2">
      <c r="A125" s="8">
        <v>43647</v>
      </c>
      <c r="B125" s="4" t="s">
        <v>90</v>
      </c>
      <c r="C125" s="4" t="s">
        <v>170</v>
      </c>
      <c r="D125" s="14">
        <v>5085.6998000000003</v>
      </c>
      <c r="E125" s="7">
        <v>6896920</v>
      </c>
      <c r="F125" s="14">
        <v>13138.314</v>
      </c>
      <c r="G125" s="7">
        <v>22036758</v>
      </c>
      <c r="H125" s="14">
        <v>18224.013800000001</v>
      </c>
      <c r="I125" s="7">
        <v>28933678</v>
      </c>
      <c r="J125" s="22">
        <v>23</v>
      </c>
    </row>
    <row r="126" spans="1:10" x14ac:dyDescent="0.2">
      <c r="A126" s="8">
        <v>43678</v>
      </c>
      <c r="B126" s="4" t="s">
        <v>90</v>
      </c>
      <c r="C126" s="4" t="s">
        <v>170</v>
      </c>
      <c r="D126" s="14">
        <v>6065.5379999999996</v>
      </c>
      <c r="E126" s="7">
        <v>8743443</v>
      </c>
      <c r="F126" s="14">
        <v>12069.171700000001</v>
      </c>
      <c r="G126" s="7">
        <v>22257696</v>
      </c>
      <c r="H126" s="14">
        <v>18134.709699999999</v>
      </c>
      <c r="I126" s="7">
        <v>31001139</v>
      </c>
      <c r="J126" s="22">
        <v>20</v>
      </c>
    </row>
    <row r="127" spans="1:10" x14ac:dyDescent="0.2">
      <c r="A127" s="8">
        <v>43709</v>
      </c>
      <c r="B127" s="4" t="s">
        <v>90</v>
      </c>
      <c r="C127" s="4" t="s">
        <v>170</v>
      </c>
      <c r="D127" s="14">
        <v>6403.3126000000002</v>
      </c>
      <c r="E127" s="7">
        <v>9192584</v>
      </c>
      <c r="F127" s="14">
        <v>12462.2826</v>
      </c>
      <c r="G127" s="7">
        <v>22234125</v>
      </c>
      <c r="H127" s="14">
        <v>18865.5952</v>
      </c>
      <c r="I127" s="7">
        <v>31426709</v>
      </c>
      <c r="J127" s="22">
        <v>19</v>
      </c>
    </row>
    <row r="128" spans="1:10" x14ac:dyDescent="0.2">
      <c r="A128" s="8">
        <v>43739</v>
      </c>
      <c r="B128" s="4" t="s">
        <v>90</v>
      </c>
      <c r="C128" s="4" t="s">
        <v>171</v>
      </c>
      <c r="D128" s="14">
        <v>5805.9571999999998</v>
      </c>
      <c r="E128" s="7">
        <v>8317454</v>
      </c>
      <c r="F128" s="14">
        <v>12337.1319</v>
      </c>
      <c r="G128" s="7">
        <v>22705088</v>
      </c>
      <c r="H128" s="14">
        <v>18143.089100000001</v>
      </c>
      <c r="I128" s="7">
        <v>31022542</v>
      </c>
      <c r="J128" s="22">
        <v>20</v>
      </c>
    </row>
    <row r="129" spans="1:10" x14ac:dyDescent="0.2">
      <c r="A129" s="8">
        <v>43770</v>
      </c>
      <c r="B129" s="4" t="s">
        <v>90</v>
      </c>
      <c r="C129" s="4" t="s">
        <v>171</v>
      </c>
      <c r="D129" s="14">
        <v>4779.8347999999996</v>
      </c>
      <c r="E129" s="7">
        <v>6438144</v>
      </c>
      <c r="F129" s="14">
        <v>12566.165800000001</v>
      </c>
      <c r="G129" s="7">
        <v>22779787</v>
      </c>
      <c r="H129" s="14">
        <v>17346.000599999999</v>
      </c>
      <c r="I129" s="7">
        <v>29217931</v>
      </c>
      <c r="J129" s="22">
        <v>20</v>
      </c>
    </row>
    <row r="130" spans="1:10" x14ac:dyDescent="0.2">
      <c r="A130" s="8">
        <v>43800</v>
      </c>
      <c r="B130" s="4" t="s">
        <v>90</v>
      </c>
      <c r="C130" s="4" t="s">
        <v>171</v>
      </c>
      <c r="D130" s="14">
        <v>4112.4089000000004</v>
      </c>
      <c r="E130" s="7">
        <v>5400188</v>
      </c>
      <c r="F130" s="14">
        <v>11239.1752</v>
      </c>
      <c r="G130" s="7">
        <v>18929870</v>
      </c>
      <c r="H130" s="14">
        <v>15351.5841</v>
      </c>
      <c r="I130" s="7">
        <v>24330058</v>
      </c>
      <c r="J130" s="22">
        <v>21</v>
      </c>
    </row>
    <row r="131" spans="1:10" x14ac:dyDescent="0.2">
      <c r="A131" s="8">
        <v>43831</v>
      </c>
      <c r="B131" s="4" t="s">
        <v>90</v>
      </c>
      <c r="C131" s="4" t="s">
        <v>172</v>
      </c>
      <c r="D131" s="14">
        <v>5432.9031000000004</v>
      </c>
      <c r="E131" s="7">
        <v>7217406</v>
      </c>
      <c r="F131" s="14">
        <v>14037.7565</v>
      </c>
      <c r="G131" s="7">
        <v>20519117</v>
      </c>
      <c r="H131" s="14">
        <v>19470.659599999999</v>
      </c>
      <c r="I131" s="7">
        <v>27736523</v>
      </c>
      <c r="J131" s="22">
        <v>23</v>
      </c>
    </row>
    <row r="132" spans="1:10" x14ac:dyDescent="0.2">
      <c r="A132" s="8">
        <v>43862</v>
      </c>
      <c r="B132" s="4" t="s">
        <v>90</v>
      </c>
      <c r="C132" s="4" t="s">
        <v>172</v>
      </c>
      <c r="D132" s="14">
        <v>5393.1665000000003</v>
      </c>
      <c r="E132" s="7">
        <v>7188853</v>
      </c>
      <c r="F132" s="14">
        <v>13094.2482</v>
      </c>
      <c r="G132" s="7">
        <v>19762076</v>
      </c>
      <c r="H132" s="14">
        <v>18487.414700000001</v>
      </c>
      <c r="I132" s="7">
        <v>26950929</v>
      </c>
      <c r="J132" s="22">
        <v>20</v>
      </c>
    </row>
    <row r="133" spans="1:10" x14ac:dyDescent="0.2">
      <c r="A133" s="8">
        <v>43891</v>
      </c>
      <c r="B133" s="4" t="s">
        <v>90</v>
      </c>
      <c r="C133" s="4" t="s">
        <v>172</v>
      </c>
      <c r="D133" s="14">
        <v>9214.4146999999994</v>
      </c>
      <c r="E133" s="7">
        <v>15656129</v>
      </c>
      <c r="F133" s="14">
        <v>11759.5159</v>
      </c>
      <c r="G133" s="7">
        <v>23937233</v>
      </c>
      <c r="H133" s="14">
        <v>20973.9306</v>
      </c>
      <c r="I133" s="7">
        <v>39593362</v>
      </c>
      <c r="J133" s="22">
        <v>21</v>
      </c>
    </row>
    <row r="134" spans="1:10" x14ac:dyDescent="0.2">
      <c r="A134" s="8">
        <v>43922</v>
      </c>
      <c r="B134" s="4" t="s">
        <v>91</v>
      </c>
      <c r="C134" s="4" t="s">
        <v>173</v>
      </c>
      <c r="D134" s="14">
        <v>5947.1550999999999</v>
      </c>
      <c r="E134" s="7">
        <v>11339332</v>
      </c>
      <c r="F134" s="14">
        <v>9549.69</v>
      </c>
      <c r="G134" s="7">
        <v>19476580</v>
      </c>
      <c r="H134" s="14">
        <v>15496.8451</v>
      </c>
      <c r="I134" s="7">
        <v>30815912</v>
      </c>
      <c r="J134" s="22">
        <v>18</v>
      </c>
    </row>
    <row r="135" spans="1:10" x14ac:dyDescent="0.2">
      <c r="A135" s="8">
        <v>43952</v>
      </c>
      <c r="B135" s="4" t="s">
        <v>91</v>
      </c>
      <c r="C135" s="4" t="s">
        <v>173</v>
      </c>
      <c r="D135" s="14">
        <v>6406.2501000000002</v>
      </c>
      <c r="E135" s="7">
        <v>12843909</v>
      </c>
      <c r="F135" s="14">
        <v>11180.2359</v>
      </c>
      <c r="G135" s="7">
        <v>22573353</v>
      </c>
      <c r="H135" s="14">
        <v>17586.486000000001</v>
      </c>
      <c r="I135" s="7">
        <v>35417262</v>
      </c>
      <c r="J135" s="22">
        <v>19</v>
      </c>
    </row>
    <row r="136" spans="1:10" x14ac:dyDescent="0.2">
      <c r="A136" s="8">
        <v>43983</v>
      </c>
      <c r="B136" s="4" t="s">
        <v>91</v>
      </c>
      <c r="C136" s="4" t="s">
        <v>173</v>
      </c>
      <c r="D136" s="14">
        <v>8597.4081000000006</v>
      </c>
      <c r="E136" s="7">
        <v>15478384</v>
      </c>
      <c r="F136" s="14">
        <v>14553.657300000001</v>
      </c>
      <c r="G136" s="7">
        <v>26276560</v>
      </c>
      <c r="H136" s="14">
        <v>23151.065399999999</v>
      </c>
      <c r="I136" s="7">
        <v>41754944</v>
      </c>
      <c r="J136" s="22">
        <v>22</v>
      </c>
    </row>
    <row r="137" spans="1:10" x14ac:dyDescent="0.2">
      <c r="A137" s="8">
        <v>44013</v>
      </c>
      <c r="B137" s="4" t="s">
        <v>91</v>
      </c>
      <c r="C137" s="4" t="s">
        <v>174</v>
      </c>
      <c r="D137" s="14">
        <v>7771.9132</v>
      </c>
      <c r="E137" s="7">
        <v>11772248</v>
      </c>
      <c r="F137" s="14">
        <v>15749.3734</v>
      </c>
      <c r="G137" s="7">
        <v>22710216</v>
      </c>
      <c r="H137" s="14">
        <v>23521.286599999999</v>
      </c>
      <c r="I137" s="7">
        <v>34482464</v>
      </c>
      <c r="J137" s="22">
        <v>23</v>
      </c>
    </row>
    <row r="138" spans="1:10" x14ac:dyDescent="0.2">
      <c r="A138" s="8">
        <v>44044</v>
      </c>
      <c r="B138" s="4" t="s">
        <v>91</v>
      </c>
      <c r="C138" s="4" t="s">
        <v>174</v>
      </c>
      <c r="D138" s="14">
        <v>6211.826</v>
      </c>
      <c r="E138" s="7">
        <v>9211071</v>
      </c>
      <c r="F138" s="14">
        <v>14781.759599999999</v>
      </c>
      <c r="G138" s="7">
        <v>20582172</v>
      </c>
      <c r="H138" s="14">
        <v>20993.585599999999</v>
      </c>
      <c r="I138" s="7">
        <v>29793243</v>
      </c>
      <c r="J138" s="22">
        <v>21</v>
      </c>
    </row>
    <row r="139" spans="1:10" x14ac:dyDescent="0.2">
      <c r="A139" s="8">
        <v>44075</v>
      </c>
      <c r="B139" s="4" t="s">
        <v>91</v>
      </c>
      <c r="C139" s="4" t="s">
        <v>174</v>
      </c>
      <c r="D139" s="14">
        <v>7406.6930000000002</v>
      </c>
      <c r="E139" s="7">
        <v>11161701</v>
      </c>
      <c r="F139" s="14">
        <v>15354.4764</v>
      </c>
      <c r="G139" s="7">
        <v>20622408</v>
      </c>
      <c r="H139" s="14">
        <v>22761.169399999999</v>
      </c>
      <c r="I139" s="7">
        <v>31784109</v>
      </c>
      <c r="J139" s="22">
        <v>22</v>
      </c>
    </row>
    <row r="140" spans="1:10" x14ac:dyDescent="0.2">
      <c r="A140" s="8">
        <v>44105</v>
      </c>
      <c r="B140" s="4" t="s">
        <v>91</v>
      </c>
      <c r="C140" s="4" t="s">
        <v>175</v>
      </c>
      <c r="D140" s="14">
        <v>7390.9934000000003</v>
      </c>
      <c r="E140" s="7">
        <v>10631893</v>
      </c>
      <c r="F140" s="14">
        <v>14460.637699999999</v>
      </c>
      <c r="G140" s="7">
        <v>19384435</v>
      </c>
      <c r="H140" s="14">
        <v>21851.631099999999</v>
      </c>
      <c r="I140" s="7">
        <v>30016328</v>
      </c>
      <c r="J140" s="22">
        <v>21</v>
      </c>
    </row>
    <row r="141" spans="1:10" x14ac:dyDescent="0.2">
      <c r="A141" s="8">
        <v>44136</v>
      </c>
      <c r="B141" s="4" t="s">
        <v>91</v>
      </c>
      <c r="C141" s="4" t="s">
        <v>175</v>
      </c>
      <c r="D141" s="14">
        <v>8263.4063000000006</v>
      </c>
      <c r="E141" s="7">
        <v>10516563</v>
      </c>
      <c r="F141" s="14">
        <v>15434.471</v>
      </c>
      <c r="G141" s="7">
        <v>20751860</v>
      </c>
      <c r="H141" s="14">
        <v>23697.8773</v>
      </c>
      <c r="I141" s="7">
        <v>31268423</v>
      </c>
      <c r="J141" s="22">
        <v>20</v>
      </c>
    </row>
    <row r="142" spans="1:10" x14ac:dyDescent="0.2">
      <c r="A142" s="8">
        <v>44166</v>
      </c>
      <c r="B142" s="4" t="s">
        <v>91</v>
      </c>
      <c r="C142" s="4" t="s">
        <v>175</v>
      </c>
      <c r="D142" s="14">
        <v>6914.6265000000003</v>
      </c>
      <c r="E142" s="7">
        <v>7989064</v>
      </c>
      <c r="F142" s="14">
        <v>15879.8819</v>
      </c>
      <c r="G142" s="7">
        <v>19841495</v>
      </c>
      <c r="H142" s="14">
        <v>22794.508399999999</v>
      </c>
      <c r="I142" s="7">
        <v>27830559</v>
      </c>
      <c r="J142" s="22">
        <v>22</v>
      </c>
    </row>
    <row r="143" spans="1:10" x14ac:dyDescent="0.2">
      <c r="A143" s="8">
        <v>44197</v>
      </c>
      <c r="B143" s="4" t="s">
        <v>91</v>
      </c>
      <c r="C143" s="4" t="s">
        <v>176</v>
      </c>
      <c r="D143" s="14">
        <v>7327.0707000000002</v>
      </c>
      <c r="E143" s="7">
        <v>8016190</v>
      </c>
      <c r="F143" s="14">
        <v>17659.672299999998</v>
      </c>
      <c r="G143" s="7">
        <v>20769652</v>
      </c>
      <c r="H143" s="14">
        <v>24986.742999999999</v>
      </c>
      <c r="I143" s="7">
        <v>28785842</v>
      </c>
      <c r="J143" s="22">
        <v>20</v>
      </c>
    </row>
    <row r="144" spans="1:10" x14ac:dyDescent="0.2">
      <c r="A144" s="8">
        <v>44228</v>
      </c>
      <c r="B144" s="4" t="s">
        <v>91</v>
      </c>
      <c r="C144" s="4" t="s">
        <v>176</v>
      </c>
      <c r="D144" s="14">
        <v>9107.1208999999999</v>
      </c>
      <c r="E144" s="7">
        <v>9283472</v>
      </c>
      <c r="F144" s="14">
        <v>19927.0232</v>
      </c>
      <c r="G144" s="7">
        <v>21847715</v>
      </c>
      <c r="H144" s="14">
        <v>29034.144100000001</v>
      </c>
      <c r="I144" s="7">
        <v>31131187</v>
      </c>
      <c r="J144" s="22">
        <v>20</v>
      </c>
    </row>
    <row r="145" spans="1:10" x14ac:dyDescent="0.2">
      <c r="A145" s="8">
        <v>44256</v>
      </c>
      <c r="B145" s="4" t="s">
        <v>91</v>
      </c>
      <c r="C145" s="4" t="s">
        <v>176</v>
      </c>
      <c r="D145" s="14">
        <v>9131.9932000000008</v>
      </c>
      <c r="E145" s="7">
        <v>9355799</v>
      </c>
      <c r="F145" s="14">
        <v>16452.7752</v>
      </c>
      <c r="G145" s="7">
        <v>17994476</v>
      </c>
      <c r="H145" s="14">
        <v>25584.768400000001</v>
      </c>
      <c r="I145" s="7">
        <v>27350275</v>
      </c>
      <c r="J145" s="22">
        <v>21</v>
      </c>
    </row>
    <row r="146" spans="1:10" x14ac:dyDescent="0.2">
      <c r="A146" s="8">
        <v>44287</v>
      </c>
      <c r="B146" s="4" t="s">
        <v>92</v>
      </c>
      <c r="C146" s="4" t="s">
        <v>177</v>
      </c>
      <c r="D146" s="14">
        <v>7249.8402999999998</v>
      </c>
      <c r="E146" s="7">
        <v>7756774</v>
      </c>
      <c r="F146" s="14">
        <v>15799.224899999999</v>
      </c>
      <c r="G146" s="7">
        <v>16938642</v>
      </c>
      <c r="H146" s="14">
        <v>23049.065200000001</v>
      </c>
      <c r="I146" s="7">
        <v>24695416</v>
      </c>
      <c r="J146" s="22">
        <v>19</v>
      </c>
    </row>
    <row r="147" spans="1:10" x14ac:dyDescent="0.2">
      <c r="A147" s="8">
        <v>44317</v>
      </c>
      <c r="B147" s="4" t="s">
        <v>92</v>
      </c>
      <c r="C147" s="4" t="s">
        <v>177</v>
      </c>
      <c r="D147" s="14">
        <v>6125.2033000000001</v>
      </c>
      <c r="E147" s="7">
        <v>6387638</v>
      </c>
      <c r="F147" s="14">
        <v>17339.0517</v>
      </c>
      <c r="G147" s="7">
        <v>22345925</v>
      </c>
      <c r="H147" s="14">
        <v>23464.255000000001</v>
      </c>
      <c r="I147" s="7">
        <v>28733563</v>
      </c>
      <c r="J147" s="22">
        <v>20</v>
      </c>
    </row>
    <row r="148" spans="1:10" x14ac:dyDescent="0.2">
      <c r="A148" s="8">
        <v>44348</v>
      </c>
      <c r="B148" s="4" t="s">
        <v>92</v>
      </c>
      <c r="C148" s="4" t="s">
        <v>177</v>
      </c>
      <c r="D148" s="14">
        <v>5712.7226000000001</v>
      </c>
      <c r="E148" s="7">
        <v>6012511</v>
      </c>
      <c r="F148" s="14">
        <v>17675.386299999998</v>
      </c>
      <c r="G148" s="7">
        <v>21778143</v>
      </c>
      <c r="H148" s="14">
        <v>23388.108899999999</v>
      </c>
      <c r="I148" s="7">
        <v>27790654</v>
      </c>
      <c r="J148" s="22">
        <v>22</v>
      </c>
    </row>
    <row r="149" spans="1:10" x14ac:dyDescent="0.2">
      <c r="A149" s="8">
        <v>44378</v>
      </c>
      <c r="B149" s="4" t="s">
        <v>92</v>
      </c>
      <c r="C149" s="4" t="s">
        <v>178</v>
      </c>
      <c r="D149" s="14">
        <v>5175.2685000000001</v>
      </c>
      <c r="E149" s="7">
        <v>6217505</v>
      </c>
      <c r="F149" s="14">
        <v>15681.330599999999</v>
      </c>
      <c r="G149" s="7">
        <v>19278363</v>
      </c>
      <c r="H149" s="14">
        <v>20856.599099999999</v>
      </c>
      <c r="I149" s="7">
        <v>25495868</v>
      </c>
      <c r="J149" s="22">
        <v>21</v>
      </c>
    </row>
    <row r="150" spans="1:10" x14ac:dyDescent="0.2">
      <c r="A150" s="8">
        <v>44409</v>
      </c>
      <c r="B150" s="4" t="s">
        <v>92</v>
      </c>
      <c r="C150" s="4" t="s">
        <v>178</v>
      </c>
      <c r="D150" s="14">
        <v>5440.6908000000003</v>
      </c>
      <c r="E150" s="7">
        <v>6341929</v>
      </c>
      <c r="F150" s="14">
        <v>16855.472600000001</v>
      </c>
      <c r="G150" s="7">
        <v>20408119</v>
      </c>
      <c r="H150" s="14">
        <v>22296.163400000001</v>
      </c>
      <c r="I150" s="7">
        <v>26750048</v>
      </c>
      <c r="J150" s="22">
        <v>21</v>
      </c>
    </row>
    <row r="151" spans="1:10" x14ac:dyDescent="0.2">
      <c r="A151" s="8">
        <v>44440</v>
      </c>
      <c r="B151" s="4" t="s">
        <v>92</v>
      </c>
      <c r="C151" s="4" t="s">
        <v>178</v>
      </c>
      <c r="D151" s="14">
        <v>6285.4376000000002</v>
      </c>
      <c r="E151" s="7">
        <v>6953668</v>
      </c>
      <c r="F151" s="14">
        <v>18927.592100000002</v>
      </c>
      <c r="G151" s="7">
        <v>21793593</v>
      </c>
      <c r="H151" s="14">
        <v>25213.029699999999</v>
      </c>
      <c r="I151" s="7">
        <v>28747261</v>
      </c>
      <c r="J151" s="22">
        <v>21</v>
      </c>
    </row>
    <row r="152" spans="1:10" x14ac:dyDescent="0.2">
      <c r="A152" s="8">
        <v>44470</v>
      </c>
      <c r="B152" s="4" t="s">
        <v>92</v>
      </c>
      <c r="C152" s="4" t="s">
        <v>179</v>
      </c>
      <c r="D152" s="14">
        <v>6878.7294000000002</v>
      </c>
      <c r="E152" s="7">
        <v>7316983</v>
      </c>
      <c r="F152" s="14">
        <v>22455.6535</v>
      </c>
      <c r="G152" s="7">
        <v>24507229</v>
      </c>
      <c r="H152" s="14">
        <v>29334.382900000001</v>
      </c>
      <c r="I152" s="7">
        <v>31824212</v>
      </c>
      <c r="J152" s="22">
        <v>20</v>
      </c>
    </row>
    <row r="153" spans="1:10" x14ac:dyDescent="0.2">
      <c r="A153" s="8">
        <v>44501</v>
      </c>
      <c r="B153" s="4" t="s">
        <v>92</v>
      </c>
      <c r="C153" s="4" t="s">
        <v>179</v>
      </c>
      <c r="D153" s="14">
        <v>6629.6228000000001</v>
      </c>
      <c r="E153" s="7">
        <v>7258451</v>
      </c>
      <c r="F153" s="14">
        <v>17685.571199999998</v>
      </c>
      <c r="G153" s="7">
        <v>23137882</v>
      </c>
      <c r="H153" s="14">
        <v>24315.194</v>
      </c>
      <c r="I153" s="7">
        <v>30396333</v>
      </c>
      <c r="J153" s="22">
        <v>20</v>
      </c>
    </row>
    <row r="154" spans="1:10" x14ac:dyDescent="0.2">
      <c r="A154" s="8">
        <v>44531</v>
      </c>
      <c r="B154" s="4" t="s">
        <v>92</v>
      </c>
      <c r="C154" s="4" t="s">
        <v>179</v>
      </c>
      <c r="D154" s="14">
        <v>7456.0032000000001</v>
      </c>
      <c r="E154" s="7">
        <v>8505901</v>
      </c>
      <c r="F154" s="14">
        <v>15795.961600000001</v>
      </c>
      <c r="G154" s="7">
        <v>21768924</v>
      </c>
      <c r="H154" s="14">
        <v>23251.964800000002</v>
      </c>
      <c r="I154" s="7">
        <v>30274825</v>
      </c>
      <c r="J154" s="22">
        <v>23</v>
      </c>
    </row>
    <row r="155" spans="1:10" x14ac:dyDescent="0.2">
      <c r="A155" s="8">
        <v>44562</v>
      </c>
      <c r="B155" s="4" t="s">
        <v>92</v>
      </c>
      <c r="C155" s="4" t="s">
        <v>180</v>
      </c>
      <c r="D155" s="14">
        <v>7616.7159000000001</v>
      </c>
      <c r="E155" s="7">
        <v>8371235</v>
      </c>
      <c r="F155" s="14">
        <v>17853.927899999999</v>
      </c>
      <c r="G155" s="7">
        <v>24537848</v>
      </c>
      <c r="H155" s="14">
        <v>25470.643800000002</v>
      </c>
      <c r="I155" s="7">
        <v>32909083</v>
      </c>
      <c r="J155" s="22">
        <v>20</v>
      </c>
    </row>
    <row r="156" spans="1:10" x14ac:dyDescent="0.2">
      <c r="A156" s="8">
        <v>44593</v>
      </c>
      <c r="B156" s="4" t="s">
        <v>92</v>
      </c>
      <c r="C156" s="4" t="s">
        <v>180</v>
      </c>
      <c r="D156" s="14">
        <v>9532.6152000000002</v>
      </c>
      <c r="E156" s="7">
        <v>10665167</v>
      </c>
      <c r="F156" s="14">
        <v>16848.836200000002</v>
      </c>
      <c r="G156" s="7">
        <v>23994909</v>
      </c>
      <c r="H156" s="14">
        <v>26381.451400000002</v>
      </c>
      <c r="I156" s="7">
        <v>34660076</v>
      </c>
      <c r="J156" s="22">
        <v>20</v>
      </c>
    </row>
    <row r="157" spans="1:10" x14ac:dyDescent="0.2">
      <c r="A157" s="8">
        <v>44621</v>
      </c>
      <c r="B157" s="4" t="s">
        <v>92</v>
      </c>
      <c r="C157" s="4" t="s">
        <v>180</v>
      </c>
      <c r="D157" s="14">
        <v>10190.9331</v>
      </c>
      <c r="E157" s="7">
        <v>11875220</v>
      </c>
      <c r="F157" s="14">
        <v>17471.366999999998</v>
      </c>
      <c r="G157" s="7">
        <v>25120110</v>
      </c>
      <c r="H157" s="14">
        <v>27662.3001</v>
      </c>
      <c r="I157" s="7">
        <v>36995330</v>
      </c>
      <c r="J157" s="22">
        <v>21</v>
      </c>
    </row>
    <row r="158" spans="1:10" x14ac:dyDescent="0.2">
      <c r="A158" s="8">
        <v>44652</v>
      </c>
      <c r="B158" s="4" t="s">
        <v>93</v>
      </c>
      <c r="C158" s="4" t="s">
        <v>181</v>
      </c>
      <c r="D158" s="14">
        <v>8225.2852999999996</v>
      </c>
      <c r="E158" s="7">
        <v>9169641</v>
      </c>
      <c r="F158" s="14">
        <v>16932.633399999999</v>
      </c>
      <c r="G158" s="7">
        <v>23328033</v>
      </c>
      <c r="H158" s="14">
        <v>25157.918699999998</v>
      </c>
      <c r="I158" s="7">
        <v>32497674</v>
      </c>
      <c r="J158" s="22">
        <v>19</v>
      </c>
    </row>
    <row r="159" spans="1:10" x14ac:dyDescent="0.2">
      <c r="A159" s="8">
        <v>44682</v>
      </c>
      <c r="B159" s="4" t="s">
        <v>93</v>
      </c>
      <c r="C159" s="4" t="s">
        <v>181</v>
      </c>
      <c r="D159" s="14">
        <v>9024.3150000000005</v>
      </c>
      <c r="E159" s="7">
        <v>10821703</v>
      </c>
      <c r="F159" s="14">
        <v>16488.304499999998</v>
      </c>
      <c r="G159" s="7">
        <v>26841230</v>
      </c>
      <c r="H159" s="14">
        <v>25512.619500000001</v>
      </c>
      <c r="I159" s="7">
        <v>37662933</v>
      </c>
      <c r="J159" s="22">
        <v>21</v>
      </c>
    </row>
    <row r="160" spans="1:10" x14ac:dyDescent="0.2">
      <c r="A160" s="8">
        <v>44713</v>
      </c>
      <c r="B160" s="4" t="s">
        <v>93</v>
      </c>
      <c r="C160" s="4" t="s">
        <v>181</v>
      </c>
      <c r="D160" s="14">
        <v>8493.0013999999992</v>
      </c>
      <c r="E160" s="7">
        <v>10419989</v>
      </c>
      <c r="F160" s="14">
        <v>14743.113799999999</v>
      </c>
      <c r="G160" s="7">
        <v>24698288</v>
      </c>
      <c r="H160" s="14">
        <v>23236.1152</v>
      </c>
      <c r="I160" s="7">
        <v>35118277</v>
      </c>
      <c r="J160" s="22">
        <v>22</v>
      </c>
    </row>
    <row r="161" spans="1:10" x14ac:dyDescent="0.2">
      <c r="A161" s="8">
        <v>44743</v>
      </c>
      <c r="B161" s="4" t="s">
        <v>93</v>
      </c>
      <c r="C161" s="4" t="s">
        <v>182</v>
      </c>
      <c r="D161" s="14">
        <v>7359.1478999999999</v>
      </c>
      <c r="E161" s="7">
        <v>8727699</v>
      </c>
      <c r="F161" s="14">
        <v>15638.4668</v>
      </c>
      <c r="G161" s="7">
        <v>24497021</v>
      </c>
      <c r="H161" s="14">
        <v>22997.614699999998</v>
      </c>
      <c r="I161" s="7">
        <v>33224720</v>
      </c>
      <c r="J161" s="22">
        <v>21</v>
      </c>
    </row>
    <row r="162" spans="1:10" x14ac:dyDescent="0.2">
      <c r="A162" s="8">
        <v>44774</v>
      </c>
      <c r="B162" s="4" t="s">
        <v>93</v>
      </c>
      <c r="C162" s="4" t="s">
        <v>182</v>
      </c>
      <c r="D162" s="14">
        <v>7435.3155999999999</v>
      </c>
      <c r="E162" s="7">
        <v>8116257</v>
      </c>
      <c r="F162" s="14">
        <v>16392.490300000001</v>
      </c>
      <c r="G162" s="7">
        <v>23281578</v>
      </c>
      <c r="H162" s="14">
        <v>23827.805899999999</v>
      </c>
      <c r="I162" s="7">
        <v>31397835</v>
      </c>
      <c r="J162" s="22">
        <v>20</v>
      </c>
    </row>
    <row r="163" spans="1:10" x14ac:dyDescent="0.2">
      <c r="A163" s="8">
        <v>44805</v>
      </c>
      <c r="B163" s="4" t="s">
        <v>93</v>
      </c>
      <c r="C163" s="4" t="s">
        <v>182</v>
      </c>
      <c r="D163" s="14">
        <v>9349.1234000000004</v>
      </c>
      <c r="E163" s="7">
        <v>10068930</v>
      </c>
      <c r="F163" s="14">
        <v>18515.1093</v>
      </c>
      <c r="G163" s="7">
        <v>25898208</v>
      </c>
      <c r="H163" s="14">
        <v>27864.2327</v>
      </c>
      <c r="I163" s="7">
        <v>35967138</v>
      </c>
      <c r="J163" s="22">
        <v>22</v>
      </c>
    </row>
    <row r="164" spans="1:10" x14ac:dyDescent="0.2">
      <c r="A164" s="8">
        <v>44835</v>
      </c>
      <c r="B164" s="4" t="s">
        <v>93</v>
      </c>
      <c r="C164" s="4" t="s">
        <v>183</v>
      </c>
      <c r="D164" s="14">
        <v>7189.6085999999996</v>
      </c>
      <c r="E164" s="7">
        <v>7767856</v>
      </c>
      <c r="F164" s="14">
        <v>14831.1549</v>
      </c>
      <c r="G164" s="7">
        <v>21004703</v>
      </c>
      <c r="H164" s="14">
        <v>22020.763500000001</v>
      </c>
      <c r="I164" s="7">
        <v>28772559</v>
      </c>
      <c r="J164" s="22">
        <v>19</v>
      </c>
    </row>
    <row r="165" spans="1:10" x14ac:dyDescent="0.2">
      <c r="A165" s="8">
        <v>44866</v>
      </c>
      <c r="B165" s="4" t="s">
        <v>93</v>
      </c>
      <c r="C165" s="4" t="s">
        <v>183</v>
      </c>
      <c r="D165" s="14">
        <v>6187.4250000000002</v>
      </c>
      <c r="E165" s="7">
        <v>6325491</v>
      </c>
      <c r="F165" s="14">
        <v>16362.0569</v>
      </c>
      <c r="G165" s="7">
        <v>23619943</v>
      </c>
      <c r="H165" s="14">
        <v>22549.481899999999</v>
      </c>
      <c r="I165" s="7">
        <v>29945434</v>
      </c>
      <c r="J165" s="22">
        <v>21</v>
      </c>
    </row>
    <row r="166" spans="1:10" x14ac:dyDescent="0.2">
      <c r="A166" s="8">
        <v>44896</v>
      </c>
      <c r="B166" s="4" t="s">
        <v>93</v>
      </c>
      <c r="C166" s="4" t="s">
        <v>183</v>
      </c>
      <c r="D166" s="14">
        <v>7527.2215999999999</v>
      </c>
      <c r="E166" s="7">
        <v>7630570</v>
      </c>
      <c r="F166" s="14">
        <v>15415.668900000001</v>
      </c>
      <c r="G166" s="7">
        <v>22101213</v>
      </c>
      <c r="H166" s="14">
        <v>22942.890500000001</v>
      </c>
      <c r="I166" s="7">
        <v>29731783</v>
      </c>
      <c r="J166" s="22">
        <v>22</v>
      </c>
    </row>
    <row r="167" spans="1:10" x14ac:dyDescent="0.2">
      <c r="A167" s="8">
        <v>44927</v>
      </c>
      <c r="B167" s="4" t="s">
        <v>93</v>
      </c>
      <c r="C167" s="4" t="s">
        <v>184</v>
      </c>
      <c r="D167" s="14">
        <v>7907.5727999999999</v>
      </c>
      <c r="E167" s="7">
        <v>8155396</v>
      </c>
      <c r="F167" s="14">
        <v>15940.9419</v>
      </c>
      <c r="G167" s="7">
        <v>23004032</v>
      </c>
      <c r="H167" s="14">
        <v>23848.5147</v>
      </c>
      <c r="I167" s="7">
        <v>31159428</v>
      </c>
      <c r="J167" s="22">
        <v>21</v>
      </c>
    </row>
    <row r="168" spans="1:10" x14ac:dyDescent="0.2">
      <c r="A168" s="8">
        <v>44958</v>
      </c>
      <c r="B168" s="4" t="s">
        <v>93</v>
      </c>
      <c r="C168" s="4" t="s">
        <v>184</v>
      </c>
      <c r="D168" s="14">
        <v>7761.7943999999998</v>
      </c>
      <c r="E168" s="7">
        <v>8116335</v>
      </c>
      <c r="F168" s="14">
        <v>15181.9146</v>
      </c>
      <c r="G168" s="7">
        <v>23551012</v>
      </c>
      <c r="H168" s="14">
        <v>22943.708999999999</v>
      </c>
      <c r="I168" s="7">
        <v>31667347</v>
      </c>
      <c r="J168" s="22">
        <v>20</v>
      </c>
    </row>
    <row r="169" spans="1:10" x14ac:dyDescent="0.2">
      <c r="A169" s="8">
        <v>44986</v>
      </c>
      <c r="B169" s="4" t="s">
        <v>93</v>
      </c>
      <c r="C169" s="4" t="s">
        <v>184</v>
      </c>
      <c r="D169" s="14">
        <v>8747.0360999999994</v>
      </c>
      <c r="E169" s="7">
        <v>9417515</v>
      </c>
      <c r="F169" s="14">
        <v>14281.188399999999</v>
      </c>
      <c r="G169" s="7">
        <v>22301080</v>
      </c>
      <c r="H169" s="14">
        <v>23028.2245</v>
      </c>
      <c r="I169" s="7">
        <v>31718595</v>
      </c>
      <c r="J169" s="22">
        <v>21</v>
      </c>
    </row>
    <row r="170" spans="1:10" x14ac:dyDescent="0.2">
      <c r="A170" s="8">
        <v>45017</v>
      </c>
      <c r="B170" s="4" t="s">
        <v>94</v>
      </c>
      <c r="C170" s="4" t="s">
        <v>185</v>
      </c>
      <c r="D170" s="14">
        <v>4874.9474</v>
      </c>
      <c r="E170" s="7">
        <v>5082257</v>
      </c>
      <c r="F170" s="14">
        <v>12698.7256</v>
      </c>
      <c r="G170" s="7">
        <v>19058084</v>
      </c>
      <c r="H170" s="14">
        <v>17573.672999999999</v>
      </c>
      <c r="I170" s="7">
        <v>24140341</v>
      </c>
      <c r="J170" s="22">
        <v>17</v>
      </c>
    </row>
    <row r="171" spans="1:10" x14ac:dyDescent="0.2">
      <c r="A171" s="8">
        <v>45047</v>
      </c>
      <c r="B171" s="4" t="s">
        <v>94</v>
      </c>
      <c r="C171" s="4" t="s">
        <v>185</v>
      </c>
      <c r="D171" s="14">
        <v>6020.9759999999997</v>
      </c>
      <c r="E171" s="7">
        <v>6084544</v>
      </c>
      <c r="F171" s="14">
        <v>16961.1008</v>
      </c>
      <c r="G171" s="7">
        <v>24176401</v>
      </c>
      <c r="H171" s="14">
        <v>22982.076799999999</v>
      </c>
      <c r="I171" s="7">
        <v>30260945</v>
      </c>
      <c r="J171" s="22">
        <v>22</v>
      </c>
    </row>
    <row r="172" spans="1:10" x14ac:dyDescent="0.2">
      <c r="A172" s="8">
        <v>45078</v>
      </c>
      <c r="B172" s="4" t="s">
        <v>94</v>
      </c>
      <c r="C172" s="4" t="s">
        <v>185</v>
      </c>
      <c r="D172" s="14">
        <v>5178.8374999999996</v>
      </c>
      <c r="E172" s="7">
        <v>5378134</v>
      </c>
      <c r="F172" s="14">
        <v>16701.329900000001</v>
      </c>
      <c r="G172" s="7">
        <v>22752312</v>
      </c>
      <c r="H172" s="14">
        <v>21880.167399999998</v>
      </c>
      <c r="I172" s="7">
        <v>28130446</v>
      </c>
      <c r="J172" s="22">
        <v>21</v>
      </c>
    </row>
    <row r="173" spans="1:10" x14ac:dyDescent="0.2">
      <c r="A173" s="8">
        <v>45108</v>
      </c>
      <c r="B173" s="4" t="s">
        <v>94</v>
      </c>
      <c r="C173" s="4" t="s">
        <v>186</v>
      </c>
      <c r="D173" s="14">
        <v>5884.4494000000004</v>
      </c>
      <c r="E173" s="7">
        <v>7246335</v>
      </c>
      <c r="F173" s="14">
        <v>19966.406500000001</v>
      </c>
      <c r="G173" s="7">
        <v>25789311</v>
      </c>
      <c r="H173" s="14">
        <v>25850.855899999999</v>
      </c>
      <c r="I173" s="7">
        <v>33035646</v>
      </c>
      <c r="J173" s="22">
        <v>21</v>
      </c>
    </row>
    <row r="174" spans="1:10" x14ac:dyDescent="0.2">
      <c r="A174" s="8">
        <v>45139</v>
      </c>
      <c r="B174" s="4" t="s">
        <v>94</v>
      </c>
      <c r="C174" s="4" t="s">
        <v>186</v>
      </c>
      <c r="D174" s="14">
        <v>6106.5811000000003</v>
      </c>
      <c r="E174" s="7">
        <v>7739042</v>
      </c>
      <c r="F174" s="14">
        <v>19729.655999999999</v>
      </c>
      <c r="G174" s="7">
        <v>25101154</v>
      </c>
      <c r="H174" s="14">
        <v>25836.237099999998</v>
      </c>
      <c r="I174" s="7">
        <v>32840196</v>
      </c>
      <c r="J174" s="22">
        <v>22</v>
      </c>
    </row>
    <row r="175" spans="1:10" x14ac:dyDescent="0.2">
      <c r="A175" s="8">
        <v>45170</v>
      </c>
      <c r="B175" s="4" t="s">
        <v>94</v>
      </c>
      <c r="C175" s="4" t="s">
        <v>186</v>
      </c>
      <c r="D175" s="14">
        <v>5504.4993000000004</v>
      </c>
      <c r="E175" s="7">
        <v>6817782</v>
      </c>
      <c r="F175" s="14">
        <v>20394.944100000001</v>
      </c>
      <c r="G175" s="7">
        <v>24874901</v>
      </c>
      <c r="H175" s="14">
        <v>25899.4434</v>
      </c>
      <c r="I175" s="7">
        <v>31692683</v>
      </c>
      <c r="J175" s="22">
        <v>20</v>
      </c>
    </row>
    <row r="176" spans="1:10" x14ac:dyDescent="0.2">
      <c r="A176" s="8">
        <v>45200</v>
      </c>
      <c r="B176" s="4" t="s">
        <v>94</v>
      </c>
      <c r="C176" s="4" t="s">
        <v>187</v>
      </c>
      <c r="D176" s="14">
        <v>5042.6516000000001</v>
      </c>
      <c r="E176" s="7">
        <v>6291425</v>
      </c>
      <c r="F176" s="14">
        <v>18940.175500000001</v>
      </c>
      <c r="G176" s="7">
        <v>24145318</v>
      </c>
      <c r="H176" s="14">
        <v>23982.827099999999</v>
      </c>
      <c r="I176" s="7">
        <v>30436743</v>
      </c>
      <c r="J176" s="22">
        <v>20</v>
      </c>
    </row>
    <row r="177" spans="1:10" x14ac:dyDescent="0.2">
      <c r="A177" s="8">
        <v>45231</v>
      </c>
      <c r="B177" s="4" t="s">
        <v>94</v>
      </c>
      <c r="C177" s="4" t="s">
        <v>187</v>
      </c>
      <c r="D177" s="14">
        <v>4775.9268000000002</v>
      </c>
      <c r="E177" s="7">
        <v>5995898</v>
      </c>
      <c r="F177" s="14">
        <v>19271.213400000001</v>
      </c>
      <c r="G177" s="7">
        <v>26329372</v>
      </c>
      <c r="H177" s="14">
        <v>24047.140200000002</v>
      </c>
      <c r="I177" s="7">
        <v>32325270</v>
      </c>
      <c r="J177" s="22"/>
    </row>
    <row r="178" spans="1:10" x14ac:dyDescent="0.2">
      <c r="A178" s="8">
        <v>45261</v>
      </c>
      <c r="B178" s="4" t="s">
        <v>94</v>
      </c>
      <c r="C178" s="4" t="s">
        <v>187</v>
      </c>
      <c r="D178" s="14">
        <v>6645.2386999999999</v>
      </c>
      <c r="E178" s="7">
        <v>7559117</v>
      </c>
      <c r="F178" s="14">
        <v>25241.069500000001</v>
      </c>
      <c r="G178" s="7">
        <v>31767139</v>
      </c>
      <c r="H178" s="14">
        <v>31886.308199999999</v>
      </c>
      <c r="I178" s="7">
        <v>39326256</v>
      </c>
      <c r="J178" s="22">
        <v>20</v>
      </c>
    </row>
    <row r="179" spans="1:10" x14ac:dyDescent="0.2">
      <c r="A179" s="8">
        <v>45292</v>
      </c>
      <c r="B179" s="4" t="s">
        <v>94</v>
      </c>
      <c r="C179" s="4" t="s">
        <v>188</v>
      </c>
      <c r="D179" s="14">
        <v>8486.2882000000009</v>
      </c>
      <c r="E179" s="7">
        <v>9753552</v>
      </c>
      <c r="F179" s="14">
        <v>29412.305799999998</v>
      </c>
      <c r="G179" s="7">
        <v>35976743</v>
      </c>
      <c r="H179" s="14">
        <v>37898.593999999997</v>
      </c>
      <c r="I179" s="7">
        <v>45730295</v>
      </c>
      <c r="J179" s="22">
        <v>22</v>
      </c>
    </row>
    <row r="180" spans="1:10" x14ac:dyDescent="0.2">
      <c r="A180" s="8">
        <v>45323</v>
      </c>
      <c r="B180" s="4" t="s">
        <v>94</v>
      </c>
      <c r="C180" s="4" t="s">
        <v>188</v>
      </c>
      <c r="D180" s="14">
        <v>8393.6105000000007</v>
      </c>
      <c r="E180" s="7">
        <v>9709411</v>
      </c>
      <c r="F180" s="14">
        <v>29699.094000000001</v>
      </c>
      <c r="G180" s="7">
        <v>34519312</v>
      </c>
      <c r="H180" s="14">
        <v>38092.7045</v>
      </c>
      <c r="I180" s="7">
        <v>44228723</v>
      </c>
      <c r="J180" s="22">
        <v>21</v>
      </c>
    </row>
    <row r="181" spans="1:10" x14ac:dyDescent="0.2">
      <c r="A181" s="8">
        <v>45352</v>
      </c>
      <c r="B181" s="4" t="s">
        <v>94</v>
      </c>
      <c r="C181" s="4" t="s">
        <v>188</v>
      </c>
      <c r="D181" s="14">
        <v>7257.1652000000004</v>
      </c>
      <c r="E181" s="7">
        <v>8168692</v>
      </c>
      <c r="F181" s="14">
        <v>26453.644700000001</v>
      </c>
      <c r="G181" s="7">
        <v>30910081</v>
      </c>
      <c r="H181" s="14">
        <v>33710.8099</v>
      </c>
      <c r="I181" s="7">
        <v>39078773</v>
      </c>
      <c r="J181" s="22">
        <v>19</v>
      </c>
    </row>
    <row r="182" spans="1:10" x14ac:dyDescent="0.2">
      <c r="A182" s="8">
        <v>45383</v>
      </c>
      <c r="B182" s="4" t="s">
        <v>95</v>
      </c>
      <c r="C182" s="4" t="s">
        <v>189</v>
      </c>
      <c r="D182" s="14">
        <v>6930.6383999999998</v>
      </c>
      <c r="E182" s="7">
        <v>7887086</v>
      </c>
      <c r="F182" s="14">
        <v>31589.1505</v>
      </c>
      <c r="G182" s="7">
        <v>36869594</v>
      </c>
      <c r="H182" s="14">
        <v>38519.7889</v>
      </c>
      <c r="I182" s="7">
        <v>44756680</v>
      </c>
      <c r="J182" s="22">
        <v>20</v>
      </c>
    </row>
    <row r="183" spans="1:10" x14ac:dyDescent="0.2">
      <c r="A183" s="8">
        <v>45413</v>
      </c>
      <c r="B183" s="4" t="s">
        <v>95</v>
      </c>
      <c r="C183" s="4" t="s">
        <v>189</v>
      </c>
      <c r="D183" s="14">
        <v>8066.5231000000003</v>
      </c>
      <c r="E183" s="7">
        <v>12867642</v>
      </c>
      <c r="F183" s="14">
        <v>34644.298900000002</v>
      </c>
      <c r="G183" s="7">
        <v>44730139</v>
      </c>
      <c r="H183" s="14">
        <v>42710.822</v>
      </c>
      <c r="I183" s="7">
        <v>57597781</v>
      </c>
      <c r="J183" s="22">
        <v>22</v>
      </c>
    </row>
    <row r="184" spans="1:10" x14ac:dyDescent="0.2">
      <c r="A184" s="8">
        <v>45444</v>
      </c>
      <c r="B184" s="4" t="s">
        <v>95</v>
      </c>
      <c r="C184" s="4" t="s">
        <v>189</v>
      </c>
      <c r="D184" s="14">
        <v>9833.4444999999996</v>
      </c>
      <c r="E184" s="7">
        <v>15202595</v>
      </c>
      <c r="F184" s="14">
        <v>36625.284099999997</v>
      </c>
      <c r="G184" s="7">
        <v>46464820</v>
      </c>
      <c r="H184" s="14">
        <v>46458.728600000002</v>
      </c>
      <c r="I184" s="7">
        <v>61667415</v>
      </c>
      <c r="J184" s="22"/>
    </row>
    <row r="185" spans="1:10" x14ac:dyDescent="0.2">
      <c r="A185" s="8">
        <v>45474</v>
      </c>
      <c r="B185" s="4" t="s">
        <v>95</v>
      </c>
      <c r="C185" s="4" t="s">
        <v>190</v>
      </c>
      <c r="D185" s="14">
        <v>8251.0439000000006</v>
      </c>
      <c r="E185" s="7">
        <v>12229978</v>
      </c>
      <c r="F185" s="14">
        <v>38317.301200000002</v>
      </c>
      <c r="G185" s="7">
        <v>48460564</v>
      </c>
      <c r="H185" s="14">
        <v>46568.345099999999</v>
      </c>
      <c r="I185" s="7">
        <v>60690542</v>
      </c>
      <c r="J185" s="22">
        <v>22</v>
      </c>
    </row>
    <row r="186" spans="1:10" x14ac:dyDescent="0.2">
      <c r="A186" s="8">
        <v>45505</v>
      </c>
      <c r="B186" s="4" t="s">
        <v>95</v>
      </c>
      <c r="C186" s="4" t="s">
        <v>190</v>
      </c>
      <c r="D186" s="14">
        <v>7528.8312999999998</v>
      </c>
      <c r="E186" s="7">
        <v>11319796</v>
      </c>
      <c r="F186" s="14">
        <v>33662.290999999997</v>
      </c>
      <c r="G186" s="7">
        <v>42081269</v>
      </c>
      <c r="H186" s="14">
        <v>41191.122300000003</v>
      </c>
      <c r="I186" s="7">
        <v>53401065</v>
      </c>
      <c r="J186" s="22">
        <v>21</v>
      </c>
    </row>
    <row r="187" spans="1:10" x14ac:dyDescent="0.2">
      <c r="A187" s="8">
        <v>45536</v>
      </c>
      <c r="B187" s="4" t="s">
        <v>95</v>
      </c>
      <c r="C187" s="4" t="s">
        <v>190</v>
      </c>
      <c r="D187" s="14">
        <v>7126.5923000000003</v>
      </c>
      <c r="E187" s="7">
        <v>10390629</v>
      </c>
      <c r="F187" s="14">
        <v>34147.791799999999</v>
      </c>
      <c r="G187" s="7">
        <v>41850671</v>
      </c>
      <c r="H187" s="14">
        <v>41274.384100000003</v>
      </c>
      <c r="I187" s="7">
        <v>52241300</v>
      </c>
      <c r="J187" s="22">
        <v>21</v>
      </c>
    </row>
    <row r="188" spans="1:10" x14ac:dyDescent="0.2">
      <c r="A188" s="8">
        <v>45566</v>
      </c>
      <c r="B188" s="4" t="s">
        <v>95</v>
      </c>
      <c r="C188" s="4" t="s">
        <v>191</v>
      </c>
      <c r="D188" s="14">
        <v>7612.1763000000001</v>
      </c>
      <c r="E188" s="7">
        <v>11266376</v>
      </c>
      <c r="F188" s="14">
        <v>33431.531900000002</v>
      </c>
      <c r="G188" s="7">
        <v>42664639</v>
      </c>
      <c r="H188" s="14">
        <v>41043.708200000001</v>
      </c>
      <c r="I188" s="7">
        <v>53931015</v>
      </c>
      <c r="J188" s="22">
        <v>22</v>
      </c>
    </row>
    <row r="189" spans="1:10" x14ac:dyDescent="0.2">
      <c r="A189" s="8">
        <v>45597</v>
      </c>
      <c r="B189" s="4" t="s">
        <v>95</v>
      </c>
      <c r="C189" s="4" t="s">
        <v>191</v>
      </c>
      <c r="D189" s="14">
        <v>6343.68</v>
      </c>
      <c r="E189" s="7">
        <v>9684443</v>
      </c>
      <c r="F189" s="14">
        <v>26164.070299999999</v>
      </c>
      <c r="G189" s="7">
        <v>39824467</v>
      </c>
      <c r="H189" s="14">
        <v>32507.7503</v>
      </c>
      <c r="I189" s="7">
        <v>49508910</v>
      </c>
      <c r="J189" s="22">
        <v>19</v>
      </c>
    </row>
    <row r="190" spans="1:10" x14ac:dyDescent="0.2">
      <c r="A190" s="8">
        <v>45627</v>
      </c>
      <c r="B190" s="4" t="s">
        <v>95</v>
      </c>
      <c r="C190" s="4" t="s">
        <v>191</v>
      </c>
      <c r="D190" s="14">
        <v>6334.4387999999999</v>
      </c>
      <c r="E190" s="7">
        <v>9342927</v>
      </c>
      <c r="F190" s="14">
        <v>26645.686699999998</v>
      </c>
      <c r="G190" s="7">
        <v>40853904</v>
      </c>
      <c r="H190" s="14">
        <v>32980.125500000002</v>
      </c>
      <c r="I190" s="7">
        <v>50196831</v>
      </c>
      <c r="J190" s="22">
        <v>21</v>
      </c>
    </row>
    <row r="191" spans="1:10" x14ac:dyDescent="0.2">
      <c r="A191" s="8">
        <v>45658</v>
      </c>
      <c r="B191" s="4" t="s">
        <v>95</v>
      </c>
      <c r="C191" s="4" t="s">
        <v>192</v>
      </c>
      <c r="D191" s="14">
        <v>7146.2808000000005</v>
      </c>
      <c r="E191" s="7">
        <v>9440628</v>
      </c>
      <c r="F191" s="14">
        <v>30798.451400000002</v>
      </c>
      <c r="G191" s="7">
        <v>50459408</v>
      </c>
      <c r="H191" s="14">
        <v>37944.732199999999</v>
      </c>
      <c r="I191" s="7">
        <v>59900036</v>
      </c>
      <c r="J191" s="22">
        <v>23</v>
      </c>
    </row>
    <row r="192" spans="1:10" x14ac:dyDescent="0.2">
      <c r="A192" s="8">
        <v>45689</v>
      </c>
      <c r="B192" s="4" t="s">
        <v>95</v>
      </c>
      <c r="C192" s="4" t="s">
        <v>192</v>
      </c>
      <c r="D192" s="14">
        <v>6485.0596999999998</v>
      </c>
      <c r="E192" s="7">
        <v>4000954</v>
      </c>
      <c r="F192" s="14">
        <v>25441.9683</v>
      </c>
      <c r="G192" s="7">
        <v>43462180</v>
      </c>
      <c r="H192" s="14">
        <v>31927.027999999998</v>
      </c>
      <c r="I192" s="7">
        <v>47463134</v>
      </c>
      <c r="J192" s="22">
        <v>20</v>
      </c>
    </row>
    <row r="193" spans="1:10" x14ac:dyDescent="0.2">
      <c r="A193" s="8">
        <v>45717</v>
      </c>
      <c r="B193" s="4" t="s">
        <v>95</v>
      </c>
      <c r="C193" s="4" t="s">
        <v>192</v>
      </c>
      <c r="D193" s="14">
        <v>5862.1832000000004</v>
      </c>
      <c r="E193" s="7">
        <v>3594949</v>
      </c>
      <c r="F193" s="14">
        <v>23905.87</v>
      </c>
      <c r="G193" s="7">
        <v>41119108</v>
      </c>
      <c r="H193" s="14">
        <v>29768.053199999998</v>
      </c>
      <c r="I193" s="7">
        <v>44714057</v>
      </c>
      <c r="J193" s="22">
        <v>19</v>
      </c>
    </row>
    <row r="194" spans="1:10" x14ac:dyDescent="0.2">
      <c r="A194" s="8">
        <v>45748</v>
      </c>
      <c r="B194" s="4" t="s">
        <v>96</v>
      </c>
      <c r="C194" s="4" t="s">
        <v>193</v>
      </c>
      <c r="D194" s="14">
        <v>7168.6010999999999</v>
      </c>
      <c r="E194" s="7">
        <v>4246508</v>
      </c>
      <c r="F194" s="14">
        <v>26600.147799999999</v>
      </c>
      <c r="G194" s="7">
        <v>44175607</v>
      </c>
      <c r="H194" s="14">
        <v>33768.748899999999</v>
      </c>
      <c r="I194" s="7">
        <v>48422115</v>
      </c>
      <c r="J194" s="22">
        <v>19</v>
      </c>
    </row>
    <row r="195" spans="1:10" x14ac:dyDescent="0.2">
      <c r="A195" s="8">
        <v>45778</v>
      </c>
      <c r="B195" s="4" t="s">
        <v>96</v>
      </c>
      <c r="C195" s="4" t="s">
        <v>193</v>
      </c>
      <c r="D195" s="14">
        <v>8022.0959000000003</v>
      </c>
      <c r="E195" s="7">
        <v>4497562</v>
      </c>
      <c r="F195" s="14">
        <v>27315.530200000001</v>
      </c>
      <c r="G195" s="7">
        <v>43512577</v>
      </c>
      <c r="H195" s="14">
        <v>35337.626100000001</v>
      </c>
      <c r="I195" s="7">
        <v>48010139</v>
      </c>
      <c r="J195" s="22">
        <v>21</v>
      </c>
    </row>
    <row r="196" spans="1:10" x14ac:dyDescent="0.2">
      <c r="A196" s="8">
        <v>45809</v>
      </c>
      <c r="B196" s="4" t="s">
        <v>96</v>
      </c>
      <c r="C196" s="4" t="s">
        <v>193</v>
      </c>
      <c r="D196" s="14">
        <v>6627.5558000000001</v>
      </c>
      <c r="E196" s="7">
        <v>3606028</v>
      </c>
      <c r="F196" s="14">
        <v>27008.1479</v>
      </c>
      <c r="G196" s="7">
        <v>40816778</v>
      </c>
      <c r="H196" s="14">
        <v>33635.703699999998</v>
      </c>
      <c r="I196" s="7">
        <v>44422806</v>
      </c>
      <c r="J196" s="22">
        <v>21</v>
      </c>
    </row>
    <row r="197" spans="1:10" x14ac:dyDescent="0.2">
      <c r="A197" s="8">
        <v>45839</v>
      </c>
      <c r="B197" s="4" t="s">
        <v>96</v>
      </c>
      <c r="C197" s="4" t="s">
        <v>194</v>
      </c>
      <c r="D197" s="14">
        <v>5501.7933000000003</v>
      </c>
      <c r="E197" s="7">
        <v>2875836</v>
      </c>
      <c r="F197" s="14">
        <v>26529.7611</v>
      </c>
      <c r="G197" s="7">
        <v>38437607</v>
      </c>
      <c r="H197" s="14">
        <v>32031.554400000001</v>
      </c>
      <c r="I197" s="7">
        <v>41313443</v>
      </c>
      <c r="J197" s="22">
        <v>23</v>
      </c>
    </row>
    <row r="198" spans="1:10" x14ac:dyDescent="0.2">
      <c r="A198" s="8">
        <v>45870</v>
      </c>
      <c r="B198" s="4" t="s">
        <v>96</v>
      </c>
      <c r="C198" s="4" t="s">
        <v>194</v>
      </c>
      <c r="D198" s="14">
        <v>4999.7296999999999</v>
      </c>
      <c r="E198" s="7">
        <v>2666904</v>
      </c>
      <c r="F198" s="14">
        <v>22998.754099999998</v>
      </c>
      <c r="G198" s="7">
        <v>33797781</v>
      </c>
      <c r="H198" s="14">
        <v>27998.483800000002</v>
      </c>
      <c r="I198" s="7">
        <v>36464685</v>
      </c>
      <c r="J198" s="22">
        <v>19</v>
      </c>
    </row>
    <row r="199" spans="1:10" x14ac:dyDescent="0.2">
      <c r="A199" s="8">
        <v>45901</v>
      </c>
      <c r="B199" s="4" t="s">
        <v>96</v>
      </c>
      <c r="C199" s="4" t="s">
        <v>194</v>
      </c>
      <c r="D199" s="14">
        <v>5033.6214</v>
      </c>
      <c r="E199" s="7">
        <v>2671885</v>
      </c>
      <c r="F199" s="14">
        <v>25203.391100000001</v>
      </c>
      <c r="G199" s="7">
        <v>36562055</v>
      </c>
      <c r="H199" s="14">
        <v>30237.012500000001</v>
      </c>
      <c r="I199" s="7">
        <v>39233940</v>
      </c>
      <c r="J199" s="22">
        <v>22</v>
      </c>
    </row>
    <row r="200" spans="1:10" x14ac:dyDescent="0.2">
      <c r="A200" s="8">
        <v>45931</v>
      </c>
      <c r="B200" s="4" t="s">
        <v>96</v>
      </c>
      <c r="C200" s="4" t="s">
        <v>195</v>
      </c>
      <c r="D200" s="14">
        <v>5870.6063999999997</v>
      </c>
      <c r="E200" s="7">
        <v>3020613</v>
      </c>
      <c r="F200" s="14">
        <v>27117.8109</v>
      </c>
      <c r="G200" s="7">
        <v>38400573</v>
      </c>
      <c r="H200" s="14">
        <v>32988.417300000001</v>
      </c>
      <c r="I200" s="7">
        <v>41421186</v>
      </c>
      <c r="J200" s="22">
        <v>21</v>
      </c>
    </row>
    <row r="201" spans="1:10" x14ac:dyDescent="0.2">
      <c r="A201" s="8">
        <v>45962</v>
      </c>
      <c r="B201" s="4" t="s">
        <v>96</v>
      </c>
      <c r="C201" s="4" t="s">
        <v>195</v>
      </c>
      <c r="D201" s="14">
        <v>5236.0865999999996</v>
      </c>
      <c r="E201" s="7">
        <v>2661141</v>
      </c>
      <c r="F201" s="14">
        <v>24951.172600000002</v>
      </c>
      <c r="G201" s="7">
        <v>36368472</v>
      </c>
      <c r="H201" s="14">
        <v>30187.2592</v>
      </c>
      <c r="I201" s="7">
        <v>39029613</v>
      </c>
      <c r="J201" s="22">
        <v>19</v>
      </c>
    </row>
    <row r="202" spans="1:10" x14ac:dyDescent="0.2">
      <c r="A202" s="8">
        <v>45992</v>
      </c>
      <c r="B202" s="4" t="s">
        <v>96</v>
      </c>
      <c r="C202" s="4" t="s">
        <v>195</v>
      </c>
      <c r="D202" s="14">
        <v>5259.5144</v>
      </c>
      <c r="E202" s="7">
        <v>2745526</v>
      </c>
      <c r="F202" s="14">
        <v>25645.965800000002</v>
      </c>
      <c r="G202" s="7">
        <v>37519925</v>
      </c>
      <c r="H202" s="14">
        <v>30905.480200000002</v>
      </c>
      <c r="I202" s="7">
        <v>40265451</v>
      </c>
      <c r="J202" s="22">
        <v>22</v>
      </c>
    </row>
    <row r="203" spans="1:10" x14ac:dyDescent="0.2">
      <c r="A203" s="8">
        <v>46023</v>
      </c>
      <c r="B203" s="4" t="s">
        <v>96</v>
      </c>
      <c r="C203" s="4" t="s">
        <v>196</v>
      </c>
      <c r="D203" s="14">
        <v>5823.9159</v>
      </c>
      <c r="E203" s="7">
        <v>3451231</v>
      </c>
      <c r="F203" s="14">
        <v>30306.573400000001</v>
      </c>
      <c r="G203" s="7">
        <v>45017467</v>
      </c>
      <c r="H203" s="14">
        <v>36130.489300000001</v>
      </c>
      <c r="I203" s="7">
        <v>48468698</v>
      </c>
      <c r="J203" s="22">
        <v>20</v>
      </c>
    </row>
    <row r="204" spans="1:10" x14ac:dyDescent="0.2">
      <c r="A204" s="8">
        <v>46054</v>
      </c>
      <c r="B204" s="4" t="s">
        <v>96</v>
      </c>
      <c r="C204" s="4" t="s">
        <v>196</v>
      </c>
      <c r="D204" s="14">
        <v>6049.3842000000004</v>
      </c>
      <c r="E204" s="7">
        <v>3562565</v>
      </c>
      <c r="F204" s="14">
        <v>29592.7264</v>
      </c>
      <c r="G204" s="7">
        <v>44101611</v>
      </c>
      <c r="H204" s="14">
        <v>35642.1106</v>
      </c>
      <c r="I204" s="7">
        <v>47664176</v>
      </c>
      <c r="J204" s="22">
        <v>21</v>
      </c>
    </row>
    <row r="205" spans="1:10" x14ac:dyDescent="0.2">
      <c r="A205" s="8">
        <v>46082</v>
      </c>
      <c r="B205" s="4" t="s">
        <v>96</v>
      </c>
      <c r="C205" s="4" t="s">
        <v>196</v>
      </c>
      <c r="D205" s="14">
        <v>7869.4224999999997</v>
      </c>
      <c r="E205" s="7">
        <v>5050759</v>
      </c>
      <c r="F205" s="14">
        <v>27092.427899999999</v>
      </c>
      <c r="G205" s="7">
        <v>43771113</v>
      </c>
      <c r="H205" s="14">
        <v>34961.850400000003</v>
      </c>
      <c r="I205" s="7">
        <v>48821872</v>
      </c>
      <c r="J205" s="22">
        <v>19</v>
      </c>
    </row>
    <row r="206" spans="1:10" x14ac:dyDescent="0.2">
      <c r="A206" s="8">
        <v>46113</v>
      </c>
      <c r="B206" s="4" t="s">
        <v>97</v>
      </c>
      <c r="C206" s="4" t="s">
        <v>197</v>
      </c>
      <c r="D206" s="14">
        <v>5213.4340000000002</v>
      </c>
      <c r="E206" s="7">
        <v>3302404</v>
      </c>
      <c r="F206" s="14">
        <v>26240.855599999999</v>
      </c>
      <c r="G206" s="7">
        <v>40834769</v>
      </c>
      <c r="H206" s="14">
        <v>31454.2896</v>
      </c>
      <c r="I206" s="7">
        <v>44137173</v>
      </c>
      <c r="J206" s="22">
        <v>20</v>
      </c>
    </row>
    <row r="207" spans="1:10" x14ac:dyDescent="0.2">
      <c r="A207" s="8">
        <v>46143</v>
      </c>
      <c r="B207" s="4" t="s">
        <v>97</v>
      </c>
      <c r="C207" s="4" t="s">
        <v>197</v>
      </c>
      <c r="D207" s="14">
        <v>4407.5164000000004</v>
      </c>
      <c r="E207" s="7">
        <v>2780732</v>
      </c>
      <c r="F207" s="14">
        <v>25563.128199999999</v>
      </c>
      <c r="G207" s="7">
        <v>39385858</v>
      </c>
      <c r="H207" s="14">
        <v>29970.6446</v>
      </c>
      <c r="I207" s="7">
        <v>42166590</v>
      </c>
      <c r="J207" s="22">
        <v>19</v>
      </c>
    </row>
    <row r="208" spans="1:10" x14ac:dyDescent="0.2">
      <c r="A208" s="8">
        <v>46174</v>
      </c>
      <c r="B208" s="4" t="s">
        <v>97</v>
      </c>
      <c r="C208" s="4" t="s">
        <v>197</v>
      </c>
      <c r="D208" s="14">
        <v>4753.5378000000001</v>
      </c>
      <c r="E208" s="7">
        <v>2980532</v>
      </c>
      <c r="F208" s="14">
        <v>25668.866000000002</v>
      </c>
      <c r="G208" s="7">
        <v>39506408</v>
      </c>
      <c r="H208" s="14">
        <v>30422.4038</v>
      </c>
      <c r="I208" s="7">
        <v>42486940</v>
      </c>
      <c r="J208" s="22">
        <v>21</v>
      </c>
    </row>
    <row r="209" spans="1:10" x14ac:dyDescent="0.2">
      <c r="A209" s="8">
        <v>46204</v>
      </c>
      <c r="B209" s="4" t="s">
        <v>97</v>
      </c>
      <c r="C209" s="4" t="s">
        <v>198</v>
      </c>
      <c r="D209" s="14">
        <v>3961.7932999999998</v>
      </c>
      <c r="E209" s="7">
        <v>2442494</v>
      </c>
      <c r="F209" s="14">
        <v>27154.487400000002</v>
      </c>
      <c r="G209" s="7">
        <v>40346976</v>
      </c>
      <c r="H209" s="14">
        <v>31116.280699999999</v>
      </c>
      <c r="I209" s="7">
        <v>42789470</v>
      </c>
      <c r="J209" s="22">
        <v>23</v>
      </c>
    </row>
    <row r="210" spans="1:10" x14ac:dyDescent="0.2">
      <c r="A210" s="8">
        <v>46235</v>
      </c>
      <c r="B210" s="4" t="s">
        <v>97</v>
      </c>
      <c r="C210" s="4" t="s">
        <v>198</v>
      </c>
      <c r="D210" s="14">
        <v>1552.2354</v>
      </c>
      <c r="E210" s="7">
        <v>947577</v>
      </c>
      <c r="F210" s="14">
        <v>12049.4782</v>
      </c>
      <c r="G210" s="7">
        <v>17340076</v>
      </c>
      <c r="H210" s="14">
        <v>13601.713599999999</v>
      </c>
      <c r="I210" s="7">
        <v>18287653</v>
      </c>
      <c r="J210" s="22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58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3" width="16" customWidth="1"/>
    <col min="4" max="4" width="12" customWidth="1"/>
    <col min="5" max="5" width="30" customWidth="1"/>
    <col min="6" max="6" width="26" customWidth="1"/>
    <col min="7" max="7" width="34" customWidth="1"/>
    <col min="8" max="9" width="30" customWidth="1"/>
    <col min="10" max="10" width="26" customWidth="1"/>
  </cols>
  <sheetData>
    <row r="1" spans="1:10" x14ac:dyDescent="0.2">
      <c r="A1" s="1" t="s">
        <v>215</v>
      </c>
      <c r="B1" s="1" t="s">
        <v>216</v>
      </c>
      <c r="C1" s="1" t="s">
        <v>217</v>
      </c>
      <c r="D1" s="1" t="s">
        <v>104</v>
      </c>
      <c r="E1" s="12" t="s">
        <v>228</v>
      </c>
      <c r="F1" s="3" t="s">
        <v>229</v>
      </c>
      <c r="G1" s="12" t="s">
        <v>230</v>
      </c>
      <c r="H1" s="3" t="s">
        <v>231</v>
      </c>
      <c r="I1" s="12" t="s">
        <v>232</v>
      </c>
      <c r="J1" s="3" t="s">
        <v>233</v>
      </c>
    </row>
    <row r="2" spans="1:10" x14ac:dyDescent="0.2">
      <c r="A2" s="9">
        <v>43922</v>
      </c>
      <c r="B2" s="4" t="s">
        <v>221</v>
      </c>
      <c r="C2" s="8">
        <v>43922</v>
      </c>
      <c r="D2" s="4" t="s">
        <v>173</v>
      </c>
      <c r="E2" s="14">
        <v>262.89249999999998</v>
      </c>
      <c r="F2" s="7">
        <v>525335</v>
      </c>
      <c r="G2" s="14">
        <v>284.92660000000001</v>
      </c>
      <c r="H2" s="7">
        <v>657946</v>
      </c>
      <c r="I2" s="14">
        <v>547.81910000000005</v>
      </c>
      <c r="J2" s="7">
        <v>1183281</v>
      </c>
    </row>
    <row r="3" spans="1:10" x14ac:dyDescent="0.2">
      <c r="A3" s="9">
        <v>43924</v>
      </c>
      <c r="B3" s="4" t="s">
        <v>222</v>
      </c>
      <c r="C3" s="8">
        <v>43922</v>
      </c>
      <c r="D3" s="4" t="s">
        <v>173</v>
      </c>
      <c r="E3" s="14">
        <v>251.3989</v>
      </c>
      <c r="F3" s="7">
        <v>523259</v>
      </c>
      <c r="G3" s="14">
        <v>331.2808</v>
      </c>
      <c r="H3" s="7">
        <v>755207</v>
      </c>
      <c r="I3" s="14">
        <v>582.67970000000003</v>
      </c>
      <c r="J3" s="7">
        <v>1278466</v>
      </c>
    </row>
    <row r="4" spans="1:10" x14ac:dyDescent="0.2">
      <c r="A4" s="9">
        <v>43928</v>
      </c>
      <c r="B4" s="4" t="s">
        <v>223</v>
      </c>
      <c r="C4" s="8">
        <v>43922</v>
      </c>
      <c r="D4" s="4" t="s">
        <v>173</v>
      </c>
      <c r="E4" s="14">
        <v>351.86950000000002</v>
      </c>
      <c r="F4" s="7">
        <v>691897</v>
      </c>
      <c r="G4" s="14">
        <v>419.75709999999998</v>
      </c>
      <c r="H4" s="7">
        <v>920883</v>
      </c>
      <c r="I4" s="14">
        <v>771.62660000000005</v>
      </c>
      <c r="J4" s="7">
        <v>1612780</v>
      </c>
    </row>
    <row r="5" spans="1:10" x14ac:dyDescent="0.2">
      <c r="A5" s="9">
        <v>43929</v>
      </c>
      <c r="B5" s="4" t="s">
        <v>221</v>
      </c>
      <c r="C5" s="8">
        <v>43922</v>
      </c>
      <c r="D5" s="4" t="s">
        <v>173</v>
      </c>
      <c r="E5" s="14">
        <v>461.4418</v>
      </c>
      <c r="F5" s="7">
        <v>898794</v>
      </c>
      <c r="G5" s="14">
        <v>475.2337</v>
      </c>
      <c r="H5" s="7">
        <v>1008475</v>
      </c>
      <c r="I5" s="14">
        <v>936.67550000000006</v>
      </c>
      <c r="J5" s="7">
        <v>1907269</v>
      </c>
    </row>
    <row r="6" spans="1:10" x14ac:dyDescent="0.2">
      <c r="A6" s="9">
        <v>43930</v>
      </c>
      <c r="B6" s="4" t="s">
        <v>224</v>
      </c>
      <c r="C6" s="8">
        <v>43922</v>
      </c>
      <c r="D6" s="4" t="s">
        <v>173</v>
      </c>
      <c r="E6" s="14">
        <v>353.01459999999997</v>
      </c>
      <c r="F6" s="7">
        <v>672188</v>
      </c>
      <c r="G6" s="14">
        <v>422.57740000000001</v>
      </c>
      <c r="H6" s="7">
        <v>861732</v>
      </c>
      <c r="I6" s="14">
        <v>775.59199999999998</v>
      </c>
      <c r="J6" s="7">
        <v>1533920</v>
      </c>
    </row>
    <row r="7" spans="1:10" x14ac:dyDescent="0.2">
      <c r="A7" s="9">
        <v>43934</v>
      </c>
      <c r="B7" s="4" t="s">
        <v>225</v>
      </c>
      <c r="C7" s="8">
        <v>43922</v>
      </c>
      <c r="D7" s="4" t="s">
        <v>173</v>
      </c>
      <c r="E7" s="14">
        <v>276.00830000000002</v>
      </c>
      <c r="F7" s="7">
        <v>527395</v>
      </c>
      <c r="G7" s="14">
        <v>386.4162</v>
      </c>
      <c r="H7" s="7">
        <v>791706</v>
      </c>
      <c r="I7" s="14">
        <v>662.42449999999997</v>
      </c>
      <c r="J7" s="7">
        <v>1319101</v>
      </c>
    </row>
    <row r="8" spans="1:10" x14ac:dyDescent="0.2">
      <c r="A8" s="9">
        <v>43936</v>
      </c>
      <c r="B8" s="4" t="s">
        <v>221</v>
      </c>
      <c r="C8" s="8">
        <v>43922</v>
      </c>
      <c r="D8" s="4" t="s">
        <v>173</v>
      </c>
      <c r="E8" s="14">
        <v>365.57760000000002</v>
      </c>
      <c r="F8" s="7">
        <v>691934</v>
      </c>
      <c r="G8" s="14">
        <v>530.99559999999997</v>
      </c>
      <c r="H8" s="7">
        <v>1059413</v>
      </c>
      <c r="I8" s="14">
        <v>896.57320000000004</v>
      </c>
      <c r="J8" s="7">
        <v>1751347</v>
      </c>
    </row>
    <row r="9" spans="1:10" x14ac:dyDescent="0.2">
      <c r="A9" s="9">
        <v>43937</v>
      </c>
      <c r="B9" s="4" t="s">
        <v>224</v>
      </c>
      <c r="C9" s="8">
        <v>43922</v>
      </c>
      <c r="D9" s="4" t="s">
        <v>173</v>
      </c>
      <c r="E9" s="14">
        <v>337.48590000000002</v>
      </c>
      <c r="F9" s="7">
        <v>656158</v>
      </c>
      <c r="G9" s="14">
        <v>427.06540000000001</v>
      </c>
      <c r="H9" s="7">
        <v>874340</v>
      </c>
      <c r="I9" s="14">
        <v>764.55129999999997</v>
      </c>
      <c r="J9" s="7">
        <v>1530498</v>
      </c>
    </row>
    <row r="10" spans="1:10" x14ac:dyDescent="0.2">
      <c r="A10" s="9">
        <v>43938</v>
      </c>
      <c r="B10" s="4" t="s">
        <v>222</v>
      </c>
      <c r="C10" s="8">
        <v>43922</v>
      </c>
      <c r="D10" s="4" t="s">
        <v>173</v>
      </c>
      <c r="E10" s="14">
        <v>401.27659999999997</v>
      </c>
      <c r="F10" s="7">
        <v>768757</v>
      </c>
      <c r="G10" s="14">
        <v>497.70859999999999</v>
      </c>
      <c r="H10" s="7">
        <v>1020990</v>
      </c>
      <c r="I10" s="14">
        <v>898.98519999999996</v>
      </c>
      <c r="J10" s="7">
        <v>1789747</v>
      </c>
    </row>
    <row r="11" spans="1:10" x14ac:dyDescent="0.2">
      <c r="A11" s="9">
        <v>43941</v>
      </c>
      <c r="B11" s="4" t="s">
        <v>225</v>
      </c>
      <c r="C11" s="8">
        <v>43922</v>
      </c>
      <c r="D11" s="4" t="s">
        <v>173</v>
      </c>
      <c r="E11" s="14">
        <v>330.32619999999997</v>
      </c>
      <c r="F11" s="7">
        <v>615526</v>
      </c>
      <c r="G11" s="14">
        <v>466.09249999999997</v>
      </c>
      <c r="H11" s="7">
        <v>933396</v>
      </c>
      <c r="I11" s="14">
        <v>796.41869999999994</v>
      </c>
      <c r="J11" s="7">
        <v>1548922</v>
      </c>
    </row>
    <row r="12" spans="1:10" x14ac:dyDescent="0.2">
      <c r="A12" s="9">
        <v>43942</v>
      </c>
      <c r="B12" s="4" t="s">
        <v>223</v>
      </c>
      <c r="C12" s="8">
        <v>43922</v>
      </c>
      <c r="D12" s="4" t="s">
        <v>173</v>
      </c>
      <c r="E12" s="14">
        <v>292.97340000000003</v>
      </c>
      <c r="F12" s="7">
        <v>567234</v>
      </c>
      <c r="G12" s="14">
        <v>463.4744</v>
      </c>
      <c r="H12" s="7">
        <v>937450</v>
      </c>
      <c r="I12" s="14">
        <v>756.44780000000003</v>
      </c>
      <c r="J12" s="7">
        <v>1504684</v>
      </c>
    </row>
    <row r="13" spans="1:10" x14ac:dyDescent="0.2">
      <c r="A13" s="9">
        <v>43943</v>
      </c>
      <c r="B13" s="4" t="s">
        <v>221</v>
      </c>
      <c r="C13" s="8">
        <v>43922</v>
      </c>
      <c r="D13" s="4" t="s">
        <v>173</v>
      </c>
      <c r="E13" s="14">
        <v>342.38339999999999</v>
      </c>
      <c r="F13" s="7">
        <v>669527</v>
      </c>
      <c r="G13" s="14">
        <v>528.02160000000003</v>
      </c>
      <c r="H13" s="7">
        <v>1046251</v>
      </c>
      <c r="I13" s="14">
        <v>870.40499999999997</v>
      </c>
      <c r="J13" s="7">
        <v>1715778</v>
      </c>
    </row>
    <row r="14" spans="1:10" x14ac:dyDescent="0.2">
      <c r="A14" s="9">
        <v>43944</v>
      </c>
      <c r="B14" s="4" t="s">
        <v>224</v>
      </c>
      <c r="C14" s="8">
        <v>43922</v>
      </c>
      <c r="D14" s="4" t="s">
        <v>173</v>
      </c>
      <c r="E14" s="14">
        <v>286.50069999999999</v>
      </c>
      <c r="F14" s="7">
        <v>548593</v>
      </c>
      <c r="G14" s="14">
        <v>477.37329999999997</v>
      </c>
      <c r="H14" s="7">
        <v>938397</v>
      </c>
      <c r="I14" s="14">
        <v>763.87400000000002</v>
      </c>
      <c r="J14" s="7">
        <v>1486990</v>
      </c>
    </row>
    <row r="15" spans="1:10" x14ac:dyDescent="0.2">
      <c r="A15" s="9">
        <v>43945</v>
      </c>
      <c r="B15" s="4" t="s">
        <v>222</v>
      </c>
      <c r="C15" s="8">
        <v>43922</v>
      </c>
      <c r="D15" s="4" t="s">
        <v>173</v>
      </c>
      <c r="E15" s="14">
        <v>300.96530000000001</v>
      </c>
      <c r="F15" s="7">
        <v>576935</v>
      </c>
      <c r="G15" s="14">
        <v>596.17349999999999</v>
      </c>
      <c r="H15" s="7">
        <v>1170995</v>
      </c>
      <c r="I15" s="14">
        <v>897.13879999999995</v>
      </c>
      <c r="J15" s="7">
        <v>1747930</v>
      </c>
    </row>
    <row r="16" spans="1:10" x14ac:dyDescent="0.2">
      <c r="A16" s="9">
        <v>43948</v>
      </c>
      <c r="B16" s="4" t="s">
        <v>225</v>
      </c>
      <c r="C16" s="8">
        <v>43922</v>
      </c>
      <c r="D16" s="4" t="s">
        <v>173</v>
      </c>
      <c r="E16" s="14">
        <v>300.97899999999998</v>
      </c>
      <c r="F16" s="7">
        <v>554197</v>
      </c>
      <c r="G16" s="14">
        <v>714.36950000000002</v>
      </c>
      <c r="H16" s="7">
        <v>1435805</v>
      </c>
      <c r="I16" s="14">
        <v>1015.3484999999999</v>
      </c>
      <c r="J16" s="7">
        <v>1990002</v>
      </c>
    </row>
    <row r="17" spans="1:10" x14ac:dyDescent="0.2">
      <c r="A17" s="9">
        <v>43949</v>
      </c>
      <c r="B17" s="4" t="s">
        <v>223</v>
      </c>
      <c r="C17" s="8">
        <v>43922</v>
      </c>
      <c r="D17" s="4" t="s">
        <v>173</v>
      </c>
      <c r="E17" s="14">
        <v>294.69</v>
      </c>
      <c r="F17" s="7">
        <v>544797</v>
      </c>
      <c r="G17" s="14">
        <v>880.42909999999995</v>
      </c>
      <c r="H17" s="7">
        <v>1783804</v>
      </c>
      <c r="I17" s="14">
        <v>1175.1190999999999</v>
      </c>
      <c r="J17" s="7">
        <v>2328601</v>
      </c>
    </row>
    <row r="18" spans="1:10" x14ac:dyDescent="0.2">
      <c r="A18" s="9">
        <v>43950</v>
      </c>
      <c r="B18" s="4" t="s">
        <v>221</v>
      </c>
      <c r="C18" s="8">
        <v>43922</v>
      </c>
      <c r="D18" s="4" t="s">
        <v>173</v>
      </c>
      <c r="E18" s="14">
        <v>294.61450000000002</v>
      </c>
      <c r="F18" s="7">
        <v>545055</v>
      </c>
      <c r="G18" s="14">
        <v>785.77629999999999</v>
      </c>
      <c r="H18" s="7">
        <v>1611420</v>
      </c>
      <c r="I18" s="14">
        <v>1080.3907999999999</v>
      </c>
      <c r="J18" s="7">
        <v>2156475</v>
      </c>
    </row>
    <row r="19" spans="1:10" x14ac:dyDescent="0.2">
      <c r="A19" s="9">
        <v>43951</v>
      </c>
      <c r="B19" s="4" t="s">
        <v>224</v>
      </c>
      <c r="C19" s="8">
        <v>43922</v>
      </c>
      <c r="D19" s="4" t="s">
        <v>173</v>
      </c>
      <c r="E19" s="14">
        <v>442.75689999999997</v>
      </c>
      <c r="F19" s="7">
        <v>761751</v>
      </c>
      <c r="G19" s="14">
        <v>862.01840000000004</v>
      </c>
      <c r="H19" s="7">
        <v>1668370</v>
      </c>
      <c r="I19" s="14">
        <v>1304.7753</v>
      </c>
      <c r="J19" s="7">
        <v>2430121</v>
      </c>
    </row>
    <row r="20" spans="1:10" x14ac:dyDescent="0.2">
      <c r="A20" s="9">
        <v>43955</v>
      </c>
      <c r="B20" s="4" t="s">
        <v>225</v>
      </c>
      <c r="C20" s="8">
        <v>43952</v>
      </c>
      <c r="D20" s="4" t="s">
        <v>173</v>
      </c>
      <c r="E20" s="14">
        <v>285.60359999999997</v>
      </c>
      <c r="F20" s="7">
        <v>524837</v>
      </c>
      <c r="G20" s="14">
        <v>464.8578</v>
      </c>
      <c r="H20" s="7">
        <v>898637</v>
      </c>
      <c r="I20" s="14">
        <v>750.46140000000003</v>
      </c>
      <c r="J20" s="7">
        <v>1423474</v>
      </c>
    </row>
    <row r="21" spans="1:10" x14ac:dyDescent="0.2">
      <c r="A21" s="9">
        <v>43956</v>
      </c>
      <c r="B21" s="4" t="s">
        <v>223</v>
      </c>
      <c r="C21" s="8">
        <v>43952</v>
      </c>
      <c r="D21" s="4" t="s">
        <v>173</v>
      </c>
      <c r="E21" s="14">
        <v>320.39729999999997</v>
      </c>
      <c r="F21" s="7">
        <v>616615</v>
      </c>
      <c r="G21" s="14">
        <v>444.0532</v>
      </c>
      <c r="H21" s="7">
        <v>898108</v>
      </c>
      <c r="I21" s="14">
        <v>764.45050000000003</v>
      </c>
      <c r="J21" s="7">
        <v>1514723</v>
      </c>
    </row>
    <row r="22" spans="1:10" x14ac:dyDescent="0.2">
      <c r="A22" s="9">
        <v>43957</v>
      </c>
      <c r="B22" s="4" t="s">
        <v>221</v>
      </c>
      <c r="C22" s="8">
        <v>43952</v>
      </c>
      <c r="D22" s="4" t="s">
        <v>173</v>
      </c>
      <c r="E22" s="14">
        <v>394.40600000000001</v>
      </c>
      <c r="F22" s="7">
        <v>758922</v>
      </c>
      <c r="G22" s="14">
        <v>473.21809999999999</v>
      </c>
      <c r="H22" s="7">
        <v>964551</v>
      </c>
      <c r="I22" s="14">
        <v>867.6241</v>
      </c>
      <c r="J22" s="7">
        <v>1723473</v>
      </c>
    </row>
    <row r="23" spans="1:10" x14ac:dyDescent="0.2">
      <c r="A23" s="9">
        <v>43958</v>
      </c>
      <c r="B23" s="4" t="s">
        <v>224</v>
      </c>
      <c r="C23" s="8">
        <v>43952</v>
      </c>
      <c r="D23" s="4" t="s">
        <v>173</v>
      </c>
      <c r="E23" s="14">
        <v>270.69330000000002</v>
      </c>
      <c r="F23" s="7">
        <v>519110</v>
      </c>
      <c r="G23" s="14">
        <v>463.00020000000001</v>
      </c>
      <c r="H23" s="7">
        <v>900120</v>
      </c>
      <c r="I23" s="14">
        <v>733.69349999999997</v>
      </c>
      <c r="J23" s="7">
        <v>1419230</v>
      </c>
    </row>
    <row r="24" spans="1:10" x14ac:dyDescent="0.2">
      <c r="A24" s="9">
        <v>43959</v>
      </c>
      <c r="B24" s="4" t="s">
        <v>222</v>
      </c>
      <c r="C24" s="8">
        <v>43952</v>
      </c>
      <c r="D24" s="4" t="s">
        <v>173</v>
      </c>
      <c r="E24" s="14">
        <v>242.5479</v>
      </c>
      <c r="F24" s="7">
        <v>476483</v>
      </c>
      <c r="G24" s="14">
        <v>459.77910000000003</v>
      </c>
      <c r="H24" s="7">
        <v>892241</v>
      </c>
      <c r="I24" s="14">
        <v>702.327</v>
      </c>
      <c r="J24" s="7">
        <v>1368724</v>
      </c>
    </row>
    <row r="25" spans="1:10" x14ac:dyDescent="0.2">
      <c r="A25" s="9">
        <v>43962</v>
      </c>
      <c r="B25" s="4" t="s">
        <v>225</v>
      </c>
      <c r="C25" s="8">
        <v>43952</v>
      </c>
      <c r="D25" s="4" t="s">
        <v>173</v>
      </c>
      <c r="E25" s="14">
        <v>283.18419999999998</v>
      </c>
      <c r="F25" s="7">
        <v>550935</v>
      </c>
      <c r="G25" s="14">
        <v>468.53910000000002</v>
      </c>
      <c r="H25" s="7">
        <v>914058</v>
      </c>
      <c r="I25" s="14">
        <v>751.72329999999999</v>
      </c>
      <c r="J25" s="7">
        <v>1464993</v>
      </c>
    </row>
    <row r="26" spans="1:10" x14ac:dyDescent="0.2">
      <c r="A26" s="9">
        <v>43963</v>
      </c>
      <c r="B26" s="4" t="s">
        <v>223</v>
      </c>
      <c r="C26" s="8">
        <v>43952</v>
      </c>
      <c r="D26" s="4" t="s">
        <v>173</v>
      </c>
      <c r="E26" s="14">
        <v>344.57560000000001</v>
      </c>
      <c r="F26" s="7">
        <v>703592</v>
      </c>
      <c r="G26" s="14">
        <v>535.23519999999996</v>
      </c>
      <c r="H26" s="7">
        <v>1074404</v>
      </c>
      <c r="I26" s="14">
        <v>879.81079999999997</v>
      </c>
      <c r="J26" s="7">
        <v>1777996</v>
      </c>
    </row>
    <row r="27" spans="1:10" x14ac:dyDescent="0.2">
      <c r="A27" s="9">
        <v>43964</v>
      </c>
      <c r="B27" s="4" t="s">
        <v>221</v>
      </c>
      <c r="C27" s="8">
        <v>43952</v>
      </c>
      <c r="D27" s="4" t="s">
        <v>173</v>
      </c>
      <c r="E27" s="14">
        <v>351.94880000000001</v>
      </c>
      <c r="F27" s="7">
        <v>682180</v>
      </c>
      <c r="G27" s="14">
        <v>538.83749999999998</v>
      </c>
      <c r="H27" s="7">
        <v>1093271</v>
      </c>
      <c r="I27" s="14">
        <v>890.78629999999998</v>
      </c>
      <c r="J27" s="7">
        <v>1775451</v>
      </c>
    </row>
    <row r="28" spans="1:10" x14ac:dyDescent="0.2">
      <c r="A28" s="9">
        <v>43965</v>
      </c>
      <c r="B28" s="4" t="s">
        <v>224</v>
      </c>
      <c r="C28" s="8">
        <v>43952</v>
      </c>
      <c r="D28" s="4" t="s">
        <v>173</v>
      </c>
      <c r="E28" s="14">
        <v>289.35840000000002</v>
      </c>
      <c r="F28" s="7">
        <v>559395</v>
      </c>
      <c r="G28" s="14">
        <v>468.1506</v>
      </c>
      <c r="H28" s="7">
        <v>929177</v>
      </c>
      <c r="I28" s="14">
        <v>757.50900000000001</v>
      </c>
      <c r="J28" s="7">
        <v>1488572</v>
      </c>
    </row>
    <row r="29" spans="1:10" x14ac:dyDescent="0.2">
      <c r="A29" s="9">
        <v>43966</v>
      </c>
      <c r="B29" s="4" t="s">
        <v>222</v>
      </c>
      <c r="C29" s="8">
        <v>43952</v>
      </c>
      <c r="D29" s="4" t="s">
        <v>173</v>
      </c>
      <c r="E29" s="14">
        <v>263.25020000000001</v>
      </c>
      <c r="F29" s="7">
        <v>520079</v>
      </c>
      <c r="G29" s="14">
        <v>422.95400000000001</v>
      </c>
      <c r="H29" s="7">
        <v>833318</v>
      </c>
      <c r="I29" s="14">
        <v>686.20420000000001</v>
      </c>
      <c r="J29" s="7">
        <v>1353397</v>
      </c>
    </row>
    <row r="30" spans="1:10" x14ac:dyDescent="0.2">
      <c r="A30" s="9">
        <v>43969</v>
      </c>
      <c r="B30" s="4" t="s">
        <v>225</v>
      </c>
      <c r="C30" s="8">
        <v>43952</v>
      </c>
      <c r="D30" s="4" t="s">
        <v>173</v>
      </c>
      <c r="E30" s="14">
        <v>368.44130000000001</v>
      </c>
      <c r="F30" s="7">
        <v>758544</v>
      </c>
      <c r="G30" s="14">
        <v>518.67039999999997</v>
      </c>
      <c r="H30" s="7">
        <v>1084420</v>
      </c>
      <c r="I30" s="14">
        <v>887.11170000000004</v>
      </c>
      <c r="J30" s="7">
        <v>1842964</v>
      </c>
    </row>
    <row r="31" spans="1:10" x14ac:dyDescent="0.2">
      <c r="A31" s="9">
        <v>43970</v>
      </c>
      <c r="B31" s="4" t="s">
        <v>223</v>
      </c>
      <c r="C31" s="8">
        <v>43952</v>
      </c>
      <c r="D31" s="4" t="s">
        <v>173</v>
      </c>
      <c r="E31" s="14">
        <v>383.17360000000002</v>
      </c>
      <c r="F31" s="7">
        <v>796321</v>
      </c>
      <c r="G31" s="14">
        <v>503.47809999999998</v>
      </c>
      <c r="H31" s="7">
        <v>1020346</v>
      </c>
      <c r="I31" s="14">
        <v>886.65170000000001</v>
      </c>
      <c r="J31" s="7">
        <v>1816667</v>
      </c>
    </row>
    <row r="32" spans="1:10" x14ac:dyDescent="0.2">
      <c r="A32" s="9">
        <v>43971</v>
      </c>
      <c r="B32" s="4" t="s">
        <v>221</v>
      </c>
      <c r="C32" s="8">
        <v>43952</v>
      </c>
      <c r="D32" s="4" t="s">
        <v>173</v>
      </c>
      <c r="E32" s="14">
        <v>329.39670000000001</v>
      </c>
      <c r="F32" s="7">
        <v>684854</v>
      </c>
      <c r="G32" s="14">
        <v>516.43740000000003</v>
      </c>
      <c r="H32" s="7">
        <v>1032568</v>
      </c>
      <c r="I32" s="14">
        <v>845.83410000000003</v>
      </c>
      <c r="J32" s="7">
        <v>1717422</v>
      </c>
    </row>
    <row r="33" spans="1:10" x14ac:dyDescent="0.2">
      <c r="A33" s="9">
        <v>43972</v>
      </c>
      <c r="B33" s="4" t="s">
        <v>224</v>
      </c>
      <c r="C33" s="8">
        <v>43952</v>
      </c>
      <c r="D33" s="4" t="s">
        <v>173</v>
      </c>
      <c r="E33" s="14">
        <v>278.94650000000001</v>
      </c>
      <c r="F33" s="7">
        <v>578588</v>
      </c>
      <c r="G33" s="14">
        <v>521.94910000000004</v>
      </c>
      <c r="H33" s="7">
        <v>1066389</v>
      </c>
      <c r="I33" s="14">
        <v>800.89559999999994</v>
      </c>
      <c r="J33" s="7">
        <v>1644977</v>
      </c>
    </row>
    <row r="34" spans="1:10" x14ac:dyDescent="0.2">
      <c r="A34" s="9">
        <v>43973</v>
      </c>
      <c r="B34" s="4" t="s">
        <v>222</v>
      </c>
      <c r="C34" s="8">
        <v>43952</v>
      </c>
      <c r="D34" s="4" t="s">
        <v>173</v>
      </c>
      <c r="E34" s="14">
        <v>368.04739999999998</v>
      </c>
      <c r="F34" s="7">
        <v>806720</v>
      </c>
      <c r="G34" s="14">
        <v>708.38239999999996</v>
      </c>
      <c r="H34" s="7">
        <v>1499056</v>
      </c>
      <c r="I34" s="14">
        <v>1076.4297999999999</v>
      </c>
      <c r="J34" s="7">
        <v>2305776</v>
      </c>
    </row>
    <row r="35" spans="1:10" x14ac:dyDescent="0.2">
      <c r="A35" s="9">
        <v>43977</v>
      </c>
      <c r="B35" s="4" t="s">
        <v>223</v>
      </c>
      <c r="C35" s="8">
        <v>43952</v>
      </c>
      <c r="D35" s="4" t="s">
        <v>173</v>
      </c>
      <c r="E35" s="14">
        <v>315.73739999999998</v>
      </c>
      <c r="F35" s="7">
        <v>647361</v>
      </c>
      <c r="G35" s="14">
        <v>1045.461</v>
      </c>
      <c r="H35" s="7">
        <v>2116469</v>
      </c>
      <c r="I35" s="14">
        <v>1361.1984</v>
      </c>
      <c r="J35" s="7">
        <v>2763830</v>
      </c>
    </row>
    <row r="36" spans="1:10" x14ac:dyDescent="0.2">
      <c r="A36" s="9">
        <v>43978</v>
      </c>
      <c r="B36" s="4" t="s">
        <v>221</v>
      </c>
      <c r="C36" s="8">
        <v>43952</v>
      </c>
      <c r="D36" s="4" t="s">
        <v>173</v>
      </c>
      <c r="E36" s="14">
        <v>501.4941</v>
      </c>
      <c r="F36" s="7">
        <v>1038482</v>
      </c>
      <c r="G36" s="14">
        <v>1072.8844999999999</v>
      </c>
      <c r="H36" s="7">
        <v>2268145</v>
      </c>
      <c r="I36" s="14">
        <v>1574.3786</v>
      </c>
      <c r="J36" s="7">
        <v>3306627</v>
      </c>
    </row>
    <row r="37" spans="1:10" x14ac:dyDescent="0.2">
      <c r="A37" s="9">
        <v>43979</v>
      </c>
      <c r="B37" s="4" t="s">
        <v>224</v>
      </c>
      <c r="C37" s="8">
        <v>43952</v>
      </c>
      <c r="D37" s="4" t="s">
        <v>173</v>
      </c>
      <c r="E37" s="14">
        <v>490.97519999999997</v>
      </c>
      <c r="F37" s="7">
        <v>972081</v>
      </c>
      <c r="G37" s="14">
        <v>940.01850000000002</v>
      </c>
      <c r="H37" s="7">
        <v>1907256</v>
      </c>
      <c r="I37" s="14">
        <v>1430.9937</v>
      </c>
      <c r="J37" s="7">
        <v>2879337</v>
      </c>
    </row>
    <row r="38" spans="1:10" x14ac:dyDescent="0.2">
      <c r="A38" s="9">
        <v>43980</v>
      </c>
      <c r="B38" s="4" t="s">
        <v>222</v>
      </c>
      <c r="C38" s="8">
        <v>43952</v>
      </c>
      <c r="D38" s="4" t="s">
        <v>173</v>
      </c>
      <c r="E38" s="14">
        <v>324.07260000000002</v>
      </c>
      <c r="F38" s="7">
        <v>648810</v>
      </c>
      <c r="G38" s="14">
        <v>614.3297</v>
      </c>
      <c r="H38" s="7">
        <v>1180819</v>
      </c>
      <c r="I38" s="14">
        <v>938.40229999999997</v>
      </c>
      <c r="J38" s="7">
        <v>1829629</v>
      </c>
    </row>
    <row r="39" spans="1:10" x14ac:dyDescent="0.2">
      <c r="A39" s="9">
        <v>43983</v>
      </c>
      <c r="B39" s="4" t="s">
        <v>225</v>
      </c>
      <c r="C39" s="8">
        <v>43983</v>
      </c>
      <c r="D39" s="4" t="s">
        <v>173</v>
      </c>
      <c r="E39" s="14">
        <v>341.63249999999999</v>
      </c>
      <c r="F39" s="7">
        <v>634228</v>
      </c>
      <c r="G39" s="14">
        <v>589.0838</v>
      </c>
      <c r="H39" s="7">
        <v>1127414</v>
      </c>
      <c r="I39" s="14">
        <v>930.71630000000005</v>
      </c>
      <c r="J39" s="7">
        <v>1761642</v>
      </c>
    </row>
    <row r="40" spans="1:10" x14ac:dyDescent="0.2">
      <c r="A40" s="9">
        <v>43984</v>
      </c>
      <c r="B40" s="4" t="s">
        <v>223</v>
      </c>
      <c r="C40" s="8">
        <v>43983</v>
      </c>
      <c r="D40" s="4" t="s">
        <v>173</v>
      </c>
      <c r="E40" s="14">
        <v>322.69389999999999</v>
      </c>
      <c r="F40" s="7">
        <v>607990</v>
      </c>
      <c r="G40" s="14">
        <v>527.31989999999996</v>
      </c>
      <c r="H40" s="7">
        <v>1019753</v>
      </c>
      <c r="I40" s="14">
        <v>850.01379999999995</v>
      </c>
      <c r="J40" s="7">
        <v>1627743</v>
      </c>
    </row>
    <row r="41" spans="1:10" x14ac:dyDescent="0.2">
      <c r="A41" s="9">
        <v>43985</v>
      </c>
      <c r="B41" s="4" t="s">
        <v>221</v>
      </c>
      <c r="C41" s="8">
        <v>43983</v>
      </c>
      <c r="D41" s="4" t="s">
        <v>173</v>
      </c>
      <c r="E41" s="14">
        <v>381.91989999999998</v>
      </c>
      <c r="F41" s="7">
        <v>713351</v>
      </c>
      <c r="G41" s="14">
        <v>570.25459999999998</v>
      </c>
      <c r="H41" s="7">
        <v>1106385</v>
      </c>
      <c r="I41" s="14">
        <v>952.17449999999997</v>
      </c>
      <c r="J41" s="7">
        <v>1819736</v>
      </c>
    </row>
    <row r="42" spans="1:10" x14ac:dyDescent="0.2">
      <c r="A42" s="9">
        <v>43986</v>
      </c>
      <c r="B42" s="4" t="s">
        <v>224</v>
      </c>
      <c r="C42" s="8">
        <v>43983</v>
      </c>
      <c r="D42" s="4" t="s">
        <v>173</v>
      </c>
      <c r="E42" s="14">
        <v>377.71879999999999</v>
      </c>
      <c r="F42" s="7">
        <v>716991</v>
      </c>
      <c r="G42" s="14">
        <v>579.52930000000003</v>
      </c>
      <c r="H42" s="7">
        <v>1078718</v>
      </c>
      <c r="I42" s="14">
        <v>957.24810000000002</v>
      </c>
      <c r="J42" s="7">
        <v>1795709</v>
      </c>
    </row>
    <row r="43" spans="1:10" x14ac:dyDescent="0.2">
      <c r="A43" s="9">
        <v>43987</v>
      </c>
      <c r="B43" s="4" t="s">
        <v>222</v>
      </c>
      <c r="C43" s="8">
        <v>43983</v>
      </c>
      <c r="D43" s="4" t="s">
        <v>173</v>
      </c>
      <c r="E43" s="14">
        <v>345.79059999999998</v>
      </c>
      <c r="F43" s="7">
        <v>654507</v>
      </c>
      <c r="G43" s="14">
        <v>618.73360000000002</v>
      </c>
      <c r="H43" s="7">
        <v>1145756</v>
      </c>
      <c r="I43" s="14">
        <v>964.52419999999995</v>
      </c>
      <c r="J43" s="7">
        <v>1800263</v>
      </c>
    </row>
    <row r="44" spans="1:10" x14ac:dyDescent="0.2">
      <c r="A44" s="9">
        <v>43990</v>
      </c>
      <c r="B44" s="4" t="s">
        <v>225</v>
      </c>
      <c r="C44" s="8">
        <v>43983</v>
      </c>
      <c r="D44" s="4" t="s">
        <v>173</v>
      </c>
      <c r="E44" s="14">
        <v>337.80279999999999</v>
      </c>
      <c r="F44" s="7">
        <v>627768</v>
      </c>
      <c r="G44" s="14">
        <v>601.15070000000003</v>
      </c>
      <c r="H44" s="7">
        <v>1148225</v>
      </c>
      <c r="I44" s="14">
        <v>938.95349999999996</v>
      </c>
      <c r="J44" s="7">
        <v>1775993</v>
      </c>
    </row>
    <row r="45" spans="1:10" x14ac:dyDescent="0.2">
      <c r="A45" s="9">
        <v>43991</v>
      </c>
      <c r="B45" s="4" t="s">
        <v>223</v>
      </c>
      <c r="C45" s="8">
        <v>43983</v>
      </c>
      <c r="D45" s="4" t="s">
        <v>173</v>
      </c>
      <c r="E45" s="14">
        <v>369.41899999999998</v>
      </c>
      <c r="F45" s="7">
        <v>683536</v>
      </c>
      <c r="G45" s="14">
        <v>601.00750000000005</v>
      </c>
      <c r="H45" s="7">
        <v>1129777</v>
      </c>
      <c r="I45" s="14">
        <v>970.42650000000003</v>
      </c>
      <c r="J45" s="7">
        <v>1813313</v>
      </c>
    </row>
    <row r="46" spans="1:10" x14ac:dyDescent="0.2">
      <c r="A46" s="9">
        <v>43992</v>
      </c>
      <c r="B46" s="4" t="s">
        <v>221</v>
      </c>
      <c r="C46" s="8">
        <v>43983</v>
      </c>
      <c r="D46" s="4" t="s">
        <v>173</v>
      </c>
      <c r="E46" s="14">
        <v>351.75540000000001</v>
      </c>
      <c r="F46" s="7">
        <v>660327</v>
      </c>
      <c r="G46" s="14">
        <v>494.33519999999999</v>
      </c>
      <c r="H46" s="7">
        <v>990754</v>
      </c>
      <c r="I46" s="14">
        <v>846.09059999999999</v>
      </c>
      <c r="J46" s="7">
        <v>1651081</v>
      </c>
    </row>
    <row r="47" spans="1:10" x14ac:dyDescent="0.2">
      <c r="A47" s="9">
        <v>43993</v>
      </c>
      <c r="B47" s="4" t="s">
        <v>224</v>
      </c>
      <c r="C47" s="8">
        <v>43983</v>
      </c>
      <c r="D47" s="4" t="s">
        <v>173</v>
      </c>
      <c r="E47" s="14">
        <v>356.51839999999999</v>
      </c>
      <c r="F47" s="7">
        <v>659011</v>
      </c>
      <c r="G47" s="14">
        <v>544.58090000000004</v>
      </c>
      <c r="H47" s="7">
        <v>1089117</v>
      </c>
      <c r="I47" s="14">
        <v>901.09929999999997</v>
      </c>
      <c r="J47" s="7">
        <v>1748128</v>
      </c>
    </row>
    <row r="48" spans="1:10" x14ac:dyDescent="0.2">
      <c r="A48" s="9">
        <v>43994</v>
      </c>
      <c r="B48" s="4" t="s">
        <v>222</v>
      </c>
      <c r="C48" s="8">
        <v>43983</v>
      </c>
      <c r="D48" s="4" t="s">
        <v>173</v>
      </c>
      <c r="E48" s="14">
        <v>468.62610000000001</v>
      </c>
      <c r="F48" s="7">
        <v>880167</v>
      </c>
      <c r="G48" s="14">
        <v>584.46519999999998</v>
      </c>
      <c r="H48" s="7">
        <v>1157150</v>
      </c>
      <c r="I48" s="14">
        <v>1053.0913</v>
      </c>
      <c r="J48" s="7">
        <v>2037317</v>
      </c>
    </row>
    <row r="49" spans="1:10" x14ac:dyDescent="0.2">
      <c r="A49" s="9">
        <v>43997</v>
      </c>
      <c r="B49" s="4" t="s">
        <v>225</v>
      </c>
      <c r="C49" s="8">
        <v>43983</v>
      </c>
      <c r="D49" s="4" t="s">
        <v>173</v>
      </c>
      <c r="E49" s="14">
        <v>394.72050000000002</v>
      </c>
      <c r="F49" s="7">
        <v>738251</v>
      </c>
      <c r="G49" s="14">
        <v>531.69550000000004</v>
      </c>
      <c r="H49" s="7">
        <v>1012314</v>
      </c>
      <c r="I49" s="14">
        <v>926.41600000000005</v>
      </c>
      <c r="J49" s="7">
        <v>1750565</v>
      </c>
    </row>
    <row r="50" spans="1:10" x14ac:dyDescent="0.2">
      <c r="A50" s="9">
        <v>43998</v>
      </c>
      <c r="B50" s="4" t="s">
        <v>223</v>
      </c>
      <c r="C50" s="8">
        <v>43983</v>
      </c>
      <c r="D50" s="4" t="s">
        <v>173</v>
      </c>
      <c r="E50" s="14">
        <v>484.43740000000003</v>
      </c>
      <c r="F50" s="7">
        <v>901556</v>
      </c>
      <c r="G50" s="14">
        <v>559.81349999999998</v>
      </c>
      <c r="H50" s="7">
        <v>1081590</v>
      </c>
      <c r="I50" s="14">
        <v>1044.2509</v>
      </c>
      <c r="J50" s="7">
        <v>1983146</v>
      </c>
    </row>
    <row r="51" spans="1:10" x14ac:dyDescent="0.2">
      <c r="A51" s="9">
        <v>43999</v>
      </c>
      <c r="B51" s="4" t="s">
        <v>221</v>
      </c>
      <c r="C51" s="8">
        <v>43983</v>
      </c>
      <c r="D51" s="4" t="s">
        <v>173</v>
      </c>
      <c r="E51" s="14">
        <v>385.12950000000001</v>
      </c>
      <c r="F51" s="7">
        <v>728735</v>
      </c>
      <c r="G51" s="14">
        <v>486.38709999999998</v>
      </c>
      <c r="H51" s="7">
        <v>922206</v>
      </c>
      <c r="I51" s="14">
        <v>871.51660000000004</v>
      </c>
      <c r="J51" s="7">
        <v>1650941</v>
      </c>
    </row>
    <row r="52" spans="1:10" x14ac:dyDescent="0.2">
      <c r="A52" s="9">
        <v>44000</v>
      </c>
      <c r="B52" s="4" t="s">
        <v>224</v>
      </c>
      <c r="C52" s="8">
        <v>43983</v>
      </c>
      <c r="D52" s="4" t="s">
        <v>173</v>
      </c>
      <c r="E52" s="14">
        <v>370.08240000000001</v>
      </c>
      <c r="F52" s="7">
        <v>686030</v>
      </c>
      <c r="G52" s="14">
        <v>525.62329999999997</v>
      </c>
      <c r="H52" s="7">
        <v>971122</v>
      </c>
      <c r="I52" s="14">
        <v>895.70569999999998</v>
      </c>
      <c r="J52" s="7">
        <v>1657152</v>
      </c>
    </row>
    <row r="53" spans="1:10" x14ac:dyDescent="0.2">
      <c r="A53" s="9">
        <v>44001</v>
      </c>
      <c r="B53" s="4" t="s">
        <v>222</v>
      </c>
      <c r="C53" s="8">
        <v>43983</v>
      </c>
      <c r="D53" s="4" t="s">
        <v>173</v>
      </c>
      <c r="E53" s="14">
        <v>389.29079999999999</v>
      </c>
      <c r="F53" s="7">
        <v>706344</v>
      </c>
      <c r="G53" s="14">
        <v>813.65419999999995</v>
      </c>
      <c r="H53" s="7">
        <v>1459355</v>
      </c>
      <c r="I53" s="14">
        <v>1202.9449999999999</v>
      </c>
      <c r="J53" s="7">
        <v>2165699</v>
      </c>
    </row>
    <row r="54" spans="1:10" x14ac:dyDescent="0.2">
      <c r="A54" s="9">
        <v>44004</v>
      </c>
      <c r="B54" s="4" t="s">
        <v>225</v>
      </c>
      <c r="C54" s="8">
        <v>43983</v>
      </c>
      <c r="D54" s="4" t="s">
        <v>173</v>
      </c>
      <c r="E54" s="14">
        <v>384.6447</v>
      </c>
      <c r="F54" s="7">
        <v>689252</v>
      </c>
      <c r="G54" s="14">
        <v>1043.5115000000001</v>
      </c>
      <c r="H54" s="7">
        <v>1812264</v>
      </c>
      <c r="I54" s="14">
        <v>1428.1561999999999</v>
      </c>
      <c r="J54" s="7">
        <v>2501516</v>
      </c>
    </row>
    <row r="55" spans="1:10" x14ac:dyDescent="0.2">
      <c r="A55" s="9">
        <v>44005</v>
      </c>
      <c r="B55" s="4" t="s">
        <v>223</v>
      </c>
      <c r="C55" s="8">
        <v>43983</v>
      </c>
      <c r="D55" s="4" t="s">
        <v>173</v>
      </c>
      <c r="E55" s="14">
        <v>384.98039999999997</v>
      </c>
      <c r="F55" s="7">
        <v>671057</v>
      </c>
      <c r="G55" s="14">
        <v>1213.4794999999999</v>
      </c>
      <c r="H55" s="7">
        <v>2056417</v>
      </c>
      <c r="I55" s="14">
        <v>1598.4599000000001</v>
      </c>
      <c r="J55" s="7">
        <v>2727474</v>
      </c>
    </row>
    <row r="56" spans="1:10" x14ac:dyDescent="0.2">
      <c r="A56" s="9">
        <v>44006</v>
      </c>
      <c r="B56" s="4" t="s">
        <v>221</v>
      </c>
      <c r="C56" s="8">
        <v>43983</v>
      </c>
      <c r="D56" s="4" t="s">
        <v>173</v>
      </c>
      <c r="E56" s="14">
        <v>535.52670000000001</v>
      </c>
      <c r="F56" s="7">
        <v>904865</v>
      </c>
      <c r="G56" s="14">
        <v>1251.6001000000001</v>
      </c>
      <c r="H56" s="7">
        <v>2113244</v>
      </c>
      <c r="I56" s="14">
        <v>1787.1268</v>
      </c>
      <c r="J56" s="7">
        <v>3018109</v>
      </c>
    </row>
    <row r="57" spans="1:10" x14ac:dyDescent="0.2">
      <c r="A57" s="9">
        <v>44007</v>
      </c>
      <c r="B57" s="4" t="s">
        <v>224</v>
      </c>
      <c r="C57" s="8">
        <v>43983</v>
      </c>
      <c r="D57" s="4" t="s">
        <v>173</v>
      </c>
      <c r="E57" s="14">
        <v>604.39739999999995</v>
      </c>
      <c r="F57" s="7">
        <v>1014549</v>
      </c>
      <c r="G57" s="14">
        <v>979.18730000000005</v>
      </c>
      <c r="H57" s="7">
        <v>1619867</v>
      </c>
      <c r="I57" s="14">
        <v>1583.5847000000001</v>
      </c>
      <c r="J57" s="7">
        <v>2634416</v>
      </c>
    </row>
    <row r="58" spans="1:10" x14ac:dyDescent="0.2">
      <c r="A58" s="9">
        <v>44008</v>
      </c>
      <c r="B58" s="4" t="s">
        <v>222</v>
      </c>
      <c r="C58" s="8">
        <v>43983</v>
      </c>
      <c r="D58" s="4" t="s">
        <v>173</v>
      </c>
      <c r="E58" s="14">
        <v>363.51659999999998</v>
      </c>
      <c r="F58" s="7">
        <v>574849</v>
      </c>
      <c r="G58" s="14">
        <v>538.03859999999997</v>
      </c>
      <c r="H58" s="7">
        <v>835607</v>
      </c>
      <c r="I58" s="14">
        <v>901.55520000000001</v>
      </c>
      <c r="J58" s="7">
        <v>1410456</v>
      </c>
    </row>
    <row r="59" spans="1:10" x14ac:dyDescent="0.2">
      <c r="A59" s="9">
        <v>44011</v>
      </c>
      <c r="B59" s="4" t="s">
        <v>225</v>
      </c>
      <c r="C59" s="8">
        <v>43983</v>
      </c>
      <c r="D59" s="4" t="s">
        <v>173</v>
      </c>
      <c r="E59" s="14">
        <v>335.34969999999998</v>
      </c>
      <c r="F59" s="7">
        <v>534399</v>
      </c>
      <c r="G59" s="14">
        <v>453.85480000000001</v>
      </c>
      <c r="H59" s="7">
        <v>711163</v>
      </c>
      <c r="I59" s="14">
        <v>789.20450000000005</v>
      </c>
      <c r="J59" s="7">
        <v>1245562</v>
      </c>
    </row>
    <row r="60" spans="1:10" x14ac:dyDescent="0.2">
      <c r="A60" s="9">
        <v>44012</v>
      </c>
      <c r="B60" s="4" t="s">
        <v>223</v>
      </c>
      <c r="C60" s="8">
        <v>43983</v>
      </c>
      <c r="D60" s="4" t="s">
        <v>173</v>
      </c>
      <c r="E60" s="14">
        <v>311.45460000000003</v>
      </c>
      <c r="F60" s="7">
        <v>490621</v>
      </c>
      <c r="G60" s="14">
        <v>446.35120000000001</v>
      </c>
      <c r="H60" s="7">
        <v>688362</v>
      </c>
      <c r="I60" s="14">
        <v>757.80579999999998</v>
      </c>
      <c r="J60" s="7">
        <v>1178983</v>
      </c>
    </row>
    <row r="61" spans="1:10" x14ac:dyDescent="0.2">
      <c r="A61" s="9">
        <v>44013</v>
      </c>
      <c r="B61" s="4" t="s">
        <v>221</v>
      </c>
      <c r="C61" s="8">
        <v>44013</v>
      </c>
      <c r="D61" s="4" t="s">
        <v>174</v>
      </c>
      <c r="E61" s="14">
        <v>360.13310000000001</v>
      </c>
      <c r="F61" s="7">
        <v>565720</v>
      </c>
      <c r="G61" s="14">
        <v>476.8999</v>
      </c>
      <c r="H61" s="7">
        <v>748756</v>
      </c>
      <c r="I61" s="14">
        <v>837.03300000000002</v>
      </c>
      <c r="J61" s="7">
        <v>1314476</v>
      </c>
    </row>
    <row r="62" spans="1:10" x14ac:dyDescent="0.2">
      <c r="A62" s="9">
        <v>44014</v>
      </c>
      <c r="B62" s="4" t="s">
        <v>224</v>
      </c>
      <c r="C62" s="8">
        <v>44013</v>
      </c>
      <c r="D62" s="4" t="s">
        <v>174</v>
      </c>
      <c r="E62" s="14">
        <v>348.65159999999997</v>
      </c>
      <c r="F62" s="7">
        <v>543528</v>
      </c>
      <c r="G62" s="14">
        <v>478.30259999999998</v>
      </c>
      <c r="H62" s="7">
        <v>738324</v>
      </c>
      <c r="I62" s="14">
        <v>826.95420000000001</v>
      </c>
      <c r="J62" s="7">
        <v>1281852</v>
      </c>
    </row>
    <row r="63" spans="1:10" x14ac:dyDescent="0.2">
      <c r="A63" s="9">
        <v>44015</v>
      </c>
      <c r="B63" s="4" t="s">
        <v>222</v>
      </c>
      <c r="C63" s="8">
        <v>44013</v>
      </c>
      <c r="D63" s="4" t="s">
        <v>174</v>
      </c>
      <c r="E63" s="14">
        <v>266.87619999999998</v>
      </c>
      <c r="F63" s="7">
        <v>416155</v>
      </c>
      <c r="G63" s="14">
        <v>466.7165</v>
      </c>
      <c r="H63" s="7">
        <v>696954</v>
      </c>
      <c r="I63" s="14">
        <v>733.59270000000004</v>
      </c>
      <c r="J63" s="7">
        <v>1113109</v>
      </c>
    </row>
    <row r="64" spans="1:10" x14ac:dyDescent="0.2">
      <c r="A64" s="9">
        <v>44018</v>
      </c>
      <c r="B64" s="4" t="s">
        <v>225</v>
      </c>
      <c r="C64" s="8">
        <v>44013</v>
      </c>
      <c r="D64" s="4" t="s">
        <v>174</v>
      </c>
      <c r="E64" s="14">
        <v>282.3546</v>
      </c>
      <c r="F64" s="7">
        <v>427108</v>
      </c>
      <c r="G64" s="14">
        <v>491.93</v>
      </c>
      <c r="H64" s="7">
        <v>726482</v>
      </c>
      <c r="I64" s="14">
        <v>774.28459999999995</v>
      </c>
      <c r="J64" s="7">
        <v>1153590</v>
      </c>
    </row>
    <row r="65" spans="1:10" x14ac:dyDescent="0.2">
      <c r="A65" s="9">
        <v>44019</v>
      </c>
      <c r="B65" s="4" t="s">
        <v>223</v>
      </c>
      <c r="C65" s="8">
        <v>44013</v>
      </c>
      <c r="D65" s="4" t="s">
        <v>174</v>
      </c>
      <c r="E65" s="14">
        <v>351.40230000000003</v>
      </c>
      <c r="F65" s="7">
        <v>541703</v>
      </c>
      <c r="G65" s="14">
        <v>600.92259999999999</v>
      </c>
      <c r="H65" s="7">
        <v>913978</v>
      </c>
      <c r="I65" s="14">
        <v>952.32489999999996</v>
      </c>
      <c r="J65" s="7">
        <v>1455681</v>
      </c>
    </row>
    <row r="66" spans="1:10" x14ac:dyDescent="0.2">
      <c r="A66" s="9">
        <v>44020</v>
      </c>
      <c r="B66" s="4" t="s">
        <v>221</v>
      </c>
      <c r="C66" s="8">
        <v>44013</v>
      </c>
      <c r="D66" s="4" t="s">
        <v>174</v>
      </c>
      <c r="E66" s="14">
        <v>366.86500000000001</v>
      </c>
      <c r="F66" s="7">
        <v>553828</v>
      </c>
      <c r="G66" s="14">
        <v>606.50570000000005</v>
      </c>
      <c r="H66" s="7">
        <v>939475</v>
      </c>
      <c r="I66" s="14">
        <v>973.37070000000006</v>
      </c>
      <c r="J66" s="7">
        <v>1493303</v>
      </c>
    </row>
    <row r="67" spans="1:10" x14ac:dyDescent="0.2">
      <c r="A67" s="9">
        <v>44021</v>
      </c>
      <c r="B67" s="4" t="s">
        <v>224</v>
      </c>
      <c r="C67" s="8">
        <v>44013</v>
      </c>
      <c r="D67" s="4" t="s">
        <v>174</v>
      </c>
      <c r="E67" s="14">
        <v>287.73099999999999</v>
      </c>
      <c r="F67" s="7">
        <v>428040</v>
      </c>
      <c r="G67" s="14">
        <v>484.38069999999999</v>
      </c>
      <c r="H67" s="7">
        <v>716989</v>
      </c>
      <c r="I67" s="14">
        <v>772.11170000000004</v>
      </c>
      <c r="J67" s="7">
        <v>1145029</v>
      </c>
    </row>
    <row r="68" spans="1:10" x14ac:dyDescent="0.2">
      <c r="A68" s="9">
        <v>44022</v>
      </c>
      <c r="B68" s="4" t="s">
        <v>222</v>
      </c>
      <c r="C68" s="8">
        <v>44013</v>
      </c>
      <c r="D68" s="4" t="s">
        <v>174</v>
      </c>
      <c r="E68" s="14">
        <v>326.8528</v>
      </c>
      <c r="F68" s="7">
        <v>491863</v>
      </c>
      <c r="G68" s="14">
        <v>544.10469999999998</v>
      </c>
      <c r="H68" s="7">
        <v>797661</v>
      </c>
      <c r="I68" s="14">
        <v>870.95749999999998</v>
      </c>
      <c r="J68" s="7">
        <v>1289524</v>
      </c>
    </row>
    <row r="69" spans="1:10" x14ac:dyDescent="0.2">
      <c r="A69" s="9">
        <v>44025</v>
      </c>
      <c r="B69" s="4" t="s">
        <v>225</v>
      </c>
      <c r="C69" s="8">
        <v>44013</v>
      </c>
      <c r="D69" s="4" t="s">
        <v>174</v>
      </c>
      <c r="E69" s="14">
        <v>287.11410000000001</v>
      </c>
      <c r="F69" s="7">
        <v>434261</v>
      </c>
      <c r="G69" s="14">
        <v>501.4341</v>
      </c>
      <c r="H69" s="7">
        <v>702078</v>
      </c>
      <c r="I69" s="14">
        <v>788.54819999999995</v>
      </c>
      <c r="J69" s="7">
        <v>1136339</v>
      </c>
    </row>
    <row r="70" spans="1:10" x14ac:dyDescent="0.2">
      <c r="A70" s="9">
        <v>44026</v>
      </c>
      <c r="B70" s="4" t="s">
        <v>223</v>
      </c>
      <c r="C70" s="8">
        <v>44013</v>
      </c>
      <c r="D70" s="4" t="s">
        <v>174</v>
      </c>
      <c r="E70" s="14">
        <v>358.25670000000002</v>
      </c>
      <c r="F70" s="7">
        <v>552808</v>
      </c>
      <c r="G70" s="14">
        <v>549.2509</v>
      </c>
      <c r="H70" s="7">
        <v>784848</v>
      </c>
      <c r="I70" s="14">
        <v>907.50760000000002</v>
      </c>
      <c r="J70" s="7">
        <v>1337656</v>
      </c>
    </row>
    <row r="71" spans="1:10" x14ac:dyDescent="0.2">
      <c r="A71" s="9">
        <v>44027</v>
      </c>
      <c r="B71" s="4" t="s">
        <v>221</v>
      </c>
      <c r="C71" s="8">
        <v>44013</v>
      </c>
      <c r="D71" s="4" t="s">
        <v>174</v>
      </c>
      <c r="E71" s="14">
        <v>383.09699999999998</v>
      </c>
      <c r="F71" s="7">
        <v>585876</v>
      </c>
      <c r="G71" s="14">
        <v>677.62080000000003</v>
      </c>
      <c r="H71" s="7">
        <v>928749</v>
      </c>
      <c r="I71" s="14">
        <v>1060.7177999999999</v>
      </c>
      <c r="J71" s="7">
        <v>1514625</v>
      </c>
    </row>
    <row r="72" spans="1:10" x14ac:dyDescent="0.2">
      <c r="A72" s="9">
        <v>44028</v>
      </c>
      <c r="B72" s="4" t="s">
        <v>224</v>
      </c>
      <c r="C72" s="8">
        <v>44013</v>
      </c>
      <c r="D72" s="4" t="s">
        <v>174</v>
      </c>
      <c r="E72" s="14">
        <v>327.50049999999999</v>
      </c>
      <c r="F72" s="7">
        <v>515349</v>
      </c>
      <c r="G72" s="14">
        <v>626.94510000000002</v>
      </c>
      <c r="H72" s="7">
        <v>874246</v>
      </c>
      <c r="I72" s="14">
        <v>954.44560000000001</v>
      </c>
      <c r="J72" s="7">
        <v>1389595</v>
      </c>
    </row>
    <row r="73" spans="1:10" x14ac:dyDescent="0.2">
      <c r="A73" s="9">
        <v>44029</v>
      </c>
      <c r="B73" s="4" t="s">
        <v>222</v>
      </c>
      <c r="C73" s="8">
        <v>44013</v>
      </c>
      <c r="D73" s="4" t="s">
        <v>174</v>
      </c>
      <c r="E73" s="14">
        <v>330.41379999999998</v>
      </c>
      <c r="F73" s="7">
        <v>509957</v>
      </c>
      <c r="G73" s="14">
        <v>622.09939999999995</v>
      </c>
      <c r="H73" s="7">
        <v>880221</v>
      </c>
      <c r="I73" s="14">
        <v>952.51319999999998</v>
      </c>
      <c r="J73" s="7">
        <v>1390178</v>
      </c>
    </row>
    <row r="74" spans="1:10" x14ac:dyDescent="0.2">
      <c r="A74" s="9">
        <v>44032</v>
      </c>
      <c r="B74" s="4" t="s">
        <v>225</v>
      </c>
      <c r="C74" s="8">
        <v>44013</v>
      </c>
      <c r="D74" s="4" t="s">
        <v>174</v>
      </c>
      <c r="E74" s="14">
        <v>295.61750000000001</v>
      </c>
      <c r="F74" s="7">
        <v>449467</v>
      </c>
      <c r="G74" s="14">
        <v>590.06439999999998</v>
      </c>
      <c r="H74" s="7">
        <v>872341</v>
      </c>
      <c r="I74" s="14">
        <v>885.68190000000004</v>
      </c>
      <c r="J74" s="7">
        <v>1321808</v>
      </c>
    </row>
    <row r="75" spans="1:10" x14ac:dyDescent="0.2">
      <c r="A75" s="9">
        <v>44033</v>
      </c>
      <c r="B75" s="4" t="s">
        <v>223</v>
      </c>
      <c r="C75" s="8">
        <v>44013</v>
      </c>
      <c r="D75" s="4" t="s">
        <v>174</v>
      </c>
      <c r="E75" s="14">
        <v>278.79039999999998</v>
      </c>
      <c r="F75" s="7">
        <v>413391</v>
      </c>
      <c r="G75" s="14">
        <v>695.30380000000002</v>
      </c>
      <c r="H75" s="7">
        <v>986013</v>
      </c>
      <c r="I75" s="14">
        <v>974.0942</v>
      </c>
      <c r="J75" s="7">
        <v>1399404</v>
      </c>
    </row>
    <row r="76" spans="1:10" x14ac:dyDescent="0.2">
      <c r="A76" s="9">
        <v>44034</v>
      </c>
      <c r="B76" s="4" t="s">
        <v>221</v>
      </c>
      <c r="C76" s="8">
        <v>44013</v>
      </c>
      <c r="D76" s="4" t="s">
        <v>174</v>
      </c>
      <c r="E76" s="14">
        <v>326.71069999999997</v>
      </c>
      <c r="F76" s="7">
        <v>487092</v>
      </c>
      <c r="G76" s="14">
        <v>726.69730000000004</v>
      </c>
      <c r="H76" s="7">
        <v>1035659</v>
      </c>
      <c r="I76" s="14">
        <v>1053.4079999999999</v>
      </c>
      <c r="J76" s="7">
        <v>1522751</v>
      </c>
    </row>
    <row r="77" spans="1:10" x14ac:dyDescent="0.2">
      <c r="A77" s="9">
        <v>44035</v>
      </c>
      <c r="B77" s="4" t="s">
        <v>224</v>
      </c>
      <c r="C77" s="8">
        <v>44013</v>
      </c>
      <c r="D77" s="4" t="s">
        <v>174</v>
      </c>
      <c r="E77" s="14">
        <v>263.08510000000001</v>
      </c>
      <c r="F77" s="7">
        <v>389374</v>
      </c>
      <c r="G77" s="14">
        <v>619.60249999999996</v>
      </c>
      <c r="H77" s="7">
        <v>882817</v>
      </c>
      <c r="I77" s="14">
        <v>882.68759999999997</v>
      </c>
      <c r="J77" s="7">
        <v>1272191</v>
      </c>
    </row>
    <row r="78" spans="1:10" x14ac:dyDescent="0.2">
      <c r="A78" s="9">
        <v>44036</v>
      </c>
      <c r="B78" s="4" t="s">
        <v>222</v>
      </c>
      <c r="C78" s="8">
        <v>44013</v>
      </c>
      <c r="D78" s="4" t="s">
        <v>174</v>
      </c>
      <c r="E78" s="14">
        <v>342.73880000000003</v>
      </c>
      <c r="F78" s="7">
        <v>505377</v>
      </c>
      <c r="G78" s="14">
        <v>850.71529999999996</v>
      </c>
      <c r="H78" s="7">
        <v>1204453</v>
      </c>
      <c r="I78" s="14">
        <v>1193.4540999999999</v>
      </c>
      <c r="J78" s="7">
        <v>1709830</v>
      </c>
    </row>
    <row r="79" spans="1:10" x14ac:dyDescent="0.2">
      <c r="A79" s="9">
        <v>44039</v>
      </c>
      <c r="B79" s="4" t="s">
        <v>225</v>
      </c>
      <c r="C79" s="8">
        <v>44013</v>
      </c>
      <c r="D79" s="4" t="s">
        <v>174</v>
      </c>
      <c r="E79" s="14">
        <v>348.21780000000001</v>
      </c>
      <c r="F79" s="7">
        <v>526244</v>
      </c>
      <c r="G79" s="14">
        <v>1034.9211</v>
      </c>
      <c r="H79" s="7">
        <v>1496870</v>
      </c>
      <c r="I79" s="14">
        <v>1383.1388999999999</v>
      </c>
      <c r="J79" s="7">
        <v>2023114</v>
      </c>
    </row>
    <row r="80" spans="1:10" x14ac:dyDescent="0.2">
      <c r="A80" s="9">
        <v>44040</v>
      </c>
      <c r="B80" s="4" t="s">
        <v>223</v>
      </c>
      <c r="C80" s="8">
        <v>44013</v>
      </c>
      <c r="D80" s="4" t="s">
        <v>174</v>
      </c>
      <c r="E80" s="14">
        <v>399.54289999999997</v>
      </c>
      <c r="F80" s="7">
        <v>599921</v>
      </c>
      <c r="G80" s="14">
        <v>1194.4350999999999</v>
      </c>
      <c r="H80" s="7">
        <v>1712227</v>
      </c>
      <c r="I80" s="14">
        <v>1593.9780000000001</v>
      </c>
      <c r="J80" s="7">
        <v>2312148</v>
      </c>
    </row>
    <row r="81" spans="1:10" x14ac:dyDescent="0.2">
      <c r="A81" s="9">
        <v>44041</v>
      </c>
      <c r="B81" s="4" t="s">
        <v>221</v>
      </c>
      <c r="C81" s="8">
        <v>44013</v>
      </c>
      <c r="D81" s="4" t="s">
        <v>174</v>
      </c>
      <c r="E81" s="14">
        <v>450.70909999999998</v>
      </c>
      <c r="F81" s="7">
        <v>652483</v>
      </c>
      <c r="G81" s="14">
        <v>1164.0609999999999</v>
      </c>
      <c r="H81" s="7">
        <v>1636902</v>
      </c>
      <c r="I81" s="14">
        <v>1614.7701</v>
      </c>
      <c r="J81" s="7">
        <v>2289385</v>
      </c>
    </row>
    <row r="82" spans="1:10" x14ac:dyDescent="0.2">
      <c r="A82" s="9">
        <v>44042</v>
      </c>
      <c r="B82" s="4" t="s">
        <v>224</v>
      </c>
      <c r="C82" s="8">
        <v>44013</v>
      </c>
      <c r="D82" s="4" t="s">
        <v>174</v>
      </c>
      <c r="E82" s="14">
        <v>462.07679999999999</v>
      </c>
      <c r="F82" s="7">
        <v>678978</v>
      </c>
      <c r="G82" s="14">
        <v>1078.9988000000001</v>
      </c>
      <c r="H82" s="7">
        <v>1516412</v>
      </c>
      <c r="I82" s="14">
        <v>1541.0755999999999</v>
      </c>
      <c r="J82" s="7">
        <v>2195390</v>
      </c>
    </row>
    <row r="83" spans="1:10" x14ac:dyDescent="0.2">
      <c r="A83" s="9">
        <v>44043</v>
      </c>
      <c r="B83" s="4" t="s">
        <v>222</v>
      </c>
      <c r="C83" s="8">
        <v>44013</v>
      </c>
      <c r="D83" s="4" t="s">
        <v>174</v>
      </c>
      <c r="E83" s="14">
        <v>327.17540000000002</v>
      </c>
      <c r="F83" s="7">
        <v>503725</v>
      </c>
      <c r="G83" s="14">
        <v>667.46109999999999</v>
      </c>
      <c r="H83" s="7">
        <v>917761</v>
      </c>
      <c r="I83" s="14">
        <v>994.63649999999996</v>
      </c>
      <c r="J83" s="7">
        <v>1421486</v>
      </c>
    </row>
    <row r="84" spans="1:10" x14ac:dyDescent="0.2">
      <c r="A84" s="9">
        <v>44046</v>
      </c>
      <c r="B84" s="4" t="s">
        <v>225</v>
      </c>
      <c r="C84" s="8">
        <v>44044</v>
      </c>
      <c r="D84" s="4" t="s">
        <v>174</v>
      </c>
      <c r="E84" s="14">
        <v>290.29820000000001</v>
      </c>
      <c r="F84" s="7">
        <v>442966</v>
      </c>
      <c r="G84" s="14">
        <v>562.40549999999996</v>
      </c>
      <c r="H84" s="7">
        <v>795721</v>
      </c>
      <c r="I84" s="14">
        <v>852.70370000000003</v>
      </c>
      <c r="J84" s="7">
        <v>1238687</v>
      </c>
    </row>
    <row r="85" spans="1:10" x14ac:dyDescent="0.2">
      <c r="A85" s="9">
        <v>44047</v>
      </c>
      <c r="B85" s="4" t="s">
        <v>223</v>
      </c>
      <c r="C85" s="8">
        <v>44044</v>
      </c>
      <c r="D85" s="4" t="s">
        <v>174</v>
      </c>
      <c r="E85" s="14">
        <v>321.78559999999999</v>
      </c>
      <c r="F85" s="7">
        <v>492897</v>
      </c>
      <c r="G85" s="14">
        <v>602.6671</v>
      </c>
      <c r="H85" s="7">
        <v>838257</v>
      </c>
      <c r="I85" s="14">
        <v>924.45270000000005</v>
      </c>
      <c r="J85" s="7">
        <v>1331154</v>
      </c>
    </row>
    <row r="86" spans="1:10" x14ac:dyDescent="0.2">
      <c r="A86" s="9">
        <v>44048</v>
      </c>
      <c r="B86" s="4" t="s">
        <v>221</v>
      </c>
      <c r="C86" s="8">
        <v>44044</v>
      </c>
      <c r="D86" s="4" t="s">
        <v>174</v>
      </c>
      <c r="E86" s="14">
        <v>338.74189999999999</v>
      </c>
      <c r="F86" s="7">
        <v>518975</v>
      </c>
      <c r="G86" s="14">
        <v>622.74990000000003</v>
      </c>
      <c r="H86" s="7">
        <v>859559</v>
      </c>
      <c r="I86" s="14">
        <v>961.49180000000001</v>
      </c>
      <c r="J86" s="7">
        <v>1378534</v>
      </c>
    </row>
    <row r="87" spans="1:10" x14ac:dyDescent="0.2">
      <c r="A87" s="9">
        <v>44049</v>
      </c>
      <c r="B87" s="4" t="s">
        <v>224</v>
      </c>
      <c r="C87" s="8">
        <v>44044</v>
      </c>
      <c r="D87" s="4" t="s">
        <v>174</v>
      </c>
      <c r="E87" s="14">
        <v>345.66160000000002</v>
      </c>
      <c r="F87" s="7">
        <v>531419</v>
      </c>
      <c r="G87" s="14">
        <v>582.33050000000003</v>
      </c>
      <c r="H87" s="7">
        <v>811434</v>
      </c>
      <c r="I87" s="14">
        <v>927.99210000000005</v>
      </c>
      <c r="J87" s="7">
        <v>1342853</v>
      </c>
    </row>
    <row r="88" spans="1:10" x14ac:dyDescent="0.2">
      <c r="A88" s="9">
        <v>44050</v>
      </c>
      <c r="B88" s="4" t="s">
        <v>222</v>
      </c>
      <c r="C88" s="8">
        <v>44044</v>
      </c>
      <c r="D88" s="4" t="s">
        <v>174</v>
      </c>
      <c r="E88" s="14">
        <v>257.43180000000001</v>
      </c>
      <c r="F88" s="7">
        <v>397038</v>
      </c>
      <c r="G88" s="14">
        <v>570.51599999999996</v>
      </c>
      <c r="H88" s="7">
        <v>777771</v>
      </c>
      <c r="I88" s="14">
        <v>827.94780000000003</v>
      </c>
      <c r="J88" s="7">
        <v>1174809</v>
      </c>
    </row>
    <row r="89" spans="1:10" x14ac:dyDescent="0.2">
      <c r="A89" s="9">
        <v>44053</v>
      </c>
      <c r="B89" s="4" t="s">
        <v>225</v>
      </c>
      <c r="C89" s="8">
        <v>44044</v>
      </c>
      <c r="D89" s="4" t="s">
        <v>174</v>
      </c>
      <c r="E89" s="14">
        <v>234.16990000000001</v>
      </c>
      <c r="F89" s="7">
        <v>354275</v>
      </c>
      <c r="G89" s="14">
        <v>597.904</v>
      </c>
      <c r="H89" s="7">
        <v>787700</v>
      </c>
      <c r="I89" s="14">
        <v>832.07389999999998</v>
      </c>
      <c r="J89" s="7">
        <v>1141975</v>
      </c>
    </row>
    <row r="90" spans="1:10" x14ac:dyDescent="0.2">
      <c r="A90" s="9">
        <v>44054</v>
      </c>
      <c r="B90" s="4" t="s">
        <v>223</v>
      </c>
      <c r="C90" s="8">
        <v>44044</v>
      </c>
      <c r="D90" s="4" t="s">
        <v>174</v>
      </c>
      <c r="E90" s="14">
        <v>242.6643</v>
      </c>
      <c r="F90" s="7">
        <v>362269</v>
      </c>
      <c r="G90" s="14">
        <v>579.87429999999995</v>
      </c>
      <c r="H90" s="7">
        <v>796201</v>
      </c>
      <c r="I90" s="14">
        <v>822.53859999999997</v>
      </c>
      <c r="J90" s="7">
        <v>1158470</v>
      </c>
    </row>
    <row r="91" spans="1:10" x14ac:dyDescent="0.2">
      <c r="A91" s="9">
        <v>44055</v>
      </c>
      <c r="B91" s="4" t="s">
        <v>221</v>
      </c>
      <c r="C91" s="8">
        <v>44044</v>
      </c>
      <c r="D91" s="4" t="s">
        <v>174</v>
      </c>
      <c r="E91" s="14">
        <v>242.3109</v>
      </c>
      <c r="F91" s="7">
        <v>364673</v>
      </c>
      <c r="G91" s="14">
        <v>552.55889999999999</v>
      </c>
      <c r="H91" s="7">
        <v>781696</v>
      </c>
      <c r="I91" s="14">
        <v>794.86980000000005</v>
      </c>
      <c r="J91" s="7">
        <v>1146369</v>
      </c>
    </row>
    <row r="92" spans="1:10" x14ac:dyDescent="0.2">
      <c r="A92" s="9">
        <v>44056</v>
      </c>
      <c r="B92" s="4" t="s">
        <v>224</v>
      </c>
      <c r="C92" s="8">
        <v>44044</v>
      </c>
      <c r="D92" s="4" t="s">
        <v>174</v>
      </c>
      <c r="E92" s="14">
        <v>214.43690000000001</v>
      </c>
      <c r="F92" s="7">
        <v>321854</v>
      </c>
      <c r="G92" s="14">
        <v>568.35490000000004</v>
      </c>
      <c r="H92" s="7">
        <v>791962</v>
      </c>
      <c r="I92" s="14">
        <v>782.79179999999997</v>
      </c>
      <c r="J92" s="7">
        <v>1113816</v>
      </c>
    </row>
    <row r="93" spans="1:10" x14ac:dyDescent="0.2">
      <c r="A93" s="9">
        <v>44057</v>
      </c>
      <c r="B93" s="4" t="s">
        <v>222</v>
      </c>
      <c r="C93" s="8">
        <v>44044</v>
      </c>
      <c r="D93" s="4" t="s">
        <v>174</v>
      </c>
      <c r="E93" s="14">
        <v>336.03230000000002</v>
      </c>
      <c r="F93" s="7">
        <v>500780</v>
      </c>
      <c r="G93" s="14">
        <v>692.51369999999997</v>
      </c>
      <c r="H93" s="7">
        <v>967506</v>
      </c>
      <c r="I93" s="14">
        <v>1028.546</v>
      </c>
      <c r="J93" s="7">
        <v>1468286</v>
      </c>
    </row>
    <row r="94" spans="1:10" x14ac:dyDescent="0.2">
      <c r="A94" s="9">
        <v>44060</v>
      </c>
      <c r="B94" s="4" t="s">
        <v>225</v>
      </c>
      <c r="C94" s="8">
        <v>44044</v>
      </c>
      <c r="D94" s="4" t="s">
        <v>174</v>
      </c>
      <c r="E94" s="14">
        <v>259.35980000000001</v>
      </c>
      <c r="F94" s="7">
        <v>393325</v>
      </c>
      <c r="G94" s="14">
        <v>550.76660000000004</v>
      </c>
      <c r="H94" s="7">
        <v>774497</v>
      </c>
      <c r="I94" s="14">
        <v>810.12639999999999</v>
      </c>
      <c r="J94" s="7">
        <v>1167822</v>
      </c>
    </row>
    <row r="95" spans="1:10" x14ac:dyDescent="0.2">
      <c r="A95" s="9">
        <v>44061</v>
      </c>
      <c r="B95" s="4" t="s">
        <v>223</v>
      </c>
      <c r="C95" s="8">
        <v>44044</v>
      </c>
      <c r="D95" s="4" t="s">
        <v>174</v>
      </c>
      <c r="E95" s="14">
        <v>273.601</v>
      </c>
      <c r="F95" s="7">
        <v>413298</v>
      </c>
      <c r="G95" s="14">
        <v>558.53520000000003</v>
      </c>
      <c r="H95" s="7">
        <v>801600</v>
      </c>
      <c r="I95" s="14">
        <v>832.13620000000003</v>
      </c>
      <c r="J95" s="7">
        <v>1214898</v>
      </c>
    </row>
    <row r="96" spans="1:10" x14ac:dyDescent="0.2">
      <c r="A96" s="9">
        <v>44062</v>
      </c>
      <c r="B96" s="4" t="s">
        <v>221</v>
      </c>
      <c r="C96" s="8">
        <v>44044</v>
      </c>
      <c r="D96" s="4" t="s">
        <v>174</v>
      </c>
      <c r="E96" s="14">
        <v>207.6626</v>
      </c>
      <c r="F96" s="7">
        <v>311782</v>
      </c>
      <c r="G96" s="14">
        <v>570.00429999999994</v>
      </c>
      <c r="H96" s="7">
        <v>798229</v>
      </c>
      <c r="I96" s="14">
        <v>777.66690000000006</v>
      </c>
      <c r="J96" s="7">
        <v>1110011</v>
      </c>
    </row>
    <row r="97" spans="1:10" x14ac:dyDescent="0.2">
      <c r="A97" s="9">
        <v>44063</v>
      </c>
      <c r="B97" s="4" t="s">
        <v>224</v>
      </c>
      <c r="C97" s="8">
        <v>44044</v>
      </c>
      <c r="D97" s="4" t="s">
        <v>174</v>
      </c>
      <c r="E97" s="14">
        <v>266.50839999999999</v>
      </c>
      <c r="F97" s="7">
        <v>394553</v>
      </c>
      <c r="G97" s="14">
        <v>615.34379999999999</v>
      </c>
      <c r="H97" s="7">
        <v>904736</v>
      </c>
      <c r="I97" s="14">
        <v>881.85220000000004</v>
      </c>
      <c r="J97" s="7">
        <v>1299289</v>
      </c>
    </row>
    <row r="98" spans="1:10" x14ac:dyDescent="0.2">
      <c r="A98" s="9">
        <v>44064</v>
      </c>
      <c r="B98" s="4" t="s">
        <v>222</v>
      </c>
      <c r="C98" s="8">
        <v>44044</v>
      </c>
      <c r="D98" s="4" t="s">
        <v>174</v>
      </c>
      <c r="E98" s="14">
        <v>195.6275</v>
      </c>
      <c r="F98" s="7">
        <v>286857</v>
      </c>
      <c r="G98" s="14">
        <v>709.7645</v>
      </c>
      <c r="H98" s="7">
        <v>991801</v>
      </c>
      <c r="I98" s="14">
        <v>905.39200000000005</v>
      </c>
      <c r="J98" s="7">
        <v>1278658</v>
      </c>
    </row>
    <row r="99" spans="1:10" x14ac:dyDescent="0.2">
      <c r="A99" s="9">
        <v>44067</v>
      </c>
      <c r="B99" s="4" t="s">
        <v>225</v>
      </c>
      <c r="C99" s="8">
        <v>44044</v>
      </c>
      <c r="D99" s="4" t="s">
        <v>174</v>
      </c>
      <c r="E99" s="14">
        <v>247.74260000000001</v>
      </c>
      <c r="F99" s="7">
        <v>363778</v>
      </c>
      <c r="G99" s="14">
        <v>1034.7243000000001</v>
      </c>
      <c r="H99" s="7">
        <v>1420800</v>
      </c>
      <c r="I99" s="14">
        <v>1282.4668999999999</v>
      </c>
      <c r="J99" s="7">
        <v>1784578</v>
      </c>
    </row>
    <row r="100" spans="1:10" x14ac:dyDescent="0.2">
      <c r="A100" s="9">
        <v>44068</v>
      </c>
      <c r="B100" s="4" t="s">
        <v>223</v>
      </c>
      <c r="C100" s="8">
        <v>44044</v>
      </c>
      <c r="D100" s="4" t="s">
        <v>174</v>
      </c>
      <c r="E100" s="14">
        <v>332.56720000000001</v>
      </c>
      <c r="F100" s="7">
        <v>487095</v>
      </c>
      <c r="G100" s="14">
        <v>1213.2266</v>
      </c>
      <c r="H100" s="7">
        <v>1704306</v>
      </c>
      <c r="I100" s="14">
        <v>1545.7937999999999</v>
      </c>
      <c r="J100" s="7">
        <v>2191401</v>
      </c>
    </row>
    <row r="101" spans="1:10" x14ac:dyDescent="0.2">
      <c r="A101" s="9">
        <v>44069</v>
      </c>
      <c r="B101" s="4" t="s">
        <v>221</v>
      </c>
      <c r="C101" s="8">
        <v>44044</v>
      </c>
      <c r="D101" s="4" t="s">
        <v>174</v>
      </c>
      <c r="E101" s="14">
        <v>321.66410000000002</v>
      </c>
      <c r="F101" s="7">
        <v>451863</v>
      </c>
      <c r="G101" s="14">
        <v>1075.394</v>
      </c>
      <c r="H101" s="7">
        <v>1473018</v>
      </c>
      <c r="I101" s="14">
        <v>1397.0581</v>
      </c>
      <c r="J101" s="7">
        <v>1924881</v>
      </c>
    </row>
    <row r="102" spans="1:10" x14ac:dyDescent="0.2">
      <c r="A102" s="9">
        <v>44070</v>
      </c>
      <c r="B102" s="4" t="s">
        <v>224</v>
      </c>
      <c r="C102" s="8">
        <v>44044</v>
      </c>
      <c r="D102" s="4" t="s">
        <v>174</v>
      </c>
      <c r="E102" s="14">
        <v>344.92809999999997</v>
      </c>
      <c r="F102" s="7">
        <v>479714</v>
      </c>
      <c r="G102" s="14">
        <v>959.93179999999995</v>
      </c>
      <c r="H102" s="7">
        <v>1329576</v>
      </c>
      <c r="I102" s="14">
        <v>1304.8598999999999</v>
      </c>
      <c r="J102" s="7">
        <v>1809290</v>
      </c>
    </row>
    <row r="103" spans="1:10" x14ac:dyDescent="0.2">
      <c r="A103" s="9">
        <v>44071</v>
      </c>
      <c r="B103" s="4" t="s">
        <v>222</v>
      </c>
      <c r="C103" s="8">
        <v>44044</v>
      </c>
      <c r="D103" s="4" t="s">
        <v>174</v>
      </c>
      <c r="E103" s="14">
        <v>345.67129999999997</v>
      </c>
      <c r="F103" s="7">
        <v>501830</v>
      </c>
      <c r="G103" s="14">
        <v>682.38890000000004</v>
      </c>
      <c r="H103" s="7">
        <v>965974</v>
      </c>
      <c r="I103" s="14">
        <v>1028.0601999999999</v>
      </c>
      <c r="J103" s="7">
        <v>1467804</v>
      </c>
    </row>
    <row r="104" spans="1:10" x14ac:dyDescent="0.2">
      <c r="A104" s="9">
        <v>44074</v>
      </c>
      <c r="B104" s="4" t="s">
        <v>225</v>
      </c>
      <c r="C104" s="8">
        <v>44044</v>
      </c>
      <c r="D104" s="4" t="s">
        <v>174</v>
      </c>
      <c r="E104" s="14">
        <v>592.96</v>
      </c>
      <c r="F104" s="7">
        <v>839830</v>
      </c>
      <c r="G104" s="14">
        <v>879.8048</v>
      </c>
      <c r="H104" s="7">
        <v>1209828</v>
      </c>
      <c r="I104" s="14">
        <v>1472.7647999999999</v>
      </c>
      <c r="J104" s="7">
        <v>2049658</v>
      </c>
    </row>
    <row r="105" spans="1:10" x14ac:dyDescent="0.2">
      <c r="A105" s="9">
        <v>44075</v>
      </c>
      <c r="B105" s="4" t="s">
        <v>223</v>
      </c>
      <c r="C105" s="8">
        <v>44075</v>
      </c>
      <c r="D105" s="4" t="s">
        <v>174</v>
      </c>
      <c r="E105" s="14">
        <v>437.30410000000001</v>
      </c>
      <c r="F105" s="7">
        <v>633649</v>
      </c>
      <c r="G105" s="14">
        <v>683.1105</v>
      </c>
      <c r="H105" s="7">
        <v>929906</v>
      </c>
      <c r="I105" s="14">
        <v>1120.4146000000001</v>
      </c>
      <c r="J105" s="7">
        <v>1563555</v>
      </c>
    </row>
    <row r="106" spans="1:10" x14ac:dyDescent="0.2">
      <c r="A106" s="9">
        <v>44076</v>
      </c>
      <c r="B106" s="4" t="s">
        <v>221</v>
      </c>
      <c r="C106" s="8">
        <v>44075</v>
      </c>
      <c r="D106" s="4" t="s">
        <v>174</v>
      </c>
      <c r="E106" s="14">
        <v>293.80410000000001</v>
      </c>
      <c r="F106" s="7">
        <v>431876</v>
      </c>
      <c r="G106" s="14">
        <v>563.5095</v>
      </c>
      <c r="H106" s="7">
        <v>741488</v>
      </c>
      <c r="I106" s="14">
        <v>857.31359999999995</v>
      </c>
      <c r="J106" s="7">
        <v>1173364</v>
      </c>
    </row>
    <row r="107" spans="1:10" x14ac:dyDescent="0.2">
      <c r="A107" s="9">
        <v>44077</v>
      </c>
      <c r="B107" s="4" t="s">
        <v>224</v>
      </c>
      <c r="C107" s="8">
        <v>44075</v>
      </c>
      <c r="D107" s="4" t="s">
        <v>174</v>
      </c>
      <c r="E107" s="14">
        <v>243.54939999999999</v>
      </c>
      <c r="F107" s="7">
        <v>352280</v>
      </c>
      <c r="G107" s="14">
        <v>535.23540000000003</v>
      </c>
      <c r="H107" s="7">
        <v>694162</v>
      </c>
      <c r="I107" s="14">
        <v>778.78480000000002</v>
      </c>
      <c r="J107" s="7">
        <v>1046442</v>
      </c>
    </row>
    <row r="108" spans="1:10" x14ac:dyDescent="0.2">
      <c r="A108" s="9">
        <v>44078</v>
      </c>
      <c r="B108" s="4" t="s">
        <v>222</v>
      </c>
      <c r="C108" s="8">
        <v>44075</v>
      </c>
      <c r="D108" s="4" t="s">
        <v>174</v>
      </c>
      <c r="E108" s="14">
        <v>364.58350000000002</v>
      </c>
      <c r="F108" s="7">
        <v>535074</v>
      </c>
      <c r="G108" s="14">
        <v>586.98850000000004</v>
      </c>
      <c r="H108" s="7">
        <v>800736</v>
      </c>
      <c r="I108" s="14">
        <v>951.572</v>
      </c>
      <c r="J108" s="7">
        <v>1335810</v>
      </c>
    </row>
    <row r="109" spans="1:10" x14ac:dyDescent="0.2">
      <c r="A109" s="9">
        <v>44081</v>
      </c>
      <c r="B109" s="4" t="s">
        <v>225</v>
      </c>
      <c r="C109" s="8">
        <v>44075</v>
      </c>
      <c r="D109" s="4" t="s">
        <v>174</v>
      </c>
      <c r="E109" s="14">
        <v>280.0247</v>
      </c>
      <c r="F109" s="7">
        <v>414893</v>
      </c>
      <c r="G109" s="14">
        <v>451.88040000000001</v>
      </c>
      <c r="H109" s="7">
        <v>623052</v>
      </c>
      <c r="I109" s="14">
        <v>731.90509999999995</v>
      </c>
      <c r="J109" s="7">
        <v>1037945</v>
      </c>
    </row>
    <row r="110" spans="1:10" x14ac:dyDescent="0.2">
      <c r="A110" s="9">
        <v>44082</v>
      </c>
      <c r="B110" s="4" t="s">
        <v>223</v>
      </c>
      <c r="C110" s="8">
        <v>44075</v>
      </c>
      <c r="D110" s="4" t="s">
        <v>174</v>
      </c>
      <c r="E110" s="14">
        <v>285.57459999999998</v>
      </c>
      <c r="F110" s="7">
        <v>416158</v>
      </c>
      <c r="G110" s="14">
        <v>512.25840000000005</v>
      </c>
      <c r="H110" s="7">
        <v>687038</v>
      </c>
      <c r="I110" s="14">
        <v>797.83299999999997</v>
      </c>
      <c r="J110" s="7">
        <v>1103196</v>
      </c>
    </row>
    <row r="111" spans="1:10" x14ac:dyDescent="0.2">
      <c r="A111" s="9">
        <v>44083</v>
      </c>
      <c r="B111" s="4" t="s">
        <v>221</v>
      </c>
      <c r="C111" s="8">
        <v>44075</v>
      </c>
      <c r="D111" s="4" t="s">
        <v>174</v>
      </c>
      <c r="E111" s="14">
        <v>316.92219999999998</v>
      </c>
      <c r="F111" s="7">
        <v>475405</v>
      </c>
      <c r="G111" s="14">
        <v>574.15070000000003</v>
      </c>
      <c r="H111" s="7">
        <v>774665</v>
      </c>
      <c r="I111" s="14">
        <v>891.0729</v>
      </c>
      <c r="J111" s="7">
        <v>1250070</v>
      </c>
    </row>
    <row r="112" spans="1:10" x14ac:dyDescent="0.2">
      <c r="A112" s="9">
        <v>44084</v>
      </c>
      <c r="B112" s="4" t="s">
        <v>224</v>
      </c>
      <c r="C112" s="8">
        <v>44075</v>
      </c>
      <c r="D112" s="4" t="s">
        <v>174</v>
      </c>
      <c r="E112" s="14">
        <v>342.75599999999997</v>
      </c>
      <c r="F112" s="7">
        <v>508184</v>
      </c>
      <c r="G112" s="14">
        <v>662.25070000000005</v>
      </c>
      <c r="H112" s="7">
        <v>831726</v>
      </c>
      <c r="I112" s="14">
        <v>1005.0067</v>
      </c>
      <c r="J112" s="7">
        <v>1339910</v>
      </c>
    </row>
    <row r="113" spans="1:10" x14ac:dyDescent="0.2">
      <c r="A113" s="9">
        <v>44085</v>
      </c>
      <c r="B113" s="4" t="s">
        <v>222</v>
      </c>
      <c r="C113" s="8">
        <v>44075</v>
      </c>
      <c r="D113" s="4" t="s">
        <v>174</v>
      </c>
      <c r="E113" s="14">
        <v>281.92070000000001</v>
      </c>
      <c r="F113" s="7">
        <v>429403</v>
      </c>
      <c r="G113" s="14">
        <v>555.90440000000001</v>
      </c>
      <c r="H113" s="7">
        <v>720681</v>
      </c>
      <c r="I113" s="14">
        <v>837.82510000000002</v>
      </c>
      <c r="J113" s="7">
        <v>1150084</v>
      </c>
    </row>
    <row r="114" spans="1:10" x14ac:dyDescent="0.2">
      <c r="A114" s="9">
        <v>44088</v>
      </c>
      <c r="B114" s="4" t="s">
        <v>225</v>
      </c>
      <c r="C114" s="8">
        <v>44075</v>
      </c>
      <c r="D114" s="4" t="s">
        <v>174</v>
      </c>
      <c r="E114" s="14">
        <v>311.49599999999998</v>
      </c>
      <c r="F114" s="7">
        <v>469394</v>
      </c>
      <c r="G114" s="14">
        <v>664.13120000000004</v>
      </c>
      <c r="H114" s="7">
        <v>861758</v>
      </c>
      <c r="I114" s="14">
        <v>975.62720000000002</v>
      </c>
      <c r="J114" s="7">
        <v>1331152</v>
      </c>
    </row>
    <row r="115" spans="1:10" x14ac:dyDescent="0.2">
      <c r="A115" s="9">
        <v>44089</v>
      </c>
      <c r="B115" s="4" t="s">
        <v>223</v>
      </c>
      <c r="C115" s="8">
        <v>44075</v>
      </c>
      <c r="D115" s="4" t="s">
        <v>174</v>
      </c>
      <c r="E115" s="14">
        <v>286.6721</v>
      </c>
      <c r="F115" s="7">
        <v>440426</v>
      </c>
      <c r="G115" s="14">
        <v>591.97850000000005</v>
      </c>
      <c r="H115" s="7">
        <v>772623</v>
      </c>
      <c r="I115" s="14">
        <v>878.65060000000005</v>
      </c>
      <c r="J115" s="7">
        <v>1213049</v>
      </c>
    </row>
    <row r="116" spans="1:10" x14ac:dyDescent="0.2">
      <c r="A116" s="9">
        <v>44090</v>
      </c>
      <c r="B116" s="4" t="s">
        <v>221</v>
      </c>
      <c r="C116" s="8">
        <v>44075</v>
      </c>
      <c r="D116" s="4" t="s">
        <v>174</v>
      </c>
      <c r="E116" s="14">
        <v>261.62180000000001</v>
      </c>
      <c r="F116" s="7">
        <v>398662</v>
      </c>
      <c r="G116" s="14">
        <v>595.62379999999996</v>
      </c>
      <c r="H116" s="7">
        <v>783349</v>
      </c>
      <c r="I116" s="14">
        <v>857.24559999999997</v>
      </c>
      <c r="J116" s="7">
        <v>1182011</v>
      </c>
    </row>
    <row r="117" spans="1:10" x14ac:dyDescent="0.2">
      <c r="A117" s="9">
        <v>44091</v>
      </c>
      <c r="B117" s="4" t="s">
        <v>224</v>
      </c>
      <c r="C117" s="8">
        <v>44075</v>
      </c>
      <c r="D117" s="4" t="s">
        <v>174</v>
      </c>
      <c r="E117" s="14">
        <v>274.61590000000001</v>
      </c>
      <c r="F117" s="7">
        <v>407780</v>
      </c>
      <c r="G117" s="14">
        <v>592.16399999999999</v>
      </c>
      <c r="H117" s="7">
        <v>772172</v>
      </c>
      <c r="I117" s="14">
        <v>866.7799</v>
      </c>
      <c r="J117" s="7">
        <v>1179952</v>
      </c>
    </row>
    <row r="118" spans="1:10" x14ac:dyDescent="0.2">
      <c r="A118" s="9">
        <v>44092</v>
      </c>
      <c r="B118" s="4" t="s">
        <v>222</v>
      </c>
      <c r="C118" s="8">
        <v>44075</v>
      </c>
      <c r="D118" s="4" t="s">
        <v>174</v>
      </c>
      <c r="E118" s="14">
        <v>330.71879999999999</v>
      </c>
      <c r="F118" s="7">
        <v>491951</v>
      </c>
      <c r="G118" s="14">
        <v>984.25390000000004</v>
      </c>
      <c r="H118" s="7">
        <v>1240515</v>
      </c>
      <c r="I118" s="14">
        <v>1314.9727</v>
      </c>
      <c r="J118" s="7">
        <v>1732466</v>
      </c>
    </row>
    <row r="119" spans="1:10" x14ac:dyDescent="0.2">
      <c r="A119" s="9">
        <v>44095</v>
      </c>
      <c r="B119" s="4" t="s">
        <v>225</v>
      </c>
      <c r="C119" s="8">
        <v>44075</v>
      </c>
      <c r="D119" s="4" t="s">
        <v>174</v>
      </c>
      <c r="E119" s="14">
        <v>399.74329999999998</v>
      </c>
      <c r="F119" s="7">
        <v>598913</v>
      </c>
      <c r="G119" s="14">
        <v>1143.8324</v>
      </c>
      <c r="H119" s="7">
        <v>1522780</v>
      </c>
      <c r="I119" s="14">
        <v>1543.5757000000001</v>
      </c>
      <c r="J119" s="7">
        <v>2121693</v>
      </c>
    </row>
    <row r="120" spans="1:10" x14ac:dyDescent="0.2">
      <c r="A120" s="9">
        <v>44096</v>
      </c>
      <c r="B120" s="4" t="s">
        <v>223</v>
      </c>
      <c r="C120" s="8">
        <v>44075</v>
      </c>
      <c r="D120" s="4" t="s">
        <v>174</v>
      </c>
      <c r="E120" s="14">
        <v>466.88389999999998</v>
      </c>
      <c r="F120" s="7">
        <v>713468</v>
      </c>
      <c r="G120" s="14">
        <v>1255.7017000000001</v>
      </c>
      <c r="H120" s="7">
        <v>1762604</v>
      </c>
      <c r="I120" s="14">
        <v>1722.5856000000001</v>
      </c>
      <c r="J120" s="7">
        <v>2476072</v>
      </c>
    </row>
    <row r="121" spans="1:10" x14ac:dyDescent="0.2">
      <c r="A121" s="9">
        <v>44097</v>
      </c>
      <c r="B121" s="4" t="s">
        <v>221</v>
      </c>
      <c r="C121" s="8">
        <v>44075</v>
      </c>
      <c r="D121" s="4" t="s">
        <v>174</v>
      </c>
      <c r="E121" s="14">
        <v>429.03559999999999</v>
      </c>
      <c r="F121" s="7">
        <v>654637</v>
      </c>
      <c r="G121" s="14">
        <v>1129.4321</v>
      </c>
      <c r="H121" s="7">
        <v>1610062</v>
      </c>
      <c r="I121" s="14">
        <v>1558.4676999999999</v>
      </c>
      <c r="J121" s="7">
        <v>2264699</v>
      </c>
    </row>
    <row r="122" spans="1:10" x14ac:dyDescent="0.2">
      <c r="A122" s="9">
        <v>44098</v>
      </c>
      <c r="B122" s="4" t="s">
        <v>224</v>
      </c>
      <c r="C122" s="8">
        <v>44075</v>
      </c>
      <c r="D122" s="4" t="s">
        <v>174</v>
      </c>
      <c r="E122" s="14">
        <v>484.82100000000003</v>
      </c>
      <c r="F122" s="7">
        <v>731372</v>
      </c>
      <c r="G122" s="14">
        <v>1046.4834000000001</v>
      </c>
      <c r="H122" s="7">
        <v>1495553</v>
      </c>
      <c r="I122" s="14">
        <v>1531.3044</v>
      </c>
      <c r="J122" s="7">
        <v>2226925</v>
      </c>
    </row>
    <row r="123" spans="1:10" x14ac:dyDescent="0.2">
      <c r="A123" s="9">
        <v>44099</v>
      </c>
      <c r="B123" s="4" t="s">
        <v>222</v>
      </c>
      <c r="C123" s="8">
        <v>44075</v>
      </c>
      <c r="D123" s="4" t="s">
        <v>174</v>
      </c>
      <c r="E123" s="14">
        <v>369.32459999999998</v>
      </c>
      <c r="F123" s="7">
        <v>580863</v>
      </c>
      <c r="G123" s="14">
        <v>597.96180000000004</v>
      </c>
      <c r="H123" s="7">
        <v>829014</v>
      </c>
      <c r="I123" s="14">
        <v>967.28639999999996</v>
      </c>
      <c r="J123" s="7">
        <v>1409877</v>
      </c>
    </row>
    <row r="124" spans="1:10" x14ac:dyDescent="0.2">
      <c r="A124" s="9">
        <v>44102</v>
      </c>
      <c r="B124" s="4" t="s">
        <v>225</v>
      </c>
      <c r="C124" s="8">
        <v>44075</v>
      </c>
      <c r="D124" s="4" t="s">
        <v>174</v>
      </c>
      <c r="E124" s="14">
        <v>307.88740000000001</v>
      </c>
      <c r="F124" s="7">
        <v>480792</v>
      </c>
      <c r="G124" s="14">
        <v>534.03120000000001</v>
      </c>
      <c r="H124" s="7">
        <v>719902</v>
      </c>
      <c r="I124" s="14">
        <v>841.91859999999997</v>
      </c>
      <c r="J124" s="7">
        <v>1200694</v>
      </c>
    </row>
    <row r="125" spans="1:10" x14ac:dyDescent="0.2">
      <c r="A125" s="9">
        <v>44103</v>
      </c>
      <c r="B125" s="4" t="s">
        <v>223</v>
      </c>
      <c r="C125" s="8">
        <v>44075</v>
      </c>
      <c r="D125" s="4" t="s">
        <v>174</v>
      </c>
      <c r="E125" s="14">
        <v>328.12979999999999</v>
      </c>
      <c r="F125" s="7">
        <v>505361</v>
      </c>
      <c r="G125" s="14">
        <v>566.87850000000003</v>
      </c>
      <c r="H125" s="7">
        <v>747224</v>
      </c>
      <c r="I125" s="14">
        <v>895.00829999999996</v>
      </c>
      <c r="J125" s="7">
        <v>1252585</v>
      </c>
    </row>
    <row r="126" spans="1:10" x14ac:dyDescent="0.2">
      <c r="A126" s="9">
        <v>44104</v>
      </c>
      <c r="B126" s="4" t="s">
        <v>221</v>
      </c>
      <c r="C126" s="8">
        <v>44075</v>
      </c>
      <c r="D126" s="4" t="s">
        <v>174</v>
      </c>
      <c r="E126" s="14">
        <v>309.30349999999999</v>
      </c>
      <c r="F126" s="7">
        <v>491160</v>
      </c>
      <c r="G126" s="14">
        <v>526.71540000000005</v>
      </c>
      <c r="H126" s="7">
        <v>701398</v>
      </c>
      <c r="I126" s="14">
        <v>836.01890000000003</v>
      </c>
      <c r="J126" s="7">
        <v>1192558</v>
      </c>
    </row>
    <row r="127" spans="1:10" x14ac:dyDescent="0.2">
      <c r="A127" s="9">
        <v>44105</v>
      </c>
      <c r="B127" s="4" t="s">
        <v>224</v>
      </c>
      <c r="C127" s="8">
        <v>44105</v>
      </c>
      <c r="D127" s="4" t="s">
        <v>175</v>
      </c>
      <c r="E127" s="14">
        <v>309.4119</v>
      </c>
      <c r="F127" s="7">
        <v>480835</v>
      </c>
      <c r="G127" s="14">
        <v>496.77710000000002</v>
      </c>
      <c r="H127" s="7">
        <v>695815</v>
      </c>
      <c r="I127" s="14">
        <v>806.18899999999996</v>
      </c>
      <c r="J127" s="7">
        <v>1176650</v>
      </c>
    </row>
    <row r="128" spans="1:10" x14ac:dyDescent="0.2">
      <c r="A128" s="9">
        <v>44109</v>
      </c>
      <c r="B128" s="4" t="s">
        <v>225</v>
      </c>
      <c r="C128" s="8">
        <v>44105</v>
      </c>
      <c r="D128" s="4" t="s">
        <v>175</v>
      </c>
      <c r="E128" s="14">
        <v>317.0367</v>
      </c>
      <c r="F128" s="7">
        <v>485066</v>
      </c>
      <c r="G128" s="14">
        <v>546.35670000000005</v>
      </c>
      <c r="H128" s="7">
        <v>726488</v>
      </c>
      <c r="I128" s="14">
        <v>863.39340000000004</v>
      </c>
      <c r="J128" s="7">
        <v>1211554</v>
      </c>
    </row>
    <row r="129" spans="1:10" x14ac:dyDescent="0.2">
      <c r="A129" s="9">
        <v>44110</v>
      </c>
      <c r="B129" s="4" t="s">
        <v>223</v>
      </c>
      <c r="C129" s="8">
        <v>44105</v>
      </c>
      <c r="D129" s="4" t="s">
        <v>175</v>
      </c>
      <c r="E129" s="14">
        <v>296.30630000000002</v>
      </c>
      <c r="F129" s="7">
        <v>442531</v>
      </c>
      <c r="G129" s="14">
        <v>531.72500000000002</v>
      </c>
      <c r="H129" s="7">
        <v>717052</v>
      </c>
      <c r="I129" s="14">
        <v>828.03129999999999</v>
      </c>
      <c r="J129" s="7">
        <v>1159583</v>
      </c>
    </row>
    <row r="130" spans="1:10" x14ac:dyDescent="0.2">
      <c r="A130" s="9">
        <v>44111</v>
      </c>
      <c r="B130" s="4" t="s">
        <v>221</v>
      </c>
      <c r="C130" s="8">
        <v>44105</v>
      </c>
      <c r="D130" s="4" t="s">
        <v>175</v>
      </c>
      <c r="E130" s="14">
        <v>306.79090000000002</v>
      </c>
      <c r="F130" s="7">
        <v>452144</v>
      </c>
      <c r="G130" s="14">
        <v>575.0231</v>
      </c>
      <c r="H130" s="7">
        <v>732574</v>
      </c>
      <c r="I130" s="14">
        <v>881.81399999999996</v>
      </c>
      <c r="J130" s="7">
        <v>1184718</v>
      </c>
    </row>
    <row r="131" spans="1:10" x14ac:dyDescent="0.2">
      <c r="A131" s="9">
        <v>44112</v>
      </c>
      <c r="B131" s="4" t="s">
        <v>224</v>
      </c>
      <c r="C131" s="8">
        <v>44105</v>
      </c>
      <c r="D131" s="4" t="s">
        <v>175</v>
      </c>
      <c r="E131" s="14">
        <v>311.0129</v>
      </c>
      <c r="F131" s="7">
        <v>447144</v>
      </c>
      <c r="G131" s="14">
        <v>658.82590000000005</v>
      </c>
      <c r="H131" s="7">
        <v>816556</v>
      </c>
      <c r="I131" s="14">
        <v>969.83879999999999</v>
      </c>
      <c r="J131" s="7">
        <v>1263700</v>
      </c>
    </row>
    <row r="132" spans="1:10" x14ac:dyDescent="0.2">
      <c r="A132" s="9">
        <v>44113</v>
      </c>
      <c r="B132" s="4" t="s">
        <v>222</v>
      </c>
      <c r="C132" s="8">
        <v>44105</v>
      </c>
      <c r="D132" s="4" t="s">
        <v>175</v>
      </c>
      <c r="E132" s="14">
        <v>366.7525</v>
      </c>
      <c r="F132" s="7">
        <v>544368</v>
      </c>
      <c r="G132" s="14">
        <v>597.79129999999998</v>
      </c>
      <c r="H132" s="7">
        <v>811302</v>
      </c>
      <c r="I132" s="14">
        <v>964.54380000000003</v>
      </c>
      <c r="J132" s="7">
        <v>1355670</v>
      </c>
    </row>
    <row r="133" spans="1:10" x14ac:dyDescent="0.2">
      <c r="A133" s="9">
        <v>44116</v>
      </c>
      <c r="B133" s="4" t="s">
        <v>225</v>
      </c>
      <c r="C133" s="8">
        <v>44105</v>
      </c>
      <c r="D133" s="4" t="s">
        <v>175</v>
      </c>
      <c r="E133" s="14">
        <v>307.45580000000001</v>
      </c>
      <c r="F133" s="7">
        <v>442786</v>
      </c>
      <c r="G133" s="14">
        <v>479.59460000000001</v>
      </c>
      <c r="H133" s="7">
        <v>635821</v>
      </c>
      <c r="I133" s="14">
        <v>787.05039999999997</v>
      </c>
      <c r="J133" s="7">
        <v>1078607</v>
      </c>
    </row>
    <row r="134" spans="1:10" x14ac:dyDescent="0.2">
      <c r="A134" s="9">
        <v>44117</v>
      </c>
      <c r="B134" s="4" t="s">
        <v>223</v>
      </c>
      <c r="C134" s="8">
        <v>44105</v>
      </c>
      <c r="D134" s="4" t="s">
        <v>175</v>
      </c>
      <c r="E134" s="14">
        <v>257.64940000000001</v>
      </c>
      <c r="F134" s="7">
        <v>375643</v>
      </c>
      <c r="G134" s="14">
        <v>547.76980000000003</v>
      </c>
      <c r="H134" s="7">
        <v>674087</v>
      </c>
      <c r="I134" s="14">
        <v>805.41920000000005</v>
      </c>
      <c r="J134" s="7">
        <v>1049730</v>
      </c>
    </row>
    <row r="135" spans="1:10" x14ac:dyDescent="0.2">
      <c r="A135" s="9">
        <v>44118</v>
      </c>
      <c r="B135" s="4" t="s">
        <v>221</v>
      </c>
      <c r="C135" s="8">
        <v>44105</v>
      </c>
      <c r="D135" s="4" t="s">
        <v>175</v>
      </c>
      <c r="E135" s="14">
        <v>326.97989999999999</v>
      </c>
      <c r="F135" s="7">
        <v>469318</v>
      </c>
      <c r="G135" s="14">
        <v>541.85770000000002</v>
      </c>
      <c r="H135" s="7">
        <v>699055</v>
      </c>
      <c r="I135" s="14">
        <v>868.83759999999995</v>
      </c>
      <c r="J135" s="7">
        <v>1168373</v>
      </c>
    </row>
    <row r="136" spans="1:10" x14ac:dyDescent="0.2">
      <c r="A136" s="9">
        <v>44119</v>
      </c>
      <c r="B136" s="4" t="s">
        <v>224</v>
      </c>
      <c r="C136" s="8">
        <v>44105</v>
      </c>
      <c r="D136" s="4" t="s">
        <v>175</v>
      </c>
      <c r="E136" s="14">
        <v>430.81169999999997</v>
      </c>
      <c r="F136" s="7">
        <v>609860</v>
      </c>
      <c r="G136" s="14">
        <v>621.69590000000005</v>
      </c>
      <c r="H136" s="7">
        <v>794355</v>
      </c>
      <c r="I136" s="14">
        <v>1052.5075999999999</v>
      </c>
      <c r="J136" s="7">
        <v>1404215</v>
      </c>
    </row>
    <row r="137" spans="1:10" x14ac:dyDescent="0.2">
      <c r="A137" s="9">
        <v>44120</v>
      </c>
      <c r="B137" s="4" t="s">
        <v>222</v>
      </c>
      <c r="C137" s="8">
        <v>44105</v>
      </c>
      <c r="D137" s="4" t="s">
        <v>175</v>
      </c>
      <c r="E137" s="14">
        <v>327.2919</v>
      </c>
      <c r="F137" s="7">
        <v>474726</v>
      </c>
      <c r="G137" s="14">
        <v>559.1739</v>
      </c>
      <c r="H137" s="7">
        <v>723284</v>
      </c>
      <c r="I137" s="14">
        <v>886.46579999999994</v>
      </c>
      <c r="J137" s="7">
        <v>1198010</v>
      </c>
    </row>
    <row r="138" spans="1:10" x14ac:dyDescent="0.2">
      <c r="A138" s="9">
        <v>44123</v>
      </c>
      <c r="B138" s="4" t="s">
        <v>225</v>
      </c>
      <c r="C138" s="8">
        <v>44105</v>
      </c>
      <c r="D138" s="4" t="s">
        <v>175</v>
      </c>
      <c r="E138" s="14">
        <v>299.03300000000002</v>
      </c>
      <c r="F138" s="7">
        <v>436025</v>
      </c>
      <c r="G138" s="14">
        <v>565.55439999999999</v>
      </c>
      <c r="H138" s="7">
        <v>765807</v>
      </c>
      <c r="I138" s="14">
        <v>864.5874</v>
      </c>
      <c r="J138" s="7">
        <v>1201832</v>
      </c>
    </row>
    <row r="139" spans="1:10" x14ac:dyDescent="0.2">
      <c r="A139" s="9">
        <v>44124</v>
      </c>
      <c r="B139" s="4" t="s">
        <v>223</v>
      </c>
      <c r="C139" s="8">
        <v>44105</v>
      </c>
      <c r="D139" s="4" t="s">
        <v>175</v>
      </c>
      <c r="E139" s="14">
        <v>275.08339999999998</v>
      </c>
      <c r="F139" s="7">
        <v>390617</v>
      </c>
      <c r="G139" s="14">
        <v>519.59870000000001</v>
      </c>
      <c r="H139" s="7">
        <v>694985</v>
      </c>
      <c r="I139" s="14">
        <v>794.68209999999999</v>
      </c>
      <c r="J139" s="7">
        <v>1085602</v>
      </c>
    </row>
    <row r="140" spans="1:10" x14ac:dyDescent="0.2">
      <c r="A140" s="9">
        <v>44125</v>
      </c>
      <c r="B140" s="4" t="s">
        <v>221</v>
      </c>
      <c r="C140" s="8">
        <v>44105</v>
      </c>
      <c r="D140" s="4" t="s">
        <v>175</v>
      </c>
      <c r="E140" s="14">
        <v>461.4128</v>
      </c>
      <c r="F140" s="7">
        <v>643883</v>
      </c>
      <c r="G140" s="14">
        <v>708.98230000000001</v>
      </c>
      <c r="H140" s="7">
        <v>956546</v>
      </c>
      <c r="I140" s="14">
        <v>1170.3951</v>
      </c>
      <c r="J140" s="7">
        <v>1600429</v>
      </c>
    </row>
    <row r="141" spans="1:10" x14ac:dyDescent="0.2">
      <c r="A141" s="9">
        <v>44126</v>
      </c>
      <c r="B141" s="4" t="s">
        <v>224</v>
      </c>
      <c r="C141" s="8">
        <v>44105</v>
      </c>
      <c r="D141" s="4" t="s">
        <v>175</v>
      </c>
      <c r="E141" s="14">
        <v>336.75580000000002</v>
      </c>
      <c r="F141" s="7">
        <v>475385</v>
      </c>
      <c r="G141" s="14">
        <v>665.58780000000002</v>
      </c>
      <c r="H141" s="7">
        <v>874194</v>
      </c>
      <c r="I141" s="14">
        <v>1002.3436</v>
      </c>
      <c r="J141" s="7">
        <v>1349579</v>
      </c>
    </row>
    <row r="142" spans="1:10" x14ac:dyDescent="0.2">
      <c r="A142" s="9">
        <v>44127</v>
      </c>
      <c r="B142" s="4" t="s">
        <v>222</v>
      </c>
      <c r="C142" s="8">
        <v>44105</v>
      </c>
      <c r="D142" s="4" t="s">
        <v>175</v>
      </c>
      <c r="E142" s="14">
        <v>272.10079999999999</v>
      </c>
      <c r="F142" s="7">
        <v>389450</v>
      </c>
      <c r="G142" s="14">
        <v>748.94939999999997</v>
      </c>
      <c r="H142" s="7">
        <v>1007299</v>
      </c>
      <c r="I142" s="14">
        <v>1021.0502</v>
      </c>
      <c r="J142" s="7">
        <v>1396749</v>
      </c>
    </row>
    <row r="143" spans="1:10" x14ac:dyDescent="0.2">
      <c r="A143" s="9">
        <v>44130</v>
      </c>
      <c r="B143" s="4" t="s">
        <v>225</v>
      </c>
      <c r="C143" s="8">
        <v>44105</v>
      </c>
      <c r="D143" s="4" t="s">
        <v>175</v>
      </c>
      <c r="E143" s="14">
        <v>374.38249999999999</v>
      </c>
      <c r="F143" s="7">
        <v>528607</v>
      </c>
      <c r="G143" s="14">
        <v>1023.0444</v>
      </c>
      <c r="H143" s="7">
        <v>1404285</v>
      </c>
      <c r="I143" s="14">
        <v>1397.4268999999999</v>
      </c>
      <c r="J143" s="7">
        <v>1932892</v>
      </c>
    </row>
    <row r="144" spans="1:10" x14ac:dyDescent="0.2">
      <c r="A144" s="9">
        <v>44131</v>
      </c>
      <c r="B144" s="4" t="s">
        <v>223</v>
      </c>
      <c r="C144" s="8">
        <v>44105</v>
      </c>
      <c r="D144" s="4" t="s">
        <v>175</v>
      </c>
      <c r="E144" s="14">
        <v>403.94909999999999</v>
      </c>
      <c r="F144" s="7">
        <v>571825</v>
      </c>
      <c r="G144" s="14">
        <v>1282.133</v>
      </c>
      <c r="H144" s="7">
        <v>1778230</v>
      </c>
      <c r="I144" s="14">
        <v>1686.0821000000001</v>
      </c>
      <c r="J144" s="7">
        <v>2350055</v>
      </c>
    </row>
    <row r="145" spans="1:10" x14ac:dyDescent="0.2">
      <c r="A145" s="9">
        <v>44132</v>
      </c>
      <c r="B145" s="4" t="s">
        <v>221</v>
      </c>
      <c r="C145" s="8">
        <v>44105</v>
      </c>
      <c r="D145" s="4" t="s">
        <v>175</v>
      </c>
      <c r="E145" s="14">
        <v>485.65879999999999</v>
      </c>
      <c r="F145" s="7">
        <v>670986</v>
      </c>
      <c r="G145" s="14">
        <v>1229.4784999999999</v>
      </c>
      <c r="H145" s="7">
        <v>1653470</v>
      </c>
      <c r="I145" s="14">
        <v>1715.1373000000001</v>
      </c>
      <c r="J145" s="7">
        <v>2324456</v>
      </c>
    </row>
    <row r="146" spans="1:10" x14ac:dyDescent="0.2">
      <c r="A146" s="9">
        <v>44133</v>
      </c>
      <c r="B146" s="4" t="s">
        <v>224</v>
      </c>
      <c r="C146" s="8">
        <v>44105</v>
      </c>
      <c r="D146" s="4" t="s">
        <v>175</v>
      </c>
      <c r="E146" s="14">
        <v>513.86159999999995</v>
      </c>
      <c r="F146" s="7">
        <v>713416</v>
      </c>
      <c r="G146" s="14">
        <v>973.65930000000003</v>
      </c>
      <c r="H146" s="7">
        <v>1359590</v>
      </c>
      <c r="I146" s="14">
        <v>1487.5209</v>
      </c>
      <c r="J146" s="7">
        <v>2073006</v>
      </c>
    </row>
    <row r="147" spans="1:10" x14ac:dyDescent="0.2">
      <c r="A147" s="9">
        <v>44134</v>
      </c>
      <c r="B147" s="4" t="s">
        <v>222</v>
      </c>
      <c r="C147" s="8">
        <v>44105</v>
      </c>
      <c r="D147" s="4" t="s">
        <v>175</v>
      </c>
      <c r="E147" s="14">
        <v>411.25569999999999</v>
      </c>
      <c r="F147" s="7">
        <v>587278</v>
      </c>
      <c r="G147" s="14">
        <v>587.05889999999999</v>
      </c>
      <c r="H147" s="7">
        <v>863640</v>
      </c>
      <c r="I147" s="14">
        <v>998.31460000000004</v>
      </c>
      <c r="J147" s="7">
        <v>1450918</v>
      </c>
    </row>
    <row r="148" spans="1:10" x14ac:dyDescent="0.2">
      <c r="A148" s="9">
        <v>44137</v>
      </c>
      <c r="B148" s="4" t="s">
        <v>225</v>
      </c>
      <c r="C148" s="8">
        <v>44136</v>
      </c>
      <c r="D148" s="4" t="s">
        <v>175</v>
      </c>
      <c r="E148" s="14">
        <v>407.26830000000001</v>
      </c>
      <c r="F148" s="7">
        <v>590318</v>
      </c>
      <c r="G148" s="14">
        <v>618.40740000000005</v>
      </c>
      <c r="H148" s="7">
        <v>898697</v>
      </c>
      <c r="I148" s="14">
        <v>1025.6757</v>
      </c>
      <c r="J148" s="7">
        <v>1489015</v>
      </c>
    </row>
    <row r="149" spans="1:10" x14ac:dyDescent="0.2">
      <c r="A149" s="9">
        <v>44138</v>
      </c>
      <c r="B149" s="4" t="s">
        <v>223</v>
      </c>
      <c r="C149" s="8">
        <v>44136</v>
      </c>
      <c r="D149" s="4" t="s">
        <v>175</v>
      </c>
      <c r="E149" s="14">
        <v>342.9522</v>
      </c>
      <c r="F149" s="7">
        <v>478502</v>
      </c>
      <c r="G149" s="14">
        <v>610.44200000000001</v>
      </c>
      <c r="H149" s="7">
        <v>872590</v>
      </c>
      <c r="I149" s="14">
        <v>953.39419999999996</v>
      </c>
      <c r="J149" s="7">
        <v>1351092</v>
      </c>
    </row>
    <row r="150" spans="1:10" x14ac:dyDescent="0.2">
      <c r="A150" s="9">
        <v>44139</v>
      </c>
      <c r="B150" s="4" t="s">
        <v>221</v>
      </c>
      <c r="C150" s="8">
        <v>44136</v>
      </c>
      <c r="D150" s="4" t="s">
        <v>175</v>
      </c>
      <c r="E150" s="14">
        <v>455.03750000000002</v>
      </c>
      <c r="F150" s="7">
        <v>625875</v>
      </c>
      <c r="G150" s="14">
        <v>642.83219999999994</v>
      </c>
      <c r="H150" s="7">
        <v>918168</v>
      </c>
      <c r="I150" s="14">
        <v>1097.8697</v>
      </c>
      <c r="J150" s="7">
        <v>1544043</v>
      </c>
    </row>
    <row r="151" spans="1:10" x14ac:dyDescent="0.2">
      <c r="A151" s="9">
        <v>44140</v>
      </c>
      <c r="B151" s="4" t="s">
        <v>224</v>
      </c>
      <c r="C151" s="8">
        <v>44136</v>
      </c>
      <c r="D151" s="4" t="s">
        <v>175</v>
      </c>
      <c r="E151" s="14">
        <v>344.0752</v>
      </c>
      <c r="F151" s="7">
        <v>457905</v>
      </c>
      <c r="G151" s="14">
        <v>602.40380000000005</v>
      </c>
      <c r="H151" s="7">
        <v>865309</v>
      </c>
      <c r="I151" s="14">
        <v>946.47900000000004</v>
      </c>
      <c r="J151" s="7">
        <v>1323214</v>
      </c>
    </row>
    <row r="152" spans="1:10" x14ac:dyDescent="0.2">
      <c r="A152" s="9">
        <v>44141</v>
      </c>
      <c r="B152" s="4" t="s">
        <v>222</v>
      </c>
      <c r="C152" s="8">
        <v>44136</v>
      </c>
      <c r="D152" s="4" t="s">
        <v>175</v>
      </c>
      <c r="E152" s="14">
        <v>367.20179999999999</v>
      </c>
      <c r="F152" s="7">
        <v>490983</v>
      </c>
      <c r="G152" s="14">
        <v>620.18140000000005</v>
      </c>
      <c r="H152" s="7">
        <v>863199</v>
      </c>
      <c r="I152" s="14">
        <v>987.38319999999999</v>
      </c>
      <c r="J152" s="7">
        <v>1354182</v>
      </c>
    </row>
    <row r="153" spans="1:10" x14ac:dyDescent="0.2">
      <c r="A153" s="9">
        <v>44144</v>
      </c>
      <c r="B153" s="4" t="s">
        <v>225</v>
      </c>
      <c r="C153" s="8">
        <v>44136</v>
      </c>
      <c r="D153" s="4" t="s">
        <v>175</v>
      </c>
      <c r="E153" s="14">
        <v>349.76080000000002</v>
      </c>
      <c r="F153" s="7">
        <v>457684</v>
      </c>
      <c r="G153" s="14">
        <v>607.22289999999998</v>
      </c>
      <c r="H153" s="7">
        <v>845473</v>
      </c>
      <c r="I153" s="14">
        <v>956.9837</v>
      </c>
      <c r="J153" s="7">
        <v>1303157</v>
      </c>
    </row>
    <row r="154" spans="1:10" x14ac:dyDescent="0.2">
      <c r="A154" s="9">
        <v>44145</v>
      </c>
      <c r="B154" s="4" t="s">
        <v>223</v>
      </c>
      <c r="C154" s="8">
        <v>44136</v>
      </c>
      <c r="D154" s="4" t="s">
        <v>175</v>
      </c>
      <c r="E154" s="14">
        <v>505.90370000000001</v>
      </c>
      <c r="F154" s="7">
        <v>640737</v>
      </c>
      <c r="G154" s="14">
        <v>807.50840000000005</v>
      </c>
      <c r="H154" s="7">
        <v>1110699</v>
      </c>
      <c r="I154" s="14">
        <v>1313.4121</v>
      </c>
      <c r="J154" s="7">
        <v>1751436</v>
      </c>
    </row>
    <row r="155" spans="1:10" x14ac:dyDescent="0.2">
      <c r="A155" s="9">
        <v>44146</v>
      </c>
      <c r="B155" s="4" t="s">
        <v>221</v>
      </c>
      <c r="C155" s="8">
        <v>44136</v>
      </c>
      <c r="D155" s="4" t="s">
        <v>175</v>
      </c>
      <c r="E155" s="14">
        <v>541.27670000000001</v>
      </c>
      <c r="F155" s="7">
        <v>680993</v>
      </c>
      <c r="G155" s="14">
        <v>812.19470000000001</v>
      </c>
      <c r="H155" s="7">
        <v>1089280</v>
      </c>
      <c r="I155" s="14">
        <v>1353.4713999999999</v>
      </c>
      <c r="J155" s="7">
        <v>1770273</v>
      </c>
    </row>
    <row r="156" spans="1:10" x14ac:dyDescent="0.2">
      <c r="A156" s="9">
        <v>44147</v>
      </c>
      <c r="B156" s="4" t="s">
        <v>224</v>
      </c>
      <c r="C156" s="8">
        <v>44136</v>
      </c>
      <c r="D156" s="4" t="s">
        <v>175</v>
      </c>
      <c r="E156" s="14">
        <v>367.68680000000001</v>
      </c>
      <c r="F156" s="7">
        <v>467884</v>
      </c>
      <c r="G156" s="14">
        <v>595.29769999999996</v>
      </c>
      <c r="H156" s="7">
        <v>813138</v>
      </c>
      <c r="I156" s="14">
        <v>962.98450000000003</v>
      </c>
      <c r="J156" s="7">
        <v>1281022</v>
      </c>
    </row>
    <row r="157" spans="1:10" x14ac:dyDescent="0.2">
      <c r="A157" s="9">
        <v>44148</v>
      </c>
      <c r="B157" s="4" t="s">
        <v>222</v>
      </c>
      <c r="C157" s="8">
        <v>44136</v>
      </c>
      <c r="D157" s="4" t="s">
        <v>175</v>
      </c>
      <c r="E157" s="14">
        <v>354.77980000000002</v>
      </c>
      <c r="F157" s="7">
        <v>455339</v>
      </c>
      <c r="G157" s="14">
        <v>573.04330000000004</v>
      </c>
      <c r="H157" s="7">
        <v>764124</v>
      </c>
      <c r="I157" s="14">
        <v>927.82309999999995</v>
      </c>
      <c r="J157" s="7">
        <v>1219463</v>
      </c>
    </row>
    <row r="158" spans="1:10" x14ac:dyDescent="0.2">
      <c r="A158" s="9">
        <v>44149</v>
      </c>
      <c r="B158" s="4" t="s">
        <v>226</v>
      </c>
      <c r="C158" s="8">
        <v>44136</v>
      </c>
      <c r="D158" s="4" t="s">
        <v>175</v>
      </c>
      <c r="E158" s="14">
        <v>55.552999999999997</v>
      </c>
      <c r="F158" s="7">
        <v>68229</v>
      </c>
      <c r="G158" s="14">
        <v>86.014499999999998</v>
      </c>
      <c r="H158" s="7">
        <v>115380</v>
      </c>
      <c r="I158" s="14">
        <v>141.5675</v>
      </c>
      <c r="J158" s="7">
        <v>183609</v>
      </c>
    </row>
    <row r="159" spans="1:10" x14ac:dyDescent="0.2">
      <c r="A159" s="9">
        <v>44152</v>
      </c>
      <c r="B159" s="4" t="s">
        <v>223</v>
      </c>
      <c r="C159" s="8">
        <v>44136</v>
      </c>
      <c r="D159" s="4" t="s">
        <v>175</v>
      </c>
      <c r="E159" s="14">
        <v>339.7405</v>
      </c>
      <c r="F159" s="7">
        <v>427597</v>
      </c>
      <c r="G159" s="14">
        <v>578.83299999999997</v>
      </c>
      <c r="H159" s="7">
        <v>762283</v>
      </c>
      <c r="I159" s="14">
        <v>918.57349999999997</v>
      </c>
      <c r="J159" s="7">
        <v>1189880</v>
      </c>
    </row>
    <row r="160" spans="1:10" x14ac:dyDescent="0.2">
      <c r="A160" s="9">
        <v>44153</v>
      </c>
      <c r="B160" s="4" t="s">
        <v>221</v>
      </c>
      <c r="C160" s="8">
        <v>44136</v>
      </c>
      <c r="D160" s="4" t="s">
        <v>175</v>
      </c>
      <c r="E160" s="14">
        <v>350.73009999999999</v>
      </c>
      <c r="F160" s="7">
        <v>435375</v>
      </c>
      <c r="G160" s="14">
        <v>656.02059999999994</v>
      </c>
      <c r="H160" s="7">
        <v>869887</v>
      </c>
      <c r="I160" s="14">
        <v>1006.7507000000001</v>
      </c>
      <c r="J160" s="7">
        <v>1305262</v>
      </c>
    </row>
    <row r="161" spans="1:10" x14ac:dyDescent="0.2">
      <c r="A161" s="9">
        <v>44154</v>
      </c>
      <c r="B161" s="4" t="s">
        <v>224</v>
      </c>
      <c r="C161" s="8">
        <v>44136</v>
      </c>
      <c r="D161" s="4" t="s">
        <v>175</v>
      </c>
      <c r="E161" s="14">
        <v>441.48059999999998</v>
      </c>
      <c r="F161" s="7">
        <v>541769</v>
      </c>
      <c r="G161" s="14">
        <v>775.32090000000005</v>
      </c>
      <c r="H161" s="7">
        <v>1010581</v>
      </c>
      <c r="I161" s="14">
        <v>1216.8015</v>
      </c>
      <c r="J161" s="7">
        <v>1552350</v>
      </c>
    </row>
    <row r="162" spans="1:10" x14ac:dyDescent="0.2">
      <c r="A162" s="9">
        <v>44155</v>
      </c>
      <c r="B162" s="4" t="s">
        <v>222</v>
      </c>
      <c r="C162" s="8">
        <v>44136</v>
      </c>
      <c r="D162" s="4" t="s">
        <v>175</v>
      </c>
      <c r="E162" s="14">
        <v>482.80720000000002</v>
      </c>
      <c r="F162" s="7">
        <v>607125</v>
      </c>
      <c r="G162" s="14">
        <v>914.96550000000002</v>
      </c>
      <c r="H162" s="7">
        <v>1169539</v>
      </c>
      <c r="I162" s="14">
        <v>1397.7727</v>
      </c>
      <c r="J162" s="7">
        <v>1776664</v>
      </c>
    </row>
    <row r="163" spans="1:10" x14ac:dyDescent="0.2">
      <c r="A163" s="9">
        <v>44158</v>
      </c>
      <c r="B163" s="4" t="s">
        <v>225</v>
      </c>
      <c r="C163" s="8">
        <v>44136</v>
      </c>
      <c r="D163" s="4" t="s">
        <v>175</v>
      </c>
      <c r="E163" s="14">
        <v>438.07569999999998</v>
      </c>
      <c r="F163" s="7">
        <v>547550</v>
      </c>
      <c r="G163" s="14">
        <v>1229.0097000000001</v>
      </c>
      <c r="H163" s="7">
        <v>1594679</v>
      </c>
      <c r="I163" s="14">
        <v>1667.0853999999999</v>
      </c>
      <c r="J163" s="7">
        <v>2142229</v>
      </c>
    </row>
    <row r="164" spans="1:10" x14ac:dyDescent="0.2">
      <c r="A164" s="9">
        <v>44159</v>
      </c>
      <c r="B164" s="4" t="s">
        <v>223</v>
      </c>
      <c r="C164" s="8">
        <v>44136</v>
      </c>
      <c r="D164" s="4" t="s">
        <v>175</v>
      </c>
      <c r="E164" s="14">
        <v>417.71</v>
      </c>
      <c r="F164" s="7">
        <v>503150</v>
      </c>
      <c r="G164" s="14">
        <v>1381.7981</v>
      </c>
      <c r="H164" s="7">
        <v>1820433</v>
      </c>
      <c r="I164" s="14">
        <v>1799.5081</v>
      </c>
      <c r="J164" s="7">
        <v>2323583</v>
      </c>
    </row>
    <row r="165" spans="1:10" x14ac:dyDescent="0.2">
      <c r="A165" s="9">
        <v>44160</v>
      </c>
      <c r="B165" s="4" t="s">
        <v>221</v>
      </c>
      <c r="C165" s="8">
        <v>44136</v>
      </c>
      <c r="D165" s="4" t="s">
        <v>175</v>
      </c>
      <c r="E165" s="14">
        <v>724.97640000000001</v>
      </c>
      <c r="F165" s="7">
        <v>862611</v>
      </c>
      <c r="G165" s="14">
        <v>1331.5936999999999</v>
      </c>
      <c r="H165" s="7">
        <v>1775415</v>
      </c>
      <c r="I165" s="14">
        <v>2056.5700999999999</v>
      </c>
      <c r="J165" s="7">
        <v>2638026</v>
      </c>
    </row>
    <row r="166" spans="1:10" x14ac:dyDescent="0.2">
      <c r="A166" s="9">
        <v>44161</v>
      </c>
      <c r="B166" s="4" t="s">
        <v>224</v>
      </c>
      <c r="C166" s="8">
        <v>44136</v>
      </c>
      <c r="D166" s="4" t="s">
        <v>175</v>
      </c>
      <c r="E166" s="14">
        <v>613.52149999999995</v>
      </c>
      <c r="F166" s="7">
        <v>739279</v>
      </c>
      <c r="G166" s="14">
        <v>1065.9938999999999</v>
      </c>
      <c r="H166" s="7">
        <v>1400191</v>
      </c>
      <c r="I166" s="14">
        <v>1679.5154</v>
      </c>
      <c r="J166" s="7">
        <v>2139470</v>
      </c>
    </row>
    <row r="167" spans="1:10" x14ac:dyDescent="0.2">
      <c r="A167" s="9">
        <v>44162</v>
      </c>
      <c r="B167" s="4" t="s">
        <v>222</v>
      </c>
      <c r="C167" s="8">
        <v>44136</v>
      </c>
      <c r="D167" s="4" t="s">
        <v>175</v>
      </c>
      <c r="E167" s="14">
        <v>362.86849999999998</v>
      </c>
      <c r="F167" s="7">
        <v>437658</v>
      </c>
      <c r="G167" s="14">
        <v>925.38729999999998</v>
      </c>
      <c r="H167" s="7">
        <v>1192795</v>
      </c>
      <c r="I167" s="14">
        <v>1288.2557999999999</v>
      </c>
      <c r="J167" s="7">
        <v>1630453</v>
      </c>
    </row>
    <row r="168" spans="1:10" x14ac:dyDescent="0.2">
      <c r="A168" s="9">
        <v>44166</v>
      </c>
      <c r="B168" s="4" t="s">
        <v>223</v>
      </c>
      <c r="C168" s="8">
        <v>44166</v>
      </c>
      <c r="D168" s="4" t="s">
        <v>175</v>
      </c>
      <c r="E168" s="14">
        <v>249.24760000000001</v>
      </c>
      <c r="F168" s="7">
        <v>296069</v>
      </c>
      <c r="G168" s="14">
        <v>564.2002</v>
      </c>
      <c r="H168" s="7">
        <v>728498</v>
      </c>
      <c r="I168" s="14">
        <v>813.44780000000003</v>
      </c>
      <c r="J168" s="7">
        <v>1024567</v>
      </c>
    </row>
    <row r="169" spans="1:10" x14ac:dyDescent="0.2">
      <c r="A169" s="9">
        <v>44167</v>
      </c>
      <c r="B169" s="4" t="s">
        <v>221</v>
      </c>
      <c r="C169" s="8">
        <v>44166</v>
      </c>
      <c r="D169" s="4" t="s">
        <v>175</v>
      </c>
      <c r="E169" s="14">
        <v>332.37939999999998</v>
      </c>
      <c r="F169" s="7">
        <v>399980</v>
      </c>
      <c r="G169" s="14">
        <v>615.69219999999996</v>
      </c>
      <c r="H169" s="7">
        <v>791385</v>
      </c>
      <c r="I169" s="14">
        <v>948.07159999999999</v>
      </c>
      <c r="J169" s="7">
        <v>1191365</v>
      </c>
    </row>
    <row r="170" spans="1:10" x14ac:dyDescent="0.2">
      <c r="A170" s="9">
        <v>44168</v>
      </c>
      <c r="B170" s="4" t="s">
        <v>224</v>
      </c>
      <c r="C170" s="8">
        <v>44166</v>
      </c>
      <c r="D170" s="4" t="s">
        <v>175</v>
      </c>
      <c r="E170" s="14">
        <v>264.22660000000002</v>
      </c>
      <c r="F170" s="7">
        <v>321245</v>
      </c>
      <c r="G170" s="14">
        <v>649.88829999999996</v>
      </c>
      <c r="H170" s="7">
        <v>838175</v>
      </c>
      <c r="I170" s="14">
        <v>914.11490000000003</v>
      </c>
      <c r="J170" s="7">
        <v>1159420</v>
      </c>
    </row>
    <row r="171" spans="1:10" x14ac:dyDescent="0.2">
      <c r="A171" s="9">
        <v>44169</v>
      </c>
      <c r="B171" s="4" t="s">
        <v>222</v>
      </c>
      <c r="C171" s="8">
        <v>44166</v>
      </c>
      <c r="D171" s="4" t="s">
        <v>175</v>
      </c>
      <c r="E171" s="14">
        <v>337.79199999999997</v>
      </c>
      <c r="F171" s="7">
        <v>410280</v>
      </c>
      <c r="G171" s="14">
        <v>700.21130000000005</v>
      </c>
      <c r="H171" s="7">
        <v>881871</v>
      </c>
      <c r="I171" s="14">
        <v>1038.0033000000001</v>
      </c>
      <c r="J171" s="7">
        <v>1292151</v>
      </c>
    </row>
    <row r="172" spans="1:10" x14ac:dyDescent="0.2">
      <c r="A172" s="9">
        <v>44172</v>
      </c>
      <c r="B172" s="4" t="s">
        <v>225</v>
      </c>
      <c r="C172" s="8">
        <v>44166</v>
      </c>
      <c r="D172" s="4" t="s">
        <v>175</v>
      </c>
      <c r="E172" s="14">
        <v>255.50980000000001</v>
      </c>
      <c r="F172" s="7">
        <v>304607</v>
      </c>
      <c r="G172" s="14">
        <v>607.13379999999995</v>
      </c>
      <c r="H172" s="7">
        <v>772806</v>
      </c>
      <c r="I172" s="14">
        <v>862.64359999999999</v>
      </c>
      <c r="J172" s="7">
        <v>1077413</v>
      </c>
    </row>
    <row r="173" spans="1:10" x14ac:dyDescent="0.2">
      <c r="A173" s="9">
        <v>44173</v>
      </c>
      <c r="B173" s="4" t="s">
        <v>223</v>
      </c>
      <c r="C173" s="8">
        <v>44166</v>
      </c>
      <c r="D173" s="4" t="s">
        <v>175</v>
      </c>
      <c r="E173" s="14">
        <v>291.56360000000001</v>
      </c>
      <c r="F173" s="7">
        <v>342095</v>
      </c>
      <c r="G173" s="14">
        <v>642.81960000000004</v>
      </c>
      <c r="H173" s="7">
        <v>804587</v>
      </c>
      <c r="I173" s="14">
        <v>934.38319999999999</v>
      </c>
      <c r="J173" s="7">
        <v>1146682</v>
      </c>
    </row>
    <row r="174" spans="1:10" x14ac:dyDescent="0.2">
      <c r="A174" s="9">
        <v>44174</v>
      </c>
      <c r="B174" s="4" t="s">
        <v>221</v>
      </c>
      <c r="C174" s="8">
        <v>44166</v>
      </c>
      <c r="D174" s="4" t="s">
        <v>175</v>
      </c>
      <c r="E174" s="14">
        <v>265.46850000000001</v>
      </c>
      <c r="F174" s="7">
        <v>306469</v>
      </c>
      <c r="G174" s="14">
        <v>572.45749999999998</v>
      </c>
      <c r="H174" s="7">
        <v>721175</v>
      </c>
      <c r="I174" s="14">
        <v>837.92600000000004</v>
      </c>
      <c r="J174" s="7">
        <v>1027644</v>
      </c>
    </row>
    <row r="175" spans="1:10" x14ac:dyDescent="0.2">
      <c r="A175" s="9">
        <v>44175</v>
      </c>
      <c r="B175" s="4" t="s">
        <v>224</v>
      </c>
      <c r="C175" s="8">
        <v>44166</v>
      </c>
      <c r="D175" s="4" t="s">
        <v>175</v>
      </c>
      <c r="E175" s="14">
        <v>289.47370000000001</v>
      </c>
      <c r="F175" s="7">
        <v>338223</v>
      </c>
      <c r="G175" s="14">
        <v>574.00469999999996</v>
      </c>
      <c r="H175" s="7">
        <v>742073</v>
      </c>
      <c r="I175" s="14">
        <v>863.47839999999997</v>
      </c>
      <c r="J175" s="7">
        <v>1080296</v>
      </c>
    </row>
    <row r="176" spans="1:10" x14ac:dyDescent="0.2">
      <c r="A176" s="9">
        <v>44176</v>
      </c>
      <c r="B176" s="4" t="s">
        <v>222</v>
      </c>
      <c r="C176" s="8">
        <v>44166</v>
      </c>
      <c r="D176" s="4" t="s">
        <v>175</v>
      </c>
      <c r="E176" s="14">
        <v>334.20479999999998</v>
      </c>
      <c r="F176" s="7">
        <v>387123</v>
      </c>
      <c r="G176" s="14">
        <v>617.55579999999998</v>
      </c>
      <c r="H176" s="7">
        <v>781640</v>
      </c>
      <c r="I176" s="14">
        <v>951.76059999999995</v>
      </c>
      <c r="J176" s="7">
        <v>1168763</v>
      </c>
    </row>
    <row r="177" spans="1:10" x14ac:dyDescent="0.2">
      <c r="A177" s="9">
        <v>44179</v>
      </c>
      <c r="B177" s="4" t="s">
        <v>225</v>
      </c>
      <c r="C177" s="8">
        <v>44166</v>
      </c>
      <c r="D177" s="4" t="s">
        <v>175</v>
      </c>
      <c r="E177" s="14">
        <v>234.3254</v>
      </c>
      <c r="F177" s="7">
        <v>271075</v>
      </c>
      <c r="G177" s="14">
        <v>498.04739999999998</v>
      </c>
      <c r="H177" s="7">
        <v>619833</v>
      </c>
      <c r="I177" s="14">
        <v>732.37279999999998</v>
      </c>
      <c r="J177" s="7">
        <v>890908</v>
      </c>
    </row>
    <row r="178" spans="1:10" x14ac:dyDescent="0.2">
      <c r="A178" s="9">
        <v>44180</v>
      </c>
      <c r="B178" s="4" t="s">
        <v>223</v>
      </c>
      <c r="C178" s="8">
        <v>44166</v>
      </c>
      <c r="D178" s="4" t="s">
        <v>175</v>
      </c>
      <c r="E178" s="14">
        <v>267.99779999999998</v>
      </c>
      <c r="F178" s="7">
        <v>311672</v>
      </c>
      <c r="G178" s="14">
        <v>568.35609999999997</v>
      </c>
      <c r="H178" s="7">
        <v>694471</v>
      </c>
      <c r="I178" s="14">
        <v>836.35389999999995</v>
      </c>
      <c r="J178" s="7">
        <v>1006143</v>
      </c>
    </row>
    <row r="179" spans="1:10" x14ac:dyDescent="0.2">
      <c r="A179" s="9">
        <v>44181</v>
      </c>
      <c r="B179" s="4" t="s">
        <v>221</v>
      </c>
      <c r="C179" s="8">
        <v>44166</v>
      </c>
      <c r="D179" s="4" t="s">
        <v>175</v>
      </c>
      <c r="E179" s="14">
        <v>247.92939999999999</v>
      </c>
      <c r="F179" s="7">
        <v>284246</v>
      </c>
      <c r="G179" s="14">
        <v>602.34739999999999</v>
      </c>
      <c r="H179" s="7">
        <v>737816</v>
      </c>
      <c r="I179" s="14">
        <v>850.27679999999998</v>
      </c>
      <c r="J179" s="7">
        <v>1022062</v>
      </c>
    </row>
    <row r="180" spans="1:10" x14ac:dyDescent="0.2">
      <c r="A180" s="9">
        <v>44182</v>
      </c>
      <c r="B180" s="4" t="s">
        <v>224</v>
      </c>
      <c r="C180" s="8">
        <v>44166</v>
      </c>
      <c r="D180" s="4" t="s">
        <v>175</v>
      </c>
      <c r="E180" s="14">
        <v>221.5471</v>
      </c>
      <c r="F180" s="7">
        <v>253490</v>
      </c>
      <c r="G180" s="14">
        <v>561.10550000000001</v>
      </c>
      <c r="H180" s="7">
        <v>684818</v>
      </c>
      <c r="I180" s="14">
        <v>782.65260000000001</v>
      </c>
      <c r="J180" s="7">
        <v>938308</v>
      </c>
    </row>
    <row r="181" spans="1:10" x14ac:dyDescent="0.2">
      <c r="A181" s="9">
        <v>44183</v>
      </c>
      <c r="B181" s="4" t="s">
        <v>222</v>
      </c>
      <c r="C181" s="8">
        <v>44166</v>
      </c>
      <c r="D181" s="4" t="s">
        <v>175</v>
      </c>
      <c r="E181" s="14">
        <v>297.8141</v>
      </c>
      <c r="F181" s="7">
        <v>343729</v>
      </c>
      <c r="G181" s="14">
        <v>628.08219999999994</v>
      </c>
      <c r="H181" s="7">
        <v>775776</v>
      </c>
      <c r="I181" s="14">
        <v>925.8963</v>
      </c>
      <c r="J181" s="7">
        <v>1119505</v>
      </c>
    </row>
    <row r="182" spans="1:10" x14ac:dyDescent="0.2">
      <c r="A182" s="9">
        <v>44186</v>
      </c>
      <c r="B182" s="4" t="s">
        <v>225</v>
      </c>
      <c r="C182" s="8">
        <v>44166</v>
      </c>
      <c r="D182" s="4" t="s">
        <v>175</v>
      </c>
      <c r="E182" s="14">
        <v>548.37180000000001</v>
      </c>
      <c r="F182" s="7">
        <v>627641</v>
      </c>
      <c r="G182" s="14">
        <v>914.09299999999996</v>
      </c>
      <c r="H182" s="7">
        <v>1147374</v>
      </c>
      <c r="I182" s="14">
        <v>1462.4648</v>
      </c>
      <c r="J182" s="7">
        <v>1775015</v>
      </c>
    </row>
    <row r="183" spans="1:10" x14ac:dyDescent="0.2">
      <c r="A183" s="9">
        <v>44187</v>
      </c>
      <c r="B183" s="4" t="s">
        <v>223</v>
      </c>
      <c r="C183" s="8">
        <v>44166</v>
      </c>
      <c r="D183" s="4" t="s">
        <v>175</v>
      </c>
      <c r="E183" s="14">
        <v>479.96100000000001</v>
      </c>
      <c r="F183" s="7">
        <v>561495</v>
      </c>
      <c r="G183" s="14">
        <v>775.60490000000004</v>
      </c>
      <c r="H183" s="7">
        <v>995863</v>
      </c>
      <c r="I183" s="14">
        <v>1255.5659000000001</v>
      </c>
      <c r="J183" s="7">
        <v>1557358</v>
      </c>
    </row>
    <row r="184" spans="1:10" x14ac:dyDescent="0.2">
      <c r="A184" s="9">
        <v>44188</v>
      </c>
      <c r="B184" s="4" t="s">
        <v>221</v>
      </c>
      <c r="C184" s="8">
        <v>44166</v>
      </c>
      <c r="D184" s="4" t="s">
        <v>175</v>
      </c>
      <c r="E184" s="14">
        <v>276.39440000000002</v>
      </c>
      <c r="F184" s="7">
        <v>322108</v>
      </c>
      <c r="G184" s="14">
        <v>717.70659999999998</v>
      </c>
      <c r="H184" s="7">
        <v>872138</v>
      </c>
      <c r="I184" s="14">
        <v>994.101</v>
      </c>
      <c r="J184" s="7">
        <v>1194246</v>
      </c>
    </row>
    <row r="185" spans="1:10" x14ac:dyDescent="0.2">
      <c r="A185" s="9">
        <v>44189</v>
      </c>
      <c r="B185" s="4" t="s">
        <v>224</v>
      </c>
      <c r="C185" s="8">
        <v>44166</v>
      </c>
      <c r="D185" s="4" t="s">
        <v>175</v>
      </c>
      <c r="E185" s="14">
        <v>324.41739999999999</v>
      </c>
      <c r="F185" s="7">
        <v>371722</v>
      </c>
      <c r="G185" s="14">
        <v>800.10829999999999</v>
      </c>
      <c r="H185" s="7">
        <v>975883</v>
      </c>
      <c r="I185" s="14">
        <v>1124.5256999999999</v>
      </c>
      <c r="J185" s="7">
        <v>1347605</v>
      </c>
    </row>
    <row r="186" spans="1:10" x14ac:dyDescent="0.2">
      <c r="A186" s="9">
        <v>44193</v>
      </c>
      <c r="B186" s="4" t="s">
        <v>225</v>
      </c>
      <c r="C186" s="8">
        <v>44166</v>
      </c>
      <c r="D186" s="4" t="s">
        <v>175</v>
      </c>
      <c r="E186" s="14">
        <v>246.4571</v>
      </c>
      <c r="F186" s="7">
        <v>276146</v>
      </c>
      <c r="G186" s="14">
        <v>1029.3716999999999</v>
      </c>
      <c r="H186" s="7">
        <v>1248087</v>
      </c>
      <c r="I186" s="14">
        <v>1275.8288</v>
      </c>
      <c r="J186" s="7">
        <v>1524233</v>
      </c>
    </row>
    <row r="187" spans="1:10" x14ac:dyDescent="0.2">
      <c r="A187" s="9">
        <v>44194</v>
      </c>
      <c r="B187" s="4" t="s">
        <v>223</v>
      </c>
      <c r="C187" s="8">
        <v>44166</v>
      </c>
      <c r="D187" s="4" t="s">
        <v>175</v>
      </c>
      <c r="E187" s="14">
        <v>322.48689999999999</v>
      </c>
      <c r="F187" s="7">
        <v>359992</v>
      </c>
      <c r="G187" s="14">
        <v>1160.1434999999999</v>
      </c>
      <c r="H187" s="7">
        <v>1442232</v>
      </c>
      <c r="I187" s="14">
        <v>1482.6304</v>
      </c>
      <c r="J187" s="7">
        <v>1802224</v>
      </c>
    </row>
    <row r="188" spans="1:10" x14ac:dyDescent="0.2">
      <c r="A188" s="9">
        <v>44195</v>
      </c>
      <c r="B188" s="4" t="s">
        <v>221</v>
      </c>
      <c r="C188" s="8">
        <v>44166</v>
      </c>
      <c r="D188" s="4" t="s">
        <v>175</v>
      </c>
      <c r="E188" s="14">
        <v>394.36779999999999</v>
      </c>
      <c r="F188" s="7">
        <v>432068</v>
      </c>
      <c r="G188" s="14">
        <v>1045.2262000000001</v>
      </c>
      <c r="H188" s="7">
        <v>1303261</v>
      </c>
      <c r="I188" s="14">
        <v>1439.5940000000001</v>
      </c>
      <c r="J188" s="7">
        <v>1735329</v>
      </c>
    </row>
    <row r="189" spans="1:10" x14ac:dyDescent="0.2">
      <c r="A189" s="9">
        <v>44196</v>
      </c>
      <c r="B189" s="4" t="s">
        <v>224</v>
      </c>
      <c r="C189" s="8">
        <v>44166</v>
      </c>
      <c r="D189" s="4" t="s">
        <v>175</v>
      </c>
      <c r="E189" s="14">
        <v>432.69029999999998</v>
      </c>
      <c r="F189" s="7">
        <v>467589</v>
      </c>
      <c r="G189" s="14">
        <v>1035.7257</v>
      </c>
      <c r="H189" s="7">
        <v>1281733</v>
      </c>
      <c r="I189" s="14">
        <v>1468.4159999999999</v>
      </c>
      <c r="J189" s="7">
        <v>1749322</v>
      </c>
    </row>
    <row r="190" spans="1:10" x14ac:dyDescent="0.2">
      <c r="A190" s="9">
        <v>44197</v>
      </c>
      <c r="B190" s="4" t="s">
        <v>222</v>
      </c>
      <c r="C190" s="8">
        <v>44197</v>
      </c>
      <c r="D190" s="4" t="s">
        <v>176</v>
      </c>
      <c r="E190" s="14">
        <v>144.23179999999999</v>
      </c>
      <c r="F190" s="7">
        <v>161954</v>
      </c>
      <c r="G190" s="14">
        <v>367.1934</v>
      </c>
      <c r="H190" s="7">
        <v>451500</v>
      </c>
      <c r="I190" s="14">
        <v>511.42520000000002</v>
      </c>
      <c r="J190" s="7">
        <v>613454</v>
      </c>
    </row>
    <row r="191" spans="1:10" x14ac:dyDescent="0.2">
      <c r="A191" s="9">
        <v>44200</v>
      </c>
      <c r="B191" s="4" t="s">
        <v>225</v>
      </c>
      <c r="C191" s="8">
        <v>44197</v>
      </c>
      <c r="D191" s="4" t="s">
        <v>176</v>
      </c>
      <c r="E191" s="14">
        <v>319.4162</v>
      </c>
      <c r="F191" s="7">
        <v>359049</v>
      </c>
      <c r="G191" s="14">
        <v>643.41099999999994</v>
      </c>
      <c r="H191" s="7">
        <v>777952</v>
      </c>
      <c r="I191" s="14">
        <v>962.82719999999995</v>
      </c>
      <c r="J191" s="7">
        <v>1137001</v>
      </c>
    </row>
    <row r="192" spans="1:10" x14ac:dyDescent="0.2">
      <c r="A192" s="9">
        <v>44201</v>
      </c>
      <c r="B192" s="4" t="s">
        <v>223</v>
      </c>
      <c r="C192" s="8">
        <v>44197</v>
      </c>
      <c r="D192" s="4" t="s">
        <v>176</v>
      </c>
      <c r="E192" s="14">
        <v>318.70139999999998</v>
      </c>
      <c r="F192" s="7">
        <v>357842</v>
      </c>
      <c r="G192" s="14">
        <v>644.44399999999996</v>
      </c>
      <c r="H192" s="7">
        <v>772137</v>
      </c>
      <c r="I192" s="14">
        <v>963.1454</v>
      </c>
      <c r="J192" s="7">
        <v>1129979</v>
      </c>
    </row>
    <row r="193" spans="1:10" x14ac:dyDescent="0.2">
      <c r="A193" s="9">
        <v>44202</v>
      </c>
      <c r="B193" s="4" t="s">
        <v>221</v>
      </c>
      <c r="C193" s="8">
        <v>44197</v>
      </c>
      <c r="D193" s="4" t="s">
        <v>176</v>
      </c>
      <c r="E193" s="14">
        <v>337.71929999999998</v>
      </c>
      <c r="F193" s="7">
        <v>369246</v>
      </c>
      <c r="G193" s="14">
        <v>782.41049999999996</v>
      </c>
      <c r="H193" s="7">
        <v>940337</v>
      </c>
      <c r="I193" s="14">
        <v>1120.1297999999999</v>
      </c>
      <c r="J193" s="7">
        <v>1309583</v>
      </c>
    </row>
    <row r="194" spans="1:10" x14ac:dyDescent="0.2">
      <c r="A194" s="9">
        <v>44203</v>
      </c>
      <c r="B194" s="4" t="s">
        <v>224</v>
      </c>
      <c r="C194" s="8">
        <v>44197</v>
      </c>
      <c r="D194" s="4" t="s">
        <v>176</v>
      </c>
      <c r="E194" s="14">
        <v>244.7457</v>
      </c>
      <c r="F194" s="7">
        <v>270431</v>
      </c>
      <c r="G194" s="14">
        <v>728.21299999999997</v>
      </c>
      <c r="H194" s="7">
        <v>847686</v>
      </c>
      <c r="I194" s="14">
        <v>972.95870000000002</v>
      </c>
      <c r="J194" s="7">
        <v>1118117</v>
      </c>
    </row>
    <row r="195" spans="1:10" x14ac:dyDescent="0.2">
      <c r="A195" s="9">
        <v>44204</v>
      </c>
      <c r="B195" s="4" t="s">
        <v>222</v>
      </c>
      <c r="C195" s="8">
        <v>44197</v>
      </c>
      <c r="D195" s="4" t="s">
        <v>176</v>
      </c>
      <c r="E195" s="14">
        <v>272.20960000000002</v>
      </c>
      <c r="F195" s="7">
        <v>288876</v>
      </c>
      <c r="G195" s="14">
        <v>731.20079999999996</v>
      </c>
      <c r="H195" s="7">
        <v>861954</v>
      </c>
      <c r="I195" s="14">
        <v>1003.4104</v>
      </c>
      <c r="J195" s="7">
        <v>1150830</v>
      </c>
    </row>
    <row r="196" spans="1:10" x14ac:dyDescent="0.2">
      <c r="A196" s="9">
        <v>44207</v>
      </c>
      <c r="B196" s="4" t="s">
        <v>225</v>
      </c>
      <c r="C196" s="8">
        <v>44197</v>
      </c>
      <c r="D196" s="4" t="s">
        <v>176</v>
      </c>
      <c r="E196" s="14">
        <v>301.25389999999999</v>
      </c>
      <c r="F196" s="7">
        <v>324656</v>
      </c>
      <c r="G196" s="14">
        <v>724.4316</v>
      </c>
      <c r="H196" s="7">
        <v>833770</v>
      </c>
      <c r="I196" s="14">
        <v>1025.6855</v>
      </c>
      <c r="J196" s="7">
        <v>1158426</v>
      </c>
    </row>
    <row r="197" spans="1:10" x14ac:dyDescent="0.2">
      <c r="A197" s="9">
        <v>44208</v>
      </c>
      <c r="B197" s="4" t="s">
        <v>223</v>
      </c>
      <c r="C197" s="8">
        <v>44197</v>
      </c>
      <c r="D197" s="4" t="s">
        <v>176</v>
      </c>
      <c r="E197" s="14">
        <v>284.61439999999999</v>
      </c>
      <c r="F197" s="7">
        <v>311112</v>
      </c>
      <c r="G197" s="14">
        <v>822.04840000000002</v>
      </c>
      <c r="H197" s="7">
        <v>936300</v>
      </c>
      <c r="I197" s="14">
        <v>1106.6628000000001</v>
      </c>
      <c r="J197" s="7">
        <v>1247412</v>
      </c>
    </row>
    <row r="198" spans="1:10" x14ac:dyDescent="0.2">
      <c r="A198" s="9">
        <v>44209</v>
      </c>
      <c r="B198" s="4" t="s">
        <v>221</v>
      </c>
      <c r="C198" s="8">
        <v>44197</v>
      </c>
      <c r="D198" s="4" t="s">
        <v>176</v>
      </c>
      <c r="E198" s="14">
        <v>394.29849999999999</v>
      </c>
      <c r="F198" s="7">
        <v>425376</v>
      </c>
      <c r="G198" s="14">
        <v>921.85590000000002</v>
      </c>
      <c r="H198" s="7">
        <v>1054333</v>
      </c>
      <c r="I198" s="14">
        <v>1316.1543999999999</v>
      </c>
      <c r="J198" s="7">
        <v>1479709</v>
      </c>
    </row>
    <row r="199" spans="1:10" x14ac:dyDescent="0.2">
      <c r="A199" s="9">
        <v>44210</v>
      </c>
      <c r="B199" s="4" t="s">
        <v>224</v>
      </c>
      <c r="C199" s="8">
        <v>44197</v>
      </c>
      <c r="D199" s="4" t="s">
        <v>176</v>
      </c>
      <c r="E199" s="14">
        <v>240.3331</v>
      </c>
      <c r="F199" s="7">
        <v>257053</v>
      </c>
      <c r="G199" s="14">
        <v>666.24630000000002</v>
      </c>
      <c r="H199" s="7">
        <v>762908</v>
      </c>
      <c r="I199" s="14">
        <v>906.57939999999996</v>
      </c>
      <c r="J199" s="7">
        <v>1019961</v>
      </c>
    </row>
    <row r="200" spans="1:10" x14ac:dyDescent="0.2">
      <c r="A200" s="9">
        <v>44211</v>
      </c>
      <c r="B200" s="4" t="s">
        <v>222</v>
      </c>
      <c r="C200" s="8">
        <v>44197</v>
      </c>
      <c r="D200" s="4" t="s">
        <v>176</v>
      </c>
      <c r="E200" s="14">
        <v>388.9162</v>
      </c>
      <c r="F200" s="7">
        <v>411549</v>
      </c>
      <c r="G200" s="14">
        <v>826.47950000000003</v>
      </c>
      <c r="H200" s="7">
        <v>920211</v>
      </c>
      <c r="I200" s="14">
        <v>1215.3957</v>
      </c>
      <c r="J200" s="7">
        <v>1331760</v>
      </c>
    </row>
    <row r="201" spans="1:10" x14ac:dyDescent="0.2">
      <c r="A201" s="9">
        <v>44214</v>
      </c>
      <c r="B201" s="4" t="s">
        <v>225</v>
      </c>
      <c r="C201" s="8">
        <v>44197</v>
      </c>
      <c r="D201" s="4" t="s">
        <v>176</v>
      </c>
      <c r="E201" s="14">
        <v>392.61509999999998</v>
      </c>
      <c r="F201" s="7">
        <v>425349</v>
      </c>
      <c r="G201" s="14">
        <v>763.55939999999998</v>
      </c>
      <c r="H201" s="7">
        <v>911614</v>
      </c>
      <c r="I201" s="14">
        <v>1156.1745000000001</v>
      </c>
      <c r="J201" s="7">
        <v>1336963</v>
      </c>
    </row>
    <row r="202" spans="1:10" x14ac:dyDescent="0.2">
      <c r="A202" s="9">
        <v>44215</v>
      </c>
      <c r="B202" s="4" t="s">
        <v>223</v>
      </c>
      <c r="C202" s="8">
        <v>44197</v>
      </c>
      <c r="D202" s="4" t="s">
        <v>176</v>
      </c>
      <c r="E202" s="14">
        <v>323.36020000000002</v>
      </c>
      <c r="F202" s="7">
        <v>347148</v>
      </c>
      <c r="G202" s="14">
        <v>675.9425</v>
      </c>
      <c r="H202" s="7">
        <v>782856</v>
      </c>
      <c r="I202" s="14">
        <v>999.30269999999996</v>
      </c>
      <c r="J202" s="7">
        <v>1130004</v>
      </c>
    </row>
    <row r="203" spans="1:10" x14ac:dyDescent="0.2">
      <c r="A203" s="9">
        <v>44216</v>
      </c>
      <c r="B203" s="4" t="s">
        <v>221</v>
      </c>
      <c r="C203" s="8">
        <v>44197</v>
      </c>
      <c r="D203" s="4" t="s">
        <v>176</v>
      </c>
      <c r="E203" s="14">
        <v>271.64850000000001</v>
      </c>
      <c r="F203" s="7">
        <v>289801</v>
      </c>
      <c r="G203" s="14">
        <v>702.96609999999998</v>
      </c>
      <c r="H203" s="7">
        <v>786691</v>
      </c>
      <c r="I203" s="14">
        <v>974.6146</v>
      </c>
      <c r="J203" s="7">
        <v>1076492</v>
      </c>
    </row>
    <row r="204" spans="1:10" x14ac:dyDescent="0.2">
      <c r="A204" s="9">
        <v>44217</v>
      </c>
      <c r="B204" s="4" t="s">
        <v>224</v>
      </c>
      <c r="C204" s="8">
        <v>44197</v>
      </c>
      <c r="D204" s="4" t="s">
        <v>176</v>
      </c>
      <c r="E204" s="14">
        <v>340.3424</v>
      </c>
      <c r="F204" s="7">
        <v>366048</v>
      </c>
      <c r="G204" s="14">
        <v>1008.9385</v>
      </c>
      <c r="H204" s="7">
        <v>1128319</v>
      </c>
      <c r="I204" s="14">
        <v>1349.2809</v>
      </c>
      <c r="J204" s="7">
        <v>1494367</v>
      </c>
    </row>
    <row r="205" spans="1:10" x14ac:dyDescent="0.2">
      <c r="A205" s="9">
        <v>44218</v>
      </c>
      <c r="B205" s="4" t="s">
        <v>222</v>
      </c>
      <c r="C205" s="8">
        <v>44197</v>
      </c>
      <c r="D205" s="4" t="s">
        <v>176</v>
      </c>
      <c r="E205" s="14">
        <v>538.12159999999994</v>
      </c>
      <c r="F205" s="7">
        <v>589658</v>
      </c>
      <c r="G205" s="14">
        <v>1265.4611</v>
      </c>
      <c r="H205" s="7">
        <v>1419862</v>
      </c>
      <c r="I205" s="14">
        <v>1803.5826999999999</v>
      </c>
      <c r="J205" s="7">
        <v>2009520</v>
      </c>
    </row>
    <row r="206" spans="1:10" x14ac:dyDescent="0.2">
      <c r="A206" s="9">
        <v>44221</v>
      </c>
      <c r="B206" s="4" t="s">
        <v>225</v>
      </c>
      <c r="C206" s="8">
        <v>44197</v>
      </c>
      <c r="D206" s="4" t="s">
        <v>176</v>
      </c>
      <c r="E206" s="14">
        <v>500.5385</v>
      </c>
      <c r="F206" s="7">
        <v>546588</v>
      </c>
      <c r="G206" s="14">
        <v>1603.2021999999999</v>
      </c>
      <c r="H206" s="7">
        <v>1926757</v>
      </c>
      <c r="I206" s="14">
        <v>2103.7406999999998</v>
      </c>
      <c r="J206" s="7">
        <v>2473345</v>
      </c>
    </row>
    <row r="207" spans="1:10" x14ac:dyDescent="0.2">
      <c r="A207" s="9">
        <v>44223</v>
      </c>
      <c r="B207" s="4" t="s">
        <v>221</v>
      </c>
      <c r="C207" s="8">
        <v>44197</v>
      </c>
      <c r="D207" s="4" t="s">
        <v>176</v>
      </c>
      <c r="E207" s="14">
        <v>573.87609999999995</v>
      </c>
      <c r="F207" s="7">
        <v>635480</v>
      </c>
      <c r="G207" s="14">
        <v>1495.7745</v>
      </c>
      <c r="H207" s="7">
        <v>1831757</v>
      </c>
      <c r="I207" s="14">
        <v>2069.6505999999999</v>
      </c>
      <c r="J207" s="7">
        <v>2467237</v>
      </c>
    </row>
    <row r="208" spans="1:10" x14ac:dyDescent="0.2">
      <c r="A208" s="9">
        <v>44224</v>
      </c>
      <c r="B208" s="4" t="s">
        <v>224</v>
      </c>
      <c r="C208" s="8">
        <v>44197</v>
      </c>
      <c r="D208" s="4" t="s">
        <v>176</v>
      </c>
      <c r="E208" s="14">
        <v>662.94759999999997</v>
      </c>
      <c r="F208" s="7">
        <v>742683</v>
      </c>
      <c r="G208" s="14">
        <v>1448.3887999999999</v>
      </c>
      <c r="H208" s="7">
        <v>1809970</v>
      </c>
      <c r="I208" s="14">
        <v>2111.3364000000001</v>
      </c>
      <c r="J208" s="7">
        <v>2552653</v>
      </c>
    </row>
    <row r="209" spans="1:10" x14ac:dyDescent="0.2">
      <c r="A209" s="9">
        <v>44225</v>
      </c>
      <c r="B209" s="4" t="s">
        <v>222</v>
      </c>
      <c r="C209" s="8">
        <v>44197</v>
      </c>
      <c r="D209" s="4" t="s">
        <v>176</v>
      </c>
      <c r="E209" s="14">
        <v>477.18060000000003</v>
      </c>
      <c r="F209" s="7">
        <v>536291</v>
      </c>
      <c r="G209" s="14">
        <v>837.50480000000005</v>
      </c>
      <c r="H209" s="7">
        <v>1012738</v>
      </c>
      <c r="I209" s="14">
        <v>1314.6854000000001</v>
      </c>
      <c r="J209" s="7">
        <v>1549029</v>
      </c>
    </row>
    <row r="210" spans="1:10" x14ac:dyDescent="0.2">
      <c r="A210" s="9">
        <v>44228</v>
      </c>
      <c r="B210" s="4" t="s">
        <v>225</v>
      </c>
      <c r="C210" s="8">
        <v>44228</v>
      </c>
      <c r="D210" s="4" t="s">
        <v>176</v>
      </c>
      <c r="E210" s="14">
        <v>716.05100000000004</v>
      </c>
      <c r="F210" s="7">
        <v>783911</v>
      </c>
      <c r="G210" s="14">
        <v>1004.7973</v>
      </c>
      <c r="H210" s="7">
        <v>1191172</v>
      </c>
      <c r="I210" s="14">
        <v>1720.8483000000001</v>
      </c>
      <c r="J210" s="7">
        <v>1975083</v>
      </c>
    </row>
    <row r="211" spans="1:10" x14ac:dyDescent="0.2">
      <c r="A211" s="9">
        <v>44229</v>
      </c>
      <c r="B211" s="4" t="s">
        <v>223</v>
      </c>
      <c r="C211" s="8">
        <v>44228</v>
      </c>
      <c r="D211" s="4" t="s">
        <v>176</v>
      </c>
      <c r="E211" s="14">
        <v>574.56380000000001</v>
      </c>
      <c r="F211" s="7">
        <v>606659</v>
      </c>
      <c r="G211" s="14">
        <v>1038.3873000000001</v>
      </c>
      <c r="H211" s="7">
        <v>1175673</v>
      </c>
      <c r="I211" s="14">
        <v>1612.9511</v>
      </c>
      <c r="J211" s="7">
        <v>1782332</v>
      </c>
    </row>
    <row r="212" spans="1:10" x14ac:dyDescent="0.2">
      <c r="A212" s="9">
        <v>44230</v>
      </c>
      <c r="B212" s="4" t="s">
        <v>221</v>
      </c>
      <c r="C212" s="8">
        <v>44228</v>
      </c>
      <c r="D212" s="4" t="s">
        <v>176</v>
      </c>
      <c r="E212" s="14">
        <v>385.30130000000003</v>
      </c>
      <c r="F212" s="7">
        <v>397897</v>
      </c>
      <c r="G212" s="14">
        <v>902.80280000000005</v>
      </c>
      <c r="H212" s="7">
        <v>1010797</v>
      </c>
      <c r="I212" s="14">
        <v>1288.1041</v>
      </c>
      <c r="J212" s="7">
        <v>1408694</v>
      </c>
    </row>
    <row r="213" spans="1:10" x14ac:dyDescent="0.2">
      <c r="A213" s="9">
        <v>44231</v>
      </c>
      <c r="B213" s="4" t="s">
        <v>224</v>
      </c>
      <c r="C213" s="8">
        <v>44228</v>
      </c>
      <c r="D213" s="4" t="s">
        <v>176</v>
      </c>
      <c r="E213" s="14">
        <v>400.19600000000003</v>
      </c>
      <c r="F213" s="7">
        <v>415257</v>
      </c>
      <c r="G213" s="14">
        <v>904.79920000000004</v>
      </c>
      <c r="H213" s="7">
        <v>995459</v>
      </c>
      <c r="I213" s="14">
        <v>1304.9952000000001</v>
      </c>
      <c r="J213" s="7">
        <v>1410716</v>
      </c>
    </row>
    <row r="214" spans="1:10" x14ac:dyDescent="0.2">
      <c r="A214" s="9">
        <v>44232</v>
      </c>
      <c r="B214" s="4" t="s">
        <v>222</v>
      </c>
      <c r="C214" s="8">
        <v>44228</v>
      </c>
      <c r="D214" s="4" t="s">
        <v>176</v>
      </c>
      <c r="E214" s="14">
        <v>512.03039999999999</v>
      </c>
      <c r="F214" s="7">
        <v>529257</v>
      </c>
      <c r="G214" s="14">
        <v>996.38480000000004</v>
      </c>
      <c r="H214" s="7">
        <v>1081751</v>
      </c>
      <c r="I214" s="14">
        <v>1508.4151999999999</v>
      </c>
      <c r="J214" s="7">
        <v>1611008</v>
      </c>
    </row>
    <row r="215" spans="1:10" x14ac:dyDescent="0.2">
      <c r="A215" s="9">
        <v>44235</v>
      </c>
      <c r="B215" s="4" t="s">
        <v>225</v>
      </c>
      <c r="C215" s="8">
        <v>44228</v>
      </c>
      <c r="D215" s="4" t="s">
        <v>176</v>
      </c>
      <c r="E215" s="14">
        <v>361.44619999999998</v>
      </c>
      <c r="F215" s="7">
        <v>366613</v>
      </c>
      <c r="G215" s="14">
        <v>749.02049999999997</v>
      </c>
      <c r="H215" s="7">
        <v>807669</v>
      </c>
      <c r="I215" s="14">
        <v>1110.4666999999999</v>
      </c>
      <c r="J215" s="7">
        <v>1174282</v>
      </c>
    </row>
    <row r="216" spans="1:10" x14ac:dyDescent="0.2">
      <c r="A216" s="9">
        <v>44236</v>
      </c>
      <c r="B216" s="4" t="s">
        <v>223</v>
      </c>
      <c r="C216" s="8">
        <v>44228</v>
      </c>
      <c r="D216" s="4" t="s">
        <v>176</v>
      </c>
      <c r="E216" s="14">
        <v>377.976</v>
      </c>
      <c r="F216" s="7">
        <v>382163</v>
      </c>
      <c r="G216" s="14">
        <v>807.91959999999995</v>
      </c>
      <c r="H216" s="7">
        <v>887639</v>
      </c>
      <c r="I216" s="14">
        <v>1185.8956000000001</v>
      </c>
      <c r="J216" s="7">
        <v>1269802</v>
      </c>
    </row>
    <row r="217" spans="1:10" x14ac:dyDescent="0.2">
      <c r="A217" s="9">
        <v>44237</v>
      </c>
      <c r="B217" s="4" t="s">
        <v>221</v>
      </c>
      <c r="C217" s="8">
        <v>44228</v>
      </c>
      <c r="D217" s="4" t="s">
        <v>176</v>
      </c>
      <c r="E217" s="14">
        <v>416.39980000000003</v>
      </c>
      <c r="F217" s="7">
        <v>418884</v>
      </c>
      <c r="G217" s="14">
        <v>827.02970000000005</v>
      </c>
      <c r="H217" s="7">
        <v>883271</v>
      </c>
      <c r="I217" s="14">
        <v>1243.4295</v>
      </c>
      <c r="J217" s="7">
        <v>1302155</v>
      </c>
    </row>
    <row r="218" spans="1:10" x14ac:dyDescent="0.2">
      <c r="A218" s="9">
        <v>44238</v>
      </c>
      <c r="B218" s="4" t="s">
        <v>224</v>
      </c>
      <c r="C218" s="8">
        <v>44228</v>
      </c>
      <c r="D218" s="4" t="s">
        <v>176</v>
      </c>
      <c r="E218" s="14">
        <v>270.91419999999999</v>
      </c>
      <c r="F218" s="7">
        <v>275166</v>
      </c>
      <c r="G218" s="14">
        <v>683.06569999999999</v>
      </c>
      <c r="H218" s="7">
        <v>775183</v>
      </c>
      <c r="I218" s="14">
        <v>953.97990000000004</v>
      </c>
      <c r="J218" s="7">
        <v>1050349</v>
      </c>
    </row>
    <row r="219" spans="1:10" x14ac:dyDescent="0.2">
      <c r="A219" s="9">
        <v>44239</v>
      </c>
      <c r="B219" s="4" t="s">
        <v>222</v>
      </c>
      <c r="C219" s="8">
        <v>44228</v>
      </c>
      <c r="D219" s="4" t="s">
        <v>176</v>
      </c>
      <c r="E219" s="14">
        <v>335.76780000000002</v>
      </c>
      <c r="F219" s="7">
        <v>339530</v>
      </c>
      <c r="G219" s="14">
        <v>797.18619999999999</v>
      </c>
      <c r="H219" s="7">
        <v>867686</v>
      </c>
      <c r="I219" s="14">
        <v>1132.954</v>
      </c>
      <c r="J219" s="7">
        <v>1207216</v>
      </c>
    </row>
    <row r="220" spans="1:10" x14ac:dyDescent="0.2">
      <c r="A220" s="9">
        <v>44242</v>
      </c>
      <c r="B220" s="4" t="s">
        <v>225</v>
      </c>
      <c r="C220" s="8">
        <v>44228</v>
      </c>
      <c r="D220" s="4" t="s">
        <v>176</v>
      </c>
      <c r="E220" s="14">
        <v>311.4452</v>
      </c>
      <c r="F220" s="7">
        <v>312394</v>
      </c>
      <c r="G220" s="14">
        <v>749.09860000000003</v>
      </c>
      <c r="H220" s="7">
        <v>762020</v>
      </c>
      <c r="I220" s="14">
        <v>1060.5437999999999</v>
      </c>
      <c r="J220" s="7">
        <v>1074414</v>
      </c>
    </row>
    <row r="221" spans="1:10" x14ac:dyDescent="0.2">
      <c r="A221" s="9">
        <v>44243</v>
      </c>
      <c r="B221" s="4" t="s">
        <v>223</v>
      </c>
      <c r="C221" s="8">
        <v>44228</v>
      </c>
      <c r="D221" s="4" t="s">
        <v>176</v>
      </c>
      <c r="E221" s="14">
        <v>409.66210000000001</v>
      </c>
      <c r="F221" s="7">
        <v>407913</v>
      </c>
      <c r="G221" s="14">
        <v>845.81539999999995</v>
      </c>
      <c r="H221" s="7">
        <v>883882</v>
      </c>
      <c r="I221" s="14">
        <v>1255.4775</v>
      </c>
      <c r="J221" s="7">
        <v>1291795</v>
      </c>
    </row>
    <row r="222" spans="1:10" x14ac:dyDescent="0.2">
      <c r="A222" s="9">
        <v>44244</v>
      </c>
      <c r="B222" s="4" t="s">
        <v>221</v>
      </c>
      <c r="C222" s="8">
        <v>44228</v>
      </c>
      <c r="D222" s="4" t="s">
        <v>176</v>
      </c>
      <c r="E222" s="14">
        <v>378.3852</v>
      </c>
      <c r="F222" s="7">
        <v>374241</v>
      </c>
      <c r="G222" s="14">
        <v>819.56100000000004</v>
      </c>
      <c r="H222" s="7">
        <v>868767</v>
      </c>
      <c r="I222" s="14">
        <v>1197.9462000000001</v>
      </c>
      <c r="J222" s="7">
        <v>1243008</v>
      </c>
    </row>
    <row r="223" spans="1:10" x14ac:dyDescent="0.2">
      <c r="A223" s="9">
        <v>44245</v>
      </c>
      <c r="B223" s="4" t="s">
        <v>224</v>
      </c>
      <c r="C223" s="8">
        <v>44228</v>
      </c>
      <c r="D223" s="4" t="s">
        <v>176</v>
      </c>
      <c r="E223" s="14">
        <v>357.68920000000003</v>
      </c>
      <c r="F223" s="7">
        <v>357225</v>
      </c>
      <c r="G223" s="14">
        <v>926.31809999999996</v>
      </c>
      <c r="H223" s="7">
        <v>990357</v>
      </c>
      <c r="I223" s="14">
        <v>1284.0073</v>
      </c>
      <c r="J223" s="7">
        <v>1347582</v>
      </c>
    </row>
    <row r="224" spans="1:10" x14ac:dyDescent="0.2">
      <c r="A224" s="9">
        <v>44246</v>
      </c>
      <c r="B224" s="4" t="s">
        <v>222</v>
      </c>
      <c r="C224" s="8">
        <v>44228</v>
      </c>
      <c r="D224" s="4" t="s">
        <v>176</v>
      </c>
      <c r="E224" s="14">
        <v>456.62880000000001</v>
      </c>
      <c r="F224" s="7">
        <v>461175</v>
      </c>
      <c r="G224" s="14">
        <v>1182.8488</v>
      </c>
      <c r="H224" s="7">
        <v>1267025</v>
      </c>
      <c r="I224" s="14">
        <v>1639.4775999999999</v>
      </c>
      <c r="J224" s="7">
        <v>1728200</v>
      </c>
    </row>
    <row r="225" spans="1:10" x14ac:dyDescent="0.2">
      <c r="A225" s="9">
        <v>44249</v>
      </c>
      <c r="B225" s="4" t="s">
        <v>225</v>
      </c>
      <c r="C225" s="8">
        <v>44228</v>
      </c>
      <c r="D225" s="4" t="s">
        <v>176</v>
      </c>
      <c r="E225" s="14">
        <v>480.4323</v>
      </c>
      <c r="F225" s="7">
        <v>487401</v>
      </c>
      <c r="G225" s="14">
        <v>1446.3768</v>
      </c>
      <c r="H225" s="7">
        <v>1620635</v>
      </c>
      <c r="I225" s="14">
        <v>1926.8090999999999</v>
      </c>
      <c r="J225" s="7">
        <v>2108036</v>
      </c>
    </row>
    <row r="226" spans="1:10" x14ac:dyDescent="0.2">
      <c r="A226" s="9">
        <v>44250</v>
      </c>
      <c r="B226" s="4" t="s">
        <v>223</v>
      </c>
      <c r="C226" s="8">
        <v>44228</v>
      </c>
      <c r="D226" s="4" t="s">
        <v>176</v>
      </c>
      <c r="E226" s="14">
        <v>511.24239999999998</v>
      </c>
      <c r="F226" s="7">
        <v>518062</v>
      </c>
      <c r="G226" s="14">
        <v>1551.0895</v>
      </c>
      <c r="H226" s="7">
        <v>1709508</v>
      </c>
      <c r="I226" s="14">
        <v>2062.3319000000001</v>
      </c>
      <c r="J226" s="7">
        <v>2227570</v>
      </c>
    </row>
    <row r="227" spans="1:10" x14ac:dyDescent="0.2">
      <c r="A227" s="9">
        <v>44251</v>
      </c>
      <c r="B227" s="4" t="s">
        <v>221</v>
      </c>
      <c r="C227" s="8">
        <v>44228</v>
      </c>
      <c r="D227" s="4" t="s">
        <v>176</v>
      </c>
      <c r="E227" s="14">
        <v>461.66140000000001</v>
      </c>
      <c r="F227" s="7">
        <v>467129</v>
      </c>
      <c r="G227" s="14">
        <v>1015.4845</v>
      </c>
      <c r="H227" s="7">
        <v>1116876</v>
      </c>
      <c r="I227" s="14">
        <v>1477.1459</v>
      </c>
      <c r="J227" s="7">
        <v>1584005</v>
      </c>
    </row>
    <row r="228" spans="1:10" x14ac:dyDescent="0.2">
      <c r="A228" s="9">
        <v>44252</v>
      </c>
      <c r="B228" s="4" t="s">
        <v>224</v>
      </c>
      <c r="C228" s="8">
        <v>44228</v>
      </c>
      <c r="D228" s="4" t="s">
        <v>176</v>
      </c>
      <c r="E228" s="14">
        <v>662.62760000000003</v>
      </c>
      <c r="F228" s="7">
        <v>648795</v>
      </c>
      <c r="G228" s="14">
        <v>1655.8631</v>
      </c>
      <c r="H228" s="7">
        <v>1840898</v>
      </c>
      <c r="I228" s="14">
        <v>2318.4906999999998</v>
      </c>
      <c r="J228" s="7">
        <v>2489693</v>
      </c>
    </row>
    <row r="229" spans="1:10" x14ac:dyDescent="0.2">
      <c r="A229" s="9">
        <v>44253</v>
      </c>
      <c r="B229" s="4" t="s">
        <v>222</v>
      </c>
      <c r="C229" s="8">
        <v>44228</v>
      </c>
      <c r="D229" s="4" t="s">
        <v>176</v>
      </c>
      <c r="E229" s="14">
        <v>726.7002</v>
      </c>
      <c r="F229" s="7">
        <v>733800</v>
      </c>
      <c r="G229" s="14">
        <v>1023.1743</v>
      </c>
      <c r="H229" s="7">
        <v>1111447</v>
      </c>
      <c r="I229" s="14">
        <v>1749.8744999999999</v>
      </c>
      <c r="J229" s="7">
        <v>1845247</v>
      </c>
    </row>
    <row r="230" spans="1:10" x14ac:dyDescent="0.2">
      <c r="A230" s="9">
        <v>44256</v>
      </c>
      <c r="B230" s="4" t="s">
        <v>225</v>
      </c>
      <c r="C230" s="8">
        <v>44256</v>
      </c>
      <c r="D230" s="4" t="s">
        <v>176</v>
      </c>
      <c r="E230" s="14">
        <v>355.63260000000002</v>
      </c>
      <c r="F230" s="7">
        <v>359861</v>
      </c>
      <c r="G230" s="14">
        <v>653.62509999999997</v>
      </c>
      <c r="H230" s="7">
        <v>698491</v>
      </c>
      <c r="I230" s="14">
        <v>1009.2577</v>
      </c>
      <c r="J230" s="7">
        <v>1058352</v>
      </c>
    </row>
    <row r="231" spans="1:10" x14ac:dyDescent="0.2">
      <c r="A231" s="9">
        <v>44257</v>
      </c>
      <c r="B231" s="4" t="s">
        <v>223</v>
      </c>
      <c r="C231" s="8">
        <v>44256</v>
      </c>
      <c r="D231" s="4" t="s">
        <v>176</v>
      </c>
      <c r="E231" s="14">
        <v>406.43009999999998</v>
      </c>
      <c r="F231" s="7">
        <v>410191</v>
      </c>
      <c r="G231" s="14">
        <v>739.78459999999995</v>
      </c>
      <c r="H231" s="7">
        <v>788878</v>
      </c>
      <c r="I231" s="14">
        <v>1146.2147</v>
      </c>
      <c r="J231" s="7">
        <v>1199069</v>
      </c>
    </row>
    <row r="232" spans="1:10" x14ac:dyDescent="0.2">
      <c r="A232" s="9">
        <v>44258</v>
      </c>
      <c r="B232" s="4" t="s">
        <v>221</v>
      </c>
      <c r="C232" s="8">
        <v>44256</v>
      </c>
      <c r="D232" s="4" t="s">
        <v>176</v>
      </c>
      <c r="E232" s="14">
        <v>359.00470000000001</v>
      </c>
      <c r="F232" s="7">
        <v>357146</v>
      </c>
      <c r="G232" s="14">
        <v>759.25980000000004</v>
      </c>
      <c r="H232" s="7">
        <v>805882</v>
      </c>
      <c r="I232" s="14">
        <v>1118.2645</v>
      </c>
      <c r="J232" s="7">
        <v>1163028</v>
      </c>
    </row>
    <row r="233" spans="1:10" x14ac:dyDescent="0.2">
      <c r="A233" s="9">
        <v>44259</v>
      </c>
      <c r="B233" s="4" t="s">
        <v>224</v>
      </c>
      <c r="C233" s="8">
        <v>44256</v>
      </c>
      <c r="D233" s="4" t="s">
        <v>176</v>
      </c>
      <c r="E233" s="14">
        <v>478.4674</v>
      </c>
      <c r="F233" s="7">
        <v>476262</v>
      </c>
      <c r="G233" s="14">
        <v>782.09310000000005</v>
      </c>
      <c r="H233" s="7">
        <v>827919</v>
      </c>
      <c r="I233" s="14">
        <v>1260.5605</v>
      </c>
      <c r="J233" s="7">
        <v>1304181</v>
      </c>
    </row>
    <row r="234" spans="1:10" x14ac:dyDescent="0.2">
      <c r="A234" s="9">
        <v>44260</v>
      </c>
      <c r="B234" s="4" t="s">
        <v>222</v>
      </c>
      <c r="C234" s="8">
        <v>44256</v>
      </c>
      <c r="D234" s="4" t="s">
        <v>176</v>
      </c>
      <c r="E234" s="14">
        <v>458.78179999999998</v>
      </c>
      <c r="F234" s="7">
        <v>463475</v>
      </c>
      <c r="G234" s="14">
        <v>760.37270000000001</v>
      </c>
      <c r="H234" s="7">
        <v>804056</v>
      </c>
      <c r="I234" s="14">
        <v>1219.1545000000001</v>
      </c>
      <c r="J234" s="7">
        <v>1267531</v>
      </c>
    </row>
    <row r="235" spans="1:10" x14ac:dyDescent="0.2">
      <c r="A235" s="9">
        <v>44263</v>
      </c>
      <c r="B235" s="4" t="s">
        <v>225</v>
      </c>
      <c r="C235" s="8">
        <v>44256</v>
      </c>
      <c r="D235" s="4" t="s">
        <v>176</v>
      </c>
      <c r="E235" s="14">
        <v>412.92700000000002</v>
      </c>
      <c r="F235" s="7">
        <v>414746</v>
      </c>
      <c r="G235" s="14">
        <v>588.44920000000002</v>
      </c>
      <c r="H235" s="7">
        <v>638923</v>
      </c>
      <c r="I235" s="14">
        <v>1001.3762</v>
      </c>
      <c r="J235" s="7">
        <v>1053669</v>
      </c>
    </row>
    <row r="236" spans="1:10" x14ac:dyDescent="0.2">
      <c r="A236" s="9">
        <v>44264</v>
      </c>
      <c r="B236" s="4" t="s">
        <v>223</v>
      </c>
      <c r="C236" s="8">
        <v>44256</v>
      </c>
      <c r="D236" s="4" t="s">
        <v>176</v>
      </c>
      <c r="E236" s="14">
        <v>417.63310000000001</v>
      </c>
      <c r="F236" s="7">
        <v>419947</v>
      </c>
      <c r="G236" s="14">
        <v>646.21270000000004</v>
      </c>
      <c r="H236" s="7">
        <v>700540</v>
      </c>
      <c r="I236" s="14">
        <v>1063.8458000000001</v>
      </c>
      <c r="J236" s="7">
        <v>1120487</v>
      </c>
    </row>
    <row r="237" spans="1:10" x14ac:dyDescent="0.2">
      <c r="A237" s="9">
        <v>44265</v>
      </c>
      <c r="B237" s="4" t="s">
        <v>221</v>
      </c>
      <c r="C237" s="8">
        <v>44256</v>
      </c>
      <c r="D237" s="4" t="s">
        <v>176</v>
      </c>
      <c r="E237" s="14">
        <v>268.52659999999997</v>
      </c>
      <c r="F237" s="7">
        <v>267891</v>
      </c>
      <c r="G237" s="14">
        <v>522.53020000000004</v>
      </c>
      <c r="H237" s="7">
        <v>553682</v>
      </c>
      <c r="I237" s="14">
        <v>791.05679999999995</v>
      </c>
      <c r="J237" s="7">
        <v>821573</v>
      </c>
    </row>
    <row r="238" spans="1:10" x14ac:dyDescent="0.2">
      <c r="A238" s="9">
        <v>44267</v>
      </c>
      <c r="B238" s="4" t="s">
        <v>222</v>
      </c>
      <c r="C238" s="8">
        <v>44256</v>
      </c>
      <c r="D238" s="4" t="s">
        <v>176</v>
      </c>
      <c r="E238" s="14">
        <v>461.69409999999999</v>
      </c>
      <c r="F238" s="7">
        <v>461653</v>
      </c>
      <c r="G238" s="14">
        <v>677.90959999999995</v>
      </c>
      <c r="H238" s="7">
        <v>715621</v>
      </c>
      <c r="I238" s="14">
        <v>1139.6036999999999</v>
      </c>
      <c r="J238" s="7">
        <v>1177274</v>
      </c>
    </row>
    <row r="239" spans="1:10" x14ac:dyDescent="0.2">
      <c r="A239" s="9">
        <v>44270</v>
      </c>
      <c r="B239" s="4" t="s">
        <v>225</v>
      </c>
      <c r="C239" s="8">
        <v>44256</v>
      </c>
      <c r="D239" s="4" t="s">
        <v>176</v>
      </c>
      <c r="E239" s="14">
        <v>429.43549999999999</v>
      </c>
      <c r="F239" s="7">
        <v>440050</v>
      </c>
      <c r="G239" s="14">
        <v>598.90340000000003</v>
      </c>
      <c r="H239" s="7">
        <v>648283</v>
      </c>
      <c r="I239" s="14">
        <v>1028.3389</v>
      </c>
      <c r="J239" s="7">
        <v>1088333</v>
      </c>
    </row>
    <row r="240" spans="1:10" x14ac:dyDescent="0.2">
      <c r="A240" s="9">
        <v>44271</v>
      </c>
      <c r="B240" s="4" t="s">
        <v>223</v>
      </c>
      <c r="C240" s="8">
        <v>44256</v>
      </c>
      <c r="D240" s="4" t="s">
        <v>176</v>
      </c>
      <c r="E240" s="14">
        <v>360.86020000000002</v>
      </c>
      <c r="F240" s="7">
        <v>366629</v>
      </c>
      <c r="G240" s="14">
        <v>564.5729</v>
      </c>
      <c r="H240" s="7">
        <v>610837</v>
      </c>
      <c r="I240" s="14">
        <v>925.43309999999997</v>
      </c>
      <c r="J240" s="7">
        <v>977466</v>
      </c>
    </row>
    <row r="241" spans="1:10" x14ac:dyDescent="0.2">
      <c r="A241" s="9">
        <v>44272</v>
      </c>
      <c r="B241" s="4" t="s">
        <v>221</v>
      </c>
      <c r="C241" s="8">
        <v>44256</v>
      </c>
      <c r="D241" s="4" t="s">
        <v>176</v>
      </c>
      <c r="E241" s="14">
        <v>384.22309999999999</v>
      </c>
      <c r="F241" s="7">
        <v>396212</v>
      </c>
      <c r="G241" s="14">
        <v>604.97479999999996</v>
      </c>
      <c r="H241" s="7">
        <v>676710</v>
      </c>
      <c r="I241" s="14">
        <v>989.1979</v>
      </c>
      <c r="J241" s="7">
        <v>1072922</v>
      </c>
    </row>
    <row r="242" spans="1:10" x14ac:dyDescent="0.2">
      <c r="A242" s="9">
        <v>44273</v>
      </c>
      <c r="B242" s="4" t="s">
        <v>224</v>
      </c>
      <c r="C242" s="8">
        <v>44256</v>
      </c>
      <c r="D242" s="4" t="s">
        <v>176</v>
      </c>
      <c r="E242" s="14">
        <v>479.14800000000002</v>
      </c>
      <c r="F242" s="7">
        <v>498739</v>
      </c>
      <c r="G242" s="14">
        <v>757.29579999999999</v>
      </c>
      <c r="H242" s="7">
        <v>841664</v>
      </c>
      <c r="I242" s="14">
        <v>1236.4438</v>
      </c>
      <c r="J242" s="7">
        <v>1340403</v>
      </c>
    </row>
    <row r="243" spans="1:10" x14ac:dyDescent="0.2">
      <c r="A243" s="9">
        <v>44274</v>
      </c>
      <c r="B243" s="4" t="s">
        <v>222</v>
      </c>
      <c r="C243" s="8">
        <v>44256</v>
      </c>
      <c r="D243" s="4" t="s">
        <v>176</v>
      </c>
      <c r="E243" s="14">
        <v>581.77110000000005</v>
      </c>
      <c r="F243" s="7">
        <v>607677</v>
      </c>
      <c r="G243" s="14">
        <v>964.27179999999998</v>
      </c>
      <c r="H243" s="7">
        <v>1090308</v>
      </c>
      <c r="I243" s="14">
        <v>1546.0428999999999</v>
      </c>
      <c r="J243" s="7">
        <v>1697985</v>
      </c>
    </row>
    <row r="244" spans="1:10" x14ac:dyDescent="0.2">
      <c r="A244" s="9">
        <v>44277</v>
      </c>
      <c r="B244" s="4" t="s">
        <v>225</v>
      </c>
      <c r="C244" s="8">
        <v>44256</v>
      </c>
      <c r="D244" s="4" t="s">
        <v>176</v>
      </c>
      <c r="E244" s="14">
        <v>424.791</v>
      </c>
      <c r="F244" s="7">
        <v>444353</v>
      </c>
      <c r="G244" s="14">
        <v>1225.5990999999999</v>
      </c>
      <c r="H244" s="7">
        <v>1340957</v>
      </c>
      <c r="I244" s="14">
        <v>1650.3901000000001</v>
      </c>
      <c r="J244" s="7">
        <v>1785310</v>
      </c>
    </row>
    <row r="245" spans="1:10" x14ac:dyDescent="0.2">
      <c r="A245" s="9">
        <v>44278</v>
      </c>
      <c r="B245" s="4" t="s">
        <v>223</v>
      </c>
      <c r="C245" s="8">
        <v>44256</v>
      </c>
      <c r="D245" s="4" t="s">
        <v>176</v>
      </c>
      <c r="E245" s="14">
        <v>547.15769999999998</v>
      </c>
      <c r="F245" s="7">
        <v>566285</v>
      </c>
      <c r="G245" s="14">
        <v>1345.4944</v>
      </c>
      <c r="H245" s="7">
        <v>1484107</v>
      </c>
      <c r="I245" s="14">
        <v>1892.6521</v>
      </c>
      <c r="J245" s="7">
        <v>2050392</v>
      </c>
    </row>
    <row r="246" spans="1:10" x14ac:dyDescent="0.2">
      <c r="A246" s="9">
        <v>44279</v>
      </c>
      <c r="B246" s="4" t="s">
        <v>221</v>
      </c>
      <c r="C246" s="8">
        <v>44256</v>
      </c>
      <c r="D246" s="4" t="s">
        <v>176</v>
      </c>
      <c r="E246" s="14">
        <v>516.28269999999998</v>
      </c>
      <c r="F246" s="7">
        <v>532987</v>
      </c>
      <c r="G246" s="14">
        <v>1195.8963000000001</v>
      </c>
      <c r="H246" s="7">
        <v>1333805</v>
      </c>
      <c r="I246" s="14">
        <v>1712.1790000000001</v>
      </c>
      <c r="J246" s="7">
        <v>1866792</v>
      </c>
    </row>
    <row r="247" spans="1:10" x14ac:dyDescent="0.2">
      <c r="A247" s="9">
        <v>44280</v>
      </c>
      <c r="B247" s="4" t="s">
        <v>224</v>
      </c>
      <c r="C247" s="8">
        <v>44256</v>
      </c>
      <c r="D247" s="4" t="s">
        <v>176</v>
      </c>
      <c r="E247" s="14">
        <v>714.79290000000003</v>
      </c>
      <c r="F247" s="7">
        <v>757812</v>
      </c>
      <c r="G247" s="14">
        <v>1407.692</v>
      </c>
      <c r="H247" s="7">
        <v>1624309</v>
      </c>
      <c r="I247" s="14">
        <v>2122.4848999999999</v>
      </c>
      <c r="J247" s="7">
        <v>2382121</v>
      </c>
    </row>
    <row r="248" spans="1:10" x14ac:dyDescent="0.2">
      <c r="A248" s="9">
        <v>44281</v>
      </c>
      <c r="B248" s="4" t="s">
        <v>222</v>
      </c>
      <c r="C248" s="8">
        <v>44256</v>
      </c>
      <c r="D248" s="4" t="s">
        <v>176</v>
      </c>
      <c r="E248" s="14">
        <v>353.32029999999997</v>
      </c>
      <c r="F248" s="7">
        <v>371363</v>
      </c>
      <c r="G248" s="14">
        <v>558.23</v>
      </c>
      <c r="H248" s="7">
        <v>601652</v>
      </c>
      <c r="I248" s="14">
        <v>911.55029999999999</v>
      </c>
      <c r="J248" s="7">
        <v>973015</v>
      </c>
    </row>
    <row r="249" spans="1:10" x14ac:dyDescent="0.2">
      <c r="A249" s="9">
        <v>44285</v>
      </c>
      <c r="B249" s="4" t="s">
        <v>223</v>
      </c>
      <c r="C249" s="8">
        <v>44256</v>
      </c>
      <c r="D249" s="4" t="s">
        <v>176</v>
      </c>
      <c r="E249" s="14">
        <v>388.97890000000001</v>
      </c>
      <c r="F249" s="7">
        <v>395991</v>
      </c>
      <c r="G249" s="14">
        <v>564.67489999999998</v>
      </c>
      <c r="H249" s="7">
        <v>621243</v>
      </c>
      <c r="I249" s="14">
        <v>953.65380000000005</v>
      </c>
      <c r="J249" s="7">
        <v>1017234</v>
      </c>
    </row>
    <row r="250" spans="1:10" x14ac:dyDescent="0.2">
      <c r="A250" s="9">
        <v>44286</v>
      </c>
      <c r="B250" s="4" t="s">
        <v>221</v>
      </c>
      <c r="C250" s="8">
        <v>44256</v>
      </c>
      <c r="D250" s="4" t="s">
        <v>176</v>
      </c>
      <c r="E250" s="14">
        <v>332.13440000000003</v>
      </c>
      <c r="F250" s="7">
        <v>346529</v>
      </c>
      <c r="G250" s="14">
        <v>534.93280000000004</v>
      </c>
      <c r="H250" s="7">
        <v>586609</v>
      </c>
      <c r="I250" s="14">
        <v>867.06719999999996</v>
      </c>
      <c r="J250" s="7">
        <v>933138</v>
      </c>
    </row>
    <row r="251" spans="1:10" x14ac:dyDescent="0.2">
      <c r="A251" s="9">
        <v>44287</v>
      </c>
      <c r="B251" s="4" t="s">
        <v>224</v>
      </c>
      <c r="C251" s="8">
        <v>44287</v>
      </c>
      <c r="D251" s="4" t="s">
        <v>177</v>
      </c>
      <c r="E251" s="14">
        <v>379.87240000000003</v>
      </c>
      <c r="F251" s="7">
        <v>398709</v>
      </c>
      <c r="G251" s="14">
        <v>597.50549999999998</v>
      </c>
      <c r="H251" s="7">
        <v>612224</v>
      </c>
      <c r="I251" s="14">
        <v>977.37789999999995</v>
      </c>
      <c r="J251" s="7">
        <v>1010933</v>
      </c>
    </row>
    <row r="252" spans="1:10" x14ac:dyDescent="0.2">
      <c r="A252" s="9">
        <v>44291</v>
      </c>
      <c r="B252" s="4" t="s">
        <v>225</v>
      </c>
      <c r="C252" s="8">
        <v>44287</v>
      </c>
      <c r="D252" s="4" t="s">
        <v>177</v>
      </c>
      <c r="E252" s="14">
        <v>450.35359999999997</v>
      </c>
      <c r="F252" s="7">
        <v>472920</v>
      </c>
      <c r="G252" s="14">
        <v>693.67380000000003</v>
      </c>
      <c r="H252" s="7">
        <v>729581</v>
      </c>
      <c r="I252" s="14">
        <v>1144.0273999999999</v>
      </c>
      <c r="J252" s="7">
        <v>1202501</v>
      </c>
    </row>
    <row r="253" spans="1:10" x14ac:dyDescent="0.2">
      <c r="A253" s="9">
        <v>44292</v>
      </c>
      <c r="B253" s="4" t="s">
        <v>223</v>
      </c>
      <c r="C253" s="8">
        <v>44287</v>
      </c>
      <c r="D253" s="4" t="s">
        <v>177</v>
      </c>
      <c r="E253" s="14">
        <v>335.64479999999998</v>
      </c>
      <c r="F253" s="7">
        <v>354604</v>
      </c>
      <c r="G253" s="14">
        <v>621.07820000000004</v>
      </c>
      <c r="H253" s="7">
        <v>608196</v>
      </c>
      <c r="I253" s="14">
        <v>956.72299999999996</v>
      </c>
      <c r="J253" s="7">
        <v>962800</v>
      </c>
    </row>
    <row r="254" spans="1:10" x14ac:dyDescent="0.2">
      <c r="A254" s="9">
        <v>44293</v>
      </c>
      <c r="B254" s="4" t="s">
        <v>221</v>
      </c>
      <c r="C254" s="8">
        <v>44287</v>
      </c>
      <c r="D254" s="4" t="s">
        <v>177</v>
      </c>
      <c r="E254" s="14">
        <v>360.15609999999998</v>
      </c>
      <c r="F254" s="7">
        <v>385226</v>
      </c>
      <c r="G254" s="14">
        <v>668.99940000000004</v>
      </c>
      <c r="H254" s="7">
        <v>661277</v>
      </c>
      <c r="I254" s="14">
        <v>1029.1555000000001</v>
      </c>
      <c r="J254" s="7">
        <v>1046503</v>
      </c>
    </row>
    <row r="255" spans="1:10" x14ac:dyDescent="0.2">
      <c r="A255" s="9">
        <v>44294</v>
      </c>
      <c r="B255" s="4" t="s">
        <v>224</v>
      </c>
      <c r="C255" s="8">
        <v>44287</v>
      </c>
      <c r="D255" s="4" t="s">
        <v>177</v>
      </c>
      <c r="E255" s="14">
        <v>317.7543</v>
      </c>
      <c r="F255" s="7">
        <v>333668</v>
      </c>
      <c r="G255" s="14">
        <v>683.82529999999997</v>
      </c>
      <c r="H255" s="7">
        <v>650022</v>
      </c>
      <c r="I255" s="14">
        <v>1001.5796</v>
      </c>
      <c r="J255" s="7">
        <v>983690</v>
      </c>
    </row>
    <row r="256" spans="1:10" x14ac:dyDescent="0.2">
      <c r="A256" s="9">
        <v>44295</v>
      </c>
      <c r="B256" s="4" t="s">
        <v>222</v>
      </c>
      <c r="C256" s="8">
        <v>44287</v>
      </c>
      <c r="D256" s="4" t="s">
        <v>177</v>
      </c>
      <c r="E256" s="14">
        <v>290.3519</v>
      </c>
      <c r="F256" s="7">
        <v>309002</v>
      </c>
      <c r="G256" s="14">
        <v>681.8931</v>
      </c>
      <c r="H256" s="7">
        <v>691968</v>
      </c>
      <c r="I256" s="14">
        <v>972.245</v>
      </c>
      <c r="J256" s="7">
        <v>1000970</v>
      </c>
    </row>
    <row r="257" spans="1:10" x14ac:dyDescent="0.2">
      <c r="A257" s="9">
        <v>44298</v>
      </c>
      <c r="B257" s="4" t="s">
        <v>225</v>
      </c>
      <c r="C257" s="8">
        <v>44287</v>
      </c>
      <c r="D257" s="4" t="s">
        <v>177</v>
      </c>
      <c r="E257" s="14">
        <v>446.48009999999999</v>
      </c>
      <c r="F257" s="7">
        <v>485768</v>
      </c>
      <c r="G257" s="14">
        <v>851.70159999999998</v>
      </c>
      <c r="H257" s="7">
        <v>933363</v>
      </c>
      <c r="I257" s="14">
        <v>1298.1817000000001</v>
      </c>
      <c r="J257" s="7">
        <v>1419131</v>
      </c>
    </row>
    <row r="258" spans="1:10" x14ac:dyDescent="0.2">
      <c r="A258" s="9">
        <v>44299</v>
      </c>
      <c r="B258" s="4" t="s">
        <v>223</v>
      </c>
      <c r="C258" s="8">
        <v>44287</v>
      </c>
      <c r="D258" s="4" t="s">
        <v>177</v>
      </c>
      <c r="E258" s="14">
        <v>382.04399999999998</v>
      </c>
      <c r="F258" s="7">
        <v>418301</v>
      </c>
      <c r="G258" s="14">
        <v>696.84450000000004</v>
      </c>
      <c r="H258" s="7">
        <v>735756</v>
      </c>
      <c r="I258" s="14">
        <v>1078.8885</v>
      </c>
      <c r="J258" s="7">
        <v>1154057</v>
      </c>
    </row>
    <row r="259" spans="1:10" x14ac:dyDescent="0.2">
      <c r="A259" s="9">
        <v>44301</v>
      </c>
      <c r="B259" s="4" t="s">
        <v>224</v>
      </c>
      <c r="C259" s="8">
        <v>44287</v>
      </c>
      <c r="D259" s="4" t="s">
        <v>177</v>
      </c>
      <c r="E259" s="14">
        <v>417.62610000000001</v>
      </c>
      <c r="F259" s="7">
        <v>452629</v>
      </c>
      <c r="G259" s="14">
        <v>671.13009999999997</v>
      </c>
      <c r="H259" s="7">
        <v>720769</v>
      </c>
      <c r="I259" s="14">
        <v>1088.7562</v>
      </c>
      <c r="J259" s="7">
        <v>1173398</v>
      </c>
    </row>
    <row r="260" spans="1:10" x14ac:dyDescent="0.2">
      <c r="A260" s="9">
        <v>44302</v>
      </c>
      <c r="B260" s="4" t="s">
        <v>222</v>
      </c>
      <c r="C260" s="8">
        <v>44287</v>
      </c>
      <c r="D260" s="4" t="s">
        <v>177</v>
      </c>
      <c r="E260" s="14">
        <v>288.15879999999999</v>
      </c>
      <c r="F260" s="7">
        <v>307087</v>
      </c>
      <c r="G260" s="14">
        <v>640.89800000000002</v>
      </c>
      <c r="H260" s="7">
        <v>648997</v>
      </c>
      <c r="I260" s="14">
        <v>929.05679999999995</v>
      </c>
      <c r="J260" s="7">
        <v>956084</v>
      </c>
    </row>
    <row r="261" spans="1:10" x14ac:dyDescent="0.2">
      <c r="A261" s="9">
        <v>44305</v>
      </c>
      <c r="B261" s="4" t="s">
        <v>225</v>
      </c>
      <c r="C261" s="8">
        <v>44287</v>
      </c>
      <c r="D261" s="4" t="s">
        <v>177</v>
      </c>
      <c r="E261" s="14">
        <v>421.35019999999997</v>
      </c>
      <c r="F261" s="7">
        <v>463950</v>
      </c>
      <c r="G261" s="14">
        <v>642.27430000000004</v>
      </c>
      <c r="H261" s="7">
        <v>707944</v>
      </c>
      <c r="I261" s="14">
        <v>1063.6244999999999</v>
      </c>
      <c r="J261" s="7">
        <v>1171894</v>
      </c>
    </row>
    <row r="262" spans="1:10" x14ac:dyDescent="0.2">
      <c r="A262" s="9">
        <v>44306</v>
      </c>
      <c r="B262" s="4" t="s">
        <v>223</v>
      </c>
      <c r="C262" s="8">
        <v>44287</v>
      </c>
      <c r="D262" s="4" t="s">
        <v>177</v>
      </c>
      <c r="E262" s="14">
        <v>354.97480000000002</v>
      </c>
      <c r="F262" s="7">
        <v>386255</v>
      </c>
      <c r="G262" s="14">
        <v>666.94820000000004</v>
      </c>
      <c r="H262" s="7">
        <v>725777</v>
      </c>
      <c r="I262" s="14">
        <v>1021.923</v>
      </c>
      <c r="J262" s="7">
        <v>1112032</v>
      </c>
    </row>
    <row r="263" spans="1:10" x14ac:dyDescent="0.2">
      <c r="A263" s="9">
        <v>44308</v>
      </c>
      <c r="B263" s="4" t="s">
        <v>224</v>
      </c>
      <c r="C263" s="8">
        <v>44287</v>
      </c>
      <c r="D263" s="4" t="s">
        <v>177</v>
      </c>
      <c r="E263" s="14">
        <v>392.4649</v>
      </c>
      <c r="F263" s="7">
        <v>434450</v>
      </c>
      <c r="G263" s="14">
        <v>817.12369999999999</v>
      </c>
      <c r="H263" s="7">
        <v>829302</v>
      </c>
      <c r="I263" s="14">
        <v>1209.5886</v>
      </c>
      <c r="J263" s="7">
        <v>1263752</v>
      </c>
    </row>
    <row r="264" spans="1:10" x14ac:dyDescent="0.2">
      <c r="A264" s="9">
        <v>44309</v>
      </c>
      <c r="B264" s="4" t="s">
        <v>222</v>
      </c>
      <c r="C264" s="8">
        <v>44287</v>
      </c>
      <c r="D264" s="4" t="s">
        <v>177</v>
      </c>
      <c r="E264" s="14">
        <v>389.40629999999999</v>
      </c>
      <c r="F264" s="7">
        <v>427838</v>
      </c>
      <c r="G264" s="14">
        <v>824.11189999999999</v>
      </c>
      <c r="H264" s="7">
        <v>902078</v>
      </c>
      <c r="I264" s="14">
        <v>1213.5182</v>
      </c>
      <c r="J264" s="7">
        <v>1329916</v>
      </c>
    </row>
    <row r="265" spans="1:10" x14ac:dyDescent="0.2">
      <c r="A265" s="9">
        <v>44312</v>
      </c>
      <c r="B265" s="4" t="s">
        <v>225</v>
      </c>
      <c r="C265" s="8">
        <v>44287</v>
      </c>
      <c r="D265" s="4" t="s">
        <v>177</v>
      </c>
      <c r="E265" s="14">
        <v>352.60809999999998</v>
      </c>
      <c r="F265" s="7">
        <v>379387</v>
      </c>
      <c r="G265" s="14">
        <v>1206.0165999999999</v>
      </c>
      <c r="H265" s="7">
        <v>1341714</v>
      </c>
      <c r="I265" s="14">
        <v>1558.6247000000001</v>
      </c>
      <c r="J265" s="7">
        <v>1721101</v>
      </c>
    </row>
    <row r="266" spans="1:10" x14ac:dyDescent="0.2">
      <c r="A266" s="9">
        <v>44313</v>
      </c>
      <c r="B266" s="4" t="s">
        <v>223</v>
      </c>
      <c r="C266" s="8">
        <v>44287</v>
      </c>
      <c r="D266" s="4" t="s">
        <v>177</v>
      </c>
      <c r="E266" s="14">
        <v>318.47309999999999</v>
      </c>
      <c r="F266" s="7">
        <v>337631</v>
      </c>
      <c r="G266" s="14">
        <v>1360.3774000000001</v>
      </c>
      <c r="H266" s="7">
        <v>1505005</v>
      </c>
      <c r="I266" s="14">
        <v>1678.8505</v>
      </c>
      <c r="J266" s="7">
        <v>1842636</v>
      </c>
    </row>
    <row r="267" spans="1:10" x14ac:dyDescent="0.2">
      <c r="A267" s="9">
        <v>44314</v>
      </c>
      <c r="B267" s="4" t="s">
        <v>221</v>
      </c>
      <c r="C267" s="8">
        <v>44287</v>
      </c>
      <c r="D267" s="4" t="s">
        <v>177</v>
      </c>
      <c r="E267" s="14">
        <v>422.49290000000002</v>
      </c>
      <c r="F267" s="7">
        <v>441987</v>
      </c>
      <c r="G267" s="14">
        <v>1372.2035000000001</v>
      </c>
      <c r="H267" s="7">
        <v>1517995</v>
      </c>
      <c r="I267" s="14">
        <v>1794.6964</v>
      </c>
      <c r="J267" s="7">
        <v>1959982</v>
      </c>
    </row>
    <row r="268" spans="1:10" x14ac:dyDescent="0.2">
      <c r="A268" s="9">
        <v>44315</v>
      </c>
      <c r="B268" s="4" t="s">
        <v>224</v>
      </c>
      <c r="C268" s="8">
        <v>44287</v>
      </c>
      <c r="D268" s="4" t="s">
        <v>177</v>
      </c>
      <c r="E268" s="14">
        <v>559.28269999999998</v>
      </c>
      <c r="F268" s="7">
        <v>578701</v>
      </c>
      <c r="G268" s="14">
        <v>1389.8296</v>
      </c>
      <c r="H268" s="7">
        <v>1473658</v>
      </c>
      <c r="I268" s="14">
        <v>1949.1123</v>
      </c>
      <c r="J268" s="7">
        <v>2052359</v>
      </c>
    </row>
    <row r="269" spans="1:10" x14ac:dyDescent="0.2">
      <c r="A269" s="9">
        <v>44316</v>
      </c>
      <c r="B269" s="4" t="s">
        <v>222</v>
      </c>
      <c r="C269" s="8">
        <v>44287</v>
      </c>
      <c r="D269" s="4" t="s">
        <v>177</v>
      </c>
      <c r="E269" s="14">
        <v>370.34519999999998</v>
      </c>
      <c r="F269" s="7">
        <v>388661</v>
      </c>
      <c r="G269" s="14">
        <v>712.79020000000003</v>
      </c>
      <c r="H269" s="7">
        <v>943016</v>
      </c>
      <c r="I269" s="14">
        <v>1083.1353999999999</v>
      </c>
      <c r="J269" s="7">
        <v>1331677</v>
      </c>
    </row>
    <row r="270" spans="1:10" x14ac:dyDescent="0.2">
      <c r="A270" s="9">
        <v>44319</v>
      </c>
      <c r="B270" s="4" t="s">
        <v>225</v>
      </c>
      <c r="C270" s="8">
        <v>44317</v>
      </c>
      <c r="D270" s="4" t="s">
        <v>177</v>
      </c>
      <c r="E270" s="14">
        <v>353.04259999999999</v>
      </c>
      <c r="F270" s="7">
        <v>382261</v>
      </c>
      <c r="G270" s="14">
        <v>622.39660000000003</v>
      </c>
      <c r="H270" s="7">
        <v>826966</v>
      </c>
      <c r="I270" s="14">
        <v>975.43920000000003</v>
      </c>
      <c r="J270" s="7">
        <v>1209227</v>
      </c>
    </row>
    <row r="271" spans="1:10" x14ac:dyDescent="0.2">
      <c r="A271" s="9">
        <v>44320</v>
      </c>
      <c r="B271" s="4" t="s">
        <v>223</v>
      </c>
      <c r="C271" s="8">
        <v>44317</v>
      </c>
      <c r="D271" s="4" t="s">
        <v>177</v>
      </c>
      <c r="E271" s="14">
        <v>360.52659999999997</v>
      </c>
      <c r="F271" s="7">
        <v>386243</v>
      </c>
      <c r="G271" s="14">
        <v>676.79010000000005</v>
      </c>
      <c r="H271" s="7">
        <v>895985</v>
      </c>
      <c r="I271" s="14">
        <v>1037.3167000000001</v>
      </c>
      <c r="J271" s="7">
        <v>1282228</v>
      </c>
    </row>
    <row r="272" spans="1:10" x14ac:dyDescent="0.2">
      <c r="A272" s="9">
        <v>44321</v>
      </c>
      <c r="B272" s="4" t="s">
        <v>221</v>
      </c>
      <c r="C272" s="8">
        <v>44317</v>
      </c>
      <c r="D272" s="4" t="s">
        <v>177</v>
      </c>
      <c r="E272" s="14">
        <v>334.27319999999997</v>
      </c>
      <c r="F272" s="7">
        <v>359774</v>
      </c>
      <c r="G272" s="14">
        <v>649.14400000000001</v>
      </c>
      <c r="H272" s="7">
        <v>841967</v>
      </c>
      <c r="I272" s="14">
        <v>983.41719999999998</v>
      </c>
      <c r="J272" s="7">
        <v>1201741</v>
      </c>
    </row>
    <row r="273" spans="1:10" x14ac:dyDescent="0.2">
      <c r="A273" s="9">
        <v>44322</v>
      </c>
      <c r="B273" s="4" t="s">
        <v>224</v>
      </c>
      <c r="C273" s="8">
        <v>44317</v>
      </c>
      <c r="D273" s="4" t="s">
        <v>177</v>
      </c>
      <c r="E273" s="14">
        <v>276.88869999999997</v>
      </c>
      <c r="F273" s="7">
        <v>292681</v>
      </c>
      <c r="G273" s="14">
        <v>641.44219999999996</v>
      </c>
      <c r="H273" s="7">
        <v>814879</v>
      </c>
      <c r="I273" s="14">
        <v>918.33090000000004</v>
      </c>
      <c r="J273" s="7">
        <v>1107560</v>
      </c>
    </row>
    <row r="274" spans="1:10" x14ac:dyDescent="0.2">
      <c r="A274" s="9">
        <v>44323</v>
      </c>
      <c r="B274" s="4" t="s">
        <v>222</v>
      </c>
      <c r="C274" s="8">
        <v>44317</v>
      </c>
      <c r="D274" s="4" t="s">
        <v>177</v>
      </c>
      <c r="E274" s="14">
        <v>239.77099999999999</v>
      </c>
      <c r="F274" s="7">
        <v>253985</v>
      </c>
      <c r="G274" s="14">
        <v>715.4085</v>
      </c>
      <c r="H274" s="7">
        <v>880684</v>
      </c>
      <c r="I274" s="14">
        <v>955.17949999999996</v>
      </c>
      <c r="J274" s="7">
        <v>1134669</v>
      </c>
    </row>
    <row r="275" spans="1:10" x14ac:dyDescent="0.2">
      <c r="A275" s="9">
        <v>44326</v>
      </c>
      <c r="B275" s="4" t="s">
        <v>225</v>
      </c>
      <c r="C275" s="8">
        <v>44317</v>
      </c>
      <c r="D275" s="4" t="s">
        <v>177</v>
      </c>
      <c r="E275" s="14">
        <v>204.58969999999999</v>
      </c>
      <c r="F275" s="7">
        <v>213898</v>
      </c>
      <c r="G275" s="14">
        <v>665.35760000000005</v>
      </c>
      <c r="H275" s="7">
        <v>847559</v>
      </c>
      <c r="I275" s="14">
        <v>869.94730000000004</v>
      </c>
      <c r="J275" s="7">
        <v>1061457</v>
      </c>
    </row>
    <row r="276" spans="1:10" x14ac:dyDescent="0.2">
      <c r="A276" s="9">
        <v>44327</v>
      </c>
      <c r="B276" s="4" t="s">
        <v>223</v>
      </c>
      <c r="C276" s="8">
        <v>44317</v>
      </c>
      <c r="D276" s="4" t="s">
        <v>177</v>
      </c>
      <c r="E276" s="14">
        <v>282.2706</v>
      </c>
      <c r="F276" s="7">
        <v>301147</v>
      </c>
      <c r="G276" s="14">
        <v>705.12620000000004</v>
      </c>
      <c r="H276" s="7">
        <v>884036</v>
      </c>
      <c r="I276" s="14">
        <v>987.39679999999998</v>
      </c>
      <c r="J276" s="7">
        <v>1185183</v>
      </c>
    </row>
    <row r="277" spans="1:10" x14ac:dyDescent="0.2">
      <c r="A277" s="9">
        <v>44328</v>
      </c>
      <c r="B277" s="4" t="s">
        <v>221</v>
      </c>
      <c r="C277" s="8">
        <v>44317</v>
      </c>
      <c r="D277" s="4" t="s">
        <v>177</v>
      </c>
      <c r="E277" s="14">
        <v>325.84739999999999</v>
      </c>
      <c r="F277" s="7">
        <v>341195</v>
      </c>
      <c r="G277" s="14">
        <v>786.72950000000003</v>
      </c>
      <c r="H277" s="7">
        <v>993426</v>
      </c>
      <c r="I277" s="14">
        <v>1112.5769</v>
      </c>
      <c r="J277" s="7">
        <v>1334621</v>
      </c>
    </row>
    <row r="278" spans="1:10" x14ac:dyDescent="0.2">
      <c r="A278" s="9">
        <v>44330</v>
      </c>
      <c r="B278" s="4" t="s">
        <v>222</v>
      </c>
      <c r="C278" s="8">
        <v>44317</v>
      </c>
      <c r="D278" s="4" t="s">
        <v>177</v>
      </c>
      <c r="E278" s="14">
        <v>283.3091</v>
      </c>
      <c r="F278" s="7">
        <v>298812</v>
      </c>
      <c r="G278" s="14">
        <v>817.91300000000001</v>
      </c>
      <c r="H278" s="7">
        <v>1042088</v>
      </c>
      <c r="I278" s="14">
        <v>1101.2221</v>
      </c>
      <c r="J278" s="7">
        <v>1340900</v>
      </c>
    </row>
    <row r="279" spans="1:10" x14ac:dyDescent="0.2">
      <c r="A279" s="9">
        <v>44333</v>
      </c>
      <c r="B279" s="4" t="s">
        <v>225</v>
      </c>
      <c r="C279" s="8">
        <v>44317</v>
      </c>
      <c r="D279" s="4" t="s">
        <v>177</v>
      </c>
      <c r="E279" s="14">
        <v>326.5301</v>
      </c>
      <c r="F279" s="7">
        <v>351107</v>
      </c>
      <c r="G279" s="14">
        <v>727.89729999999997</v>
      </c>
      <c r="H279" s="7">
        <v>957325</v>
      </c>
      <c r="I279" s="14">
        <v>1054.4274</v>
      </c>
      <c r="J279" s="7">
        <v>1308432</v>
      </c>
    </row>
    <row r="280" spans="1:10" x14ac:dyDescent="0.2">
      <c r="A280" s="9">
        <v>44334</v>
      </c>
      <c r="B280" s="4" t="s">
        <v>223</v>
      </c>
      <c r="C280" s="8">
        <v>44317</v>
      </c>
      <c r="D280" s="4" t="s">
        <v>177</v>
      </c>
      <c r="E280" s="14">
        <v>291.40929999999997</v>
      </c>
      <c r="F280" s="7">
        <v>299182</v>
      </c>
      <c r="G280" s="14">
        <v>781.73869999999999</v>
      </c>
      <c r="H280" s="7">
        <v>1003934</v>
      </c>
      <c r="I280" s="14">
        <v>1073.1479999999999</v>
      </c>
      <c r="J280" s="7">
        <v>1303116</v>
      </c>
    </row>
    <row r="281" spans="1:10" x14ac:dyDescent="0.2">
      <c r="A281" s="9">
        <v>44335</v>
      </c>
      <c r="B281" s="4" t="s">
        <v>221</v>
      </c>
      <c r="C281" s="8">
        <v>44317</v>
      </c>
      <c r="D281" s="4" t="s">
        <v>177</v>
      </c>
      <c r="E281" s="14">
        <v>236.08</v>
      </c>
      <c r="F281" s="7">
        <v>246728</v>
      </c>
      <c r="G281" s="14">
        <v>668.30880000000002</v>
      </c>
      <c r="H281" s="7">
        <v>857260</v>
      </c>
      <c r="I281" s="14">
        <v>904.38879999999995</v>
      </c>
      <c r="J281" s="7">
        <v>1103988</v>
      </c>
    </row>
    <row r="282" spans="1:10" x14ac:dyDescent="0.2">
      <c r="A282" s="9">
        <v>44336</v>
      </c>
      <c r="B282" s="4" t="s">
        <v>224</v>
      </c>
      <c r="C282" s="8">
        <v>44317</v>
      </c>
      <c r="D282" s="4" t="s">
        <v>177</v>
      </c>
      <c r="E282" s="14">
        <v>231.39859999999999</v>
      </c>
      <c r="F282" s="7">
        <v>238116</v>
      </c>
      <c r="G282" s="14">
        <v>743.21609999999998</v>
      </c>
      <c r="H282" s="7">
        <v>961408</v>
      </c>
      <c r="I282" s="14">
        <v>974.61469999999997</v>
      </c>
      <c r="J282" s="7">
        <v>1199524</v>
      </c>
    </row>
    <row r="283" spans="1:10" x14ac:dyDescent="0.2">
      <c r="A283" s="9">
        <v>44337</v>
      </c>
      <c r="B283" s="4" t="s">
        <v>222</v>
      </c>
      <c r="C283" s="8">
        <v>44317</v>
      </c>
      <c r="D283" s="4" t="s">
        <v>177</v>
      </c>
      <c r="E283" s="14">
        <v>366.1925</v>
      </c>
      <c r="F283" s="7">
        <v>380240</v>
      </c>
      <c r="G283" s="14">
        <v>942.34379999999999</v>
      </c>
      <c r="H283" s="7">
        <v>1277508</v>
      </c>
      <c r="I283" s="14">
        <v>1308.5363</v>
      </c>
      <c r="J283" s="7">
        <v>1657748</v>
      </c>
    </row>
    <row r="284" spans="1:10" x14ac:dyDescent="0.2">
      <c r="A284" s="9">
        <v>44340</v>
      </c>
      <c r="B284" s="4" t="s">
        <v>225</v>
      </c>
      <c r="C284" s="8">
        <v>44317</v>
      </c>
      <c r="D284" s="4" t="s">
        <v>177</v>
      </c>
      <c r="E284" s="14">
        <v>323.75439999999998</v>
      </c>
      <c r="F284" s="7">
        <v>333918</v>
      </c>
      <c r="G284" s="14">
        <v>1432.1107999999999</v>
      </c>
      <c r="H284" s="7">
        <v>1838198</v>
      </c>
      <c r="I284" s="14">
        <v>1755.8652</v>
      </c>
      <c r="J284" s="7">
        <v>2172116</v>
      </c>
    </row>
    <row r="285" spans="1:10" x14ac:dyDescent="0.2">
      <c r="A285" s="9">
        <v>44341</v>
      </c>
      <c r="B285" s="4" t="s">
        <v>223</v>
      </c>
      <c r="C285" s="8">
        <v>44317</v>
      </c>
      <c r="D285" s="4" t="s">
        <v>177</v>
      </c>
      <c r="E285" s="14">
        <v>355.3734</v>
      </c>
      <c r="F285" s="7">
        <v>361074</v>
      </c>
      <c r="G285" s="14">
        <v>1476.3939</v>
      </c>
      <c r="H285" s="7">
        <v>1892533</v>
      </c>
      <c r="I285" s="14">
        <v>1831.7673</v>
      </c>
      <c r="J285" s="7">
        <v>2253607</v>
      </c>
    </row>
    <row r="286" spans="1:10" x14ac:dyDescent="0.2">
      <c r="A286" s="9">
        <v>44342</v>
      </c>
      <c r="B286" s="4" t="s">
        <v>221</v>
      </c>
      <c r="C286" s="8">
        <v>44317</v>
      </c>
      <c r="D286" s="4" t="s">
        <v>177</v>
      </c>
      <c r="E286" s="14">
        <v>376.041</v>
      </c>
      <c r="F286" s="7">
        <v>380655</v>
      </c>
      <c r="G286" s="14">
        <v>1340.1043</v>
      </c>
      <c r="H286" s="7">
        <v>1706801</v>
      </c>
      <c r="I286" s="14">
        <v>1716.1452999999999</v>
      </c>
      <c r="J286" s="7">
        <v>2087456</v>
      </c>
    </row>
    <row r="287" spans="1:10" x14ac:dyDescent="0.2">
      <c r="A287" s="9">
        <v>44343</v>
      </c>
      <c r="B287" s="4" t="s">
        <v>224</v>
      </c>
      <c r="C287" s="8">
        <v>44317</v>
      </c>
      <c r="D287" s="4" t="s">
        <v>177</v>
      </c>
      <c r="E287" s="14">
        <v>472.13979999999998</v>
      </c>
      <c r="F287" s="7">
        <v>472014</v>
      </c>
      <c r="G287" s="14">
        <v>1541.5613000000001</v>
      </c>
      <c r="H287" s="7">
        <v>1984241</v>
      </c>
      <c r="I287" s="14">
        <v>2013.7011</v>
      </c>
      <c r="J287" s="7">
        <v>2456255</v>
      </c>
    </row>
    <row r="288" spans="1:10" x14ac:dyDescent="0.2">
      <c r="A288" s="9">
        <v>44344</v>
      </c>
      <c r="B288" s="4" t="s">
        <v>222</v>
      </c>
      <c r="C288" s="8">
        <v>44317</v>
      </c>
      <c r="D288" s="4" t="s">
        <v>177</v>
      </c>
      <c r="E288" s="14">
        <v>242.13399999999999</v>
      </c>
      <c r="F288" s="7">
        <v>248053</v>
      </c>
      <c r="G288" s="14">
        <v>737.1046</v>
      </c>
      <c r="H288" s="7">
        <v>964391</v>
      </c>
      <c r="I288" s="14">
        <v>979.23860000000002</v>
      </c>
      <c r="J288" s="7">
        <v>1212444</v>
      </c>
    </row>
    <row r="289" spans="1:10" x14ac:dyDescent="0.2">
      <c r="A289" s="9">
        <v>44347</v>
      </c>
      <c r="B289" s="4" t="s">
        <v>225</v>
      </c>
      <c r="C289" s="8">
        <v>44317</v>
      </c>
      <c r="D289" s="4" t="s">
        <v>177</v>
      </c>
      <c r="E289" s="14">
        <v>243.63130000000001</v>
      </c>
      <c r="F289" s="7">
        <v>246555</v>
      </c>
      <c r="G289" s="14">
        <v>667.96439999999996</v>
      </c>
      <c r="H289" s="7">
        <v>874736</v>
      </c>
      <c r="I289" s="14">
        <v>911.59569999999997</v>
      </c>
      <c r="J289" s="7">
        <v>1121291</v>
      </c>
    </row>
    <row r="290" spans="1:10" x14ac:dyDescent="0.2">
      <c r="A290" s="9">
        <v>44348</v>
      </c>
      <c r="B290" s="4" t="s">
        <v>223</v>
      </c>
      <c r="C290" s="8">
        <v>44348</v>
      </c>
      <c r="D290" s="4" t="s">
        <v>177</v>
      </c>
      <c r="E290" s="14">
        <v>257.16390000000001</v>
      </c>
      <c r="F290" s="7">
        <v>258375</v>
      </c>
      <c r="G290" s="14">
        <v>644.03909999999996</v>
      </c>
      <c r="H290" s="7">
        <v>806483</v>
      </c>
      <c r="I290" s="14">
        <v>901.20299999999997</v>
      </c>
      <c r="J290" s="7">
        <v>1064858</v>
      </c>
    </row>
    <row r="291" spans="1:10" x14ac:dyDescent="0.2">
      <c r="A291" s="9">
        <v>44349</v>
      </c>
      <c r="B291" s="4" t="s">
        <v>221</v>
      </c>
      <c r="C291" s="8">
        <v>44348</v>
      </c>
      <c r="D291" s="4" t="s">
        <v>177</v>
      </c>
      <c r="E291" s="14">
        <v>212.4485</v>
      </c>
      <c r="F291" s="7">
        <v>212410</v>
      </c>
      <c r="G291" s="14">
        <v>716.75390000000004</v>
      </c>
      <c r="H291" s="7">
        <v>878882</v>
      </c>
      <c r="I291" s="14">
        <v>929.20240000000001</v>
      </c>
      <c r="J291" s="7">
        <v>1091292</v>
      </c>
    </row>
    <row r="292" spans="1:10" x14ac:dyDescent="0.2">
      <c r="A292" s="9">
        <v>44350</v>
      </c>
      <c r="B292" s="4" t="s">
        <v>224</v>
      </c>
      <c r="C292" s="8">
        <v>44348</v>
      </c>
      <c r="D292" s="4" t="s">
        <v>177</v>
      </c>
      <c r="E292" s="14">
        <v>212.15029999999999</v>
      </c>
      <c r="F292" s="7">
        <v>213128</v>
      </c>
      <c r="G292" s="14">
        <v>691.82770000000005</v>
      </c>
      <c r="H292" s="7">
        <v>846046</v>
      </c>
      <c r="I292" s="14">
        <v>903.97799999999995</v>
      </c>
      <c r="J292" s="7">
        <v>1059174</v>
      </c>
    </row>
    <row r="293" spans="1:10" x14ac:dyDescent="0.2">
      <c r="A293" s="9">
        <v>44351</v>
      </c>
      <c r="B293" s="4" t="s">
        <v>222</v>
      </c>
      <c r="C293" s="8">
        <v>44348</v>
      </c>
      <c r="D293" s="4" t="s">
        <v>177</v>
      </c>
      <c r="E293" s="14">
        <v>238.34200000000001</v>
      </c>
      <c r="F293" s="7">
        <v>243269</v>
      </c>
      <c r="G293" s="14">
        <v>699.7672</v>
      </c>
      <c r="H293" s="7">
        <v>828266</v>
      </c>
      <c r="I293" s="14">
        <v>938.10919999999999</v>
      </c>
      <c r="J293" s="7">
        <v>1071535</v>
      </c>
    </row>
    <row r="294" spans="1:10" x14ac:dyDescent="0.2">
      <c r="A294" s="9">
        <v>44354</v>
      </c>
      <c r="B294" s="4" t="s">
        <v>225</v>
      </c>
      <c r="C294" s="8">
        <v>44348</v>
      </c>
      <c r="D294" s="4" t="s">
        <v>177</v>
      </c>
      <c r="E294" s="14">
        <v>163.69309999999999</v>
      </c>
      <c r="F294" s="7">
        <v>164577</v>
      </c>
      <c r="G294" s="14">
        <v>722.64229999999998</v>
      </c>
      <c r="H294" s="7">
        <v>864421</v>
      </c>
      <c r="I294" s="14">
        <v>886.33540000000005</v>
      </c>
      <c r="J294" s="7">
        <v>1028998</v>
      </c>
    </row>
    <row r="295" spans="1:10" x14ac:dyDescent="0.2">
      <c r="A295" s="9">
        <v>44355</v>
      </c>
      <c r="B295" s="4" t="s">
        <v>223</v>
      </c>
      <c r="C295" s="8">
        <v>44348</v>
      </c>
      <c r="D295" s="4" t="s">
        <v>177</v>
      </c>
      <c r="E295" s="14">
        <v>201.49440000000001</v>
      </c>
      <c r="F295" s="7">
        <v>205933</v>
      </c>
      <c r="G295" s="14">
        <v>663.20719999999994</v>
      </c>
      <c r="H295" s="7">
        <v>808056</v>
      </c>
      <c r="I295" s="14">
        <v>864.70159999999998</v>
      </c>
      <c r="J295" s="7">
        <v>1013989</v>
      </c>
    </row>
    <row r="296" spans="1:10" x14ac:dyDescent="0.2">
      <c r="A296" s="9">
        <v>44356</v>
      </c>
      <c r="B296" s="4" t="s">
        <v>221</v>
      </c>
      <c r="C296" s="8">
        <v>44348</v>
      </c>
      <c r="D296" s="4" t="s">
        <v>177</v>
      </c>
      <c r="E296" s="14">
        <v>343.07159999999999</v>
      </c>
      <c r="F296" s="7">
        <v>346677</v>
      </c>
      <c r="G296" s="14">
        <v>854.46789999999999</v>
      </c>
      <c r="H296" s="7">
        <v>1039146</v>
      </c>
      <c r="I296" s="14">
        <v>1197.5395000000001</v>
      </c>
      <c r="J296" s="7">
        <v>1385823</v>
      </c>
    </row>
    <row r="297" spans="1:10" x14ac:dyDescent="0.2">
      <c r="A297" s="9">
        <v>44357</v>
      </c>
      <c r="B297" s="4" t="s">
        <v>224</v>
      </c>
      <c r="C297" s="8">
        <v>44348</v>
      </c>
      <c r="D297" s="4" t="s">
        <v>177</v>
      </c>
      <c r="E297" s="14">
        <v>226.791</v>
      </c>
      <c r="F297" s="7">
        <v>227936</v>
      </c>
      <c r="G297" s="14">
        <v>636.57249999999999</v>
      </c>
      <c r="H297" s="7">
        <v>781588</v>
      </c>
      <c r="I297" s="14">
        <v>863.36350000000004</v>
      </c>
      <c r="J297" s="7">
        <v>1009524</v>
      </c>
    </row>
    <row r="298" spans="1:10" x14ac:dyDescent="0.2">
      <c r="A298" s="9">
        <v>44358</v>
      </c>
      <c r="B298" s="4" t="s">
        <v>222</v>
      </c>
      <c r="C298" s="8">
        <v>44348</v>
      </c>
      <c r="D298" s="4" t="s">
        <v>177</v>
      </c>
      <c r="E298" s="14">
        <v>202.65190000000001</v>
      </c>
      <c r="F298" s="7">
        <v>202279</v>
      </c>
      <c r="G298" s="14">
        <v>678.5018</v>
      </c>
      <c r="H298" s="7">
        <v>818919</v>
      </c>
      <c r="I298" s="14">
        <v>881.15369999999996</v>
      </c>
      <c r="J298" s="7">
        <v>1021198</v>
      </c>
    </row>
    <row r="299" spans="1:10" x14ac:dyDescent="0.2">
      <c r="A299" s="9">
        <v>44361</v>
      </c>
      <c r="B299" s="4" t="s">
        <v>225</v>
      </c>
      <c r="C299" s="8">
        <v>44348</v>
      </c>
      <c r="D299" s="4" t="s">
        <v>177</v>
      </c>
      <c r="E299" s="14">
        <v>269.4796</v>
      </c>
      <c r="F299" s="7">
        <v>270536</v>
      </c>
      <c r="G299" s="14">
        <v>777.67089999999996</v>
      </c>
      <c r="H299" s="7">
        <v>914655</v>
      </c>
      <c r="I299" s="14">
        <v>1047.1505</v>
      </c>
      <c r="J299" s="7">
        <v>1185191</v>
      </c>
    </row>
    <row r="300" spans="1:10" x14ac:dyDescent="0.2">
      <c r="A300" s="9">
        <v>44362</v>
      </c>
      <c r="B300" s="4" t="s">
        <v>223</v>
      </c>
      <c r="C300" s="8">
        <v>44348</v>
      </c>
      <c r="D300" s="4" t="s">
        <v>177</v>
      </c>
      <c r="E300" s="14">
        <v>173.44390000000001</v>
      </c>
      <c r="F300" s="7">
        <v>177349</v>
      </c>
      <c r="G300" s="14">
        <v>679.56709999999998</v>
      </c>
      <c r="H300" s="7">
        <v>804478</v>
      </c>
      <c r="I300" s="14">
        <v>853.01099999999997</v>
      </c>
      <c r="J300" s="7">
        <v>981827</v>
      </c>
    </row>
    <row r="301" spans="1:10" x14ac:dyDescent="0.2">
      <c r="A301" s="9">
        <v>44363</v>
      </c>
      <c r="B301" s="4" t="s">
        <v>221</v>
      </c>
      <c r="C301" s="8">
        <v>44348</v>
      </c>
      <c r="D301" s="4" t="s">
        <v>177</v>
      </c>
      <c r="E301" s="14">
        <v>226.57249999999999</v>
      </c>
      <c r="F301" s="7">
        <v>226281</v>
      </c>
      <c r="G301" s="14">
        <v>650.4221</v>
      </c>
      <c r="H301" s="7">
        <v>774347</v>
      </c>
      <c r="I301" s="14">
        <v>876.99459999999999</v>
      </c>
      <c r="J301" s="7">
        <v>1000628</v>
      </c>
    </row>
    <row r="302" spans="1:10" x14ac:dyDescent="0.2">
      <c r="A302" s="9">
        <v>44364</v>
      </c>
      <c r="B302" s="4" t="s">
        <v>224</v>
      </c>
      <c r="C302" s="8">
        <v>44348</v>
      </c>
      <c r="D302" s="4" t="s">
        <v>177</v>
      </c>
      <c r="E302" s="14">
        <v>287.47250000000003</v>
      </c>
      <c r="F302" s="7">
        <v>291755</v>
      </c>
      <c r="G302" s="14">
        <v>753.97990000000004</v>
      </c>
      <c r="H302" s="7">
        <v>919024</v>
      </c>
      <c r="I302" s="14">
        <v>1041.4523999999999</v>
      </c>
      <c r="J302" s="7">
        <v>1210779</v>
      </c>
    </row>
    <row r="303" spans="1:10" x14ac:dyDescent="0.2">
      <c r="A303" s="9">
        <v>44365</v>
      </c>
      <c r="B303" s="4" t="s">
        <v>222</v>
      </c>
      <c r="C303" s="8">
        <v>44348</v>
      </c>
      <c r="D303" s="4" t="s">
        <v>177</v>
      </c>
      <c r="E303" s="14">
        <v>388.6377</v>
      </c>
      <c r="F303" s="7">
        <v>398182</v>
      </c>
      <c r="G303" s="14">
        <v>1011.9493</v>
      </c>
      <c r="H303" s="7">
        <v>1244350</v>
      </c>
      <c r="I303" s="14">
        <v>1400.587</v>
      </c>
      <c r="J303" s="7">
        <v>1642532</v>
      </c>
    </row>
    <row r="304" spans="1:10" x14ac:dyDescent="0.2">
      <c r="A304" s="9">
        <v>44368</v>
      </c>
      <c r="B304" s="4" t="s">
        <v>225</v>
      </c>
      <c r="C304" s="8">
        <v>44348</v>
      </c>
      <c r="D304" s="4" t="s">
        <v>177</v>
      </c>
      <c r="E304" s="14">
        <v>327.83780000000002</v>
      </c>
      <c r="F304" s="7">
        <v>345153</v>
      </c>
      <c r="G304" s="14">
        <v>1175.3869</v>
      </c>
      <c r="H304" s="7">
        <v>1467784</v>
      </c>
      <c r="I304" s="14">
        <v>1503.2247</v>
      </c>
      <c r="J304" s="7">
        <v>1812937</v>
      </c>
    </row>
    <row r="305" spans="1:10" x14ac:dyDescent="0.2">
      <c r="A305" s="9">
        <v>44369</v>
      </c>
      <c r="B305" s="4" t="s">
        <v>223</v>
      </c>
      <c r="C305" s="8">
        <v>44348</v>
      </c>
      <c r="D305" s="4" t="s">
        <v>177</v>
      </c>
      <c r="E305" s="14">
        <v>348.22480000000002</v>
      </c>
      <c r="F305" s="7">
        <v>368405</v>
      </c>
      <c r="G305" s="14">
        <v>1452.6416999999999</v>
      </c>
      <c r="H305" s="7">
        <v>1804736</v>
      </c>
      <c r="I305" s="14">
        <v>1800.8665000000001</v>
      </c>
      <c r="J305" s="7">
        <v>2173141</v>
      </c>
    </row>
    <row r="306" spans="1:10" x14ac:dyDescent="0.2">
      <c r="A306" s="9">
        <v>44370</v>
      </c>
      <c r="B306" s="4" t="s">
        <v>221</v>
      </c>
      <c r="C306" s="8">
        <v>44348</v>
      </c>
      <c r="D306" s="4" t="s">
        <v>177</v>
      </c>
      <c r="E306" s="14">
        <v>350.47059999999999</v>
      </c>
      <c r="F306" s="7">
        <v>374597</v>
      </c>
      <c r="G306" s="14">
        <v>1388.3053</v>
      </c>
      <c r="H306" s="7">
        <v>1744211</v>
      </c>
      <c r="I306" s="14">
        <v>1738.7759000000001</v>
      </c>
      <c r="J306" s="7">
        <v>2118808</v>
      </c>
    </row>
    <row r="307" spans="1:10" x14ac:dyDescent="0.2">
      <c r="A307" s="9">
        <v>44371</v>
      </c>
      <c r="B307" s="4" t="s">
        <v>224</v>
      </c>
      <c r="C307" s="8">
        <v>44348</v>
      </c>
      <c r="D307" s="4" t="s">
        <v>177</v>
      </c>
      <c r="E307" s="14">
        <v>429.69369999999998</v>
      </c>
      <c r="F307" s="7">
        <v>471286</v>
      </c>
      <c r="G307" s="14">
        <v>1372.8880999999999</v>
      </c>
      <c r="H307" s="7">
        <v>1783173</v>
      </c>
      <c r="I307" s="14">
        <v>1802.5817999999999</v>
      </c>
      <c r="J307" s="7">
        <v>2254459</v>
      </c>
    </row>
    <row r="308" spans="1:10" x14ac:dyDescent="0.2">
      <c r="A308" s="9">
        <v>44372</v>
      </c>
      <c r="B308" s="4" t="s">
        <v>222</v>
      </c>
      <c r="C308" s="8">
        <v>44348</v>
      </c>
      <c r="D308" s="4" t="s">
        <v>177</v>
      </c>
      <c r="E308" s="14">
        <v>218.2406</v>
      </c>
      <c r="F308" s="7">
        <v>258376</v>
      </c>
      <c r="G308" s="14">
        <v>601.24950000000001</v>
      </c>
      <c r="H308" s="7">
        <v>770358</v>
      </c>
      <c r="I308" s="14">
        <v>819.49009999999998</v>
      </c>
      <c r="J308" s="7">
        <v>1028734</v>
      </c>
    </row>
    <row r="309" spans="1:10" x14ac:dyDescent="0.2">
      <c r="A309" s="9">
        <v>44375</v>
      </c>
      <c r="B309" s="4" t="s">
        <v>225</v>
      </c>
      <c r="C309" s="8">
        <v>44348</v>
      </c>
      <c r="D309" s="4" t="s">
        <v>177</v>
      </c>
      <c r="E309" s="14">
        <v>191.46019999999999</v>
      </c>
      <c r="F309" s="7">
        <v>225286</v>
      </c>
      <c r="G309" s="14">
        <v>509.08679999999998</v>
      </c>
      <c r="H309" s="7">
        <v>620403</v>
      </c>
      <c r="I309" s="14">
        <v>700.54700000000003</v>
      </c>
      <c r="J309" s="7">
        <v>845689</v>
      </c>
    </row>
    <row r="310" spans="1:10" x14ac:dyDescent="0.2">
      <c r="A310" s="9">
        <v>44376</v>
      </c>
      <c r="B310" s="4" t="s">
        <v>223</v>
      </c>
      <c r="C310" s="8">
        <v>44348</v>
      </c>
      <c r="D310" s="4" t="s">
        <v>177</v>
      </c>
      <c r="E310" s="14">
        <v>201.44839999999999</v>
      </c>
      <c r="F310" s="7">
        <v>241365</v>
      </c>
      <c r="G310" s="14">
        <v>517.30610000000001</v>
      </c>
      <c r="H310" s="7">
        <v>652779</v>
      </c>
      <c r="I310" s="14">
        <v>718.75450000000001</v>
      </c>
      <c r="J310" s="7">
        <v>894144</v>
      </c>
    </row>
    <row r="311" spans="1:10" x14ac:dyDescent="0.2">
      <c r="A311" s="9">
        <v>44377</v>
      </c>
      <c r="B311" s="4" t="s">
        <v>221</v>
      </c>
      <c r="C311" s="8">
        <v>44348</v>
      </c>
      <c r="D311" s="4" t="s">
        <v>177</v>
      </c>
      <c r="E311" s="14">
        <v>241.93360000000001</v>
      </c>
      <c r="F311" s="7">
        <v>289356</v>
      </c>
      <c r="G311" s="14">
        <v>477.15300000000002</v>
      </c>
      <c r="H311" s="7">
        <v>606038</v>
      </c>
      <c r="I311" s="14">
        <v>719.08659999999998</v>
      </c>
      <c r="J311" s="7">
        <v>895394</v>
      </c>
    </row>
    <row r="312" spans="1:10" x14ac:dyDescent="0.2">
      <c r="A312" s="9">
        <v>44378</v>
      </c>
      <c r="B312" s="4" t="s">
        <v>224</v>
      </c>
      <c r="C312" s="8">
        <v>44378</v>
      </c>
      <c r="D312" s="4" t="s">
        <v>178</v>
      </c>
      <c r="E312" s="14">
        <v>182.13659999999999</v>
      </c>
      <c r="F312" s="7">
        <v>219779</v>
      </c>
      <c r="G312" s="14">
        <v>423.89600000000002</v>
      </c>
      <c r="H312" s="7">
        <v>533358</v>
      </c>
      <c r="I312" s="14">
        <v>606.0326</v>
      </c>
      <c r="J312" s="7">
        <v>753137</v>
      </c>
    </row>
    <row r="313" spans="1:10" x14ac:dyDescent="0.2">
      <c r="A313" s="9">
        <v>44379</v>
      </c>
      <c r="B313" s="4" t="s">
        <v>222</v>
      </c>
      <c r="C313" s="8">
        <v>44378</v>
      </c>
      <c r="D313" s="4" t="s">
        <v>178</v>
      </c>
      <c r="E313" s="14">
        <v>199.8211</v>
      </c>
      <c r="F313" s="7">
        <v>240165</v>
      </c>
      <c r="G313" s="14">
        <v>455.88459999999998</v>
      </c>
      <c r="H313" s="7">
        <v>564895</v>
      </c>
      <c r="I313" s="14">
        <v>655.70569999999998</v>
      </c>
      <c r="J313" s="7">
        <v>805060</v>
      </c>
    </row>
    <row r="314" spans="1:10" x14ac:dyDescent="0.2">
      <c r="A314" s="9">
        <v>44382</v>
      </c>
      <c r="B314" s="4" t="s">
        <v>225</v>
      </c>
      <c r="C314" s="8">
        <v>44378</v>
      </c>
      <c r="D314" s="4" t="s">
        <v>178</v>
      </c>
      <c r="E314" s="14">
        <v>182.4812</v>
      </c>
      <c r="F314" s="7">
        <v>218211</v>
      </c>
      <c r="G314" s="14">
        <v>491.38099999999997</v>
      </c>
      <c r="H314" s="7">
        <v>592372</v>
      </c>
      <c r="I314" s="14">
        <v>673.86220000000003</v>
      </c>
      <c r="J314" s="7">
        <v>810583</v>
      </c>
    </row>
    <row r="315" spans="1:10" x14ac:dyDescent="0.2">
      <c r="A315" s="9">
        <v>44383</v>
      </c>
      <c r="B315" s="4" t="s">
        <v>223</v>
      </c>
      <c r="C315" s="8">
        <v>44378</v>
      </c>
      <c r="D315" s="4" t="s">
        <v>178</v>
      </c>
      <c r="E315" s="14">
        <v>220.40199999999999</v>
      </c>
      <c r="F315" s="7">
        <v>259252</v>
      </c>
      <c r="G315" s="14">
        <v>650.22670000000005</v>
      </c>
      <c r="H315" s="7">
        <v>784398</v>
      </c>
      <c r="I315" s="14">
        <v>870.62869999999998</v>
      </c>
      <c r="J315" s="7">
        <v>1043650</v>
      </c>
    </row>
    <row r="316" spans="1:10" x14ac:dyDescent="0.2">
      <c r="A316" s="9">
        <v>44384</v>
      </c>
      <c r="B316" s="4" t="s">
        <v>221</v>
      </c>
      <c r="C316" s="8">
        <v>44378</v>
      </c>
      <c r="D316" s="4" t="s">
        <v>178</v>
      </c>
      <c r="E316" s="14">
        <v>170.15309999999999</v>
      </c>
      <c r="F316" s="7">
        <v>201694</v>
      </c>
      <c r="G316" s="14">
        <v>532.62059999999997</v>
      </c>
      <c r="H316" s="7">
        <v>643611</v>
      </c>
      <c r="I316" s="14">
        <v>702.77369999999996</v>
      </c>
      <c r="J316" s="7">
        <v>845305</v>
      </c>
    </row>
    <row r="317" spans="1:10" x14ac:dyDescent="0.2">
      <c r="A317" s="9">
        <v>44385</v>
      </c>
      <c r="B317" s="4" t="s">
        <v>224</v>
      </c>
      <c r="C317" s="8">
        <v>44378</v>
      </c>
      <c r="D317" s="4" t="s">
        <v>178</v>
      </c>
      <c r="E317" s="14">
        <v>300.82130000000001</v>
      </c>
      <c r="F317" s="7">
        <v>360129</v>
      </c>
      <c r="G317" s="14">
        <v>507.37209999999999</v>
      </c>
      <c r="H317" s="7">
        <v>637009</v>
      </c>
      <c r="I317" s="14">
        <v>808.1934</v>
      </c>
      <c r="J317" s="7">
        <v>997138</v>
      </c>
    </row>
    <row r="318" spans="1:10" x14ac:dyDescent="0.2">
      <c r="A318" s="9">
        <v>44386</v>
      </c>
      <c r="B318" s="4" t="s">
        <v>222</v>
      </c>
      <c r="C318" s="8">
        <v>44378</v>
      </c>
      <c r="D318" s="4" t="s">
        <v>178</v>
      </c>
      <c r="E318" s="14">
        <v>247.86490000000001</v>
      </c>
      <c r="F318" s="7">
        <v>297036</v>
      </c>
      <c r="G318" s="14">
        <v>480.99220000000003</v>
      </c>
      <c r="H318" s="7">
        <v>589410</v>
      </c>
      <c r="I318" s="14">
        <v>728.85709999999995</v>
      </c>
      <c r="J318" s="7">
        <v>886446</v>
      </c>
    </row>
    <row r="319" spans="1:10" x14ac:dyDescent="0.2">
      <c r="A319" s="9">
        <v>44389</v>
      </c>
      <c r="B319" s="4" t="s">
        <v>225</v>
      </c>
      <c r="C319" s="8">
        <v>44378</v>
      </c>
      <c r="D319" s="4" t="s">
        <v>178</v>
      </c>
      <c r="E319" s="14">
        <v>219.5496</v>
      </c>
      <c r="F319" s="7">
        <v>263346</v>
      </c>
      <c r="G319" s="14">
        <v>472.05329999999998</v>
      </c>
      <c r="H319" s="7">
        <v>573261</v>
      </c>
      <c r="I319" s="14">
        <v>691.60289999999998</v>
      </c>
      <c r="J319" s="7">
        <v>836607</v>
      </c>
    </row>
    <row r="320" spans="1:10" x14ac:dyDescent="0.2">
      <c r="A320" s="9">
        <v>44390</v>
      </c>
      <c r="B320" s="4" t="s">
        <v>223</v>
      </c>
      <c r="C320" s="8">
        <v>44378</v>
      </c>
      <c r="D320" s="4" t="s">
        <v>178</v>
      </c>
      <c r="E320" s="14">
        <v>227.62710000000001</v>
      </c>
      <c r="F320" s="7">
        <v>269997</v>
      </c>
      <c r="G320" s="14">
        <v>449.02210000000002</v>
      </c>
      <c r="H320" s="7">
        <v>549475</v>
      </c>
      <c r="I320" s="14">
        <v>676.64919999999995</v>
      </c>
      <c r="J320" s="7">
        <v>819472</v>
      </c>
    </row>
    <row r="321" spans="1:10" x14ac:dyDescent="0.2">
      <c r="A321" s="9">
        <v>44391</v>
      </c>
      <c r="B321" s="4" t="s">
        <v>221</v>
      </c>
      <c r="C321" s="8">
        <v>44378</v>
      </c>
      <c r="D321" s="4" t="s">
        <v>178</v>
      </c>
      <c r="E321" s="14">
        <v>181.9734</v>
      </c>
      <c r="F321" s="7">
        <v>215180</v>
      </c>
      <c r="G321" s="14">
        <v>469.90230000000003</v>
      </c>
      <c r="H321" s="7">
        <v>569255</v>
      </c>
      <c r="I321" s="14">
        <v>651.87570000000005</v>
      </c>
      <c r="J321" s="7">
        <v>784435</v>
      </c>
    </row>
    <row r="322" spans="1:10" x14ac:dyDescent="0.2">
      <c r="A322" s="9">
        <v>44392</v>
      </c>
      <c r="B322" s="4" t="s">
        <v>224</v>
      </c>
      <c r="C322" s="8">
        <v>44378</v>
      </c>
      <c r="D322" s="4" t="s">
        <v>178</v>
      </c>
      <c r="E322" s="14">
        <v>182.14660000000001</v>
      </c>
      <c r="F322" s="7">
        <v>214807</v>
      </c>
      <c r="G322" s="14">
        <v>512.68089999999995</v>
      </c>
      <c r="H322" s="7">
        <v>630908</v>
      </c>
      <c r="I322" s="14">
        <v>694.82749999999999</v>
      </c>
      <c r="J322" s="7">
        <v>845715</v>
      </c>
    </row>
    <row r="323" spans="1:10" x14ac:dyDescent="0.2">
      <c r="A323" s="9">
        <v>44393</v>
      </c>
      <c r="B323" s="4" t="s">
        <v>222</v>
      </c>
      <c r="C323" s="8">
        <v>44378</v>
      </c>
      <c r="D323" s="4" t="s">
        <v>178</v>
      </c>
      <c r="E323" s="14">
        <v>157.68049999999999</v>
      </c>
      <c r="F323" s="7">
        <v>185618</v>
      </c>
      <c r="G323" s="14">
        <v>557.0729</v>
      </c>
      <c r="H323" s="7">
        <v>694140</v>
      </c>
      <c r="I323" s="14">
        <v>714.75340000000006</v>
      </c>
      <c r="J323" s="7">
        <v>879758</v>
      </c>
    </row>
    <row r="324" spans="1:10" x14ac:dyDescent="0.2">
      <c r="A324" s="9">
        <v>44396</v>
      </c>
      <c r="B324" s="4" t="s">
        <v>225</v>
      </c>
      <c r="C324" s="8">
        <v>44378</v>
      </c>
      <c r="D324" s="4" t="s">
        <v>178</v>
      </c>
      <c r="E324" s="14">
        <v>303.20920000000001</v>
      </c>
      <c r="F324" s="7">
        <v>363528</v>
      </c>
      <c r="G324" s="14">
        <v>637.02319999999997</v>
      </c>
      <c r="H324" s="7">
        <v>770972</v>
      </c>
      <c r="I324" s="14">
        <v>940.23239999999998</v>
      </c>
      <c r="J324" s="7">
        <v>1134500</v>
      </c>
    </row>
    <row r="325" spans="1:10" x14ac:dyDescent="0.2">
      <c r="A325" s="9">
        <v>44397</v>
      </c>
      <c r="B325" s="4" t="s">
        <v>223</v>
      </c>
      <c r="C325" s="8">
        <v>44378</v>
      </c>
      <c r="D325" s="4" t="s">
        <v>178</v>
      </c>
      <c r="E325" s="14">
        <v>308.05239999999998</v>
      </c>
      <c r="F325" s="7">
        <v>375120</v>
      </c>
      <c r="G325" s="14">
        <v>670.65309999999999</v>
      </c>
      <c r="H325" s="7">
        <v>829511</v>
      </c>
      <c r="I325" s="14">
        <v>978.70550000000003</v>
      </c>
      <c r="J325" s="7">
        <v>1204631</v>
      </c>
    </row>
    <row r="326" spans="1:10" x14ac:dyDescent="0.2">
      <c r="A326" s="9">
        <v>44399</v>
      </c>
      <c r="B326" s="4" t="s">
        <v>224</v>
      </c>
      <c r="C326" s="8">
        <v>44378</v>
      </c>
      <c r="D326" s="4" t="s">
        <v>178</v>
      </c>
      <c r="E326" s="14">
        <v>278.07330000000002</v>
      </c>
      <c r="F326" s="7">
        <v>334947</v>
      </c>
      <c r="G326" s="14">
        <v>795.77639999999997</v>
      </c>
      <c r="H326" s="7">
        <v>969348</v>
      </c>
      <c r="I326" s="14">
        <v>1073.8497</v>
      </c>
      <c r="J326" s="7">
        <v>1304295</v>
      </c>
    </row>
    <row r="327" spans="1:10" x14ac:dyDescent="0.2">
      <c r="A327" s="9">
        <v>44400</v>
      </c>
      <c r="B327" s="4" t="s">
        <v>222</v>
      </c>
      <c r="C327" s="8">
        <v>44378</v>
      </c>
      <c r="D327" s="4" t="s">
        <v>178</v>
      </c>
      <c r="E327" s="14">
        <v>278.6669</v>
      </c>
      <c r="F327" s="7">
        <v>332295</v>
      </c>
      <c r="G327" s="14">
        <v>882.12850000000003</v>
      </c>
      <c r="H327" s="7">
        <v>1060183</v>
      </c>
      <c r="I327" s="14">
        <v>1160.7954</v>
      </c>
      <c r="J327" s="7">
        <v>1392478</v>
      </c>
    </row>
    <row r="328" spans="1:10" x14ac:dyDescent="0.2">
      <c r="A328" s="9">
        <v>44403</v>
      </c>
      <c r="B328" s="4" t="s">
        <v>225</v>
      </c>
      <c r="C328" s="8">
        <v>44378</v>
      </c>
      <c r="D328" s="4" t="s">
        <v>178</v>
      </c>
      <c r="E328" s="14">
        <v>219.84200000000001</v>
      </c>
      <c r="F328" s="7">
        <v>264270</v>
      </c>
      <c r="G328" s="14">
        <v>1288.9872</v>
      </c>
      <c r="H328" s="7">
        <v>1594203</v>
      </c>
      <c r="I328" s="14">
        <v>1508.8291999999999</v>
      </c>
      <c r="J328" s="7">
        <v>1858473</v>
      </c>
    </row>
    <row r="329" spans="1:10" x14ac:dyDescent="0.2">
      <c r="A329" s="9">
        <v>44404</v>
      </c>
      <c r="B329" s="4" t="s">
        <v>223</v>
      </c>
      <c r="C329" s="8">
        <v>44378</v>
      </c>
      <c r="D329" s="4" t="s">
        <v>178</v>
      </c>
      <c r="E329" s="14">
        <v>294.6943</v>
      </c>
      <c r="F329" s="7">
        <v>357328</v>
      </c>
      <c r="G329" s="14">
        <v>1534.3343</v>
      </c>
      <c r="H329" s="7">
        <v>1918282</v>
      </c>
      <c r="I329" s="14">
        <v>1829.0286000000001</v>
      </c>
      <c r="J329" s="7">
        <v>2275610</v>
      </c>
    </row>
    <row r="330" spans="1:10" x14ac:dyDescent="0.2">
      <c r="A330" s="9">
        <v>44405</v>
      </c>
      <c r="B330" s="4" t="s">
        <v>221</v>
      </c>
      <c r="C330" s="8">
        <v>44378</v>
      </c>
      <c r="D330" s="4" t="s">
        <v>178</v>
      </c>
      <c r="E330" s="14">
        <v>431.65679999999998</v>
      </c>
      <c r="F330" s="7">
        <v>528962</v>
      </c>
      <c r="G330" s="14">
        <v>1448.5446999999999</v>
      </c>
      <c r="H330" s="7">
        <v>1829221</v>
      </c>
      <c r="I330" s="14">
        <v>1880.2014999999999</v>
      </c>
      <c r="J330" s="7">
        <v>2358183</v>
      </c>
    </row>
    <row r="331" spans="1:10" x14ac:dyDescent="0.2">
      <c r="A331" s="9">
        <v>44406</v>
      </c>
      <c r="B331" s="4" t="s">
        <v>224</v>
      </c>
      <c r="C331" s="8">
        <v>44378</v>
      </c>
      <c r="D331" s="4" t="s">
        <v>178</v>
      </c>
      <c r="E331" s="14">
        <v>372.4853</v>
      </c>
      <c r="F331" s="7">
        <v>453278</v>
      </c>
      <c r="G331" s="14">
        <v>1625.5349000000001</v>
      </c>
      <c r="H331" s="7">
        <v>1990594</v>
      </c>
      <c r="I331" s="14">
        <v>1998.0201999999999</v>
      </c>
      <c r="J331" s="7">
        <v>2443872</v>
      </c>
    </row>
    <row r="332" spans="1:10" x14ac:dyDescent="0.2">
      <c r="A332" s="9">
        <v>44407</v>
      </c>
      <c r="B332" s="4" t="s">
        <v>222</v>
      </c>
      <c r="C332" s="8">
        <v>44378</v>
      </c>
      <c r="D332" s="4" t="s">
        <v>178</v>
      </c>
      <c r="E332" s="14">
        <v>215.93090000000001</v>
      </c>
      <c r="F332" s="7">
        <v>262563</v>
      </c>
      <c r="G332" s="14">
        <v>795.24360000000001</v>
      </c>
      <c r="H332" s="7">
        <v>953957</v>
      </c>
      <c r="I332" s="14">
        <v>1011.1745</v>
      </c>
      <c r="J332" s="7">
        <v>1216520</v>
      </c>
    </row>
    <row r="333" spans="1:10" x14ac:dyDescent="0.2">
      <c r="A333" s="9">
        <v>44410</v>
      </c>
      <c r="B333" s="4" t="s">
        <v>225</v>
      </c>
      <c r="C333" s="8">
        <v>44409</v>
      </c>
      <c r="D333" s="4" t="s">
        <v>178</v>
      </c>
      <c r="E333" s="14">
        <v>176.97450000000001</v>
      </c>
      <c r="F333" s="7">
        <v>212939</v>
      </c>
      <c r="G333" s="14">
        <v>574.7704</v>
      </c>
      <c r="H333" s="7">
        <v>705378</v>
      </c>
      <c r="I333" s="14">
        <v>751.74490000000003</v>
      </c>
      <c r="J333" s="7">
        <v>918317</v>
      </c>
    </row>
    <row r="334" spans="1:10" x14ac:dyDescent="0.2">
      <c r="A334" s="9">
        <v>44411</v>
      </c>
      <c r="B334" s="4" t="s">
        <v>223</v>
      </c>
      <c r="C334" s="8">
        <v>44409</v>
      </c>
      <c r="D334" s="4" t="s">
        <v>178</v>
      </c>
      <c r="E334" s="14">
        <v>269.54820000000001</v>
      </c>
      <c r="F334" s="7">
        <v>323393</v>
      </c>
      <c r="G334" s="14">
        <v>677.21630000000005</v>
      </c>
      <c r="H334" s="7">
        <v>813034</v>
      </c>
      <c r="I334" s="14">
        <v>946.7645</v>
      </c>
      <c r="J334" s="7">
        <v>1136427</v>
      </c>
    </row>
    <row r="335" spans="1:10" x14ac:dyDescent="0.2">
      <c r="A335" s="9">
        <v>44412</v>
      </c>
      <c r="B335" s="4" t="s">
        <v>221</v>
      </c>
      <c r="C335" s="8">
        <v>44409</v>
      </c>
      <c r="D335" s="4" t="s">
        <v>178</v>
      </c>
      <c r="E335" s="14">
        <v>324.22300000000001</v>
      </c>
      <c r="F335" s="7">
        <v>376112</v>
      </c>
      <c r="G335" s="14">
        <v>752.8306</v>
      </c>
      <c r="H335" s="7">
        <v>936810</v>
      </c>
      <c r="I335" s="14">
        <v>1077.0536</v>
      </c>
      <c r="J335" s="7">
        <v>1312922</v>
      </c>
    </row>
    <row r="336" spans="1:10" x14ac:dyDescent="0.2">
      <c r="A336" s="9">
        <v>44413</v>
      </c>
      <c r="B336" s="4" t="s">
        <v>224</v>
      </c>
      <c r="C336" s="8">
        <v>44409</v>
      </c>
      <c r="D336" s="4" t="s">
        <v>178</v>
      </c>
      <c r="E336" s="14">
        <v>239.5926</v>
      </c>
      <c r="F336" s="7">
        <v>279589</v>
      </c>
      <c r="G336" s="14">
        <v>707.52470000000005</v>
      </c>
      <c r="H336" s="7">
        <v>867527</v>
      </c>
      <c r="I336" s="14">
        <v>947.1173</v>
      </c>
      <c r="J336" s="7">
        <v>1147116</v>
      </c>
    </row>
    <row r="337" spans="1:10" x14ac:dyDescent="0.2">
      <c r="A337" s="9">
        <v>44414</v>
      </c>
      <c r="B337" s="4" t="s">
        <v>222</v>
      </c>
      <c r="C337" s="8">
        <v>44409</v>
      </c>
      <c r="D337" s="4" t="s">
        <v>178</v>
      </c>
      <c r="E337" s="14">
        <v>192.1027</v>
      </c>
      <c r="F337" s="7">
        <v>222922</v>
      </c>
      <c r="G337" s="14">
        <v>644.43859999999995</v>
      </c>
      <c r="H337" s="7">
        <v>780995</v>
      </c>
      <c r="I337" s="14">
        <v>836.54129999999998</v>
      </c>
      <c r="J337" s="7">
        <v>1003917</v>
      </c>
    </row>
    <row r="338" spans="1:10" x14ac:dyDescent="0.2">
      <c r="A338" s="9">
        <v>44417</v>
      </c>
      <c r="B338" s="4" t="s">
        <v>225</v>
      </c>
      <c r="C338" s="8">
        <v>44409</v>
      </c>
      <c r="D338" s="4" t="s">
        <v>178</v>
      </c>
      <c r="E338" s="14">
        <v>223.52070000000001</v>
      </c>
      <c r="F338" s="7">
        <v>259760</v>
      </c>
      <c r="G338" s="14">
        <v>533.91880000000003</v>
      </c>
      <c r="H338" s="7">
        <v>653424</v>
      </c>
      <c r="I338" s="14">
        <v>757.43949999999995</v>
      </c>
      <c r="J338" s="7">
        <v>913184</v>
      </c>
    </row>
    <row r="339" spans="1:10" x14ac:dyDescent="0.2">
      <c r="A339" s="9">
        <v>44418</v>
      </c>
      <c r="B339" s="4" t="s">
        <v>223</v>
      </c>
      <c r="C339" s="8">
        <v>44409</v>
      </c>
      <c r="D339" s="4" t="s">
        <v>178</v>
      </c>
      <c r="E339" s="14">
        <v>242.08410000000001</v>
      </c>
      <c r="F339" s="7">
        <v>280979</v>
      </c>
      <c r="G339" s="14">
        <v>607.01430000000005</v>
      </c>
      <c r="H339" s="7">
        <v>743047</v>
      </c>
      <c r="I339" s="14">
        <v>849.09839999999997</v>
      </c>
      <c r="J339" s="7">
        <v>1024026</v>
      </c>
    </row>
    <row r="340" spans="1:10" x14ac:dyDescent="0.2">
      <c r="A340" s="9">
        <v>44419</v>
      </c>
      <c r="B340" s="4" t="s">
        <v>221</v>
      </c>
      <c r="C340" s="8">
        <v>44409</v>
      </c>
      <c r="D340" s="4" t="s">
        <v>178</v>
      </c>
      <c r="E340" s="14">
        <v>282.4128</v>
      </c>
      <c r="F340" s="7">
        <v>329282</v>
      </c>
      <c r="G340" s="14">
        <v>621.96979999999996</v>
      </c>
      <c r="H340" s="7">
        <v>754139</v>
      </c>
      <c r="I340" s="14">
        <v>904.38260000000002</v>
      </c>
      <c r="J340" s="7">
        <v>1083421</v>
      </c>
    </row>
    <row r="341" spans="1:10" x14ac:dyDescent="0.2">
      <c r="A341" s="9">
        <v>44420</v>
      </c>
      <c r="B341" s="4" t="s">
        <v>224</v>
      </c>
      <c r="C341" s="8">
        <v>44409</v>
      </c>
      <c r="D341" s="4" t="s">
        <v>178</v>
      </c>
      <c r="E341" s="14">
        <v>178.57060000000001</v>
      </c>
      <c r="F341" s="7">
        <v>207477</v>
      </c>
      <c r="G341" s="14">
        <v>547.70249999999999</v>
      </c>
      <c r="H341" s="7">
        <v>646958</v>
      </c>
      <c r="I341" s="14">
        <v>726.2731</v>
      </c>
      <c r="J341" s="7">
        <v>854435</v>
      </c>
    </row>
    <row r="342" spans="1:10" x14ac:dyDescent="0.2">
      <c r="A342" s="9">
        <v>44421</v>
      </c>
      <c r="B342" s="4" t="s">
        <v>222</v>
      </c>
      <c r="C342" s="8">
        <v>44409</v>
      </c>
      <c r="D342" s="4" t="s">
        <v>178</v>
      </c>
      <c r="E342" s="14">
        <v>223.6875</v>
      </c>
      <c r="F342" s="7">
        <v>260440</v>
      </c>
      <c r="G342" s="14">
        <v>688.98739999999998</v>
      </c>
      <c r="H342" s="7">
        <v>807787</v>
      </c>
      <c r="I342" s="14">
        <v>912.67489999999998</v>
      </c>
      <c r="J342" s="7">
        <v>1068227</v>
      </c>
    </row>
    <row r="343" spans="1:10" x14ac:dyDescent="0.2">
      <c r="A343" s="9">
        <v>44424</v>
      </c>
      <c r="B343" s="4" t="s">
        <v>225</v>
      </c>
      <c r="C343" s="8">
        <v>44409</v>
      </c>
      <c r="D343" s="4" t="s">
        <v>178</v>
      </c>
      <c r="E343" s="14">
        <v>155.00569999999999</v>
      </c>
      <c r="F343" s="7">
        <v>179872</v>
      </c>
      <c r="G343" s="14">
        <v>604.15940000000001</v>
      </c>
      <c r="H343" s="7">
        <v>715392</v>
      </c>
      <c r="I343" s="14">
        <v>759.16510000000005</v>
      </c>
      <c r="J343" s="7">
        <v>895264</v>
      </c>
    </row>
    <row r="344" spans="1:10" x14ac:dyDescent="0.2">
      <c r="A344" s="9">
        <v>44425</v>
      </c>
      <c r="B344" s="4" t="s">
        <v>223</v>
      </c>
      <c r="C344" s="8">
        <v>44409</v>
      </c>
      <c r="D344" s="4" t="s">
        <v>178</v>
      </c>
      <c r="E344" s="14">
        <v>231.0693</v>
      </c>
      <c r="F344" s="7">
        <v>268066</v>
      </c>
      <c r="G344" s="14">
        <v>838.4248</v>
      </c>
      <c r="H344" s="7">
        <v>976041</v>
      </c>
      <c r="I344" s="14">
        <v>1069.4940999999999</v>
      </c>
      <c r="J344" s="7">
        <v>1244107</v>
      </c>
    </row>
    <row r="345" spans="1:10" x14ac:dyDescent="0.2">
      <c r="A345" s="9">
        <v>44426</v>
      </c>
      <c r="B345" s="4" t="s">
        <v>221</v>
      </c>
      <c r="C345" s="8">
        <v>44409</v>
      </c>
      <c r="D345" s="4" t="s">
        <v>178</v>
      </c>
      <c r="E345" s="14">
        <v>273.10759999999999</v>
      </c>
      <c r="F345" s="7">
        <v>315914</v>
      </c>
      <c r="G345" s="14">
        <v>723.17660000000001</v>
      </c>
      <c r="H345" s="7">
        <v>851799</v>
      </c>
      <c r="I345" s="14">
        <v>996.28420000000006</v>
      </c>
      <c r="J345" s="7">
        <v>1167713</v>
      </c>
    </row>
    <row r="346" spans="1:10" x14ac:dyDescent="0.2">
      <c r="A346" s="9">
        <v>44428</v>
      </c>
      <c r="B346" s="4" t="s">
        <v>222</v>
      </c>
      <c r="C346" s="8">
        <v>44409</v>
      </c>
      <c r="D346" s="4" t="s">
        <v>178</v>
      </c>
      <c r="E346" s="14">
        <v>336.459</v>
      </c>
      <c r="F346" s="7">
        <v>397672</v>
      </c>
      <c r="G346" s="14">
        <v>968.46709999999996</v>
      </c>
      <c r="H346" s="7">
        <v>1170284</v>
      </c>
      <c r="I346" s="14">
        <v>1304.9260999999999</v>
      </c>
      <c r="J346" s="7">
        <v>1567956</v>
      </c>
    </row>
    <row r="347" spans="1:10" x14ac:dyDescent="0.2">
      <c r="A347" s="9">
        <v>44431</v>
      </c>
      <c r="B347" s="4" t="s">
        <v>225</v>
      </c>
      <c r="C347" s="8">
        <v>44409</v>
      </c>
      <c r="D347" s="4" t="s">
        <v>178</v>
      </c>
      <c r="E347" s="14">
        <v>289.63319999999999</v>
      </c>
      <c r="F347" s="7">
        <v>341536</v>
      </c>
      <c r="G347" s="14">
        <v>1393.3539000000001</v>
      </c>
      <c r="H347" s="7">
        <v>1713330</v>
      </c>
      <c r="I347" s="14">
        <v>1682.9871000000001</v>
      </c>
      <c r="J347" s="7">
        <v>2054866</v>
      </c>
    </row>
    <row r="348" spans="1:10" x14ac:dyDescent="0.2">
      <c r="A348" s="9">
        <v>44432</v>
      </c>
      <c r="B348" s="4" t="s">
        <v>223</v>
      </c>
      <c r="C348" s="8">
        <v>44409</v>
      </c>
      <c r="D348" s="4" t="s">
        <v>178</v>
      </c>
      <c r="E348" s="14">
        <v>322.05450000000002</v>
      </c>
      <c r="F348" s="7">
        <v>375574</v>
      </c>
      <c r="G348" s="14">
        <v>1554.2499</v>
      </c>
      <c r="H348" s="7">
        <v>1914780</v>
      </c>
      <c r="I348" s="14">
        <v>1876.3044</v>
      </c>
      <c r="J348" s="7">
        <v>2290354</v>
      </c>
    </row>
    <row r="349" spans="1:10" x14ac:dyDescent="0.2">
      <c r="A349" s="9">
        <v>44433</v>
      </c>
      <c r="B349" s="4" t="s">
        <v>221</v>
      </c>
      <c r="C349" s="8">
        <v>44409</v>
      </c>
      <c r="D349" s="4" t="s">
        <v>178</v>
      </c>
      <c r="E349" s="14">
        <v>364.76249999999999</v>
      </c>
      <c r="F349" s="7">
        <v>426324</v>
      </c>
      <c r="G349" s="14">
        <v>1288.2328</v>
      </c>
      <c r="H349" s="7">
        <v>1582320</v>
      </c>
      <c r="I349" s="14">
        <v>1652.9953</v>
      </c>
      <c r="J349" s="7">
        <v>2008644</v>
      </c>
    </row>
    <row r="350" spans="1:10" x14ac:dyDescent="0.2">
      <c r="A350" s="9">
        <v>44434</v>
      </c>
      <c r="B350" s="4" t="s">
        <v>224</v>
      </c>
      <c r="C350" s="8">
        <v>44409</v>
      </c>
      <c r="D350" s="4" t="s">
        <v>178</v>
      </c>
      <c r="E350" s="14">
        <v>369.65870000000001</v>
      </c>
      <c r="F350" s="7">
        <v>431633</v>
      </c>
      <c r="G350" s="14">
        <v>1293.9514999999999</v>
      </c>
      <c r="H350" s="7">
        <v>1627839</v>
      </c>
      <c r="I350" s="14">
        <v>1663.6102000000001</v>
      </c>
      <c r="J350" s="7">
        <v>2059472</v>
      </c>
    </row>
    <row r="351" spans="1:10" x14ac:dyDescent="0.2">
      <c r="A351" s="9">
        <v>44435</v>
      </c>
      <c r="B351" s="4" t="s">
        <v>222</v>
      </c>
      <c r="C351" s="8">
        <v>44409</v>
      </c>
      <c r="D351" s="4" t="s">
        <v>178</v>
      </c>
      <c r="E351" s="14">
        <v>212.68780000000001</v>
      </c>
      <c r="F351" s="7">
        <v>246975</v>
      </c>
      <c r="G351" s="14">
        <v>517.51480000000004</v>
      </c>
      <c r="H351" s="7">
        <v>613931</v>
      </c>
      <c r="I351" s="14">
        <v>730.20259999999996</v>
      </c>
      <c r="J351" s="7">
        <v>860906</v>
      </c>
    </row>
    <row r="352" spans="1:10" x14ac:dyDescent="0.2">
      <c r="A352" s="9">
        <v>44438</v>
      </c>
      <c r="B352" s="4" t="s">
        <v>225</v>
      </c>
      <c r="C352" s="8">
        <v>44409</v>
      </c>
      <c r="D352" s="4" t="s">
        <v>178</v>
      </c>
      <c r="E352" s="14">
        <v>248.10769999999999</v>
      </c>
      <c r="F352" s="7">
        <v>282162</v>
      </c>
      <c r="G352" s="14">
        <v>580.63250000000005</v>
      </c>
      <c r="H352" s="7">
        <v>685104</v>
      </c>
      <c r="I352" s="14">
        <v>828.74019999999996</v>
      </c>
      <c r="J352" s="7">
        <v>967266</v>
      </c>
    </row>
    <row r="353" spans="1:10" x14ac:dyDescent="0.2">
      <c r="A353" s="9">
        <v>44439</v>
      </c>
      <c r="B353" s="4" t="s">
        <v>223</v>
      </c>
      <c r="C353" s="8">
        <v>44409</v>
      </c>
      <c r="D353" s="4" t="s">
        <v>178</v>
      </c>
      <c r="E353" s="14">
        <v>285.42809999999997</v>
      </c>
      <c r="F353" s="7">
        <v>323308</v>
      </c>
      <c r="G353" s="14">
        <v>736.93589999999995</v>
      </c>
      <c r="H353" s="7">
        <v>848200</v>
      </c>
      <c r="I353" s="14">
        <v>1022.364</v>
      </c>
      <c r="J353" s="7">
        <v>1171508</v>
      </c>
    </row>
    <row r="354" spans="1:10" x14ac:dyDescent="0.2">
      <c r="A354" s="9">
        <v>44440</v>
      </c>
      <c r="B354" s="4" t="s">
        <v>221</v>
      </c>
      <c r="C354" s="8">
        <v>44440</v>
      </c>
      <c r="D354" s="4" t="s">
        <v>178</v>
      </c>
      <c r="E354" s="14">
        <v>287.83319999999998</v>
      </c>
      <c r="F354" s="7">
        <v>323037</v>
      </c>
      <c r="G354" s="14">
        <v>665.82799999999997</v>
      </c>
      <c r="H354" s="7">
        <v>795614</v>
      </c>
      <c r="I354" s="14">
        <v>953.66120000000001</v>
      </c>
      <c r="J354" s="7">
        <v>1118651</v>
      </c>
    </row>
    <row r="355" spans="1:10" x14ac:dyDescent="0.2">
      <c r="A355" s="9">
        <v>44441</v>
      </c>
      <c r="B355" s="4" t="s">
        <v>224</v>
      </c>
      <c r="C355" s="8">
        <v>44440</v>
      </c>
      <c r="D355" s="4" t="s">
        <v>178</v>
      </c>
      <c r="E355" s="14">
        <v>200.70490000000001</v>
      </c>
      <c r="F355" s="7">
        <v>225944</v>
      </c>
      <c r="G355" s="14">
        <v>592.94420000000002</v>
      </c>
      <c r="H355" s="7">
        <v>707863</v>
      </c>
      <c r="I355" s="14">
        <v>793.64909999999998</v>
      </c>
      <c r="J355" s="7">
        <v>933807</v>
      </c>
    </row>
    <row r="356" spans="1:10" x14ac:dyDescent="0.2">
      <c r="A356" s="9">
        <v>44442</v>
      </c>
      <c r="B356" s="4" t="s">
        <v>222</v>
      </c>
      <c r="C356" s="8">
        <v>44440</v>
      </c>
      <c r="D356" s="4" t="s">
        <v>178</v>
      </c>
      <c r="E356" s="14">
        <v>259.69459999999998</v>
      </c>
      <c r="F356" s="7">
        <v>290486</v>
      </c>
      <c r="G356" s="14">
        <v>660.17589999999996</v>
      </c>
      <c r="H356" s="7">
        <v>803484</v>
      </c>
      <c r="I356" s="14">
        <v>919.87049999999999</v>
      </c>
      <c r="J356" s="7">
        <v>1093970</v>
      </c>
    </row>
    <row r="357" spans="1:10" x14ac:dyDescent="0.2">
      <c r="A357" s="9">
        <v>44445</v>
      </c>
      <c r="B357" s="4" t="s">
        <v>225</v>
      </c>
      <c r="C357" s="8">
        <v>44440</v>
      </c>
      <c r="D357" s="4" t="s">
        <v>178</v>
      </c>
      <c r="E357" s="14">
        <v>170.33090000000001</v>
      </c>
      <c r="F357" s="7">
        <v>190396</v>
      </c>
      <c r="G357" s="14">
        <v>576.59649999999999</v>
      </c>
      <c r="H357" s="7">
        <v>676256</v>
      </c>
      <c r="I357" s="14">
        <v>746.92740000000003</v>
      </c>
      <c r="J357" s="7">
        <v>866652</v>
      </c>
    </row>
    <row r="358" spans="1:10" x14ac:dyDescent="0.2">
      <c r="A358" s="9">
        <v>44446</v>
      </c>
      <c r="B358" s="4" t="s">
        <v>223</v>
      </c>
      <c r="C358" s="8">
        <v>44440</v>
      </c>
      <c r="D358" s="4" t="s">
        <v>178</v>
      </c>
      <c r="E358" s="14">
        <v>291.64060000000001</v>
      </c>
      <c r="F358" s="7">
        <v>326765</v>
      </c>
      <c r="G358" s="14">
        <v>595.29200000000003</v>
      </c>
      <c r="H358" s="7">
        <v>702868</v>
      </c>
      <c r="I358" s="14">
        <v>886.93259999999998</v>
      </c>
      <c r="J358" s="7">
        <v>1029633</v>
      </c>
    </row>
    <row r="359" spans="1:10" x14ac:dyDescent="0.2">
      <c r="A359" s="9">
        <v>44447</v>
      </c>
      <c r="B359" s="4" t="s">
        <v>221</v>
      </c>
      <c r="C359" s="8">
        <v>44440</v>
      </c>
      <c r="D359" s="4" t="s">
        <v>178</v>
      </c>
      <c r="E359" s="14">
        <v>228.48589999999999</v>
      </c>
      <c r="F359" s="7">
        <v>255394</v>
      </c>
      <c r="G359" s="14">
        <v>560.61339999999996</v>
      </c>
      <c r="H359" s="7">
        <v>668388</v>
      </c>
      <c r="I359" s="14">
        <v>789.09929999999997</v>
      </c>
      <c r="J359" s="7">
        <v>923782</v>
      </c>
    </row>
    <row r="360" spans="1:10" x14ac:dyDescent="0.2">
      <c r="A360" s="9">
        <v>44448</v>
      </c>
      <c r="B360" s="4" t="s">
        <v>224</v>
      </c>
      <c r="C360" s="8">
        <v>44440</v>
      </c>
      <c r="D360" s="4" t="s">
        <v>178</v>
      </c>
      <c r="E360" s="14">
        <v>175.75579999999999</v>
      </c>
      <c r="F360" s="7">
        <v>196867</v>
      </c>
      <c r="G360" s="14">
        <v>461.66539999999998</v>
      </c>
      <c r="H360" s="7">
        <v>547922</v>
      </c>
      <c r="I360" s="14">
        <v>637.4212</v>
      </c>
      <c r="J360" s="7">
        <v>744789</v>
      </c>
    </row>
    <row r="361" spans="1:10" x14ac:dyDescent="0.2">
      <c r="A361" s="9">
        <v>44452</v>
      </c>
      <c r="B361" s="4" t="s">
        <v>225</v>
      </c>
      <c r="C361" s="8">
        <v>44440</v>
      </c>
      <c r="D361" s="4" t="s">
        <v>178</v>
      </c>
      <c r="E361" s="14">
        <v>196.24809999999999</v>
      </c>
      <c r="F361" s="7">
        <v>220676</v>
      </c>
      <c r="G361" s="14">
        <v>465.93349999999998</v>
      </c>
      <c r="H361" s="7">
        <v>539747</v>
      </c>
      <c r="I361" s="14">
        <v>662.1816</v>
      </c>
      <c r="J361" s="7">
        <v>760423</v>
      </c>
    </row>
    <row r="362" spans="1:10" x14ac:dyDescent="0.2">
      <c r="A362" s="9">
        <v>44453</v>
      </c>
      <c r="B362" s="4" t="s">
        <v>223</v>
      </c>
      <c r="C362" s="8">
        <v>44440</v>
      </c>
      <c r="D362" s="4" t="s">
        <v>178</v>
      </c>
      <c r="E362" s="14">
        <v>156.57669999999999</v>
      </c>
      <c r="F362" s="7">
        <v>174876</v>
      </c>
      <c r="G362" s="14">
        <v>615.09040000000005</v>
      </c>
      <c r="H362" s="7">
        <v>719603</v>
      </c>
      <c r="I362" s="14">
        <v>771.6671</v>
      </c>
      <c r="J362" s="7">
        <v>894479</v>
      </c>
    </row>
    <row r="363" spans="1:10" x14ac:dyDescent="0.2">
      <c r="A363" s="9">
        <v>44454</v>
      </c>
      <c r="B363" s="4" t="s">
        <v>221</v>
      </c>
      <c r="C363" s="8">
        <v>44440</v>
      </c>
      <c r="D363" s="4" t="s">
        <v>178</v>
      </c>
      <c r="E363" s="14">
        <v>213.9443</v>
      </c>
      <c r="F363" s="7">
        <v>238688</v>
      </c>
      <c r="G363" s="14">
        <v>715.00609999999995</v>
      </c>
      <c r="H363" s="7">
        <v>806136</v>
      </c>
      <c r="I363" s="14">
        <v>928.95039999999995</v>
      </c>
      <c r="J363" s="7">
        <v>1044824</v>
      </c>
    </row>
    <row r="364" spans="1:10" x14ac:dyDescent="0.2">
      <c r="A364" s="9">
        <v>44455</v>
      </c>
      <c r="B364" s="4" t="s">
        <v>224</v>
      </c>
      <c r="C364" s="8">
        <v>44440</v>
      </c>
      <c r="D364" s="4" t="s">
        <v>178</v>
      </c>
      <c r="E364" s="14">
        <v>297.32100000000003</v>
      </c>
      <c r="F364" s="7">
        <v>326364</v>
      </c>
      <c r="G364" s="14">
        <v>769.06240000000003</v>
      </c>
      <c r="H364" s="7">
        <v>902826</v>
      </c>
      <c r="I364" s="14">
        <v>1066.3833999999999</v>
      </c>
      <c r="J364" s="7">
        <v>1229190</v>
      </c>
    </row>
    <row r="365" spans="1:10" x14ac:dyDescent="0.2">
      <c r="A365" s="9">
        <v>44456</v>
      </c>
      <c r="B365" s="4" t="s">
        <v>222</v>
      </c>
      <c r="C365" s="8">
        <v>44440</v>
      </c>
      <c r="D365" s="4" t="s">
        <v>178</v>
      </c>
      <c r="E365" s="14">
        <v>419.22059999999999</v>
      </c>
      <c r="F365" s="7">
        <v>459588</v>
      </c>
      <c r="G365" s="14">
        <v>1014.0928</v>
      </c>
      <c r="H365" s="7">
        <v>1156985</v>
      </c>
      <c r="I365" s="14">
        <v>1433.3134</v>
      </c>
      <c r="J365" s="7">
        <v>1616573</v>
      </c>
    </row>
    <row r="366" spans="1:10" x14ac:dyDescent="0.2">
      <c r="A366" s="9">
        <v>44459</v>
      </c>
      <c r="B366" s="4" t="s">
        <v>225</v>
      </c>
      <c r="C366" s="8">
        <v>44440</v>
      </c>
      <c r="D366" s="4" t="s">
        <v>178</v>
      </c>
      <c r="E366" s="14">
        <v>353.7867</v>
      </c>
      <c r="F366" s="7">
        <v>392049</v>
      </c>
      <c r="G366" s="14">
        <v>777.36789999999996</v>
      </c>
      <c r="H366" s="7">
        <v>908503</v>
      </c>
      <c r="I366" s="14">
        <v>1131.1546000000001</v>
      </c>
      <c r="J366" s="7">
        <v>1300552</v>
      </c>
    </row>
    <row r="367" spans="1:10" x14ac:dyDescent="0.2">
      <c r="A367" s="9">
        <v>44460</v>
      </c>
      <c r="B367" s="4" t="s">
        <v>223</v>
      </c>
      <c r="C367" s="8">
        <v>44440</v>
      </c>
      <c r="D367" s="4" t="s">
        <v>178</v>
      </c>
      <c r="E367" s="14">
        <v>379.96370000000002</v>
      </c>
      <c r="F367" s="7">
        <v>422355</v>
      </c>
      <c r="G367" s="14">
        <v>815.89120000000003</v>
      </c>
      <c r="H367" s="7">
        <v>938079</v>
      </c>
      <c r="I367" s="14">
        <v>1195.8549</v>
      </c>
      <c r="J367" s="7">
        <v>1360434</v>
      </c>
    </row>
    <row r="368" spans="1:10" x14ac:dyDescent="0.2">
      <c r="A368" s="9">
        <v>44461</v>
      </c>
      <c r="B368" s="4" t="s">
        <v>221</v>
      </c>
      <c r="C368" s="8">
        <v>44440</v>
      </c>
      <c r="D368" s="4" t="s">
        <v>178</v>
      </c>
      <c r="E368" s="14">
        <v>236.6225</v>
      </c>
      <c r="F368" s="7">
        <v>261558</v>
      </c>
      <c r="G368" s="14">
        <v>932.2115</v>
      </c>
      <c r="H368" s="7">
        <v>1042168</v>
      </c>
      <c r="I368" s="14">
        <v>1168.8340000000001</v>
      </c>
      <c r="J368" s="7">
        <v>1303726</v>
      </c>
    </row>
    <row r="369" spans="1:10" x14ac:dyDescent="0.2">
      <c r="A369" s="9">
        <v>44462</v>
      </c>
      <c r="B369" s="4" t="s">
        <v>224</v>
      </c>
      <c r="C369" s="8">
        <v>44440</v>
      </c>
      <c r="D369" s="4" t="s">
        <v>178</v>
      </c>
      <c r="E369" s="14">
        <v>306.80189999999999</v>
      </c>
      <c r="F369" s="7">
        <v>334718</v>
      </c>
      <c r="G369" s="14">
        <v>957.77819999999997</v>
      </c>
      <c r="H369" s="7">
        <v>1057637</v>
      </c>
      <c r="I369" s="14">
        <v>1264.5800999999999</v>
      </c>
      <c r="J369" s="7">
        <v>1392355</v>
      </c>
    </row>
    <row r="370" spans="1:10" x14ac:dyDescent="0.2">
      <c r="A370" s="9">
        <v>44463</v>
      </c>
      <c r="B370" s="4" t="s">
        <v>222</v>
      </c>
      <c r="C370" s="8">
        <v>44440</v>
      </c>
      <c r="D370" s="4" t="s">
        <v>178</v>
      </c>
      <c r="E370" s="14">
        <v>273.37209999999999</v>
      </c>
      <c r="F370" s="7">
        <v>297376</v>
      </c>
      <c r="G370" s="14">
        <v>1176.0082</v>
      </c>
      <c r="H370" s="7">
        <v>1286917</v>
      </c>
      <c r="I370" s="14">
        <v>1449.3803</v>
      </c>
      <c r="J370" s="7">
        <v>1584293</v>
      </c>
    </row>
    <row r="371" spans="1:10" x14ac:dyDescent="0.2">
      <c r="A371" s="9">
        <v>44466</v>
      </c>
      <c r="B371" s="4" t="s">
        <v>225</v>
      </c>
      <c r="C371" s="8">
        <v>44440</v>
      </c>
      <c r="D371" s="4" t="s">
        <v>178</v>
      </c>
      <c r="E371" s="14">
        <v>284.0412</v>
      </c>
      <c r="F371" s="7">
        <v>308335</v>
      </c>
      <c r="G371" s="14">
        <v>1385.962</v>
      </c>
      <c r="H371" s="7">
        <v>1589286</v>
      </c>
      <c r="I371" s="14">
        <v>1670.0032000000001</v>
      </c>
      <c r="J371" s="7">
        <v>1897621</v>
      </c>
    </row>
    <row r="372" spans="1:10" x14ac:dyDescent="0.2">
      <c r="A372" s="9">
        <v>44467</v>
      </c>
      <c r="B372" s="4" t="s">
        <v>223</v>
      </c>
      <c r="C372" s="8">
        <v>44440</v>
      </c>
      <c r="D372" s="4" t="s">
        <v>178</v>
      </c>
      <c r="E372" s="14">
        <v>533.74530000000004</v>
      </c>
      <c r="F372" s="7">
        <v>585627</v>
      </c>
      <c r="G372" s="14">
        <v>1759.1392000000001</v>
      </c>
      <c r="H372" s="7">
        <v>2005008</v>
      </c>
      <c r="I372" s="14">
        <v>2292.8845000000001</v>
      </c>
      <c r="J372" s="7">
        <v>2590635</v>
      </c>
    </row>
    <row r="373" spans="1:10" x14ac:dyDescent="0.2">
      <c r="A373" s="9">
        <v>44468</v>
      </c>
      <c r="B373" s="4" t="s">
        <v>221</v>
      </c>
      <c r="C373" s="8">
        <v>44440</v>
      </c>
      <c r="D373" s="4" t="s">
        <v>178</v>
      </c>
      <c r="E373" s="14">
        <v>470.33460000000002</v>
      </c>
      <c r="F373" s="7">
        <v>517094</v>
      </c>
      <c r="G373" s="14">
        <v>1812.6303</v>
      </c>
      <c r="H373" s="7">
        <v>2080813</v>
      </c>
      <c r="I373" s="14">
        <v>2282.9648999999999</v>
      </c>
      <c r="J373" s="7">
        <v>2597907</v>
      </c>
    </row>
    <row r="374" spans="1:10" x14ac:dyDescent="0.2">
      <c r="A374" s="9">
        <v>44469</v>
      </c>
      <c r="B374" s="4" t="s">
        <v>224</v>
      </c>
      <c r="C374" s="8">
        <v>44440</v>
      </c>
      <c r="D374" s="4" t="s">
        <v>178</v>
      </c>
      <c r="E374" s="14">
        <v>549.01300000000003</v>
      </c>
      <c r="F374" s="7">
        <v>605475</v>
      </c>
      <c r="G374" s="14">
        <v>1618.3030000000001</v>
      </c>
      <c r="H374" s="7">
        <v>1857490</v>
      </c>
      <c r="I374" s="14">
        <v>2167.3159999999998</v>
      </c>
      <c r="J374" s="7">
        <v>2462965</v>
      </c>
    </row>
    <row r="375" spans="1:10" x14ac:dyDescent="0.2">
      <c r="A375" s="9">
        <v>44470</v>
      </c>
      <c r="B375" s="4" t="s">
        <v>222</v>
      </c>
      <c r="C375" s="8">
        <v>44470</v>
      </c>
      <c r="D375" s="4" t="s">
        <v>179</v>
      </c>
      <c r="E375" s="14">
        <v>269.65649999999999</v>
      </c>
      <c r="F375" s="7">
        <v>299793</v>
      </c>
      <c r="G375" s="14">
        <v>676.54409999999996</v>
      </c>
      <c r="H375" s="7">
        <v>779040</v>
      </c>
      <c r="I375" s="14">
        <v>946.20060000000001</v>
      </c>
      <c r="J375" s="7">
        <v>1078833</v>
      </c>
    </row>
    <row r="376" spans="1:10" x14ac:dyDescent="0.2">
      <c r="A376" s="9">
        <v>44473</v>
      </c>
      <c r="B376" s="4" t="s">
        <v>225</v>
      </c>
      <c r="C376" s="8">
        <v>44470</v>
      </c>
      <c r="D376" s="4" t="s">
        <v>179</v>
      </c>
      <c r="E376" s="14">
        <v>230.2663</v>
      </c>
      <c r="F376" s="7">
        <v>253325</v>
      </c>
      <c r="G376" s="14">
        <v>688.57619999999997</v>
      </c>
      <c r="H376" s="7">
        <v>760873</v>
      </c>
      <c r="I376" s="14">
        <v>918.84249999999997</v>
      </c>
      <c r="J376" s="7">
        <v>1014198</v>
      </c>
    </row>
    <row r="377" spans="1:10" x14ac:dyDescent="0.2">
      <c r="A377" s="9">
        <v>44474</v>
      </c>
      <c r="B377" s="4" t="s">
        <v>223</v>
      </c>
      <c r="C377" s="8">
        <v>44470</v>
      </c>
      <c r="D377" s="4" t="s">
        <v>179</v>
      </c>
      <c r="E377" s="14">
        <v>230.7861</v>
      </c>
      <c r="F377" s="7">
        <v>252680</v>
      </c>
      <c r="G377" s="14">
        <v>716.84389999999996</v>
      </c>
      <c r="H377" s="7">
        <v>777286</v>
      </c>
      <c r="I377" s="14">
        <v>947.63</v>
      </c>
      <c r="J377" s="7">
        <v>1029966</v>
      </c>
    </row>
    <row r="378" spans="1:10" x14ac:dyDescent="0.2">
      <c r="A378" s="9">
        <v>44475</v>
      </c>
      <c r="B378" s="4" t="s">
        <v>221</v>
      </c>
      <c r="C378" s="8">
        <v>44470</v>
      </c>
      <c r="D378" s="4" t="s">
        <v>179</v>
      </c>
      <c r="E378" s="14">
        <v>352.84370000000001</v>
      </c>
      <c r="F378" s="7">
        <v>386151</v>
      </c>
      <c r="G378" s="14">
        <v>818.60249999999996</v>
      </c>
      <c r="H378" s="7">
        <v>909811</v>
      </c>
      <c r="I378" s="14">
        <v>1171.4462000000001</v>
      </c>
      <c r="J378" s="7">
        <v>1295962</v>
      </c>
    </row>
    <row r="379" spans="1:10" x14ac:dyDescent="0.2">
      <c r="A379" s="9">
        <v>44476</v>
      </c>
      <c r="B379" s="4" t="s">
        <v>224</v>
      </c>
      <c r="C379" s="8">
        <v>44470</v>
      </c>
      <c r="D379" s="4" t="s">
        <v>179</v>
      </c>
      <c r="E379" s="14">
        <v>269.45330000000001</v>
      </c>
      <c r="F379" s="7">
        <v>294399</v>
      </c>
      <c r="G379" s="14">
        <v>774.79859999999996</v>
      </c>
      <c r="H379" s="7">
        <v>848439</v>
      </c>
      <c r="I379" s="14">
        <v>1044.2519</v>
      </c>
      <c r="J379" s="7">
        <v>1142838</v>
      </c>
    </row>
    <row r="380" spans="1:10" x14ac:dyDescent="0.2">
      <c r="A380" s="9">
        <v>44477</v>
      </c>
      <c r="B380" s="4" t="s">
        <v>222</v>
      </c>
      <c r="C380" s="8">
        <v>44470</v>
      </c>
      <c r="D380" s="4" t="s">
        <v>179</v>
      </c>
      <c r="E380" s="14">
        <v>262.13929999999999</v>
      </c>
      <c r="F380" s="7">
        <v>284092</v>
      </c>
      <c r="G380" s="14">
        <v>802.3415</v>
      </c>
      <c r="H380" s="7">
        <v>872040</v>
      </c>
      <c r="I380" s="14">
        <v>1064.4808</v>
      </c>
      <c r="J380" s="7">
        <v>1156132</v>
      </c>
    </row>
    <row r="381" spans="1:10" x14ac:dyDescent="0.2">
      <c r="A381" s="9">
        <v>44480</v>
      </c>
      <c r="B381" s="4" t="s">
        <v>225</v>
      </c>
      <c r="C381" s="8">
        <v>44470</v>
      </c>
      <c r="D381" s="4" t="s">
        <v>179</v>
      </c>
      <c r="E381" s="14">
        <v>257.17610000000002</v>
      </c>
      <c r="F381" s="7">
        <v>276156</v>
      </c>
      <c r="G381" s="14">
        <v>834.23410000000001</v>
      </c>
      <c r="H381" s="7">
        <v>903508</v>
      </c>
      <c r="I381" s="14">
        <v>1091.4102</v>
      </c>
      <c r="J381" s="7">
        <v>1179664</v>
      </c>
    </row>
    <row r="382" spans="1:10" x14ac:dyDescent="0.2">
      <c r="A382" s="9">
        <v>44481</v>
      </c>
      <c r="B382" s="4" t="s">
        <v>223</v>
      </c>
      <c r="C382" s="8">
        <v>44470</v>
      </c>
      <c r="D382" s="4" t="s">
        <v>179</v>
      </c>
      <c r="E382" s="14">
        <v>256.40800000000002</v>
      </c>
      <c r="F382" s="7">
        <v>276033</v>
      </c>
      <c r="G382" s="14">
        <v>765.58969999999999</v>
      </c>
      <c r="H382" s="7">
        <v>832716</v>
      </c>
      <c r="I382" s="14">
        <v>1021.9977</v>
      </c>
      <c r="J382" s="7">
        <v>1108749</v>
      </c>
    </row>
    <row r="383" spans="1:10" x14ac:dyDescent="0.2">
      <c r="A383" s="9">
        <v>44482</v>
      </c>
      <c r="B383" s="4" t="s">
        <v>221</v>
      </c>
      <c r="C383" s="8">
        <v>44470</v>
      </c>
      <c r="D383" s="4" t="s">
        <v>179</v>
      </c>
      <c r="E383" s="14">
        <v>236.8306</v>
      </c>
      <c r="F383" s="7">
        <v>253787</v>
      </c>
      <c r="G383" s="14">
        <v>999.22940000000006</v>
      </c>
      <c r="H383" s="7">
        <v>1019309</v>
      </c>
      <c r="I383" s="14">
        <v>1236.06</v>
      </c>
      <c r="J383" s="7">
        <v>1273096</v>
      </c>
    </row>
    <row r="384" spans="1:10" x14ac:dyDescent="0.2">
      <c r="A384" s="9">
        <v>44483</v>
      </c>
      <c r="B384" s="4" t="s">
        <v>224</v>
      </c>
      <c r="C384" s="8">
        <v>44470</v>
      </c>
      <c r="D384" s="4" t="s">
        <v>179</v>
      </c>
      <c r="E384" s="14">
        <v>275.33409999999998</v>
      </c>
      <c r="F384" s="7">
        <v>290779</v>
      </c>
      <c r="G384" s="14">
        <v>1130.6158</v>
      </c>
      <c r="H384" s="7">
        <v>1122661</v>
      </c>
      <c r="I384" s="14">
        <v>1405.9499000000001</v>
      </c>
      <c r="J384" s="7">
        <v>1413440</v>
      </c>
    </row>
    <row r="385" spans="1:10" x14ac:dyDescent="0.2">
      <c r="A385" s="9">
        <v>44487</v>
      </c>
      <c r="B385" s="4" t="s">
        <v>225</v>
      </c>
      <c r="C385" s="8">
        <v>44470</v>
      </c>
      <c r="D385" s="4" t="s">
        <v>179</v>
      </c>
      <c r="E385" s="14">
        <v>272.00709999999998</v>
      </c>
      <c r="F385" s="7">
        <v>283820</v>
      </c>
      <c r="G385" s="14">
        <v>1158.2934</v>
      </c>
      <c r="H385" s="7">
        <v>1185407</v>
      </c>
      <c r="I385" s="14">
        <v>1430.3005000000001</v>
      </c>
      <c r="J385" s="7">
        <v>1469227</v>
      </c>
    </row>
    <row r="386" spans="1:10" x14ac:dyDescent="0.2">
      <c r="A386" s="9">
        <v>44488</v>
      </c>
      <c r="B386" s="4" t="s">
        <v>223</v>
      </c>
      <c r="C386" s="8">
        <v>44470</v>
      </c>
      <c r="D386" s="4" t="s">
        <v>179</v>
      </c>
      <c r="E386" s="14">
        <v>351.6857</v>
      </c>
      <c r="F386" s="7">
        <v>369229</v>
      </c>
      <c r="G386" s="14">
        <v>1306.01</v>
      </c>
      <c r="H386" s="7">
        <v>1316395</v>
      </c>
      <c r="I386" s="14">
        <v>1657.6957</v>
      </c>
      <c r="J386" s="7">
        <v>1685624</v>
      </c>
    </row>
    <row r="387" spans="1:10" x14ac:dyDescent="0.2">
      <c r="A387" s="9">
        <v>44489</v>
      </c>
      <c r="B387" s="4" t="s">
        <v>221</v>
      </c>
      <c r="C387" s="8">
        <v>44470</v>
      </c>
      <c r="D387" s="4" t="s">
        <v>179</v>
      </c>
      <c r="E387" s="14">
        <v>375.95620000000002</v>
      </c>
      <c r="F387" s="7">
        <v>397923</v>
      </c>
      <c r="G387" s="14">
        <v>1122.7851000000001</v>
      </c>
      <c r="H387" s="7">
        <v>1183923</v>
      </c>
      <c r="I387" s="14">
        <v>1498.7412999999999</v>
      </c>
      <c r="J387" s="7">
        <v>1581846</v>
      </c>
    </row>
    <row r="388" spans="1:10" x14ac:dyDescent="0.2">
      <c r="A388" s="9">
        <v>44490</v>
      </c>
      <c r="B388" s="4" t="s">
        <v>224</v>
      </c>
      <c r="C388" s="8">
        <v>44470</v>
      </c>
      <c r="D388" s="4" t="s">
        <v>179</v>
      </c>
      <c r="E388" s="14">
        <v>388.32909999999998</v>
      </c>
      <c r="F388" s="7">
        <v>410348</v>
      </c>
      <c r="G388" s="14">
        <v>1092.0568000000001</v>
      </c>
      <c r="H388" s="7">
        <v>1197994</v>
      </c>
      <c r="I388" s="14">
        <v>1480.3859</v>
      </c>
      <c r="J388" s="7">
        <v>1608342</v>
      </c>
    </row>
    <row r="389" spans="1:10" x14ac:dyDescent="0.2">
      <c r="A389" s="9">
        <v>44491</v>
      </c>
      <c r="B389" s="4" t="s">
        <v>222</v>
      </c>
      <c r="C389" s="8">
        <v>44470</v>
      </c>
      <c r="D389" s="4" t="s">
        <v>179</v>
      </c>
      <c r="E389" s="14">
        <v>400.6696</v>
      </c>
      <c r="F389" s="7">
        <v>419466</v>
      </c>
      <c r="G389" s="14">
        <v>1249.6442</v>
      </c>
      <c r="H389" s="7">
        <v>1392562</v>
      </c>
      <c r="I389" s="14">
        <v>1650.3137999999999</v>
      </c>
      <c r="J389" s="7">
        <v>1812028</v>
      </c>
    </row>
    <row r="390" spans="1:10" x14ac:dyDescent="0.2">
      <c r="A390" s="9">
        <v>44494</v>
      </c>
      <c r="B390" s="4" t="s">
        <v>225</v>
      </c>
      <c r="C390" s="8">
        <v>44470</v>
      </c>
      <c r="D390" s="4" t="s">
        <v>179</v>
      </c>
      <c r="E390" s="14">
        <v>489.6198</v>
      </c>
      <c r="F390" s="7">
        <v>504939</v>
      </c>
      <c r="G390" s="14">
        <v>1799.7438</v>
      </c>
      <c r="H390" s="7">
        <v>1997505</v>
      </c>
      <c r="I390" s="14">
        <v>2289.3636000000001</v>
      </c>
      <c r="J390" s="7">
        <v>2502444</v>
      </c>
    </row>
    <row r="391" spans="1:10" x14ac:dyDescent="0.2">
      <c r="A391" s="9">
        <v>44495</v>
      </c>
      <c r="B391" s="4" t="s">
        <v>223</v>
      </c>
      <c r="C391" s="8">
        <v>44470</v>
      </c>
      <c r="D391" s="4" t="s">
        <v>179</v>
      </c>
      <c r="E391" s="14">
        <v>406.87520000000001</v>
      </c>
      <c r="F391" s="7">
        <v>424206</v>
      </c>
      <c r="G391" s="14">
        <v>1939.1932999999999</v>
      </c>
      <c r="H391" s="7">
        <v>2149472</v>
      </c>
      <c r="I391" s="14">
        <v>2346.0684999999999</v>
      </c>
      <c r="J391" s="7">
        <v>2573678</v>
      </c>
    </row>
    <row r="392" spans="1:10" x14ac:dyDescent="0.2">
      <c r="A392" s="9">
        <v>44496</v>
      </c>
      <c r="B392" s="4" t="s">
        <v>221</v>
      </c>
      <c r="C392" s="8">
        <v>44470</v>
      </c>
      <c r="D392" s="4" t="s">
        <v>179</v>
      </c>
      <c r="E392" s="14">
        <v>413.05560000000003</v>
      </c>
      <c r="F392" s="7">
        <v>430812</v>
      </c>
      <c r="G392" s="14">
        <v>1811.8438000000001</v>
      </c>
      <c r="H392" s="7">
        <v>2009641</v>
      </c>
      <c r="I392" s="14">
        <v>2224.8993999999998</v>
      </c>
      <c r="J392" s="7">
        <v>2440453</v>
      </c>
    </row>
    <row r="393" spans="1:10" x14ac:dyDescent="0.2">
      <c r="A393" s="9">
        <v>44497</v>
      </c>
      <c r="B393" s="4" t="s">
        <v>224</v>
      </c>
      <c r="C393" s="8">
        <v>44470</v>
      </c>
      <c r="D393" s="4" t="s">
        <v>179</v>
      </c>
      <c r="E393" s="14">
        <v>658.96889999999996</v>
      </c>
      <c r="F393" s="7">
        <v>693600</v>
      </c>
      <c r="G393" s="14">
        <v>1913.8489</v>
      </c>
      <c r="H393" s="7">
        <v>2153668</v>
      </c>
      <c r="I393" s="14">
        <v>2572.8177999999998</v>
      </c>
      <c r="J393" s="7">
        <v>2847268</v>
      </c>
    </row>
    <row r="394" spans="1:10" x14ac:dyDescent="0.2">
      <c r="A394" s="9">
        <v>44498</v>
      </c>
      <c r="B394" s="4" t="s">
        <v>222</v>
      </c>
      <c r="C394" s="8">
        <v>44470</v>
      </c>
      <c r="D394" s="4" t="s">
        <v>179</v>
      </c>
      <c r="E394" s="14">
        <v>480.66820000000001</v>
      </c>
      <c r="F394" s="7">
        <v>515445</v>
      </c>
      <c r="G394" s="14">
        <v>854.85839999999996</v>
      </c>
      <c r="H394" s="7">
        <v>1094979</v>
      </c>
      <c r="I394" s="14">
        <v>1335.5265999999999</v>
      </c>
      <c r="J394" s="7">
        <v>1610424</v>
      </c>
    </row>
    <row r="395" spans="1:10" x14ac:dyDescent="0.2">
      <c r="A395" s="9">
        <v>44501</v>
      </c>
      <c r="B395" s="4" t="s">
        <v>225</v>
      </c>
      <c r="C395" s="8">
        <v>44501</v>
      </c>
      <c r="D395" s="4" t="s">
        <v>179</v>
      </c>
      <c r="E395" s="14">
        <v>313.46699999999998</v>
      </c>
      <c r="F395" s="7">
        <v>334636</v>
      </c>
      <c r="G395" s="14">
        <v>698.45190000000002</v>
      </c>
      <c r="H395" s="7">
        <v>903120</v>
      </c>
      <c r="I395" s="14">
        <v>1011.9189</v>
      </c>
      <c r="J395" s="7">
        <v>1237756</v>
      </c>
    </row>
    <row r="396" spans="1:10" x14ac:dyDescent="0.2">
      <c r="A396" s="9">
        <v>44502</v>
      </c>
      <c r="B396" s="4" t="s">
        <v>223</v>
      </c>
      <c r="C396" s="8">
        <v>44501</v>
      </c>
      <c r="D396" s="4" t="s">
        <v>179</v>
      </c>
      <c r="E396" s="14">
        <v>281.84780000000001</v>
      </c>
      <c r="F396" s="7">
        <v>298150</v>
      </c>
      <c r="G396" s="14">
        <v>655.4923</v>
      </c>
      <c r="H396" s="7">
        <v>835570</v>
      </c>
      <c r="I396" s="14">
        <v>937.34010000000001</v>
      </c>
      <c r="J396" s="7">
        <v>1133720</v>
      </c>
    </row>
    <row r="397" spans="1:10" x14ac:dyDescent="0.2">
      <c r="A397" s="9">
        <v>44503</v>
      </c>
      <c r="B397" s="4" t="s">
        <v>221</v>
      </c>
      <c r="C397" s="8">
        <v>44501</v>
      </c>
      <c r="D397" s="4" t="s">
        <v>179</v>
      </c>
      <c r="E397" s="14">
        <v>360.18810000000002</v>
      </c>
      <c r="F397" s="7">
        <v>380085</v>
      </c>
      <c r="G397" s="14">
        <v>657.43309999999997</v>
      </c>
      <c r="H397" s="7">
        <v>829766</v>
      </c>
      <c r="I397" s="14">
        <v>1017.6212</v>
      </c>
      <c r="J397" s="7">
        <v>1209851</v>
      </c>
    </row>
    <row r="398" spans="1:10" x14ac:dyDescent="0.2">
      <c r="A398" s="9">
        <v>44504</v>
      </c>
      <c r="B398" s="4" t="s">
        <v>224</v>
      </c>
      <c r="C398" s="8">
        <v>44501</v>
      </c>
      <c r="D398" s="4" t="s">
        <v>179</v>
      </c>
      <c r="E398" s="14">
        <v>53.726500000000001</v>
      </c>
      <c r="F398" s="7">
        <v>57147</v>
      </c>
      <c r="G398" s="14">
        <v>102.0016</v>
      </c>
      <c r="H398" s="7">
        <v>128267</v>
      </c>
      <c r="I398" s="14">
        <v>155.72810000000001</v>
      </c>
      <c r="J398" s="7">
        <v>185414</v>
      </c>
    </row>
    <row r="399" spans="1:10" x14ac:dyDescent="0.2">
      <c r="A399" s="9">
        <v>44508</v>
      </c>
      <c r="B399" s="4" t="s">
        <v>225</v>
      </c>
      <c r="C399" s="8">
        <v>44501</v>
      </c>
      <c r="D399" s="4" t="s">
        <v>179</v>
      </c>
      <c r="E399" s="14">
        <v>369.30560000000003</v>
      </c>
      <c r="F399" s="7">
        <v>392566</v>
      </c>
      <c r="G399" s="14">
        <v>749.19709999999998</v>
      </c>
      <c r="H399" s="7">
        <v>942214</v>
      </c>
      <c r="I399" s="14">
        <v>1118.5027</v>
      </c>
      <c r="J399" s="7">
        <v>1334780</v>
      </c>
    </row>
    <row r="400" spans="1:10" x14ac:dyDescent="0.2">
      <c r="A400" s="9">
        <v>44509</v>
      </c>
      <c r="B400" s="4" t="s">
        <v>223</v>
      </c>
      <c r="C400" s="8">
        <v>44501</v>
      </c>
      <c r="D400" s="4" t="s">
        <v>179</v>
      </c>
      <c r="E400" s="14">
        <v>227.90039999999999</v>
      </c>
      <c r="F400" s="7">
        <v>242849</v>
      </c>
      <c r="G400" s="14">
        <v>707.61210000000005</v>
      </c>
      <c r="H400" s="7">
        <v>871704</v>
      </c>
      <c r="I400" s="14">
        <v>935.51250000000005</v>
      </c>
      <c r="J400" s="7">
        <v>1114553</v>
      </c>
    </row>
    <row r="401" spans="1:10" x14ac:dyDescent="0.2">
      <c r="A401" s="9">
        <v>44510</v>
      </c>
      <c r="B401" s="4" t="s">
        <v>221</v>
      </c>
      <c r="C401" s="8">
        <v>44501</v>
      </c>
      <c r="D401" s="4" t="s">
        <v>179</v>
      </c>
      <c r="E401" s="14">
        <v>240.72819999999999</v>
      </c>
      <c r="F401" s="7">
        <v>257091</v>
      </c>
      <c r="G401" s="14">
        <v>662.16110000000003</v>
      </c>
      <c r="H401" s="7">
        <v>850854</v>
      </c>
      <c r="I401" s="14">
        <v>902.88930000000005</v>
      </c>
      <c r="J401" s="7">
        <v>1107945</v>
      </c>
    </row>
    <row r="402" spans="1:10" x14ac:dyDescent="0.2">
      <c r="A402" s="9">
        <v>44511</v>
      </c>
      <c r="B402" s="4" t="s">
        <v>224</v>
      </c>
      <c r="C402" s="8">
        <v>44501</v>
      </c>
      <c r="D402" s="4" t="s">
        <v>179</v>
      </c>
      <c r="E402" s="14">
        <v>299.01799999999997</v>
      </c>
      <c r="F402" s="7">
        <v>322678</v>
      </c>
      <c r="G402" s="14">
        <v>586.56859999999995</v>
      </c>
      <c r="H402" s="7">
        <v>757088</v>
      </c>
      <c r="I402" s="14">
        <v>885.58659999999998</v>
      </c>
      <c r="J402" s="7">
        <v>1079766</v>
      </c>
    </row>
    <row r="403" spans="1:10" x14ac:dyDescent="0.2">
      <c r="A403" s="9">
        <v>44512</v>
      </c>
      <c r="B403" s="4" t="s">
        <v>222</v>
      </c>
      <c r="C403" s="8">
        <v>44501</v>
      </c>
      <c r="D403" s="4" t="s">
        <v>179</v>
      </c>
      <c r="E403" s="14">
        <v>262.202</v>
      </c>
      <c r="F403" s="7">
        <v>282238</v>
      </c>
      <c r="G403" s="14">
        <v>651.3646</v>
      </c>
      <c r="H403" s="7">
        <v>852586</v>
      </c>
      <c r="I403" s="14">
        <v>913.56659999999999</v>
      </c>
      <c r="J403" s="7">
        <v>1134824</v>
      </c>
    </row>
    <row r="404" spans="1:10" x14ac:dyDescent="0.2">
      <c r="A404" s="9">
        <v>44515</v>
      </c>
      <c r="B404" s="4" t="s">
        <v>225</v>
      </c>
      <c r="C404" s="8">
        <v>44501</v>
      </c>
      <c r="D404" s="4" t="s">
        <v>179</v>
      </c>
      <c r="E404" s="14">
        <v>210.066</v>
      </c>
      <c r="F404" s="7">
        <v>223772</v>
      </c>
      <c r="G404" s="14">
        <v>606.91139999999996</v>
      </c>
      <c r="H404" s="7">
        <v>789735</v>
      </c>
      <c r="I404" s="14">
        <v>816.97739999999999</v>
      </c>
      <c r="J404" s="7">
        <v>1013507</v>
      </c>
    </row>
    <row r="405" spans="1:10" x14ac:dyDescent="0.2">
      <c r="A405" s="9">
        <v>44516</v>
      </c>
      <c r="B405" s="4" t="s">
        <v>223</v>
      </c>
      <c r="C405" s="8">
        <v>44501</v>
      </c>
      <c r="D405" s="4" t="s">
        <v>179</v>
      </c>
      <c r="E405" s="14">
        <v>258.04899999999998</v>
      </c>
      <c r="F405" s="7">
        <v>276983</v>
      </c>
      <c r="G405" s="14">
        <v>704.15790000000004</v>
      </c>
      <c r="H405" s="7">
        <v>901940</v>
      </c>
      <c r="I405" s="14">
        <v>962.20690000000002</v>
      </c>
      <c r="J405" s="7">
        <v>1178923</v>
      </c>
    </row>
    <row r="406" spans="1:10" x14ac:dyDescent="0.2">
      <c r="A406" s="9">
        <v>44517</v>
      </c>
      <c r="B406" s="4" t="s">
        <v>221</v>
      </c>
      <c r="C406" s="8">
        <v>44501</v>
      </c>
      <c r="D406" s="4" t="s">
        <v>179</v>
      </c>
      <c r="E406" s="14">
        <v>244.14689999999999</v>
      </c>
      <c r="F406" s="7">
        <v>263134</v>
      </c>
      <c r="G406" s="14">
        <v>721.12149999999997</v>
      </c>
      <c r="H406" s="7">
        <v>913791</v>
      </c>
      <c r="I406" s="14">
        <v>965.26840000000004</v>
      </c>
      <c r="J406" s="7">
        <v>1176925</v>
      </c>
    </row>
    <row r="407" spans="1:10" x14ac:dyDescent="0.2">
      <c r="A407" s="9">
        <v>44518</v>
      </c>
      <c r="B407" s="4" t="s">
        <v>224</v>
      </c>
      <c r="C407" s="8">
        <v>44501</v>
      </c>
      <c r="D407" s="4" t="s">
        <v>179</v>
      </c>
      <c r="E407" s="14">
        <v>329.2244</v>
      </c>
      <c r="F407" s="7">
        <v>358550</v>
      </c>
      <c r="G407" s="14">
        <v>1082.0063</v>
      </c>
      <c r="H407" s="7">
        <v>1351256</v>
      </c>
      <c r="I407" s="14">
        <v>1411.2307000000001</v>
      </c>
      <c r="J407" s="7">
        <v>1709806</v>
      </c>
    </row>
    <row r="408" spans="1:10" x14ac:dyDescent="0.2">
      <c r="A408" s="9">
        <v>44522</v>
      </c>
      <c r="B408" s="4" t="s">
        <v>225</v>
      </c>
      <c r="C408" s="8">
        <v>44501</v>
      </c>
      <c r="D408" s="4" t="s">
        <v>179</v>
      </c>
      <c r="E408" s="14">
        <v>439.13249999999999</v>
      </c>
      <c r="F408" s="7">
        <v>486985</v>
      </c>
      <c r="G408" s="14">
        <v>1678.4028000000001</v>
      </c>
      <c r="H408" s="7">
        <v>2228998</v>
      </c>
      <c r="I408" s="14">
        <v>2117.5353</v>
      </c>
      <c r="J408" s="7">
        <v>2715983</v>
      </c>
    </row>
    <row r="409" spans="1:10" x14ac:dyDescent="0.2">
      <c r="A409" s="9">
        <v>44523</v>
      </c>
      <c r="B409" s="4" t="s">
        <v>223</v>
      </c>
      <c r="C409" s="8">
        <v>44501</v>
      </c>
      <c r="D409" s="4" t="s">
        <v>179</v>
      </c>
      <c r="E409" s="14">
        <v>426.71679999999998</v>
      </c>
      <c r="F409" s="7">
        <v>476601</v>
      </c>
      <c r="G409" s="14">
        <v>1834.2807</v>
      </c>
      <c r="H409" s="7">
        <v>2462174</v>
      </c>
      <c r="I409" s="14">
        <v>2260.9974999999999</v>
      </c>
      <c r="J409" s="7">
        <v>2938775</v>
      </c>
    </row>
    <row r="410" spans="1:10" x14ac:dyDescent="0.2">
      <c r="A410" s="9">
        <v>44524</v>
      </c>
      <c r="B410" s="4" t="s">
        <v>221</v>
      </c>
      <c r="C410" s="8">
        <v>44501</v>
      </c>
      <c r="D410" s="4" t="s">
        <v>179</v>
      </c>
      <c r="E410" s="14">
        <v>468.24009999999998</v>
      </c>
      <c r="F410" s="7">
        <v>517362</v>
      </c>
      <c r="G410" s="14">
        <v>1629.2085</v>
      </c>
      <c r="H410" s="7">
        <v>2147546</v>
      </c>
      <c r="I410" s="14">
        <v>2097.4486000000002</v>
      </c>
      <c r="J410" s="7">
        <v>2664908</v>
      </c>
    </row>
    <row r="411" spans="1:10" x14ac:dyDescent="0.2">
      <c r="A411" s="9">
        <v>44525</v>
      </c>
      <c r="B411" s="4" t="s">
        <v>224</v>
      </c>
      <c r="C411" s="8">
        <v>44501</v>
      </c>
      <c r="D411" s="4" t="s">
        <v>179</v>
      </c>
      <c r="E411" s="14">
        <v>527.58770000000004</v>
      </c>
      <c r="F411" s="7">
        <v>586362</v>
      </c>
      <c r="G411" s="14">
        <v>1646.6206</v>
      </c>
      <c r="H411" s="7">
        <v>2239199</v>
      </c>
      <c r="I411" s="14">
        <v>2174.2082999999998</v>
      </c>
      <c r="J411" s="7">
        <v>2825561</v>
      </c>
    </row>
    <row r="412" spans="1:10" x14ac:dyDescent="0.2">
      <c r="A412" s="9">
        <v>44526</v>
      </c>
      <c r="B412" s="4" t="s">
        <v>222</v>
      </c>
      <c r="C412" s="8">
        <v>44501</v>
      </c>
      <c r="D412" s="4" t="s">
        <v>179</v>
      </c>
      <c r="E412" s="14">
        <v>443.54140000000001</v>
      </c>
      <c r="F412" s="7">
        <v>503182</v>
      </c>
      <c r="G412" s="14">
        <v>864.33609999999999</v>
      </c>
      <c r="H412" s="7">
        <v>1165598</v>
      </c>
      <c r="I412" s="14">
        <v>1307.8775000000001</v>
      </c>
      <c r="J412" s="7">
        <v>1668780</v>
      </c>
    </row>
    <row r="413" spans="1:10" x14ac:dyDescent="0.2">
      <c r="A413" s="9">
        <v>44529</v>
      </c>
      <c r="B413" s="4" t="s">
        <v>225</v>
      </c>
      <c r="C413" s="8">
        <v>44501</v>
      </c>
      <c r="D413" s="4" t="s">
        <v>179</v>
      </c>
      <c r="E413" s="14">
        <v>392.66430000000003</v>
      </c>
      <c r="F413" s="7">
        <v>449034</v>
      </c>
      <c r="G413" s="14">
        <v>682.33130000000006</v>
      </c>
      <c r="H413" s="7">
        <v>937315</v>
      </c>
      <c r="I413" s="14">
        <v>1074.9956</v>
      </c>
      <c r="J413" s="7">
        <v>1386349</v>
      </c>
    </row>
    <row r="414" spans="1:10" x14ac:dyDescent="0.2">
      <c r="A414" s="9">
        <v>44530</v>
      </c>
      <c r="B414" s="4" t="s">
        <v>223</v>
      </c>
      <c r="C414" s="8">
        <v>44501</v>
      </c>
      <c r="D414" s="4" t="s">
        <v>179</v>
      </c>
      <c r="E414" s="14">
        <v>481.87009999999998</v>
      </c>
      <c r="F414" s="7">
        <v>549046</v>
      </c>
      <c r="G414" s="14">
        <v>765.9117</v>
      </c>
      <c r="H414" s="7">
        <v>1029161</v>
      </c>
      <c r="I414" s="14">
        <v>1247.7818</v>
      </c>
      <c r="J414" s="7">
        <v>1578207</v>
      </c>
    </row>
    <row r="415" spans="1:10" x14ac:dyDescent="0.2">
      <c r="A415" s="9">
        <v>44531</v>
      </c>
      <c r="B415" s="4" t="s">
        <v>221</v>
      </c>
      <c r="C415" s="8">
        <v>44531</v>
      </c>
      <c r="D415" s="4" t="s">
        <v>179</v>
      </c>
      <c r="E415" s="14">
        <v>336.14350000000002</v>
      </c>
      <c r="F415" s="7">
        <v>381004</v>
      </c>
      <c r="G415" s="14">
        <v>555.75699999999995</v>
      </c>
      <c r="H415" s="7">
        <v>744545</v>
      </c>
      <c r="I415" s="14">
        <v>891.90049999999997</v>
      </c>
      <c r="J415" s="7">
        <v>1125549</v>
      </c>
    </row>
    <row r="416" spans="1:10" x14ac:dyDescent="0.2">
      <c r="A416" s="9">
        <v>44532</v>
      </c>
      <c r="B416" s="4" t="s">
        <v>224</v>
      </c>
      <c r="C416" s="8">
        <v>44531</v>
      </c>
      <c r="D416" s="4" t="s">
        <v>179</v>
      </c>
      <c r="E416" s="14">
        <v>279.03390000000002</v>
      </c>
      <c r="F416" s="7">
        <v>315530</v>
      </c>
      <c r="G416" s="14">
        <v>509.19420000000002</v>
      </c>
      <c r="H416" s="7">
        <v>672552</v>
      </c>
      <c r="I416" s="14">
        <v>788.22810000000004</v>
      </c>
      <c r="J416" s="7">
        <v>988082</v>
      </c>
    </row>
    <row r="417" spans="1:10" x14ac:dyDescent="0.2">
      <c r="A417" s="9">
        <v>44533</v>
      </c>
      <c r="B417" s="4" t="s">
        <v>222</v>
      </c>
      <c r="C417" s="8">
        <v>44531</v>
      </c>
      <c r="D417" s="4" t="s">
        <v>179</v>
      </c>
      <c r="E417" s="14">
        <v>364.98739999999998</v>
      </c>
      <c r="F417" s="7">
        <v>410988</v>
      </c>
      <c r="G417" s="14">
        <v>571.65239999999994</v>
      </c>
      <c r="H417" s="7">
        <v>766827</v>
      </c>
      <c r="I417" s="14">
        <v>936.63980000000004</v>
      </c>
      <c r="J417" s="7">
        <v>1177815</v>
      </c>
    </row>
    <row r="418" spans="1:10" x14ac:dyDescent="0.2">
      <c r="A418" s="9">
        <v>44536</v>
      </c>
      <c r="B418" s="4" t="s">
        <v>225</v>
      </c>
      <c r="C418" s="8">
        <v>44531</v>
      </c>
      <c r="D418" s="4" t="s">
        <v>179</v>
      </c>
      <c r="E418" s="14">
        <v>298.36779999999999</v>
      </c>
      <c r="F418" s="7">
        <v>340167</v>
      </c>
      <c r="G418" s="14">
        <v>471.56470000000002</v>
      </c>
      <c r="H418" s="7">
        <v>641354</v>
      </c>
      <c r="I418" s="14">
        <v>769.9325</v>
      </c>
      <c r="J418" s="7">
        <v>981521</v>
      </c>
    </row>
    <row r="419" spans="1:10" x14ac:dyDescent="0.2">
      <c r="A419" s="9">
        <v>44537</v>
      </c>
      <c r="B419" s="4" t="s">
        <v>223</v>
      </c>
      <c r="C419" s="8">
        <v>44531</v>
      </c>
      <c r="D419" s="4" t="s">
        <v>179</v>
      </c>
      <c r="E419" s="14">
        <v>367.07229999999998</v>
      </c>
      <c r="F419" s="7">
        <v>414454</v>
      </c>
      <c r="G419" s="14">
        <v>507.34379999999999</v>
      </c>
      <c r="H419" s="7">
        <v>680322</v>
      </c>
      <c r="I419" s="14">
        <v>874.41610000000003</v>
      </c>
      <c r="J419" s="7">
        <v>1094776</v>
      </c>
    </row>
    <row r="420" spans="1:10" x14ac:dyDescent="0.2">
      <c r="A420" s="9">
        <v>44538</v>
      </c>
      <c r="B420" s="4" t="s">
        <v>221</v>
      </c>
      <c r="C420" s="8">
        <v>44531</v>
      </c>
      <c r="D420" s="4" t="s">
        <v>179</v>
      </c>
      <c r="E420" s="14">
        <v>301.50630000000001</v>
      </c>
      <c r="F420" s="7">
        <v>334546</v>
      </c>
      <c r="G420" s="14">
        <v>562.53390000000002</v>
      </c>
      <c r="H420" s="7">
        <v>742212</v>
      </c>
      <c r="I420" s="14">
        <v>864.04020000000003</v>
      </c>
      <c r="J420" s="7">
        <v>1076758</v>
      </c>
    </row>
    <row r="421" spans="1:10" x14ac:dyDescent="0.2">
      <c r="A421" s="9">
        <v>44539</v>
      </c>
      <c r="B421" s="4" t="s">
        <v>224</v>
      </c>
      <c r="C421" s="8">
        <v>44531</v>
      </c>
      <c r="D421" s="4" t="s">
        <v>179</v>
      </c>
      <c r="E421" s="14">
        <v>309.37599999999998</v>
      </c>
      <c r="F421" s="7">
        <v>343920</v>
      </c>
      <c r="G421" s="14">
        <v>510.81580000000002</v>
      </c>
      <c r="H421" s="7">
        <v>671357</v>
      </c>
      <c r="I421" s="14">
        <v>820.19179999999994</v>
      </c>
      <c r="J421" s="7">
        <v>1015277</v>
      </c>
    </row>
    <row r="422" spans="1:10" x14ac:dyDescent="0.2">
      <c r="A422" s="9">
        <v>44540</v>
      </c>
      <c r="B422" s="4" t="s">
        <v>222</v>
      </c>
      <c r="C422" s="8">
        <v>44531</v>
      </c>
      <c r="D422" s="4" t="s">
        <v>179</v>
      </c>
      <c r="E422" s="14">
        <v>254.7859</v>
      </c>
      <c r="F422" s="7">
        <v>283791</v>
      </c>
      <c r="G422" s="14">
        <v>516.69039999999995</v>
      </c>
      <c r="H422" s="7">
        <v>682427</v>
      </c>
      <c r="I422" s="14">
        <v>771.47630000000004</v>
      </c>
      <c r="J422" s="7">
        <v>966218</v>
      </c>
    </row>
    <row r="423" spans="1:10" x14ac:dyDescent="0.2">
      <c r="A423" s="9">
        <v>44543</v>
      </c>
      <c r="B423" s="4" t="s">
        <v>225</v>
      </c>
      <c r="C423" s="8">
        <v>44531</v>
      </c>
      <c r="D423" s="4" t="s">
        <v>179</v>
      </c>
      <c r="E423" s="14">
        <v>341.92309999999998</v>
      </c>
      <c r="F423" s="7">
        <v>379271</v>
      </c>
      <c r="G423" s="14">
        <v>565.18460000000005</v>
      </c>
      <c r="H423" s="7">
        <v>738280</v>
      </c>
      <c r="I423" s="14">
        <v>907.10770000000002</v>
      </c>
      <c r="J423" s="7">
        <v>1117551</v>
      </c>
    </row>
    <row r="424" spans="1:10" x14ac:dyDescent="0.2">
      <c r="A424" s="9">
        <v>44544</v>
      </c>
      <c r="B424" s="4" t="s">
        <v>223</v>
      </c>
      <c r="C424" s="8">
        <v>44531</v>
      </c>
      <c r="D424" s="4" t="s">
        <v>179</v>
      </c>
      <c r="E424" s="14">
        <v>309.1377</v>
      </c>
      <c r="F424" s="7">
        <v>346588</v>
      </c>
      <c r="G424" s="14">
        <v>525.52110000000005</v>
      </c>
      <c r="H424" s="7">
        <v>707501</v>
      </c>
      <c r="I424" s="14">
        <v>834.65880000000004</v>
      </c>
      <c r="J424" s="7">
        <v>1054089</v>
      </c>
    </row>
    <row r="425" spans="1:10" x14ac:dyDescent="0.2">
      <c r="A425" s="9">
        <v>44545</v>
      </c>
      <c r="B425" s="4" t="s">
        <v>221</v>
      </c>
      <c r="C425" s="8">
        <v>44531</v>
      </c>
      <c r="D425" s="4" t="s">
        <v>179</v>
      </c>
      <c r="E425" s="14">
        <v>245.36940000000001</v>
      </c>
      <c r="F425" s="7">
        <v>276357</v>
      </c>
      <c r="G425" s="14">
        <v>464.36590000000001</v>
      </c>
      <c r="H425" s="7">
        <v>616823</v>
      </c>
      <c r="I425" s="14">
        <v>709.73530000000005</v>
      </c>
      <c r="J425" s="7">
        <v>893180</v>
      </c>
    </row>
    <row r="426" spans="1:10" x14ac:dyDescent="0.2">
      <c r="A426" s="9">
        <v>44546</v>
      </c>
      <c r="B426" s="4" t="s">
        <v>224</v>
      </c>
      <c r="C426" s="8">
        <v>44531</v>
      </c>
      <c r="D426" s="4" t="s">
        <v>179</v>
      </c>
      <c r="E426" s="14">
        <v>306.15879999999999</v>
      </c>
      <c r="F426" s="7">
        <v>344215</v>
      </c>
      <c r="G426" s="14">
        <v>479.15839999999997</v>
      </c>
      <c r="H426" s="7">
        <v>644109</v>
      </c>
      <c r="I426" s="14">
        <v>785.31719999999996</v>
      </c>
      <c r="J426" s="7">
        <v>988324</v>
      </c>
    </row>
    <row r="427" spans="1:10" x14ac:dyDescent="0.2">
      <c r="A427" s="9">
        <v>44547</v>
      </c>
      <c r="B427" s="4" t="s">
        <v>222</v>
      </c>
      <c r="C427" s="8">
        <v>44531</v>
      </c>
      <c r="D427" s="4" t="s">
        <v>179</v>
      </c>
      <c r="E427" s="14">
        <v>346.81360000000001</v>
      </c>
      <c r="F427" s="7">
        <v>397011</v>
      </c>
      <c r="G427" s="14">
        <v>717.95849999999996</v>
      </c>
      <c r="H427" s="7">
        <v>998449</v>
      </c>
      <c r="I427" s="14">
        <v>1064.7720999999999</v>
      </c>
      <c r="J427" s="7">
        <v>1395460</v>
      </c>
    </row>
    <row r="428" spans="1:10" x14ac:dyDescent="0.2">
      <c r="A428" s="9">
        <v>44550</v>
      </c>
      <c r="B428" s="4" t="s">
        <v>225</v>
      </c>
      <c r="C428" s="8">
        <v>44531</v>
      </c>
      <c r="D428" s="4" t="s">
        <v>179</v>
      </c>
      <c r="E428" s="14">
        <v>463.19869999999997</v>
      </c>
      <c r="F428" s="7">
        <v>548763</v>
      </c>
      <c r="G428" s="14">
        <v>721.40809999999999</v>
      </c>
      <c r="H428" s="7">
        <v>1026558</v>
      </c>
      <c r="I428" s="14">
        <v>1184.6068</v>
      </c>
      <c r="J428" s="7">
        <v>1575321</v>
      </c>
    </row>
    <row r="429" spans="1:10" x14ac:dyDescent="0.2">
      <c r="A429" s="9">
        <v>44551</v>
      </c>
      <c r="B429" s="4" t="s">
        <v>223</v>
      </c>
      <c r="C429" s="8">
        <v>44531</v>
      </c>
      <c r="D429" s="4" t="s">
        <v>179</v>
      </c>
      <c r="E429" s="14">
        <v>370.92869999999999</v>
      </c>
      <c r="F429" s="7">
        <v>434713</v>
      </c>
      <c r="G429" s="14">
        <v>586.81579999999997</v>
      </c>
      <c r="H429" s="7">
        <v>817834</v>
      </c>
      <c r="I429" s="14">
        <v>957.74450000000002</v>
      </c>
      <c r="J429" s="7">
        <v>1252547</v>
      </c>
    </row>
    <row r="430" spans="1:10" x14ac:dyDescent="0.2">
      <c r="A430" s="9">
        <v>44552</v>
      </c>
      <c r="B430" s="4" t="s">
        <v>221</v>
      </c>
      <c r="C430" s="8">
        <v>44531</v>
      </c>
      <c r="D430" s="4" t="s">
        <v>179</v>
      </c>
      <c r="E430" s="14">
        <v>272.89909999999998</v>
      </c>
      <c r="F430" s="7">
        <v>317720</v>
      </c>
      <c r="G430" s="14">
        <v>602.1875</v>
      </c>
      <c r="H430" s="7">
        <v>816079</v>
      </c>
      <c r="I430" s="14">
        <v>875.08659999999998</v>
      </c>
      <c r="J430" s="7">
        <v>1133799</v>
      </c>
    </row>
    <row r="431" spans="1:10" x14ac:dyDescent="0.2">
      <c r="A431" s="9">
        <v>44553</v>
      </c>
      <c r="B431" s="4" t="s">
        <v>224</v>
      </c>
      <c r="C431" s="8">
        <v>44531</v>
      </c>
      <c r="D431" s="4" t="s">
        <v>179</v>
      </c>
      <c r="E431" s="14">
        <v>303.85469999999998</v>
      </c>
      <c r="F431" s="7">
        <v>349807</v>
      </c>
      <c r="G431" s="14">
        <v>617.16039999999998</v>
      </c>
      <c r="H431" s="7">
        <v>867646</v>
      </c>
      <c r="I431" s="14">
        <v>921.01509999999996</v>
      </c>
      <c r="J431" s="7">
        <v>1217453</v>
      </c>
    </row>
    <row r="432" spans="1:10" x14ac:dyDescent="0.2">
      <c r="A432" s="9">
        <v>44554</v>
      </c>
      <c r="B432" s="4" t="s">
        <v>222</v>
      </c>
      <c r="C432" s="8">
        <v>44531</v>
      </c>
      <c r="D432" s="4" t="s">
        <v>179</v>
      </c>
      <c r="E432" s="14">
        <v>351.77</v>
      </c>
      <c r="F432" s="7">
        <v>408286</v>
      </c>
      <c r="G432" s="14">
        <v>723.76289999999995</v>
      </c>
      <c r="H432" s="7">
        <v>1015641</v>
      </c>
      <c r="I432" s="14">
        <v>1075.5328999999999</v>
      </c>
      <c r="J432" s="7">
        <v>1423927</v>
      </c>
    </row>
    <row r="433" spans="1:10" x14ac:dyDescent="0.2">
      <c r="A433" s="9">
        <v>44557</v>
      </c>
      <c r="B433" s="4" t="s">
        <v>225</v>
      </c>
      <c r="C433" s="8">
        <v>44531</v>
      </c>
      <c r="D433" s="4" t="s">
        <v>179</v>
      </c>
      <c r="E433" s="14">
        <v>375.62450000000001</v>
      </c>
      <c r="F433" s="7">
        <v>436407</v>
      </c>
      <c r="G433" s="14">
        <v>1180.7212999999999</v>
      </c>
      <c r="H433" s="7">
        <v>1710780</v>
      </c>
      <c r="I433" s="14">
        <v>1556.3458000000001</v>
      </c>
      <c r="J433" s="7">
        <v>2147187</v>
      </c>
    </row>
    <row r="434" spans="1:10" x14ac:dyDescent="0.2">
      <c r="A434" s="9">
        <v>44558</v>
      </c>
      <c r="B434" s="4" t="s">
        <v>223</v>
      </c>
      <c r="C434" s="8">
        <v>44531</v>
      </c>
      <c r="D434" s="4" t="s">
        <v>179</v>
      </c>
      <c r="E434" s="14">
        <v>296.81540000000001</v>
      </c>
      <c r="F434" s="7">
        <v>340954</v>
      </c>
      <c r="G434" s="14">
        <v>1375.5393999999999</v>
      </c>
      <c r="H434" s="7">
        <v>1931515</v>
      </c>
      <c r="I434" s="14">
        <v>1672.3548000000001</v>
      </c>
      <c r="J434" s="7">
        <v>2272469</v>
      </c>
    </row>
    <row r="435" spans="1:10" x14ac:dyDescent="0.2">
      <c r="A435" s="9">
        <v>44559</v>
      </c>
      <c r="B435" s="4" t="s">
        <v>221</v>
      </c>
      <c r="C435" s="8">
        <v>44531</v>
      </c>
      <c r="D435" s="4" t="s">
        <v>179</v>
      </c>
      <c r="E435" s="14">
        <v>326.38150000000002</v>
      </c>
      <c r="F435" s="7">
        <v>374904</v>
      </c>
      <c r="G435" s="14">
        <v>1249.2574</v>
      </c>
      <c r="H435" s="7">
        <v>1748974</v>
      </c>
      <c r="I435" s="14">
        <v>1575.6388999999999</v>
      </c>
      <c r="J435" s="7">
        <v>2123878</v>
      </c>
    </row>
    <row r="436" spans="1:10" x14ac:dyDescent="0.2">
      <c r="A436" s="9">
        <v>44560</v>
      </c>
      <c r="B436" s="4" t="s">
        <v>224</v>
      </c>
      <c r="C436" s="8">
        <v>44531</v>
      </c>
      <c r="D436" s="4" t="s">
        <v>179</v>
      </c>
      <c r="E436" s="14">
        <v>406.50810000000001</v>
      </c>
      <c r="F436" s="7">
        <v>467778</v>
      </c>
      <c r="G436" s="14">
        <v>1345.3267000000001</v>
      </c>
      <c r="H436" s="7">
        <v>1907806</v>
      </c>
      <c r="I436" s="14">
        <v>1751.8348000000001</v>
      </c>
      <c r="J436" s="7">
        <v>2375584</v>
      </c>
    </row>
    <row r="437" spans="1:10" x14ac:dyDescent="0.2">
      <c r="A437" s="9">
        <v>44561</v>
      </c>
      <c r="B437" s="4" t="s">
        <v>222</v>
      </c>
      <c r="C437" s="8">
        <v>44531</v>
      </c>
      <c r="D437" s="4" t="s">
        <v>179</v>
      </c>
      <c r="E437" s="14">
        <v>227.3468</v>
      </c>
      <c r="F437" s="7">
        <v>258727</v>
      </c>
      <c r="G437" s="14">
        <v>436.04140000000001</v>
      </c>
      <c r="H437" s="7">
        <v>619333</v>
      </c>
      <c r="I437" s="14">
        <v>663.38819999999998</v>
      </c>
      <c r="J437" s="7">
        <v>878060</v>
      </c>
    </row>
    <row r="438" spans="1:10" x14ac:dyDescent="0.2">
      <c r="A438" s="9">
        <v>44564</v>
      </c>
      <c r="B438" s="4" t="s">
        <v>225</v>
      </c>
      <c r="C438" s="8">
        <v>44562</v>
      </c>
      <c r="D438" s="4" t="s">
        <v>180</v>
      </c>
      <c r="E438" s="14">
        <v>292.13400000000001</v>
      </c>
      <c r="F438" s="7">
        <v>327555</v>
      </c>
      <c r="G438" s="14">
        <v>490.6841</v>
      </c>
      <c r="H438" s="7">
        <v>668369</v>
      </c>
      <c r="I438" s="14">
        <v>782.81809999999996</v>
      </c>
      <c r="J438" s="7">
        <v>995924</v>
      </c>
    </row>
    <row r="439" spans="1:10" x14ac:dyDescent="0.2">
      <c r="A439" s="9">
        <v>44565</v>
      </c>
      <c r="B439" s="4" t="s">
        <v>223</v>
      </c>
      <c r="C439" s="8">
        <v>44562</v>
      </c>
      <c r="D439" s="4" t="s">
        <v>180</v>
      </c>
      <c r="E439" s="14">
        <v>299.54239999999999</v>
      </c>
      <c r="F439" s="7">
        <v>331044</v>
      </c>
      <c r="G439" s="14">
        <v>568.08270000000005</v>
      </c>
      <c r="H439" s="7">
        <v>762173</v>
      </c>
      <c r="I439" s="14">
        <v>867.62509999999997</v>
      </c>
      <c r="J439" s="7">
        <v>1093217</v>
      </c>
    </row>
    <row r="440" spans="1:10" x14ac:dyDescent="0.2">
      <c r="A440" s="9">
        <v>44566</v>
      </c>
      <c r="B440" s="4" t="s">
        <v>221</v>
      </c>
      <c r="C440" s="8">
        <v>44562</v>
      </c>
      <c r="D440" s="4" t="s">
        <v>180</v>
      </c>
      <c r="E440" s="14">
        <v>357.13499999999999</v>
      </c>
      <c r="F440" s="7">
        <v>388234</v>
      </c>
      <c r="G440" s="14">
        <v>615.93309999999997</v>
      </c>
      <c r="H440" s="7">
        <v>840829</v>
      </c>
      <c r="I440" s="14">
        <v>973.06809999999996</v>
      </c>
      <c r="J440" s="7">
        <v>1229063</v>
      </c>
    </row>
    <row r="441" spans="1:10" x14ac:dyDescent="0.2">
      <c r="A441" s="9">
        <v>44567</v>
      </c>
      <c r="B441" s="4" t="s">
        <v>224</v>
      </c>
      <c r="C441" s="8">
        <v>44562</v>
      </c>
      <c r="D441" s="4" t="s">
        <v>180</v>
      </c>
      <c r="E441" s="14">
        <v>401.21210000000002</v>
      </c>
      <c r="F441" s="7">
        <v>441159</v>
      </c>
      <c r="G441" s="14">
        <v>579.08960000000002</v>
      </c>
      <c r="H441" s="7">
        <v>787481</v>
      </c>
      <c r="I441" s="14">
        <v>980.30169999999998</v>
      </c>
      <c r="J441" s="7">
        <v>1228640</v>
      </c>
    </row>
    <row r="442" spans="1:10" x14ac:dyDescent="0.2">
      <c r="A442" s="9">
        <v>44568</v>
      </c>
      <c r="B442" s="4" t="s">
        <v>222</v>
      </c>
      <c r="C442" s="8">
        <v>44562</v>
      </c>
      <c r="D442" s="4" t="s">
        <v>180</v>
      </c>
      <c r="E442" s="14">
        <v>374.21710000000002</v>
      </c>
      <c r="F442" s="7">
        <v>405839</v>
      </c>
      <c r="G442" s="14">
        <v>617.64229999999998</v>
      </c>
      <c r="H442" s="7">
        <v>820734</v>
      </c>
      <c r="I442" s="14">
        <v>991.85940000000005</v>
      </c>
      <c r="J442" s="7">
        <v>1226573</v>
      </c>
    </row>
    <row r="443" spans="1:10" x14ac:dyDescent="0.2">
      <c r="A443" s="9">
        <v>44571</v>
      </c>
      <c r="B443" s="4" t="s">
        <v>225</v>
      </c>
      <c r="C443" s="8">
        <v>44562</v>
      </c>
      <c r="D443" s="4" t="s">
        <v>180</v>
      </c>
      <c r="E443" s="14">
        <v>289.29329999999999</v>
      </c>
      <c r="F443" s="7">
        <v>310806</v>
      </c>
      <c r="G443" s="14">
        <v>606.98990000000003</v>
      </c>
      <c r="H443" s="7">
        <v>818899</v>
      </c>
      <c r="I443" s="14">
        <v>896.28319999999997</v>
      </c>
      <c r="J443" s="7">
        <v>1129705</v>
      </c>
    </row>
    <row r="444" spans="1:10" x14ac:dyDescent="0.2">
      <c r="A444" s="9">
        <v>44572</v>
      </c>
      <c r="B444" s="4" t="s">
        <v>223</v>
      </c>
      <c r="C444" s="8">
        <v>44562</v>
      </c>
      <c r="D444" s="4" t="s">
        <v>180</v>
      </c>
      <c r="E444" s="14">
        <v>266.1026</v>
      </c>
      <c r="F444" s="7">
        <v>285273</v>
      </c>
      <c r="G444" s="14">
        <v>589.23919999999998</v>
      </c>
      <c r="H444" s="7">
        <v>791382</v>
      </c>
      <c r="I444" s="14">
        <v>855.34180000000003</v>
      </c>
      <c r="J444" s="7">
        <v>1076655</v>
      </c>
    </row>
    <row r="445" spans="1:10" x14ac:dyDescent="0.2">
      <c r="A445" s="9">
        <v>44573</v>
      </c>
      <c r="B445" s="4" t="s">
        <v>221</v>
      </c>
      <c r="C445" s="8">
        <v>44562</v>
      </c>
      <c r="D445" s="4" t="s">
        <v>180</v>
      </c>
      <c r="E445" s="14">
        <v>237.35929999999999</v>
      </c>
      <c r="F445" s="7">
        <v>252569</v>
      </c>
      <c r="G445" s="14">
        <v>619.52650000000006</v>
      </c>
      <c r="H445" s="7">
        <v>833927</v>
      </c>
      <c r="I445" s="14">
        <v>856.88580000000002</v>
      </c>
      <c r="J445" s="7">
        <v>1086496</v>
      </c>
    </row>
    <row r="446" spans="1:10" x14ac:dyDescent="0.2">
      <c r="A446" s="9">
        <v>44574</v>
      </c>
      <c r="B446" s="4" t="s">
        <v>224</v>
      </c>
      <c r="C446" s="8">
        <v>44562</v>
      </c>
      <c r="D446" s="4" t="s">
        <v>180</v>
      </c>
      <c r="E446" s="14">
        <v>248.05719999999999</v>
      </c>
      <c r="F446" s="7">
        <v>264738</v>
      </c>
      <c r="G446" s="14">
        <v>741.43960000000004</v>
      </c>
      <c r="H446" s="7">
        <v>990201</v>
      </c>
      <c r="I446" s="14">
        <v>989.49680000000001</v>
      </c>
      <c r="J446" s="7">
        <v>1254939</v>
      </c>
    </row>
    <row r="447" spans="1:10" x14ac:dyDescent="0.2">
      <c r="A447" s="9">
        <v>44575</v>
      </c>
      <c r="B447" s="4" t="s">
        <v>222</v>
      </c>
      <c r="C447" s="8">
        <v>44562</v>
      </c>
      <c r="D447" s="4" t="s">
        <v>180</v>
      </c>
      <c r="E447" s="14">
        <v>264.07900000000001</v>
      </c>
      <c r="F447" s="7">
        <v>282291</v>
      </c>
      <c r="G447" s="14">
        <v>663.57320000000004</v>
      </c>
      <c r="H447" s="7">
        <v>887481</v>
      </c>
      <c r="I447" s="14">
        <v>927.65219999999999</v>
      </c>
      <c r="J447" s="7">
        <v>1169772</v>
      </c>
    </row>
    <row r="448" spans="1:10" x14ac:dyDescent="0.2">
      <c r="A448" s="9">
        <v>44578</v>
      </c>
      <c r="B448" s="4" t="s">
        <v>225</v>
      </c>
      <c r="C448" s="8">
        <v>44562</v>
      </c>
      <c r="D448" s="4" t="s">
        <v>180</v>
      </c>
      <c r="E448" s="14">
        <v>182.82400000000001</v>
      </c>
      <c r="F448" s="7">
        <v>194808</v>
      </c>
      <c r="G448" s="14">
        <v>693.41750000000002</v>
      </c>
      <c r="H448" s="7">
        <v>913556</v>
      </c>
      <c r="I448" s="14">
        <v>876.24149999999997</v>
      </c>
      <c r="J448" s="7">
        <v>1108364</v>
      </c>
    </row>
    <row r="449" spans="1:10" x14ac:dyDescent="0.2">
      <c r="A449" s="9">
        <v>44579</v>
      </c>
      <c r="B449" s="4" t="s">
        <v>223</v>
      </c>
      <c r="C449" s="8">
        <v>44562</v>
      </c>
      <c r="D449" s="4" t="s">
        <v>180</v>
      </c>
      <c r="E449" s="14">
        <v>409.33420000000001</v>
      </c>
      <c r="F449" s="7">
        <v>437213</v>
      </c>
      <c r="G449" s="14">
        <v>807.00289999999995</v>
      </c>
      <c r="H449" s="7">
        <v>1070611</v>
      </c>
      <c r="I449" s="14">
        <v>1216.3371</v>
      </c>
      <c r="J449" s="7">
        <v>1507824</v>
      </c>
    </row>
    <row r="450" spans="1:10" x14ac:dyDescent="0.2">
      <c r="A450" s="9">
        <v>44580</v>
      </c>
      <c r="B450" s="4" t="s">
        <v>221</v>
      </c>
      <c r="C450" s="8">
        <v>44562</v>
      </c>
      <c r="D450" s="4" t="s">
        <v>180</v>
      </c>
      <c r="E450" s="14">
        <v>366.85320000000002</v>
      </c>
      <c r="F450" s="7">
        <v>397034</v>
      </c>
      <c r="G450" s="14">
        <v>860.06510000000003</v>
      </c>
      <c r="H450" s="7">
        <v>1096879</v>
      </c>
      <c r="I450" s="14">
        <v>1226.9183</v>
      </c>
      <c r="J450" s="7">
        <v>1493913</v>
      </c>
    </row>
    <row r="451" spans="1:10" x14ac:dyDescent="0.2">
      <c r="A451" s="9">
        <v>44581</v>
      </c>
      <c r="B451" s="4" t="s">
        <v>224</v>
      </c>
      <c r="C451" s="8">
        <v>44562</v>
      </c>
      <c r="D451" s="4" t="s">
        <v>180</v>
      </c>
      <c r="E451" s="14">
        <v>390.69560000000001</v>
      </c>
      <c r="F451" s="7">
        <v>427159</v>
      </c>
      <c r="G451" s="14">
        <v>812.61320000000001</v>
      </c>
      <c r="H451" s="7">
        <v>1100007</v>
      </c>
      <c r="I451" s="14">
        <v>1203.3088</v>
      </c>
      <c r="J451" s="7">
        <v>1527166</v>
      </c>
    </row>
    <row r="452" spans="1:10" x14ac:dyDescent="0.2">
      <c r="A452" s="9">
        <v>44582</v>
      </c>
      <c r="B452" s="4" t="s">
        <v>222</v>
      </c>
      <c r="C452" s="8">
        <v>44562</v>
      </c>
      <c r="D452" s="4" t="s">
        <v>180</v>
      </c>
      <c r="E452" s="14">
        <v>473.39569999999998</v>
      </c>
      <c r="F452" s="7">
        <v>523206</v>
      </c>
      <c r="G452" s="14">
        <v>1297.8779999999999</v>
      </c>
      <c r="H452" s="7">
        <v>1800077</v>
      </c>
      <c r="I452" s="14">
        <v>1771.2737</v>
      </c>
      <c r="J452" s="7">
        <v>2323283</v>
      </c>
    </row>
    <row r="453" spans="1:10" x14ac:dyDescent="0.2">
      <c r="A453" s="9">
        <v>44585</v>
      </c>
      <c r="B453" s="4" t="s">
        <v>225</v>
      </c>
      <c r="C453" s="8">
        <v>44562</v>
      </c>
      <c r="D453" s="4" t="s">
        <v>180</v>
      </c>
      <c r="E453" s="14">
        <v>593.03099999999995</v>
      </c>
      <c r="F453" s="7">
        <v>667710</v>
      </c>
      <c r="G453" s="14">
        <v>1888.1005</v>
      </c>
      <c r="H453" s="7">
        <v>2699044</v>
      </c>
      <c r="I453" s="14">
        <v>2481.1315</v>
      </c>
      <c r="J453" s="7">
        <v>3366754</v>
      </c>
    </row>
    <row r="454" spans="1:10" x14ac:dyDescent="0.2">
      <c r="A454" s="9">
        <v>44586</v>
      </c>
      <c r="B454" s="4" t="s">
        <v>223</v>
      </c>
      <c r="C454" s="8">
        <v>44562</v>
      </c>
      <c r="D454" s="4" t="s">
        <v>180</v>
      </c>
      <c r="E454" s="14">
        <v>618.70090000000005</v>
      </c>
      <c r="F454" s="7">
        <v>698380</v>
      </c>
      <c r="G454" s="14">
        <v>1992.6841999999999</v>
      </c>
      <c r="H454" s="7">
        <v>2842873</v>
      </c>
      <c r="I454" s="14">
        <v>2611.3851</v>
      </c>
      <c r="J454" s="7">
        <v>3541253</v>
      </c>
    </row>
    <row r="455" spans="1:10" x14ac:dyDescent="0.2">
      <c r="A455" s="9">
        <v>44588</v>
      </c>
      <c r="B455" s="4" t="s">
        <v>224</v>
      </c>
      <c r="C455" s="8">
        <v>44562</v>
      </c>
      <c r="D455" s="4" t="s">
        <v>180</v>
      </c>
      <c r="E455" s="14">
        <v>752.50840000000005</v>
      </c>
      <c r="F455" s="7">
        <v>850903</v>
      </c>
      <c r="G455" s="14">
        <v>1945.5146999999999</v>
      </c>
      <c r="H455" s="7">
        <v>2796380</v>
      </c>
      <c r="I455" s="14">
        <v>2698.0230999999999</v>
      </c>
      <c r="J455" s="7">
        <v>3647283</v>
      </c>
    </row>
    <row r="456" spans="1:10" x14ac:dyDescent="0.2">
      <c r="A456" s="9">
        <v>44589</v>
      </c>
      <c r="B456" s="4" t="s">
        <v>222</v>
      </c>
      <c r="C456" s="8">
        <v>44562</v>
      </c>
      <c r="D456" s="4" t="s">
        <v>180</v>
      </c>
      <c r="E456" s="14">
        <v>434.50389999999999</v>
      </c>
      <c r="F456" s="7">
        <v>481244</v>
      </c>
      <c r="G456" s="14">
        <v>820.30700000000002</v>
      </c>
      <c r="H456" s="7">
        <v>1137595</v>
      </c>
      <c r="I456" s="14">
        <v>1254.8108999999999</v>
      </c>
      <c r="J456" s="7">
        <v>1618839</v>
      </c>
    </row>
    <row r="457" spans="1:10" x14ac:dyDescent="0.2">
      <c r="A457" s="9">
        <v>44592</v>
      </c>
      <c r="B457" s="4" t="s">
        <v>225</v>
      </c>
      <c r="C457" s="8">
        <v>44562</v>
      </c>
      <c r="D457" s="4" t="s">
        <v>180</v>
      </c>
      <c r="E457" s="14">
        <v>365.73700000000002</v>
      </c>
      <c r="F457" s="7">
        <v>404070</v>
      </c>
      <c r="G457" s="14">
        <v>644.14459999999997</v>
      </c>
      <c r="H457" s="7">
        <v>879350</v>
      </c>
      <c r="I457" s="14">
        <v>1009.8816</v>
      </c>
      <c r="J457" s="7">
        <v>1283420</v>
      </c>
    </row>
    <row r="458" spans="1:10" x14ac:dyDescent="0.2">
      <c r="A458" s="9">
        <v>44593</v>
      </c>
      <c r="B458" s="4" t="s">
        <v>223</v>
      </c>
      <c r="C458" s="8">
        <v>44593</v>
      </c>
      <c r="D458" s="4" t="s">
        <v>180</v>
      </c>
      <c r="E458" s="14">
        <v>678.54240000000004</v>
      </c>
      <c r="F458" s="7">
        <v>740168</v>
      </c>
      <c r="G458" s="14">
        <v>957.26710000000003</v>
      </c>
      <c r="H458" s="7">
        <v>1252273</v>
      </c>
      <c r="I458" s="14">
        <v>1635.8095000000001</v>
      </c>
      <c r="J458" s="7">
        <v>1992441</v>
      </c>
    </row>
    <row r="459" spans="1:10" x14ac:dyDescent="0.2">
      <c r="A459" s="9">
        <v>44594</v>
      </c>
      <c r="B459" s="4" t="s">
        <v>221</v>
      </c>
      <c r="C459" s="8">
        <v>44593</v>
      </c>
      <c r="D459" s="4" t="s">
        <v>180</v>
      </c>
      <c r="E459" s="14">
        <v>338.40609999999998</v>
      </c>
      <c r="F459" s="7">
        <v>362362</v>
      </c>
      <c r="G459" s="14">
        <v>663.42550000000006</v>
      </c>
      <c r="H459" s="7">
        <v>895430</v>
      </c>
      <c r="I459" s="14">
        <v>1001.8316</v>
      </c>
      <c r="J459" s="7">
        <v>1257792</v>
      </c>
    </row>
    <row r="460" spans="1:10" x14ac:dyDescent="0.2">
      <c r="A460" s="9">
        <v>44595</v>
      </c>
      <c r="B460" s="4" t="s">
        <v>224</v>
      </c>
      <c r="C460" s="8">
        <v>44593</v>
      </c>
      <c r="D460" s="4" t="s">
        <v>180</v>
      </c>
      <c r="E460" s="14">
        <v>359.6345</v>
      </c>
      <c r="F460" s="7">
        <v>389168</v>
      </c>
      <c r="G460" s="14">
        <v>613.15589999999997</v>
      </c>
      <c r="H460" s="7">
        <v>833999</v>
      </c>
      <c r="I460" s="14">
        <v>972.79039999999998</v>
      </c>
      <c r="J460" s="7">
        <v>1223167</v>
      </c>
    </row>
    <row r="461" spans="1:10" x14ac:dyDescent="0.2">
      <c r="A461" s="9">
        <v>44596</v>
      </c>
      <c r="B461" s="4" t="s">
        <v>222</v>
      </c>
      <c r="C461" s="8">
        <v>44593</v>
      </c>
      <c r="D461" s="4" t="s">
        <v>180</v>
      </c>
      <c r="E461" s="14">
        <v>371.16140000000001</v>
      </c>
      <c r="F461" s="7">
        <v>401160</v>
      </c>
      <c r="G461" s="14">
        <v>603.84050000000002</v>
      </c>
      <c r="H461" s="7">
        <v>830446</v>
      </c>
      <c r="I461" s="14">
        <v>975.00189999999998</v>
      </c>
      <c r="J461" s="7">
        <v>1231606</v>
      </c>
    </row>
    <row r="462" spans="1:10" x14ac:dyDescent="0.2">
      <c r="A462" s="9">
        <v>44599</v>
      </c>
      <c r="B462" s="4" t="s">
        <v>225</v>
      </c>
      <c r="C462" s="8">
        <v>44593</v>
      </c>
      <c r="D462" s="4" t="s">
        <v>180</v>
      </c>
      <c r="E462" s="14">
        <v>377.00839999999999</v>
      </c>
      <c r="F462" s="7">
        <v>415866</v>
      </c>
      <c r="G462" s="14">
        <v>631.99710000000005</v>
      </c>
      <c r="H462" s="7">
        <v>866317</v>
      </c>
      <c r="I462" s="14">
        <v>1009.0055</v>
      </c>
      <c r="J462" s="7">
        <v>1282183</v>
      </c>
    </row>
    <row r="463" spans="1:10" x14ac:dyDescent="0.2">
      <c r="A463" s="9">
        <v>44600</v>
      </c>
      <c r="B463" s="4" t="s">
        <v>223</v>
      </c>
      <c r="C463" s="8">
        <v>44593</v>
      </c>
      <c r="D463" s="4" t="s">
        <v>180</v>
      </c>
      <c r="E463" s="14">
        <v>447.76100000000002</v>
      </c>
      <c r="F463" s="7">
        <v>496908</v>
      </c>
      <c r="G463" s="14">
        <v>669.85069999999996</v>
      </c>
      <c r="H463" s="7">
        <v>897207</v>
      </c>
      <c r="I463" s="14">
        <v>1117.6116999999999</v>
      </c>
      <c r="J463" s="7">
        <v>1394115</v>
      </c>
    </row>
    <row r="464" spans="1:10" x14ac:dyDescent="0.2">
      <c r="A464" s="9">
        <v>44601</v>
      </c>
      <c r="B464" s="4" t="s">
        <v>221</v>
      </c>
      <c r="C464" s="8">
        <v>44593</v>
      </c>
      <c r="D464" s="4" t="s">
        <v>180</v>
      </c>
      <c r="E464" s="14">
        <v>288.96010000000001</v>
      </c>
      <c r="F464" s="7">
        <v>315820</v>
      </c>
      <c r="G464" s="14">
        <v>568.2364</v>
      </c>
      <c r="H464" s="7">
        <v>769170</v>
      </c>
      <c r="I464" s="14">
        <v>857.19650000000001</v>
      </c>
      <c r="J464" s="7">
        <v>1084990</v>
      </c>
    </row>
    <row r="465" spans="1:10" x14ac:dyDescent="0.2">
      <c r="A465" s="9">
        <v>44602</v>
      </c>
      <c r="B465" s="4" t="s">
        <v>224</v>
      </c>
      <c r="C465" s="8">
        <v>44593</v>
      </c>
      <c r="D465" s="4" t="s">
        <v>180</v>
      </c>
      <c r="E465" s="14">
        <v>355.2423</v>
      </c>
      <c r="F465" s="7">
        <v>383674</v>
      </c>
      <c r="G465" s="14">
        <v>587.55340000000001</v>
      </c>
      <c r="H465" s="7">
        <v>800257</v>
      </c>
      <c r="I465" s="14">
        <v>942.79570000000001</v>
      </c>
      <c r="J465" s="7">
        <v>1183931</v>
      </c>
    </row>
    <row r="466" spans="1:10" x14ac:dyDescent="0.2">
      <c r="A466" s="9">
        <v>44603</v>
      </c>
      <c r="B466" s="4" t="s">
        <v>222</v>
      </c>
      <c r="C466" s="8">
        <v>44593</v>
      </c>
      <c r="D466" s="4" t="s">
        <v>180</v>
      </c>
      <c r="E466" s="14">
        <v>410.99810000000002</v>
      </c>
      <c r="F466" s="7">
        <v>452416</v>
      </c>
      <c r="G466" s="14">
        <v>622.96159999999998</v>
      </c>
      <c r="H466" s="7">
        <v>874269</v>
      </c>
      <c r="I466" s="14">
        <v>1033.9597000000001</v>
      </c>
      <c r="J466" s="7">
        <v>1326685</v>
      </c>
    </row>
    <row r="467" spans="1:10" x14ac:dyDescent="0.2">
      <c r="A467" s="9">
        <v>44606</v>
      </c>
      <c r="B467" s="4" t="s">
        <v>225</v>
      </c>
      <c r="C467" s="8">
        <v>44593</v>
      </c>
      <c r="D467" s="4" t="s">
        <v>180</v>
      </c>
      <c r="E467" s="14">
        <v>467.267</v>
      </c>
      <c r="F467" s="7">
        <v>526064</v>
      </c>
      <c r="G467" s="14">
        <v>702.16210000000001</v>
      </c>
      <c r="H467" s="7">
        <v>1010412</v>
      </c>
      <c r="I467" s="14">
        <v>1169.4291000000001</v>
      </c>
      <c r="J467" s="7">
        <v>1536476</v>
      </c>
    </row>
    <row r="468" spans="1:10" x14ac:dyDescent="0.2">
      <c r="A468" s="9">
        <v>44607</v>
      </c>
      <c r="B468" s="4" t="s">
        <v>223</v>
      </c>
      <c r="C468" s="8">
        <v>44593</v>
      </c>
      <c r="D468" s="4" t="s">
        <v>180</v>
      </c>
      <c r="E468" s="14">
        <v>558.33529999999996</v>
      </c>
      <c r="F468" s="7">
        <v>626699</v>
      </c>
      <c r="G468" s="14">
        <v>803.62519999999995</v>
      </c>
      <c r="H468" s="7">
        <v>1140705</v>
      </c>
      <c r="I468" s="14">
        <v>1361.9604999999999</v>
      </c>
      <c r="J468" s="7">
        <v>1767404</v>
      </c>
    </row>
    <row r="469" spans="1:10" x14ac:dyDescent="0.2">
      <c r="A469" s="9">
        <v>44608</v>
      </c>
      <c r="B469" s="4" t="s">
        <v>221</v>
      </c>
      <c r="C469" s="8">
        <v>44593</v>
      </c>
      <c r="D469" s="4" t="s">
        <v>180</v>
      </c>
      <c r="E469" s="14">
        <v>503.2928</v>
      </c>
      <c r="F469" s="7">
        <v>555276</v>
      </c>
      <c r="G469" s="14">
        <v>655.76149999999996</v>
      </c>
      <c r="H469" s="7">
        <v>918645</v>
      </c>
      <c r="I469" s="14">
        <v>1159.0543</v>
      </c>
      <c r="J469" s="7">
        <v>1473921</v>
      </c>
    </row>
    <row r="470" spans="1:10" x14ac:dyDescent="0.2">
      <c r="A470" s="9">
        <v>44609</v>
      </c>
      <c r="B470" s="4" t="s">
        <v>224</v>
      </c>
      <c r="C470" s="8">
        <v>44593</v>
      </c>
      <c r="D470" s="4" t="s">
        <v>180</v>
      </c>
      <c r="E470" s="14">
        <v>455.8485</v>
      </c>
      <c r="F470" s="7">
        <v>505728</v>
      </c>
      <c r="G470" s="14">
        <v>639.63289999999995</v>
      </c>
      <c r="H470" s="7">
        <v>892153</v>
      </c>
      <c r="I470" s="14">
        <v>1095.4813999999999</v>
      </c>
      <c r="J470" s="7">
        <v>1397881</v>
      </c>
    </row>
    <row r="471" spans="1:10" x14ac:dyDescent="0.2">
      <c r="A471" s="9">
        <v>44610</v>
      </c>
      <c r="B471" s="4" t="s">
        <v>222</v>
      </c>
      <c r="C471" s="8">
        <v>44593</v>
      </c>
      <c r="D471" s="4" t="s">
        <v>180</v>
      </c>
      <c r="E471" s="14">
        <v>360.49509999999998</v>
      </c>
      <c r="F471" s="7">
        <v>401332</v>
      </c>
      <c r="G471" s="14">
        <v>750.20339999999999</v>
      </c>
      <c r="H471" s="7">
        <v>1070012</v>
      </c>
      <c r="I471" s="14">
        <v>1110.6985</v>
      </c>
      <c r="J471" s="7">
        <v>1471344</v>
      </c>
    </row>
    <row r="472" spans="1:10" x14ac:dyDescent="0.2">
      <c r="A472" s="9">
        <v>44613</v>
      </c>
      <c r="B472" s="4" t="s">
        <v>225</v>
      </c>
      <c r="C472" s="8">
        <v>44593</v>
      </c>
      <c r="D472" s="4" t="s">
        <v>180</v>
      </c>
      <c r="E472" s="14">
        <v>487.7749</v>
      </c>
      <c r="F472" s="7">
        <v>543647</v>
      </c>
      <c r="G472" s="14">
        <v>1267.539</v>
      </c>
      <c r="H472" s="7">
        <v>1863974</v>
      </c>
      <c r="I472" s="14">
        <v>1755.3139000000001</v>
      </c>
      <c r="J472" s="7">
        <v>2407621</v>
      </c>
    </row>
    <row r="473" spans="1:10" x14ac:dyDescent="0.2">
      <c r="A473" s="9">
        <v>44614</v>
      </c>
      <c r="B473" s="4" t="s">
        <v>223</v>
      </c>
      <c r="C473" s="8">
        <v>44593</v>
      </c>
      <c r="D473" s="4" t="s">
        <v>180</v>
      </c>
      <c r="E473" s="14">
        <v>595.38</v>
      </c>
      <c r="F473" s="7">
        <v>676232</v>
      </c>
      <c r="G473" s="14">
        <v>1675.2157</v>
      </c>
      <c r="H473" s="7">
        <v>2492605</v>
      </c>
      <c r="I473" s="14">
        <v>2270.5956999999999</v>
      </c>
      <c r="J473" s="7">
        <v>3168837</v>
      </c>
    </row>
    <row r="474" spans="1:10" x14ac:dyDescent="0.2">
      <c r="A474" s="9">
        <v>44615</v>
      </c>
      <c r="B474" s="4" t="s">
        <v>221</v>
      </c>
      <c r="C474" s="8">
        <v>44593</v>
      </c>
      <c r="D474" s="4" t="s">
        <v>180</v>
      </c>
      <c r="E474" s="14">
        <v>448.37540000000001</v>
      </c>
      <c r="F474" s="7">
        <v>503733</v>
      </c>
      <c r="G474" s="14">
        <v>1331.2371000000001</v>
      </c>
      <c r="H474" s="7">
        <v>1943793</v>
      </c>
      <c r="I474" s="14">
        <v>1779.6125</v>
      </c>
      <c r="J474" s="7">
        <v>2447526</v>
      </c>
    </row>
    <row r="475" spans="1:10" x14ac:dyDescent="0.2">
      <c r="A475" s="9">
        <v>44616</v>
      </c>
      <c r="B475" s="4" t="s">
        <v>224</v>
      </c>
      <c r="C475" s="8">
        <v>44593</v>
      </c>
      <c r="D475" s="4" t="s">
        <v>180</v>
      </c>
      <c r="E475" s="14">
        <v>968.84140000000002</v>
      </c>
      <c r="F475" s="7">
        <v>1137861</v>
      </c>
      <c r="G475" s="14">
        <v>1850.3364999999999</v>
      </c>
      <c r="H475" s="7">
        <v>2795174</v>
      </c>
      <c r="I475" s="14">
        <v>2819.1779000000001</v>
      </c>
      <c r="J475" s="7">
        <v>3933035</v>
      </c>
    </row>
    <row r="476" spans="1:10" x14ac:dyDescent="0.2">
      <c r="A476" s="9">
        <v>44617</v>
      </c>
      <c r="B476" s="4" t="s">
        <v>222</v>
      </c>
      <c r="C476" s="8">
        <v>44593</v>
      </c>
      <c r="D476" s="4" t="s">
        <v>180</v>
      </c>
      <c r="E476" s="14">
        <v>583.1626</v>
      </c>
      <c r="F476" s="7">
        <v>676109</v>
      </c>
      <c r="G476" s="14">
        <v>651.90459999999996</v>
      </c>
      <c r="H476" s="7">
        <v>957857</v>
      </c>
      <c r="I476" s="14">
        <v>1235.0672</v>
      </c>
      <c r="J476" s="7">
        <v>1633966</v>
      </c>
    </row>
    <row r="477" spans="1:10" x14ac:dyDescent="0.2">
      <c r="A477" s="9">
        <v>44620</v>
      </c>
      <c r="B477" s="4" t="s">
        <v>225</v>
      </c>
      <c r="C477" s="8">
        <v>44593</v>
      </c>
      <c r="D477" s="4" t="s">
        <v>180</v>
      </c>
      <c r="E477" s="14">
        <v>476.12790000000001</v>
      </c>
      <c r="F477" s="7">
        <v>554944</v>
      </c>
      <c r="G477" s="14">
        <v>602.92999999999995</v>
      </c>
      <c r="H477" s="7">
        <v>890211</v>
      </c>
      <c r="I477" s="14">
        <v>1079.0579</v>
      </c>
      <c r="J477" s="7">
        <v>1445155</v>
      </c>
    </row>
    <row r="478" spans="1:10" x14ac:dyDescent="0.2">
      <c r="A478" s="9">
        <v>44622</v>
      </c>
      <c r="B478" s="4" t="s">
        <v>221</v>
      </c>
      <c r="C478" s="8">
        <v>44621</v>
      </c>
      <c r="D478" s="4" t="s">
        <v>180</v>
      </c>
      <c r="E478" s="14">
        <v>514.38559999999995</v>
      </c>
      <c r="F478" s="7">
        <v>601130</v>
      </c>
      <c r="G478" s="14">
        <v>691.75</v>
      </c>
      <c r="H478" s="7">
        <v>993018</v>
      </c>
      <c r="I478" s="14">
        <v>1206.1356000000001</v>
      </c>
      <c r="J478" s="7">
        <v>1594148</v>
      </c>
    </row>
    <row r="479" spans="1:10" x14ac:dyDescent="0.2">
      <c r="A479" s="9">
        <v>44623</v>
      </c>
      <c r="B479" s="4" t="s">
        <v>224</v>
      </c>
      <c r="C479" s="8">
        <v>44621</v>
      </c>
      <c r="D479" s="4" t="s">
        <v>180</v>
      </c>
      <c r="E479" s="14">
        <v>422.03829999999999</v>
      </c>
      <c r="F479" s="7">
        <v>493697</v>
      </c>
      <c r="G479" s="14">
        <v>624.21010000000001</v>
      </c>
      <c r="H479" s="7">
        <v>888411</v>
      </c>
      <c r="I479" s="14">
        <v>1046.2483999999999</v>
      </c>
      <c r="J479" s="7">
        <v>1382108</v>
      </c>
    </row>
    <row r="480" spans="1:10" x14ac:dyDescent="0.2">
      <c r="A480" s="9">
        <v>44624</v>
      </c>
      <c r="B480" s="4" t="s">
        <v>222</v>
      </c>
      <c r="C480" s="8">
        <v>44621</v>
      </c>
      <c r="D480" s="4" t="s">
        <v>180</v>
      </c>
      <c r="E480" s="14">
        <v>574.59540000000004</v>
      </c>
      <c r="F480" s="7">
        <v>686377</v>
      </c>
      <c r="G480" s="14">
        <v>706.13570000000004</v>
      </c>
      <c r="H480" s="7">
        <v>1040516</v>
      </c>
      <c r="I480" s="14">
        <v>1280.7311</v>
      </c>
      <c r="J480" s="7">
        <v>1726893</v>
      </c>
    </row>
    <row r="481" spans="1:10" x14ac:dyDescent="0.2">
      <c r="A481" s="9">
        <v>44627</v>
      </c>
      <c r="B481" s="4" t="s">
        <v>225</v>
      </c>
      <c r="C481" s="8">
        <v>44621</v>
      </c>
      <c r="D481" s="4" t="s">
        <v>180</v>
      </c>
      <c r="E481" s="14">
        <v>647.16650000000004</v>
      </c>
      <c r="F481" s="7">
        <v>802185</v>
      </c>
      <c r="G481" s="14">
        <v>700.84469999999999</v>
      </c>
      <c r="H481" s="7">
        <v>1047456</v>
      </c>
      <c r="I481" s="14">
        <v>1348.0111999999999</v>
      </c>
      <c r="J481" s="7">
        <v>1849641</v>
      </c>
    </row>
    <row r="482" spans="1:10" x14ac:dyDescent="0.2">
      <c r="A482" s="9">
        <v>44628</v>
      </c>
      <c r="B482" s="4" t="s">
        <v>223</v>
      </c>
      <c r="C482" s="8">
        <v>44621</v>
      </c>
      <c r="D482" s="4" t="s">
        <v>180</v>
      </c>
      <c r="E482" s="14">
        <v>623.12990000000002</v>
      </c>
      <c r="F482" s="7">
        <v>774196</v>
      </c>
      <c r="G482" s="14">
        <v>715.16179999999997</v>
      </c>
      <c r="H482" s="7">
        <v>1066545</v>
      </c>
      <c r="I482" s="14">
        <v>1338.2917</v>
      </c>
      <c r="J482" s="7">
        <v>1840741</v>
      </c>
    </row>
    <row r="483" spans="1:10" x14ac:dyDescent="0.2">
      <c r="A483" s="9">
        <v>44629</v>
      </c>
      <c r="B483" s="4" t="s">
        <v>221</v>
      </c>
      <c r="C483" s="8">
        <v>44621</v>
      </c>
      <c r="D483" s="4" t="s">
        <v>180</v>
      </c>
      <c r="E483" s="14">
        <v>529.61580000000004</v>
      </c>
      <c r="F483" s="7">
        <v>642762</v>
      </c>
      <c r="G483" s="14">
        <v>657.60119999999995</v>
      </c>
      <c r="H483" s="7">
        <v>989976</v>
      </c>
      <c r="I483" s="14">
        <v>1187.2170000000001</v>
      </c>
      <c r="J483" s="7">
        <v>1632738</v>
      </c>
    </row>
    <row r="484" spans="1:10" x14ac:dyDescent="0.2">
      <c r="A484" s="9">
        <v>44630</v>
      </c>
      <c r="B484" s="4" t="s">
        <v>224</v>
      </c>
      <c r="C484" s="8">
        <v>44621</v>
      </c>
      <c r="D484" s="4" t="s">
        <v>180</v>
      </c>
      <c r="E484" s="14">
        <v>656.37789999999995</v>
      </c>
      <c r="F484" s="7">
        <v>768223</v>
      </c>
      <c r="G484" s="14">
        <v>761.64729999999997</v>
      </c>
      <c r="H484" s="7">
        <v>1101058</v>
      </c>
      <c r="I484" s="14">
        <v>1418.0252</v>
      </c>
      <c r="J484" s="7">
        <v>1869281</v>
      </c>
    </row>
    <row r="485" spans="1:10" x14ac:dyDescent="0.2">
      <c r="A485" s="9">
        <v>44631</v>
      </c>
      <c r="B485" s="4" t="s">
        <v>222</v>
      </c>
      <c r="C485" s="8">
        <v>44621</v>
      </c>
      <c r="D485" s="4" t="s">
        <v>180</v>
      </c>
      <c r="E485" s="14">
        <v>427.72829999999999</v>
      </c>
      <c r="F485" s="7">
        <v>503474</v>
      </c>
      <c r="G485" s="14">
        <v>524.91089999999997</v>
      </c>
      <c r="H485" s="7">
        <v>759167</v>
      </c>
      <c r="I485" s="14">
        <v>952.63919999999996</v>
      </c>
      <c r="J485" s="7">
        <v>1262641</v>
      </c>
    </row>
    <row r="486" spans="1:10" x14ac:dyDescent="0.2">
      <c r="A486" s="9">
        <v>44634</v>
      </c>
      <c r="B486" s="4" t="s">
        <v>225</v>
      </c>
      <c r="C486" s="8">
        <v>44621</v>
      </c>
      <c r="D486" s="4" t="s">
        <v>180</v>
      </c>
      <c r="E486" s="14">
        <v>393.73430000000002</v>
      </c>
      <c r="F486" s="7">
        <v>458662</v>
      </c>
      <c r="G486" s="14">
        <v>573.51559999999995</v>
      </c>
      <c r="H486" s="7">
        <v>858595</v>
      </c>
      <c r="I486" s="14">
        <v>967.24990000000003</v>
      </c>
      <c r="J486" s="7">
        <v>1317257</v>
      </c>
    </row>
    <row r="487" spans="1:10" x14ac:dyDescent="0.2">
      <c r="A487" s="9">
        <v>44635</v>
      </c>
      <c r="B487" s="4" t="s">
        <v>223</v>
      </c>
      <c r="C487" s="8">
        <v>44621</v>
      </c>
      <c r="D487" s="4" t="s">
        <v>180</v>
      </c>
      <c r="E487" s="14">
        <v>510.71420000000001</v>
      </c>
      <c r="F487" s="7">
        <v>593992</v>
      </c>
      <c r="G487" s="14">
        <v>646.95929999999998</v>
      </c>
      <c r="H487" s="7">
        <v>954735</v>
      </c>
      <c r="I487" s="14">
        <v>1157.6735000000001</v>
      </c>
      <c r="J487" s="7">
        <v>1548727</v>
      </c>
    </row>
    <row r="488" spans="1:10" x14ac:dyDescent="0.2">
      <c r="A488" s="9">
        <v>44636</v>
      </c>
      <c r="B488" s="4" t="s">
        <v>221</v>
      </c>
      <c r="C488" s="8">
        <v>44621</v>
      </c>
      <c r="D488" s="4" t="s">
        <v>180</v>
      </c>
      <c r="E488" s="14">
        <v>400.29349999999999</v>
      </c>
      <c r="F488" s="7">
        <v>461730</v>
      </c>
      <c r="G488" s="14">
        <v>523.33920000000001</v>
      </c>
      <c r="H488" s="7">
        <v>771640</v>
      </c>
      <c r="I488" s="14">
        <v>923.6327</v>
      </c>
      <c r="J488" s="7">
        <v>1233370</v>
      </c>
    </row>
    <row r="489" spans="1:10" x14ac:dyDescent="0.2">
      <c r="A489" s="9">
        <v>44637</v>
      </c>
      <c r="B489" s="4" t="s">
        <v>224</v>
      </c>
      <c r="C489" s="8">
        <v>44621</v>
      </c>
      <c r="D489" s="4" t="s">
        <v>180</v>
      </c>
      <c r="E489" s="14">
        <v>493.02370000000002</v>
      </c>
      <c r="F489" s="7">
        <v>556816</v>
      </c>
      <c r="G489" s="14">
        <v>721.92110000000002</v>
      </c>
      <c r="H489" s="7">
        <v>1042002</v>
      </c>
      <c r="I489" s="14">
        <v>1214.9448</v>
      </c>
      <c r="J489" s="7">
        <v>1598818</v>
      </c>
    </row>
    <row r="490" spans="1:10" x14ac:dyDescent="0.2">
      <c r="A490" s="9">
        <v>44641</v>
      </c>
      <c r="B490" s="4" t="s">
        <v>225</v>
      </c>
      <c r="C490" s="8">
        <v>44621</v>
      </c>
      <c r="D490" s="4" t="s">
        <v>180</v>
      </c>
      <c r="E490" s="14">
        <v>360.00510000000003</v>
      </c>
      <c r="F490" s="7">
        <v>408503</v>
      </c>
      <c r="G490" s="14">
        <v>608.40830000000005</v>
      </c>
      <c r="H490" s="7">
        <v>866905</v>
      </c>
      <c r="I490" s="14">
        <v>968.41340000000002</v>
      </c>
      <c r="J490" s="7">
        <v>1275408</v>
      </c>
    </row>
    <row r="491" spans="1:10" x14ac:dyDescent="0.2">
      <c r="A491" s="9">
        <v>44642</v>
      </c>
      <c r="B491" s="4" t="s">
        <v>223</v>
      </c>
      <c r="C491" s="8">
        <v>44621</v>
      </c>
      <c r="D491" s="4" t="s">
        <v>180</v>
      </c>
      <c r="E491" s="14">
        <v>485.50760000000002</v>
      </c>
      <c r="F491" s="7">
        <v>551356</v>
      </c>
      <c r="G491" s="14">
        <v>731.68259999999998</v>
      </c>
      <c r="H491" s="7">
        <v>1049023</v>
      </c>
      <c r="I491" s="14">
        <v>1217.1902</v>
      </c>
      <c r="J491" s="7">
        <v>1600379</v>
      </c>
    </row>
    <row r="492" spans="1:10" x14ac:dyDescent="0.2">
      <c r="A492" s="9">
        <v>44643</v>
      </c>
      <c r="B492" s="4" t="s">
        <v>221</v>
      </c>
      <c r="C492" s="8">
        <v>44621</v>
      </c>
      <c r="D492" s="4" t="s">
        <v>180</v>
      </c>
      <c r="E492" s="14">
        <v>441.79199999999997</v>
      </c>
      <c r="F492" s="7">
        <v>497344</v>
      </c>
      <c r="G492" s="14">
        <v>763.69359999999995</v>
      </c>
      <c r="H492" s="7">
        <v>1070840</v>
      </c>
      <c r="I492" s="14">
        <v>1205.4856</v>
      </c>
      <c r="J492" s="7">
        <v>1568184</v>
      </c>
    </row>
    <row r="493" spans="1:10" x14ac:dyDescent="0.2">
      <c r="A493" s="9">
        <v>44644</v>
      </c>
      <c r="B493" s="4" t="s">
        <v>224</v>
      </c>
      <c r="C493" s="8">
        <v>44621</v>
      </c>
      <c r="D493" s="4" t="s">
        <v>180</v>
      </c>
      <c r="E493" s="14">
        <v>424.11430000000001</v>
      </c>
      <c r="F493" s="7">
        <v>482351</v>
      </c>
      <c r="G493" s="14">
        <v>744.98050000000001</v>
      </c>
      <c r="H493" s="7">
        <v>1019511</v>
      </c>
      <c r="I493" s="14">
        <v>1169.0948000000001</v>
      </c>
      <c r="J493" s="7">
        <v>1501862</v>
      </c>
    </row>
    <row r="494" spans="1:10" x14ac:dyDescent="0.2">
      <c r="A494" s="9">
        <v>44645</v>
      </c>
      <c r="B494" s="4" t="s">
        <v>222</v>
      </c>
      <c r="C494" s="8">
        <v>44621</v>
      </c>
      <c r="D494" s="4" t="s">
        <v>180</v>
      </c>
      <c r="E494" s="14">
        <v>343.79629999999997</v>
      </c>
      <c r="F494" s="7">
        <v>393422</v>
      </c>
      <c r="G494" s="14">
        <v>822.66499999999996</v>
      </c>
      <c r="H494" s="7">
        <v>1157218</v>
      </c>
      <c r="I494" s="14">
        <v>1166.4612999999999</v>
      </c>
      <c r="J494" s="7">
        <v>1550640</v>
      </c>
    </row>
    <row r="495" spans="1:10" x14ac:dyDescent="0.2">
      <c r="A495" s="9">
        <v>44648</v>
      </c>
      <c r="B495" s="4" t="s">
        <v>225</v>
      </c>
      <c r="C495" s="8">
        <v>44621</v>
      </c>
      <c r="D495" s="4" t="s">
        <v>180</v>
      </c>
      <c r="E495" s="14">
        <v>462.54759999999999</v>
      </c>
      <c r="F495" s="7">
        <v>530230</v>
      </c>
      <c r="G495" s="14">
        <v>1382.9087</v>
      </c>
      <c r="H495" s="7">
        <v>1954205</v>
      </c>
      <c r="I495" s="14">
        <v>1845.4563000000001</v>
      </c>
      <c r="J495" s="7">
        <v>2484435</v>
      </c>
    </row>
    <row r="496" spans="1:10" x14ac:dyDescent="0.2">
      <c r="A496" s="9">
        <v>44649</v>
      </c>
      <c r="B496" s="4" t="s">
        <v>223</v>
      </c>
      <c r="C496" s="8">
        <v>44621</v>
      </c>
      <c r="D496" s="4" t="s">
        <v>180</v>
      </c>
      <c r="E496" s="14">
        <v>425.34449999999998</v>
      </c>
      <c r="F496" s="7">
        <v>482965</v>
      </c>
      <c r="G496" s="14">
        <v>1491.1901</v>
      </c>
      <c r="H496" s="7">
        <v>2142746</v>
      </c>
      <c r="I496" s="14">
        <v>1916.5346</v>
      </c>
      <c r="J496" s="7">
        <v>2625711</v>
      </c>
    </row>
    <row r="497" spans="1:10" x14ac:dyDescent="0.2">
      <c r="A497" s="9">
        <v>44650</v>
      </c>
      <c r="B497" s="4" t="s">
        <v>221</v>
      </c>
      <c r="C497" s="8">
        <v>44621</v>
      </c>
      <c r="D497" s="4" t="s">
        <v>180</v>
      </c>
      <c r="E497" s="14">
        <v>520.10789999999997</v>
      </c>
      <c r="F497" s="7">
        <v>585426</v>
      </c>
      <c r="G497" s="14">
        <v>1615.0744999999999</v>
      </c>
      <c r="H497" s="7">
        <v>2280904</v>
      </c>
      <c r="I497" s="14">
        <v>2135.1824000000001</v>
      </c>
      <c r="J497" s="7">
        <v>2866330</v>
      </c>
    </row>
    <row r="498" spans="1:10" x14ac:dyDescent="0.2">
      <c r="A498" s="9">
        <v>44651</v>
      </c>
      <c r="B498" s="4" t="s">
        <v>224</v>
      </c>
      <c r="C498" s="8">
        <v>44621</v>
      </c>
      <c r="D498" s="4" t="s">
        <v>180</v>
      </c>
      <c r="E498" s="14">
        <v>534.9144</v>
      </c>
      <c r="F498" s="7">
        <v>600379</v>
      </c>
      <c r="G498" s="14">
        <v>1462.7668000000001</v>
      </c>
      <c r="H498" s="7">
        <v>2065639</v>
      </c>
      <c r="I498" s="14">
        <v>1997.6812</v>
      </c>
      <c r="J498" s="7">
        <v>2666018</v>
      </c>
    </row>
    <row r="499" spans="1:10" x14ac:dyDescent="0.2">
      <c r="A499" s="9">
        <v>44652</v>
      </c>
      <c r="B499" s="4" t="s">
        <v>222</v>
      </c>
      <c r="C499" s="8">
        <v>44652</v>
      </c>
      <c r="D499" s="4" t="s">
        <v>181</v>
      </c>
      <c r="E499" s="14">
        <v>455.84949999999998</v>
      </c>
      <c r="F499" s="7">
        <v>504038</v>
      </c>
      <c r="G499" s="14">
        <v>610.17110000000002</v>
      </c>
      <c r="H499" s="7">
        <v>830452</v>
      </c>
      <c r="I499" s="14">
        <v>1066.0206000000001</v>
      </c>
      <c r="J499" s="7">
        <v>1334490</v>
      </c>
    </row>
    <row r="500" spans="1:10" x14ac:dyDescent="0.2">
      <c r="A500" s="9">
        <v>44655</v>
      </c>
      <c r="B500" s="4" t="s">
        <v>225</v>
      </c>
      <c r="C500" s="8">
        <v>44652</v>
      </c>
      <c r="D500" s="4" t="s">
        <v>181</v>
      </c>
      <c r="E500" s="14">
        <v>584.42229999999995</v>
      </c>
      <c r="F500" s="7">
        <v>626207</v>
      </c>
      <c r="G500" s="14">
        <v>877.34090000000003</v>
      </c>
      <c r="H500" s="7">
        <v>1144989</v>
      </c>
      <c r="I500" s="14">
        <v>1461.7632000000001</v>
      </c>
      <c r="J500" s="7">
        <v>1771196</v>
      </c>
    </row>
    <row r="501" spans="1:10" x14ac:dyDescent="0.2">
      <c r="A501" s="9">
        <v>44656</v>
      </c>
      <c r="B501" s="4" t="s">
        <v>223</v>
      </c>
      <c r="C501" s="8">
        <v>44652</v>
      </c>
      <c r="D501" s="4" t="s">
        <v>181</v>
      </c>
      <c r="E501" s="14">
        <v>399.90820000000002</v>
      </c>
      <c r="F501" s="7">
        <v>428793</v>
      </c>
      <c r="G501" s="14">
        <v>757.89970000000005</v>
      </c>
      <c r="H501" s="7">
        <v>972526</v>
      </c>
      <c r="I501" s="14">
        <v>1157.8079</v>
      </c>
      <c r="J501" s="7">
        <v>1401319</v>
      </c>
    </row>
    <row r="502" spans="1:10" x14ac:dyDescent="0.2">
      <c r="A502" s="9">
        <v>44657</v>
      </c>
      <c r="B502" s="4" t="s">
        <v>221</v>
      </c>
      <c r="C502" s="8">
        <v>44652</v>
      </c>
      <c r="D502" s="4" t="s">
        <v>181</v>
      </c>
      <c r="E502" s="14">
        <v>383.15550000000002</v>
      </c>
      <c r="F502" s="7">
        <v>417194</v>
      </c>
      <c r="G502" s="14">
        <v>749.12210000000005</v>
      </c>
      <c r="H502" s="7">
        <v>936144</v>
      </c>
      <c r="I502" s="14">
        <v>1132.2775999999999</v>
      </c>
      <c r="J502" s="7">
        <v>1353338</v>
      </c>
    </row>
    <row r="503" spans="1:10" x14ac:dyDescent="0.2">
      <c r="A503" s="9">
        <v>44658</v>
      </c>
      <c r="B503" s="4" t="s">
        <v>224</v>
      </c>
      <c r="C503" s="8">
        <v>44652</v>
      </c>
      <c r="D503" s="4" t="s">
        <v>181</v>
      </c>
      <c r="E503" s="14">
        <v>426.10829999999999</v>
      </c>
      <c r="F503" s="7">
        <v>465177</v>
      </c>
      <c r="G503" s="14">
        <v>740.73509999999999</v>
      </c>
      <c r="H503" s="7">
        <v>949631</v>
      </c>
      <c r="I503" s="14">
        <v>1166.8434</v>
      </c>
      <c r="J503" s="7">
        <v>1414808</v>
      </c>
    </row>
    <row r="504" spans="1:10" x14ac:dyDescent="0.2">
      <c r="A504" s="9">
        <v>44659</v>
      </c>
      <c r="B504" s="4" t="s">
        <v>222</v>
      </c>
      <c r="C504" s="8">
        <v>44652</v>
      </c>
      <c r="D504" s="4" t="s">
        <v>181</v>
      </c>
      <c r="E504" s="14">
        <v>439.7004</v>
      </c>
      <c r="F504" s="7">
        <v>479567</v>
      </c>
      <c r="G504" s="14">
        <v>669.83270000000005</v>
      </c>
      <c r="H504" s="7">
        <v>904617</v>
      </c>
      <c r="I504" s="14">
        <v>1109.5331000000001</v>
      </c>
      <c r="J504" s="7">
        <v>1384184</v>
      </c>
    </row>
    <row r="505" spans="1:10" x14ac:dyDescent="0.2">
      <c r="A505" s="9">
        <v>44662</v>
      </c>
      <c r="B505" s="4" t="s">
        <v>225</v>
      </c>
      <c r="C505" s="8">
        <v>44652</v>
      </c>
      <c r="D505" s="4" t="s">
        <v>181</v>
      </c>
      <c r="E505" s="14">
        <v>355.88499999999999</v>
      </c>
      <c r="F505" s="7">
        <v>390186</v>
      </c>
      <c r="G505" s="14">
        <v>577.16570000000002</v>
      </c>
      <c r="H505" s="7">
        <v>778651</v>
      </c>
      <c r="I505" s="14">
        <v>933.05070000000001</v>
      </c>
      <c r="J505" s="7">
        <v>1168837</v>
      </c>
    </row>
    <row r="506" spans="1:10" x14ac:dyDescent="0.2">
      <c r="A506" s="9">
        <v>44663</v>
      </c>
      <c r="B506" s="4" t="s">
        <v>223</v>
      </c>
      <c r="C506" s="8">
        <v>44652</v>
      </c>
      <c r="D506" s="4" t="s">
        <v>181</v>
      </c>
      <c r="E506" s="14">
        <v>406.07339999999999</v>
      </c>
      <c r="F506" s="7">
        <v>448113</v>
      </c>
      <c r="G506" s="14">
        <v>665.03520000000003</v>
      </c>
      <c r="H506" s="7">
        <v>899918</v>
      </c>
      <c r="I506" s="14">
        <v>1071.1086</v>
      </c>
      <c r="J506" s="7">
        <v>1348031</v>
      </c>
    </row>
    <row r="507" spans="1:10" x14ac:dyDescent="0.2">
      <c r="A507" s="9">
        <v>44664</v>
      </c>
      <c r="B507" s="4" t="s">
        <v>221</v>
      </c>
      <c r="C507" s="8">
        <v>44652</v>
      </c>
      <c r="D507" s="4" t="s">
        <v>181</v>
      </c>
      <c r="E507" s="14">
        <v>363.61619999999999</v>
      </c>
      <c r="F507" s="7">
        <v>400218</v>
      </c>
      <c r="G507" s="14">
        <v>507.09219999999999</v>
      </c>
      <c r="H507" s="7">
        <v>689171</v>
      </c>
      <c r="I507" s="14">
        <v>870.70839999999998</v>
      </c>
      <c r="J507" s="7">
        <v>1089389</v>
      </c>
    </row>
    <row r="508" spans="1:10" x14ac:dyDescent="0.2">
      <c r="A508" s="9">
        <v>44669</v>
      </c>
      <c r="B508" s="4" t="s">
        <v>225</v>
      </c>
      <c r="C508" s="8">
        <v>44652</v>
      </c>
      <c r="D508" s="4" t="s">
        <v>181</v>
      </c>
      <c r="E508" s="14">
        <v>362.4794</v>
      </c>
      <c r="F508" s="7">
        <v>408459</v>
      </c>
      <c r="G508" s="14">
        <v>675.77179999999998</v>
      </c>
      <c r="H508" s="7">
        <v>933079</v>
      </c>
      <c r="I508" s="14">
        <v>1038.2511999999999</v>
      </c>
      <c r="J508" s="7">
        <v>1341538</v>
      </c>
    </row>
    <row r="509" spans="1:10" x14ac:dyDescent="0.2">
      <c r="A509" s="9">
        <v>44670</v>
      </c>
      <c r="B509" s="4" t="s">
        <v>223</v>
      </c>
      <c r="C509" s="8">
        <v>44652</v>
      </c>
      <c r="D509" s="4" t="s">
        <v>181</v>
      </c>
      <c r="E509" s="14">
        <v>467.6977</v>
      </c>
      <c r="F509" s="7">
        <v>528979</v>
      </c>
      <c r="G509" s="14">
        <v>812.67899999999997</v>
      </c>
      <c r="H509" s="7">
        <v>1137559</v>
      </c>
      <c r="I509" s="14">
        <v>1280.3767</v>
      </c>
      <c r="J509" s="7">
        <v>1666538</v>
      </c>
    </row>
    <row r="510" spans="1:10" x14ac:dyDescent="0.2">
      <c r="A510" s="9">
        <v>44671</v>
      </c>
      <c r="B510" s="4" t="s">
        <v>221</v>
      </c>
      <c r="C510" s="8">
        <v>44652</v>
      </c>
      <c r="D510" s="4" t="s">
        <v>181</v>
      </c>
      <c r="E510" s="14">
        <v>406.94900000000001</v>
      </c>
      <c r="F510" s="7">
        <v>462430</v>
      </c>
      <c r="G510" s="14">
        <v>683.31510000000003</v>
      </c>
      <c r="H510" s="7">
        <v>971610</v>
      </c>
      <c r="I510" s="14">
        <v>1090.2641000000001</v>
      </c>
      <c r="J510" s="7">
        <v>1434040</v>
      </c>
    </row>
    <row r="511" spans="1:10" x14ac:dyDescent="0.2">
      <c r="A511" s="9">
        <v>44672</v>
      </c>
      <c r="B511" s="4" t="s">
        <v>224</v>
      </c>
      <c r="C511" s="8">
        <v>44652</v>
      </c>
      <c r="D511" s="4" t="s">
        <v>181</v>
      </c>
      <c r="E511" s="14">
        <v>362.34190000000001</v>
      </c>
      <c r="F511" s="7">
        <v>407612</v>
      </c>
      <c r="G511" s="14">
        <v>761.4126</v>
      </c>
      <c r="H511" s="7">
        <v>1063299</v>
      </c>
      <c r="I511" s="14">
        <v>1123.7545</v>
      </c>
      <c r="J511" s="7">
        <v>1470911</v>
      </c>
    </row>
    <row r="512" spans="1:10" x14ac:dyDescent="0.2">
      <c r="A512" s="9">
        <v>44673</v>
      </c>
      <c r="B512" s="4" t="s">
        <v>222</v>
      </c>
      <c r="C512" s="8">
        <v>44652</v>
      </c>
      <c r="D512" s="4" t="s">
        <v>181</v>
      </c>
      <c r="E512" s="14">
        <v>382.5917</v>
      </c>
      <c r="F512" s="7">
        <v>433419</v>
      </c>
      <c r="G512" s="14">
        <v>932.38750000000005</v>
      </c>
      <c r="H512" s="7">
        <v>1281500</v>
      </c>
      <c r="I512" s="14">
        <v>1314.9792</v>
      </c>
      <c r="J512" s="7">
        <v>1714919</v>
      </c>
    </row>
    <row r="513" spans="1:10" x14ac:dyDescent="0.2">
      <c r="A513" s="9">
        <v>44676</v>
      </c>
      <c r="B513" s="4" t="s">
        <v>225</v>
      </c>
      <c r="C513" s="8">
        <v>44652</v>
      </c>
      <c r="D513" s="4" t="s">
        <v>181</v>
      </c>
      <c r="E513" s="14">
        <v>512.50810000000001</v>
      </c>
      <c r="F513" s="7">
        <v>586910</v>
      </c>
      <c r="G513" s="14">
        <v>1529.3157000000001</v>
      </c>
      <c r="H513" s="7">
        <v>2181894</v>
      </c>
      <c r="I513" s="14">
        <v>2041.8237999999999</v>
      </c>
      <c r="J513" s="7">
        <v>2768804</v>
      </c>
    </row>
    <row r="514" spans="1:10" x14ac:dyDescent="0.2">
      <c r="A514" s="9">
        <v>44677</v>
      </c>
      <c r="B514" s="4" t="s">
        <v>223</v>
      </c>
      <c r="C514" s="8">
        <v>44652</v>
      </c>
      <c r="D514" s="4" t="s">
        <v>181</v>
      </c>
      <c r="E514" s="14">
        <v>419.41770000000002</v>
      </c>
      <c r="F514" s="7">
        <v>475981</v>
      </c>
      <c r="G514" s="14">
        <v>1629.9648</v>
      </c>
      <c r="H514" s="7">
        <v>2284831</v>
      </c>
      <c r="I514" s="14">
        <v>2049.3825000000002</v>
      </c>
      <c r="J514" s="7">
        <v>2760812</v>
      </c>
    </row>
    <row r="515" spans="1:10" x14ac:dyDescent="0.2">
      <c r="A515" s="9">
        <v>44678</v>
      </c>
      <c r="B515" s="4" t="s">
        <v>221</v>
      </c>
      <c r="C515" s="8">
        <v>44652</v>
      </c>
      <c r="D515" s="4" t="s">
        <v>181</v>
      </c>
      <c r="E515" s="14">
        <v>491.3066</v>
      </c>
      <c r="F515" s="7">
        <v>564044</v>
      </c>
      <c r="G515" s="14">
        <v>1548.3598999999999</v>
      </c>
      <c r="H515" s="7">
        <v>2193902</v>
      </c>
      <c r="I515" s="14">
        <v>2039.6665</v>
      </c>
      <c r="J515" s="7">
        <v>2757946</v>
      </c>
    </row>
    <row r="516" spans="1:10" x14ac:dyDescent="0.2">
      <c r="A516" s="9">
        <v>44679</v>
      </c>
      <c r="B516" s="4" t="s">
        <v>224</v>
      </c>
      <c r="C516" s="8">
        <v>44652</v>
      </c>
      <c r="D516" s="4" t="s">
        <v>181</v>
      </c>
      <c r="E516" s="14">
        <v>553.32809999999995</v>
      </c>
      <c r="F516" s="7">
        <v>630465</v>
      </c>
      <c r="G516" s="14">
        <v>1545.5703000000001</v>
      </c>
      <c r="H516" s="7">
        <v>2210846</v>
      </c>
      <c r="I516" s="14">
        <v>2098.8984</v>
      </c>
      <c r="J516" s="7">
        <v>2841311</v>
      </c>
    </row>
    <row r="517" spans="1:10" x14ac:dyDescent="0.2">
      <c r="A517" s="9">
        <v>44680</v>
      </c>
      <c r="B517" s="4" t="s">
        <v>222</v>
      </c>
      <c r="C517" s="8">
        <v>44652</v>
      </c>
      <c r="D517" s="4" t="s">
        <v>181</v>
      </c>
      <c r="E517" s="14">
        <v>451.94630000000001</v>
      </c>
      <c r="F517" s="7">
        <v>511849</v>
      </c>
      <c r="G517" s="14">
        <v>659.46199999999999</v>
      </c>
      <c r="H517" s="7">
        <v>963414</v>
      </c>
      <c r="I517" s="14">
        <v>1111.4083000000001</v>
      </c>
      <c r="J517" s="7">
        <v>1475263</v>
      </c>
    </row>
    <row r="518" spans="1:10" x14ac:dyDescent="0.2">
      <c r="A518" s="9">
        <v>44683</v>
      </c>
      <c r="B518" s="4" t="s">
        <v>225</v>
      </c>
      <c r="C518" s="8">
        <v>44682</v>
      </c>
      <c r="D518" s="4" t="s">
        <v>181</v>
      </c>
      <c r="E518" s="14">
        <v>324.9273</v>
      </c>
      <c r="F518" s="7">
        <v>372588</v>
      </c>
      <c r="G518" s="14">
        <v>512.09100000000001</v>
      </c>
      <c r="H518" s="7">
        <v>767176</v>
      </c>
      <c r="I518" s="14">
        <v>837.01829999999995</v>
      </c>
      <c r="J518" s="7">
        <v>1139764</v>
      </c>
    </row>
    <row r="519" spans="1:10" x14ac:dyDescent="0.2">
      <c r="A519" s="9">
        <v>44685</v>
      </c>
      <c r="B519" s="4" t="s">
        <v>221</v>
      </c>
      <c r="C519" s="8">
        <v>44682</v>
      </c>
      <c r="D519" s="4" t="s">
        <v>181</v>
      </c>
      <c r="E519" s="14">
        <v>537.36300000000006</v>
      </c>
      <c r="F519" s="7">
        <v>621041</v>
      </c>
      <c r="G519" s="14">
        <v>621.5548</v>
      </c>
      <c r="H519" s="7">
        <v>935606</v>
      </c>
      <c r="I519" s="14">
        <v>1158.9177999999999</v>
      </c>
      <c r="J519" s="7">
        <v>1556647</v>
      </c>
    </row>
    <row r="520" spans="1:10" x14ac:dyDescent="0.2">
      <c r="A520" s="9">
        <v>44686</v>
      </c>
      <c r="B520" s="4" t="s">
        <v>224</v>
      </c>
      <c r="C520" s="8">
        <v>44682</v>
      </c>
      <c r="D520" s="4" t="s">
        <v>181</v>
      </c>
      <c r="E520" s="14">
        <v>444.49099999999999</v>
      </c>
      <c r="F520" s="7">
        <v>515656</v>
      </c>
      <c r="G520" s="14">
        <v>550.58529999999996</v>
      </c>
      <c r="H520" s="7">
        <v>836235</v>
      </c>
      <c r="I520" s="14">
        <v>995.07629999999995</v>
      </c>
      <c r="J520" s="7">
        <v>1351891</v>
      </c>
    </row>
    <row r="521" spans="1:10" x14ac:dyDescent="0.2">
      <c r="A521" s="9">
        <v>44687</v>
      </c>
      <c r="B521" s="4" t="s">
        <v>222</v>
      </c>
      <c r="C521" s="8">
        <v>44682</v>
      </c>
      <c r="D521" s="4" t="s">
        <v>181</v>
      </c>
      <c r="E521" s="14">
        <v>429.14370000000002</v>
      </c>
      <c r="F521" s="7">
        <v>511130</v>
      </c>
      <c r="G521" s="14">
        <v>627.99699999999996</v>
      </c>
      <c r="H521" s="7">
        <v>985280</v>
      </c>
      <c r="I521" s="14">
        <v>1057.1406999999999</v>
      </c>
      <c r="J521" s="7">
        <v>1496410</v>
      </c>
    </row>
    <row r="522" spans="1:10" x14ac:dyDescent="0.2">
      <c r="A522" s="9">
        <v>44690</v>
      </c>
      <c r="B522" s="4" t="s">
        <v>225</v>
      </c>
      <c r="C522" s="8">
        <v>44682</v>
      </c>
      <c r="D522" s="4" t="s">
        <v>181</v>
      </c>
      <c r="E522" s="14">
        <v>416.892</v>
      </c>
      <c r="F522" s="7">
        <v>500983</v>
      </c>
      <c r="G522" s="14">
        <v>582.10040000000004</v>
      </c>
      <c r="H522" s="7">
        <v>912491</v>
      </c>
      <c r="I522" s="14">
        <v>998.99239999999998</v>
      </c>
      <c r="J522" s="7">
        <v>1413474</v>
      </c>
    </row>
    <row r="523" spans="1:10" x14ac:dyDescent="0.2">
      <c r="A523" s="9">
        <v>44691</v>
      </c>
      <c r="B523" s="4" t="s">
        <v>223</v>
      </c>
      <c r="C523" s="8">
        <v>44682</v>
      </c>
      <c r="D523" s="4" t="s">
        <v>181</v>
      </c>
      <c r="E523" s="14">
        <v>400.40929999999997</v>
      </c>
      <c r="F523" s="7">
        <v>479401</v>
      </c>
      <c r="G523" s="14">
        <v>576.95650000000001</v>
      </c>
      <c r="H523" s="7">
        <v>911688</v>
      </c>
      <c r="I523" s="14">
        <v>977.36580000000004</v>
      </c>
      <c r="J523" s="7">
        <v>1391089</v>
      </c>
    </row>
    <row r="524" spans="1:10" x14ac:dyDescent="0.2">
      <c r="A524" s="9">
        <v>44692</v>
      </c>
      <c r="B524" s="4" t="s">
        <v>221</v>
      </c>
      <c r="C524" s="8">
        <v>44682</v>
      </c>
      <c r="D524" s="4" t="s">
        <v>181</v>
      </c>
      <c r="E524" s="14">
        <v>460.05200000000002</v>
      </c>
      <c r="F524" s="7">
        <v>553552</v>
      </c>
      <c r="G524" s="14">
        <v>638.43150000000003</v>
      </c>
      <c r="H524" s="7">
        <v>1043365</v>
      </c>
      <c r="I524" s="14">
        <v>1098.4835</v>
      </c>
      <c r="J524" s="7">
        <v>1596917</v>
      </c>
    </row>
    <row r="525" spans="1:10" x14ac:dyDescent="0.2">
      <c r="A525" s="9">
        <v>44693</v>
      </c>
      <c r="B525" s="4" t="s">
        <v>224</v>
      </c>
      <c r="C525" s="8">
        <v>44682</v>
      </c>
      <c r="D525" s="4" t="s">
        <v>181</v>
      </c>
      <c r="E525" s="14">
        <v>488.37740000000002</v>
      </c>
      <c r="F525" s="7">
        <v>598834</v>
      </c>
      <c r="G525" s="14">
        <v>598.21310000000005</v>
      </c>
      <c r="H525" s="7">
        <v>987869</v>
      </c>
      <c r="I525" s="14">
        <v>1086.5905</v>
      </c>
      <c r="J525" s="7">
        <v>1586703</v>
      </c>
    </row>
    <row r="526" spans="1:10" x14ac:dyDescent="0.2">
      <c r="A526" s="9">
        <v>44694</v>
      </c>
      <c r="B526" s="4" t="s">
        <v>222</v>
      </c>
      <c r="C526" s="8">
        <v>44682</v>
      </c>
      <c r="D526" s="4" t="s">
        <v>181</v>
      </c>
      <c r="E526" s="14">
        <v>472.0915</v>
      </c>
      <c r="F526" s="7">
        <v>579853</v>
      </c>
      <c r="G526" s="14">
        <v>719.22029999999995</v>
      </c>
      <c r="H526" s="7">
        <v>1166305</v>
      </c>
      <c r="I526" s="14">
        <v>1191.3117999999999</v>
      </c>
      <c r="J526" s="7">
        <v>1746158</v>
      </c>
    </row>
    <row r="527" spans="1:10" x14ac:dyDescent="0.2">
      <c r="A527" s="9">
        <v>44697</v>
      </c>
      <c r="B527" s="4" t="s">
        <v>225</v>
      </c>
      <c r="C527" s="8">
        <v>44682</v>
      </c>
      <c r="D527" s="4" t="s">
        <v>181</v>
      </c>
      <c r="E527" s="14">
        <v>383.39120000000003</v>
      </c>
      <c r="F527" s="7">
        <v>469835</v>
      </c>
      <c r="G527" s="14">
        <v>535.08150000000001</v>
      </c>
      <c r="H527" s="7">
        <v>887849</v>
      </c>
      <c r="I527" s="14">
        <v>918.47270000000003</v>
      </c>
      <c r="J527" s="7">
        <v>1357684</v>
      </c>
    </row>
    <row r="528" spans="1:10" x14ac:dyDescent="0.2">
      <c r="A528" s="9">
        <v>44698</v>
      </c>
      <c r="B528" s="4" t="s">
        <v>223</v>
      </c>
      <c r="C528" s="8">
        <v>44682</v>
      </c>
      <c r="D528" s="4" t="s">
        <v>181</v>
      </c>
      <c r="E528" s="14">
        <v>397.30759999999998</v>
      </c>
      <c r="F528" s="7">
        <v>481910</v>
      </c>
      <c r="G528" s="14">
        <v>594.81590000000006</v>
      </c>
      <c r="H528" s="7">
        <v>976791</v>
      </c>
      <c r="I528" s="14">
        <v>992.12350000000004</v>
      </c>
      <c r="J528" s="7">
        <v>1458701</v>
      </c>
    </row>
    <row r="529" spans="1:10" x14ac:dyDescent="0.2">
      <c r="A529" s="9">
        <v>44699</v>
      </c>
      <c r="B529" s="4" t="s">
        <v>221</v>
      </c>
      <c r="C529" s="8">
        <v>44682</v>
      </c>
      <c r="D529" s="4" t="s">
        <v>181</v>
      </c>
      <c r="E529" s="14">
        <v>385.3732</v>
      </c>
      <c r="F529" s="7">
        <v>463841</v>
      </c>
      <c r="G529" s="14">
        <v>633.90729999999996</v>
      </c>
      <c r="H529" s="7">
        <v>1023616</v>
      </c>
      <c r="I529" s="14">
        <v>1019.2805</v>
      </c>
      <c r="J529" s="7">
        <v>1487457</v>
      </c>
    </row>
    <row r="530" spans="1:10" x14ac:dyDescent="0.2">
      <c r="A530" s="9">
        <v>44700</v>
      </c>
      <c r="B530" s="4" t="s">
        <v>224</v>
      </c>
      <c r="C530" s="8">
        <v>44682</v>
      </c>
      <c r="D530" s="4" t="s">
        <v>181</v>
      </c>
      <c r="E530" s="14">
        <v>391.7337</v>
      </c>
      <c r="F530" s="7">
        <v>485014</v>
      </c>
      <c r="G530" s="14">
        <v>690.58730000000003</v>
      </c>
      <c r="H530" s="7">
        <v>1137875</v>
      </c>
      <c r="I530" s="14">
        <v>1082.3209999999999</v>
      </c>
      <c r="J530" s="7">
        <v>1622889</v>
      </c>
    </row>
    <row r="531" spans="1:10" x14ac:dyDescent="0.2">
      <c r="A531" s="9">
        <v>44701</v>
      </c>
      <c r="B531" s="4" t="s">
        <v>222</v>
      </c>
      <c r="C531" s="8">
        <v>44682</v>
      </c>
      <c r="D531" s="4" t="s">
        <v>181</v>
      </c>
      <c r="E531" s="14">
        <v>444.7183</v>
      </c>
      <c r="F531" s="7">
        <v>539392</v>
      </c>
      <c r="G531" s="14">
        <v>812.73860000000002</v>
      </c>
      <c r="H531" s="7">
        <v>1328508</v>
      </c>
      <c r="I531" s="14">
        <v>1257.4568999999999</v>
      </c>
      <c r="J531" s="7">
        <v>1867900</v>
      </c>
    </row>
    <row r="532" spans="1:10" x14ac:dyDescent="0.2">
      <c r="A532" s="9">
        <v>44704</v>
      </c>
      <c r="B532" s="4" t="s">
        <v>225</v>
      </c>
      <c r="C532" s="8">
        <v>44682</v>
      </c>
      <c r="D532" s="4" t="s">
        <v>181</v>
      </c>
      <c r="E532" s="14">
        <v>455.44049999999999</v>
      </c>
      <c r="F532" s="7">
        <v>546397</v>
      </c>
      <c r="G532" s="14">
        <v>1399.8601000000001</v>
      </c>
      <c r="H532" s="7">
        <v>2287767</v>
      </c>
      <c r="I532" s="14">
        <v>1855.3006</v>
      </c>
      <c r="J532" s="7">
        <v>2834164</v>
      </c>
    </row>
    <row r="533" spans="1:10" x14ac:dyDescent="0.2">
      <c r="A533" s="9">
        <v>44705</v>
      </c>
      <c r="B533" s="4" t="s">
        <v>223</v>
      </c>
      <c r="C533" s="8">
        <v>44682</v>
      </c>
      <c r="D533" s="4" t="s">
        <v>181</v>
      </c>
      <c r="E533" s="14">
        <v>439.23320000000001</v>
      </c>
      <c r="F533" s="7">
        <v>531413</v>
      </c>
      <c r="G533" s="14">
        <v>1586.4540999999999</v>
      </c>
      <c r="H533" s="7">
        <v>2613070</v>
      </c>
      <c r="I533" s="14">
        <v>2025.6873000000001</v>
      </c>
      <c r="J533" s="7">
        <v>3144483</v>
      </c>
    </row>
    <row r="534" spans="1:10" x14ac:dyDescent="0.2">
      <c r="A534" s="9">
        <v>44706</v>
      </c>
      <c r="B534" s="4" t="s">
        <v>221</v>
      </c>
      <c r="C534" s="8">
        <v>44682</v>
      </c>
      <c r="D534" s="4" t="s">
        <v>181</v>
      </c>
      <c r="E534" s="14">
        <v>482.82190000000003</v>
      </c>
      <c r="F534" s="7">
        <v>584267</v>
      </c>
      <c r="G534" s="14">
        <v>1474.0703000000001</v>
      </c>
      <c r="H534" s="7">
        <v>2464996</v>
      </c>
      <c r="I534" s="14">
        <v>1956.8922</v>
      </c>
      <c r="J534" s="7">
        <v>3049263</v>
      </c>
    </row>
    <row r="535" spans="1:10" x14ac:dyDescent="0.2">
      <c r="A535" s="9">
        <v>44707</v>
      </c>
      <c r="B535" s="4" t="s">
        <v>224</v>
      </c>
      <c r="C535" s="8">
        <v>44682</v>
      </c>
      <c r="D535" s="4" t="s">
        <v>181</v>
      </c>
      <c r="E535" s="14">
        <v>689.57740000000001</v>
      </c>
      <c r="F535" s="7">
        <v>833804</v>
      </c>
      <c r="G535" s="14">
        <v>1542.5510999999999</v>
      </c>
      <c r="H535" s="7">
        <v>2616714</v>
      </c>
      <c r="I535" s="14">
        <v>2232.1284999999998</v>
      </c>
      <c r="J535" s="7">
        <v>3450518</v>
      </c>
    </row>
    <row r="536" spans="1:10" x14ac:dyDescent="0.2">
      <c r="A536" s="9">
        <v>44708</v>
      </c>
      <c r="B536" s="4" t="s">
        <v>222</v>
      </c>
      <c r="C536" s="8">
        <v>44682</v>
      </c>
      <c r="D536" s="4" t="s">
        <v>181</v>
      </c>
      <c r="E536" s="14">
        <v>337.2602</v>
      </c>
      <c r="F536" s="7">
        <v>399404</v>
      </c>
      <c r="G536" s="14">
        <v>505.19830000000002</v>
      </c>
      <c r="H536" s="7">
        <v>853324</v>
      </c>
      <c r="I536" s="14">
        <v>842.45849999999996</v>
      </c>
      <c r="J536" s="7">
        <v>1252728</v>
      </c>
    </row>
    <row r="537" spans="1:10" x14ac:dyDescent="0.2">
      <c r="A537" s="9">
        <v>44711</v>
      </c>
      <c r="B537" s="4" t="s">
        <v>225</v>
      </c>
      <c r="C537" s="8">
        <v>44682</v>
      </c>
      <c r="D537" s="4" t="s">
        <v>181</v>
      </c>
      <c r="E537" s="14">
        <v>304.03300000000002</v>
      </c>
      <c r="F537" s="7">
        <v>355180</v>
      </c>
      <c r="G537" s="14">
        <v>550.85879999999997</v>
      </c>
      <c r="H537" s="7">
        <v>913756</v>
      </c>
      <c r="I537" s="14">
        <v>854.89179999999999</v>
      </c>
      <c r="J537" s="7">
        <v>1268936</v>
      </c>
    </row>
    <row r="538" spans="1:10" x14ac:dyDescent="0.2">
      <c r="A538" s="9">
        <v>44712</v>
      </c>
      <c r="B538" s="4" t="s">
        <v>223</v>
      </c>
      <c r="C538" s="8">
        <v>44682</v>
      </c>
      <c r="D538" s="4" t="s">
        <v>181</v>
      </c>
      <c r="E538" s="14">
        <v>339.67759999999998</v>
      </c>
      <c r="F538" s="7">
        <v>398208</v>
      </c>
      <c r="G538" s="14">
        <v>735.03129999999999</v>
      </c>
      <c r="H538" s="7">
        <v>1190949</v>
      </c>
      <c r="I538" s="14">
        <v>1074.7089000000001</v>
      </c>
      <c r="J538" s="7">
        <v>1589157</v>
      </c>
    </row>
    <row r="539" spans="1:10" x14ac:dyDescent="0.2">
      <c r="A539" s="9">
        <v>44713</v>
      </c>
      <c r="B539" s="4" t="s">
        <v>221</v>
      </c>
      <c r="C539" s="8">
        <v>44713</v>
      </c>
      <c r="D539" s="4" t="s">
        <v>181</v>
      </c>
      <c r="E539" s="14">
        <v>355.62810000000002</v>
      </c>
      <c r="F539" s="7">
        <v>416848</v>
      </c>
      <c r="G539" s="14">
        <v>483.37529999999998</v>
      </c>
      <c r="H539" s="7">
        <v>787549</v>
      </c>
      <c r="I539" s="14">
        <v>839.00340000000006</v>
      </c>
      <c r="J539" s="7">
        <v>1204397</v>
      </c>
    </row>
    <row r="540" spans="1:10" x14ac:dyDescent="0.2">
      <c r="A540" s="9">
        <v>44714</v>
      </c>
      <c r="B540" s="4" t="s">
        <v>224</v>
      </c>
      <c r="C540" s="8">
        <v>44713</v>
      </c>
      <c r="D540" s="4" t="s">
        <v>181</v>
      </c>
      <c r="E540" s="14">
        <v>335.7765</v>
      </c>
      <c r="F540" s="7">
        <v>395493</v>
      </c>
      <c r="G540" s="14">
        <v>458.38589999999999</v>
      </c>
      <c r="H540" s="7">
        <v>737467</v>
      </c>
      <c r="I540" s="14">
        <v>794.16240000000005</v>
      </c>
      <c r="J540" s="7">
        <v>1132960</v>
      </c>
    </row>
    <row r="541" spans="1:10" x14ac:dyDescent="0.2">
      <c r="A541" s="9">
        <v>44715</v>
      </c>
      <c r="B541" s="4" t="s">
        <v>222</v>
      </c>
      <c r="C541" s="8">
        <v>44713</v>
      </c>
      <c r="D541" s="4" t="s">
        <v>181</v>
      </c>
      <c r="E541" s="14">
        <v>351.5958</v>
      </c>
      <c r="F541" s="7">
        <v>408085</v>
      </c>
      <c r="G541" s="14">
        <v>543.2722</v>
      </c>
      <c r="H541" s="7">
        <v>889261</v>
      </c>
      <c r="I541" s="14">
        <v>894.86800000000005</v>
      </c>
      <c r="J541" s="7">
        <v>1297346</v>
      </c>
    </row>
    <row r="542" spans="1:10" x14ac:dyDescent="0.2">
      <c r="A542" s="9">
        <v>44718</v>
      </c>
      <c r="B542" s="4" t="s">
        <v>225</v>
      </c>
      <c r="C542" s="8">
        <v>44713</v>
      </c>
      <c r="D542" s="4" t="s">
        <v>181</v>
      </c>
      <c r="E542" s="14">
        <v>282.85829999999999</v>
      </c>
      <c r="F542" s="7">
        <v>332298</v>
      </c>
      <c r="G542" s="14">
        <v>430.0831</v>
      </c>
      <c r="H542" s="7">
        <v>708399</v>
      </c>
      <c r="I542" s="14">
        <v>712.94140000000004</v>
      </c>
      <c r="J542" s="7">
        <v>1040697</v>
      </c>
    </row>
    <row r="543" spans="1:10" x14ac:dyDescent="0.2">
      <c r="A543" s="9">
        <v>44719</v>
      </c>
      <c r="B543" s="4" t="s">
        <v>223</v>
      </c>
      <c r="C543" s="8">
        <v>44713</v>
      </c>
      <c r="D543" s="4" t="s">
        <v>181</v>
      </c>
      <c r="E543" s="14">
        <v>325.56459999999998</v>
      </c>
      <c r="F543" s="7">
        <v>385959</v>
      </c>
      <c r="G543" s="14">
        <v>398.74829999999997</v>
      </c>
      <c r="H543" s="7">
        <v>641103</v>
      </c>
      <c r="I543" s="14">
        <v>724.31290000000001</v>
      </c>
      <c r="J543" s="7">
        <v>1027062</v>
      </c>
    </row>
    <row r="544" spans="1:10" x14ac:dyDescent="0.2">
      <c r="A544" s="9">
        <v>44720</v>
      </c>
      <c r="B544" s="4" t="s">
        <v>221</v>
      </c>
      <c r="C544" s="8">
        <v>44713</v>
      </c>
      <c r="D544" s="4" t="s">
        <v>181</v>
      </c>
      <c r="E544" s="14">
        <v>426.40690000000001</v>
      </c>
      <c r="F544" s="7">
        <v>503687</v>
      </c>
      <c r="G544" s="14">
        <v>453.82159999999999</v>
      </c>
      <c r="H544" s="7">
        <v>728138</v>
      </c>
      <c r="I544" s="14">
        <v>880.22850000000005</v>
      </c>
      <c r="J544" s="7">
        <v>1231825</v>
      </c>
    </row>
    <row r="545" spans="1:10" x14ac:dyDescent="0.2">
      <c r="A545" s="9">
        <v>44721</v>
      </c>
      <c r="B545" s="4" t="s">
        <v>224</v>
      </c>
      <c r="C545" s="8">
        <v>44713</v>
      </c>
      <c r="D545" s="4" t="s">
        <v>181</v>
      </c>
      <c r="E545" s="14">
        <v>350.72809999999998</v>
      </c>
      <c r="F545" s="7">
        <v>417989</v>
      </c>
      <c r="G545" s="14">
        <v>403.3544</v>
      </c>
      <c r="H545" s="7">
        <v>666035</v>
      </c>
      <c r="I545" s="14">
        <v>754.08249999999998</v>
      </c>
      <c r="J545" s="7">
        <v>1084024</v>
      </c>
    </row>
    <row r="546" spans="1:10" x14ac:dyDescent="0.2">
      <c r="A546" s="9">
        <v>44722</v>
      </c>
      <c r="B546" s="4" t="s">
        <v>222</v>
      </c>
      <c r="C546" s="8">
        <v>44713</v>
      </c>
      <c r="D546" s="4" t="s">
        <v>181</v>
      </c>
      <c r="E546" s="14">
        <v>360.29469999999998</v>
      </c>
      <c r="F546" s="7">
        <v>434012</v>
      </c>
      <c r="G546" s="14">
        <v>418.7337</v>
      </c>
      <c r="H546" s="7">
        <v>690743</v>
      </c>
      <c r="I546" s="14">
        <v>779.02840000000003</v>
      </c>
      <c r="J546" s="7">
        <v>1124755</v>
      </c>
    </row>
    <row r="547" spans="1:10" x14ac:dyDescent="0.2">
      <c r="A547" s="9">
        <v>44725</v>
      </c>
      <c r="B547" s="4" t="s">
        <v>225</v>
      </c>
      <c r="C547" s="8">
        <v>44713</v>
      </c>
      <c r="D547" s="4" t="s">
        <v>181</v>
      </c>
      <c r="E547" s="14">
        <v>372.64499999999998</v>
      </c>
      <c r="F547" s="7">
        <v>462800</v>
      </c>
      <c r="G547" s="14">
        <v>497.69779999999997</v>
      </c>
      <c r="H547" s="7">
        <v>844417</v>
      </c>
      <c r="I547" s="14">
        <v>870.34280000000001</v>
      </c>
      <c r="J547" s="7">
        <v>1307217</v>
      </c>
    </row>
    <row r="548" spans="1:10" x14ac:dyDescent="0.2">
      <c r="A548" s="9">
        <v>44726</v>
      </c>
      <c r="B548" s="4" t="s">
        <v>223</v>
      </c>
      <c r="C548" s="8">
        <v>44713</v>
      </c>
      <c r="D548" s="4" t="s">
        <v>181</v>
      </c>
      <c r="E548" s="14">
        <v>356.17570000000001</v>
      </c>
      <c r="F548" s="7">
        <v>441256</v>
      </c>
      <c r="G548" s="14">
        <v>478.97899999999998</v>
      </c>
      <c r="H548" s="7">
        <v>795041</v>
      </c>
      <c r="I548" s="14">
        <v>835.15470000000005</v>
      </c>
      <c r="J548" s="7">
        <v>1236297</v>
      </c>
    </row>
    <row r="549" spans="1:10" x14ac:dyDescent="0.2">
      <c r="A549" s="9">
        <v>44727</v>
      </c>
      <c r="B549" s="4" t="s">
        <v>221</v>
      </c>
      <c r="C549" s="8">
        <v>44713</v>
      </c>
      <c r="D549" s="4" t="s">
        <v>181</v>
      </c>
      <c r="E549" s="14">
        <v>250.76320000000001</v>
      </c>
      <c r="F549" s="7">
        <v>310868</v>
      </c>
      <c r="G549" s="14">
        <v>356.47840000000002</v>
      </c>
      <c r="H549" s="7">
        <v>593039</v>
      </c>
      <c r="I549" s="14">
        <v>607.24159999999995</v>
      </c>
      <c r="J549" s="7">
        <v>903907</v>
      </c>
    </row>
    <row r="550" spans="1:10" x14ac:dyDescent="0.2">
      <c r="A550" s="9">
        <v>44728</v>
      </c>
      <c r="B550" s="4" t="s">
        <v>224</v>
      </c>
      <c r="C550" s="8">
        <v>44713</v>
      </c>
      <c r="D550" s="4" t="s">
        <v>181</v>
      </c>
      <c r="E550" s="14">
        <v>520.32960000000003</v>
      </c>
      <c r="F550" s="7">
        <v>654240</v>
      </c>
      <c r="G550" s="14">
        <v>583.33920000000001</v>
      </c>
      <c r="H550" s="7">
        <v>987860</v>
      </c>
      <c r="I550" s="14">
        <v>1103.6687999999999</v>
      </c>
      <c r="J550" s="7">
        <v>1642100</v>
      </c>
    </row>
    <row r="551" spans="1:10" x14ac:dyDescent="0.2">
      <c r="A551" s="9">
        <v>44729</v>
      </c>
      <c r="B551" s="4" t="s">
        <v>222</v>
      </c>
      <c r="C551" s="8">
        <v>44713</v>
      </c>
      <c r="D551" s="4" t="s">
        <v>181</v>
      </c>
      <c r="E551" s="14">
        <v>458.44260000000003</v>
      </c>
      <c r="F551" s="7">
        <v>585371</v>
      </c>
      <c r="G551" s="14">
        <v>628.02390000000003</v>
      </c>
      <c r="H551" s="7">
        <v>1090654</v>
      </c>
      <c r="I551" s="14">
        <v>1086.4665</v>
      </c>
      <c r="J551" s="7">
        <v>1676025</v>
      </c>
    </row>
    <row r="552" spans="1:10" x14ac:dyDescent="0.2">
      <c r="A552" s="9">
        <v>44732</v>
      </c>
      <c r="B552" s="4" t="s">
        <v>225</v>
      </c>
      <c r="C552" s="8">
        <v>44713</v>
      </c>
      <c r="D552" s="4" t="s">
        <v>181</v>
      </c>
      <c r="E552" s="14">
        <v>337.96039999999999</v>
      </c>
      <c r="F552" s="7">
        <v>429769</v>
      </c>
      <c r="G552" s="14">
        <v>587.29480000000001</v>
      </c>
      <c r="H552" s="7">
        <v>1041498</v>
      </c>
      <c r="I552" s="14">
        <v>925.25519999999995</v>
      </c>
      <c r="J552" s="7">
        <v>1471267</v>
      </c>
    </row>
    <row r="553" spans="1:10" x14ac:dyDescent="0.2">
      <c r="A553" s="9">
        <v>44733</v>
      </c>
      <c r="B553" s="4" t="s">
        <v>223</v>
      </c>
      <c r="C553" s="8">
        <v>44713</v>
      </c>
      <c r="D553" s="4" t="s">
        <v>181</v>
      </c>
      <c r="E553" s="14">
        <v>424.34030000000001</v>
      </c>
      <c r="F553" s="7">
        <v>528894</v>
      </c>
      <c r="G553" s="14">
        <v>569.2749</v>
      </c>
      <c r="H553" s="7">
        <v>1000790</v>
      </c>
      <c r="I553" s="14">
        <v>993.61519999999996</v>
      </c>
      <c r="J553" s="7">
        <v>1529684</v>
      </c>
    </row>
    <row r="554" spans="1:10" x14ac:dyDescent="0.2">
      <c r="A554" s="9">
        <v>44734</v>
      </c>
      <c r="B554" s="4" t="s">
        <v>221</v>
      </c>
      <c r="C554" s="8">
        <v>44713</v>
      </c>
      <c r="D554" s="4" t="s">
        <v>181</v>
      </c>
      <c r="E554" s="14">
        <v>364.06689999999998</v>
      </c>
      <c r="F554" s="7">
        <v>460926</v>
      </c>
      <c r="G554" s="14">
        <v>528.20259999999996</v>
      </c>
      <c r="H554" s="7">
        <v>926229</v>
      </c>
      <c r="I554" s="14">
        <v>892.26949999999999</v>
      </c>
      <c r="J554" s="7">
        <v>1387155</v>
      </c>
    </row>
    <row r="555" spans="1:10" x14ac:dyDescent="0.2">
      <c r="A555" s="9">
        <v>44735</v>
      </c>
      <c r="B555" s="4" t="s">
        <v>224</v>
      </c>
      <c r="C555" s="8">
        <v>44713</v>
      </c>
      <c r="D555" s="4" t="s">
        <v>181</v>
      </c>
      <c r="E555" s="14">
        <v>531.96050000000002</v>
      </c>
      <c r="F555" s="7">
        <v>667370</v>
      </c>
      <c r="G555" s="14">
        <v>691.52179999999998</v>
      </c>
      <c r="H555" s="7">
        <v>1147768</v>
      </c>
      <c r="I555" s="14">
        <v>1223.4822999999999</v>
      </c>
      <c r="J555" s="7">
        <v>1815138</v>
      </c>
    </row>
    <row r="556" spans="1:10" x14ac:dyDescent="0.2">
      <c r="A556" s="9">
        <v>44736</v>
      </c>
      <c r="B556" s="4" t="s">
        <v>222</v>
      </c>
      <c r="C556" s="8">
        <v>44713</v>
      </c>
      <c r="D556" s="4" t="s">
        <v>181</v>
      </c>
      <c r="E556" s="14">
        <v>345.23070000000001</v>
      </c>
      <c r="F556" s="7">
        <v>427328</v>
      </c>
      <c r="G556" s="14">
        <v>719.00779999999997</v>
      </c>
      <c r="H556" s="7">
        <v>1203956</v>
      </c>
      <c r="I556" s="14">
        <v>1064.2384999999999</v>
      </c>
      <c r="J556" s="7">
        <v>1631284</v>
      </c>
    </row>
    <row r="557" spans="1:10" x14ac:dyDescent="0.2">
      <c r="A557" s="9">
        <v>44739</v>
      </c>
      <c r="B557" s="4" t="s">
        <v>225</v>
      </c>
      <c r="C557" s="8">
        <v>44713</v>
      </c>
      <c r="D557" s="4" t="s">
        <v>181</v>
      </c>
      <c r="E557" s="14">
        <v>349.70830000000001</v>
      </c>
      <c r="F557" s="7">
        <v>428226</v>
      </c>
      <c r="G557" s="14">
        <v>1373.05</v>
      </c>
      <c r="H557" s="7">
        <v>2264809</v>
      </c>
      <c r="I557" s="14">
        <v>1722.7583</v>
      </c>
      <c r="J557" s="7">
        <v>2693035</v>
      </c>
    </row>
    <row r="558" spans="1:10" x14ac:dyDescent="0.2">
      <c r="A558" s="9">
        <v>44740</v>
      </c>
      <c r="B558" s="4" t="s">
        <v>223</v>
      </c>
      <c r="C558" s="8">
        <v>44713</v>
      </c>
      <c r="D558" s="4" t="s">
        <v>181</v>
      </c>
      <c r="E558" s="14">
        <v>374.40309999999999</v>
      </c>
      <c r="F558" s="7">
        <v>462791</v>
      </c>
      <c r="G558" s="14">
        <v>1450.1422</v>
      </c>
      <c r="H558" s="7">
        <v>2430899</v>
      </c>
      <c r="I558" s="14">
        <v>1824.5453</v>
      </c>
      <c r="J558" s="7">
        <v>2893690</v>
      </c>
    </row>
    <row r="559" spans="1:10" x14ac:dyDescent="0.2">
      <c r="A559" s="9">
        <v>44741</v>
      </c>
      <c r="B559" s="4" t="s">
        <v>221</v>
      </c>
      <c r="C559" s="8">
        <v>44713</v>
      </c>
      <c r="D559" s="4" t="s">
        <v>181</v>
      </c>
      <c r="E559" s="14">
        <v>404.12090000000001</v>
      </c>
      <c r="F559" s="7">
        <v>503437</v>
      </c>
      <c r="G559" s="14">
        <v>1376.3646000000001</v>
      </c>
      <c r="H559" s="7">
        <v>2293952</v>
      </c>
      <c r="I559" s="14">
        <v>1780.4855</v>
      </c>
      <c r="J559" s="7">
        <v>2797389</v>
      </c>
    </row>
    <row r="560" spans="1:10" x14ac:dyDescent="0.2">
      <c r="A560" s="9">
        <v>44742</v>
      </c>
      <c r="B560" s="4" t="s">
        <v>224</v>
      </c>
      <c r="C560" s="8">
        <v>44713</v>
      </c>
      <c r="D560" s="4" t="s">
        <v>181</v>
      </c>
      <c r="E560" s="14">
        <v>614.00120000000004</v>
      </c>
      <c r="F560" s="7">
        <v>762342</v>
      </c>
      <c r="G560" s="14">
        <v>1313.9622999999999</v>
      </c>
      <c r="H560" s="7">
        <v>2228681</v>
      </c>
      <c r="I560" s="14">
        <v>1927.9635000000001</v>
      </c>
      <c r="J560" s="7">
        <v>2991023</v>
      </c>
    </row>
    <row r="561" spans="1:10" x14ac:dyDescent="0.2">
      <c r="A561" s="9">
        <v>44743</v>
      </c>
      <c r="B561" s="4" t="s">
        <v>222</v>
      </c>
      <c r="C561" s="8">
        <v>44743</v>
      </c>
      <c r="D561" s="4" t="s">
        <v>182</v>
      </c>
      <c r="E561" s="14">
        <v>393.38920000000002</v>
      </c>
      <c r="F561" s="7">
        <v>491610</v>
      </c>
      <c r="G561" s="14">
        <v>614.10149999999999</v>
      </c>
      <c r="H561" s="7">
        <v>1005086</v>
      </c>
      <c r="I561" s="14">
        <v>1007.4906999999999</v>
      </c>
      <c r="J561" s="7">
        <v>1496696</v>
      </c>
    </row>
    <row r="562" spans="1:10" x14ac:dyDescent="0.2">
      <c r="A562" s="9">
        <v>44746</v>
      </c>
      <c r="B562" s="4" t="s">
        <v>225</v>
      </c>
      <c r="C562" s="8">
        <v>44743</v>
      </c>
      <c r="D562" s="4" t="s">
        <v>182</v>
      </c>
      <c r="E562" s="14">
        <v>282.47550000000001</v>
      </c>
      <c r="F562" s="7">
        <v>349285</v>
      </c>
      <c r="G562" s="14">
        <v>443.70530000000002</v>
      </c>
      <c r="H562" s="7">
        <v>717924</v>
      </c>
      <c r="I562" s="14">
        <v>726.18079999999998</v>
      </c>
      <c r="J562" s="7">
        <v>1067209</v>
      </c>
    </row>
    <row r="563" spans="1:10" x14ac:dyDescent="0.2">
      <c r="A563" s="9">
        <v>44747</v>
      </c>
      <c r="B563" s="4" t="s">
        <v>223</v>
      </c>
      <c r="C563" s="8">
        <v>44743</v>
      </c>
      <c r="D563" s="4" t="s">
        <v>182</v>
      </c>
      <c r="E563" s="14">
        <v>373.65019999999998</v>
      </c>
      <c r="F563" s="7">
        <v>457477</v>
      </c>
      <c r="G563" s="14">
        <v>472.71539999999999</v>
      </c>
      <c r="H563" s="7">
        <v>770621</v>
      </c>
      <c r="I563" s="14">
        <v>846.36559999999997</v>
      </c>
      <c r="J563" s="7">
        <v>1228098</v>
      </c>
    </row>
    <row r="564" spans="1:10" x14ac:dyDescent="0.2">
      <c r="A564" s="9">
        <v>44748</v>
      </c>
      <c r="B564" s="4" t="s">
        <v>221</v>
      </c>
      <c r="C564" s="8">
        <v>44743</v>
      </c>
      <c r="D564" s="4" t="s">
        <v>182</v>
      </c>
      <c r="E564" s="14">
        <v>444.05840000000001</v>
      </c>
      <c r="F564" s="7">
        <v>542428</v>
      </c>
      <c r="G564" s="14">
        <v>521.09469999999999</v>
      </c>
      <c r="H564" s="7">
        <v>843473</v>
      </c>
      <c r="I564" s="14">
        <v>965.15309999999999</v>
      </c>
      <c r="J564" s="7">
        <v>1385901</v>
      </c>
    </row>
    <row r="565" spans="1:10" x14ac:dyDescent="0.2">
      <c r="A565" s="9">
        <v>44749</v>
      </c>
      <c r="B565" s="4" t="s">
        <v>224</v>
      </c>
      <c r="C565" s="8">
        <v>44743</v>
      </c>
      <c r="D565" s="4" t="s">
        <v>182</v>
      </c>
      <c r="E565" s="14">
        <v>352.96050000000002</v>
      </c>
      <c r="F565" s="7">
        <v>423085</v>
      </c>
      <c r="G565" s="14">
        <v>510.2165</v>
      </c>
      <c r="H565" s="7">
        <v>828396</v>
      </c>
      <c r="I565" s="14">
        <v>863.17700000000002</v>
      </c>
      <c r="J565" s="7">
        <v>1251481</v>
      </c>
    </row>
    <row r="566" spans="1:10" x14ac:dyDescent="0.2">
      <c r="A566" s="9">
        <v>44750</v>
      </c>
      <c r="B566" s="4" t="s">
        <v>222</v>
      </c>
      <c r="C566" s="8">
        <v>44743</v>
      </c>
      <c r="D566" s="4" t="s">
        <v>182</v>
      </c>
      <c r="E566" s="14">
        <v>275.60449999999997</v>
      </c>
      <c r="F566" s="7">
        <v>329495</v>
      </c>
      <c r="G566" s="14">
        <v>482.83499999999998</v>
      </c>
      <c r="H566" s="7">
        <v>775014</v>
      </c>
      <c r="I566" s="14">
        <v>758.43949999999995</v>
      </c>
      <c r="J566" s="7">
        <v>1104509</v>
      </c>
    </row>
    <row r="567" spans="1:10" x14ac:dyDescent="0.2">
      <c r="A567" s="9">
        <v>44753</v>
      </c>
      <c r="B567" s="4" t="s">
        <v>225</v>
      </c>
      <c r="C567" s="8">
        <v>44743</v>
      </c>
      <c r="D567" s="4" t="s">
        <v>182</v>
      </c>
      <c r="E567" s="14">
        <v>320.36110000000002</v>
      </c>
      <c r="F567" s="7">
        <v>382227</v>
      </c>
      <c r="G567" s="14">
        <v>528.67769999999996</v>
      </c>
      <c r="H567" s="7">
        <v>868406</v>
      </c>
      <c r="I567" s="14">
        <v>849.03880000000004</v>
      </c>
      <c r="J567" s="7">
        <v>1250633</v>
      </c>
    </row>
    <row r="568" spans="1:10" x14ac:dyDescent="0.2">
      <c r="A568" s="9">
        <v>44754</v>
      </c>
      <c r="B568" s="4" t="s">
        <v>223</v>
      </c>
      <c r="C568" s="8">
        <v>44743</v>
      </c>
      <c r="D568" s="4" t="s">
        <v>182</v>
      </c>
      <c r="E568" s="14">
        <v>323.8562</v>
      </c>
      <c r="F568" s="7">
        <v>389169</v>
      </c>
      <c r="G568" s="14">
        <v>431.94209999999998</v>
      </c>
      <c r="H568" s="7">
        <v>705535</v>
      </c>
      <c r="I568" s="14">
        <v>755.79830000000004</v>
      </c>
      <c r="J568" s="7">
        <v>1094704</v>
      </c>
    </row>
    <row r="569" spans="1:10" x14ac:dyDescent="0.2">
      <c r="A569" s="9">
        <v>44755</v>
      </c>
      <c r="B569" s="4" t="s">
        <v>221</v>
      </c>
      <c r="C569" s="8">
        <v>44743</v>
      </c>
      <c r="D569" s="4" t="s">
        <v>182</v>
      </c>
      <c r="E569" s="14">
        <v>341.76319999999998</v>
      </c>
      <c r="F569" s="7">
        <v>411906</v>
      </c>
      <c r="G569" s="14">
        <v>463.19749999999999</v>
      </c>
      <c r="H569" s="7">
        <v>741634</v>
      </c>
      <c r="I569" s="14">
        <v>804.96069999999997</v>
      </c>
      <c r="J569" s="7">
        <v>1153540</v>
      </c>
    </row>
    <row r="570" spans="1:10" x14ac:dyDescent="0.2">
      <c r="A570" s="9">
        <v>44756</v>
      </c>
      <c r="B570" s="4" t="s">
        <v>224</v>
      </c>
      <c r="C570" s="8">
        <v>44743</v>
      </c>
      <c r="D570" s="4" t="s">
        <v>182</v>
      </c>
      <c r="E570" s="14">
        <v>336.22699999999998</v>
      </c>
      <c r="F570" s="7">
        <v>407819</v>
      </c>
      <c r="G570" s="14">
        <v>493.56270000000001</v>
      </c>
      <c r="H570" s="7">
        <v>802831</v>
      </c>
      <c r="I570" s="14">
        <v>829.78970000000004</v>
      </c>
      <c r="J570" s="7">
        <v>1210650</v>
      </c>
    </row>
    <row r="571" spans="1:10" x14ac:dyDescent="0.2">
      <c r="A571" s="9">
        <v>44757</v>
      </c>
      <c r="B571" s="4" t="s">
        <v>222</v>
      </c>
      <c r="C571" s="8">
        <v>44743</v>
      </c>
      <c r="D571" s="4" t="s">
        <v>182</v>
      </c>
      <c r="E571" s="14">
        <v>288.46609999999998</v>
      </c>
      <c r="F571" s="7">
        <v>348651</v>
      </c>
      <c r="G571" s="14">
        <v>487.11320000000001</v>
      </c>
      <c r="H571" s="7">
        <v>782422</v>
      </c>
      <c r="I571" s="14">
        <v>775.57929999999999</v>
      </c>
      <c r="J571" s="7">
        <v>1131073</v>
      </c>
    </row>
    <row r="572" spans="1:10" x14ac:dyDescent="0.2">
      <c r="A572" s="9">
        <v>44760</v>
      </c>
      <c r="B572" s="4" t="s">
        <v>225</v>
      </c>
      <c r="C572" s="8">
        <v>44743</v>
      </c>
      <c r="D572" s="4" t="s">
        <v>182</v>
      </c>
      <c r="E572" s="14">
        <v>283.7516</v>
      </c>
      <c r="F572" s="7">
        <v>337150</v>
      </c>
      <c r="G572" s="14">
        <v>603.21379999999999</v>
      </c>
      <c r="H572" s="7">
        <v>956908</v>
      </c>
      <c r="I572" s="14">
        <v>886.96540000000005</v>
      </c>
      <c r="J572" s="7">
        <v>1294058</v>
      </c>
    </row>
    <row r="573" spans="1:10" x14ac:dyDescent="0.2">
      <c r="A573" s="9">
        <v>44761</v>
      </c>
      <c r="B573" s="4" t="s">
        <v>223</v>
      </c>
      <c r="C573" s="8">
        <v>44743</v>
      </c>
      <c r="D573" s="4" t="s">
        <v>182</v>
      </c>
      <c r="E573" s="14">
        <v>329.2577</v>
      </c>
      <c r="F573" s="7">
        <v>388328</v>
      </c>
      <c r="G573" s="14">
        <v>601.7482</v>
      </c>
      <c r="H573" s="7">
        <v>929799</v>
      </c>
      <c r="I573" s="14">
        <v>931.0059</v>
      </c>
      <c r="J573" s="7">
        <v>1318127</v>
      </c>
    </row>
    <row r="574" spans="1:10" x14ac:dyDescent="0.2">
      <c r="A574" s="9">
        <v>44762</v>
      </c>
      <c r="B574" s="4" t="s">
        <v>221</v>
      </c>
      <c r="C574" s="8">
        <v>44743</v>
      </c>
      <c r="D574" s="4" t="s">
        <v>182</v>
      </c>
      <c r="E574" s="14">
        <v>375.3897</v>
      </c>
      <c r="F574" s="7">
        <v>439201</v>
      </c>
      <c r="G574" s="14">
        <v>707.06979999999999</v>
      </c>
      <c r="H574" s="7">
        <v>1122223</v>
      </c>
      <c r="I574" s="14">
        <v>1082.4594999999999</v>
      </c>
      <c r="J574" s="7">
        <v>1561424</v>
      </c>
    </row>
    <row r="575" spans="1:10" x14ac:dyDescent="0.2">
      <c r="A575" s="9">
        <v>44763</v>
      </c>
      <c r="B575" s="4" t="s">
        <v>224</v>
      </c>
      <c r="C575" s="8">
        <v>44743</v>
      </c>
      <c r="D575" s="4" t="s">
        <v>182</v>
      </c>
      <c r="E575" s="14">
        <v>333.04309999999998</v>
      </c>
      <c r="F575" s="7">
        <v>386800</v>
      </c>
      <c r="G575" s="14">
        <v>737.60299999999995</v>
      </c>
      <c r="H575" s="7">
        <v>1154256</v>
      </c>
      <c r="I575" s="14">
        <v>1070.6460999999999</v>
      </c>
      <c r="J575" s="7">
        <v>1541056</v>
      </c>
    </row>
    <row r="576" spans="1:10" x14ac:dyDescent="0.2">
      <c r="A576" s="9">
        <v>44764</v>
      </c>
      <c r="B576" s="4" t="s">
        <v>222</v>
      </c>
      <c r="C576" s="8">
        <v>44743</v>
      </c>
      <c r="D576" s="4" t="s">
        <v>182</v>
      </c>
      <c r="E576" s="14">
        <v>325.29300000000001</v>
      </c>
      <c r="F576" s="7">
        <v>372682</v>
      </c>
      <c r="G576" s="14">
        <v>892.55409999999995</v>
      </c>
      <c r="H576" s="7">
        <v>1345601</v>
      </c>
      <c r="I576" s="14">
        <v>1217.8471</v>
      </c>
      <c r="J576" s="7">
        <v>1718283</v>
      </c>
    </row>
    <row r="577" spans="1:10" x14ac:dyDescent="0.2">
      <c r="A577" s="9">
        <v>44767</v>
      </c>
      <c r="B577" s="4" t="s">
        <v>225</v>
      </c>
      <c r="C577" s="8">
        <v>44743</v>
      </c>
      <c r="D577" s="4" t="s">
        <v>182</v>
      </c>
      <c r="E577" s="14">
        <v>338.12419999999997</v>
      </c>
      <c r="F577" s="7">
        <v>388634</v>
      </c>
      <c r="G577" s="14">
        <v>1423.1745000000001</v>
      </c>
      <c r="H577" s="7">
        <v>2156569</v>
      </c>
      <c r="I577" s="14">
        <v>1761.2987000000001</v>
      </c>
      <c r="J577" s="7">
        <v>2545203</v>
      </c>
    </row>
    <row r="578" spans="1:10" x14ac:dyDescent="0.2">
      <c r="A578" s="9">
        <v>44768</v>
      </c>
      <c r="B578" s="4" t="s">
        <v>223</v>
      </c>
      <c r="C578" s="8">
        <v>44743</v>
      </c>
      <c r="D578" s="4" t="s">
        <v>182</v>
      </c>
      <c r="E578" s="14">
        <v>349.00740000000002</v>
      </c>
      <c r="F578" s="7">
        <v>405761</v>
      </c>
      <c r="G578" s="14">
        <v>1549.8496</v>
      </c>
      <c r="H578" s="7">
        <v>2399546</v>
      </c>
      <c r="I578" s="14">
        <v>1898.857</v>
      </c>
      <c r="J578" s="7">
        <v>2805307</v>
      </c>
    </row>
    <row r="579" spans="1:10" x14ac:dyDescent="0.2">
      <c r="A579" s="9">
        <v>44769</v>
      </c>
      <c r="B579" s="4" t="s">
        <v>221</v>
      </c>
      <c r="C579" s="8">
        <v>44743</v>
      </c>
      <c r="D579" s="4" t="s">
        <v>182</v>
      </c>
      <c r="E579" s="14">
        <v>409.14069999999998</v>
      </c>
      <c r="F579" s="7">
        <v>474450</v>
      </c>
      <c r="G579" s="14">
        <v>1387.7181</v>
      </c>
      <c r="H579" s="7">
        <v>2126431</v>
      </c>
      <c r="I579" s="14">
        <v>1796.8588</v>
      </c>
      <c r="J579" s="7">
        <v>2600881</v>
      </c>
    </row>
    <row r="580" spans="1:10" x14ac:dyDescent="0.2">
      <c r="A580" s="9">
        <v>44770</v>
      </c>
      <c r="B580" s="4" t="s">
        <v>224</v>
      </c>
      <c r="C580" s="8">
        <v>44743</v>
      </c>
      <c r="D580" s="4" t="s">
        <v>182</v>
      </c>
      <c r="E580" s="14">
        <v>564.5394</v>
      </c>
      <c r="F580" s="7">
        <v>643627</v>
      </c>
      <c r="G580" s="14">
        <v>1562.7427</v>
      </c>
      <c r="H580" s="7">
        <v>2381818</v>
      </c>
      <c r="I580" s="14">
        <v>2127.2820999999999</v>
      </c>
      <c r="J580" s="7">
        <v>3025445</v>
      </c>
    </row>
    <row r="581" spans="1:10" x14ac:dyDescent="0.2">
      <c r="A581" s="9">
        <v>44771</v>
      </c>
      <c r="B581" s="4" t="s">
        <v>222</v>
      </c>
      <c r="C581" s="8">
        <v>44743</v>
      </c>
      <c r="D581" s="4" t="s">
        <v>182</v>
      </c>
      <c r="E581" s="14">
        <v>318.78919999999999</v>
      </c>
      <c r="F581" s="7">
        <v>357914</v>
      </c>
      <c r="G581" s="14">
        <v>723.63139999999999</v>
      </c>
      <c r="H581" s="7">
        <v>1082528</v>
      </c>
      <c r="I581" s="14">
        <v>1042.4205999999999</v>
      </c>
      <c r="J581" s="7">
        <v>1440442</v>
      </c>
    </row>
    <row r="582" spans="1:10" x14ac:dyDescent="0.2">
      <c r="A582" s="9">
        <v>44774</v>
      </c>
      <c r="B582" s="4" t="s">
        <v>225</v>
      </c>
      <c r="C582" s="8">
        <v>44774</v>
      </c>
      <c r="D582" s="4" t="s">
        <v>182</v>
      </c>
      <c r="E582" s="14">
        <v>276.26459999999997</v>
      </c>
      <c r="F582" s="7">
        <v>307441</v>
      </c>
      <c r="G582" s="14">
        <v>639.11789999999996</v>
      </c>
      <c r="H582" s="7">
        <v>914580</v>
      </c>
      <c r="I582" s="14">
        <v>915.38250000000005</v>
      </c>
      <c r="J582" s="7">
        <v>1222021</v>
      </c>
    </row>
    <row r="583" spans="1:10" x14ac:dyDescent="0.2">
      <c r="A583" s="9">
        <v>44775</v>
      </c>
      <c r="B583" s="4" t="s">
        <v>223</v>
      </c>
      <c r="C583" s="8">
        <v>44774</v>
      </c>
      <c r="D583" s="4" t="s">
        <v>182</v>
      </c>
      <c r="E583" s="14">
        <v>384.01319999999998</v>
      </c>
      <c r="F583" s="7">
        <v>426597</v>
      </c>
      <c r="G583" s="14">
        <v>633.9701</v>
      </c>
      <c r="H583" s="7">
        <v>905177</v>
      </c>
      <c r="I583" s="14">
        <v>1017.9833</v>
      </c>
      <c r="J583" s="7">
        <v>1331774</v>
      </c>
    </row>
    <row r="584" spans="1:10" x14ac:dyDescent="0.2">
      <c r="A584" s="9">
        <v>44776</v>
      </c>
      <c r="B584" s="4" t="s">
        <v>221</v>
      </c>
      <c r="C584" s="8">
        <v>44774</v>
      </c>
      <c r="D584" s="4" t="s">
        <v>182</v>
      </c>
      <c r="E584" s="14">
        <v>328.37060000000002</v>
      </c>
      <c r="F584" s="7">
        <v>364538</v>
      </c>
      <c r="G584" s="14">
        <v>579.79079999999999</v>
      </c>
      <c r="H584" s="7">
        <v>855666</v>
      </c>
      <c r="I584" s="14">
        <v>908.16139999999996</v>
      </c>
      <c r="J584" s="7">
        <v>1220204</v>
      </c>
    </row>
    <row r="585" spans="1:10" x14ac:dyDescent="0.2">
      <c r="A585" s="9">
        <v>44777</v>
      </c>
      <c r="B585" s="4" t="s">
        <v>224</v>
      </c>
      <c r="C585" s="8">
        <v>44774</v>
      </c>
      <c r="D585" s="4" t="s">
        <v>182</v>
      </c>
      <c r="E585" s="14">
        <v>503.73009999999999</v>
      </c>
      <c r="F585" s="7">
        <v>560204</v>
      </c>
      <c r="G585" s="14">
        <v>650.90790000000004</v>
      </c>
      <c r="H585" s="7">
        <v>973264</v>
      </c>
      <c r="I585" s="14">
        <v>1154.6379999999999</v>
      </c>
      <c r="J585" s="7">
        <v>1533468</v>
      </c>
    </row>
    <row r="586" spans="1:10" x14ac:dyDescent="0.2">
      <c r="A586" s="9">
        <v>44778</v>
      </c>
      <c r="B586" s="4" t="s">
        <v>222</v>
      </c>
      <c r="C586" s="8">
        <v>44774</v>
      </c>
      <c r="D586" s="4" t="s">
        <v>182</v>
      </c>
      <c r="E586" s="14">
        <v>335.8623</v>
      </c>
      <c r="F586" s="7">
        <v>370336</v>
      </c>
      <c r="G586" s="14">
        <v>604.15779999999995</v>
      </c>
      <c r="H586" s="7">
        <v>877204</v>
      </c>
      <c r="I586" s="14">
        <v>940.02009999999996</v>
      </c>
      <c r="J586" s="7">
        <v>1247540</v>
      </c>
    </row>
    <row r="587" spans="1:10" x14ac:dyDescent="0.2">
      <c r="A587" s="9">
        <v>44781</v>
      </c>
      <c r="B587" s="4" t="s">
        <v>225</v>
      </c>
      <c r="C587" s="8">
        <v>44774</v>
      </c>
      <c r="D587" s="4" t="s">
        <v>182</v>
      </c>
      <c r="E587" s="14">
        <v>297.69229999999999</v>
      </c>
      <c r="F587" s="7">
        <v>326393</v>
      </c>
      <c r="G587" s="14">
        <v>526.22990000000004</v>
      </c>
      <c r="H587" s="7">
        <v>734372</v>
      </c>
      <c r="I587" s="14">
        <v>823.92219999999998</v>
      </c>
      <c r="J587" s="7">
        <v>1060765</v>
      </c>
    </row>
    <row r="588" spans="1:10" x14ac:dyDescent="0.2">
      <c r="A588" s="9">
        <v>44783</v>
      </c>
      <c r="B588" s="4" t="s">
        <v>221</v>
      </c>
      <c r="C588" s="8">
        <v>44774</v>
      </c>
      <c r="D588" s="4" t="s">
        <v>182</v>
      </c>
      <c r="E588" s="14">
        <v>256.66539999999998</v>
      </c>
      <c r="F588" s="7">
        <v>281991</v>
      </c>
      <c r="G588" s="14">
        <v>564.03899999999999</v>
      </c>
      <c r="H588" s="7">
        <v>802655</v>
      </c>
      <c r="I588" s="14">
        <v>820.70439999999996</v>
      </c>
      <c r="J588" s="7">
        <v>1084646</v>
      </c>
    </row>
    <row r="589" spans="1:10" x14ac:dyDescent="0.2">
      <c r="A589" s="9">
        <v>44784</v>
      </c>
      <c r="B589" s="4" t="s">
        <v>224</v>
      </c>
      <c r="C589" s="8">
        <v>44774</v>
      </c>
      <c r="D589" s="4" t="s">
        <v>182</v>
      </c>
      <c r="E589" s="14">
        <v>288.59890000000001</v>
      </c>
      <c r="F589" s="7">
        <v>312277</v>
      </c>
      <c r="G589" s="14">
        <v>582.89430000000004</v>
      </c>
      <c r="H589" s="7">
        <v>823796</v>
      </c>
      <c r="I589" s="14">
        <v>871.4932</v>
      </c>
      <c r="J589" s="7">
        <v>1136073</v>
      </c>
    </row>
    <row r="590" spans="1:10" x14ac:dyDescent="0.2">
      <c r="A590" s="9">
        <v>44785</v>
      </c>
      <c r="B590" s="4" t="s">
        <v>222</v>
      </c>
      <c r="C590" s="8">
        <v>44774</v>
      </c>
      <c r="D590" s="4" t="s">
        <v>182</v>
      </c>
      <c r="E590" s="14">
        <v>253.87799999999999</v>
      </c>
      <c r="F590" s="7">
        <v>275156</v>
      </c>
      <c r="G590" s="14">
        <v>619.33019999999999</v>
      </c>
      <c r="H590" s="7">
        <v>894914</v>
      </c>
      <c r="I590" s="14">
        <v>873.20820000000003</v>
      </c>
      <c r="J590" s="7">
        <v>1170070</v>
      </c>
    </row>
    <row r="591" spans="1:10" x14ac:dyDescent="0.2">
      <c r="A591" s="9">
        <v>44789</v>
      </c>
      <c r="B591" s="4" t="s">
        <v>223</v>
      </c>
      <c r="C591" s="8">
        <v>44774</v>
      </c>
      <c r="D591" s="4" t="s">
        <v>182</v>
      </c>
      <c r="E591" s="14">
        <v>245.43510000000001</v>
      </c>
      <c r="F591" s="7">
        <v>263657</v>
      </c>
      <c r="G591" s="14">
        <v>673.27670000000001</v>
      </c>
      <c r="H591" s="7">
        <v>952093</v>
      </c>
      <c r="I591" s="14">
        <v>918.71180000000004</v>
      </c>
      <c r="J591" s="7">
        <v>1215750</v>
      </c>
    </row>
    <row r="592" spans="1:10" x14ac:dyDescent="0.2">
      <c r="A592" s="9">
        <v>44790</v>
      </c>
      <c r="B592" s="4" t="s">
        <v>221</v>
      </c>
      <c r="C592" s="8">
        <v>44774</v>
      </c>
      <c r="D592" s="4" t="s">
        <v>182</v>
      </c>
      <c r="E592" s="14">
        <v>209.57810000000001</v>
      </c>
      <c r="F592" s="7">
        <v>224639</v>
      </c>
      <c r="G592" s="14">
        <v>707.91</v>
      </c>
      <c r="H592" s="7">
        <v>999754</v>
      </c>
      <c r="I592" s="14">
        <v>917.48810000000003</v>
      </c>
      <c r="J592" s="7">
        <v>1224393</v>
      </c>
    </row>
    <row r="593" spans="1:10" x14ac:dyDescent="0.2">
      <c r="A593" s="9">
        <v>44791</v>
      </c>
      <c r="B593" s="4" t="s">
        <v>224</v>
      </c>
      <c r="C593" s="8">
        <v>44774</v>
      </c>
      <c r="D593" s="4" t="s">
        <v>182</v>
      </c>
      <c r="E593" s="14">
        <v>336.52569999999997</v>
      </c>
      <c r="F593" s="7">
        <v>360456</v>
      </c>
      <c r="G593" s="14">
        <v>729.11329999999998</v>
      </c>
      <c r="H593" s="7">
        <v>999487</v>
      </c>
      <c r="I593" s="14">
        <v>1065.6389999999999</v>
      </c>
      <c r="J593" s="7">
        <v>1359943</v>
      </c>
    </row>
    <row r="594" spans="1:10" x14ac:dyDescent="0.2">
      <c r="A594" s="9">
        <v>44792</v>
      </c>
      <c r="B594" s="4" t="s">
        <v>222</v>
      </c>
      <c r="C594" s="8">
        <v>44774</v>
      </c>
      <c r="D594" s="4" t="s">
        <v>182</v>
      </c>
      <c r="E594" s="14">
        <v>464.81110000000001</v>
      </c>
      <c r="F594" s="7">
        <v>499608</v>
      </c>
      <c r="G594" s="14">
        <v>1047.5059000000001</v>
      </c>
      <c r="H594" s="7">
        <v>1427286</v>
      </c>
      <c r="I594" s="14">
        <v>1512.317</v>
      </c>
      <c r="J594" s="7">
        <v>1926894</v>
      </c>
    </row>
    <row r="595" spans="1:10" x14ac:dyDescent="0.2">
      <c r="A595" s="9">
        <v>44795</v>
      </c>
      <c r="B595" s="4" t="s">
        <v>225</v>
      </c>
      <c r="C595" s="8">
        <v>44774</v>
      </c>
      <c r="D595" s="4" t="s">
        <v>182</v>
      </c>
      <c r="E595" s="14">
        <v>424.20370000000003</v>
      </c>
      <c r="F595" s="7">
        <v>462572</v>
      </c>
      <c r="G595" s="14">
        <v>1542.8217</v>
      </c>
      <c r="H595" s="7">
        <v>2176604</v>
      </c>
      <c r="I595" s="14">
        <v>1967.0254</v>
      </c>
      <c r="J595" s="7">
        <v>2639176</v>
      </c>
    </row>
    <row r="596" spans="1:10" x14ac:dyDescent="0.2">
      <c r="A596" s="9">
        <v>44796</v>
      </c>
      <c r="B596" s="4" t="s">
        <v>223</v>
      </c>
      <c r="C596" s="8">
        <v>44774</v>
      </c>
      <c r="D596" s="4" t="s">
        <v>182</v>
      </c>
      <c r="E596" s="14">
        <v>567.2998</v>
      </c>
      <c r="F596" s="7">
        <v>623745</v>
      </c>
      <c r="G596" s="14">
        <v>1659.6724999999999</v>
      </c>
      <c r="H596" s="7">
        <v>2372753</v>
      </c>
      <c r="I596" s="14">
        <v>2226.9722999999999</v>
      </c>
      <c r="J596" s="7">
        <v>2996498</v>
      </c>
    </row>
    <row r="597" spans="1:10" x14ac:dyDescent="0.2">
      <c r="A597" s="9">
        <v>44797</v>
      </c>
      <c r="B597" s="4" t="s">
        <v>221</v>
      </c>
      <c r="C597" s="8">
        <v>44774</v>
      </c>
      <c r="D597" s="4" t="s">
        <v>182</v>
      </c>
      <c r="E597" s="14">
        <v>486.01119999999997</v>
      </c>
      <c r="F597" s="7">
        <v>529511</v>
      </c>
      <c r="G597" s="14">
        <v>1469.1837</v>
      </c>
      <c r="H597" s="7">
        <v>2084888</v>
      </c>
      <c r="I597" s="14">
        <v>1955.1949</v>
      </c>
      <c r="J597" s="7">
        <v>2614399</v>
      </c>
    </row>
    <row r="598" spans="1:10" x14ac:dyDescent="0.2">
      <c r="A598" s="9">
        <v>44798</v>
      </c>
      <c r="B598" s="4" t="s">
        <v>224</v>
      </c>
      <c r="C598" s="8">
        <v>44774</v>
      </c>
      <c r="D598" s="4" t="s">
        <v>182</v>
      </c>
      <c r="E598" s="14">
        <v>617.24109999999996</v>
      </c>
      <c r="F598" s="7">
        <v>668037</v>
      </c>
      <c r="G598" s="14">
        <v>1455.5132000000001</v>
      </c>
      <c r="H598" s="7">
        <v>2087268</v>
      </c>
      <c r="I598" s="14">
        <v>2072.7543000000001</v>
      </c>
      <c r="J598" s="7">
        <v>2755305</v>
      </c>
    </row>
    <row r="599" spans="1:10" x14ac:dyDescent="0.2">
      <c r="A599" s="9">
        <v>44799</v>
      </c>
      <c r="B599" s="4" t="s">
        <v>222</v>
      </c>
      <c r="C599" s="8">
        <v>44774</v>
      </c>
      <c r="D599" s="4" t="s">
        <v>182</v>
      </c>
      <c r="E599" s="14">
        <v>366.25830000000002</v>
      </c>
      <c r="F599" s="7">
        <v>393480</v>
      </c>
      <c r="G599" s="14">
        <v>548.89390000000003</v>
      </c>
      <c r="H599" s="7">
        <v>757788</v>
      </c>
      <c r="I599" s="14">
        <v>915.15219999999999</v>
      </c>
      <c r="J599" s="7">
        <v>1151268</v>
      </c>
    </row>
    <row r="600" spans="1:10" x14ac:dyDescent="0.2">
      <c r="A600" s="9">
        <v>44802</v>
      </c>
      <c r="B600" s="4" t="s">
        <v>225</v>
      </c>
      <c r="C600" s="8">
        <v>44774</v>
      </c>
      <c r="D600" s="4" t="s">
        <v>182</v>
      </c>
      <c r="E600" s="14">
        <v>366.6841</v>
      </c>
      <c r="F600" s="7">
        <v>405624</v>
      </c>
      <c r="G600" s="14">
        <v>537.99770000000001</v>
      </c>
      <c r="H600" s="7">
        <v>776099</v>
      </c>
      <c r="I600" s="14">
        <v>904.68179999999995</v>
      </c>
      <c r="J600" s="7">
        <v>1181723</v>
      </c>
    </row>
    <row r="601" spans="1:10" x14ac:dyDescent="0.2">
      <c r="A601" s="9">
        <v>44803</v>
      </c>
      <c r="B601" s="4" t="s">
        <v>223</v>
      </c>
      <c r="C601" s="8">
        <v>44774</v>
      </c>
      <c r="D601" s="4" t="s">
        <v>182</v>
      </c>
      <c r="E601" s="14">
        <v>426.19200000000001</v>
      </c>
      <c r="F601" s="7">
        <v>459995</v>
      </c>
      <c r="G601" s="14">
        <v>620.16380000000004</v>
      </c>
      <c r="H601" s="7">
        <v>865930</v>
      </c>
      <c r="I601" s="14">
        <v>1046.3558</v>
      </c>
      <c r="J601" s="7">
        <v>1325925</v>
      </c>
    </row>
    <row r="602" spans="1:10" x14ac:dyDescent="0.2">
      <c r="A602" s="9">
        <v>44805</v>
      </c>
      <c r="B602" s="4" t="s">
        <v>224</v>
      </c>
      <c r="C602" s="8">
        <v>44805</v>
      </c>
      <c r="D602" s="4" t="s">
        <v>182</v>
      </c>
      <c r="E602" s="14">
        <v>537.03800000000001</v>
      </c>
      <c r="F602" s="7">
        <v>580916</v>
      </c>
      <c r="G602" s="14">
        <v>661.21709999999996</v>
      </c>
      <c r="H602" s="7">
        <v>903792</v>
      </c>
      <c r="I602" s="14">
        <v>1198.2551000000001</v>
      </c>
      <c r="J602" s="7">
        <v>1484708</v>
      </c>
    </row>
    <row r="603" spans="1:10" x14ac:dyDescent="0.2">
      <c r="A603" s="9">
        <v>44806</v>
      </c>
      <c r="B603" s="4" t="s">
        <v>222</v>
      </c>
      <c r="C603" s="8">
        <v>44805</v>
      </c>
      <c r="D603" s="4" t="s">
        <v>182</v>
      </c>
      <c r="E603" s="14">
        <v>363.37240000000003</v>
      </c>
      <c r="F603" s="7">
        <v>393939</v>
      </c>
      <c r="G603" s="14">
        <v>560.68399999999997</v>
      </c>
      <c r="H603" s="7">
        <v>746877</v>
      </c>
      <c r="I603" s="14">
        <v>924.05640000000005</v>
      </c>
      <c r="J603" s="7">
        <v>1140816</v>
      </c>
    </row>
    <row r="604" spans="1:10" x14ac:dyDescent="0.2">
      <c r="A604" s="9">
        <v>44809</v>
      </c>
      <c r="B604" s="4" t="s">
        <v>225</v>
      </c>
      <c r="C604" s="8">
        <v>44805</v>
      </c>
      <c r="D604" s="4" t="s">
        <v>182</v>
      </c>
      <c r="E604" s="14">
        <v>287.57740000000001</v>
      </c>
      <c r="F604" s="7">
        <v>306861</v>
      </c>
      <c r="G604" s="14">
        <v>464.74400000000003</v>
      </c>
      <c r="H604" s="7">
        <v>628164</v>
      </c>
      <c r="I604" s="14">
        <v>752.32140000000004</v>
      </c>
      <c r="J604" s="7">
        <v>935025</v>
      </c>
    </row>
    <row r="605" spans="1:10" x14ac:dyDescent="0.2">
      <c r="A605" s="9">
        <v>44810</v>
      </c>
      <c r="B605" s="4" t="s">
        <v>223</v>
      </c>
      <c r="C605" s="8">
        <v>44805</v>
      </c>
      <c r="D605" s="4" t="s">
        <v>182</v>
      </c>
      <c r="E605" s="14">
        <v>351.86009999999999</v>
      </c>
      <c r="F605" s="7">
        <v>374796</v>
      </c>
      <c r="G605" s="14">
        <v>531.40260000000001</v>
      </c>
      <c r="H605" s="7">
        <v>725070</v>
      </c>
      <c r="I605" s="14">
        <v>883.2627</v>
      </c>
      <c r="J605" s="7">
        <v>1099866</v>
      </c>
    </row>
    <row r="606" spans="1:10" x14ac:dyDescent="0.2">
      <c r="A606" s="9">
        <v>44811</v>
      </c>
      <c r="B606" s="4" t="s">
        <v>221</v>
      </c>
      <c r="C606" s="8">
        <v>44805</v>
      </c>
      <c r="D606" s="4" t="s">
        <v>182</v>
      </c>
      <c r="E606" s="14">
        <v>310.91640000000001</v>
      </c>
      <c r="F606" s="7">
        <v>334045</v>
      </c>
      <c r="G606" s="14">
        <v>581.15160000000003</v>
      </c>
      <c r="H606" s="7">
        <v>802488</v>
      </c>
      <c r="I606" s="14">
        <v>892.06799999999998</v>
      </c>
      <c r="J606" s="7">
        <v>1136533</v>
      </c>
    </row>
    <row r="607" spans="1:10" x14ac:dyDescent="0.2">
      <c r="A607" s="9">
        <v>44812</v>
      </c>
      <c r="B607" s="4" t="s">
        <v>224</v>
      </c>
      <c r="C607" s="8">
        <v>44805</v>
      </c>
      <c r="D607" s="4" t="s">
        <v>182</v>
      </c>
      <c r="E607" s="14">
        <v>354.92500000000001</v>
      </c>
      <c r="F607" s="7">
        <v>376577</v>
      </c>
      <c r="G607" s="14">
        <v>563.31280000000004</v>
      </c>
      <c r="H607" s="7">
        <v>779223</v>
      </c>
      <c r="I607" s="14">
        <v>918.23779999999999</v>
      </c>
      <c r="J607" s="7">
        <v>1155800</v>
      </c>
    </row>
    <row r="608" spans="1:10" x14ac:dyDescent="0.2">
      <c r="A608" s="9">
        <v>44813</v>
      </c>
      <c r="B608" s="4" t="s">
        <v>222</v>
      </c>
      <c r="C608" s="8">
        <v>44805</v>
      </c>
      <c r="D608" s="4" t="s">
        <v>182</v>
      </c>
      <c r="E608" s="14">
        <v>283.7835</v>
      </c>
      <c r="F608" s="7">
        <v>298985</v>
      </c>
      <c r="G608" s="14">
        <v>664.32950000000005</v>
      </c>
      <c r="H608" s="7">
        <v>911853</v>
      </c>
      <c r="I608" s="14">
        <v>948.11300000000006</v>
      </c>
      <c r="J608" s="7">
        <v>1210838</v>
      </c>
    </row>
    <row r="609" spans="1:10" x14ac:dyDescent="0.2">
      <c r="A609" s="9">
        <v>44816</v>
      </c>
      <c r="B609" s="4" t="s">
        <v>225</v>
      </c>
      <c r="C609" s="8">
        <v>44805</v>
      </c>
      <c r="D609" s="4" t="s">
        <v>182</v>
      </c>
      <c r="E609" s="14">
        <v>238.55590000000001</v>
      </c>
      <c r="F609" s="7">
        <v>250943</v>
      </c>
      <c r="G609" s="14">
        <v>583.64549999999997</v>
      </c>
      <c r="H609" s="7">
        <v>798222</v>
      </c>
      <c r="I609" s="14">
        <v>822.20140000000004</v>
      </c>
      <c r="J609" s="7">
        <v>1049165</v>
      </c>
    </row>
    <row r="610" spans="1:10" x14ac:dyDescent="0.2">
      <c r="A610" s="9">
        <v>44817</v>
      </c>
      <c r="B610" s="4" t="s">
        <v>223</v>
      </c>
      <c r="C610" s="8">
        <v>44805</v>
      </c>
      <c r="D610" s="4" t="s">
        <v>182</v>
      </c>
      <c r="E610" s="14">
        <v>236.31960000000001</v>
      </c>
      <c r="F610" s="7">
        <v>248149</v>
      </c>
      <c r="G610" s="14">
        <v>619.02629999999999</v>
      </c>
      <c r="H610" s="7">
        <v>818662</v>
      </c>
      <c r="I610" s="14">
        <v>855.34590000000003</v>
      </c>
      <c r="J610" s="7">
        <v>1066811</v>
      </c>
    </row>
    <row r="611" spans="1:10" x14ac:dyDescent="0.2">
      <c r="A611" s="9">
        <v>44818</v>
      </c>
      <c r="B611" s="4" t="s">
        <v>221</v>
      </c>
      <c r="C611" s="8">
        <v>44805</v>
      </c>
      <c r="D611" s="4" t="s">
        <v>182</v>
      </c>
      <c r="E611" s="14">
        <v>498.798</v>
      </c>
      <c r="F611" s="7">
        <v>519052</v>
      </c>
      <c r="G611" s="14">
        <v>788.32939999999996</v>
      </c>
      <c r="H611" s="7">
        <v>1103592</v>
      </c>
      <c r="I611" s="14">
        <v>1287.1274000000001</v>
      </c>
      <c r="J611" s="7">
        <v>1622644</v>
      </c>
    </row>
    <row r="612" spans="1:10" x14ac:dyDescent="0.2">
      <c r="A612" s="9">
        <v>44819</v>
      </c>
      <c r="B612" s="4" t="s">
        <v>224</v>
      </c>
      <c r="C612" s="8">
        <v>44805</v>
      </c>
      <c r="D612" s="4" t="s">
        <v>182</v>
      </c>
      <c r="E612" s="14">
        <v>445.32650000000001</v>
      </c>
      <c r="F612" s="7">
        <v>461334</v>
      </c>
      <c r="G612" s="14">
        <v>735.26679999999999</v>
      </c>
      <c r="H612" s="7">
        <v>981314</v>
      </c>
      <c r="I612" s="14">
        <v>1180.5933</v>
      </c>
      <c r="J612" s="7">
        <v>1442648</v>
      </c>
    </row>
    <row r="613" spans="1:10" x14ac:dyDescent="0.2">
      <c r="A613" s="9">
        <v>44820</v>
      </c>
      <c r="B613" s="4" t="s">
        <v>222</v>
      </c>
      <c r="C613" s="8">
        <v>44805</v>
      </c>
      <c r="D613" s="4" t="s">
        <v>182</v>
      </c>
      <c r="E613" s="14">
        <v>493.0369</v>
      </c>
      <c r="F613" s="7">
        <v>524718</v>
      </c>
      <c r="G613" s="14">
        <v>964.51160000000004</v>
      </c>
      <c r="H613" s="7">
        <v>1320798</v>
      </c>
      <c r="I613" s="14">
        <v>1457.5485000000001</v>
      </c>
      <c r="J613" s="7">
        <v>1845516</v>
      </c>
    </row>
    <row r="614" spans="1:10" x14ac:dyDescent="0.2">
      <c r="A614" s="9">
        <v>44823</v>
      </c>
      <c r="B614" s="4" t="s">
        <v>225</v>
      </c>
      <c r="C614" s="8">
        <v>44805</v>
      </c>
      <c r="D614" s="4" t="s">
        <v>182</v>
      </c>
      <c r="E614" s="14">
        <v>336.47309999999999</v>
      </c>
      <c r="F614" s="7">
        <v>356262</v>
      </c>
      <c r="G614" s="14">
        <v>680.05269999999996</v>
      </c>
      <c r="H614" s="7">
        <v>912529</v>
      </c>
      <c r="I614" s="14">
        <v>1016.5258</v>
      </c>
      <c r="J614" s="7">
        <v>1268791</v>
      </c>
    </row>
    <row r="615" spans="1:10" x14ac:dyDescent="0.2">
      <c r="A615" s="9">
        <v>44824</v>
      </c>
      <c r="B615" s="4" t="s">
        <v>223</v>
      </c>
      <c r="C615" s="8">
        <v>44805</v>
      </c>
      <c r="D615" s="4" t="s">
        <v>182</v>
      </c>
      <c r="E615" s="14">
        <v>348.84429999999998</v>
      </c>
      <c r="F615" s="7">
        <v>366661</v>
      </c>
      <c r="G615" s="14">
        <v>682.53769999999997</v>
      </c>
      <c r="H615" s="7">
        <v>922128</v>
      </c>
      <c r="I615" s="14">
        <v>1031.3820000000001</v>
      </c>
      <c r="J615" s="7">
        <v>1288789</v>
      </c>
    </row>
    <row r="616" spans="1:10" x14ac:dyDescent="0.2">
      <c r="A616" s="9">
        <v>44825</v>
      </c>
      <c r="B616" s="4" t="s">
        <v>221</v>
      </c>
      <c r="C616" s="8">
        <v>44805</v>
      </c>
      <c r="D616" s="4" t="s">
        <v>182</v>
      </c>
      <c r="E616" s="14">
        <v>367.9085</v>
      </c>
      <c r="F616" s="7">
        <v>385227</v>
      </c>
      <c r="G616" s="14">
        <v>681.09640000000002</v>
      </c>
      <c r="H616" s="7">
        <v>894379</v>
      </c>
      <c r="I616" s="14">
        <v>1049.0048999999999</v>
      </c>
      <c r="J616" s="7">
        <v>1279606</v>
      </c>
    </row>
    <row r="617" spans="1:10" x14ac:dyDescent="0.2">
      <c r="A617" s="9">
        <v>44826</v>
      </c>
      <c r="B617" s="4" t="s">
        <v>224</v>
      </c>
      <c r="C617" s="8">
        <v>44805</v>
      </c>
      <c r="D617" s="4" t="s">
        <v>182</v>
      </c>
      <c r="E617" s="14">
        <v>495.79410000000001</v>
      </c>
      <c r="F617" s="7">
        <v>523262</v>
      </c>
      <c r="G617" s="14">
        <v>749.72</v>
      </c>
      <c r="H617" s="7">
        <v>1017563</v>
      </c>
      <c r="I617" s="14">
        <v>1245.5141000000001</v>
      </c>
      <c r="J617" s="7">
        <v>1540825</v>
      </c>
    </row>
    <row r="618" spans="1:10" x14ac:dyDescent="0.2">
      <c r="A618" s="9">
        <v>44827</v>
      </c>
      <c r="B618" s="4" t="s">
        <v>222</v>
      </c>
      <c r="C618" s="8">
        <v>44805</v>
      </c>
      <c r="D618" s="4" t="s">
        <v>182</v>
      </c>
      <c r="E618" s="14">
        <v>531.07060000000001</v>
      </c>
      <c r="F618" s="7">
        <v>570712</v>
      </c>
      <c r="G618" s="14">
        <v>918.74310000000003</v>
      </c>
      <c r="H618" s="7">
        <v>1287762</v>
      </c>
      <c r="I618" s="14">
        <v>1449.8136999999999</v>
      </c>
      <c r="J618" s="7">
        <v>1858474</v>
      </c>
    </row>
    <row r="619" spans="1:10" x14ac:dyDescent="0.2">
      <c r="A619" s="9">
        <v>44830</v>
      </c>
      <c r="B619" s="4" t="s">
        <v>225</v>
      </c>
      <c r="C619" s="8">
        <v>44805</v>
      </c>
      <c r="D619" s="4" t="s">
        <v>182</v>
      </c>
      <c r="E619" s="14">
        <v>538.39530000000002</v>
      </c>
      <c r="F619" s="7">
        <v>594732</v>
      </c>
      <c r="G619" s="14">
        <v>1591.3108999999999</v>
      </c>
      <c r="H619" s="7">
        <v>2320655</v>
      </c>
      <c r="I619" s="14">
        <v>2129.7062000000001</v>
      </c>
      <c r="J619" s="7">
        <v>2915387</v>
      </c>
    </row>
    <row r="620" spans="1:10" x14ac:dyDescent="0.2">
      <c r="A620" s="9">
        <v>44831</v>
      </c>
      <c r="B620" s="4" t="s">
        <v>223</v>
      </c>
      <c r="C620" s="8">
        <v>44805</v>
      </c>
      <c r="D620" s="4" t="s">
        <v>182</v>
      </c>
      <c r="E620" s="14">
        <v>515.19799999999998</v>
      </c>
      <c r="F620" s="7">
        <v>572767</v>
      </c>
      <c r="G620" s="14">
        <v>1660.7539999999999</v>
      </c>
      <c r="H620" s="7">
        <v>2394844</v>
      </c>
      <c r="I620" s="14">
        <v>2175.9520000000002</v>
      </c>
      <c r="J620" s="7">
        <v>2967611</v>
      </c>
    </row>
    <row r="621" spans="1:10" x14ac:dyDescent="0.2">
      <c r="A621" s="9">
        <v>44832</v>
      </c>
      <c r="B621" s="4" t="s">
        <v>221</v>
      </c>
      <c r="C621" s="8">
        <v>44805</v>
      </c>
      <c r="D621" s="4" t="s">
        <v>182</v>
      </c>
      <c r="E621" s="14">
        <v>626.89250000000004</v>
      </c>
      <c r="F621" s="7">
        <v>704137</v>
      </c>
      <c r="G621" s="14">
        <v>1519.1931999999999</v>
      </c>
      <c r="H621" s="7">
        <v>2249395</v>
      </c>
      <c r="I621" s="14">
        <v>2146.0857000000001</v>
      </c>
      <c r="J621" s="7">
        <v>2953532</v>
      </c>
    </row>
    <row r="622" spans="1:10" x14ac:dyDescent="0.2">
      <c r="A622" s="9">
        <v>44833</v>
      </c>
      <c r="B622" s="4" t="s">
        <v>224</v>
      </c>
      <c r="C622" s="8">
        <v>44805</v>
      </c>
      <c r="D622" s="4" t="s">
        <v>182</v>
      </c>
      <c r="E622" s="14">
        <v>625.28459999999995</v>
      </c>
      <c r="F622" s="7">
        <v>703676</v>
      </c>
      <c r="G622" s="14">
        <v>1629.6804</v>
      </c>
      <c r="H622" s="7">
        <v>2404909</v>
      </c>
      <c r="I622" s="14">
        <v>2254.9650000000001</v>
      </c>
      <c r="J622" s="7">
        <v>3108585</v>
      </c>
    </row>
    <row r="623" spans="1:10" x14ac:dyDescent="0.2">
      <c r="A623" s="9">
        <v>44834</v>
      </c>
      <c r="B623" s="4" t="s">
        <v>222</v>
      </c>
      <c r="C623" s="8">
        <v>44805</v>
      </c>
      <c r="D623" s="4" t="s">
        <v>182</v>
      </c>
      <c r="E623" s="14">
        <v>561.7527</v>
      </c>
      <c r="F623" s="7">
        <v>621179</v>
      </c>
      <c r="G623" s="14">
        <v>684.39970000000005</v>
      </c>
      <c r="H623" s="7">
        <v>973989</v>
      </c>
      <c r="I623" s="14">
        <v>1246.1523999999999</v>
      </c>
      <c r="J623" s="7">
        <v>1595168</v>
      </c>
    </row>
    <row r="624" spans="1:10" x14ac:dyDescent="0.2">
      <c r="A624" s="9">
        <v>44837</v>
      </c>
      <c r="B624" s="4" t="s">
        <v>225</v>
      </c>
      <c r="C624" s="8">
        <v>44835</v>
      </c>
      <c r="D624" s="4" t="s">
        <v>183</v>
      </c>
      <c r="E624" s="14">
        <v>393.40539999999999</v>
      </c>
      <c r="F624" s="7">
        <v>440809</v>
      </c>
      <c r="G624" s="14">
        <v>636.90189999999996</v>
      </c>
      <c r="H624" s="7">
        <v>859967</v>
      </c>
      <c r="I624" s="14">
        <v>1030.3072999999999</v>
      </c>
      <c r="J624" s="7">
        <v>1300776</v>
      </c>
    </row>
    <row r="625" spans="1:10" x14ac:dyDescent="0.2">
      <c r="A625" s="9">
        <v>44838</v>
      </c>
      <c r="B625" s="4" t="s">
        <v>223</v>
      </c>
      <c r="C625" s="8">
        <v>44835</v>
      </c>
      <c r="D625" s="4" t="s">
        <v>183</v>
      </c>
      <c r="E625" s="14">
        <v>399.78769999999997</v>
      </c>
      <c r="F625" s="7">
        <v>437765</v>
      </c>
      <c r="G625" s="14">
        <v>584.59770000000003</v>
      </c>
      <c r="H625" s="7">
        <v>816534</v>
      </c>
      <c r="I625" s="14">
        <v>984.3854</v>
      </c>
      <c r="J625" s="7">
        <v>1254299</v>
      </c>
    </row>
    <row r="626" spans="1:10" x14ac:dyDescent="0.2">
      <c r="A626" s="9">
        <v>44840</v>
      </c>
      <c r="B626" s="4" t="s">
        <v>224</v>
      </c>
      <c r="C626" s="8">
        <v>44835</v>
      </c>
      <c r="D626" s="4" t="s">
        <v>183</v>
      </c>
      <c r="E626" s="14">
        <v>326.05279999999999</v>
      </c>
      <c r="F626" s="7">
        <v>353597</v>
      </c>
      <c r="G626" s="14">
        <v>554.46100000000001</v>
      </c>
      <c r="H626" s="7">
        <v>780477</v>
      </c>
      <c r="I626" s="14">
        <v>880.51379999999995</v>
      </c>
      <c r="J626" s="7">
        <v>1134074</v>
      </c>
    </row>
    <row r="627" spans="1:10" x14ac:dyDescent="0.2">
      <c r="A627" s="9">
        <v>44841</v>
      </c>
      <c r="B627" s="4" t="s">
        <v>222</v>
      </c>
      <c r="C627" s="8">
        <v>44835</v>
      </c>
      <c r="D627" s="4" t="s">
        <v>183</v>
      </c>
      <c r="E627" s="14">
        <v>321.90410000000003</v>
      </c>
      <c r="F627" s="7">
        <v>350999</v>
      </c>
      <c r="G627" s="14">
        <v>485.80779999999999</v>
      </c>
      <c r="H627" s="7">
        <v>666516</v>
      </c>
      <c r="I627" s="14">
        <v>807.71190000000001</v>
      </c>
      <c r="J627" s="7">
        <v>1017515</v>
      </c>
    </row>
    <row r="628" spans="1:10" x14ac:dyDescent="0.2">
      <c r="A628" s="9">
        <v>44844</v>
      </c>
      <c r="B628" s="4" t="s">
        <v>225</v>
      </c>
      <c r="C628" s="8">
        <v>44835</v>
      </c>
      <c r="D628" s="4" t="s">
        <v>183</v>
      </c>
      <c r="E628" s="14">
        <v>442.17899999999997</v>
      </c>
      <c r="F628" s="7">
        <v>486383</v>
      </c>
      <c r="G628" s="14">
        <v>510.67720000000003</v>
      </c>
      <c r="H628" s="7">
        <v>743587</v>
      </c>
      <c r="I628" s="14">
        <v>952.85619999999994</v>
      </c>
      <c r="J628" s="7">
        <v>1229970</v>
      </c>
    </row>
    <row r="629" spans="1:10" x14ac:dyDescent="0.2">
      <c r="A629" s="9">
        <v>44845</v>
      </c>
      <c r="B629" s="4" t="s">
        <v>223</v>
      </c>
      <c r="C629" s="8">
        <v>44835</v>
      </c>
      <c r="D629" s="4" t="s">
        <v>183</v>
      </c>
      <c r="E629" s="14">
        <v>378.58350000000002</v>
      </c>
      <c r="F629" s="7">
        <v>416473</v>
      </c>
      <c r="G629" s="14">
        <v>566.58619999999996</v>
      </c>
      <c r="H629" s="7">
        <v>848882</v>
      </c>
      <c r="I629" s="14">
        <v>945.16970000000003</v>
      </c>
      <c r="J629" s="7">
        <v>1265355</v>
      </c>
    </row>
    <row r="630" spans="1:10" x14ac:dyDescent="0.2">
      <c r="A630" s="9">
        <v>44846</v>
      </c>
      <c r="B630" s="4" t="s">
        <v>221</v>
      </c>
      <c r="C630" s="8">
        <v>44835</v>
      </c>
      <c r="D630" s="4" t="s">
        <v>183</v>
      </c>
      <c r="E630" s="14">
        <v>370.83159999999998</v>
      </c>
      <c r="F630" s="7">
        <v>411082</v>
      </c>
      <c r="G630" s="14">
        <v>525.55579999999998</v>
      </c>
      <c r="H630" s="7">
        <v>745259</v>
      </c>
      <c r="I630" s="14">
        <v>896.38739999999996</v>
      </c>
      <c r="J630" s="7">
        <v>1156341</v>
      </c>
    </row>
    <row r="631" spans="1:10" x14ac:dyDescent="0.2">
      <c r="A631" s="9">
        <v>44847</v>
      </c>
      <c r="B631" s="4" t="s">
        <v>224</v>
      </c>
      <c r="C631" s="8">
        <v>44835</v>
      </c>
      <c r="D631" s="4" t="s">
        <v>183</v>
      </c>
      <c r="E631" s="14">
        <v>423.12860000000001</v>
      </c>
      <c r="F631" s="7">
        <v>464578</v>
      </c>
      <c r="G631" s="14">
        <v>476.73070000000001</v>
      </c>
      <c r="H631" s="7">
        <v>711497</v>
      </c>
      <c r="I631" s="14">
        <v>899.85929999999996</v>
      </c>
      <c r="J631" s="7">
        <v>1176075</v>
      </c>
    </row>
    <row r="632" spans="1:10" x14ac:dyDescent="0.2">
      <c r="A632" s="9">
        <v>44848</v>
      </c>
      <c r="B632" s="4" t="s">
        <v>222</v>
      </c>
      <c r="C632" s="8">
        <v>44835</v>
      </c>
      <c r="D632" s="4" t="s">
        <v>183</v>
      </c>
      <c r="E632" s="14">
        <v>464.19720000000001</v>
      </c>
      <c r="F632" s="7">
        <v>505536</v>
      </c>
      <c r="G632" s="14">
        <v>604.69119999999998</v>
      </c>
      <c r="H632" s="7">
        <v>891783</v>
      </c>
      <c r="I632" s="14">
        <v>1068.8884</v>
      </c>
      <c r="J632" s="7">
        <v>1397319</v>
      </c>
    </row>
    <row r="633" spans="1:10" x14ac:dyDescent="0.2">
      <c r="A633" s="9">
        <v>44851</v>
      </c>
      <c r="B633" s="4" t="s">
        <v>225</v>
      </c>
      <c r="C633" s="8">
        <v>44835</v>
      </c>
      <c r="D633" s="4" t="s">
        <v>183</v>
      </c>
      <c r="E633" s="14">
        <v>379.95420000000001</v>
      </c>
      <c r="F633" s="7">
        <v>409340</v>
      </c>
      <c r="G633" s="14">
        <v>583.22289999999998</v>
      </c>
      <c r="H633" s="7">
        <v>833565</v>
      </c>
      <c r="I633" s="14">
        <v>963.1771</v>
      </c>
      <c r="J633" s="7">
        <v>1242905</v>
      </c>
    </row>
    <row r="634" spans="1:10" x14ac:dyDescent="0.2">
      <c r="A634" s="9">
        <v>44852</v>
      </c>
      <c r="B634" s="4" t="s">
        <v>223</v>
      </c>
      <c r="C634" s="8">
        <v>44835</v>
      </c>
      <c r="D634" s="4" t="s">
        <v>183</v>
      </c>
      <c r="E634" s="14">
        <v>332.3372</v>
      </c>
      <c r="F634" s="7">
        <v>358282</v>
      </c>
      <c r="G634" s="14">
        <v>787.76639999999998</v>
      </c>
      <c r="H634" s="7">
        <v>1064236</v>
      </c>
      <c r="I634" s="14">
        <v>1120.1035999999999</v>
      </c>
      <c r="J634" s="7">
        <v>1422518</v>
      </c>
    </row>
    <row r="635" spans="1:10" x14ac:dyDescent="0.2">
      <c r="A635" s="9">
        <v>44853</v>
      </c>
      <c r="B635" s="4" t="s">
        <v>221</v>
      </c>
      <c r="C635" s="8">
        <v>44835</v>
      </c>
      <c r="D635" s="4" t="s">
        <v>183</v>
      </c>
      <c r="E635" s="14">
        <v>349.92380000000003</v>
      </c>
      <c r="F635" s="7">
        <v>372979</v>
      </c>
      <c r="G635" s="14">
        <v>829.1499</v>
      </c>
      <c r="H635" s="7">
        <v>1136475</v>
      </c>
      <c r="I635" s="14">
        <v>1179.0736999999999</v>
      </c>
      <c r="J635" s="7">
        <v>1509454</v>
      </c>
    </row>
    <row r="636" spans="1:10" x14ac:dyDescent="0.2">
      <c r="A636" s="9">
        <v>44854</v>
      </c>
      <c r="B636" s="4" t="s">
        <v>224</v>
      </c>
      <c r="C636" s="8">
        <v>44835</v>
      </c>
      <c r="D636" s="4" t="s">
        <v>183</v>
      </c>
      <c r="E636" s="14">
        <v>390.74829999999997</v>
      </c>
      <c r="F636" s="7">
        <v>419843</v>
      </c>
      <c r="G636" s="14">
        <v>1263.3513</v>
      </c>
      <c r="H636" s="7">
        <v>1794221</v>
      </c>
      <c r="I636" s="14">
        <v>1654.0996</v>
      </c>
      <c r="J636" s="7">
        <v>2214064</v>
      </c>
    </row>
    <row r="637" spans="1:10" x14ac:dyDescent="0.2">
      <c r="A637" s="9">
        <v>44855</v>
      </c>
      <c r="B637" s="4" t="s">
        <v>222</v>
      </c>
      <c r="C637" s="8">
        <v>44835</v>
      </c>
      <c r="D637" s="4" t="s">
        <v>183</v>
      </c>
      <c r="E637" s="14">
        <v>449.35120000000001</v>
      </c>
      <c r="F637" s="7">
        <v>474224</v>
      </c>
      <c r="G637" s="14">
        <v>1700.9177</v>
      </c>
      <c r="H637" s="7">
        <v>2366640</v>
      </c>
      <c r="I637" s="14">
        <v>2150.2689</v>
      </c>
      <c r="J637" s="7">
        <v>2840864</v>
      </c>
    </row>
    <row r="638" spans="1:10" x14ac:dyDescent="0.2">
      <c r="A638" s="9">
        <v>44858</v>
      </c>
      <c r="B638" s="4" t="s">
        <v>225</v>
      </c>
      <c r="C638" s="8">
        <v>44835</v>
      </c>
      <c r="D638" s="4" t="s">
        <v>183</v>
      </c>
      <c r="E638" s="14">
        <v>155.13589999999999</v>
      </c>
      <c r="F638" s="7">
        <v>165816</v>
      </c>
      <c r="G638" s="14">
        <v>212.4956</v>
      </c>
      <c r="H638" s="7">
        <v>287073</v>
      </c>
      <c r="I638" s="14">
        <v>367.63150000000002</v>
      </c>
      <c r="J638" s="7">
        <v>452889</v>
      </c>
    </row>
    <row r="639" spans="1:10" x14ac:dyDescent="0.2">
      <c r="A639" s="9">
        <v>44859</v>
      </c>
      <c r="B639" s="4" t="s">
        <v>223</v>
      </c>
      <c r="C639" s="8">
        <v>44835</v>
      </c>
      <c r="D639" s="4" t="s">
        <v>183</v>
      </c>
      <c r="E639" s="14">
        <v>417.76780000000002</v>
      </c>
      <c r="F639" s="7">
        <v>442619</v>
      </c>
      <c r="G639" s="14">
        <v>1791.3494000000001</v>
      </c>
      <c r="H639" s="7">
        <v>2542835</v>
      </c>
      <c r="I639" s="14">
        <v>2209.1172000000001</v>
      </c>
      <c r="J639" s="7">
        <v>2985454</v>
      </c>
    </row>
    <row r="640" spans="1:10" x14ac:dyDescent="0.2">
      <c r="A640" s="9">
        <v>44861</v>
      </c>
      <c r="B640" s="4" t="s">
        <v>224</v>
      </c>
      <c r="C640" s="8">
        <v>44835</v>
      </c>
      <c r="D640" s="4" t="s">
        <v>183</v>
      </c>
      <c r="E640" s="14">
        <v>615.58699999999999</v>
      </c>
      <c r="F640" s="7">
        <v>655138</v>
      </c>
      <c r="G640" s="14">
        <v>1613.7991</v>
      </c>
      <c r="H640" s="7">
        <v>2298643</v>
      </c>
      <c r="I640" s="14">
        <v>2229.3861000000002</v>
      </c>
      <c r="J640" s="7">
        <v>2953781</v>
      </c>
    </row>
    <row r="641" spans="1:10" x14ac:dyDescent="0.2">
      <c r="A641" s="9">
        <v>44862</v>
      </c>
      <c r="B641" s="4" t="s">
        <v>222</v>
      </c>
      <c r="C641" s="8">
        <v>44835</v>
      </c>
      <c r="D641" s="4" t="s">
        <v>183</v>
      </c>
      <c r="E641" s="14">
        <v>327.57780000000002</v>
      </c>
      <c r="F641" s="7">
        <v>341244</v>
      </c>
      <c r="G641" s="14">
        <v>559.03689999999995</v>
      </c>
      <c r="H641" s="7">
        <v>817765</v>
      </c>
      <c r="I641" s="14">
        <v>886.61469999999997</v>
      </c>
      <c r="J641" s="7">
        <v>1159009</v>
      </c>
    </row>
    <row r="642" spans="1:10" x14ac:dyDescent="0.2">
      <c r="A642" s="9">
        <v>44865</v>
      </c>
      <c r="B642" s="4" t="s">
        <v>225</v>
      </c>
      <c r="C642" s="8">
        <v>44835</v>
      </c>
      <c r="D642" s="4" t="s">
        <v>183</v>
      </c>
      <c r="E642" s="14">
        <v>251.15549999999999</v>
      </c>
      <c r="F642" s="7">
        <v>261149</v>
      </c>
      <c r="G642" s="14">
        <v>544.05619999999999</v>
      </c>
      <c r="H642" s="7">
        <v>798748</v>
      </c>
      <c r="I642" s="14">
        <v>795.21169999999995</v>
      </c>
      <c r="J642" s="7">
        <v>1059897</v>
      </c>
    </row>
    <row r="643" spans="1:10" x14ac:dyDescent="0.2">
      <c r="A643" s="9">
        <v>44866</v>
      </c>
      <c r="B643" s="4" t="s">
        <v>223</v>
      </c>
      <c r="C643" s="8">
        <v>44866</v>
      </c>
      <c r="D643" s="4" t="s">
        <v>183</v>
      </c>
      <c r="E643" s="14">
        <v>317.73540000000003</v>
      </c>
      <c r="F643" s="7">
        <v>327859</v>
      </c>
      <c r="G643" s="14">
        <v>670.60580000000004</v>
      </c>
      <c r="H643" s="7">
        <v>963451</v>
      </c>
      <c r="I643" s="14">
        <v>988.34119999999996</v>
      </c>
      <c r="J643" s="7">
        <v>1291310</v>
      </c>
    </row>
    <row r="644" spans="1:10" x14ac:dyDescent="0.2">
      <c r="A644" s="9">
        <v>44867</v>
      </c>
      <c r="B644" s="4" t="s">
        <v>221</v>
      </c>
      <c r="C644" s="8">
        <v>44866</v>
      </c>
      <c r="D644" s="4" t="s">
        <v>183</v>
      </c>
      <c r="E644" s="14">
        <v>233.75460000000001</v>
      </c>
      <c r="F644" s="7">
        <v>241312</v>
      </c>
      <c r="G644" s="14">
        <v>534.31150000000002</v>
      </c>
      <c r="H644" s="7">
        <v>784082</v>
      </c>
      <c r="I644" s="14">
        <v>768.06610000000001</v>
      </c>
      <c r="J644" s="7">
        <v>1025394</v>
      </c>
    </row>
    <row r="645" spans="1:10" x14ac:dyDescent="0.2">
      <c r="A645" s="9">
        <v>44868</v>
      </c>
      <c r="B645" s="4" t="s">
        <v>224</v>
      </c>
      <c r="C645" s="8">
        <v>44866</v>
      </c>
      <c r="D645" s="4" t="s">
        <v>183</v>
      </c>
      <c r="E645" s="14">
        <v>326.58</v>
      </c>
      <c r="F645" s="7">
        <v>336587</v>
      </c>
      <c r="G645" s="14">
        <v>513.52160000000003</v>
      </c>
      <c r="H645" s="7">
        <v>740423</v>
      </c>
      <c r="I645" s="14">
        <v>840.10159999999996</v>
      </c>
      <c r="J645" s="7">
        <v>1077010</v>
      </c>
    </row>
    <row r="646" spans="1:10" x14ac:dyDescent="0.2">
      <c r="A646" s="9">
        <v>44869</v>
      </c>
      <c r="B646" s="4" t="s">
        <v>222</v>
      </c>
      <c r="C646" s="8">
        <v>44866</v>
      </c>
      <c r="D646" s="4" t="s">
        <v>183</v>
      </c>
      <c r="E646" s="14">
        <v>260.61669999999998</v>
      </c>
      <c r="F646" s="7">
        <v>268204</v>
      </c>
      <c r="G646" s="14">
        <v>613.4307</v>
      </c>
      <c r="H646" s="7">
        <v>891815</v>
      </c>
      <c r="I646" s="14">
        <v>874.04740000000004</v>
      </c>
      <c r="J646" s="7">
        <v>1160019</v>
      </c>
    </row>
    <row r="647" spans="1:10" x14ac:dyDescent="0.2">
      <c r="A647" s="9">
        <v>44872</v>
      </c>
      <c r="B647" s="4" t="s">
        <v>225</v>
      </c>
      <c r="C647" s="8">
        <v>44866</v>
      </c>
      <c r="D647" s="4" t="s">
        <v>183</v>
      </c>
      <c r="E647" s="14">
        <v>337.56549999999999</v>
      </c>
      <c r="F647" s="7">
        <v>347681</v>
      </c>
      <c r="G647" s="14">
        <v>740.78129999999999</v>
      </c>
      <c r="H647" s="7">
        <v>1043646</v>
      </c>
      <c r="I647" s="14">
        <v>1078.3468</v>
      </c>
      <c r="J647" s="7">
        <v>1391327</v>
      </c>
    </row>
    <row r="648" spans="1:10" x14ac:dyDescent="0.2">
      <c r="A648" s="9">
        <v>44874</v>
      </c>
      <c r="B648" s="4" t="s">
        <v>221</v>
      </c>
      <c r="C648" s="8">
        <v>44866</v>
      </c>
      <c r="D648" s="4" t="s">
        <v>183</v>
      </c>
      <c r="E648" s="14">
        <v>288.24360000000001</v>
      </c>
      <c r="F648" s="7">
        <v>296646</v>
      </c>
      <c r="G648" s="14">
        <v>694.88810000000001</v>
      </c>
      <c r="H648" s="7">
        <v>996032</v>
      </c>
      <c r="I648" s="14">
        <v>983.13170000000002</v>
      </c>
      <c r="J648" s="7">
        <v>1292678</v>
      </c>
    </row>
    <row r="649" spans="1:10" x14ac:dyDescent="0.2">
      <c r="A649" s="9">
        <v>44875</v>
      </c>
      <c r="B649" s="4" t="s">
        <v>224</v>
      </c>
      <c r="C649" s="8">
        <v>44866</v>
      </c>
      <c r="D649" s="4" t="s">
        <v>183</v>
      </c>
      <c r="E649" s="14">
        <v>302.77719999999999</v>
      </c>
      <c r="F649" s="7">
        <v>312930</v>
      </c>
      <c r="G649" s="14">
        <v>590.9375</v>
      </c>
      <c r="H649" s="7">
        <v>877949</v>
      </c>
      <c r="I649" s="14">
        <v>893.71469999999999</v>
      </c>
      <c r="J649" s="7">
        <v>1190879</v>
      </c>
    </row>
    <row r="650" spans="1:10" x14ac:dyDescent="0.2">
      <c r="A650" s="9">
        <v>44876</v>
      </c>
      <c r="B650" s="4" t="s">
        <v>222</v>
      </c>
      <c r="C650" s="8">
        <v>44866</v>
      </c>
      <c r="D650" s="4" t="s">
        <v>183</v>
      </c>
      <c r="E650" s="14">
        <v>396.6481</v>
      </c>
      <c r="F650" s="7">
        <v>403536</v>
      </c>
      <c r="G650" s="14">
        <v>899.53530000000001</v>
      </c>
      <c r="H650" s="7">
        <v>1288541</v>
      </c>
      <c r="I650" s="14">
        <v>1296.1833999999999</v>
      </c>
      <c r="J650" s="7">
        <v>1692077</v>
      </c>
    </row>
    <row r="651" spans="1:10" x14ac:dyDescent="0.2">
      <c r="A651" s="9">
        <v>44879</v>
      </c>
      <c r="B651" s="4" t="s">
        <v>225</v>
      </c>
      <c r="C651" s="8">
        <v>44866</v>
      </c>
      <c r="D651" s="4" t="s">
        <v>183</v>
      </c>
      <c r="E651" s="14">
        <v>234.95849999999999</v>
      </c>
      <c r="F651" s="7">
        <v>238500</v>
      </c>
      <c r="G651" s="14">
        <v>651.02930000000003</v>
      </c>
      <c r="H651" s="7">
        <v>946045</v>
      </c>
      <c r="I651" s="14">
        <v>885.98779999999999</v>
      </c>
      <c r="J651" s="7">
        <v>1184545</v>
      </c>
    </row>
    <row r="652" spans="1:10" x14ac:dyDescent="0.2">
      <c r="A652" s="9">
        <v>44880</v>
      </c>
      <c r="B652" s="4" t="s">
        <v>223</v>
      </c>
      <c r="C652" s="8">
        <v>44866</v>
      </c>
      <c r="D652" s="4" t="s">
        <v>183</v>
      </c>
      <c r="E652" s="14">
        <v>236.41640000000001</v>
      </c>
      <c r="F652" s="7">
        <v>239860</v>
      </c>
      <c r="G652" s="14">
        <v>568.11170000000004</v>
      </c>
      <c r="H652" s="7">
        <v>821150</v>
      </c>
      <c r="I652" s="14">
        <v>804.52809999999999</v>
      </c>
      <c r="J652" s="7">
        <v>1061010</v>
      </c>
    </row>
    <row r="653" spans="1:10" x14ac:dyDescent="0.2">
      <c r="A653" s="9">
        <v>44881</v>
      </c>
      <c r="B653" s="4" t="s">
        <v>221</v>
      </c>
      <c r="C653" s="8">
        <v>44866</v>
      </c>
      <c r="D653" s="4" t="s">
        <v>183</v>
      </c>
      <c r="E653" s="14">
        <v>295.64089999999999</v>
      </c>
      <c r="F653" s="7">
        <v>300056</v>
      </c>
      <c r="G653" s="14">
        <v>684.1558</v>
      </c>
      <c r="H653" s="7">
        <v>960769</v>
      </c>
      <c r="I653" s="14">
        <v>979.79669999999999</v>
      </c>
      <c r="J653" s="7">
        <v>1260825</v>
      </c>
    </row>
    <row r="654" spans="1:10" x14ac:dyDescent="0.2">
      <c r="A654" s="9">
        <v>44882</v>
      </c>
      <c r="B654" s="4" t="s">
        <v>224</v>
      </c>
      <c r="C654" s="8">
        <v>44866</v>
      </c>
      <c r="D654" s="4" t="s">
        <v>183</v>
      </c>
      <c r="E654" s="14">
        <v>240.63290000000001</v>
      </c>
      <c r="F654" s="7">
        <v>245860</v>
      </c>
      <c r="G654" s="14">
        <v>580.54970000000003</v>
      </c>
      <c r="H654" s="7">
        <v>838177</v>
      </c>
      <c r="I654" s="14">
        <v>821.18259999999998</v>
      </c>
      <c r="J654" s="7">
        <v>1084037</v>
      </c>
    </row>
    <row r="655" spans="1:10" x14ac:dyDescent="0.2">
      <c r="A655" s="9">
        <v>44883</v>
      </c>
      <c r="B655" s="4" t="s">
        <v>222</v>
      </c>
      <c r="C655" s="8">
        <v>44866</v>
      </c>
      <c r="D655" s="4" t="s">
        <v>183</v>
      </c>
      <c r="E655" s="14">
        <v>325.77929999999998</v>
      </c>
      <c r="F655" s="7">
        <v>334168</v>
      </c>
      <c r="G655" s="14">
        <v>784.12189999999998</v>
      </c>
      <c r="H655" s="7">
        <v>1126272</v>
      </c>
      <c r="I655" s="14">
        <v>1109.9012</v>
      </c>
      <c r="J655" s="7">
        <v>1460440</v>
      </c>
    </row>
    <row r="656" spans="1:10" x14ac:dyDescent="0.2">
      <c r="A656" s="9">
        <v>44886</v>
      </c>
      <c r="B656" s="4" t="s">
        <v>225</v>
      </c>
      <c r="C656" s="8">
        <v>44866</v>
      </c>
      <c r="D656" s="4" t="s">
        <v>183</v>
      </c>
      <c r="E656" s="14">
        <v>267.7894</v>
      </c>
      <c r="F656" s="7">
        <v>277507</v>
      </c>
      <c r="G656" s="14">
        <v>1389.8204000000001</v>
      </c>
      <c r="H656" s="7">
        <v>2048972</v>
      </c>
      <c r="I656" s="14">
        <v>1657.6098</v>
      </c>
      <c r="J656" s="7">
        <v>2326479</v>
      </c>
    </row>
    <row r="657" spans="1:10" x14ac:dyDescent="0.2">
      <c r="A657" s="9">
        <v>44887</v>
      </c>
      <c r="B657" s="4" t="s">
        <v>223</v>
      </c>
      <c r="C657" s="8">
        <v>44866</v>
      </c>
      <c r="D657" s="4" t="s">
        <v>183</v>
      </c>
      <c r="E657" s="14">
        <v>265.73309999999998</v>
      </c>
      <c r="F657" s="7">
        <v>274635</v>
      </c>
      <c r="G657" s="14">
        <v>1465.2610999999999</v>
      </c>
      <c r="H657" s="7">
        <v>2120783</v>
      </c>
      <c r="I657" s="14">
        <v>1730.9942000000001</v>
      </c>
      <c r="J657" s="7">
        <v>2395418</v>
      </c>
    </row>
    <row r="658" spans="1:10" x14ac:dyDescent="0.2">
      <c r="A658" s="9">
        <v>44888</v>
      </c>
      <c r="B658" s="4" t="s">
        <v>221</v>
      </c>
      <c r="C658" s="8">
        <v>44866</v>
      </c>
      <c r="D658" s="4" t="s">
        <v>183</v>
      </c>
      <c r="E658" s="14">
        <v>369.32060000000001</v>
      </c>
      <c r="F658" s="7">
        <v>378749</v>
      </c>
      <c r="G658" s="14">
        <v>1392.7141999999999</v>
      </c>
      <c r="H658" s="7">
        <v>2010662</v>
      </c>
      <c r="I658" s="14">
        <v>1762.0347999999999</v>
      </c>
      <c r="J658" s="7">
        <v>2389411</v>
      </c>
    </row>
    <row r="659" spans="1:10" x14ac:dyDescent="0.2">
      <c r="A659" s="9">
        <v>44889</v>
      </c>
      <c r="B659" s="4" t="s">
        <v>224</v>
      </c>
      <c r="C659" s="8">
        <v>44866</v>
      </c>
      <c r="D659" s="4" t="s">
        <v>183</v>
      </c>
      <c r="E659" s="14">
        <v>527.6798</v>
      </c>
      <c r="F659" s="7">
        <v>540579</v>
      </c>
      <c r="G659" s="14">
        <v>1533.5269000000001</v>
      </c>
      <c r="H659" s="7">
        <v>2251354</v>
      </c>
      <c r="I659" s="14">
        <v>2061.2067000000002</v>
      </c>
      <c r="J659" s="7">
        <v>2791933</v>
      </c>
    </row>
    <row r="660" spans="1:10" x14ac:dyDescent="0.2">
      <c r="A660" s="9">
        <v>44890</v>
      </c>
      <c r="B660" s="4" t="s">
        <v>222</v>
      </c>
      <c r="C660" s="8">
        <v>44866</v>
      </c>
      <c r="D660" s="4" t="s">
        <v>183</v>
      </c>
      <c r="E660" s="14">
        <v>261.6386</v>
      </c>
      <c r="F660" s="7">
        <v>260918</v>
      </c>
      <c r="G660" s="14">
        <v>547.25540000000001</v>
      </c>
      <c r="H660" s="7">
        <v>770726</v>
      </c>
      <c r="I660" s="14">
        <v>808.89400000000001</v>
      </c>
      <c r="J660" s="7">
        <v>1031644</v>
      </c>
    </row>
    <row r="661" spans="1:10" x14ac:dyDescent="0.2">
      <c r="A661" s="9">
        <v>44893</v>
      </c>
      <c r="B661" s="4" t="s">
        <v>225</v>
      </c>
      <c r="C661" s="8">
        <v>44866</v>
      </c>
      <c r="D661" s="4" t="s">
        <v>183</v>
      </c>
      <c r="E661" s="14">
        <v>218.80009999999999</v>
      </c>
      <c r="F661" s="7">
        <v>220676</v>
      </c>
      <c r="G661" s="14">
        <v>486.65929999999997</v>
      </c>
      <c r="H661" s="7">
        <v>693551</v>
      </c>
      <c r="I661" s="14">
        <v>705.45939999999996</v>
      </c>
      <c r="J661" s="7">
        <v>914227</v>
      </c>
    </row>
    <row r="662" spans="1:10" x14ac:dyDescent="0.2">
      <c r="A662" s="9">
        <v>44894</v>
      </c>
      <c r="B662" s="4" t="s">
        <v>223</v>
      </c>
      <c r="C662" s="8">
        <v>44866</v>
      </c>
      <c r="D662" s="4" t="s">
        <v>183</v>
      </c>
      <c r="E662" s="14">
        <v>209.58349999999999</v>
      </c>
      <c r="F662" s="7">
        <v>210523</v>
      </c>
      <c r="G662" s="14">
        <v>449.58780000000002</v>
      </c>
      <c r="H662" s="7">
        <v>649657</v>
      </c>
      <c r="I662" s="14">
        <v>659.17129999999997</v>
      </c>
      <c r="J662" s="7">
        <v>860180</v>
      </c>
    </row>
    <row r="663" spans="1:10" x14ac:dyDescent="0.2">
      <c r="A663" s="9">
        <v>44895</v>
      </c>
      <c r="B663" s="4" t="s">
        <v>221</v>
      </c>
      <c r="C663" s="8">
        <v>44866</v>
      </c>
      <c r="D663" s="4" t="s">
        <v>183</v>
      </c>
      <c r="E663" s="14">
        <v>269.5308</v>
      </c>
      <c r="F663" s="7">
        <v>268705</v>
      </c>
      <c r="G663" s="14">
        <v>571.25160000000005</v>
      </c>
      <c r="H663" s="7">
        <v>795886</v>
      </c>
      <c r="I663" s="14">
        <v>840.78240000000005</v>
      </c>
      <c r="J663" s="7">
        <v>1064591</v>
      </c>
    </row>
    <row r="664" spans="1:10" x14ac:dyDescent="0.2">
      <c r="A664" s="9">
        <v>44896</v>
      </c>
      <c r="B664" s="4" t="s">
        <v>224</v>
      </c>
      <c r="C664" s="8">
        <v>44896</v>
      </c>
      <c r="D664" s="4" t="s">
        <v>183</v>
      </c>
      <c r="E664" s="14">
        <v>284.63780000000003</v>
      </c>
      <c r="F664" s="7">
        <v>281799</v>
      </c>
      <c r="G664" s="14">
        <v>561.80619999999999</v>
      </c>
      <c r="H664" s="7">
        <v>815364</v>
      </c>
      <c r="I664" s="14">
        <v>846.44399999999996</v>
      </c>
      <c r="J664" s="7">
        <v>1097163</v>
      </c>
    </row>
    <row r="665" spans="1:10" x14ac:dyDescent="0.2">
      <c r="A665" s="9">
        <v>44897</v>
      </c>
      <c r="B665" s="4" t="s">
        <v>222</v>
      </c>
      <c r="C665" s="8">
        <v>44896</v>
      </c>
      <c r="D665" s="4" t="s">
        <v>183</v>
      </c>
      <c r="E665" s="14">
        <v>267.91930000000002</v>
      </c>
      <c r="F665" s="7">
        <v>270218</v>
      </c>
      <c r="G665" s="14">
        <v>512.06740000000002</v>
      </c>
      <c r="H665" s="7">
        <v>723787</v>
      </c>
      <c r="I665" s="14">
        <v>779.98670000000004</v>
      </c>
      <c r="J665" s="7">
        <v>994005</v>
      </c>
    </row>
    <row r="666" spans="1:10" x14ac:dyDescent="0.2">
      <c r="A666" s="9">
        <v>44900</v>
      </c>
      <c r="B666" s="4" t="s">
        <v>225</v>
      </c>
      <c r="C666" s="8">
        <v>44896</v>
      </c>
      <c r="D666" s="4" t="s">
        <v>183</v>
      </c>
      <c r="E666" s="14">
        <v>246.27430000000001</v>
      </c>
      <c r="F666" s="7">
        <v>246984</v>
      </c>
      <c r="G666" s="14">
        <v>487.26920000000001</v>
      </c>
      <c r="H666" s="7">
        <v>691175</v>
      </c>
      <c r="I666" s="14">
        <v>733.54349999999999</v>
      </c>
      <c r="J666" s="7">
        <v>938159</v>
      </c>
    </row>
    <row r="667" spans="1:10" x14ac:dyDescent="0.2">
      <c r="A667" s="9">
        <v>44901</v>
      </c>
      <c r="B667" s="4" t="s">
        <v>223</v>
      </c>
      <c r="C667" s="8">
        <v>44896</v>
      </c>
      <c r="D667" s="4" t="s">
        <v>183</v>
      </c>
      <c r="E667" s="14">
        <v>227.71809999999999</v>
      </c>
      <c r="F667" s="7">
        <v>229443</v>
      </c>
      <c r="G667" s="14">
        <v>478.30450000000002</v>
      </c>
      <c r="H667" s="7">
        <v>658090</v>
      </c>
      <c r="I667" s="14">
        <v>706.02260000000001</v>
      </c>
      <c r="J667" s="7">
        <v>887533</v>
      </c>
    </row>
    <row r="668" spans="1:10" x14ac:dyDescent="0.2">
      <c r="A668" s="9">
        <v>44902</v>
      </c>
      <c r="B668" s="4" t="s">
        <v>221</v>
      </c>
      <c r="C668" s="8">
        <v>44896</v>
      </c>
      <c r="D668" s="4" t="s">
        <v>183</v>
      </c>
      <c r="E668" s="14">
        <v>247.30070000000001</v>
      </c>
      <c r="F668" s="7">
        <v>247457</v>
      </c>
      <c r="G668" s="14">
        <v>464.04309999999998</v>
      </c>
      <c r="H668" s="7">
        <v>654112</v>
      </c>
      <c r="I668" s="14">
        <v>711.34379999999999</v>
      </c>
      <c r="J668" s="7">
        <v>901569</v>
      </c>
    </row>
    <row r="669" spans="1:10" x14ac:dyDescent="0.2">
      <c r="A669" s="9">
        <v>44903</v>
      </c>
      <c r="B669" s="4" t="s">
        <v>224</v>
      </c>
      <c r="C669" s="8">
        <v>44896</v>
      </c>
      <c r="D669" s="4" t="s">
        <v>183</v>
      </c>
      <c r="E669" s="14">
        <v>264.28519999999997</v>
      </c>
      <c r="F669" s="7">
        <v>260264</v>
      </c>
      <c r="G669" s="14">
        <v>455.8381</v>
      </c>
      <c r="H669" s="7">
        <v>620766</v>
      </c>
      <c r="I669" s="14">
        <v>720.12329999999997</v>
      </c>
      <c r="J669" s="7">
        <v>881030</v>
      </c>
    </row>
    <row r="670" spans="1:10" x14ac:dyDescent="0.2">
      <c r="A670" s="9">
        <v>44904</v>
      </c>
      <c r="B670" s="4" t="s">
        <v>222</v>
      </c>
      <c r="C670" s="8">
        <v>44896</v>
      </c>
      <c r="D670" s="4" t="s">
        <v>183</v>
      </c>
      <c r="E670" s="14">
        <v>318.22300000000001</v>
      </c>
      <c r="F670" s="7">
        <v>317548</v>
      </c>
      <c r="G670" s="14">
        <v>615.32339999999999</v>
      </c>
      <c r="H670" s="7">
        <v>848845</v>
      </c>
      <c r="I670" s="14">
        <v>933.54639999999995</v>
      </c>
      <c r="J670" s="7">
        <v>1166393</v>
      </c>
    </row>
    <row r="671" spans="1:10" x14ac:dyDescent="0.2">
      <c r="A671" s="9">
        <v>44907</v>
      </c>
      <c r="B671" s="4" t="s">
        <v>225</v>
      </c>
      <c r="C671" s="8">
        <v>44896</v>
      </c>
      <c r="D671" s="4" t="s">
        <v>183</v>
      </c>
      <c r="E671" s="14">
        <v>246.91980000000001</v>
      </c>
      <c r="F671" s="7">
        <v>248719</v>
      </c>
      <c r="G671" s="14">
        <v>451.3612</v>
      </c>
      <c r="H671" s="7">
        <v>642043</v>
      </c>
      <c r="I671" s="14">
        <v>698.28099999999995</v>
      </c>
      <c r="J671" s="7">
        <v>890762</v>
      </c>
    </row>
    <row r="672" spans="1:10" x14ac:dyDescent="0.2">
      <c r="A672" s="9">
        <v>44908</v>
      </c>
      <c r="B672" s="4" t="s">
        <v>223</v>
      </c>
      <c r="C672" s="8">
        <v>44896</v>
      </c>
      <c r="D672" s="4" t="s">
        <v>183</v>
      </c>
      <c r="E672" s="14">
        <v>214.1559</v>
      </c>
      <c r="F672" s="7">
        <v>214881</v>
      </c>
      <c r="G672" s="14">
        <v>436.1404</v>
      </c>
      <c r="H672" s="7">
        <v>609103</v>
      </c>
      <c r="I672" s="14">
        <v>650.29629999999997</v>
      </c>
      <c r="J672" s="7">
        <v>823984</v>
      </c>
    </row>
    <row r="673" spans="1:10" x14ac:dyDescent="0.2">
      <c r="A673" s="9">
        <v>44909</v>
      </c>
      <c r="B673" s="4" t="s">
        <v>221</v>
      </c>
      <c r="C673" s="8">
        <v>44896</v>
      </c>
      <c r="D673" s="4" t="s">
        <v>183</v>
      </c>
      <c r="E673" s="14">
        <v>224.70400000000001</v>
      </c>
      <c r="F673" s="7">
        <v>222837</v>
      </c>
      <c r="G673" s="14">
        <v>492.62459999999999</v>
      </c>
      <c r="H673" s="7">
        <v>688933</v>
      </c>
      <c r="I673" s="14">
        <v>717.32860000000005</v>
      </c>
      <c r="J673" s="7">
        <v>911770</v>
      </c>
    </row>
    <row r="674" spans="1:10" x14ac:dyDescent="0.2">
      <c r="A674" s="9">
        <v>44910</v>
      </c>
      <c r="B674" s="4" t="s">
        <v>224</v>
      </c>
      <c r="C674" s="8">
        <v>44896</v>
      </c>
      <c r="D674" s="4" t="s">
        <v>183</v>
      </c>
      <c r="E674" s="14">
        <v>350.53629999999998</v>
      </c>
      <c r="F674" s="7">
        <v>350756</v>
      </c>
      <c r="G674" s="14">
        <v>539.37469999999996</v>
      </c>
      <c r="H674" s="7">
        <v>748097</v>
      </c>
      <c r="I674" s="14">
        <v>889.91099999999994</v>
      </c>
      <c r="J674" s="7">
        <v>1098853</v>
      </c>
    </row>
    <row r="675" spans="1:10" x14ac:dyDescent="0.2">
      <c r="A675" s="9">
        <v>44911</v>
      </c>
      <c r="B675" s="4" t="s">
        <v>222</v>
      </c>
      <c r="C675" s="8">
        <v>44896</v>
      </c>
      <c r="D675" s="4" t="s">
        <v>183</v>
      </c>
      <c r="E675" s="14">
        <v>411.07060000000001</v>
      </c>
      <c r="F675" s="7">
        <v>415597</v>
      </c>
      <c r="G675" s="14">
        <v>607.97379999999998</v>
      </c>
      <c r="H675" s="7">
        <v>873939</v>
      </c>
      <c r="I675" s="14">
        <v>1019.0444</v>
      </c>
      <c r="J675" s="7">
        <v>1289536</v>
      </c>
    </row>
    <row r="676" spans="1:10" x14ac:dyDescent="0.2">
      <c r="A676" s="9">
        <v>44914</v>
      </c>
      <c r="B676" s="4" t="s">
        <v>225</v>
      </c>
      <c r="C676" s="8">
        <v>44896</v>
      </c>
      <c r="D676" s="4" t="s">
        <v>183</v>
      </c>
      <c r="E676" s="14">
        <v>262.0342</v>
      </c>
      <c r="F676" s="7">
        <v>266575</v>
      </c>
      <c r="G676" s="14">
        <v>467.03519999999997</v>
      </c>
      <c r="H676" s="7">
        <v>666109</v>
      </c>
      <c r="I676" s="14">
        <v>729.06939999999997</v>
      </c>
      <c r="J676" s="7">
        <v>932684</v>
      </c>
    </row>
    <row r="677" spans="1:10" x14ac:dyDescent="0.2">
      <c r="A677" s="9">
        <v>44915</v>
      </c>
      <c r="B677" s="4" t="s">
        <v>223</v>
      </c>
      <c r="C677" s="8">
        <v>44896</v>
      </c>
      <c r="D677" s="4" t="s">
        <v>183</v>
      </c>
      <c r="E677" s="14">
        <v>402.71730000000002</v>
      </c>
      <c r="F677" s="7">
        <v>410961</v>
      </c>
      <c r="G677" s="14">
        <v>507.76679999999999</v>
      </c>
      <c r="H677" s="7">
        <v>723342</v>
      </c>
      <c r="I677" s="14">
        <v>910.48410000000001</v>
      </c>
      <c r="J677" s="7">
        <v>1134303</v>
      </c>
    </row>
    <row r="678" spans="1:10" x14ac:dyDescent="0.2">
      <c r="A678" s="9">
        <v>44916</v>
      </c>
      <c r="B678" s="4" t="s">
        <v>221</v>
      </c>
      <c r="C678" s="8">
        <v>44896</v>
      </c>
      <c r="D678" s="4" t="s">
        <v>183</v>
      </c>
      <c r="E678" s="14">
        <v>531.33529999999996</v>
      </c>
      <c r="F678" s="7">
        <v>533619</v>
      </c>
      <c r="G678" s="14">
        <v>742.69759999999997</v>
      </c>
      <c r="H678" s="7">
        <v>1040896</v>
      </c>
      <c r="I678" s="14">
        <v>1274.0328999999999</v>
      </c>
      <c r="J678" s="7">
        <v>1574515</v>
      </c>
    </row>
    <row r="679" spans="1:10" x14ac:dyDescent="0.2">
      <c r="A679" s="9">
        <v>44917</v>
      </c>
      <c r="B679" s="4" t="s">
        <v>224</v>
      </c>
      <c r="C679" s="8">
        <v>44896</v>
      </c>
      <c r="D679" s="4" t="s">
        <v>183</v>
      </c>
      <c r="E679" s="14">
        <v>453.68729999999999</v>
      </c>
      <c r="F679" s="7">
        <v>465083</v>
      </c>
      <c r="G679" s="14">
        <v>671.69090000000006</v>
      </c>
      <c r="H679" s="7">
        <v>954040</v>
      </c>
      <c r="I679" s="14">
        <v>1125.3782000000001</v>
      </c>
      <c r="J679" s="7">
        <v>1419123</v>
      </c>
    </row>
    <row r="680" spans="1:10" x14ac:dyDescent="0.2">
      <c r="A680" s="9">
        <v>44918</v>
      </c>
      <c r="B680" s="4" t="s">
        <v>222</v>
      </c>
      <c r="C680" s="8">
        <v>44896</v>
      </c>
      <c r="D680" s="4" t="s">
        <v>183</v>
      </c>
      <c r="E680" s="14">
        <v>469.29329999999999</v>
      </c>
      <c r="F680" s="7">
        <v>491697</v>
      </c>
      <c r="G680" s="14">
        <v>998.41949999999997</v>
      </c>
      <c r="H680" s="7">
        <v>1464972</v>
      </c>
      <c r="I680" s="14">
        <v>1467.7128</v>
      </c>
      <c r="J680" s="7">
        <v>1956669</v>
      </c>
    </row>
    <row r="681" spans="1:10" x14ac:dyDescent="0.2">
      <c r="A681" s="9">
        <v>44921</v>
      </c>
      <c r="B681" s="4" t="s">
        <v>225</v>
      </c>
      <c r="C681" s="8">
        <v>44896</v>
      </c>
      <c r="D681" s="4" t="s">
        <v>183</v>
      </c>
      <c r="E681" s="14">
        <v>447.22550000000001</v>
      </c>
      <c r="F681" s="7">
        <v>459702</v>
      </c>
      <c r="G681" s="14">
        <v>1317.0081</v>
      </c>
      <c r="H681" s="7">
        <v>1920776</v>
      </c>
      <c r="I681" s="14">
        <v>1764.2336</v>
      </c>
      <c r="J681" s="7">
        <v>2380478</v>
      </c>
    </row>
    <row r="682" spans="1:10" x14ac:dyDescent="0.2">
      <c r="A682" s="9">
        <v>44922</v>
      </c>
      <c r="B682" s="4" t="s">
        <v>223</v>
      </c>
      <c r="C682" s="8">
        <v>44896</v>
      </c>
      <c r="D682" s="4" t="s">
        <v>183</v>
      </c>
      <c r="E682" s="14">
        <v>437.95580000000001</v>
      </c>
      <c r="F682" s="7">
        <v>449593</v>
      </c>
      <c r="G682" s="14">
        <v>1388.123</v>
      </c>
      <c r="H682" s="7">
        <v>2063388</v>
      </c>
      <c r="I682" s="14">
        <v>1826.0788</v>
      </c>
      <c r="J682" s="7">
        <v>2512981</v>
      </c>
    </row>
    <row r="683" spans="1:10" x14ac:dyDescent="0.2">
      <c r="A683" s="9">
        <v>44923</v>
      </c>
      <c r="B683" s="4" t="s">
        <v>221</v>
      </c>
      <c r="C683" s="8">
        <v>44896</v>
      </c>
      <c r="D683" s="4" t="s">
        <v>183</v>
      </c>
      <c r="E683" s="14">
        <v>377.29770000000002</v>
      </c>
      <c r="F683" s="7">
        <v>386616</v>
      </c>
      <c r="G683" s="14">
        <v>1286.9586999999999</v>
      </c>
      <c r="H683" s="7">
        <v>1885676</v>
      </c>
      <c r="I683" s="14">
        <v>1664.2564</v>
      </c>
      <c r="J683" s="7">
        <v>2272292</v>
      </c>
    </row>
    <row r="684" spans="1:10" x14ac:dyDescent="0.2">
      <c r="A684" s="9">
        <v>44924</v>
      </c>
      <c r="B684" s="4" t="s">
        <v>224</v>
      </c>
      <c r="C684" s="8">
        <v>44896</v>
      </c>
      <c r="D684" s="4" t="s">
        <v>183</v>
      </c>
      <c r="E684" s="14">
        <v>532.70860000000005</v>
      </c>
      <c r="F684" s="7">
        <v>547421</v>
      </c>
      <c r="G684" s="14">
        <v>1454.8638000000001</v>
      </c>
      <c r="H684" s="7">
        <v>2141968</v>
      </c>
      <c r="I684" s="14">
        <v>1987.5724</v>
      </c>
      <c r="J684" s="7">
        <v>2689389</v>
      </c>
    </row>
    <row r="685" spans="1:10" x14ac:dyDescent="0.2">
      <c r="A685" s="9">
        <v>44925</v>
      </c>
      <c r="B685" s="4" t="s">
        <v>222</v>
      </c>
      <c r="C685" s="8">
        <v>44896</v>
      </c>
      <c r="D685" s="4" t="s">
        <v>183</v>
      </c>
      <c r="E685" s="14">
        <v>309.22160000000002</v>
      </c>
      <c r="F685" s="7">
        <v>312800</v>
      </c>
      <c r="G685" s="14">
        <v>478.9787</v>
      </c>
      <c r="H685" s="7">
        <v>665792</v>
      </c>
      <c r="I685" s="14">
        <v>788.20029999999997</v>
      </c>
      <c r="J685" s="7">
        <v>978592</v>
      </c>
    </row>
    <row r="686" spans="1:10" x14ac:dyDescent="0.2">
      <c r="A686" s="9">
        <v>44928</v>
      </c>
      <c r="B686" s="4" t="s">
        <v>225</v>
      </c>
      <c r="C686" s="8">
        <v>44927</v>
      </c>
      <c r="D686" s="4" t="s">
        <v>184</v>
      </c>
      <c r="E686" s="14">
        <v>240.6413</v>
      </c>
      <c r="F686" s="7">
        <v>240621</v>
      </c>
      <c r="G686" s="14">
        <v>398.2509</v>
      </c>
      <c r="H686" s="7">
        <v>559131</v>
      </c>
      <c r="I686" s="14">
        <v>638.8922</v>
      </c>
      <c r="J686" s="7">
        <v>799752</v>
      </c>
    </row>
    <row r="687" spans="1:10" x14ac:dyDescent="0.2">
      <c r="A687" s="9">
        <v>44929</v>
      </c>
      <c r="B687" s="4" t="s">
        <v>223</v>
      </c>
      <c r="C687" s="8">
        <v>44927</v>
      </c>
      <c r="D687" s="4" t="s">
        <v>184</v>
      </c>
      <c r="E687" s="14">
        <v>265.86500000000001</v>
      </c>
      <c r="F687" s="7">
        <v>267849</v>
      </c>
      <c r="G687" s="14">
        <v>448.2312</v>
      </c>
      <c r="H687" s="7">
        <v>618351</v>
      </c>
      <c r="I687" s="14">
        <v>714.09619999999995</v>
      </c>
      <c r="J687" s="7">
        <v>886200</v>
      </c>
    </row>
    <row r="688" spans="1:10" x14ac:dyDescent="0.2">
      <c r="A688" s="9">
        <v>44930</v>
      </c>
      <c r="B688" s="4" t="s">
        <v>221</v>
      </c>
      <c r="C688" s="8">
        <v>44927</v>
      </c>
      <c r="D688" s="4" t="s">
        <v>184</v>
      </c>
      <c r="E688" s="14">
        <v>410.86900000000003</v>
      </c>
      <c r="F688" s="7">
        <v>416511</v>
      </c>
      <c r="G688" s="14">
        <v>524.40290000000005</v>
      </c>
      <c r="H688" s="7">
        <v>738566</v>
      </c>
      <c r="I688" s="14">
        <v>935.27189999999996</v>
      </c>
      <c r="J688" s="7">
        <v>1155077</v>
      </c>
    </row>
    <row r="689" spans="1:10" x14ac:dyDescent="0.2">
      <c r="A689" s="9">
        <v>44931</v>
      </c>
      <c r="B689" s="4" t="s">
        <v>224</v>
      </c>
      <c r="C689" s="8">
        <v>44927</v>
      </c>
      <c r="D689" s="4" t="s">
        <v>184</v>
      </c>
      <c r="E689" s="14">
        <v>406.98270000000002</v>
      </c>
      <c r="F689" s="7">
        <v>416345</v>
      </c>
      <c r="G689" s="14">
        <v>546.94410000000005</v>
      </c>
      <c r="H689" s="7">
        <v>762682</v>
      </c>
      <c r="I689" s="14">
        <v>953.92679999999996</v>
      </c>
      <c r="J689" s="7">
        <v>1179027</v>
      </c>
    </row>
    <row r="690" spans="1:10" x14ac:dyDescent="0.2">
      <c r="A690" s="9">
        <v>44932</v>
      </c>
      <c r="B690" s="4" t="s">
        <v>222</v>
      </c>
      <c r="C690" s="8">
        <v>44927</v>
      </c>
      <c r="D690" s="4" t="s">
        <v>184</v>
      </c>
      <c r="E690" s="14">
        <v>383.5729</v>
      </c>
      <c r="F690" s="7">
        <v>396453</v>
      </c>
      <c r="G690" s="14">
        <v>491.0521</v>
      </c>
      <c r="H690" s="7">
        <v>691842</v>
      </c>
      <c r="I690" s="14">
        <v>874.625</v>
      </c>
      <c r="J690" s="7">
        <v>1088295</v>
      </c>
    </row>
    <row r="691" spans="1:10" x14ac:dyDescent="0.2">
      <c r="A691" s="9">
        <v>44935</v>
      </c>
      <c r="B691" s="4" t="s">
        <v>225</v>
      </c>
      <c r="C691" s="8">
        <v>44927</v>
      </c>
      <c r="D691" s="4" t="s">
        <v>184</v>
      </c>
      <c r="E691" s="14">
        <v>371.33269999999999</v>
      </c>
      <c r="F691" s="7">
        <v>383414</v>
      </c>
      <c r="G691" s="14">
        <v>522.26990000000001</v>
      </c>
      <c r="H691" s="7">
        <v>745544</v>
      </c>
      <c r="I691" s="14">
        <v>893.60260000000005</v>
      </c>
      <c r="J691" s="7">
        <v>1128958</v>
      </c>
    </row>
    <row r="692" spans="1:10" x14ac:dyDescent="0.2">
      <c r="A692" s="9">
        <v>44936</v>
      </c>
      <c r="B692" s="4" t="s">
        <v>223</v>
      </c>
      <c r="C692" s="8">
        <v>44927</v>
      </c>
      <c r="D692" s="4" t="s">
        <v>184</v>
      </c>
      <c r="E692" s="14">
        <v>368.5702</v>
      </c>
      <c r="F692" s="7">
        <v>378437</v>
      </c>
      <c r="G692" s="14">
        <v>544.5521</v>
      </c>
      <c r="H692" s="7">
        <v>774559</v>
      </c>
      <c r="I692" s="14">
        <v>913.1223</v>
      </c>
      <c r="J692" s="7">
        <v>1152996</v>
      </c>
    </row>
    <row r="693" spans="1:10" x14ac:dyDescent="0.2">
      <c r="A693" s="9">
        <v>44937</v>
      </c>
      <c r="B693" s="4" t="s">
        <v>221</v>
      </c>
      <c r="C693" s="8">
        <v>44927</v>
      </c>
      <c r="D693" s="4" t="s">
        <v>184</v>
      </c>
      <c r="E693" s="14">
        <v>346.46820000000002</v>
      </c>
      <c r="F693" s="7">
        <v>354322</v>
      </c>
      <c r="G693" s="14">
        <v>472.97820000000002</v>
      </c>
      <c r="H693" s="7">
        <v>673347</v>
      </c>
      <c r="I693" s="14">
        <v>819.44640000000004</v>
      </c>
      <c r="J693" s="7">
        <v>1027669</v>
      </c>
    </row>
    <row r="694" spans="1:10" x14ac:dyDescent="0.2">
      <c r="A694" s="9">
        <v>44938</v>
      </c>
      <c r="B694" s="4" t="s">
        <v>224</v>
      </c>
      <c r="C694" s="8">
        <v>44927</v>
      </c>
      <c r="D694" s="4" t="s">
        <v>184</v>
      </c>
      <c r="E694" s="14">
        <v>340.64030000000002</v>
      </c>
      <c r="F694" s="7">
        <v>352161</v>
      </c>
      <c r="G694" s="14">
        <v>434.19889999999998</v>
      </c>
      <c r="H694" s="7">
        <v>624143</v>
      </c>
      <c r="I694" s="14">
        <v>774.83920000000001</v>
      </c>
      <c r="J694" s="7">
        <v>976304</v>
      </c>
    </row>
    <row r="695" spans="1:10" x14ac:dyDescent="0.2">
      <c r="A695" s="9">
        <v>44939</v>
      </c>
      <c r="B695" s="4" t="s">
        <v>222</v>
      </c>
      <c r="C695" s="8">
        <v>44927</v>
      </c>
      <c r="D695" s="4" t="s">
        <v>184</v>
      </c>
      <c r="E695" s="14">
        <v>369.27589999999998</v>
      </c>
      <c r="F695" s="7">
        <v>382306</v>
      </c>
      <c r="G695" s="14">
        <v>565.12</v>
      </c>
      <c r="H695" s="7">
        <v>814223</v>
      </c>
      <c r="I695" s="14">
        <v>934.39589999999998</v>
      </c>
      <c r="J695" s="7">
        <v>1196529</v>
      </c>
    </row>
    <row r="696" spans="1:10" x14ac:dyDescent="0.2">
      <c r="A696" s="9">
        <v>44942</v>
      </c>
      <c r="B696" s="4" t="s">
        <v>225</v>
      </c>
      <c r="C696" s="8">
        <v>44927</v>
      </c>
      <c r="D696" s="4" t="s">
        <v>184</v>
      </c>
      <c r="E696" s="14">
        <v>323.90859999999998</v>
      </c>
      <c r="F696" s="7">
        <v>331472</v>
      </c>
      <c r="G696" s="14">
        <v>521.10310000000004</v>
      </c>
      <c r="H696" s="7">
        <v>724402</v>
      </c>
      <c r="I696" s="14">
        <v>845.01170000000002</v>
      </c>
      <c r="J696" s="7">
        <v>1055874</v>
      </c>
    </row>
    <row r="697" spans="1:10" x14ac:dyDescent="0.2">
      <c r="A697" s="9">
        <v>44943</v>
      </c>
      <c r="B697" s="4" t="s">
        <v>223</v>
      </c>
      <c r="C697" s="8">
        <v>44927</v>
      </c>
      <c r="D697" s="4" t="s">
        <v>184</v>
      </c>
      <c r="E697" s="14">
        <v>344.63350000000003</v>
      </c>
      <c r="F697" s="7">
        <v>354396</v>
      </c>
      <c r="G697" s="14">
        <v>523.59990000000005</v>
      </c>
      <c r="H697" s="7">
        <v>734731</v>
      </c>
      <c r="I697" s="14">
        <v>868.23339999999996</v>
      </c>
      <c r="J697" s="7">
        <v>1089127</v>
      </c>
    </row>
    <row r="698" spans="1:10" x14ac:dyDescent="0.2">
      <c r="A698" s="9">
        <v>44944</v>
      </c>
      <c r="B698" s="4" t="s">
        <v>221</v>
      </c>
      <c r="C698" s="8">
        <v>44927</v>
      </c>
      <c r="D698" s="4" t="s">
        <v>184</v>
      </c>
      <c r="E698" s="14">
        <v>294.29450000000003</v>
      </c>
      <c r="F698" s="7">
        <v>301094</v>
      </c>
      <c r="G698" s="14">
        <v>616.56590000000006</v>
      </c>
      <c r="H698" s="7">
        <v>860846</v>
      </c>
      <c r="I698" s="14">
        <v>910.86040000000003</v>
      </c>
      <c r="J698" s="7">
        <v>1161940</v>
      </c>
    </row>
    <row r="699" spans="1:10" x14ac:dyDescent="0.2">
      <c r="A699" s="9">
        <v>44945</v>
      </c>
      <c r="B699" s="4" t="s">
        <v>224</v>
      </c>
      <c r="C699" s="8">
        <v>44927</v>
      </c>
      <c r="D699" s="4" t="s">
        <v>184</v>
      </c>
      <c r="E699" s="14">
        <v>270.4169</v>
      </c>
      <c r="F699" s="7">
        <v>278001</v>
      </c>
      <c r="G699" s="14">
        <v>743.48509999999999</v>
      </c>
      <c r="H699" s="7">
        <v>1080460</v>
      </c>
      <c r="I699" s="14">
        <v>1013.902</v>
      </c>
      <c r="J699" s="7">
        <v>1358461</v>
      </c>
    </row>
    <row r="700" spans="1:10" x14ac:dyDescent="0.2">
      <c r="A700" s="9">
        <v>44946</v>
      </c>
      <c r="B700" s="4" t="s">
        <v>222</v>
      </c>
      <c r="C700" s="8">
        <v>44927</v>
      </c>
      <c r="D700" s="4" t="s">
        <v>184</v>
      </c>
      <c r="E700" s="14">
        <v>317.86349999999999</v>
      </c>
      <c r="F700" s="7">
        <v>325839</v>
      </c>
      <c r="G700" s="14">
        <v>1234.5424</v>
      </c>
      <c r="H700" s="7">
        <v>1798915</v>
      </c>
      <c r="I700" s="14">
        <v>1552.4059</v>
      </c>
      <c r="J700" s="7">
        <v>2124754</v>
      </c>
    </row>
    <row r="701" spans="1:10" x14ac:dyDescent="0.2">
      <c r="A701" s="9">
        <v>44949</v>
      </c>
      <c r="B701" s="4" t="s">
        <v>225</v>
      </c>
      <c r="C701" s="8">
        <v>44927</v>
      </c>
      <c r="D701" s="4" t="s">
        <v>184</v>
      </c>
      <c r="E701" s="14">
        <v>323.87569999999999</v>
      </c>
      <c r="F701" s="7">
        <v>334257</v>
      </c>
      <c r="G701" s="14">
        <v>1775.5555999999999</v>
      </c>
      <c r="H701" s="7">
        <v>2576511</v>
      </c>
      <c r="I701" s="14">
        <v>2099.4313000000002</v>
      </c>
      <c r="J701" s="7">
        <v>2910768</v>
      </c>
    </row>
    <row r="702" spans="1:10" x14ac:dyDescent="0.2">
      <c r="A702" s="9">
        <v>44950</v>
      </c>
      <c r="B702" s="4" t="s">
        <v>223</v>
      </c>
      <c r="C702" s="8">
        <v>44927</v>
      </c>
      <c r="D702" s="4" t="s">
        <v>184</v>
      </c>
      <c r="E702" s="14">
        <v>346.65370000000001</v>
      </c>
      <c r="F702" s="7">
        <v>357345</v>
      </c>
      <c r="G702" s="14">
        <v>1544.1265000000001</v>
      </c>
      <c r="H702" s="7">
        <v>2234685</v>
      </c>
      <c r="I702" s="14">
        <v>1890.7801999999999</v>
      </c>
      <c r="J702" s="7">
        <v>2592030</v>
      </c>
    </row>
    <row r="703" spans="1:10" x14ac:dyDescent="0.2">
      <c r="A703" s="9">
        <v>44951</v>
      </c>
      <c r="B703" s="4" t="s">
        <v>221</v>
      </c>
      <c r="C703" s="8">
        <v>44927</v>
      </c>
      <c r="D703" s="4" t="s">
        <v>184</v>
      </c>
      <c r="E703" s="14">
        <v>662.28290000000004</v>
      </c>
      <c r="F703" s="7">
        <v>688184</v>
      </c>
      <c r="G703" s="14">
        <v>1750.7665</v>
      </c>
      <c r="H703" s="7">
        <v>2571512</v>
      </c>
      <c r="I703" s="14">
        <v>2413.0493999999999</v>
      </c>
      <c r="J703" s="7">
        <v>3259696</v>
      </c>
    </row>
    <row r="704" spans="1:10" x14ac:dyDescent="0.2">
      <c r="A704" s="9">
        <v>44953</v>
      </c>
      <c r="B704" s="4" t="s">
        <v>222</v>
      </c>
      <c r="C704" s="8">
        <v>44927</v>
      </c>
      <c r="D704" s="4" t="s">
        <v>184</v>
      </c>
      <c r="E704" s="14">
        <v>534.48249999999996</v>
      </c>
      <c r="F704" s="7">
        <v>561825</v>
      </c>
      <c r="G704" s="14">
        <v>900.66890000000001</v>
      </c>
      <c r="H704" s="7">
        <v>1353831</v>
      </c>
      <c r="I704" s="14">
        <v>1435.1514</v>
      </c>
      <c r="J704" s="7">
        <v>1915656</v>
      </c>
    </row>
    <row r="705" spans="1:10" x14ac:dyDescent="0.2">
      <c r="A705" s="9">
        <v>44956</v>
      </c>
      <c r="B705" s="4" t="s">
        <v>225</v>
      </c>
      <c r="C705" s="8">
        <v>44927</v>
      </c>
      <c r="D705" s="4" t="s">
        <v>184</v>
      </c>
      <c r="E705" s="14">
        <v>549.37559999999996</v>
      </c>
      <c r="F705" s="7">
        <v>577182</v>
      </c>
      <c r="G705" s="14">
        <v>741.96</v>
      </c>
      <c r="H705" s="7">
        <v>1117508</v>
      </c>
      <c r="I705" s="14">
        <v>1291.3356000000001</v>
      </c>
      <c r="J705" s="7">
        <v>1694690</v>
      </c>
    </row>
    <row r="706" spans="1:10" x14ac:dyDescent="0.2">
      <c r="A706" s="9">
        <v>44957</v>
      </c>
      <c r="B706" s="4" t="s">
        <v>223</v>
      </c>
      <c r="C706" s="8">
        <v>44927</v>
      </c>
      <c r="D706" s="4" t="s">
        <v>184</v>
      </c>
      <c r="E706" s="14">
        <v>435.56720000000001</v>
      </c>
      <c r="F706" s="7">
        <v>457382</v>
      </c>
      <c r="G706" s="14">
        <v>640.56769999999995</v>
      </c>
      <c r="H706" s="7">
        <v>948243</v>
      </c>
      <c r="I706" s="14">
        <v>1076.1349</v>
      </c>
      <c r="J706" s="7">
        <v>1405625</v>
      </c>
    </row>
    <row r="707" spans="1:10" x14ac:dyDescent="0.2">
      <c r="A707" s="9">
        <v>44958</v>
      </c>
      <c r="B707" s="4" t="s">
        <v>221</v>
      </c>
      <c r="C707" s="8">
        <v>44958</v>
      </c>
      <c r="D707" s="4" t="s">
        <v>184</v>
      </c>
      <c r="E707" s="14">
        <v>890.9076</v>
      </c>
      <c r="F707" s="7">
        <v>925709</v>
      </c>
      <c r="G707" s="14">
        <v>1084.4042999999999</v>
      </c>
      <c r="H707" s="7">
        <v>1634011</v>
      </c>
      <c r="I707" s="14">
        <v>1975.3118999999999</v>
      </c>
      <c r="J707" s="7">
        <v>2559720</v>
      </c>
    </row>
    <row r="708" spans="1:10" x14ac:dyDescent="0.2">
      <c r="A708" s="9">
        <v>44959</v>
      </c>
      <c r="B708" s="4" t="s">
        <v>224</v>
      </c>
      <c r="C708" s="8">
        <v>44958</v>
      </c>
      <c r="D708" s="4" t="s">
        <v>184</v>
      </c>
      <c r="E708" s="14">
        <v>477.96140000000003</v>
      </c>
      <c r="F708" s="7">
        <v>500979</v>
      </c>
      <c r="G708" s="14">
        <v>752.81569999999999</v>
      </c>
      <c r="H708" s="7">
        <v>1245174</v>
      </c>
      <c r="I708" s="14">
        <v>1230.7771</v>
      </c>
      <c r="J708" s="7">
        <v>1746153</v>
      </c>
    </row>
    <row r="709" spans="1:10" x14ac:dyDescent="0.2">
      <c r="A709" s="9">
        <v>44960</v>
      </c>
      <c r="B709" s="4" t="s">
        <v>222</v>
      </c>
      <c r="C709" s="8">
        <v>44958</v>
      </c>
      <c r="D709" s="4" t="s">
        <v>184</v>
      </c>
      <c r="E709" s="14">
        <v>433.38959999999997</v>
      </c>
      <c r="F709" s="7">
        <v>451328</v>
      </c>
      <c r="G709" s="14">
        <v>696.26880000000006</v>
      </c>
      <c r="H709" s="7">
        <v>1144932</v>
      </c>
      <c r="I709" s="14">
        <v>1129.6584</v>
      </c>
      <c r="J709" s="7">
        <v>1596260</v>
      </c>
    </row>
    <row r="710" spans="1:10" x14ac:dyDescent="0.2">
      <c r="A710" s="9">
        <v>44963</v>
      </c>
      <c r="B710" s="4" t="s">
        <v>225</v>
      </c>
      <c r="C710" s="8">
        <v>44958</v>
      </c>
      <c r="D710" s="4" t="s">
        <v>184</v>
      </c>
      <c r="E710" s="14">
        <v>292.60469999999998</v>
      </c>
      <c r="F710" s="7">
        <v>303755</v>
      </c>
      <c r="G710" s="14">
        <v>519.18029999999999</v>
      </c>
      <c r="H710" s="7">
        <v>807795</v>
      </c>
      <c r="I710" s="14">
        <v>811.78499999999997</v>
      </c>
      <c r="J710" s="7">
        <v>1111550</v>
      </c>
    </row>
    <row r="711" spans="1:10" x14ac:dyDescent="0.2">
      <c r="A711" s="9">
        <v>44964</v>
      </c>
      <c r="B711" s="4" t="s">
        <v>223</v>
      </c>
      <c r="C711" s="8">
        <v>44958</v>
      </c>
      <c r="D711" s="4" t="s">
        <v>184</v>
      </c>
      <c r="E711" s="14">
        <v>364.80630000000002</v>
      </c>
      <c r="F711" s="7">
        <v>376088</v>
      </c>
      <c r="G711" s="14">
        <v>517.00699999999995</v>
      </c>
      <c r="H711" s="7">
        <v>812419</v>
      </c>
      <c r="I711" s="14">
        <v>881.81330000000003</v>
      </c>
      <c r="J711" s="7">
        <v>1188507</v>
      </c>
    </row>
    <row r="712" spans="1:10" x14ac:dyDescent="0.2">
      <c r="A712" s="9">
        <v>44965</v>
      </c>
      <c r="B712" s="4" t="s">
        <v>221</v>
      </c>
      <c r="C712" s="8">
        <v>44958</v>
      </c>
      <c r="D712" s="4" t="s">
        <v>184</v>
      </c>
      <c r="E712" s="14">
        <v>298.84649999999999</v>
      </c>
      <c r="F712" s="7">
        <v>311841</v>
      </c>
      <c r="G712" s="14">
        <v>536.88620000000003</v>
      </c>
      <c r="H712" s="7">
        <v>853093</v>
      </c>
      <c r="I712" s="14">
        <v>835.73270000000002</v>
      </c>
      <c r="J712" s="7">
        <v>1164934</v>
      </c>
    </row>
    <row r="713" spans="1:10" x14ac:dyDescent="0.2">
      <c r="A713" s="9">
        <v>44966</v>
      </c>
      <c r="B713" s="4" t="s">
        <v>224</v>
      </c>
      <c r="C713" s="8">
        <v>44958</v>
      </c>
      <c r="D713" s="4" t="s">
        <v>184</v>
      </c>
      <c r="E713" s="14">
        <v>290.7183</v>
      </c>
      <c r="F713" s="7">
        <v>299403</v>
      </c>
      <c r="G713" s="14">
        <v>509.03649999999999</v>
      </c>
      <c r="H713" s="7">
        <v>785924</v>
      </c>
      <c r="I713" s="14">
        <v>799.75480000000005</v>
      </c>
      <c r="J713" s="7">
        <v>1085327</v>
      </c>
    </row>
    <row r="714" spans="1:10" x14ac:dyDescent="0.2">
      <c r="A714" s="9">
        <v>44967</v>
      </c>
      <c r="B714" s="4" t="s">
        <v>222</v>
      </c>
      <c r="C714" s="8">
        <v>44958</v>
      </c>
      <c r="D714" s="4" t="s">
        <v>184</v>
      </c>
      <c r="E714" s="14">
        <v>233.24369999999999</v>
      </c>
      <c r="F714" s="7">
        <v>244635</v>
      </c>
      <c r="G714" s="14">
        <v>491.96679999999998</v>
      </c>
      <c r="H714" s="7">
        <v>757418</v>
      </c>
      <c r="I714" s="14">
        <v>725.21050000000002</v>
      </c>
      <c r="J714" s="7">
        <v>1002053</v>
      </c>
    </row>
    <row r="715" spans="1:10" x14ac:dyDescent="0.2">
      <c r="A715" s="9">
        <v>44970</v>
      </c>
      <c r="B715" s="4" t="s">
        <v>225</v>
      </c>
      <c r="C715" s="8">
        <v>44958</v>
      </c>
      <c r="D715" s="4" t="s">
        <v>184</v>
      </c>
      <c r="E715" s="14">
        <v>252.64019999999999</v>
      </c>
      <c r="F715" s="7">
        <v>264003</v>
      </c>
      <c r="G715" s="14">
        <v>517.91330000000005</v>
      </c>
      <c r="H715" s="7">
        <v>807686</v>
      </c>
      <c r="I715" s="14">
        <v>770.55349999999999</v>
      </c>
      <c r="J715" s="7">
        <v>1071689</v>
      </c>
    </row>
    <row r="716" spans="1:10" x14ac:dyDescent="0.2">
      <c r="A716" s="9">
        <v>44971</v>
      </c>
      <c r="B716" s="4" t="s">
        <v>223</v>
      </c>
      <c r="C716" s="8">
        <v>44958</v>
      </c>
      <c r="D716" s="4" t="s">
        <v>184</v>
      </c>
      <c r="E716" s="14">
        <v>298.12520000000001</v>
      </c>
      <c r="F716" s="7">
        <v>309461</v>
      </c>
      <c r="G716" s="14">
        <v>520.41470000000004</v>
      </c>
      <c r="H716" s="7">
        <v>803705</v>
      </c>
      <c r="I716" s="14">
        <v>818.53989999999999</v>
      </c>
      <c r="J716" s="7">
        <v>1113166</v>
      </c>
    </row>
    <row r="717" spans="1:10" x14ac:dyDescent="0.2">
      <c r="A717" s="9">
        <v>44972</v>
      </c>
      <c r="B717" s="4" t="s">
        <v>221</v>
      </c>
      <c r="C717" s="8">
        <v>44958</v>
      </c>
      <c r="D717" s="4" t="s">
        <v>184</v>
      </c>
      <c r="E717" s="14">
        <v>272.85469999999998</v>
      </c>
      <c r="F717" s="7">
        <v>282238</v>
      </c>
      <c r="G717" s="14">
        <v>567.18460000000005</v>
      </c>
      <c r="H717" s="7">
        <v>865117</v>
      </c>
      <c r="I717" s="14">
        <v>840.03930000000003</v>
      </c>
      <c r="J717" s="7">
        <v>1147355</v>
      </c>
    </row>
    <row r="718" spans="1:10" x14ac:dyDescent="0.2">
      <c r="A718" s="9">
        <v>44973</v>
      </c>
      <c r="B718" s="4" t="s">
        <v>224</v>
      </c>
      <c r="C718" s="8">
        <v>44958</v>
      </c>
      <c r="D718" s="4" t="s">
        <v>184</v>
      </c>
      <c r="E718" s="14">
        <v>282.54149999999998</v>
      </c>
      <c r="F718" s="7">
        <v>289551</v>
      </c>
      <c r="G718" s="14">
        <v>671.04139999999995</v>
      </c>
      <c r="H718" s="7">
        <v>1006757</v>
      </c>
      <c r="I718" s="14">
        <v>953.5829</v>
      </c>
      <c r="J718" s="7">
        <v>1296308</v>
      </c>
    </row>
    <row r="719" spans="1:10" x14ac:dyDescent="0.2">
      <c r="A719" s="9">
        <v>44974</v>
      </c>
      <c r="B719" s="4" t="s">
        <v>222</v>
      </c>
      <c r="C719" s="8">
        <v>44958</v>
      </c>
      <c r="D719" s="4" t="s">
        <v>184</v>
      </c>
      <c r="E719" s="14">
        <v>434.8879</v>
      </c>
      <c r="F719" s="7">
        <v>443771</v>
      </c>
      <c r="G719" s="14">
        <v>739.57180000000005</v>
      </c>
      <c r="H719" s="7">
        <v>1113344</v>
      </c>
      <c r="I719" s="14">
        <v>1174.4597000000001</v>
      </c>
      <c r="J719" s="7">
        <v>1557115</v>
      </c>
    </row>
    <row r="720" spans="1:10" x14ac:dyDescent="0.2">
      <c r="A720" s="9">
        <v>44977</v>
      </c>
      <c r="B720" s="4" t="s">
        <v>225</v>
      </c>
      <c r="C720" s="8">
        <v>44958</v>
      </c>
      <c r="D720" s="4" t="s">
        <v>184</v>
      </c>
      <c r="E720" s="14">
        <v>358.07380000000001</v>
      </c>
      <c r="F720" s="7">
        <v>373001</v>
      </c>
      <c r="G720" s="14">
        <v>1414.0226</v>
      </c>
      <c r="H720" s="7">
        <v>2133523</v>
      </c>
      <c r="I720" s="14">
        <v>1772.0963999999999</v>
      </c>
      <c r="J720" s="7">
        <v>2506524</v>
      </c>
    </row>
    <row r="721" spans="1:10" x14ac:dyDescent="0.2">
      <c r="A721" s="9">
        <v>44978</v>
      </c>
      <c r="B721" s="4" t="s">
        <v>223</v>
      </c>
      <c r="C721" s="8">
        <v>44958</v>
      </c>
      <c r="D721" s="4" t="s">
        <v>184</v>
      </c>
      <c r="E721" s="14">
        <v>420.02640000000002</v>
      </c>
      <c r="F721" s="7">
        <v>439953</v>
      </c>
      <c r="G721" s="14">
        <v>1471.6112000000001</v>
      </c>
      <c r="H721" s="7">
        <v>2216249</v>
      </c>
      <c r="I721" s="14">
        <v>1891.6376</v>
      </c>
      <c r="J721" s="7">
        <v>2656202</v>
      </c>
    </row>
    <row r="722" spans="1:10" x14ac:dyDescent="0.2">
      <c r="A722" s="9">
        <v>44979</v>
      </c>
      <c r="B722" s="4" t="s">
        <v>221</v>
      </c>
      <c r="C722" s="8">
        <v>44958</v>
      </c>
      <c r="D722" s="4" t="s">
        <v>184</v>
      </c>
      <c r="E722" s="14">
        <v>496.01139999999998</v>
      </c>
      <c r="F722" s="7">
        <v>528090</v>
      </c>
      <c r="G722" s="14">
        <v>1354.2659000000001</v>
      </c>
      <c r="H722" s="7">
        <v>2091454</v>
      </c>
      <c r="I722" s="14">
        <v>1850.2773</v>
      </c>
      <c r="J722" s="7">
        <v>2619544</v>
      </c>
    </row>
    <row r="723" spans="1:10" x14ac:dyDescent="0.2">
      <c r="A723" s="9">
        <v>44980</v>
      </c>
      <c r="B723" s="4" t="s">
        <v>224</v>
      </c>
      <c r="C723" s="8">
        <v>44958</v>
      </c>
      <c r="D723" s="4" t="s">
        <v>184</v>
      </c>
      <c r="E723" s="14">
        <v>639.98</v>
      </c>
      <c r="F723" s="7">
        <v>683501</v>
      </c>
      <c r="G723" s="14">
        <v>1440.6108999999999</v>
      </c>
      <c r="H723" s="7">
        <v>2254373</v>
      </c>
      <c r="I723" s="14">
        <v>2080.5909000000001</v>
      </c>
      <c r="J723" s="7">
        <v>2937874</v>
      </c>
    </row>
    <row r="724" spans="1:10" x14ac:dyDescent="0.2">
      <c r="A724" s="9">
        <v>44981</v>
      </c>
      <c r="B724" s="4" t="s">
        <v>222</v>
      </c>
      <c r="C724" s="8">
        <v>44958</v>
      </c>
      <c r="D724" s="4" t="s">
        <v>184</v>
      </c>
      <c r="E724" s="14">
        <v>371.51159999999999</v>
      </c>
      <c r="F724" s="7">
        <v>390018</v>
      </c>
      <c r="G724" s="14">
        <v>398.52229999999997</v>
      </c>
      <c r="H724" s="7">
        <v>629031</v>
      </c>
      <c r="I724" s="14">
        <v>770.03390000000002</v>
      </c>
      <c r="J724" s="7">
        <v>1019049</v>
      </c>
    </row>
    <row r="725" spans="1:10" x14ac:dyDescent="0.2">
      <c r="A725" s="9">
        <v>44984</v>
      </c>
      <c r="B725" s="4" t="s">
        <v>225</v>
      </c>
      <c r="C725" s="8">
        <v>44958</v>
      </c>
      <c r="D725" s="4" t="s">
        <v>184</v>
      </c>
      <c r="E725" s="14">
        <v>355.12209999999999</v>
      </c>
      <c r="F725" s="7">
        <v>377629</v>
      </c>
      <c r="G725" s="14">
        <v>443.65199999999999</v>
      </c>
      <c r="H725" s="7">
        <v>697153</v>
      </c>
      <c r="I725" s="14">
        <v>798.77409999999998</v>
      </c>
      <c r="J725" s="7">
        <v>1074782</v>
      </c>
    </row>
    <row r="726" spans="1:10" x14ac:dyDescent="0.2">
      <c r="A726" s="9">
        <v>44985</v>
      </c>
      <c r="B726" s="4" t="s">
        <v>223</v>
      </c>
      <c r="C726" s="8">
        <v>44958</v>
      </c>
      <c r="D726" s="4" t="s">
        <v>184</v>
      </c>
      <c r="E726" s="14">
        <v>297.54149999999998</v>
      </c>
      <c r="F726" s="7">
        <v>321381</v>
      </c>
      <c r="G726" s="14">
        <v>535.53830000000005</v>
      </c>
      <c r="H726" s="7">
        <v>891854</v>
      </c>
      <c r="I726" s="14">
        <v>833.07979999999998</v>
      </c>
      <c r="J726" s="7">
        <v>1213235</v>
      </c>
    </row>
    <row r="727" spans="1:10" x14ac:dyDescent="0.2">
      <c r="A727" s="9">
        <v>44986</v>
      </c>
      <c r="B727" s="4" t="s">
        <v>221</v>
      </c>
      <c r="C727" s="8">
        <v>44986</v>
      </c>
      <c r="D727" s="4" t="s">
        <v>184</v>
      </c>
      <c r="E727" s="14">
        <v>261.34269999999998</v>
      </c>
      <c r="F727" s="7">
        <v>276052</v>
      </c>
      <c r="G727" s="14">
        <v>467.00560000000002</v>
      </c>
      <c r="H727" s="7">
        <v>745630</v>
      </c>
      <c r="I727" s="14">
        <v>728.34829999999999</v>
      </c>
      <c r="J727" s="7">
        <v>1021682</v>
      </c>
    </row>
    <row r="728" spans="1:10" x14ac:dyDescent="0.2">
      <c r="A728" s="9">
        <v>44987</v>
      </c>
      <c r="B728" s="4" t="s">
        <v>224</v>
      </c>
      <c r="C728" s="8">
        <v>44986</v>
      </c>
      <c r="D728" s="4" t="s">
        <v>184</v>
      </c>
      <c r="E728" s="14">
        <v>308.79340000000002</v>
      </c>
      <c r="F728" s="7">
        <v>331579</v>
      </c>
      <c r="G728" s="14">
        <v>476.65339999999998</v>
      </c>
      <c r="H728" s="7">
        <v>765635</v>
      </c>
      <c r="I728" s="14">
        <v>785.44680000000005</v>
      </c>
      <c r="J728" s="7">
        <v>1097214</v>
      </c>
    </row>
    <row r="729" spans="1:10" x14ac:dyDescent="0.2">
      <c r="A729" s="9">
        <v>44988</v>
      </c>
      <c r="B729" s="4" t="s">
        <v>222</v>
      </c>
      <c r="C729" s="8">
        <v>44986</v>
      </c>
      <c r="D729" s="4" t="s">
        <v>184</v>
      </c>
      <c r="E729" s="14">
        <v>428.66070000000002</v>
      </c>
      <c r="F729" s="7">
        <v>450463</v>
      </c>
      <c r="G729" s="14">
        <v>564.66010000000006</v>
      </c>
      <c r="H729" s="7">
        <v>885967</v>
      </c>
      <c r="I729" s="14">
        <v>993.32079999999996</v>
      </c>
      <c r="J729" s="7">
        <v>1336430</v>
      </c>
    </row>
    <row r="730" spans="1:10" x14ac:dyDescent="0.2">
      <c r="A730" s="9">
        <v>44991</v>
      </c>
      <c r="B730" s="4" t="s">
        <v>225</v>
      </c>
      <c r="C730" s="8">
        <v>44986</v>
      </c>
      <c r="D730" s="4" t="s">
        <v>184</v>
      </c>
      <c r="E730" s="14">
        <v>289.71710000000002</v>
      </c>
      <c r="F730" s="7">
        <v>300564</v>
      </c>
      <c r="G730" s="14">
        <v>510.8159</v>
      </c>
      <c r="H730" s="7">
        <v>793656</v>
      </c>
      <c r="I730" s="14">
        <v>800.53300000000002</v>
      </c>
      <c r="J730" s="7">
        <v>1094220</v>
      </c>
    </row>
    <row r="731" spans="1:10" x14ac:dyDescent="0.2">
      <c r="A731" s="9">
        <v>44993</v>
      </c>
      <c r="B731" s="4" t="s">
        <v>221</v>
      </c>
      <c r="C731" s="8">
        <v>44986</v>
      </c>
      <c r="D731" s="4" t="s">
        <v>184</v>
      </c>
      <c r="E731" s="14">
        <v>324.4126</v>
      </c>
      <c r="F731" s="7">
        <v>335528</v>
      </c>
      <c r="G731" s="14">
        <v>457.7946</v>
      </c>
      <c r="H731" s="7">
        <v>689306</v>
      </c>
      <c r="I731" s="14">
        <v>782.20719999999994</v>
      </c>
      <c r="J731" s="7">
        <v>1024834</v>
      </c>
    </row>
    <row r="732" spans="1:10" x14ac:dyDescent="0.2">
      <c r="A732" s="9">
        <v>44994</v>
      </c>
      <c r="B732" s="4" t="s">
        <v>224</v>
      </c>
      <c r="C732" s="8">
        <v>44986</v>
      </c>
      <c r="D732" s="4" t="s">
        <v>184</v>
      </c>
      <c r="E732" s="14">
        <v>281.32010000000002</v>
      </c>
      <c r="F732" s="7">
        <v>295180</v>
      </c>
      <c r="G732" s="14">
        <v>426.964</v>
      </c>
      <c r="H732" s="7">
        <v>641894</v>
      </c>
      <c r="I732" s="14">
        <v>708.28409999999997</v>
      </c>
      <c r="J732" s="7">
        <v>937074</v>
      </c>
    </row>
    <row r="733" spans="1:10" x14ac:dyDescent="0.2">
      <c r="A733" s="9">
        <v>44995</v>
      </c>
      <c r="B733" s="4" t="s">
        <v>222</v>
      </c>
      <c r="C733" s="8">
        <v>44986</v>
      </c>
      <c r="D733" s="4" t="s">
        <v>184</v>
      </c>
      <c r="E733" s="14">
        <v>381.11090000000002</v>
      </c>
      <c r="F733" s="7">
        <v>403441</v>
      </c>
      <c r="G733" s="14">
        <v>464.98469999999998</v>
      </c>
      <c r="H733" s="7">
        <v>694228</v>
      </c>
      <c r="I733" s="14">
        <v>846.09559999999999</v>
      </c>
      <c r="J733" s="7">
        <v>1097669</v>
      </c>
    </row>
    <row r="734" spans="1:10" x14ac:dyDescent="0.2">
      <c r="A734" s="9">
        <v>44998</v>
      </c>
      <c r="B734" s="4" t="s">
        <v>225</v>
      </c>
      <c r="C734" s="8">
        <v>44986</v>
      </c>
      <c r="D734" s="4" t="s">
        <v>184</v>
      </c>
      <c r="E734" s="14">
        <v>594.11090000000002</v>
      </c>
      <c r="F734" s="7">
        <v>633453</v>
      </c>
      <c r="G734" s="14">
        <v>557.75059999999996</v>
      </c>
      <c r="H734" s="7">
        <v>852663</v>
      </c>
      <c r="I734" s="14">
        <v>1151.8615</v>
      </c>
      <c r="J734" s="7">
        <v>1486116</v>
      </c>
    </row>
    <row r="735" spans="1:10" x14ac:dyDescent="0.2">
      <c r="A735" s="9">
        <v>44999</v>
      </c>
      <c r="B735" s="4" t="s">
        <v>223</v>
      </c>
      <c r="C735" s="8">
        <v>44986</v>
      </c>
      <c r="D735" s="4" t="s">
        <v>184</v>
      </c>
      <c r="E735" s="14">
        <v>523.87459999999999</v>
      </c>
      <c r="F735" s="7">
        <v>570107</v>
      </c>
      <c r="G735" s="14">
        <v>524.29579999999999</v>
      </c>
      <c r="H735" s="7">
        <v>824126</v>
      </c>
      <c r="I735" s="14">
        <v>1048.1704</v>
      </c>
      <c r="J735" s="7">
        <v>1394233</v>
      </c>
    </row>
    <row r="736" spans="1:10" x14ac:dyDescent="0.2">
      <c r="A736" s="9">
        <v>45000</v>
      </c>
      <c r="B736" s="4" t="s">
        <v>221</v>
      </c>
      <c r="C736" s="8">
        <v>44986</v>
      </c>
      <c r="D736" s="4" t="s">
        <v>184</v>
      </c>
      <c r="E736" s="14">
        <v>400.9939</v>
      </c>
      <c r="F736" s="7">
        <v>432654</v>
      </c>
      <c r="G736" s="14">
        <v>462.81639999999999</v>
      </c>
      <c r="H736" s="7">
        <v>722833</v>
      </c>
      <c r="I736" s="14">
        <v>863.81029999999998</v>
      </c>
      <c r="J736" s="7">
        <v>1155487</v>
      </c>
    </row>
    <row r="737" spans="1:10" x14ac:dyDescent="0.2">
      <c r="A737" s="9">
        <v>45001</v>
      </c>
      <c r="B737" s="4" t="s">
        <v>224</v>
      </c>
      <c r="C737" s="8">
        <v>44986</v>
      </c>
      <c r="D737" s="4" t="s">
        <v>184</v>
      </c>
      <c r="E737" s="14">
        <v>540.89290000000005</v>
      </c>
      <c r="F737" s="7">
        <v>587629</v>
      </c>
      <c r="G737" s="14">
        <v>600.21140000000003</v>
      </c>
      <c r="H737" s="7">
        <v>931164</v>
      </c>
      <c r="I737" s="14">
        <v>1141.1043</v>
      </c>
      <c r="J737" s="7">
        <v>1518793</v>
      </c>
    </row>
    <row r="738" spans="1:10" x14ac:dyDescent="0.2">
      <c r="A738" s="9">
        <v>45002</v>
      </c>
      <c r="B738" s="4" t="s">
        <v>222</v>
      </c>
      <c r="C738" s="8">
        <v>44986</v>
      </c>
      <c r="D738" s="4" t="s">
        <v>184</v>
      </c>
      <c r="E738" s="14">
        <v>480.02010000000001</v>
      </c>
      <c r="F738" s="7">
        <v>522584</v>
      </c>
      <c r="G738" s="14">
        <v>588.10429999999997</v>
      </c>
      <c r="H738" s="7">
        <v>900588</v>
      </c>
      <c r="I738" s="14">
        <v>1068.1243999999999</v>
      </c>
      <c r="J738" s="7">
        <v>1423172</v>
      </c>
    </row>
    <row r="739" spans="1:10" x14ac:dyDescent="0.2">
      <c r="A739" s="9">
        <v>45005</v>
      </c>
      <c r="B739" s="4" t="s">
        <v>225</v>
      </c>
      <c r="C739" s="8">
        <v>44986</v>
      </c>
      <c r="D739" s="4" t="s">
        <v>184</v>
      </c>
      <c r="E739" s="14">
        <v>480.4366</v>
      </c>
      <c r="F739" s="7">
        <v>527910</v>
      </c>
      <c r="G739" s="14">
        <v>531.39490000000001</v>
      </c>
      <c r="H739" s="7">
        <v>832124</v>
      </c>
      <c r="I739" s="14">
        <v>1011.8315</v>
      </c>
      <c r="J739" s="7">
        <v>1360034</v>
      </c>
    </row>
    <row r="740" spans="1:10" x14ac:dyDescent="0.2">
      <c r="A740" s="9">
        <v>45006</v>
      </c>
      <c r="B740" s="4" t="s">
        <v>223</v>
      </c>
      <c r="C740" s="8">
        <v>44986</v>
      </c>
      <c r="D740" s="4" t="s">
        <v>184</v>
      </c>
      <c r="E740" s="14">
        <v>333.32310000000001</v>
      </c>
      <c r="F740" s="7">
        <v>358939</v>
      </c>
      <c r="G740" s="14">
        <v>499.29559999999998</v>
      </c>
      <c r="H740" s="7">
        <v>760488</v>
      </c>
      <c r="I740" s="14">
        <v>832.61869999999999</v>
      </c>
      <c r="J740" s="7">
        <v>1119427</v>
      </c>
    </row>
    <row r="741" spans="1:10" x14ac:dyDescent="0.2">
      <c r="A741" s="9">
        <v>45007</v>
      </c>
      <c r="B741" s="4" t="s">
        <v>221</v>
      </c>
      <c r="C741" s="8">
        <v>44986</v>
      </c>
      <c r="D741" s="4" t="s">
        <v>184</v>
      </c>
      <c r="E741" s="14">
        <v>254.59350000000001</v>
      </c>
      <c r="F741" s="7">
        <v>272613</v>
      </c>
      <c r="G741" s="14">
        <v>559.10450000000003</v>
      </c>
      <c r="H741" s="7">
        <v>832067</v>
      </c>
      <c r="I741" s="14">
        <v>813.69799999999998</v>
      </c>
      <c r="J741" s="7">
        <v>1104680</v>
      </c>
    </row>
    <row r="742" spans="1:10" x14ac:dyDescent="0.2">
      <c r="A742" s="9">
        <v>45008</v>
      </c>
      <c r="B742" s="4" t="s">
        <v>224</v>
      </c>
      <c r="C742" s="8">
        <v>44986</v>
      </c>
      <c r="D742" s="4" t="s">
        <v>184</v>
      </c>
      <c r="E742" s="14">
        <v>420.51429999999999</v>
      </c>
      <c r="F742" s="7">
        <v>450557</v>
      </c>
      <c r="G742" s="14">
        <v>654.25630000000001</v>
      </c>
      <c r="H742" s="7">
        <v>1009344</v>
      </c>
      <c r="I742" s="14">
        <v>1074.7706000000001</v>
      </c>
      <c r="J742" s="7">
        <v>1459901</v>
      </c>
    </row>
    <row r="743" spans="1:10" x14ac:dyDescent="0.2">
      <c r="A743" s="9">
        <v>45009</v>
      </c>
      <c r="B743" s="4" t="s">
        <v>222</v>
      </c>
      <c r="C743" s="8">
        <v>44986</v>
      </c>
      <c r="D743" s="4" t="s">
        <v>184</v>
      </c>
      <c r="E743" s="14">
        <v>431.21460000000002</v>
      </c>
      <c r="F743" s="7">
        <v>465969</v>
      </c>
      <c r="G743" s="14">
        <v>1052.5824</v>
      </c>
      <c r="H743" s="7">
        <v>1657567</v>
      </c>
      <c r="I743" s="14">
        <v>1483.797</v>
      </c>
      <c r="J743" s="7">
        <v>2123536</v>
      </c>
    </row>
    <row r="744" spans="1:10" x14ac:dyDescent="0.2">
      <c r="A744" s="9">
        <v>45012</v>
      </c>
      <c r="B744" s="4" t="s">
        <v>225</v>
      </c>
      <c r="C744" s="8">
        <v>44986</v>
      </c>
      <c r="D744" s="4" t="s">
        <v>184</v>
      </c>
      <c r="E744" s="14">
        <v>518.64009999999996</v>
      </c>
      <c r="F744" s="7">
        <v>567695</v>
      </c>
      <c r="G744" s="14">
        <v>1541.3581999999999</v>
      </c>
      <c r="H744" s="7">
        <v>2412029</v>
      </c>
      <c r="I744" s="14">
        <v>2059.9983000000002</v>
      </c>
      <c r="J744" s="7">
        <v>2979724</v>
      </c>
    </row>
    <row r="745" spans="1:10" x14ac:dyDescent="0.2">
      <c r="A745" s="9">
        <v>45013</v>
      </c>
      <c r="B745" s="4" t="s">
        <v>223</v>
      </c>
      <c r="C745" s="8">
        <v>44986</v>
      </c>
      <c r="D745" s="4" t="s">
        <v>184</v>
      </c>
      <c r="E745" s="14">
        <v>435.70940000000002</v>
      </c>
      <c r="F745" s="7">
        <v>480386</v>
      </c>
      <c r="G745" s="14">
        <v>1348.8054999999999</v>
      </c>
      <c r="H745" s="7">
        <v>2183130</v>
      </c>
      <c r="I745" s="14">
        <v>1784.5148999999999</v>
      </c>
      <c r="J745" s="7">
        <v>2663516</v>
      </c>
    </row>
    <row r="746" spans="1:10" x14ac:dyDescent="0.2">
      <c r="A746" s="9">
        <v>45014</v>
      </c>
      <c r="B746" s="4" t="s">
        <v>221</v>
      </c>
      <c r="C746" s="8">
        <v>44986</v>
      </c>
      <c r="D746" s="4" t="s">
        <v>184</v>
      </c>
      <c r="E746" s="14">
        <v>687.17070000000001</v>
      </c>
      <c r="F746" s="7">
        <v>759954</v>
      </c>
      <c r="G746" s="14">
        <v>1492.6704999999999</v>
      </c>
      <c r="H746" s="7">
        <v>2384978</v>
      </c>
      <c r="I746" s="14">
        <v>2179.8411999999998</v>
      </c>
      <c r="J746" s="7">
        <v>3144932</v>
      </c>
    </row>
    <row r="747" spans="1:10" x14ac:dyDescent="0.2">
      <c r="A747" s="9">
        <v>45016</v>
      </c>
      <c r="B747" s="4" t="s">
        <v>222</v>
      </c>
      <c r="C747" s="8">
        <v>44986</v>
      </c>
      <c r="D747" s="4" t="s">
        <v>184</v>
      </c>
      <c r="E747" s="14">
        <v>370.18389999999999</v>
      </c>
      <c r="F747" s="7">
        <v>394258</v>
      </c>
      <c r="G747" s="14">
        <v>499.66370000000001</v>
      </c>
      <c r="H747" s="7">
        <v>781663</v>
      </c>
      <c r="I747" s="14">
        <v>869.84760000000006</v>
      </c>
      <c r="J747" s="7">
        <v>1175921</v>
      </c>
    </row>
    <row r="748" spans="1:10" x14ac:dyDescent="0.2">
      <c r="A748" s="9">
        <v>45019</v>
      </c>
      <c r="B748" s="4" t="s">
        <v>225</v>
      </c>
      <c r="C748" s="8">
        <v>45017</v>
      </c>
      <c r="D748" s="4" t="s">
        <v>185</v>
      </c>
      <c r="E748" s="14">
        <v>291.01080000000002</v>
      </c>
      <c r="F748" s="7">
        <v>306679</v>
      </c>
      <c r="G748" s="14">
        <v>408.21820000000002</v>
      </c>
      <c r="H748" s="7">
        <v>637260</v>
      </c>
      <c r="I748" s="14">
        <v>699.22900000000004</v>
      </c>
      <c r="J748" s="7">
        <v>943939</v>
      </c>
    </row>
    <row r="749" spans="1:10" x14ac:dyDescent="0.2">
      <c r="A749" s="9">
        <v>45021</v>
      </c>
      <c r="B749" s="4" t="s">
        <v>221</v>
      </c>
      <c r="C749" s="8">
        <v>45017</v>
      </c>
      <c r="D749" s="4" t="s">
        <v>185</v>
      </c>
      <c r="E749" s="14">
        <v>294.5752</v>
      </c>
      <c r="F749" s="7">
        <v>311879</v>
      </c>
      <c r="G749" s="14">
        <v>464.00040000000001</v>
      </c>
      <c r="H749" s="7">
        <v>695627</v>
      </c>
      <c r="I749" s="14">
        <v>758.57560000000001</v>
      </c>
      <c r="J749" s="7">
        <v>1007506</v>
      </c>
    </row>
    <row r="750" spans="1:10" x14ac:dyDescent="0.2">
      <c r="A750" s="9">
        <v>45022</v>
      </c>
      <c r="B750" s="4" t="s">
        <v>224</v>
      </c>
      <c r="C750" s="8">
        <v>45017</v>
      </c>
      <c r="D750" s="4" t="s">
        <v>185</v>
      </c>
      <c r="E750" s="14">
        <v>304.99779999999998</v>
      </c>
      <c r="F750" s="7">
        <v>320925</v>
      </c>
      <c r="G750" s="14">
        <v>474.39870000000002</v>
      </c>
      <c r="H750" s="7">
        <v>710475</v>
      </c>
      <c r="I750" s="14">
        <v>779.39649999999995</v>
      </c>
      <c r="J750" s="7">
        <v>1031400</v>
      </c>
    </row>
    <row r="751" spans="1:10" x14ac:dyDescent="0.2">
      <c r="A751" s="9">
        <v>45026</v>
      </c>
      <c r="B751" s="4" t="s">
        <v>225</v>
      </c>
      <c r="C751" s="8">
        <v>45017</v>
      </c>
      <c r="D751" s="4" t="s">
        <v>185</v>
      </c>
      <c r="E751" s="14">
        <v>218.6414</v>
      </c>
      <c r="F751" s="7">
        <v>229708</v>
      </c>
      <c r="G751" s="14">
        <v>448.61169999999998</v>
      </c>
      <c r="H751" s="7">
        <v>675268</v>
      </c>
      <c r="I751" s="14">
        <v>667.25310000000002</v>
      </c>
      <c r="J751" s="7">
        <v>904976</v>
      </c>
    </row>
    <row r="752" spans="1:10" x14ac:dyDescent="0.2">
      <c r="A752" s="9">
        <v>45027</v>
      </c>
      <c r="B752" s="4" t="s">
        <v>223</v>
      </c>
      <c r="C752" s="8">
        <v>45017</v>
      </c>
      <c r="D752" s="4" t="s">
        <v>185</v>
      </c>
      <c r="E752" s="14">
        <v>261.83319999999998</v>
      </c>
      <c r="F752" s="7">
        <v>273435</v>
      </c>
      <c r="G752" s="14">
        <v>482.55840000000001</v>
      </c>
      <c r="H752" s="7">
        <v>711552</v>
      </c>
      <c r="I752" s="14">
        <v>744.39160000000004</v>
      </c>
      <c r="J752" s="7">
        <v>984987</v>
      </c>
    </row>
    <row r="753" spans="1:10" x14ac:dyDescent="0.2">
      <c r="A753" s="9">
        <v>45028</v>
      </c>
      <c r="B753" s="4" t="s">
        <v>221</v>
      </c>
      <c r="C753" s="8">
        <v>45017</v>
      </c>
      <c r="D753" s="4" t="s">
        <v>185</v>
      </c>
      <c r="E753" s="14">
        <v>196.71789999999999</v>
      </c>
      <c r="F753" s="7">
        <v>207314</v>
      </c>
      <c r="G753" s="14">
        <v>455.65719999999999</v>
      </c>
      <c r="H753" s="7">
        <v>704737</v>
      </c>
      <c r="I753" s="14">
        <v>652.37509999999997</v>
      </c>
      <c r="J753" s="7">
        <v>912051</v>
      </c>
    </row>
    <row r="754" spans="1:10" x14ac:dyDescent="0.2">
      <c r="A754" s="9">
        <v>45029</v>
      </c>
      <c r="B754" s="4" t="s">
        <v>224</v>
      </c>
      <c r="C754" s="8">
        <v>45017</v>
      </c>
      <c r="D754" s="4" t="s">
        <v>185</v>
      </c>
      <c r="E754" s="14">
        <v>292.38670000000002</v>
      </c>
      <c r="F754" s="7">
        <v>301257</v>
      </c>
      <c r="G754" s="14">
        <v>539.14250000000004</v>
      </c>
      <c r="H754" s="7">
        <v>817061</v>
      </c>
      <c r="I754" s="14">
        <v>831.52919999999995</v>
      </c>
      <c r="J754" s="7">
        <v>1118318</v>
      </c>
    </row>
    <row r="755" spans="1:10" x14ac:dyDescent="0.2">
      <c r="A755" s="9">
        <v>45033</v>
      </c>
      <c r="B755" s="4" t="s">
        <v>225</v>
      </c>
      <c r="C755" s="8">
        <v>45017</v>
      </c>
      <c r="D755" s="4" t="s">
        <v>185</v>
      </c>
      <c r="E755" s="14">
        <v>333.99279999999999</v>
      </c>
      <c r="F755" s="7">
        <v>347990</v>
      </c>
      <c r="G755" s="14">
        <v>663.50289999999995</v>
      </c>
      <c r="H755" s="7">
        <v>1002530</v>
      </c>
      <c r="I755" s="14">
        <v>997.49570000000006</v>
      </c>
      <c r="J755" s="7">
        <v>1350520</v>
      </c>
    </row>
    <row r="756" spans="1:10" x14ac:dyDescent="0.2">
      <c r="A756" s="9">
        <v>45034</v>
      </c>
      <c r="B756" s="4" t="s">
        <v>223</v>
      </c>
      <c r="C756" s="8">
        <v>45017</v>
      </c>
      <c r="D756" s="4" t="s">
        <v>185</v>
      </c>
      <c r="E756" s="14">
        <v>254.62739999999999</v>
      </c>
      <c r="F756" s="7">
        <v>263890</v>
      </c>
      <c r="G756" s="14">
        <v>559.17960000000005</v>
      </c>
      <c r="H756" s="7">
        <v>842356</v>
      </c>
      <c r="I756" s="14">
        <v>813.80700000000002</v>
      </c>
      <c r="J756" s="7">
        <v>1106246</v>
      </c>
    </row>
    <row r="757" spans="1:10" x14ac:dyDescent="0.2">
      <c r="A757" s="9">
        <v>45035</v>
      </c>
      <c r="B757" s="4" t="s">
        <v>221</v>
      </c>
      <c r="C757" s="8">
        <v>45017</v>
      </c>
      <c r="D757" s="4" t="s">
        <v>185</v>
      </c>
      <c r="E757" s="14">
        <v>209.8561</v>
      </c>
      <c r="F757" s="7">
        <v>217672</v>
      </c>
      <c r="G757" s="14">
        <v>530.98929999999996</v>
      </c>
      <c r="H757" s="7">
        <v>809073</v>
      </c>
      <c r="I757" s="14">
        <v>740.84540000000004</v>
      </c>
      <c r="J757" s="7">
        <v>1026745</v>
      </c>
    </row>
    <row r="758" spans="1:10" x14ac:dyDescent="0.2">
      <c r="A758" s="9">
        <v>45036</v>
      </c>
      <c r="B758" s="4" t="s">
        <v>224</v>
      </c>
      <c r="C758" s="8">
        <v>45017</v>
      </c>
      <c r="D758" s="4" t="s">
        <v>185</v>
      </c>
      <c r="E758" s="14">
        <v>216.23650000000001</v>
      </c>
      <c r="F758" s="7">
        <v>225163</v>
      </c>
      <c r="G758" s="14">
        <v>553.78279999999995</v>
      </c>
      <c r="H758" s="7">
        <v>822084</v>
      </c>
      <c r="I758" s="14">
        <v>770.01930000000004</v>
      </c>
      <c r="J758" s="7">
        <v>1047247</v>
      </c>
    </row>
    <row r="759" spans="1:10" x14ac:dyDescent="0.2">
      <c r="A759" s="9">
        <v>45037</v>
      </c>
      <c r="B759" s="4" t="s">
        <v>222</v>
      </c>
      <c r="C759" s="8">
        <v>45017</v>
      </c>
      <c r="D759" s="4" t="s">
        <v>185</v>
      </c>
      <c r="E759" s="14">
        <v>254.87819999999999</v>
      </c>
      <c r="F759" s="7">
        <v>265122</v>
      </c>
      <c r="G759" s="14">
        <v>679.3021</v>
      </c>
      <c r="H759" s="7">
        <v>1031817</v>
      </c>
      <c r="I759" s="14">
        <v>934.18029999999999</v>
      </c>
      <c r="J759" s="7">
        <v>1296939</v>
      </c>
    </row>
    <row r="760" spans="1:10" x14ac:dyDescent="0.2">
      <c r="A760" s="9">
        <v>45040</v>
      </c>
      <c r="B760" s="4" t="s">
        <v>225</v>
      </c>
      <c r="C760" s="8">
        <v>45017</v>
      </c>
      <c r="D760" s="4" t="s">
        <v>185</v>
      </c>
      <c r="E760" s="14">
        <v>373.61860000000001</v>
      </c>
      <c r="F760" s="7">
        <v>390852</v>
      </c>
      <c r="G760" s="14">
        <v>1422.5433</v>
      </c>
      <c r="H760" s="7">
        <v>2141758</v>
      </c>
      <c r="I760" s="14">
        <v>1796.1619000000001</v>
      </c>
      <c r="J760" s="7">
        <v>2532610</v>
      </c>
    </row>
    <row r="761" spans="1:10" x14ac:dyDescent="0.2">
      <c r="A761" s="9">
        <v>45041</v>
      </c>
      <c r="B761" s="4" t="s">
        <v>223</v>
      </c>
      <c r="C761" s="8">
        <v>45017</v>
      </c>
      <c r="D761" s="4" t="s">
        <v>185</v>
      </c>
      <c r="E761" s="14">
        <v>319.11509999999998</v>
      </c>
      <c r="F761" s="7">
        <v>331378</v>
      </c>
      <c r="G761" s="14">
        <v>1584.2753</v>
      </c>
      <c r="H761" s="7">
        <v>2348755</v>
      </c>
      <c r="I761" s="14">
        <v>1903.3904</v>
      </c>
      <c r="J761" s="7">
        <v>2680133</v>
      </c>
    </row>
    <row r="762" spans="1:10" x14ac:dyDescent="0.2">
      <c r="A762" s="9">
        <v>45042</v>
      </c>
      <c r="B762" s="4" t="s">
        <v>221</v>
      </c>
      <c r="C762" s="8">
        <v>45017</v>
      </c>
      <c r="D762" s="4" t="s">
        <v>185</v>
      </c>
      <c r="E762" s="14">
        <v>360.99220000000003</v>
      </c>
      <c r="F762" s="7">
        <v>375216</v>
      </c>
      <c r="G762" s="14">
        <v>1400.3974000000001</v>
      </c>
      <c r="H762" s="7">
        <v>2084714</v>
      </c>
      <c r="I762" s="14">
        <v>1761.3896</v>
      </c>
      <c r="J762" s="7">
        <v>2459930</v>
      </c>
    </row>
    <row r="763" spans="1:10" x14ac:dyDescent="0.2">
      <c r="A763" s="9">
        <v>45043</v>
      </c>
      <c r="B763" s="4" t="s">
        <v>224</v>
      </c>
      <c r="C763" s="8">
        <v>45017</v>
      </c>
      <c r="D763" s="4" t="s">
        <v>185</v>
      </c>
      <c r="E763" s="14">
        <v>447.95479999999998</v>
      </c>
      <c r="F763" s="7">
        <v>464272</v>
      </c>
      <c r="G763" s="14">
        <v>1409.3217</v>
      </c>
      <c r="H763" s="7">
        <v>2111854</v>
      </c>
      <c r="I763" s="14">
        <v>1857.2764999999999</v>
      </c>
      <c r="J763" s="7">
        <v>2576126</v>
      </c>
    </row>
    <row r="764" spans="1:10" x14ac:dyDescent="0.2">
      <c r="A764" s="9">
        <v>45044</v>
      </c>
      <c r="B764" s="4" t="s">
        <v>222</v>
      </c>
      <c r="C764" s="8">
        <v>45017</v>
      </c>
      <c r="D764" s="4" t="s">
        <v>185</v>
      </c>
      <c r="E764" s="14">
        <v>243.5127</v>
      </c>
      <c r="F764" s="7">
        <v>249505</v>
      </c>
      <c r="G764" s="14">
        <v>622.84410000000003</v>
      </c>
      <c r="H764" s="7">
        <v>911163</v>
      </c>
      <c r="I764" s="14">
        <v>866.35680000000002</v>
      </c>
      <c r="J764" s="7">
        <v>1160668</v>
      </c>
    </row>
    <row r="765" spans="1:10" x14ac:dyDescent="0.2">
      <c r="A765" s="9">
        <v>45048</v>
      </c>
      <c r="B765" s="4" t="s">
        <v>223</v>
      </c>
      <c r="C765" s="8">
        <v>45047</v>
      </c>
      <c r="D765" s="4" t="s">
        <v>185</v>
      </c>
      <c r="E765" s="14">
        <v>208.6636</v>
      </c>
      <c r="F765" s="7">
        <v>213872</v>
      </c>
      <c r="G765" s="14">
        <v>554.25720000000001</v>
      </c>
      <c r="H765" s="7">
        <v>792345</v>
      </c>
      <c r="I765" s="14">
        <v>762.92079999999999</v>
      </c>
      <c r="J765" s="7">
        <v>1006217</v>
      </c>
    </row>
    <row r="766" spans="1:10" x14ac:dyDescent="0.2">
      <c r="A766" s="9">
        <v>45049</v>
      </c>
      <c r="B766" s="4" t="s">
        <v>221</v>
      </c>
      <c r="C766" s="8">
        <v>45047</v>
      </c>
      <c r="D766" s="4" t="s">
        <v>185</v>
      </c>
      <c r="E766" s="14">
        <v>226.27760000000001</v>
      </c>
      <c r="F766" s="7">
        <v>232859</v>
      </c>
      <c r="G766" s="14">
        <v>507.64949999999999</v>
      </c>
      <c r="H766" s="7">
        <v>729223</v>
      </c>
      <c r="I766" s="14">
        <v>733.9271</v>
      </c>
      <c r="J766" s="7">
        <v>962082</v>
      </c>
    </row>
    <row r="767" spans="1:10" x14ac:dyDescent="0.2">
      <c r="A767" s="9">
        <v>45050</v>
      </c>
      <c r="B767" s="4" t="s">
        <v>224</v>
      </c>
      <c r="C767" s="8">
        <v>45047</v>
      </c>
      <c r="D767" s="4" t="s">
        <v>185</v>
      </c>
      <c r="E767" s="14">
        <v>231.73910000000001</v>
      </c>
      <c r="F767" s="7">
        <v>235239</v>
      </c>
      <c r="G767" s="14">
        <v>538.7962</v>
      </c>
      <c r="H767" s="7">
        <v>742547</v>
      </c>
      <c r="I767" s="14">
        <v>770.53530000000001</v>
      </c>
      <c r="J767" s="7">
        <v>977786</v>
      </c>
    </row>
    <row r="768" spans="1:10" x14ac:dyDescent="0.2">
      <c r="A768" s="9">
        <v>45051</v>
      </c>
      <c r="B768" s="4" t="s">
        <v>222</v>
      </c>
      <c r="C768" s="8">
        <v>45047</v>
      </c>
      <c r="D768" s="4" t="s">
        <v>185</v>
      </c>
      <c r="E768" s="14">
        <v>422.06560000000002</v>
      </c>
      <c r="F768" s="7">
        <v>422107</v>
      </c>
      <c r="G768" s="14">
        <v>749.82809999999995</v>
      </c>
      <c r="H768" s="7">
        <v>1035578</v>
      </c>
      <c r="I768" s="14">
        <v>1171.8937000000001</v>
      </c>
      <c r="J768" s="7">
        <v>1457685</v>
      </c>
    </row>
    <row r="769" spans="1:10" x14ac:dyDescent="0.2">
      <c r="A769" s="9">
        <v>45054</v>
      </c>
      <c r="B769" s="4" t="s">
        <v>225</v>
      </c>
      <c r="C769" s="8">
        <v>45047</v>
      </c>
      <c r="D769" s="4" t="s">
        <v>185</v>
      </c>
      <c r="E769" s="14">
        <v>268.83859999999999</v>
      </c>
      <c r="F769" s="7">
        <v>271378</v>
      </c>
      <c r="G769" s="14">
        <v>603.42039999999997</v>
      </c>
      <c r="H769" s="7">
        <v>834929</v>
      </c>
      <c r="I769" s="14">
        <v>872.25900000000001</v>
      </c>
      <c r="J769" s="7">
        <v>1106307</v>
      </c>
    </row>
    <row r="770" spans="1:10" x14ac:dyDescent="0.2">
      <c r="A770" s="9">
        <v>45055</v>
      </c>
      <c r="B770" s="4" t="s">
        <v>223</v>
      </c>
      <c r="C770" s="8">
        <v>45047</v>
      </c>
      <c r="D770" s="4" t="s">
        <v>185</v>
      </c>
      <c r="E770" s="14">
        <v>213.4358</v>
      </c>
      <c r="F770" s="7">
        <v>214989</v>
      </c>
      <c r="G770" s="14">
        <v>570.10950000000003</v>
      </c>
      <c r="H770" s="7">
        <v>790529</v>
      </c>
      <c r="I770" s="14">
        <v>783.5453</v>
      </c>
      <c r="J770" s="7">
        <v>1005518</v>
      </c>
    </row>
    <row r="771" spans="1:10" x14ac:dyDescent="0.2">
      <c r="A771" s="9">
        <v>45056</v>
      </c>
      <c r="B771" s="4" t="s">
        <v>221</v>
      </c>
      <c r="C771" s="8">
        <v>45047</v>
      </c>
      <c r="D771" s="4" t="s">
        <v>185</v>
      </c>
      <c r="E771" s="14">
        <v>265.13470000000001</v>
      </c>
      <c r="F771" s="7">
        <v>264364</v>
      </c>
      <c r="G771" s="14">
        <v>471.97250000000003</v>
      </c>
      <c r="H771" s="7">
        <v>662712</v>
      </c>
      <c r="I771" s="14">
        <v>737.10720000000003</v>
      </c>
      <c r="J771" s="7">
        <v>927076</v>
      </c>
    </row>
    <row r="772" spans="1:10" x14ac:dyDescent="0.2">
      <c r="A772" s="9">
        <v>45057</v>
      </c>
      <c r="B772" s="4" t="s">
        <v>224</v>
      </c>
      <c r="C772" s="8">
        <v>45047</v>
      </c>
      <c r="D772" s="4" t="s">
        <v>185</v>
      </c>
      <c r="E772" s="14">
        <v>238.95050000000001</v>
      </c>
      <c r="F772" s="7">
        <v>238508</v>
      </c>
      <c r="G772" s="14">
        <v>565.40869999999995</v>
      </c>
      <c r="H772" s="7">
        <v>832578</v>
      </c>
      <c r="I772" s="14">
        <v>804.35919999999999</v>
      </c>
      <c r="J772" s="7">
        <v>1071086</v>
      </c>
    </row>
    <row r="773" spans="1:10" x14ac:dyDescent="0.2">
      <c r="A773" s="9">
        <v>45058</v>
      </c>
      <c r="B773" s="4" t="s">
        <v>222</v>
      </c>
      <c r="C773" s="8">
        <v>45047</v>
      </c>
      <c r="D773" s="4" t="s">
        <v>185</v>
      </c>
      <c r="E773" s="14">
        <v>260.62830000000002</v>
      </c>
      <c r="F773" s="7">
        <v>262540</v>
      </c>
      <c r="G773" s="14">
        <v>587.38599999999997</v>
      </c>
      <c r="H773" s="7">
        <v>839302</v>
      </c>
      <c r="I773" s="14">
        <v>848.01430000000005</v>
      </c>
      <c r="J773" s="7">
        <v>1101842</v>
      </c>
    </row>
    <row r="774" spans="1:10" x14ac:dyDescent="0.2">
      <c r="A774" s="9">
        <v>45061</v>
      </c>
      <c r="B774" s="4" t="s">
        <v>225</v>
      </c>
      <c r="C774" s="8">
        <v>45047</v>
      </c>
      <c r="D774" s="4" t="s">
        <v>185</v>
      </c>
      <c r="E774" s="14">
        <v>219.01929999999999</v>
      </c>
      <c r="F774" s="7">
        <v>220215</v>
      </c>
      <c r="G774" s="14">
        <v>554.95410000000004</v>
      </c>
      <c r="H774" s="7">
        <v>790956</v>
      </c>
      <c r="I774" s="14">
        <v>773.97339999999997</v>
      </c>
      <c r="J774" s="7">
        <v>1011171</v>
      </c>
    </row>
    <row r="775" spans="1:10" x14ac:dyDescent="0.2">
      <c r="A775" s="9">
        <v>45062</v>
      </c>
      <c r="B775" s="4" t="s">
        <v>223</v>
      </c>
      <c r="C775" s="8">
        <v>45047</v>
      </c>
      <c r="D775" s="4" t="s">
        <v>185</v>
      </c>
      <c r="E775" s="14">
        <v>213.5436</v>
      </c>
      <c r="F775" s="7">
        <v>214189</v>
      </c>
      <c r="G775" s="14">
        <v>600.1386</v>
      </c>
      <c r="H775" s="7">
        <v>825480</v>
      </c>
      <c r="I775" s="14">
        <v>813.68219999999997</v>
      </c>
      <c r="J775" s="7">
        <v>1039669</v>
      </c>
    </row>
    <row r="776" spans="1:10" x14ac:dyDescent="0.2">
      <c r="A776" s="9">
        <v>45063</v>
      </c>
      <c r="B776" s="4" t="s">
        <v>221</v>
      </c>
      <c r="C776" s="8">
        <v>45047</v>
      </c>
      <c r="D776" s="4" t="s">
        <v>185</v>
      </c>
      <c r="E776" s="14">
        <v>320.41329999999999</v>
      </c>
      <c r="F776" s="7">
        <v>325441</v>
      </c>
      <c r="G776" s="14">
        <v>635.50519999999995</v>
      </c>
      <c r="H776" s="7">
        <v>902731</v>
      </c>
      <c r="I776" s="14">
        <v>955.91849999999999</v>
      </c>
      <c r="J776" s="7">
        <v>1228172</v>
      </c>
    </row>
    <row r="777" spans="1:10" x14ac:dyDescent="0.2">
      <c r="A777" s="9">
        <v>45064</v>
      </c>
      <c r="B777" s="4" t="s">
        <v>224</v>
      </c>
      <c r="C777" s="8">
        <v>45047</v>
      </c>
      <c r="D777" s="4" t="s">
        <v>185</v>
      </c>
      <c r="E777" s="14">
        <v>269.30990000000003</v>
      </c>
      <c r="F777" s="7">
        <v>268259</v>
      </c>
      <c r="G777" s="14">
        <v>733.82629999999995</v>
      </c>
      <c r="H777" s="7">
        <v>1021531</v>
      </c>
      <c r="I777" s="14">
        <v>1003.1362</v>
      </c>
      <c r="J777" s="7">
        <v>1289790</v>
      </c>
    </row>
    <row r="778" spans="1:10" x14ac:dyDescent="0.2">
      <c r="A778" s="9">
        <v>45065</v>
      </c>
      <c r="B778" s="4" t="s">
        <v>222</v>
      </c>
      <c r="C778" s="8">
        <v>45047</v>
      </c>
      <c r="D778" s="4" t="s">
        <v>185</v>
      </c>
      <c r="E778" s="14">
        <v>298.78449999999998</v>
      </c>
      <c r="F778" s="7">
        <v>302061</v>
      </c>
      <c r="G778" s="14">
        <v>851.46230000000003</v>
      </c>
      <c r="H778" s="7">
        <v>1227077</v>
      </c>
      <c r="I778" s="14">
        <v>1150.2467999999999</v>
      </c>
      <c r="J778" s="7">
        <v>1529138</v>
      </c>
    </row>
    <row r="779" spans="1:10" x14ac:dyDescent="0.2">
      <c r="A779" s="9">
        <v>45068</v>
      </c>
      <c r="B779" s="4" t="s">
        <v>225</v>
      </c>
      <c r="C779" s="8">
        <v>45047</v>
      </c>
      <c r="D779" s="4" t="s">
        <v>185</v>
      </c>
      <c r="E779" s="14">
        <v>303.6893</v>
      </c>
      <c r="F779" s="7">
        <v>307017</v>
      </c>
      <c r="G779" s="14">
        <v>1497.0006000000001</v>
      </c>
      <c r="H779" s="7">
        <v>2201439</v>
      </c>
      <c r="I779" s="14">
        <v>1800.6899000000001</v>
      </c>
      <c r="J779" s="7">
        <v>2508456</v>
      </c>
    </row>
    <row r="780" spans="1:10" x14ac:dyDescent="0.2">
      <c r="A780" s="9">
        <v>45069</v>
      </c>
      <c r="B780" s="4" t="s">
        <v>223</v>
      </c>
      <c r="C780" s="8">
        <v>45047</v>
      </c>
      <c r="D780" s="4" t="s">
        <v>185</v>
      </c>
      <c r="E780" s="14">
        <v>262.69279999999998</v>
      </c>
      <c r="F780" s="7">
        <v>267604</v>
      </c>
      <c r="G780" s="14">
        <v>1593.9203</v>
      </c>
      <c r="H780" s="7">
        <v>2313707</v>
      </c>
      <c r="I780" s="14">
        <v>1856.6131</v>
      </c>
      <c r="J780" s="7">
        <v>2581311</v>
      </c>
    </row>
    <row r="781" spans="1:10" x14ac:dyDescent="0.2">
      <c r="A781" s="9">
        <v>45070</v>
      </c>
      <c r="B781" s="4" t="s">
        <v>221</v>
      </c>
      <c r="C781" s="8">
        <v>45047</v>
      </c>
      <c r="D781" s="4" t="s">
        <v>185</v>
      </c>
      <c r="E781" s="14">
        <v>393.02480000000003</v>
      </c>
      <c r="F781" s="7">
        <v>400922</v>
      </c>
      <c r="G781" s="14">
        <v>1484.2891999999999</v>
      </c>
      <c r="H781" s="7">
        <v>2163972</v>
      </c>
      <c r="I781" s="14">
        <v>1877.3140000000001</v>
      </c>
      <c r="J781" s="7">
        <v>2564894</v>
      </c>
    </row>
    <row r="782" spans="1:10" x14ac:dyDescent="0.2">
      <c r="A782" s="9">
        <v>45071</v>
      </c>
      <c r="B782" s="4" t="s">
        <v>224</v>
      </c>
      <c r="C782" s="8">
        <v>45047</v>
      </c>
      <c r="D782" s="4" t="s">
        <v>185</v>
      </c>
      <c r="E782" s="14">
        <v>484.61759999999998</v>
      </c>
      <c r="F782" s="7">
        <v>493469</v>
      </c>
      <c r="G782" s="14">
        <v>1481.7779</v>
      </c>
      <c r="H782" s="7">
        <v>2130455</v>
      </c>
      <c r="I782" s="14">
        <v>1966.3955000000001</v>
      </c>
      <c r="J782" s="7">
        <v>2623924</v>
      </c>
    </row>
    <row r="783" spans="1:10" x14ac:dyDescent="0.2">
      <c r="A783" s="9">
        <v>45072</v>
      </c>
      <c r="B783" s="4" t="s">
        <v>222</v>
      </c>
      <c r="C783" s="8">
        <v>45047</v>
      </c>
      <c r="D783" s="4" t="s">
        <v>185</v>
      </c>
      <c r="E783" s="14">
        <v>273.38600000000002</v>
      </c>
      <c r="F783" s="7">
        <v>277833</v>
      </c>
      <c r="G783" s="14">
        <v>564.95159999999998</v>
      </c>
      <c r="H783" s="7">
        <v>810529</v>
      </c>
      <c r="I783" s="14">
        <v>838.33759999999995</v>
      </c>
      <c r="J783" s="7">
        <v>1088362</v>
      </c>
    </row>
    <row r="784" spans="1:10" x14ac:dyDescent="0.2">
      <c r="A784" s="9">
        <v>45075</v>
      </c>
      <c r="B784" s="4" t="s">
        <v>225</v>
      </c>
      <c r="C784" s="8">
        <v>45047</v>
      </c>
      <c r="D784" s="4" t="s">
        <v>185</v>
      </c>
      <c r="E784" s="14">
        <v>211.7004</v>
      </c>
      <c r="F784" s="7">
        <v>214206</v>
      </c>
      <c r="G784" s="14">
        <v>521.97910000000002</v>
      </c>
      <c r="H784" s="7">
        <v>734779</v>
      </c>
      <c r="I784" s="14">
        <v>733.67949999999996</v>
      </c>
      <c r="J784" s="7">
        <v>948985</v>
      </c>
    </row>
    <row r="785" spans="1:10" x14ac:dyDescent="0.2">
      <c r="A785" s="9">
        <v>45076</v>
      </c>
      <c r="B785" s="4" t="s">
        <v>223</v>
      </c>
      <c r="C785" s="8">
        <v>45047</v>
      </c>
      <c r="D785" s="4" t="s">
        <v>185</v>
      </c>
      <c r="E785" s="14">
        <v>157.964</v>
      </c>
      <c r="F785" s="7">
        <v>159349</v>
      </c>
      <c r="G785" s="14">
        <v>461.78339999999997</v>
      </c>
      <c r="H785" s="7">
        <v>644181</v>
      </c>
      <c r="I785" s="14">
        <v>619.74739999999997</v>
      </c>
      <c r="J785" s="7">
        <v>803530</v>
      </c>
    </row>
    <row r="786" spans="1:10" x14ac:dyDescent="0.2">
      <c r="A786" s="9">
        <v>45077</v>
      </c>
      <c r="B786" s="4" t="s">
        <v>221</v>
      </c>
      <c r="C786" s="8">
        <v>45047</v>
      </c>
      <c r="D786" s="4" t="s">
        <v>185</v>
      </c>
      <c r="E786" s="14">
        <v>277.0967</v>
      </c>
      <c r="F786" s="7">
        <v>278123</v>
      </c>
      <c r="G786" s="14">
        <v>830.68409999999994</v>
      </c>
      <c r="H786" s="7">
        <v>1149821</v>
      </c>
      <c r="I786" s="14">
        <v>1107.7808</v>
      </c>
      <c r="J786" s="7">
        <v>1427944</v>
      </c>
    </row>
    <row r="787" spans="1:10" x14ac:dyDescent="0.2">
      <c r="A787" s="9">
        <v>45078</v>
      </c>
      <c r="B787" s="4" t="s">
        <v>224</v>
      </c>
      <c r="C787" s="8">
        <v>45078</v>
      </c>
      <c r="D787" s="4" t="s">
        <v>185</v>
      </c>
      <c r="E787" s="14">
        <v>209.89</v>
      </c>
      <c r="F787" s="7">
        <v>210882</v>
      </c>
      <c r="G787" s="14">
        <v>505.00200000000001</v>
      </c>
      <c r="H787" s="7">
        <v>695220</v>
      </c>
      <c r="I787" s="14">
        <v>714.89200000000005</v>
      </c>
      <c r="J787" s="7">
        <v>906102</v>
      </c>
    </row>
    <row r="788" spans="1:10" x14ac:dyDescent="0.2">
      <c r="A788" s="9">
        <v>45079</v>
      </c>
      <c r="B788" s="4" t="s">
        <v>222</v>
      </c>
      <c r="C788" s="8">
        <v>45078</v>
      </c>
      <c r="D788" s="4" t="s">
        <v>185</v>
      </c>
      <c r="E788" s="14">
        <v>240.15440000000001</v>
      </c>
      <c r="F788" s="7">
        <v>241400</v>
      </c>
      <c r="G788" s="14">
        <v>516.9923</v>
      </c>
      <c r="H788" s="7">
        <v>708640</v>
      </c>
      <c r="I788" s="14">
        <v>757.14670000000001</v>
      </c>
      <c r="J788" s="7">
        <v>950040</v>
      </c>
    </row>
    <row r="789" spans="1:10" x14ac:dyDescent="0.2">
      <c r="A789" s="9">
        <v>45082</v>
      </c>
      <c r="B789" s="4" t="s">
        <v>225</v>
      </c>
      <c r="C789" s="8">
        <v>45078</v>
      </c>
      <c r="D789" s="4" t="s">
        <v>185</v>
      </c>
      <c r="E789" s="14">
        <v>162.94130000000001</v>
      </c>
      <c r="F789" s="7">
        <v>162589</v>
      </c>
      <c r="G789" s="14">
        <v>486.45650000000001</v>
      </c>
      <c r="H789" s="7">
        <v>671218</v>
      </c>
      <c r="I789" s="14">
        <v>649.39779999999996</v>
      </c>
      <c r="J789" s="7">
        <v>833807</v>
      </c>
    </row>
    <row r="790" spans="1:10" x14ac:dyDescent="0.2">
      <c r="A790" s="9">
        <v>45083</v>
      </c>
      <c r="B790" s="4" t="s">
        <v>223</v>
      </c>
      <c r="C790" s="8">
        <v>45078</v>
      </c>
      <c r="D790" s="4" t="s">
        <v>185</v>
      </c>
      <c r="E790" s="14">
        <v>182.64080000000001</v>
      </c>
      <c r="F790" s="7">
        <v>184944</v>
      </c>
      <c r="G790" s="14">
        <v>485.4812</v>
      </c>
      <c r="H790" s="7">
        <v>666729</v>
      </c>
      <c r="I790" s="14">
        <v>668.12199999999996</v>
      </c>
      <c r="J790" s="7">
        <v>851673</v>
      </c>
    </row>
    <row r="791" spans="1:10" x14ac:dyDescent="0.2">
      <c r="A791" s="9">
        <v>45084</v>
      </c>
      <c r="B791" s="4" t="s">
        <v>221</v>
      </c>
      <c r="C791" s="8">
        <v>45078</v>
      </c>
      <c r="D791" s="4" t="s">
        <v>185</v>
      </c>
      <c r="E791" s="14">
        <v>176.65350000000001</v>
      </c>
      <c r="F791" s="7">
        <v>178228</v>
      </c>
      <c r="G791" s="14">
        <v>501.84699999999998</v>
      </c>
      <c r="H791" s="7">
        <v>672239</v>
      </c>
      <c r="I791" s="14">
        <v>678.50049999999999</v>
      </c>
      <c r="J791" s="7">
        <v>850467</v>
      </c>
    </row>
    <row r="792" spans="1:10" x14ac:dyDescent="0.2">
      <c r="A792" s="9">
        <v>45085</v>
      </c>
      <c r="B792" s="4" t="s">
        <v>224</v>
      </c>
      <c r="C792" s="8">
        <v>45078</v>
      </c>
      <c r="D792" s="4" t="s">
        <v>185</v>
      </c>
      <c r="E792" s="14">
        <v>275.8263</v>
      </c>
      <c r="F792" s="7">
        <v>275372</v>
      </c>
      <c r="G792" s="14">
        <v>597.97730000000001</v>
      </c>
      <c r="H792" s="7">
        <v>804899</v>
      </c>
      <c r="I792" s="14">
        <v>873.80359999999996</v>
      </c>
      <c r="J792" s="7">
        <v>1080271</v>
      </c>
    </row>
    <row r="793" spans="1:10" x14ac:dyDescent="0.2">
      <c r="A793" s="9">
        <v>45086</v>
      </c>
      <c r="B793" s="4" t="s">
        <v>222</v>
      </c>
      <c r="C793" s="8">
        <v>45078</v>
      </c>
      <c r="D793" s="4" t="s">
        <v>185</v>
      </c>
      <c r="E793" s="14">
        <v>215.2722</v>
      </c>
      <c r="F793" s="7">
        <v>218277</v>
      </c>
      <c r="G793" s="14">
        <v>545.84400000000005</v>
      </c>
      <c r="H793" s="7">
        <v>741927</v>
      </c>
      <c r="I793" s="14">
        <v>761.11620000000005</v>
      </c>
      <c r="J793" s="7">
        <v>960204</v>
      </c>
    </row>
    <row r="794" spans="1:10" x14ac:dyDescent="0.2">
      <c r="A794" s="9">
        <v>45089</v>
      </c>
      <c r="B794" s="4" t="s">
        <v>225</v>
      </c>
      <c r="C794" s="8">
        <v>45078</v>
      </c>
      <c r="D794" s="4" t="s">
        <v>185</v>
      </c>
      <c r="E794" s="14">
        <v>156.43770000000001</v>
      </c>
      <c r="F794" s="7">
        <v>157098</v>
      </c>
      <c r="G794" s="14">
        <v>445.30290000000002</v>
      </c>
      <c r="H794" s="7">
        <v>607468</v>
      </c>
      <c r="I794" s="14">
        <v>601.74059999999997</v>
      </c>
      <c r="J794" s="7">
        <v>764566</v>
      </c>
    </row>
    <row r="795" spans="1:10" x14ac:dyDescent="0.2">
      <c r="A795" s="9">
        <v>45090</v>
      </c>
      <c r="B795" s="4" t="s">
        <v>223</v>
      </c>
      <c r="C795" s="8">
        <v>45078</v>
      </c>
      <c r="D795" s="4" t="s">
        <v>185</v>
      </c>
      <c r="E795" s="14">
        <v>198.21299999999999</v>
      </c>
      <c r="F795" s="7">
        <v>195406</v>
      </c>
      <c r="G795" s="14">
        <v>524.95309999999995</v>
      </c>
      <c r="H795" s="7">
        <v>717427</v>
      </c>
      <c r="I795" s="14">
        <v>723.16610000000003</v>
      </c>
      <c r="J795" s="7">
        <v>912833</v>
      </c>
    </row>
    <row r="796" spans="1:10" x14ac:dyDescent="0.2">
      <c r="A796" s="9">
        <v>45091</v>
      </c>
      <c r="B796" s="4" t="s">
        <v>221</v>
      </c>
      <c r="C796" s="8">
        <v>45078</v>
      </c>
      <c r="D796" s="4" t="s">
        <v>185</v>
      </c>
      <c r="E796" s="14">
        <v>147.2739</v>
      </c>
      <c r="F796" s="7">
        <v>147350</v>
      </c>
      <c r="G796" s="14">
        <v>521.41</v>
      </c>
      <c r="H796" s="7">
        <v>718369</v>
      </c>
      <c r="I796" s="14">
        <v>668.68389999999999</v>
      </c>
      <c r="J796" s="7">
        <v>865719</v>
      </c>
    </row>
    <row r="797" spans="1:10" x14ac:dyDescent="0.2">
      <c r="A797" s="9">
        <v>45092</v>
      </c>
      <c r="B797" s="4" t="s">
        <v>224</v>
      </c>
      <c r="C797" s="8">
        <v>45078</v>
      </c>
      <c r="D797" s="4" t="s">
        <v>185</v>
      </c>
      <c r="E797" s="14">
        <v>286.95429999999999</v>
      </c>
      <c r="F797" s="7">
        <v>289272</v>
      </c>
      <c r="G797" s="14">
        <v>600.67100000000005</v>
      </c>
      <c r="H797" s="7">
        <v>815910</v>
      </c>
      <c r="I797" s="14">
        <v>887.62530000000004</v>
      </c>
      <c r="J797" s="7">
        <v>1105182</v>
      </c>
    </row>
    <row r="798" spans="1:10" x14ac:dyDescent="0.2">
      <c r="A798" s="9">
        <v>45093</v>
      </c>
      <c r="B798" s="4" t="s">
        <v>222</v>
      </c>
      <c r="C798" s="8">
        <v>45078</v>
      </c>
      <c r="D798" s="4" t="s">
        <v>185</v>
      </c>
      <c r="E798" s="14">
        <v>284.94600000000003</v>
      </c>
      <c r="F798" s="7">
        <v>288758</v>
      </c>
      <c r="G798" s="14">
        <v>674.29290000000003</v>
      </c>
      <c r="H798" s="7">
        <v>913368</v>
      </c>
      <c r="I798" s="14">
        <v>959.23889999999994</v>
      </c>
      <c r="J798" s="7">
        <v>1202126</v>
      </c>
    </row>
    <row r="799" spans="1:10" x14ac:dyDescent="0.2">
      <c r="A799" s="9">
        <v>45096</v>
      </c>
      <c r="B799" s="4" t="s">
        <v>225</v>
      </c>
      <c r="C799" s="8">
        <v>45078</v>
      </c>
      <c r="D799" s="4" t="s">
        <v>185</v>
      </c>
      <c r="E799" s="14">
        <v>236.94329999999999</v>
      </c>
      <c r="F799" s="7">
        <v>240025</v>
      </c>
      <c r="G799" s="14">
        <v>630.97919999999999</v>
      </c>
      <c r="H799" s="7">
        <v>834144</v>
      </c>
      <c r="I799" s="14">
        <v>867.92250000000001</v>
      </c>
      <c r="J799" s="7">
        <v>1074169</v>
      </c>
    </row>
    <row r="800" spans="1:10" x14ac:dyDescent="0.2">
      <c r="A800" s="9">
        <v>45097</v>
      </c>
      <c r="B800" s="4" t="s">
        <v>223</v>
      </c>
      <c r="C800" s="8">
        <v>45078</v>
      </c>
      <c r="D800" s="4" t="s">
        <v>185</v>
      </c>
      <c r="E800" s="14">
        <v>263.87900000000002</v>
      </c>
      <c r="F800" s="7">
        <v>269583</v>
      </c>
      <c r="G800" s="14">
        <v>617.17229999999995</v>
      </c>
      <c r="H800" s="7">
        <v>834987</v>
      </c>
      <c r="I800" s="14">
        <v>881.05129999999997</v>
      </c>
      <c r="J800" s="7">
        <v>1104570</v>
      </c>
    </row>
    <row r="801" spans="1:10" x14ac:dyDescent="0.2">
      <c r="A801" s="9">
        <v>45098</v>
      </c>
      <c r="B801" s="4" t="s">
        <v>221</v>
      </c>
      <c r="C801" s="8">
        <v>45078</v>
      </c>
      <c r="D801" s="4" t="s">
        <v>185</v>
      </c>
      <c r="E801" s="14">
        <v>221.75630000000001</v>
      </c>
      <c r="F801" s="7">
        <v>223427</v>
      </c>
      <c r="G801" s="14">
        <v>780.90480000000002</v>
      </c>
      <c r="H801" s="7">
        <v>1039193</v>
      </c>
      <c r="I801" s="14">
        <v>1002.6611</v>
      </c>
      <c r="J801" s="7">
        <v>1262620</v>
      </c>
    </row>
    <row r="802" spans="1:10" x14ac:dyDescent="0.2">
      <c r="A802" s="9">
        <v>45099</v>
      </c>
      <c r="B802" s="4" t="s">
        <v>224</v>
      </c>
      <c r="C802" s="8">
        <v>45078</v>
      </c>
      <c r="D802" s="4" t="s">
        <v>185</v>
      </c>
      <c r="E802" s="14">
        <v>318.84719999999999</v>
      </c>
      <c r="F802" s="7">
        <v>324776</v>
      </c>
      <c r="G802" s="14">
        <v>848.31650000000002</v>
      </c>
      <c r="H802" s="7">
        <v>1156280</v>
      </c>
      <c r="I802" s="14">
        <v>1167.1637000000001</v>
      </c>
      <c r="J802" s="7">
        <v>1481056</v>
      </c>
    </row>
    <row r="803" spans="1:10" x14ac:dyDescent="0.2">
      <c r="A803" s="9">
        <v>45100</v>
      </c>
      <c r="B803" s="4" t="s">
        <v>222</v>
      </c>
      <c r="C803" s="8">
        <v>45078</v>
      </c>
      <c r="D803" s="4" t="s">
        <v>185</v>
      </c>
      <c r="E803" s="14">
        <v>267.13139999999999</v>
      </c>
      <c r="F803" s="7">
        <v>279976</v>
      </c>
      <c r="G803" s="14">
        <v>1357.4074000000001</v>
      </c>
      <c r="H803" s="7">
        <v>1885126</v>
      </c>
      <c r="I803" s="14">
        <v>1624.5388</v>
      </c>
      <c r="J803" s="7">
        <v>2165102</v>
      </c>
    </row>
    <row r="804" spans="1:10" x14ac:dyDescent="0.2">
      <c r="A804" s="9">
        <v>45103</v>
      </c>
      <c r="B804" s="4" t="s">
        <v>225</v>
      </c>
      <c r="C804" s="8">
        <v>45078</v>
      </c>
      <c r="D804" s="4" t="s">
        <v>185</v>
      </c>
      <c r="E804" s="14">
        <v>229.85980000000001</v>
      </c>
      <c r="F804" s="7">
        <v>246290</v>
      </c>
      <c r="G804" s="14">
        <v>1748.7294999999999</v>
      </c>
      <c r="H804" s="7">
        <v>2427933</v>
      </c>
      <c r="I804" s="14">
        <v>1978.5893000000001</v>
      </c>
      <c r="J804" s="7">
        <v>2674223</v>
      </c>
    </row>
    <row r="805" spans="1:10" x14ac:dyDescent="0.2">
      <c r="A805" s="9">
        <v>45104</v>
      </c>
      <c r="B805" s="4" t="s">
        <v>223</v>
      </c>
      <c r="C805" s="8">
        <v>45078</v>
      </c>
      <c r="D805" s="4" t="s">
        <v>185</v>
      </c>
      <c r="E805" s="14">
        <v>375.0342</v>
      </c>
      <c r="F805" s="7">
        <v>412899</v>
      </c>
      <c r="G805" s="14">
        <v>1810.8951999999999</v>
      </c>
      <c r="H805" s="7">
        <v>2471710</v>
      </c>
      <c r="I805" s="14">
        <v>2185.9294</v>
      </c>
      <c r="J805" s="7">
        <v>2884609</v>
      </c>
    </row>
    <row r="806" spans="1:10" x14ac:dyDescent="0.2">
      <c r="A806" s="9">
        <v>45105</v>
      </c>
      <c r="B806" s="4" t="s">
        <v>221</v>
      </c>
      <c r="C806" s="8">
        <v>45078</v>
      </c>
      <c r="D806" s="4" t="s">
        <v>185</v>
      </c>
      <c r="E806" s="14">
        <v>522.76610000000005</v>
      </c>
      <c r="F806" s="7">
        <v>579376</v>
      </c>
      <c r="G806" s="14">
        <v>1849.5223000000001</v>
      </c>
      <c r="H806" s="7">
        <v>2502123</v>
      </c>
      <c r="I806" s="14">
        <v>2372.2883999999999</v>
      </c>
      <c r="J806" s="7">
        <v>3081499</v>
      </c>
    </row>
    <row r="807" spans="1:10" x14ac:dyDescent="0.2">
      <c r="A807" s="9">
        <v>45107</v>
      </c>
      <c r="B807" s="4" t="s">
        <v>222</v>
      </c>
      <c r="C807" s="8">
        <v>45078</v>
      </c>
      <c r="D807" s="4" t="s">
        <v>185</v>
      </c>
      <c r="E807" s="14">
        <v>205.41679999999999</v>
      </c>
      <c r="F807" s="7">
        <v>252206</v>
      </c>
      <c r="G807" s="14">
        <v>651.17250000000001</v>
      </c>
      <c r="H807" s="7">
        <v>867402</v>
      </c>
      <c r="I807" s="14">
        <v>856.58929999999998</v>
      </c>
      <c r="J807" s="7">
        <v>1119608</v>
      </c>
    </row>
    <row r="808" spans="1:10" x14ac:dyDescent="0.2">
      <c r="A808" s="9">
        <v>45110</v>
      </c>
      <c r="B808" s="4" t="s">
        <v>225</v>
      </c>
      <c r="C808" s="8">
        <v>45108</v>
      </c>
      <c r="D808" s="4" t="s">
        <v>186</v>
      </c>
      <c r="E808" s="14">
        <v>225.72110000000001</v>
      </c>
      <c r="F808" s="7">
        <v>275461</v>
      </c>
      <c r="G808" s="14">
        <v>658.38720000000001</v>
      </c>
      <c r="H808" s="7">
        <v>837888</v>
      </c>
      <c r="I808" s="14">
        <v>884.10829999999999</v>
      </c>
      <c r="J808" s="7">
        <v>1113349</v>
      </c>
    </row>
    <row r="809" spans="1:10" x14ac:dyDescent="0.2">
      <c r="A809" s="9">
        <v>45111</v>
      </c>
      <c r="B809" s="4" t="s">
        <v>223</v>
      </c>
      <c r="C809" s="8">
        <v>45108</v>
      </c>
      <c r="D809" s="4" t="s">
        <v>186</v>
      </c>
      <c r="E809" s="14">
        <v>249.2073</v>
      </c>
      <c r="F809" s="7">
        <v>312921</v>
      </c>
      <c r="G809" s="14">
        <v>689.6585</v>
      </c>
      <c r="H809" s="7">
        <v>864407</v>
      </c>
      <c r="I809" s="14">
        <v>938.86580000000004</v>
      </c>
      <c r="J809" s="7">
        <v>1177328</v>
      </c>
    </row>
    <row r="810" spans="1:10" x14ac:dyDescent="0.2">
      <c r="A810" s="9">
        <v>45112</v>
      </c>
      <c r="B810" s="4" t="s">
        <v>221</v>
      </c>
      <c r="C810" s="8">
        <v>45108</v>
      </c>
      <c r="D810" s="4" t="s">
        <v>186</v>
      </c>
      <c r="E810" s="14">
        <v>162.54689999999999</v>
      </c>
      <c r="F810" s="7">
        <v>202032</v>
      </c>
      <c r="G810" s="14">
        <v>698.28380000000004</v>
      </c>
      <c r="H810" s="7">
        <v>888834</v>
      </c>
      <c r="I810" s="14">
        <v>860.83069999999998</v>
      </c>
      <c r="J810" s="7">
        <v>1090866</v>
      </c>
    </row>
    <row r="811" spans="1:10" x14ac:dyDescent="0.2">
      <c r="A811" s="9">
        <v>45113</v>
      </c>
      <c r="B811" s="4" t="s">
        <v>224</v>
      </c>
      <c r="C811" s="8">
        <v>45108</v>
      </c>
      <c r="D811" s="4" t="s">
        <v>186</v>
      </c>
      <c r="E811" s="14">
        <v>206.82669999999999</v>
      </c>
      <c r="F811" s="7">
        <v>254646</v>
      </c>
      <c r="G811" s="14">
        <v>669.02809999999999</v>
      </c>
      <c r="H811" s="7">
        <v>867707</v>
      </c>
      <c r="I811" s="14">
        <v>875.85479999999995</v>
      </c>
      <c r="J811" s="7">
        <v>1122353</v>
      </c>
    </row>
    <row r="812" spans="1:10" x14ac:dyDescent="0.2">
      <c r="A812" s="9">
        <v>45114</v>
      </c>
      <c r="B812" s="4" t="s">
        <v>222</v>
      </c>
      <c r="C812" s="8">
        <v>45108</v>
      </c>
      <c r="D812" s="4" t="s">
        <v>186</v>
      </c>
      <c r="E812" s="14">
        <v>298.9513</v>
      </c>
      <c r="F812" s="7">
        <v>367444</v>
      </c>
      <c r="G812" s="14">
        <v>706.37990000000002</v>
      </c>
      <c r="H812" s="7">
        <v>913688</v>
      </c>
      <c r="I812" s="14">
        <v>1005.3312</v>
      </c>
      <c r="J812" s="7">
        <v>1281132</v>
      </c>
    </row>
    <row r="813" spans="1:10" x14ac:dyDescent="0.2">
      <c r="A813" s="9">
        <v>45117</v>
      </c>
      <c r="B813" s="4" t="s">
        <v>225</v>
      </c>
      <c r="C813" s="8">
        <v>45108</v>
      </c>
      <c r="D813" s="4" t="s">
        <v>186</v>
      </c>
      <c r="E813" s="14">
        <v>197.16579999999999</v>
      </c>
      <c r="F813" s="7">
        <v>248677</v>
      </c>
      <c r="G813" s="14">
        <v>655.77769999999998</v>
      </c>
      <c r="H813" s="7">
        <v>859088</v>
      </c>
      <c r="I813" s="14">
        <v>852.94349999999997</v>
      </c>
      <c r="J813" s="7">
        <v>1107765</v>
      </c>
    </row>
    <row r="814" spans="1:10" x14ac:dyDescent="0.2">
      <c r="A814" s="9">
        <v>45118</v>
      </c>
      <c r="B814" s="4" t="s">
        <v>223</v>
      </c>
      <c r="C814" s="8">
        <v>45108</v>
      </c>
      <c r="D814" s="4" t="s">
        <v>186</v>
      </c>
      <c r="E814" s="14">
        <v>218.5813</v>
      </c>
      <c r="F814" s="7">
        <v>276349</v>
      </c>
      <c r="G814" s="14">
        <v>629.26189999999997</v>
      </c>
      <c r="H814" s="7">
        <v>799802</v>
      </c>
      <c r="I814" s="14">
        <v>847.84320000000002</v>
      </c>
      <c r="J814" s="7">
        <v>1076151</v>
      </c>
    </row>
    <row r="815" spans="1:10" x14ac:dyDescent="0.2">
      <c r="A815" s="9">
        <v>45119</v>
      </c>
      <c r="B815" s="4" t="s">
        <v>221</v>
      </c>
      <c r="C815" s="8">
        <v>45108</v>
      </c>
      <c r="D815" s="4" t="s">
        <v>186</v>
      </c>
      <c r="E815" s="14">
        <v>194.4212</v>
      </c>
      <c r="F815" s="7">
        <v>246951</v>
      </c>
      <c r="G815" s="14">
        <v>690.15239999999994</v>
      </c>
      <c r="H815" s="7">
        <v>876235</v>
      </c>
      <c r="I815" s="14">
        <v>884.57360000000006</v>
      </c>
      <c r="J815" s="7">
        <v>1123186</v>
      </c>
    </row>
    <row r="816" spans="1:10" x14ac:dyDescent="0.2">
      <c r="A816" s="9">
        <v>45120</v>
      </c>
      <c r="B816" s="4" t="s">
        <v>224</v>
      </c>
      <c r="C816" s="8">
        <v>45108</v>
      </c>
      <c r="D816" s="4" t="s">
        <v>186</v>
      </c>
      <c r="E816" s="14">
        <v>317.63040000000001</v>
      </c>
      <c r="F816" s="7">
        <v>403730</v>
      </c>
      <c r="G816" s="14">
        <v>721.22280000000001</v>
      </c>
      <c r="H816" s="7">
        <v>959428</v>
      </c>
      <c r="I816" s="14">
        <v>1038.8532</v>
      </c>
      <c r="J816" s="7">
        <v>1363158</v>
      </c>
    </row>
    <row r="817" spans="1:10" x14ac:dyDescent="0.2">
      <c r="A817" s="9">
        <v>45121</v>
      </c>
      <c r="B817" s="4" t="s">
        <v>222</v>
      </c>
      <c r="C817" s="8">
        <v>45108</v>
      </c>
      <c r="D817" s="4" t="s">
        <v>186</v>
      </c>
      <c r="E817" s="14">
        <v>250.6618</v>
      </c>
      <c r="F817" s="7">
        <v>310573</v>
      </c>
      <c r="G817" s="14">
        <v>652.45280000000002</v>
      </c>
      <c r="H817" s="7">
        <v>876150</v>
      </c>
      <c r="I817" s="14">
        <v>903.1146</v>
      </c>
      <c r="J817" s="7">
        <v>1186723</v>
      </c>
    </row>
    <row r="818" spans="1:10" x14ac:dyDescent="0.2">
      <c r="A818" s="9">
        <v>45124</v>
      </c>
      <c r="B818" s="4" t="s">
        <v>225</v>
      </c>
      <c r="C818" s="8">
        <v>45108</v>
      </c>
      <c r="D818" s="4" t="s">
        <v>186</v>
      </c>
      <c r="E818" s="14">
        <v>295.23110000000003</v>
      </c>
      <c r="F818" s="7">
        <v>384138</v>
      </c>
      <c r="G818" s="14">
        <v>749.48680000000002</v>
      </c>
      <c r="H818" s="7">
        <v>993011</v>
      </c>
      <c r="I818" s="14">
        <v>1044.7179000000001</v>
      </c>
      <c r="J818" s="7">
        <v>1377149</v>
      </c>
    </row>
    <row r="819" spans="1:10" x14ac:dyDescent="0.2">
      <c r="A819" s="9">
        <v>45125</v>
      </c>
      <c r="B819" s="4" t="s">
        <v>223</v>
      </c>
      <c r="C819" s="8">
        <v>45108</v>
      </c>
      <c r="D819" s="4" t="s">
        <v>186</v>
      </c>
      <c r="E819" s="14">
        <v>332.67649999999998</v>
      </c>
      <c r="F819" s="7">
        <v>424924</v>
      </c>
      <c r="G819" s="14">
        <v>770.89430000000004</v>
      </c>
      <c r="H819" s="7">
        <v>997061</v>
      </c>
      <c r="I819" s="14">
        <v>1103.5708</v>
      </c>
      <c r="J819" s="7">
        <v>1421985</v>
      </c>
    </row>
    <row r="820" spans="1:10" x14ac:dyDescent="0.2">
      <c r="A820" s="9">
        <v>45126</v>
      </c>
      <c r="B820" s="4" t="s">
        <v>221</v>
      </c>
      <c r="C820" s="8">
        <v>45108</v>
      </c>
      <c r="D820" s="4" t="s">
        <v>186</v>
      </c>
      <c r="E820" s="14">
        <v>234.46789999999999</v>
      </c>
      <c r="F820" s="7">
        <v>287404</v>
      </c>
      <c r="G820" s="14">
        <v>718.68650000000002</v>
      </c>
      <c r="H820" s="7">
        <v>929205</v>
      </c>
      <c r="I820" s="14">
        <v>953.15440000000001</v>
      </c>
      <c r="J820" s="7">
        <v>1216609</v>
      </c>
    </row>
    <row r="821" spans="1:10" x14ac:dyDescent="0.2">
      <c r="A821" s="9">
        <v>45127</v>
      </c>
      <c r="B821" s="4" t="s">
        <v>224</v>
      </c>
      <c r="C821" s="8">
        <v>45108</v>
      </c>
      <c r="D821" s="4" t="s">
        <v>186</v>
      </c>
      <c r="E821" s="14">
        <v>314.49119999999999</v>
      </c>
      <c r="F821" s="7">
        <v>382465</v>
      </c>
      <c r="G821" s="14">
        <v>839.65039999999999</v>
      </c>
      <c r="H821" s="7">
        <v>1083977</v>
      </c>
      <c r="I821" s="14">
        <v>1154.1415999999999</v>
      </c>
      <c r="J821" s="7">
        <v>1466442</v>
      </c>
    </row>
    <row r="822" spans="1:10" x14ac:dyDescent="0.2">
      <c r="A822" s="9">
        <v>45128</v>
      </c>
      <c r="B822" s="4" t="s">
        <v>222</v>
      </c>
      <c r="C822" s="8">
        <v>45108</v>
      </c>
      <c r="D822" s="4" t="s">
        <v>186</v>
      </c>
      <c r="E822" s="14">
        <v>336.66449999999998</v>
      </c>
      <c r="F822" s="7">
        <v>402266</v>
      </c>
      <c r="G822" s="14">
        <v>1183.559</v>
      </c>
      <c r="H822" s="7">
        <v>1565196</v>
      </c>
      <c r="I822" s="14">
        <v>1520.2235000000001</v>
      </c>
      <c r="J822" s="7">
        <v>1967462</v>
      </c>
    </row>
    <row r="823" spans="1:10" x14ac:dyDescent="0.2">
      <c r="A823" s="9">
        <v>45131</v>
      </c>
      <c r="B823" s="4" t="s">
        <v>225</v>
      </c>
      <c r="C823" s="8">
        <v>45108</v>
      </c>
      <c r="D823" s="4" t="s">
        <v>186</v>
      </c>
      <c r="E823" s="14">
        <v>307.3186</v>
      </c>
      <c r="F823" s="7">
        <v>366335</v>
      </c>
      <c r="G823" s="14">
        <v>1790.7068999999999</v>
      </c>
      <c r="H823" s="7">
        <v>2305766</v>
      </c>
      <c r="I823" s="14">
        <v>2098.0255000000002</v>
      </c>
      <c r="J823" s="7">
        <v>2672101</v>
      </c>
    </row>
    <row r="824" spans="1:10" x14ac:dyDescent="0.2">
      <c r="A824" s="9">
        <v>45132</v>
      </c>
      <c r="B824" s="4" t="s">
        <v>223</v>
      </c>
      <c r="C824" s="8">
        <v>45108</v>
      </c>
      <c r="D824" s="4" t="s">
        <v>186</v>
      </c>
      <c r="E824" s="14">
        <v>319.63229999999999</v>
      </c>
      <c r="F824" s="7">
        <v>385259</v>
      </c>
      <c r="G824" s="14">
        <v>1900.9468999999999</v>
      </c>
      <c r="H824" s="7">
        <v>2476967</v>
      </c>
      <c r="I824" s="14">
        <v>2220.5792000000001</v>
      </c>
      <c r="J824" s="7">
        <v>2862226</v>
      </c>
    </row>
    <row r="825" spans="1:10" x14ac:dyDescent="0.2">
      <c r="A825" s="9">
        <v>45133</v>
      </c>
      <c r="B825" s="4" t="s">
        <v>221</v>
      </c>
      <c r="C825" s="8">
        <v>45108</v>
      </c>
      <c r="D825" s="4" t="s">
        <v>186</v>
      </c>
      <c r="E825" s="14">
        <v>343.19369999999998</v>
      </c>
      <c r="F825" s="7">
        <v>409123</v>
      </c>
      <c r="G825" s="14">
        <v>1748.4027000000001</v>
      </c>
      <c r="H825" s="7">
        <v>2256735</v>
      </c>
      <c r="I825" s="14">
        <v>2091.5963999999999</v>
      </c>
      <c r="J825" s="7">
        <v>2665858</v>
      </c>
    </row>
    <row r="826" spans="1:10" x14ac:dyDescent="0.2">
      <c r="A826" s="9">
        <v>45134</v>
      </c>
      <c r="B826" s="4" t="s">
        <v>224</v>
      </c>
      <c r="C826" s="8">
        <v>45108</v>
      </c>
      <c r="D826" s="4" t="s">
        <v>186</v>
      </c>
      <c r="E826" s="14">
        <v>610.1223</v>
      </c>
      <c r="F826" s="7">
        <v>735194</v>
      </c>
      <c r="G826" s="14">
        <v>2073.915</v>
      </c>
      <c r="H826" s="7">
        <v>2647613</v>
      </c>
      <c r="I826" s="14">
        <v>2684.0373</v>
      </c>
      <c r="J826" s="7">
        <v>3382807</v>
      </c>
    </row>
    <row r="827" spans="1:10" x14ac:dyDescent="0.2">
      <c r="A827" s="9">
        <v>45135</v>
      </c>
      <c r="B827" s="4" t="s">
        <v>222</v>
      </c>
      <c r="C827" s="8">
        <v>45108</v>
      </c>
      <c r="D827" s="4" t="s">
        <v>186</v>
      </c>
      <c r="E827" s="14">
        <v>278.46980000000002</v>
      </c>
      <c r="F827" s="7">
        <v>338977</v>
      </c>
      <c r="G827" s="14">
        <v>750.40629999999999</v>
      </c>
      <c r="H827" s="7">
        <v>951113</v>
      </c>
      <c r="I827" s="14">
        <v>1028.8761</v>
      </c>
      <c r="J827" s="7">
        <v>1290090</v>
      </c>
    </row>
    <row r="828" spans="1:10" x14ac:dyDescent="0.2">
      <c r="A828" s="9">
        <v>45138</v>
      </c>
      <c r="B828" s="4" t="s">
        <v>225</v>
      </c>
      <c r="C828" s="8">
        <v>45108</v>
      </c>
      <c r="D828" s="4" t="s">
        <v>186</v>
      </c>
      <c r="E828" s="14">
        <v>190.46770000000001</v>
      </c>
      <c r="F828" s="7">
        <v>231466</v>
      </c>
      <c r="G828" s="14">
        <v>669.14660000000003</v>
      </c>
      <c r="H828" s="7">
        <v>839440</v>
      </c>
      <c r="I828" s="14">
        <v>859.61429999999996</v>
      </c>
      <c r="J828" s="7">
        <v>1070906</v>
      </c>
    </row>
    <row r="829" spans="1:10" x14ac:dyDescent="0.2">
      <c r="A829" s="9">
        <v>45139</v>
      </c>
      <c r="B829" s="4" t="s">
        <v>223</v>
      </c>
      <c r="C829" s="8">
        <v>45139</v>
      </c>
      <c r="D829" s="4" t="s">
        <v>186</v>
      </c>
      <c r="E829" s="14">
        <v>174.3099</v>
      </c>
      <c r="F829" s="7">
        <v>217079</v>
      </c>
      <c r="G829" s="14">
        <v>665.34680000000003</v>
      </c>
      <c r="H829" s="7">
        <v>838596</v>
      </c>
      <c r="I829" s="14">
        <v>839.6567</v>
      </c>
      <c r="J829" s="7">
        <v>1055675</v>
      </c>
    </row>
    <row r="830" spans="1:10" x14ac:dyDescent="0.2">
      <c r="A830" s="9">
        <v>45140</v>
      </c>
      <c r="B830" s="4" t="s">
        <v>221</v>
      </c>
      <c r="C830" s="8">
        <v>45139</v>
      </c>
      <c r="D830" s="4" t="s">
        <v>186</v>
      </c>
      <c r="E830" s="14">
        <v>339.23919999999998</v>
      </c>
      <c r="F830" s="7">
        <v>419461</v>
      </c>
      <c r="G830" s="14">
        <v>770.03920000000005</v>
      </c>
      <c r="H830" s="7">
        <v>965935</v>
      </c>
      <c r="I830" s="14">
        <v>1109.2783999999999</v>
      </c>
      <c r="J830" s="7">
        <v>1385396</v>
      </c>
    </row>
    <row r="831" spans="1:10" x14ac:dyDescent="0.2">
      <c r="A831" s="9">
        <v>45141</v>
      </c>
      <c r="B831" s="4" t="s">
        <v>224</v>
      </c>
      <c r="C831" s="8">
        <v>45139</v>
      </c>
      <c r="D831" s="4" t="s">
        <v>186</v>
      </c>
      <c r="E831" s="14">
        <v>379.88060000000002</v>
      </c>
      <c r="F831" s="7">
        <v>474795</v>
      </c>
      <c r="G831" s="14">
        <v>792.03290000000004</v>
      </c>
      <c r="H831" s="7">
        <v>1021097</v>
      </c>
      <c r="I831" s="14">
        <v>1171.9135000000001</v>
      </c>
      <c r="J831" s="7">
        <v>1495892</v>
      </c>
    </row>
    <row r="832" spans="1:10" x14ac:dyDescent="0.2">
      <c r="A832" s="9">
        <v>45142</v>
      </c>
      <c r="B832" s="4" t="s">
        <v>222</v>
      </c>
      <c r="C832" s="8">
        <v>45139</v>
      </c>
      <c r="D832" s="4" t="s">
        <v>186</v>
      </c>
      <c r="E832" s="14">
        <v>318.22699999999998</v>
      </c>
      <c r="F832" s="7">
        <v>405680</v>
      </c>
      <c r="G832" s="14">
        <v>811.45399999999995</v>
      </c>
      <c r="H832" s="7">
        <v>1028762</v>
      </c>
      <c r="I832" s="14">
        <v>1129.681</v>
      </c>
      <c r="J832" s="7">
        <v>1434442</v>
      </c>
    </row>
    <row r="833" spans="1:10" x14ac:dyDescent="0.2">
      <c r="A833" s="9">
        <v>45145</v>
      </c>
      <c r="B833" s="4" t="s">
        <v>225</v>
      </c>
      <c r="C833" s="8">
        <v>45139</v>
      </c>
      <c r="D833" s="4" t="s">
        <v>186</v>
      </c>
      <c r="E833" s="14">
        <v>189.48320000000001</v>
      </c>
      <c r="F833" s="7">
        <v>237076</v>
      </c>
      <c r="G833" s="14">
        <v>592.47429999999997</v>
      </c>
      <c r="H833" s="7">
        <v>741736</v>
      </c>
      <c r="I833" s="14">
        <v>781.95749999999998</v>
      </c>
      <c r="J833" s="7">
        <v>978812</v>
      </c>
    </row>
    <row r="834" spans="1:10" x14ac:dyDescent="0.2">
      <c r="A834" s="9">
        <v>45146</v>
      </c>
      <c r="B834" s="4" t="s">
        <v>223</v>
      </c>
      <c r="C834" s="8">
        <v>45139</v>
      </c>
      <c r="D834" s="4" t="s">
        <v>186</v>
      </c>
      <c r="E834" s="14">
        <v>181.4211</v>
      </c>
      <c r="F834" s="7">
        <v>231233</v>
      </c>
      <c r="G834" s="14">
        <v>675.10270000000003</v>
      </c>
      <c r="H834" s="7">
        <v>838814</v>
      </c>
      <c r="I834" s="14">
        <v>856.52380000000005</v>
      </c>
      <c r="J834" s="7">
        <v>1070047</v>
      </c>
    </row>
    <row r="835" spans="1:10" x14ac:dyDescent="0.2">
      <c r="A835" s="9">
        <v>45147</v>
      </c>
      <c r="B835" s="4" t="s">
        <v>221</v>
      </c>
      <c r="C835" s="8">
        <v>45139</v>
      </c>
      <c r="D835" s="4" t="s">
        <v>186</v>
      </c>
      <c r="E835" s="14">
        <v>252.52770000000001</v>
      </c>
      <c r="F835" s="7">
        <v>320054</v>
      </c>
      <c r="G835" s="14">
        <v>640.45150000000001</v>
      </c>
      <c r="H835" s="7">
        <v>818833</v>
      </c>
      <c r="I835" s="14">
        <v>892.97919999999999</v>
      </c>
      <c r="J835" s="7">
        <v>1138887</v>
      </c>
    </row>
    <row r="836" spans="1:10" x14ac:dyDescent="0.2">
      <c r="A836" s="9">
        <v>45148</v>
      </c>
      <c r="B836" s="4" t="s">
        <v>224</v>
      </c>
      <c r="C836" s="8">
        <v>45139</v>
      </c>
      <c r="D836" s="4" t="s">
        <v>186</v>
      </c>
      <c r="E836" s="14">
        <v>317.2568</v>
      </c>
      <c r="F836" s="7">
        <v>405928</v>
      </c>
      <c r="G836" s="14">
        <v>781.6866</v>
      </c>
      <c r="H836" s="7">
        <v>993453</v>
      </c>
      <c r="I836" s="14">
        <v>1098.9434000000001</v>
      </c>
      <c r="J836" s="7">
        <v>1399381</v>
      </c>
    </row>
    <row r="837" spans="1:10" x14ac:dyDescent="0.2">
      <c r="A837" s="9">
        <v>45149</v>
      </c>
      <c r="B837" s="4" t="s">
        <v>222</v>
      </c>
      <c r="C837" s="8">
        <v>45139</v>
      </c>
      <c r="D837" s="4" t="s">
        <v>186</v>
      </c>
      <c r="E837" s="14">
        <v>240.46510000000001</v>
      </c>
      <c r="F837" s="7">
        <v>309418</v>
      </c>
      <c r="G837" s="14">
        <v>711.6345</v>
      </c>
      <c r="H837" s="7">
        <v>895933</v>
      </c>
      <c r="I837" s="14">
        <v>952.09960000000001</v>
      </c>
      <c r="J837" s="7">
        <v>1205351</v>
      </c>
    </row>
    <row r="838" spans="1:10" x14ac:dyDescent="0.2">
      <c r="A838" s="9">
        <v>45152</v>
      </c>
      <c r="B838" s="4" t="s">
        <v>225</v>
      </c>
      <c r="C838" s="8">
        <v>45139</v>
      </c>
      <c r="D838" s="4" t="s">
        <v>186</v>
      </c>
      <c r="E838" s="14">
        <v>255.28129999999999</v>
      </c>
      <c r="F838" s="7">
        <v>324630</v>
      </c>
      <c r="G838" s="14">
        <v>622.84209999999996</v>
      </c>
      <c r="H838" s="7">
        <v>809831</v>
      </c>
      <c r="I838" s="14">
        <v>878.12339999999995</v>
      </c>
      <c r="J838" s="7">
        <v>1134461</v>
      </c>
    </row>
    <row r="839" spans="1:10" x14ac:dyDescent="0.2">
      <c r="A839" s="9">
        <v>45154</v>
      </c>
      <c r="B839" s="4" t="s">
        <v>221</v>
      </c>
      <c r="C839" s="8">
        <v>45139</v>
      </c>
      <c r="D839" s="4" t="s">
        <v>186</v>
      </c>
      <c r="E839" s="14">
        <v>252.05500000000001</v>
      </c>
      <c r="F839" s="7">
        <v>332264</v>
      </c>
      <c r="G839" s="14">
        <v>567.61689999999999</v>
      </c>
      <c r="H839" s="7">
        <v>730186</v>
      </c>
      <c r="I839" s="14">
        <v>819.67190000000005</v>
      </c>
      <c r="J839" s="7">
        <v>1062450</v>
      </c>
    </row>
    <row r="840" spans="1:10" x14ac:dyDescent="0.2">
      <c r="A840" s="9">
        <v>45155</v>
      </c>
      <c r="B840" s="4" t="s">
        <v>224</v>
      </c>
      <c r="C840" s="8">
        <v>45139</v>
      </c>
      <c r="D840" s="4" t="s">
        <v>186</v>
      </c>
      <c r="E840" s="14">
        <v>288.74209999999999</v>
      </c>
      <c r="F840" s="7">
        <v>382142</v>
      </c>
      <c r="G840" s="14">
        <v>584.24260000000004</v>
      </c>
      <c r="H840" s="7">
        <v>740917</v>
      </c>
      <c r="I840" s="14">
        <v>872.98469999999998</v>
      </c>
      <c r="J840" s="7">
        <v>1123059</v>
      </c>
    </row>
    <row r="841" spans="1:10" x14ac:dyDescent="0.2">
      <c r="A841" s="9">
        <v>45156</v>
      </c>
      <c r="B841" s="4" t="s">
        <v>222</v>
      </c>
      <c r="C841" s="8">
        <v>45139</v>
      </c>
      <c r="D841" s="4" t="s">
        <v>186</v>
      </c>
      <c r="E841" s="14">
        <v>244.1208</v>
      </c>
      <c r="F841" s="7">
        <v>302167</v>
      </c>
      <c r="G841" s="14">
        <v>647.52380000000005</v>
      </c>
      <c r="H841" s="7">
        <v>847886</v>
      </c>
      <c r="I841" s="14">
        <v>891.64459999999997</v>
      </c>
      <c r="J841" s="7">
        <v>1150053</v>
      </c>
    </row>
    <row r="842" spans="1:10" x14ac:dyDescent="0.2">
      <c r="A842" s="9">
        <v>45159</v>
      </c>
      <c r="B842" s="4" t="s">
        <v>225</v>
      </c>
      <c r="C842" s="8">
        <v>45139</v>
      </c>
      <c r="D842" s="4" t="s">
        <v>186</v>
      </c>
      <c r="E842" s="14">
        <v>234.39769999999999</v>
      </c>
      <c r="F842" s="7">
        <v>291563</v>
      </c>
      <c r="G842" s="14">
        <v>511.68920000000003</v>
      </c>
      <c r="H842" s="7">
        <v>653567</v>
      </c>
      <c r="I842" s="14">
        <v>746.08690000000001</v>
      </c>
      <c r="J842" s="7">
        <v>945130</v>
      </c>
    </row>
    <row r="843" spans="1:10" x14ac:dyDescent="0.2">
      <c r="A843" s="9">
        <v>45160</v>
      </c>
      <c r="B843" s="4" t="s">
        <v>223</v>
      </c>
      <c r="C843" s="8">
        <v>45139</v>
      </c>
      <c r="D843" s="4" t="s">
        <v>186</v>
      </c>
      <c r="E843" s="14">
        <v>140.22980000000001</v>
      </c>
      <c r="F843" s="7">
        <v>177070</v>
      </c>
      <c r="G843" s="14">
        <v>644.64729999999997</v>
      </c>
      <c r="H843" s="7">
        <v>790838</v>
      </c>
      <c r="I843" s="14">
        <v>784.87710000000004</v>
      </c>
      <c r="J843" s="7">
        <v>967908</v>
      </c>
    </row>
    <row r="844" spans="1:10" x14ac:dyDescent="0.2">
      <c r="A844" s="9">
        <v>45161</v>
      </c>
      <c r="B844" s="4" t="s">
        <v>221</v>
      </c>
      <c r="C844" s="8">
        <v>45139</v>
      </c>
      <c r="D844" s="4" t="s">
        <v>186</v>
      </c>
      <c r="E844" s="14">
        <v>248.32839999999999</v>
      </c>
      <c r="F844" s="7">
        <v>329610</v>
      </c>
      <c r="G844" s="14">
        <v>738.76859999999999</v>
      </c>
      <c r="H844" s="7">
        <v>923945</v>
      </c>
      <c r="I844" s="14">
        <v>987.09699999999998</v>
      </c>
      <c r="J844" s="7">
        <v>1253555</v>
      </c>
    </row>
    <row r="845" spans="1:10" x14ac:dyDescent="0.2">
      <c r="A845" s="9">
        <v>45162</v>
      </c>
      <c r="B845" s="4" t="s">
        <v>224</v>
      </c>
      <c r="C845" s="8">
        <v>45139</v>
      </c>
      <c r="D845" s="4" t="s">
        <v>186</v>
      </c>
      <c r="E845" s="14">
        <v>338.80869999999999</v>
      </c>
      <c r="F845" s="7">
        <v>435782</v>
      </c>
      <c r="G845" s="14">
        <v>966.06600000000003</v>
      </c>
      <c r="H845" s="7">
        <v>1204095</v>
      </c>
      <c r="I845" s="14">
        <v>1304.8747000000001</v>
      </c>
      <c r="J845" s="7">
        <v>1639877</v>
      </c>
    </row>
    <row r="846" spans="1:10" x14ac:dyDescent="0.2">
      <c r="A846" s="9">
        <v>45163</v>
      </c>
      <c r="B846" s="4" t="s">
        <v>222</v>
      </c>
      <c r="C846" s="8">
        <v>45139</v>
      </c>
      <c r="D846" s="4" t="s">
        <v>186</v>
      </c>
      <c r="E846" s="14">
        <v>300.65980000000002</v>
      </c>
      <c r="F846" s="7">
        <v>376894</v>
      </c>
      <c r="G846" s="14">
        <v>960.52279999999996</v>
      </c>
      <c r="H846" s="7">
        <v>1215107</v>
      </c>
      <c r="I846" s="14">
        <v>1261.1826000000001</v>
      </c>
      <c r="J846" s="7">
        <v>1592001</v>
      </c>
    </row>
    <row r="847" spans="1:10" x14ac:dyDescent="0.2">
      <c r="A847" s="9">
        <v>45166</v>
      </c>
      <c r="B847" s="4" t="s">
        <v>225</v>
      </c>
      <c r="C847" s="8">
        <v>45139</v>
      </c>
      <c r="D847" s="4" t="s">
        <v>186</v>
      </c>
      <c r="E847" s="14">
        <v>269.21120000000002</v>
      </c>
      <c r="F847" s="7">
        <v>332665</v>
      </c>
      <c r="G847" s="14">
        <v>1598.9860000000001</v>
      </c>
      <c r="H847" s="7">
        <v>2073827</v>
      </c>
      <c r="I847" s="14">
        <v>1868.1972000000001</v>
      </c>
      <c r="J847" s="7">
        <v>2406492</v>
      </c>
    </row>
    <row r="848" spans="1:10" x14ac:dyDescent="0.2">
      <c r="A848" s="9">
        <v>45167</v>
      </c>
      <c r="B848" s="4" t="s">
        <v>223</v>
      </c>
      <c r="C848" s="8">
        <v>45139</v>
      </c>
      <c r="D848" s="4" t="s">
        <v>186</v>
      </c>
      <c r="E848" s="14">
        <v>260.1601</v>
      </c>
      <c r="F848" s="7">
        <v>318413</v>
      </c>
      <c r="G848" s="14">
        <v>1726.8418999999999</v>
      </c>
      <c r="H848" s="7">
        <v>2253194</v>
      </c>
      <c r="I848" s="14">
        <v>1987.002</v>
      </c>
      <c r="J848" s="7">
        <v>2571607</v>
      </c>
    </row>
    <row r="849" spans="1:10" x14ac:dyDescent="0.2">
      <c r="A849" s="9">
        <v>45168</v>
      </c>
      <c r="B849" s="4" t="s">
        <v>221</v>
      </c>
      <c r="C849" s="8">
        <v>45139</v>
      </c>
      <c r="D849" s="4" t="s">
        <v>186</v>
      </c>
      <c r="E849" s="14">
        <v>341.89929999999998</v>
      </c>
      <c r="F849" s="7">
        <v>423186</v>
      </c>
      <c r="G849" s="14">
        <v>1598.6744000000001</v>
      </c>
      <c r="H849" s="7">
        <v>2056026</v>
      </c>
      <c r="I849" s="14">
        <v>1940.5736999999999</v>
      </c>
      <c r="J849" s="7">
        <v>2479212</v>
      </c>
    </row>
    <row r="850" spans="1:10" x14ac:dyDescent="0.2">
      <c r="A850" s="9">
        <v>45169</v>
      </c>
      <c r="B850" s="4" t="s">
        <v>224</v>
      </c>
      <c r="C850" s="8">
        <v>45139</v>
      </c>
      <c r="D850" s="4" t="s">
        <v>186</v>
      </c>
      <c r="E850" s="14">
        <v>539.87630000000001</v>
      </c>
      <c r="F850" s="7">
        <v>691932</v>
      </c>
      <c r="G850" s="14">
        <v>2121.0119</v>
      </c>
      <c r="H850" s="7">
        <v>2658576</v>
      </c>
      <c r="I850" s="14">
        <v>2660.8881999999999</v>
      </c>
      <c r="J850" s="7">
        <v>3350508</v>
      </c>
    </row>
    <row r="851" spans="1:10" x14ac:dyDescent="0.2">
      <c r="A851" s="9">
        <v>45170</v>
      </c>
      <c r="B851" s="4" t="s">
        <v>222</v>
      </c>
      <c r="C851" s="8">
        <v>45170</v>
      </c>
      <c r="D851" s="4" t="s">
        <v>186</v>
      </c>
      <c r="E851" s="14">
        <v>282.19400000000002</v>
      </c>
      <c r="F851" s="7">
        <v>365851</v>
      </c>
      <c r="G851" s="14">
        <v>779.15239999999994</v>
      </c>
      <c r="H851" s="7">
        <v>943614</v>
      </c>
      <c r="I851" s="14">
        <v>1061.3463999999999</v>
      </c>
      <c r="J851" s="7">
        <v>1309465</v>
      </c>
    </row>
    <row r="852" spans="1:10" x14ac:dyDescent="0.2">
      <c r="A852" s="9">
        <v>45173</v>
      </c>
      <c r="B852" s="4" t="s">
        <v>225</v>
      </c>
      <c r="C852" s="8">
        <v>45170</v>
      </c>
      <c r="D852" s="4" t="s">
        <v>186</v>
      </c>
      <c r="E852" s="14">
        <v>179.0806</v>
      </c>
      <c r="F852" s="7">
        <v>227151</v>
      </c>
      <c r="G852" s="14">
        <v>719.35149999999999</v>
      </c>
      <c r="H852" s="7">
        <v>878395</v>
      </c>
      <c r="I852" s="14">
        <v>898.43209999999999</v>
      </c>
      <c r="J852" s="7">
        <v>1105546</v>
      </c>
    </row>
    <row r="853" spans="1:10" x14ac:dyDescent="0.2">
      <c r="A853" s="9">
        <v>45174</v>
      </c>
      <c r="B853" s="4" t="s">
        <v>223</v>
      </c>
      <c r="C853" s="8">
        <v>45170</v>
      </c>
      <c r="D853" s="4" t="s">
        <v>186</v>
      </c>
      <c r="E853" s="14">
        <v>169.60589999999999</v>
      </c>
      <c r="F853" s="7">
        <v>215665</v>
      </c>
      <c r="G853" s="14">
        <v>624.28129999999999</v>
      </c>
      <c r="H853" s="7">
        <v>767691</v>
      </c>
      <c r="I853" s="14">
        <v>793.88720000000001</v>
      </c>
      <c r="J853" s="7">
        <v>983356</v>
      </c>
    </row>
    <row r="854" spans="1:10" x14ac:dyDescent="0.2">
      <c r="A854" s="9">
        <v>45175</v>
      </c>
      <c r="B854" s="4" t="s">
        <v>221</v>
      </c>
      <c r="C854" s="8">
        <v>45170</v>
      </c>
      <c r="D854" s="4" t="s">
        <v>186</v>
      </c>
      <c r="E854" s="14">
        <v>255.36</v>
      </c>
      <c r="F854" s="7">
        <v>327846</v>
      </c>
      <c r="G854" s="14">
        <v>654.97519999999997</v>
      </c>
      <c r="H854" s="7">
        <v>820761</v>
      </c>
      <c r="I854" s="14">
        <v>910.33519999999999</v>
      </c>
      <c r="J854" s="7">
        <v>1148607</v>
      </c>
    </row>
    <row r="855" spans="1:10" x14ac:dyDescent="0.2">
      <c r="A855" s="9">
        <v>45176</v>
      </c>
      <c r="B855" s="4" t="s">
        <v>224</v>
      </c>
      <c r="C855" s="8">
        <v>45170</v>
      </c>
      <c r="D855" s="4" t="s">
        <v>186</v>
      </c>
      <c r="E855" s="14">
        <v>273.97859999999997</v>
      </c>
      <c r="F855" s="7">
        <v>342872</v>
      </c>
      <c r="G855" s="14">
        <v>669.10659999999996</v>
      </c>
      <c r="H855" s="7">
        <v>810014</v>
      </c>
      <c r="I855" s="14">
        <v>943.08519999999999</v>
      </c>
      <c r="J855" s="7">
        <v>1152886</v>
      </c>
    </row>
    <row r="856" spans="1:10" x14ac:dyDescent="0.2">
      <c r="A856" s="9">
        <v>45177</v>
      </c>
      <c r="B856" s="4" t="s">
        <v>222</v>
      </c>
      <c r="C856" s="8">
        <v>45170</v>
      </c>
      <c r="D856" s="4" t="s">
        <v>186</v>
      </c>
      <c r="E856" s="14">
        <v>239.3246</v>
      </c>
      <c r="F856" s="7">
        <v>300083</v>
      </c>
      <c r="G856" s="14">
        <v>815.00199999999995</v>
      </c>
      <c r="H856" s="7">
        <v>945266</v>
      </c>
      <c r="I856" s="14">
        <v>1054.3266000000001</v>
      </c>
      <c r="J856" s="7">
        <v>1245349</v>
      </c>
    </row>
    <row r="857" spans="1:10" x14ac:dyDescent="0.2">
      <c r="A857" s="9">
        <v>45180</v>
      </c>
      <c r="B857" s="4" t="s">
        <v>225</v>
      </c>
      <c r="C857" s="8">
        <v>45170</v>
      </c>
      <c r="D857" s="4" t="s">
        <v>186</v>
      </c>
      <c r="E857" s="14">
        <v>202.98390000000001</v>
      </c>
      <c r="F857" s="7">
        <v>249255</v>
      </c>
      <c r="G857" s="14">
        <v>718.38260000000002</v>
      </c>
      <c r="H857" s="7">
        <v>847066</v>
      </c>
      <c r="I857" s="14">
        <v>921.36649999999997</v>
      </c>
      <c r="J857" s="7">
        <v>1096321</v>
      </c>
    </row>
    <row r="858" spans="1:10" x14ac:dyDescent="0.2">
      <c r="A858" s="9">
        <v>45181</v>
      </c>
      <c r="B858" s="4" t="s">
        <v>223</v>
      </c>
      <c r="C858" s="8">
        <v>45170</v>
      </c>
      <c r="D858" s="4" t="s">
        <v>186</v>
      </c>
      <c r="E858" s="14">
        <v>294.72629999999998</v>
      </c>
      <c r="F858" s="7">
        <v>360356</v>
      </c>
      <c r="G858" s="14">
        <v>1047.5248999999999</v>
      </c>
      <c r="H858" s="7">
        <v>1251372</v>
      </c>
      <c r="I858" s="14">
        <v>1342.2511999999999</v>
      </c>
      <c r="J858" s="7">
        <v>1611728</v>
      </c>
    </row>
    <row r="859" spans="1:10" x14ac:dyDescent="0.2">
      <c r="A859" s="9">
        <v>45182</v>
      </c>
      <c r="B859" s="4" t="s">
        <v>221</v>
      </c>
      <c r="C859" s="8">
        <v>45170</v>
      </c>
      <c r="D859" s="4" t="s">
        <v>186</v>
      </c>
      <c r="E859" s="14">
        <v>274.42649999999998</v>
      </c>
      <c r="F859" s="7">
        <v>354071</v>
      </c>
      <c r="G859" s="14">
        <v>831.43539999999996</v>
      </c>
      <c r="H859" s="7">
        <v>989819</v>
      </c>
      <c r="I859" s="14">
        <v>1105.8619000000001</v>
      </c>
      <c r="J859" s="7">
        <v>1343890</v>
      </c>
    </row>
    <row r="860" spans="1:10" x14ac:dyDescent="0.2">
      <c r="A860" s="9">
        <v>45183</v>
      </c>
      <c r="B860" s="4" t="s">
        <v>224</v>
      </c>
      <c r="C860" s="8">
        <v>45170</v>
      </c>
      <c r="D860" s="4" t="s">
        <v>186</v>
      </c>
      <c r="E860" s="14">
        <v>241.5821</v>
      </c>
      <c r="F860" s="7">
        <v>283181</v>
      </c>
      <c r="G860" s="14">
        <v>753.07780000000002</v>
      </c>
      <c r="H860" s="7">
        <v>916492</v>
      </c>
      <c r="I860" s="14">
        <v>994.65989999999999</v>
      </c>
      <c r="J860" s="7">
        <v>1199673</v>
      </c>
    </row>
    <row r="861" spans="1:10" x14ac:dyDescent="0.2">
      <c r="A861" s="9">
        <v>45184</v>
      </c>
      <c r="B861" s="4" t="s">
        <v>222</v>
      </c>
      <c r="C861" s="8">
        <v>45170</v>
      </c>
      <c r="D861" s="4" t="s">
        <v>186</v>
      </c>
      <c r="E861" s="14">
        <v>183.80879999999999</v>
      </c>
      <c r="F861" s="7">
        <v>223667</v>
      </c>
      <c r="G861" s="14">
        <v>806.92049999999995</v>
      </c>
      <c r="H861" s="7">
        <v>975776</v>
      </c>
      <c r="I861" s="14">
        <v>990.72929999999997</v>
      </c>
      <c r="J861" s="7">
        <v>1199443</v>
      </c>
    </row>
    <row r="862" spans="1:10" x14ac:dyDescent="0.2">
      <c r="A862" s="9">
        <v>45187</v>
      </c>
      <c r="B862" s="4" t="s">
        <v>225</v>
      </c>
      <c r="C862" s="8">
        <v>45170</v>
      </c>
      <c r="D862" s="4" t="s">
        <v>186</v>
      </c>
      <c r="E862" s="14">
        <v>177.03919999999999</v>
      </c>
      <c r="F862" s="7">
        <v>220510</v>
      </c>
      <c r="G862" s="14">
        <v>679.70730000000003</v>
      </c>
      <c r="H862" s="7">
        <v>800617</v>
      </c>
      <c r="I862" s="14">
        <v>856.74649999999997</v>
      </c>
      <c r="J862" s="7">
        <v>1021127</v>
      </c>
    </row>
    <row r="863" spans="1:10" x14ac:dyDescent="0.2">
      <c r="A863" s="9">
        <v>45189</v>
      </c>
      <c r="B863" s="4" t="s">
        <v>221</v>
      </c>
      <c r="C863" s="8">
        <v>45170</v>
      </c>
      <c r="D863" s="4" t="s">
        <v>186</v>
      </c>
      <c r="E863" s="14">
        <v>329.62700000000001</v>
      </c>
      <c r="F863" s="7">
        <v>407849</v>
      </c>
      <c r="G863" s="14">
        <v>855.72940000000006</v>
      </c>
      <c r="H863" s="7">
        <v>1042598</v>
      </c>
      <c r="I863" s="14">
        <v>1185.3563999999999</v>
      </c>
      <c r="J863" s="7">
        <v>1450447</v>
      </c>
    </row>
    <row r="864" spans="1:10" x14ac:dyDescent="0.2">
      <c r="A864" s="9">
        <v>45190</v>
      </c>
      <c r="B864" s="4" t="s">
        <v>224</v>
      </c>
      <c r="C864" s="8">
        <v>45170</v>
      </c>
      <c r="D864" s="4" t="s">
        <v>186</v>
      </c>
      <c r="E864" s="14">
        <v>365.14409999999998</v>
      </c>
      <c r="F864" s="7">
        <v>446554</v>
      </c>
      <c r="G864" s="14">
        <v>901.72379999999998</v>
      </c>
      <c r="H864" s="7">
        <v>1099006</v>
      </c>
      <c r="I864" s="14">
        <v>1266.8679</v>
      </c>
      <c r="J864" s="7">
        <v>1545560</v>
      </c>
    </row>
    <row r="865" spans="1:10" x14ac:dyDescent="0.2">
      <c r="A865" s="9">
        <v>45191</v>
      </c>
      <c r="B865" s="4" t="s">
        <v>222</v>
      </c>
      <c r="C865" s="8">
        <v>45170</v>
      </c>
      <c r="D865" s="4" t="s">
        <v>186</v>
      </c>
      <c r="E865" s="14">
        <v>304.29169999999999</v>
      </c>
      <c r="F865" s="7">
        <v>383518</v>
      </c>
      <c r="G865" s="14">
        <v>1052.0572</v>
      </c>
      <c r="H865" s="7">
        <v>1271616</v>
      </c>
      <c r="I865" s="14">
        <v>1356.3489</v>
      </c>
      <c r="J865" s="7">
        <v>1655134</v>
      </c>
    </row>
    <row r="866" spans="1:10" x14ac:dyDescent="0.2">
      <c r="A866" s="9">
        <v>45194</v>
      </c>
      <c r="B866" s="4" t="s">
        <v>225</v>
      </c>
      <c r="C866" s="8">
        <v>45170</v>
      </c>
      <c r="D866" s="4" t="s">
        <v>186</v>
      </c>
      <c r="E866" s="14">
        <v>327.9692</v>
      </c>
      <c r="F866" s="7">
        <v>403190</v>
      </c>
      <c r="G866" s="14">
        <v>1814.5869</v>
      </c>
      <c r="H866" s="7">
        <v>2233442</v>
      </c>
      <c r="I866" s="14">
        <v>2142.5560999999998</v>
      </c>
      <c r="J866" s="7">
        <v>2636632</v>
      </c>
    </row>
    <row r="867" spans="1:10" x14ac:dyDescent="0.2">
      <c r="A867" s="9">
        <v>45195</v>
      </c>
      <c r="B867" s="4" t="s">
        <v>223</v>
      </c>
      <c r="C867" s="8">
        <v>45170</v>
      </c>
      <c r="D867" s="4" t="s">
        <v>186</v>
      </c>
      <c r="E867" s="14">
        <v>218.60489999999999</v>
      </c>
      <c r="F867" s="7">
        <v>262145</v>
      </c>
      <c r="G867" s="14">
        <v>1897.0808</v>
      </c>
      <c r="H867" s="7">
        <v>2368986</v>
      </c>
      <c r="I867" s="14">
        <v>2115.6857</v>
      </c>
      <c r="J867" s="7">
        <v>2631131</v>
      </c>
    </row>
    <row r="868" spans="1:10" x14ac:dyDescent="0.2">
      <c r="A868" s="9">
        <v>45196</v>
      </c>
      <c r="B868" s="4" t="s">
        <v>221</v>
      </c>
      <c r="C868" s="8">
        <v>45170</v>
      </c>
      <c r="D868" s="4" t="s">
        <v>186</v>
      </c>
      <c r="E868" s="14">
        <v>366.08640000000003</v>
      </c>
      <c r="F868" s="7">
        <v>447203</v>
      </c>
      <c r="G868" s="14">
        <v>1790.6914999999999</v>
      </c>
      <c r="H868" s="7">
        <v>2216215</v>
      </c>
      <c r="I868" s="14">
        <v>2156.7779</v>
      </c>
      <c r="J868" s="7">
        <v>2663418</v>
      </c>
    </row>
    <row r="869" spans="1:10" x14ac:dyDescent="0.2">
      <c r="A869" s="9">
        <v>45197</v>
      </c>
      <c r="B869" s="4" t="s">
        <v>224</v>
      </c>
      <c r="C869" s="8">
        <v>45170</v>
      </c>
      <c r="D869" s="4" t="s">
        <v>186</v>
      </c>
      <c r="E869" s="14">
        <v>541.43619999999999</v>
      </c>
      <c r="F869" s="7">
        <v>656997</v>
      </c>
      <c r="G869" s="14">
        <v>2248.2835</v>
      </c>
      <c r="H869" s="7">
        <v>2805628</v>
      </c>
      <c r="I869" s="14">
        <v>2789.7197000000001</v>
      </c>
      <c r="J869" s="7">
        <v>3462625</v>
      </c>
    </row>
    <row r="870" spans="1:10" x14ac:dyDescent="0.2">
      <c r="A870" s="9">
        <v>45198</v>
      </c>
      <c r="B870" s="4" t="s">
        <v>222</v>
      </c>
      <c r="C870" s="8">
        <v>45170</v>
      </c>
      <c r="D870" s="4" t="s">
        <v>186</v>
      </c>
      <c r="E870" s="14">
        <v>277.22930000000002</v>
      </c>
      <c r="F870" s="7">
        <v>339818</v>
      </c>
      <c r="G870" s="14">
        <v>735.87350000000004</v>
      </c>
      <c r="H870" s="7">
        <v>890527</v>
      </c>
      <c r="I870" s="14">
        <v>1013.1028</v>
      </c>
      <c r="J870" s="7">
        <v>1230345</v>
      </c>
    </row>
    <row r="871" spans="1:10" x14ac:dyDescent="0.2">
      <c r="A871" s="9">
        <v>45202</v>
      </c>
      <c r="B871" s="4" t="s">
        <v>223</v>
      </c>
      <c r="C871" s="8">
        <v>45200</v>
      </c>
      <c r="D871" s="4" t="s">
        <v>187</v>
      </c>
      <c r="E871" s="14">
        <v>188.2552</v>
      </c>
      <c r="F871" s="7">
        <v>226695</v>
      </c>
      <c r="G871" s="14">
        <v>635.98779999999999</v>
      </c>
      <c r="H871" s="7">
        <v>768490</v>
      </c>
      <c r="I871" s="14">
        <v>824.24300000000005</v>
      </c>
      <c r="J871" s="7">
        <v>995185</v>
      </c>
    </row>
    <row r="872" spans="1:10" x14ac:dyDescent="0.2">
      <c r="A872" s="9">
        <v>45203</v>
      </c>
      <c r="B872" s="4" t="s">
        <v>221</v>
      </c>
      <c r="C872" s="8">
        <v>45200</v>
      </c>
      <c r="D872" s="4" t="s">
        <v>187</v>
      </c>
      <c r="E872" s="14">
        <v>273.1096</v>
      </c>
      <c r="F872" s="7">
        <v>348846</v>
      </c>
      <c r="G872" s="14">
        <v>795.1377</v>
      </c>
      <c r="H872" s="7">
        <v>978138</v>
      </c>
      <c r="I872" s="14">
        <v>1068.2473</v>
      </c>
      <c r="J872" s="7">
        <v>1326984</v>
      </c>
    </row>
    <row r="873" spans="1:10" x14ac:dyDescent="0.2">
      <c r="A873" s="9">
        <v>45204</v>
      </c>
      <c r="B873" s="4" t="s">
        <v>224</v>
      </c>
      <c r="C873" s="8">
        <v>45200</v>
      </c>
      <c r="D873" s="4" t="s">
        <v>187</v>
      </c>
      <c r="E873" s="14">
        <v>233.4838</v>
      </c>
      <c r="F873" s="7">
        <v>283275</v>
      </c>
      <c r="G873" s="14">
        <v>620.05470000000003</v>
      </c>
      <c r="H873" s="7">
        <v>767807</v>
      </c>
      <c r="I873" s="14">
        <v>853.5385</v>
      </c>
      <c r="J873" s="7">
        <v>1051082</v>
      </c>
    </row>
    <row r="874" spans="1:10" x14ac:dyDescent="0.2">
      <c r="A874" s="9">
        <v>45205</v>
      </c>
      <c r="B874" s="4" t="s">
        <v>222</v>
      </c>
      <c r="C874" s="8">
        <v>45200</v>
      </c>
      <c r="D874" s="4" t="s">
        <v>187</v>
      </c>
      <c r="E874" s="14">
        <v>199.1875</v>
      </c>
      <c r="F874" s="7">
        <v>245984</v>
      </c>
      <c r="G874" s="14">
        <v>562.5598</v>
      </c>
      <c r="H874" s="7">
        <v>673337</v>
      </c>
      <c r="I874" s="14">
        <v>761.7473</v>
      </c>
      <c r="J874" s="7">
        <v>919321</v>
      </c>
    </row>
    <row r="875" spans="1:10" x14ac:dyDescent="0.2">
      <c r="A875" s="9">
        <v>45208</v>
      </c>
      <c r="B875" s="4" t="s">
        <v>225</v>
      </c>
      <c r="C875" s="8">
        <v>45200</v>
      </c>
      <c r="D875" s="4" t="s">
        <v>187</v>
      </c>
      <c r="E875" s="14">
        <v>204.74860000000001</v>
      </c>
      <c r="F875" s="7">
        <v>253639</v>
      </c>
      <c r="G875" s="14">
        <v>566.52260000000001</v>
      </c>
      <c r="H875" s="7">
        <v>705427</v>
      </c>
      <c r="I875" s="14">
        <v>771.27120000000002</v>
      </c>
      <c r="J875" s="7">
        <v>959066</v>
      </c>
    </row>
    <row r="876" spans="1:10" x14ac:dyDescent="0.2">
      <c r="A876" s="9">
        <v>45209</v>
      </c>
      <c r="B876" s="4" t="s">
        <v>223</v>
      </c>
      <c r="C876" s="8">
        <v>45200</v>
      </c>
      <c r="D876" s="4" t="s">
        <v>187</v>
      </c>
      <c r="E876" s="14">
        <v>214.12029999999999</v>
      </c>
      <c r="F876" s="7">
        <v>266871</v>
      </c>
      <c r="G876" s="14">
        <v>611.02970000000005</v>
      </c>
      <c r="H876" s="7">
        <v>737937</v>
      </c>
      <c r="I876" s="14">
        <v>825.15</v>
      </c>
      <c r="J876" s="7">
        <v>1004808</v>
      </c>
    </row>
    <row r="877" spans="1:10" x14ac:dyDescent="0.2">
      <c r="A877" s="9">
        <v>45210</v>
      </c>
      <c r="B877" s="4" t="s">
        <v>221</v>
      </c>
      <c r="C877" s="8">
        <v>45200</v>
      </c>
      <c r="D877" s="4" t="s">
        <v>187</v>
      </c>
      <c r="E877" s="14">
        <v>204.70160000000001</v>
      </c>
      <c r="F877" s="7">
        <v>255207</v>
      </c>
      <c r="G877" s="14">
        <v>647.31719999999996</v>
      </c>
      <c r="H877" s="7">
        <v>804397</v>
      </c>
      <c r="I877" s="14">
        <v>852.01880000000006</v>
      </c>
      <c r="J877" s="7">
        <v>1059604</v>
      </c>
    </row>
    <row r="878" spans="1:10" x14ac:dyDescent="0.2">
      <c r="A878" s="9">
        <v>45211</v>
      </c>
      <c r="B878" s="4" t="s">
        <v>224</v>
      </c>
      <c r="C878" s="8">
        <v>45200</v>
      </c>
      <c r="D878" s="4" t="s">
        <v>187</v>
      </c>
      <c r="E878" s="14">
        <v>139.02680000000001</v>
      </c>
      <c r="F878" s="7">
        <v>163188</v>
      </c>
      <c r="G878" s="14">
        <v>636.22389999999996</v>
      </c>
      <c r="H878" s="7">
        <v>799552</v>
      </c>
      <c r="I878" s="14">
        <v>775.25070000000005</v>
      </c>
      <c r="J878" s="7">
        <v>962740</v>
      </c>
    </row>
    <row r="879" spans="1:10" x14ac:dyDescent="0.2">
      <c r="A879" s="9">
        <v>45212</v>
      </c>
      <c r="B879" s="4" t="s">
        <v>222</v>
      </c>
      <c r="C879" s="8">
        <v>45200</v>
      </c>
      <c r="D879" s="4" t="s">
        <v>187</v>
      </c>
      <c r="E879" s="14">
        <v>234.38829999999999</v>
      </c>
      <c r="F879" s="7">
        <v>290033</v>
      </c>
      <c r="G879" s="14">
        <v>747.66420000000005</v>
      </c>
      <c r="H879" s="7">
        <v>936083</v>
      </c>
      <c r="I879" s="14">
        <v>982.05250000000001</v>
      </c>
      <c r="J879" s="7">
        <v>1226116</v>
      </c>
    </row>
    <row r="880" spans="1:10" x14ac:dyDescent="0.2">
      <c r="A880" s="9">
        <v>45215</v>
      </c>
      <c r="B880" s="4" t="s">
        <v>225</v>
      </c>
      <c r="C880" s="8">
        <v>45200</v>
      </c>
      <c r="D880" s="4" t="s">
        <v>187</v>
      </c>
      <c r="E880" s="14">
        <v>155.00970000000001</v>
      </c>
      <c r="F880" s="7">
        <v>191553</v>
      </c>
      <c r="G880" s="14">
        <v>583.94949999999994</v>
      </c>
      <c r="H880" s="7">
        <v>706359</v>
      </c>
      <c r="I880" s="14">
        <v>738.95920000000001</v>
      </c>
      <c r="J880" s="7">
        <v>897912</v>
      </c>
    </row>
    <row r="881" spans="1:10" x14ac:dyDescent="0.2">
      <c r="A881" s="9">
        <v>45216</v>
      </c>
      <c r="B881" s="4" t="s">
        <v>223</v>
      </c>
      <c r="C881" s="8">
        <v>45200</v>
      </c>
      <c r="D881" s="4" t="s">
        <v>187</v>
      </c>
      <c r="E881" s="14">
        <v>159.3862</v>
      </c>
      <c r="F881" s="7">
        <v>199055</v>
      </c>
      <c r="G881" s="14">
        <v>618.33950000000004</v>
      </c>
      <c r="H881" s="7">
        <v>746466</v>
      </c>
      <c r="I881" s="14">
        <v>777.72569999999996</v>
      </c>
      <c r="J881" s="7">
        <v>945521</v>
      </c>
    </row>
    <row r="882" spans="1:10" x14ac:dyDescent="0.2">
      <c r="A882" s="9">
        <v>45217</v>
      </c>
      <c r="B882" s="4" t="s">
        <v>221</v>
      </c>
      <c r="C882" s="8">
        <v>45200</v>
      </c>
      <c r="D882" s="4" t="s">
        <v>187</v>
      </c>
      <c r="E882" s="14">
        <v>253.28450000000001</v>
      </c>
      <c r="F882" s="7">
        <v>323905</v>
      </c>
      <c r="G882" s="14">
        <v>789.84180000000003</v>
      </c>
      <c r="H882" s="7">
        <v>960803</v>
      </c>
      <c r="I882" s="14">
        <v>1043.1262999999999</v>
      </c>
      <c r="J882" s="7">
        <v>1284708</v>
      </c>
    </row>
    <row r="883" spans="1:10" x14ac:dyDescent="0.2">
      <c r="A883" s="9">
        <v>45218</v>
      </c>
      <c r="B883" s="4" t="s">
        <v>224</v>
      </c>
      <c r="C883" s="8">
        <v>45200</v>
      </c>
      <c r="D883" s="4" t="s">
        <v>187</v>
      </c>
      <c r="E883" s="14">
        <v>257.10039999999998</v>
      </c>
      <c r="F883" s="7">
        <v>319316</v>
      </c>
      <c r="G883" s="14">
        <v>1000.2983</v>
      </c>
      <c r="H883" s="7">
        <v>1218384</v>
      </c>
      <c r="I883" s="14">
        <v>1257.3987</v>
      </c>
      <c r="J883" s="7">
        <v>1537700</v>
      </c>
    </row>
    <row r="884" spans="1:10" x14ac:dyDescent="0.2">
      <c r="A884" s="9">
        <v>45219</v>
      </c>
      <c r="B884" s="4" t="s">
        <v>222</v>
      </c>
      <c r="C884" s="8">
        <v>45200</v>
      </c>
      <c r="D884" s="4" t="s">
        <v>187</v>
      </c>
      <c r="E884" s="14">
        <v>202.83879999999999</v>
      </c>
      <c r="F884" s="7">
        <v>255993</v>
      </c>
      <c r="G884" s="14">
        <v>1462.7238</v>
      </c>
      <c r="H884" s="7">
        <v>1856550</v>
      </c>
      <c r="I884" s="14">
        <v>1665.5626</v>
      </c>
      <c r="J884" s="7">
        <v>2112543</v>
      </c>
    </row>
    <row r="885" spans="1:10" x14ac:dyDescent="0.2">
      <c r="A885" s="9">
        <v>45222</v>
      </c>
      <c r="B885" s="4" t="s">
        <v>225</v>
      </c>
      <c r="C885" s="8">
        <v>45200</v>
      </c>
      <c r="D885" s="4" t="s">
        <v>187</v>
      </c>
      <c r="E885" s="14">
        <v>353.30419999999998</v>
      </c>
      <c r="F885" s="7">
        <v>439989</v>
      </c>
      <c r="G885" s="14">
        <v>2331.4011</v>
      </c>
      <c r="H885" s="7">
        <v>2958927</v>
      </c>
      <c r="I885" s="14">
        <v>2684.7053000000001</v>
      </c>
      <c r="J885" s="7">
        <v>3398916</v>
      </c>
    </row>
    <row r="886" spans="1:10" x14ac:dyDescent="0.2">
      <c r="A886" s="9">
        <v>45224</v>
      </c>
      <c r="B886" s="4" t="s">
        <v>221</v>
      </c>
      <c r="C886" s="8">
        <v>45200</v>
      </c>
      <c r="D886" s="4" t="s">
        <v>187</v>
      </c>
      <c r="E886" s="14">
        <v>459.22089999999997</v>
      </c>
      <c r="F886" s="7">
        <v>556211</v>
      </c>
      <c r="G886" s="14">
        <v>2172.6280999999999</v>
      </c>
      <c r="H886" s="7">
        <v>2811407</v>
      </c>
      <c r="I886" s="14">
        <v>2631.8490000000002</v>
      </c>
      <c r="J886" s="7">
        <v>3367618</v>
      </c>
    </row>
    <row r="887" spans="1:10" x14ac:dyDescent="0.2">
      <c r="A887" s="9">
        <v>45225</v>
      </c>
      <c r="B887" s="4" t="s">
        <v>224</v>
      </c>
      <c r="C887" s="8">
        <v>45200</v>
      </c>
      <c r="D887" s="4" t="s">
        <v>187</v>
      </c>
      <c r="E887" s="14">
        <v>585.05759999999998</v>
      </c>
      <c r="F887" s="7">
        <v>743327</v>
      </c>
      <c r="G887" s="14">
        <v>2308.1673999999998</v>
      </c>
      <c r="H887" s="7">
        <v>3044489</v>
      </c>
      <c r="I887" s="14">
        <v>2893.2249999999999</v>
      </c>
      <c r="J887" s="7">
        <v>3787816</v>
      </c>
    </row>
    <row r="888" spans="1:10" x14ac:dyDescent="0.2">
      <c r="A888" s="9">
        <v>45226</v>
      </c>
      <c r="B888" s="4" t="s">
        <v>222</v>
      </c>
      <c r="C888" s="8">
        <v>45200</v>
      </c>
      <c r="D888" s="4" t="s">
        <v>187</v>
      </c>
      <c r="E888" s="14">
        <v>213.98410000000001</v>
      </c>
      <c r="F888" s="7">
        <v>267606</v>
      </c>
      <c r="G888" s="14">
        <v>628.0634</v>
      </c>
      <c r="H888" s="7">
        <v>911626</v>
      </c>
      <c r="I888" s="14">
        <v>842.04750000000001</v>
      </c>
      <c r="J888" s="7">
        <v>1179232</v>
      </c>
    </row>
    <row r="889" spans="1:10" x14ac:dyDescent="0.2">
      <c r="A889" s="9">
        <v>45229</v>
      </c>
      <c r="B889" s="4" t="s">
        <v>225</v>
      </c>
      <c r="C889" s="8">
        <v>45200</v>
      </c>
      <c r="D889" s="4" t="s">
        <v>187</v>
      </c>
      <c r="E889" s="14">
        <v>262.7217</v>
      </c>
      <c r="F889" s="7">
        <v>341416</v>
      </c>
      <c r="G889" s="14">
        <v>628.69100000000003</v>
      </c>
      <c r="H889" s="7">
        <v>920061</v>
      </c>
      <c r="I889" s="14">
        <v>891.41269999999997</v>
      </c>
      <c r="J889" s="7">
        <v>1261477</v>
      </c>
    </row>
    <row r="890" spans="1:10" x14ac:dyDescent="0.2">
      <c r="A890" s="9">
        <v>45230</v>
      </c>
      <c r="B890" s="4" t="s">
        <v>223</v>
      </c>
      <c r="C890" s="8">
        <v>45200</v>
      </c>
      <c r="D890" s="4" t="s">
        <v>187</v>
      </c>
      <c r="E890" s="14">
        <v>249.7218</v>
      </c>
      <c r="F890" s="7">
        <v>319316</v>
      </c>
      <c r="G890" s="14">
        <v>593.57399999999996</v>
      </c>
      <c r="H890" s="7">
        <v>839078</v>
      </c>
      <c r="I890" s="14">
        <v>843.29579999999999</v>
      </c>
      <c r="J890" s="7">
        <v>1158394</v>
      </c>
    </row>
    <row r="891" spans="1:10" x14ac:dyDescent="0.2">
      <c r="A891" s="9">
        <v>45231</v>
      </c>
      <c r="B891" s="4" t="s">
        <v>221</v>
      </c>
      <c r="C891" s="8">
        <v>45231</v>
      </c>
      <c r="D891" s="4" t="s">
        <v>187</v>
      </c>
      <c r="E891" s="14">
        <v>206.41050000000001</v>
      </c>
      <c r="F891" s="7">
        <v>268610</v>
      </c>
      <c r="G891" s="14">
        <v>585.87929999999994</v>
      </c>
      <c r="H891" s="7">
        <v>834217</v>
      </c>
      <c r="I891" s="14">
        <v>792.28980000000001</v>
      </c>
      <c r="J891" s="7">
        <v>1102827</v>
      </c>
    </row>
    <row r="892" spans="1:10" x14ac:dyDescent="0.2">
      <c r="A892" s="9">
        <v>45232</v>
      </c>
      <c r="B892" s="4" t="s">
        <v>224</v>
      </c>
      <c r="C892" s="8">
        <v>45231</v>
      </c>
      <c r="D892" s="4" t="s">
        <v>187</v>
      </c>
      <c r="E892" s="14">
        <v>292.72039999999998</v>
      </c>
      <c r="F892" s="7">
        <v>373665</v>
      </c>
      <c r="G892" s="14">
        <v>666.49639999999999</v>
      </c>
      <c r="H892" s="7">
        <v>940012</v>
      </c>
      <c r="I892" s="14">
        <v>959.21680000000003</v>
      </c>
      <c r="J892" s="7">
        <v>1313677</v>
      </c>
    </row>
    <row r="893" spans="1:10" x14ac:dyDescent="0.2">
      <c r="A893" s="9">
        <v>45233</v>
      </c>
      <c r="B893" s="4" t="s">
        <v>222</v>
      </c>
      <c r="C893" s="8">
        <v>45231</v>
      </c>
      <c r="D893" s="4" t="s">
        <v>187</v>
      </c>
      <c r="E893" s="14">
        <v>184.4939</v>
      </c>
      <c r="F893" s="7">
        <v>231407</v>
      </c>
      <c r="G893" s="14">
        <v>642.76909999999998</v>
      </c>
      <c r="H893" s="7">
        <v>892339</v>
      </c>
      <c r="I893" s="14">
        <v>827.26300000000003</v>
      </c>
      <c r="J893" s="7">
        <v>1123746</v>
      </c>
    </row>
    <row r="894" spans="1:10" x14ac:dyDescent="0.2">
      <c r="A894" s="9">
        <v>45236</v>
      </c>
      <c r="B894" s="4" t="s">
        <v>225</v>
      </c>
      <c r="C894" s="8">
        <v>45231</v>
      </c>
      <c r="D894" s="4" t="s">
        <v>187</v>
      </c>
      <c r="E894" s="14">
        <v>187.08680000000001</v>
      </c>
      <c r="F894" s="7">
        <v>230717</v>
      </c>
      <c r="G894" s="14">
        <v>609.94290000000001</v>
      </c>
      <c r="H894" s="7">
        <v>866975</v>
      </c>
      <c r="I894" s="14">
        <v>797.02970000000005</v>
      </c>
      <c r="J894" s="7">
        <v>1097692</v>
      </c>
    </row>
    <row r="895" spans="1:10" x14ac:dyDescent="0.2">
      <c r="A895" s="9">
        <v>45237</v>
      </c>
      <c r="B895" s="4" t="s">
        <v>223</v>
      </c>
      <c r="C895" s="8">
        <v>45231</v>
      </c>
      <c r="D895" s="4" t="s">
        <v>187</v>
      </c>
      <c r="E895" s="14">
        <v>207.2876</v>
      </c>
      <c r="F895" s="7">
        <v>271128</v>
      </c>
      <c r="G895" s="14">
        <v>619.08240000000001</v>
      </c>
      <c r="H895" s="7">
        <v>859602</v>
      </c>
      <c r="I895" s="14">
        <v>826.37</v>
      </c>
      <c r="J895" s="7">
        <v>1130730</v>
      </c>
    </row>
    <row r="896" spans="1:10" x14ac:dyDescent="0.2">
      <c r="A896" s="9">
        <v>45238</v>
      </c>
      <c r="B896" s="4" t="s">
        <v>221</v>
      </c>
      <c r="C896" s="8">
        <v>45231</v>
      </c>
      <c r="D896" s="4" t="s">
        <v>187</v>
      </c>
      <c r="E896" s="14">
        <v>179.04580000000001</v>
      </c>
      <c r="F896" s="7">
        <v>235361</v>
      </c>
      <c r="G896" s="14">
        <v>576.25519999999995</v>
      </c>
      <c r="H896" s="7">
        <v>800182</v>
      </c>
      <c r="I896" s="14">
        <v>755.30100000000004</v>
      </c>
      <c r="J896" s="7">
        <v>1035543</v>
      </c>
    </row>
    <row r="897" spans="1:10" x14ac:dyDescent="0.2">
      <c r="A897" s="9">
        <v>45239</v>
      </c>
      <c r="B897" s="4" t="s">
        <v>224</v>
      </c>
      <c r="C897" s="8">
        <v>45231</v>
      </c>
      <c r="D897" s="4" t="s">
        <v>187</v>
      </c>
      <c r="E897" s="14">
        <v>180.578</v>
      </c>
      <c r="F897" s="7">
        <v>231134</v>
      </c>
      <c r="G897" s="14">
        <v>651.67229999999995</v>
      </c>
      <c r="H897" s="7">
        <v>897096</v>
      </c>
      <c r="I897" s="14">
        <v>832.25030000000004</v>
      </c>
      <c r="J897" s="7">
        <v>1128230</v>
      </c>
    </row>
    <row r="898" spans="1:10" x14ac:dyDescent="0.2">
      <c r="A898" s="9">
        <v>45240</v>
      </c>
      <c r="B898" s="4" t="s">
        <v>222</v>
      </c>
      <c r="C898" s="8">
        <v>45231</v>
      </c>
      <c r="D898" s="4" t="s">
        <v>187</v>
      </c>
      <c r="E898" s="14">
        <v>201.70500000000001</v>
      </c>
      <c r="F898" s="7">
        <v>255903</v>
      </c>
      <c r="G898" s="14">
        <v>582.8854</v>
      </c>
      <c r="H898" s="7">
        <v>816138</v>
      </c>
      <c r="I898" s="14">
        <v>784.59040000000005</v>
      </c>
      <c r="J898" s="7">
        <v>1072041</v>
      </c>
    </row>
    <row r="899" spans="1:10" x14ac:dyDescent="0.2">
      <c r="A899" s="9">
        <v>45242</v>
      </c>
      <c r="B899" s="4" t="s">
        <v>227</v>
      </c>
      <c r="C899" s="8">
        <v>45231</v>
      </c>
      <c r="D899" s="4" t="s">
        <v>187</v>
      </c>
      <c r="E899" s="14">
        <v>60.673499999999997</v>
      </c>
      <c r="F899" s="7">
        <v>74266</v>
      </c>
      <c r="G899" s="14">
        <v>83.044499999999999</v>
      </c>
      <c r="H899" s="7">
        <v>115944</v>
      </c>
      <c r="I899" s="14">
        <v>143.71799999999999</v>
      </c>
      <c r="J899" s="7">
        <v>190210</v>
      </c>
    </row>
    <row r="900" spans="1:10" x14ac:dyDescent="0.2">
      <c r="A900" s="9">
        <v>45243</v>
      </c>
      <c r="B900" s="4" t="s">
        <v>225</v>
      </c>
      <c r="C900" s="8">
        <v>45231</v>
      </c>
      <c r="D900" s="4" t="s">
        <v>187</v>
      </c>
      <c r="E900" s="14">
        <v>145.1223</v>
      </c>
      <c r="F900" s="7">
        <v>189640</v>
      </c>
      <c r="G900" s="14">
        <v>557.32259999999997</v>
      </c>
      <c r="H900" s="7">
        <v>754464</v>
      </c>
      <c r="I900" s="14">
        <v>702.44489999999996</v>
      </c>
      <c r="J900" s="7">
        <v>944104</v>
      </c>
    </row>
    <row r="901" spans="1:10" x14ac:dyDescent="0.2">
      <c r="A901" s="9">
        <v>45245</v>
      </c>
      <c r="B901" s="4" t="s">
        <v>221</v>
      </c>
      <c r="C901" s="8">
        <v>45231</v>
      </c>
      <c r="D901" s="4" t="s">
        <v>187</v>
      </c>
      <c r="E901" s="14">
        <v>291.54849999999999</v>
      </c>
      <c r="F901" s="7">
        <v>371532</v>
      </c>
      <c r="G901" s="14">
        <v>792.6431</v>
      </c>
      <c r="H901" s="7">
        <v>1067635</v>
      </c>
      <c r="I901" s="14">
        <v>1084.1916000000001</v>
      </c>
      <c r="J901" s="7">
        <v>1439167</v>
      </c>
    </row>
    <row r="902" spans="1:10" x14ac:dyDescent="0.2">
      <c r="A902" s="9">
        <v>45246</v>
      </c>
      <c r="B902" s="4" t="s">
        <v>224</v>
      </c>
      <c r="C902" s="8">
        <v>45231</v>
      </c>
      <c r="D902" s="4" t="s">
        <v>187</v>
      </c>
      <c r="E902" s="14">
        <v>242.92859999999999</v>
      </c>
      <c r="F902" s="7">
        <v>289193</v>
      </c>
      <c r="G902" s="14">
        <v>779.53629999999998</v>
      </c>
      <c r="H902" s="7">
        <v>1053737</v>
      </c>
      <c r="I902" s="14">
        <v>1022.4648999999999</v>
      </c>
      <c r="J902" s="7">
        <v>1342930</v>
      </c>
    </row>
    <row r="903" spans="1:10" x14ac:dyDescent="0.2">
      <c r="A903" s="9">
        <v>45247</v>
      </c>
      <c r="B903" s="4" t="s">
        <v>222</v>
      </c>
      <c r="C903" s="8">
        <v>45231</v>
      </c>
      <c r="D903" s="4" t="s">
        <v>187</v>
      </c>
      <c r="E903" s="14">
        <v>223.26150000000001</v>
      </c>
      <c r="F903" s="7">
        <v>292998</v>
      </c>
      <c r="G903" s="14">
        <v>796.29309999999998</v>
      </c>
      <c r="H903" s="7">
        <v>1082774</v>
      </c>
      <c r="I903" s="14">
        <v>1019.5546000000001</v>
      </c>
      <c r="J903" s="7">
        <v>1375772</v>
      </c>
    </row>
    <row r="904" spans="1:10" x14ac:dyDescent="0.2">
      <c r="A904" s="9">
        <v>45250</v>
      </c>
      <c r="B904" s="4" t="s">
        <v>225</v>
      </c>
      <c r="C904" s="8">
        <v>45231</v>
      </c>
      <c r="D904" s="4" t="s">
        <v>187</v>
      </c>
      <c r="E904" s="14">
        <v>161.30179999999999</v>
      </c>
      <c r="F904" s="7">
        <v>203322</v>
      </c>
      <c r="G904" s="14">
        <v>594.57119999999998</v>
      </c>
      <c r="H904" s="7">
        <v>799928</v>
      </c>
      <c r="I904" s="14">
        <v>755.87300000000005</v>
      </c>
      <c r="J904" s="7">
        <v>1003250</v>
      </c>
    </row>
    <row r="905" spans="1:10" x14ac:dyDescent="0.2">
      <c r="A905" s="9">
        <v>45251</v>
      </c>
      <c r="B905" s="4" t="s">
        <v>223</v>
      </c>
      <c r="C905" s="8">
        <v>45231</v>
      </c>
      <c r="D905" s="4" t="s">
        <v>187</v>
      </c>
      <c r="E905" s="14">
        <v>158.64009999999999</v>
      </c>
      <c r="F905" s="7">
        <v>197094</v>
      </c>
      <c r="G905" s="14">
        <v>637.12670000000003</v>
      </c>
      <c r="H905" s="7">
        <v>851057</v>
      </c>
      <c r="I905" s="14">
        <v>795.76679999999999</v>
      </c>
      <c r="J905" s="7">
        <v>1048151</v>
      </c>
    </row>
    <row r="906" spans="1:10" x14ac:dyDescent="0.2">
      <c r="A906" s="9">
        <v>45252</v>
      </c>
      <c r="B906" s="4" t="s">
        <v>221</v>
      </c>
      <c r="C906" s="8">
        <v>45231</v>
      </c>
      <c r="D906" s="4" t="s">
        <v>187</v>
      </c>
      <c r="E906" s="14">
        <v>269.16370000000001</v>
      </c>
      <c r="F906" s="7">
        <v>357041</v>
      </c>
      <c r="G906" s="14">
        <v>768.3365</v>
      </c>
      <c r="H906" s="7">
        <v>1042812</v>
      </c>
      <c r="I906" s="14">
        <v>1037.5001999999999</v>
      </c>
      <c r="J906" s="7">
        <v>1399853</v>
      </c>
    </row>
    <row r="907" spans="1:10" x14ac:dyDescent="0.2">
      <c r="A907" s="9">
        <v>45253</v>
      </c>
      <c r="B907" s="4" t="s">
        <v>224</v>
      </c>
      <c r="C907" s="8">
        <v>45231</v>
      </c>
      <c r="D907" s="4" t="s">
        <v>187</v>
      </c>
      <c r="E907" s="14">
        <v>155.30260000000001</v>
      </c>
      <c r="F907" s="7">
        <v>186658</v>
      </c>
      <c r="G907" s="14">
        <v>799.37040000000002</v>
      </c>
      <c r="H907" s="7">
        <v>1089953</v>
      </c>
      <c r="I907" s="14">
        <v>954.673</v>
      </c>
      <c r="J907" s="7">
        <v>1276611</v>
      </c>
    </row>
    <row r="908" spans="1:10" x14ac:dyDescent="0.2">
      <c r="A908" s="9">
        <v>45254</v>
      </c>
      <c r="B908" s="4" t="s">
        <v>222</v>
      </c>
      <c r="C908" s="8">
        <v>45231</v>
      </c>
      <c r="D908" s="4" t="s">
        <v>187</v>
      </c>
      <c r="E908" s="14">
        <v>177.8475</v>
      </c>
      <c r="F908" s="7">
        <v>225392</v>
      </c>
      <c r="G908" s="14">
        <v>1387.704</v>
      </c>
      <c r="H908" s="7">
        <v>1917824</v>
      </c>
      <c r="I908" s="14">
        <v>1565.5515</v>
      </c>
      <c r="J908" s="7">
        <v>2143216</v>
      </c>
    </row>
    <row r="909" spans="1:10" x14ac:dyDescent="0.2">
      <c r="A909" s="9">
        <v>45258</v>
      </c>
      <c r="B909" s="4" t="s">
        <v>223</v>
      </c>
      <c r="C909" s="8">
        <v>45231</v>
      </c>
      <c r="D909" s="4" t="s">
        <v>187</v>
      </c>
      <c r="E909" s="14">
        <v>290.33710000000002</v>
      </c>
      <c r="F909" s="7">
        <v>348165</v>
      </c>
      <c r="G909" s="14">
        <v>2380.8305</v>
      </c>
      <c r="H909" s="7">
        <v>3239341</v>
      </c>
      <c r="I909" s="14">
        <v>2671.1676000000002</v>
      </c>
      <c r="J909" s="7">
        <v>3587506</v>
      </c>
    </row>
    <row r="910" spans="1:10" x14ac:dyDescent="0.2">
      <c r="A910" s="9">
        <v>45259</v>
      </c>
      <c r="B910" s="4" t="s">
        <v>221</v>
      </c>
      <c r="C910" s="8">
        <v>45231</v>
      </c>
      <c r="D910" s="4" t="s">
        <v>187</v>
      </c>
      <c r="E910" s="14">
        <v>408.71899999999999</v>
      </c>
      <c r="F910" s="7">
        <v>494469</v>
      </c>
      <c r="G910" s="14">
        <v>2246.7653</v>
      </c>
      <c r="H910" s="7">
        <v>3050109</v>
      </c>
      <c r="I910" s="14">
        <v>2655.4843000000001</v>
      </c>
      <c r="J910" s="7">
        <v>3544578</v>
      </c>
    </row>
    <row r="911" spans="1:10" x14ac:dyDescent="0.2">
      <c r="A911" s="9">
        <v>45260</v>
      </c>
      <c r="B911" s="4" t="s">
        <v>224</v>
      </c>
      <c r="C911" s="8">
        <v>45231</v>
      </c>
      <c r="D911" s="4" t="s">
        <v>187</v>
      </c>
      <c r="E911" s="14">
        <v>551.75260000000003</v>
      </c>
      <c r="F911" s="7">
        <v>668203</v>
      </c>
      <c r="G911" s="14">
        <v>2512.6862000000001</v>
      </c>
      <c r="H911" s="7">
        <v>3357233</v>
      </c>
      <c r="I911" s="14">
        <v>3064.4387999999999</v>
      </c>
      <c r="J911" s="7">
        <v>4025436</v>
      </c>
    </row>
    <row r="912" spans="1:10" x14ac:dyDescent="0.2">
      <c r="A912" s="9">
        <v>45261</v>
      </c>
      <c r="B912" s="4" t="s">
        <v>222</v>
      </c>
      <c r="C912" s="8">
        <v>45261</v>
      </c>
      <c r="D912" s="4" t="s">
        <v>187</v>
      </c>
      <c r="E912" s="14">
        <v>224.84350000000001</v>
      </c>
      <c r="F912" s="7">
        <v>273592</v>
      </c>
      <c r="G912" s="14">
        <v>906.71479999999997</v>
      </c>
      <c r="H912" s="7">
        <v>1176136</v>
      </c>
      <c r="I912" s="14">
        <v>1131.5582999999999</v>
      </c>
      <c r="J912" s="7">
        <v>1449728</v>
      </c>
    </row>
    <row r="913" spans="1:10" x14ac:dyDescent="0.2">
      <c r="A913" s="9">
        <v>45264</v>
      </c>
      <c r="B913" s="4" t="s">
        <v>225</v>
      </c>
      <c r="C913" s="8">
        <v>45261</v>
      </c>
      <c r="D913" s="4" t="s">
        <v>187</v>
      </c>
      <c r="E913" s="14">
        <v>374.4427</v>
      </c>
      <c r="F913" s="7">
        <v>457293</v>
      </c>
      <c r="G913" s="14">
        <v>1078.3294000000001</v>
      </c>
      <c r="H913" s="7">
        <v>1391596</v>
      </c>
      <c r="I913" s="14">
        <v>1452.7720999999999</v>
      </c>
      <c r="J913" s="7">
        <v>1848889</v>
      </c>
    </row>
    <row r="914" spans="1:10" x14ac:dyDescent="0.2">
      <c r="A914" s="9">
        <v>45265</v>
      </c>
      <c r="B914" s="4" t="s">
        <v>223</v>
      </c>
      <c r="C914" s="8">
        <v>45261</v>
      </c>
      <c r="D914" s="4" t="s">
        <v>187</v>
      </c>
      <c r="E914" s="14">
        <v>347.91239999999999</v>
      </c>
      <c r="F914" s="7">
        <v>421409</v>
      </c>
      <c r="G914" s="14">
        <v>1019.2311999999999</v>
      </c>
      <c r="H914" s="7">
        <v>1306177</v>
      </c>
      <c r="I914" s="14">
        <v>1367.1436000000001</v>
      </c>
      <c r="J914" s="7">
        <v>1727586</v>
      </c>
    </row>
    <row r="915" spans="1:10" x14ac:dyDescent="0.2">
      <c r="A915" s="9">
        <v>45266</v>
      </c>
      <c r="B915" s="4" t="s">
        <v>221</v>
      </c>
      <c r="C915" s="8">
        <v>45261</v>
      </c>
      <c r="D915" s="4" t="s">
        <v>187</v>
      </c>
      <c r="E915" s="14">
        <v>282.07549999999998</v>
      </c>
      <c r="F915" s="7">
        <v>332994</v>
      </c>
      <c r="G915" s="14">
        <v>968.11929999999995</v>
      </c>
      <c r="H915" s="7">
        <v>1240870</v>
      </c>
      <c r="I915" s="14">
        <v>1250.1948</v>
      </c>
      <c r="J915" s="7">
        <v>1573864</v>
      </c>
    </row>
    <row r="916" spans="1:10" x14ac:dyDescent="0.2">
      <c r="A916" s="9">
        <v>45267</v>
      </c>
      <c r="B916" s="4" t="s">
        <v>224</v>
      </c>
      <c r="C916" s="8">
        <v>45261</v>
      </c>
      <c r="D916" s="4" t="s">
        <v>187</v>
      </c>
      <c r="E916" s="14">
        <v>210.63069999999999</v>
      </c>
      <c r="F916" s="7">
        <v>245015</v>
      </c>
      <c r="G916" s="14">
        <v>888.35350000000005</v>
      </c>
      <c r="H916" s="7">
        <v>1128545</v>
      </c>
      <c r="I916" s="14">
        <v>1098.9842000000001</v>
      </c>
      <c r="J916" s="7">
        <v>1373560</v>
      </c>
    </row>
    <row r="917" spans="1:10" x14ac:dyDescent="0.2">
      <c r="A917" s="9">
        <v>45268</v>
      </c>
      <c r="B917" s="4" t="s">
        <v>222</v>
      </c>
      <c r="C917" s="8">
        <v>45261</v>
      </c>
      <c r="D917" s="4" t="s">
        <v>187</v>
      </c>
      <c r="E917" s="14">
        <v>295.25830000000002</v>
      </c>
      <c r="F917" s="7">
        <v>346399</v>
      </c>
      <c r="G917" s="14">
        <v>957.53150000000005</v>
      </c>
      <c r="H917" s="7">
        <v>1212147</v>
      </c>
      <c r="I917" s="14">
        <v>1252.7898</v>
      </c>
      <c r="J917" s="7">
        <v>1558546</v>
      </c>
    </row>
    <row r="918" spans="1:10" x14ac:dyDescent="0.2">
      <c r="A918" s="9">
        <v>45271</v>
      </c>
      <c r="B918" s="4" t="s">
        <v>225</v>
      </c>
      <c r="C918" s="8">
        <v>45261</v>
      </c>
      <c r="D918" s="4" t="s">
        <v>187</v>
      </c>
      <c r="E918" s="14">
        <v>189.31190000000001</v>
      </c>
      <c r="F918" s="7">
        <v>223049</v>
      </c>
      <c r="G918" s="14">
        <v>718.69370000000004</v>
      </c>
      <c r="H918" s="7">
        <v>907542</v>
      </c>
      <c r="I918" s="14">
        <v>908.00559999999996</v>
      </c>
      <c r="J918" s="7">
        <v>1130591</v>
      </c>
    </row>
    <row r="919" spans="1:10" x14ac:dyDescent="0.2">
      <c r="A919" s="9">
        <v>45272</v>
      </c>
      <c r="B919" s="4" t="s">
        <v>223</v>
      </c>
      <c r="C919" s="8">
        <v>45261</v>
      </c>
      <c r="D919" s="4" t="s">
        <v>187</v>
      </c>
      <c r="E919" s="14">
        <v>200.5505</v>
      </c>
      <c r="F919" s="7">
        <v>233988</v>
      </c>
      <c r="G919" s="14">
        <v>777.13369999999998</v>
      </c>
      <c r="H919" s="7">
        <v>993350</v>
      </c>
      <c r="I919" s="14">
        <v>977.68420000000003</v>
      </c>
      <c r="J919" s="7">
        <v>1227338</v>
      </c>
    </row>
    <row r="920" spans="1:10" x14ac:dyDescent="0.2">
      <c r="A920" s="9">
        <v>45273</v>
      </c>
      <c r="B920" s="4" t="s">
        <v>221</v>
      </c>
      <c r="C920" s="8">
        <v>45261</v>
      </c>
      <c r="D920" s="4" t="s">
        <v>187</v>
      </c>
      <c r="E920" s="14">
        <v>252.1148</v>
      </c>
      <c r="F920" s="7">
        <v>286071</v>
      </c>
      <c r="G920" s="14">
        <v>851.97659999999996</v>
      </c>
      <c r="H920" s="7">
        <v>1054778</v>
      </c>
      <c r="I920" s="14">
        <v>1104.0914</v>
      </c>
      <c r="J920" s="7">
        <v>1340849</v>
      </c>
    </row>
    <row r="921" spans="1:10" x14ac:dyDescent="0.2">
      <c r="A921" s="9">
        <v>45274</v>
      </c>
      <c r="B921" s="4" t="s">
        <v>224</v>
      </c>
      <c r="C921" s="8">
        <v>45261</v>
      </c>
      <c r="D921" s="4" t="s">
        <v>187</v>
      </c>
      <c r="E921" s="14">
        <v>324.81880000000001</v>
      </c>
      <c r="F921" s="7">
        <v>360782</v>
      </c>
      <c r="G921" s="14">
        <v>1042.7891</v>
      </c>
      <c r="H921" s="7">
        <v>1308706</v>
      </c>
      <c r="I921" s="14">
        <v>1367.6079</v>
      </c>
      <c r="J921" s="7">
        <v>1669488</v>
      </c>
    </row>
    <row r="922" spans="1:10" x14ac:dyDescent="0.2">
      <c r="A922" s="9">
        <v>45275</v>
      </c>
      <c r="B922" s="4" t="s">
        <v>222</v>
      </c>
      <c r="C922" s="8">
        <v>45261</v>
      </c>
      <c r="D922" s="4" t="s">
        <v>187</v>
      </c>
      <c r="E922" s="14">
        <v>324.71129999999999</v>
      </c>
      <c r="F922" s="7">
        <v>361332</v>
      </c>
      <c r="G922" s="14">
        <v>1174.5148999999999</v>
      </c>
      <c r="H922" s="7">
        <v>1467973</v>
      </c>
      <c r="I922" s="14">
        <v>1499.2262000000001</v>
      </c>
      <c r="J922" s="7">
        <v>1829305</v>
      </c>
    </row>
    <row r="923" spans="1:10" x14ac:dyDescent="0.2">
      <c r="A923" s="9">
        <v>45278</v>
      </c>
      <c r="B923" s="4" t="s">
        <v>225</v>
      </c>
      <c r="C923" s="8">
        <v>45261</v>
      </c>
      <c r="D923" s="4" t="s">
        <v>187</v>
      </c>
      <c r="E923" s="14">
        <v>219.8879</v>
      </c>
      <c r="F923" s="7">
        <v>247534</v>
      </c>
      <c r="G923" s="14">
        <v>903.53629999999998</v>
      </c>
      <c r="H923" s="7">
        <v>1127830</v>
      </c>
      <c r="I923" s="14">
        <v>1123.4241999999999</v>
      </c>
      <c r="J923" s="7">
        <v>1375364</v>
      </c>
    </row>
    <row r="924" spans="1:10" x14ac:dyDescent="0.2">
      <c r="A924" s="9">
        <v>45279</v>
      </c>
      <c r="B924" s="4" t="s">
        <v>223</v>
      </c>
      <c r="C924" s="8">
        <v>45261</v>
      </c>
      <c r="D924" s="4" t="s">
        <v>187</v>
      </c>
      <c r="E924" s="14">
        <v>271.50529999999998</v>
      </c>
      <c r="F924" s="7">
        <v>299871</v>
      </c>
      <c r="G924" s="14">
        <v>932.72569999999996</v>
      </c>
      <c r="H924" s="7">
        <v>1184843</v>
      </c>
      <c r="I924" s="14">
        <v>1204.231</v>
      </c>
      <c r="J924" s="7">
        <v>1484714</v>
      </c>
    </row>
    <row r="925" spans="1:10" x14ac:dyDescent="0.2">
      <c r="A925" s="9">
        <v>45280</v>
      </c>
      <c r="B925" s="4" t="s">
        <v>221</v>
      </c>
      <c r="C925" s="8">
        <v>45261</v>
      </c>
      <c r="D925" s="4" t="s">
        <v>187</v>
      </c>
      <c r="E925" s="14">
        <v>489.89229999999998</v>
      </c>
      <c r="F925" s="7">
        <v>540918</v>
      </c>
      <c r="G925" s="14">
        <v>1499.4894999999999</v>
      </c>
      <c r="H925" s="7">
        <v>1875954</v>
      </c>
      <c r="I925" s="14">
        <v>1989.3818000000001</v>
      </c>
      <c r="J925" s="7">
        <v>2416872</v>
      </c>
    </row>
    <row r="926" spans="1:10" x14ac:dyDescent="0.2">
      <c r="A926" s="9">
        <v>45281</v>
      </c>
      <c r="B926" s="4" t="s">
        <v>224</v>
      </c>
      <c r="C926" s="8">
        <v>45261</v>
      </c>
      <c r="D926" s="4" t="s">
        <v>187</v>
      </c>
      <c r="E926" s="14">
        <v>503.00540000000001</v>
      </c>
      <c r="F926" s="7">
        <v>581915</v>
      </c>
      <c r="G926" s="14">
        <v>1313.6010000000001</v>
      </c>
      <c r="H926" s="7">
        <v>1642679</v>
      </c>
      <c r="I926" s="14">
        <v>1816.6063999999999</v>
      </c>
      <c r="J926" s="7">
        <v>2224594</v>
      </c>
    </row>
    <row r="927" spans="1:10" x14ac:dyDescent="0.2">
      <c r="A927" s="9">
        <v>45282</v>
      </c>
      <c r="B927" s="4" t="s">
        <v>222</v>
      </c>
      <c r="C927" s="8">
        <v>45261</v>
      </c>
      <c r="D927" s="4" t="s">
        <v>187</v>
      </c>
      <c r="E927" s="14">
        <v>461.78930000000003</v>
      </c>
      <c r="F927" s="7">
        <v>523333</v>
      </c>
      <c r="G927" s="14">
        <v>2153.9443000000001</v>
      </c>
      <c r="H927" s="7">
        <v>2748659</v>
      </c>
      <c r="I927" s="14">
        <v>2615.7336</v>
      </c>
      <c r="J927" s="7">
        <v>3271992</v>
      </c>
    </row>
    <row r="928" spans="1:10" x14ac:dyDescent="0.2">
      <c r="A928" s="9">
        <v>45286</v>
      </c>
      <c r="B928" s="4" t="s">
        <v>223</v>
      </c>
      <c r="C928" s="8">
        <v>45261</v>
      </c>
      <c r="D928" s="4" t="s">
        <v>187</v>
      </c>
      <c r="E928" s="14">
        <v>397.25139999999999</v>
      </c>
      <c r="F928" s="7">
        <v>437322</v>
      </c>
      <c r="G928" s="14">
        <v>2412.7739999999999</v>
      </c>
      <c r="H928" s="7">
        <v>3042573</v>
      </c>
      <c r="I928" s="14">
        <v>2810.0254</v>
      </c>
      <c r="J928" s="7">
        <v>3479895</v>
      </c>
    </row>
    <row r="929" spans="1:10" x14ac:dyDescent="0.2">
      <c r="A929" s="9">
        <v>45287</v>
      </c>
      <c r="B929" s="4" t="s">
        <v>221</v>
      </c>
      <c r="C929" s="8">
        <v>45261</v>
      </c>
      <c r="D929" s="4" t="s">
        <v>187</v>
      </c>
      <c r="E929" s="14">
        <v>495.9658</v>
      </c>
      <c r="F929" s="7">
        <v>541581</v>
      </c>
      <c r="G929" s="14">
        <v>2198.4650999999999</v>
      </c>
      <c r="H929" s="7">
        <v>2757035</v>
      </c>
      <c r="I929" s="14">
        <v>2694.4308999999998</v>
      </c>
      <c r="J929" s="7">
        <v>3298616</v>
      </c>
    </row>
    <row r="930" spans="1:10" x14ac:dyDescent="0.2">
      <c r="A930" s="9">
        <v>45288</v>
      </c>
      <c r="B930" s="4" t="s">
        <v>224</v>
      </c>
      <c r="C930" s="8">
        <v>45261</v>
      </c>
      <c r="D930" s="4" t="s">
        <v>187</v>
      </c>
      <c r="E930" s="14">
        <v>520.50810000000001</v>
      </c>
      <c r="F930" s="7">
        <v>559566</v>
      </c>
      <c r="G930" s="14">
        <v>2494.6844999999998</v>
      </c>
      <c r="H930" s="7">
        <v>3060747</v>
      </c>
      <c r="I930" s="14">
        <v>3015.1925999999999</v>
      </c>
      <c r="J930" s="7">
        <v>3620313</v>
      </c>
    </row>
    <row r="931" spans="1:10" x14ac:dyDescent="0.2">
      <c r="A931" s="9">
        <v>45289</v>
      </c>
      <c r="B931" s="4" t="s">
        <v>222</v>
      </c>
      <c r="C931" s="8">
        <v>45261</v>
      </c>
      <c r="D931" s="4" t="s">
        <v>187</v>
      </c>
      <c r="E931" s="14">
        <v>258.76280000000003</v>
      </c>
      <c r="F931" s="7">
        <v>285153</v>
      </c>
      <c r="G931" s="14">
        <v>948.46140000000003</v>
      </c>
      <c r="H931" s="7">
        <v>1138999</v>
      </c>
      <c r="I931" s="14">
        <v>1207.2242000000001</v>
      </c>
      <c r="J931" s="7">
        <v>1424152</v>
      </c>
    </row>
    <row r="932" spans="1:10" x14ac:dyDescent="0.2">
      <c r="A932" s="9">
        <v>45292</v>
      </c>
      <c r="B932" s="4" t="s">
        <v>225</v>
      </c>
      <c r="C932" s="8">
        <v>45292</v>
      </c>
      <c r="D932" s="4" t="s">
        <v>188</v>
      </c>
      <c r="E932" s="14">
        <v>229.9879</v>
      </c>
      <c r="F932" s="7">
        <v>254219</v>
      </c>
      <c r="G932" s="14">
        <v>738.0095</v>
      </c>
      <c r="H932" s="7">
        <v>876760</v>
      </c>
      <c r="I932" s="14">
        <v>967.99739999999997</v>
      </c>
      <c r="J932" s="7">
        <v>1130979</v>
      </c>
    </row>
    <row r="933" spans="1:10" x14ac:dyDescent="0.2">
      <c r="A933" s="9">
        <v>45293</v>
      </c>
      <c r="B933" s="4" t="s">
        <v>223</v>
      </c>
      <c r="C933" s="8">
        <v>45292</v>
      </c>
      <c r="D933" s="4" t="s">
        <v>188</v>
      </c>
      <c r="E933" s="14">
        <v>343.4871</v>
      </c>
      <c r="F933" s="7">
        <v>381921</v>
      </c>
      <c r="G933" s="14">
        <v>1037.7639999999999</v>
      </c>
      <c r="H933" s="7">
        <v>1258067</v>
      </c>
      <c r="I933" s="14">
        <v>1381.2511</v>
      </c>
      <c r="J933" s="7">
        <v>1639988</v>
      </c>
    </row>
    <row r="934" spans="1:10" x14ac:dyDescent="0.2">
      <c r="A934" s="9">
        <v>45294</v>
      </c>
      <c r="B934" s="4" t="s">
        <v>221</v>
      </c>
      <c r="C934" s="8">
        <v>45292</v>
      </c>
      <c r="D934" s="4" t="s">
        <v>188</v>
      </c>
      <c r="E934" s="14">
        <v>295.51179999999999</v>
      </c>
      <c r="F934" s="7">
        <v>335024</v>
      </c>
      <c r="G934" s="14">
        <v>1063.5301999999999</v>
      </c>
      <c r="H934" s="7">
        <v>1284617</v>
      </c>
      <c r="I934" s="14">
        <v>1359.0419999999999</v>
      </c>
      <c r="J934" s="7">
        <v>1619641</v>
      </c>
    </row>
    <row r="935" spans="1:10" x14ac:dyDescent="0.2">
      <c r="A935" s="9">
        <v>45295</v>
      </c>
      <c r="B935" s="4" t="s">
        <v>224</v>
      </c>
      <c r="C935" s="8">
        <v>45292</v>
      </c>
      <c r="D935" s="4" t="s">
        <v>188</v>
      </c>
      <c r="E935" s="14">
        <v>268.70049999999998</v>
      </c>
      <c r="F935" s="7">
        <v>303501</v>
      </c>
      <c r="G935" s="14">
        <v>953.79480000000001</v>
      </c>
      <c r="H935" s="7">
        <v>1132119</v>
      </c>
      <c r="I935" s="14">
        <v>1222.4953</v>
      </c>
      <c r="J935" s="7">
        <v>1435620</v>
      </c>
    </row>
    <row r="936" spans="1:10" x14ac:dyDescent="0.2">
      <c r="A936" s="9">
        <v>45296</v>
      </c>
      <c r="B936" s="4" t="s">
        <v>222</v>
      </c>
      <c r="C936" s="8">
        <v>45292</v>
      </c>
      <c r="D936" s="4" t="s">
        <v>188</v>
      </c>
      <c r="E936" s="14">
        <v>300.86239999999998</v>
      </c>
      <c r="F936" s="7">
        <v>340671</v>
      </c>
      <c r="G936" s="14">
        <v>1040.1878999999999</v>
      </c>
      <c r="H936" s="7">
        <v>1241744</v>
      </c>
      <c r="I936" s="14">
        <v>1341.0503000000001</v>
      </c>
      <c r="J936" s="7">
        <v>1582415</v>
      </c>
    </row>
    <row r="937" spans="1:10" x14ac:dyDescent="0.2">
      <c r="A937" s="9">
        <v>45299</v>
      </c>
      <c r="B937" s="4" t="s">
        <v>225</v>
      </c>
      <c r="C937" s="8">
        <v>45292</v>
      </c>
      <c r="D937" s="4" t="s">
        <v>188</v>
      </c>
      <c r="E937" s="14">
        <v>328.66539999999998</v>
      </c>
      <c r="F937" s="7">
        <v>374718</v>
      </c>
      <c r="G937" s="14">
        <v>875.38940000000002</v>
      </c>
      <c r="H937" s="7">
        <v>1079518</v>
      </c>
      <c r="I937" s="14">
        <v>1204.0547999999999</v>
      </c>
      <c r="J937" s="7">
        <v>1454236</v>
      </c>
    </row>
    <row r="938" spans="1:10" x14ac:dyDescent="0.2">
      <c r="A938" s="9">
        <v>45300</v>
      </c>
      <c r="B938" s="4" t="s">
        <v>223</v>
      </c>
      <c r="C938" s="8">
        <v>45292</v>
      </c>
      <c r="D938" s="4" t="s">
        <v>188</v>
      </c>
      <c r="E938" s="14">
        <v>350.88400000000001</v>
      </c>
      <c r="F938" s="7">
        <v>397154</v>
      </c>
      <c r="G938" s="14">
        <v>871.83150000000001</v>
      </c>
      <c r="H938" s="7">
        <v>1058727</v>
      </c>
      <c r="I938" s="14">
        <v>1222.7155</v>
      </c>
      <c r="J938" s="7">
        <v>1455881</v>
      </c>
    </row>
    <row r="939" spans="1:10" x14ac:dyDescent="0.2">
      <c r="A939" s="9">
        <v>45301</v>
      </c>
      <c r="B939" s="4" t="s">
        <v>221</v>
      </c>
      <c r="C939" s="8">
        <v>45292</v>
      </c>
      <c r="D939" s="4" t="s">
        <v>188</v>
      </c>
      <c r="E939" s="14">
        <v>285.72570000000002</v>
      </c>
      <c r="F939" s="7">
        <v>321500</v>
      </c>
      <c r="G939" s="14">
        <v>817.00409999999999</v>
      </c>
      <c r="H939" s="7">
        <v>1000647</v>
      </c>
      <c r="I939" s="14">
        <v>1102.7298000000001</v>
      </c>
      <c r="J939" s="7">
        <v>1322147</v>
      </c>
    </row>
    <row r="940" spans="1:10" x14ac:dyDescent="0.2">
      <c r="A940" s="9">
        <v>45302</v>
      </c>
      <c r="B940" s="4" t="s">
        <v>224</v>
      </c>
      <c r="C940" s="8">
        <v>45292</v>
      </c>
      <c r="D940" s="4" t="s">
        <v>188</v>
      </c>
      <c r="E940" s="14">
        <v>222.38130000000001</v>
      </c>
      <c r="F940" s="7">
        <v>246939</v>
      </c>
      <c r="G940" s="14">
        <v>895.05060000000003</v>
      </c>
      <c r="H940" s="7">
        <v>1176513</v>
      </c>
      <c r="I940" s="14">
        <v>1117.4319</v>
      </c>
      <c r="J940" s="7">
        <v>1423452</v>
      </c>
    </row>
    <row r="941" spans="1:10" x14ac:dyDescent="0.2">
      <c r="A941" s="9">
        <v>45303</v>
      </c>
      <c r="B941" s="4" t="s">
        <v>222</v>
      </c>
      <c r="C941" s="8">
        <v>45292</v>
      </c>
      <c r="D941" s="4" t="s">
        <v>188</v>
      </c>
      <c r="E941" s="14">
        <v>317.71249999999998</v>
      </c>
      <c r="F941" s="7">
        <v>348941</v>
      </c>
      <c r="G941" s="14">
        <v>959.24599999999998</v>
      </c>
      <c r="H941" s="7">
        <v>1187791</v>
      </c>
      <c r="I941" s="14">
        <v>1276.9585</v>
      </c>
      <c r="J941" s="7">
        <v>1536732</v>
      </c>
    </row>
    <row r="942" spans="1:10" x14ac:dyDescent="0.2">
      <c r="A942" s="9">
        <v>45306</v>
      </c>
      <c r="B942" s="4" t="s">
        <v>225</v>
      </c>
      <c r="C942" s="8">
        <v>45292</v>
      </c>
      <c r="D942" s="4" t="s">
        <v>188</v>
      </c>
      <c r="E942" s="14">
        <v>246.16560000000001</v>
      </c>
      <c r="F942" s="7">
        <v>273506</v>
      </c>
      <c r="G942" s="14">
        <v>954.61400000000003</v>
      </c>
      <c r="H942" s="7">
        <v>1140516</v>
      </c>
      <c r="I942" s="14">
        <v>1200.7796000000001</v>
      </c>
      <c r="J942" s="7">
        <v>1414022</v>
      </c>
    </row>
    <row r="943" spans="1:10" x14ac:dyDescent="0.2">
      <c r="A943" s="9">
        <v>45307</v>
      </c>
      <c r="B943" s="4" t="s">
        <v>223</v>
      </c>
      <c r="C943" s="8">
        <v>45292</v>
      </c>
      <c r="D943" s="4" t="s">
        <v>188</v>
      </c>
      <c r="E943" s="14">
        <v>245.12809999999999</v>
      </c>
      <c r="F943" s="7">
        <v>273182</v>
      </c>
      <c r="G943" s="14">
        <v>1024.5295000000001</v>
      </c>
      <c r="H943" s="7">
        <v>1212680</v>
      </c>
      <c r="I943" s="14">
        <v>1269.6576</v>
      </c>
      <c r="J943" s="7">
        <v>1485862</v>
      </c>
    </row>
    <row r="944" spans="1:10" x14ac:dyDescent="0.2">
      <c r="A944" s="9">
        <v>45308</v>
      </c>
      <c r="B944" s="4" t="s">
        <v>221</v>
      </c>
      <c r="C944" s="8">
        <v>45292</v>
      </c>
      <c r="D944" s="4" t="s">
        <v>188</v>
      </c>
      <c r="E944" s="14">
        <v>643.34590000000003</v>
      </c>
      <c r="F944" s="7">
        <v>759341</v>
      </c>
      <c r="G944" s="14">
        <v>1320.8542</v>
      </c>
      <c r="H944" s="7">
        <v>1607092</v>
      </c>
      <c r="I944" s="14">
        <v>1964.2001</v>
      </c>
      <c r="J944" s="7">
        <v>2366433</v>
      </c>
    </row>
    <row r="945" spans="1:10" x14ac:dyDescent="0.2">
      <c r="A945" s="9">
        <v>45309</v>
      </c>
      <c r="B945" s="4" t="s">
        <v>224</v>
      </c>
      <c r="C945" s="8">
        <v>45292</v>
      </c>
      <c r="D945" s="4" t="s">
        <v>188</v>
      </c>
      <c r="E945" s="14">
        <v>549.39359999999999</v>
      </c>
      <c r="F945" s="7">
        <v>629147</v>
      </c>
      <c r="G945" s="14">
        <v>1441.2131999999999</v>
      </c>
      <c r="H945" s="7">
        <v>1759830</v>
      </c>
      <c r="I945" s="14">
        <v>1990.6068</v>
      </c>
      <c r="J945" s="7">
        <v>2388977</v>
      </c>
    </row>
    <row r="946" spans="1:10" x14ac:dyDescent="0.2">
      <c r="A946" s="9">
        <v>45310</v>
      </c>
      <c r="B946" s="4" t="s">
        <v>222</v>
      </c>
      <c r="C946" s="8">
        <v>45292</v>
      </c>
      <c r="D946" s="4" t="s">
        <v>188</v>
      </c>
      <c r="E946" s="14">
        <v>349.11720000000003</v>
      </c>
      <c r="F946" s="7">
        <v>413278</v>
      </c>
      <c r="G946" s="14">
        <v>1395.9897000000001</v>
      </c>
      <c r="H946" s="7">
        <v>1679293</v>
      </c>
      <c r="I946" s="14">
        <v>1745.1069</v>
      </c>
      <c r="J946" s="7">
        <v>2092571</v>
      </c>
    </row>
    <row r="947" spans="1:10" x14ac:dyDescent="0.2">
      <c r="A947" s="9">
        <v>45311</v>
      </c>
      <c r="B947" s="4" t="s">
        <v>226</v>
      </c>
      <c r="C947" s="8">
        <v>45292</v>
      </c>
      <c r="D947" s="4" t="s">
        <v>188</v>
      </c>
      <c r="E947" s="14">
        <v>211.26840000000001</v>
      </c>
      <c r="F947" s="7">
        <v>249650</v>
      </c>
      <c r="G947" s="14">
        <v>940.39189999999996</v>
      </c>
      <c r="H947" s="7">
        <v>1122079</v>
      </c>
      <c r="I947" s="14">
        <v>1151.6603</v>
      </c>
      <c r="J947" s="7">
        <v>1371729</v>
      </c>
    </row>
    <row r="948" spans="1:10" x14ac:dyDescent="0.2">
      <c r="A948" s="9">
        <v>45314</v>
      </c>
      <c r="B948" s="4" t="s">
        <v>223</v>
      </c>
      <c r="C948" s="8">
        <v>45292</v>
      </c>
      <c r="D948" s="4" t="s">
        <v>188</v>
      </c>
      <c r="E948" s="14">
        <v>694.07370000000003</v>
      </c>
      <c r="F948" s="7">
        <v>783902</v>
      </c>
      <c r="G948" s="14">
        <v>3450.5068000000001</v>
      </c>
      <c r="H948" s="7">
        <v>4272692</v>
      </c>
      <c r="I948" s="14">
        <v>4144.5805</v>
      </c>
      <c r="J948" s="7">
        <v>5056594</v>
      </c>
    </row>
    <row r="949" spans="1:10" x14ac:dyDescent="0.2">
      <c r="A949" s="9">
        <v>45315</v>
      </c>
      <c r="B949" s="4" t="s">
        <v>221</v>
      </c>
      <c r="C949" s="8">
        <v>45292</v>
      </c>
      <c r="D949" s="4" t="s">
        <v>188</v>
      </c>
      <c r="E949" s="14">
        <v>787.23109999999997</v>
      </c>
      <c r="F949" s="7">
        <v>923611</v>
      </c>
      <c r="G949" s="14">
        <v>3202.3407999999999</v>
      </c>
      <c r="H949" s="7">
        <v>4052125</v>
      </c>
      <c r="I949" s="14">
        <v>3989.5718999999999</v>
      </c>
      <c r="J949" s="7">
        <v>4975736</v>
      </c>
    </row>
    <row r="950" spans="1:10" x14ac:dyDescent="0.2">
      <c r="A950" s="9">
        <v>45316</v>
      </c>
      <c r="B950" s="4" t="s">
        <v>224</v>
      </c>
      <c r="C950" s="8">
        <v>45292</v>
      </c>
      <c r="D950" s="4" t="s">
        <v>188</v>
      </c>
      <c r="E950" s="14">
        <v>700.81150000000002</v>
      </c>
      <c r="F950" s="7">
        <v>837186</v>
      </c>
      <c r="G950" s="14">
        <v>3038.0686000000001</v>
      </c>
      <c r="H950" s="7">
        <v>3794611</v>
      </c>
      <c r="I950" s="14">
        <v>3738.8800999999999</v>
      </c>
      <c r="J950" s="7">
        <v>4631797</v>
      </c>
    </row>
    <row r="951" spans="1:10" x14ac:dyDescent="0.2">
      <c r="A951" s="9">
        <v>45320</v>
      </c>
      <c r="B951" s="4" t="s">
        <v>225</v>
      </c>
      <c r="C951" s="8">
        <v>45292</v>
      </c>
      <c r="D951" s="4" t="s">
        <v>188</v>
      </c>
      <c r="E951" s="14">
        <v>427.30009999999999</v>
      </c>
      <c r="F951" s="7">
        <v>503869</v>
      </c>
      <c r="G951" s="14">
        <v>1187.6319000000001</v>
      </c>
      <c r="H951" s="7">
        <v>1415725</v>
      </c>
      <c r="I951" s="14">
        <v>1614.932</v>
      </c>
      <c r="J951" s="7">
        <v>1919594</v>
      </c>
    </row>
    <row r="952" spans="1:10" x14ac:dyDescent="0.2">
      <c r="A952" s="9">
        <v>45321</v>
      </c>
      <c r="B952" s="4" t="s">
        <v>223</v>
      </c>
      <c r="C952" s="8">
        <v>45292</v>
      </c>
      <c r="D952" s="4" t="s">
        <v>188</v>
      </c>
      <c r="E952" s="14">
        <v>322.64330000000001</v>
      </c>
      <c r="F952" s="7">
        <v>364834</v>
      </c>
      <c r="G952" s="14">
        <v>1102.3517999999999</v>
      </c>
      <c r="H952" s="7">
        <v>1295676</v>
      </c>
      <c r="I952" s="14">
        <v>1424.9951000000001</v>
      </c>
      <c r="J952" s="7">
        <v>1660510</v>
      </c>
    </row>
    <row r="953" spans="1:10" x14ac:dyDescent="0.2">
      <c r="A953" s="9">
        <v>45322</v>
      </c>
      <c r="B953" s="4" t="s">
        <v>221</v>
      </c>
      <c r="C953" s="8">
        <v>45292</v>
      </c>
      <c r="D953" s="4" t="s">
        <v>188</v>
      </c>
      <c r="E953" s="14">
        <v>365.89109999999999</v>
      </c>
      <c r="F953" s="7">
        <v>437458</v>
      </c>
      <c r="G953" s="14">
        <v>1102.0054</v>
      </c>
      <c r="H953" s="7">
        <v>1327921</v>
      </c>
      <c r="I953" s="14">
        <v>1467.8965000000001</v>
      </c>
      <c r="J953" s="7">
        <v>1765379</v>
      </c>
    </row>
    <row r="954" spans="1:10" x14ac:dyDescent="0.2">
      <c r="A954" s="9">
        <v>45323</v>
      </c>
      <c r="B954" s="4" t="s">
        <v>224</v>
      </c>
      <c r="C954" s="8">
        <v>45323</v>
      </c>
      <c r="D954" s="4" t="s">
        <v>188</v>
      </c>
      <c r="E954" s="14">
        <v>419.77760000000001</v>
      </c>
      <c r="F954" s="7">
        <v>492462</v>
      </c>
      <c r="G954" s="14">
        <v>1220.1576</v>
      </c>
      <c r="H954" s="7">
        <v>1457699</v>
      </c>
      <c r="I954" s="14">
        <v>1639.9351999999999</v>
      </c>
      <c r="J954" s="7">
        <v>1950161</v>
      </c>
    </row>
    <row r="955" spans="1:10" x14ac:dyDescent="0.2">
      <c r="A955" s="9">
        <v>45324</v>
      </c>
      <c r="B955" s="4" t="s">
        <v>222</v>
      </c>
      <c r="C955" s="8">
        <v>45323</v>
      </c>
      <c r="D955" s="4" t="s">
        <v>188</v>
      </c>
      <c r="E955" s="14">
        <v>513.21680000000003</v>
      </c>
      <c r="F955" s="7">
        <v>581647</v>
      </c>
      <c r="G955" s="14">
        <v>1335.1796999999999</v>
      </c>
      <c r="H955" s="7">
        <v>1519379</v>
      </c>
      <c r="I955" s="14">
        <v>1848.3965000000001</v>
      </c>
      <c r="J955" s="7">
        <v>2101026</v>
      </c>
    </row>
    <row r="956" spans="1:10" x14ac:dyDescent="0.2">
      <c r="A956" s="9">
        <v>45327</v>
      </c>
      <c r="B956" s="4" t="s">
        <v>225</v>
      </c>
      <c r="C956" s="8">
        <v>45323</v>
      </c>
      <c r="D956" s="4" t="s">
        <v>188</v>
      </c>
      <c r="E956" s="14">
        <v>341.79149999999998</v>
      </c>
      <c r="F956" s="7">
        <v>390750</v>
      </c>
      <c r="G956" s="14">
        <v>1239.1778999999999</v>
      </c>
      <c r="H956" s="7">
        <v>1389387</v>
      </c>
      <c r="I956" s="14">
        <v>1580.9694</v>
      </c>
      <c r="J956" s="7">
        <v>1780137</v>
      </c>
    </row>
    <row r="957" spans="1:10" x14ac:dyDescent="0.2">
      <c r="A957" s="9">
        <v>45328</v>
      </c>
      <c r="B957" s="4" t="s">
        <v>223</v>
      </c>
      <c r="C957" s="8">
        <v>45323</v>
      </c>
      <c r="D957" s="4" t="s">
        <v>188</v>
      </c>
      <c r="E957" s="14">
        <v>287.8263</v>
      </c>
      <c r="F957" s="7">
        <v>331965</v>
      </c>
      <c r="G957" s="14">
        <v>1044.2393</v>
      </c>
      <c r="H957" s="7">
        <v>1204288</v>
      </c>
      <c r="I957" s="14">
        <v>1332.0655999999999</v>
      </c>
      <c r="J957" s="7">
        <v>1536253</v>
      </c>
    </row>
    <row r="958" spans="1:10" x14ac:dyDescent="0.2">
      <c r="A958" s="9">
        <v>45329</v>
      </c>
      <c r="B958" s="4" t="s">
        <v>221</v>
      </c>
      <c r="C958" s="8">
        <v>45323</v>
      </c>
      <c r="D958" s="4" t="s">
        <v>188</v>
      </c>
      <c r="E958" s="14">
        <v>292.78620000000001</v>
      </c>
      <c r="F958" s="7">
        <v>337637</v>
      </c>
      <c r="G958" s="14">
        <v>1118.1575</v>
      </c>
      <c r="H958" s="7">
        <v>1249344</v>
      </c>
      <c r="I958" s="14">
        <v>1410.9437</v>
      </c>
      <c r="J958" s="7">
        <v>1586981</v>
      </c>
    </row>
    <row r="959" spans="1:10" x14ac:dyDescent="0.2">
      <c r="A959" s="9">
        <v>45330</v>
      </c>
      <c r="B959" s="4" t="s">
        <v>224</v>
      </c>
      <c r="C959" s="8">
        <v>45323</v>
      </c>
      <c r="D959" s="4" t="s">
        <v>188</v>
      </c>
      <c r="E959" s="14">
        <v>465.92770000000002</v>
      </c>
      <c r="F959" s="7">
        <v>535294</v>
      </c>
      <c r="G959" s="14">
        <v>1332.4575</v>
      </c>
      <c r="H959" s="7">
        <v>1469017</v>
      </c>
      <c r="I959" s="14">
        <v>1798.3851999999999</v>
      </c>
      <c r="J959" s="7">
        <v>2004311</v>
      </c>
    </row>
    <row r="960" spans="1:10" x14ac:dyDescent="0.2">
      <c r="A960" s="9">
        <v>45331</v>
      </c>
      <c r="B960" s="4" t="s">
        <v>222</v>
      </c>
      <c r="C960" s="8">
        <v>45323</v>
      </c>
      <c r="D960" s="4" t="s">
        <v>188</v>
      </c>
      <c r="E960" s="14">
        <v>350.12090000000001</v>
      </c>
      <c r="F960" s="7">
        <v>412138</v>
      </c>
      <c r="G960" s="14">
        <v>1267.2828</v>
      </c>
      <c r="H960" s="7">
        <v>1409983</v>
      </c>
      <c r="I960" s="14">
        <v>1617.4037000000001</v>
      </c>
      <c r="J960" s="7">
        <v>1822121</v>
      </c>
    </row>
    <row r="961" spans="1:10" x14ac:dyDescent="0.2">
      <c r="A961" s="9">
        <v>45334</v>
      </c>
      <c r="B961" s="4" t="s">
        <v>225</v>
      </c>
      <c r="C961" s="8">
        <v>45323</v>
      </c>
      <c r="D961" s="4" t="s">
        <v>188</v>
      </c>
      <c r="E961" s="14">
        <v>338.9461</v>
      </c>
      <c r="F961" s="7">
        <v>407272</v>
      </c>
      <c r="G961" s="14">
        <v>1061.0775000000001</v>
      </c>
      <c r="H961" s="7">
        <v>1224506</v>
      </c>
      <c r="I961" s="14">
        <v>1400.0236</v>
      </c>
      <c r="J961" s="7">
        <v>1631778</v>
      </c>
    </row>
    <row r="962" spans="1:10" x14ac:dyDescent="0.2">
      <c r="A962" s="9">
        <v>45335</v>
      </c>
      <c r="B962" s="4" t="s">
        <v>223</v>
      </c>
      <c r="C962" s="8">
        <v>45323</v>
      </c>
      <c r="D962" s="4" t="s">
        <v>188</v>
      </c>
      <c r="E962" s="14">
        <v>399.93830000000003</v>
      </c>
      <c r="F962" s="7">
        <v>492100</v>
      </c>
      <c r="G962" s="14">
        <v>994.31460000000004</v>
      </c>
      <c r="H962" s="7">
        <v>1165712</v>
      </c>
      <c r="I962" s="14">
        <v>1394.2529</v>
      </c>
      <c r="J962" s="7">
        <v>1657812</v>
      </c>
    </row>
    <row r="963" spans="1:10" x14ac:dyDescent="0.2">
      <c r="A963" s="9">
        <v>45336</v>
      </c>
      <c r="B963" s="4" t="s">
        <v>221</v>
      </c>
      <c r="C963" s="8">
        <v>45323</v>
      </c>
      <c r="D963" s="4" t="s">
        <v>188</v>
      </c>
      <c r="E963" s="14">
        <v>524.79129999999998</v>
      </c>
      <c r="F963" s="7">
        <v>639854</v>
      </c>
      <c r="G963" s="14">
        <v>1024.2678000000001</v>
      </c>
      <c r="H963" s="7">
        <v>1183788</v>
      </c>
      <c r="I963" s="14">
        <v>1549.0590999999999</v>
      </c>
      <c r="J963" s="7">
        <v>1823642</v>
      </c>
    </row>
    <row r="964" spans="1:10" x14ac:dyDescent="0.2">
      <c r="A964" s="9">
        <v>45337</v>
      </c>
      <c r="B964" s="4" t="s">
        <v>224</v>
      </c>
      <c r="C964" s="8">
        <v>45323</v>
      </c>
      <c r="D964" s="4" t="s">
        <v>188</v>
      </c>
      <c r="E964" s="14">
        <v>373.6189</v>
      </c>
      <c r="F964" s="7">
        <v>431143</v>
      </c>
      <c r="G964" s="14">
        <v>1055.7938999999999</v>
      </c>
      <c r="H964" s="7">
        <v>1210781</v>
      </c>
      <c r="I964" s="14">
        <v>1429.4128000000001</v>
      </c>
      <c r="J964" s="7">
        <v>1641924</v>
      </c>
    </row>
    <row r="965" spans="1:10" x14ac:dyDescent="0.2">
      <c r="A965" s="9">
        <v>45338</v>
      </c>
      <c r="B965" s="4" t="s">
        <v>222</v>
      </c>
      <c r="C965" s="8">
        <v>45323</v>
      </c>
      <c r="D965" s="4" t="s">
        <v>188</v>
      </c>
      <c r="E965" s="14">
        <v>277.98419999999999</v>
      </c>
      <c r="F965" s="7">
        <v>322810</v>
      </c>
      <c r="G965" s="14">
        <v>1152.5182</v>
      </c>
      <c r="H965" s="7">
        <v>1316450</v>
      </c>
      <c r="I965" s="14">
        <v>1430.5024000000001</v>
      </c>
      <c r="J965" s="7">
        <v>1639260</v>
      </c>
    </row>
    <row r="966" spans="1:10" x14ac:dyDescent="0.2">
      <c r="A966" s="9">
        <v>45341</v>
      </c>
      <c r="B966" s="4" t="s">
        <v>225</v>
      </c>
      <c r="C966" s="8">
        <v>45323</v>
      </c>
      <c r="D966" s="4" t="s">
        <v>188</v>
      </c>
      <c r="E966" s="14">
        <v>263.95460000000003</v>
      </c>
      <c r="F966" s="7">
        <v>301516</v>
      </c>
      <c r="G966" s="14">
        <v>895.52620000000002</v>
      </c>
      <c r="H966" s="7">
        <v>1035565</v>
      </c>
      <c r="I966" s="14">
        <v>1159.4808</v>
      </c>
      <c r="J966" s="7">
        <v>1337081</v>
      </c>
    </row>
    <row r="967" spans="1:10" x14ac:dyDescent="0.2">
      <c r="A967" s="9">
        <v>45342</v>
      </c>
      <c r="B967" s="4" t="s">
        <v>223</v>
      </c>
      <c r="C967" s="8">
        <v>45323</v>
      </c>
      <c r="D967" s="4" t="s">
        <v>188</v>
      </c>
      <c r="E967" s="14">
        <v>312.36900000000003</v>
      </c>
      <c r="F967" s="7">
        <v>364513</v>
      </c>
      <c r="G967" s="14">
        <v>981.85260000000005</v>
      </c>
      <c r="H967" s="7">
        <v>1147604</v>
      </c>
      <c r="I967" s="14">
        <v>1294.2216000000001</v>
      </c>
      <c r="J967" s="7">
        <v>1512117</v>
      </c>
    </row>
    <row r="968" spans="1:10" x14ac:dyDescent="0.2">
      <c r="A968" s="9">
        <v>45343</v>
      </c>
      <c r="B968" s="4" t="s">
        <v>221</v>
      </c>
      <c r="C968" s="8">
        <v>45323</v>
      </c>
      <c r="D968" s="4" t="s">
        <v>188</v>
      </c>
      <c r="E968" s="14">
        <v>374.971</v>
      </c>
      <c r="F968" s="7">
        <v>434102</v>
      </c>
      <c r="G968" s="14">
        <v>1098.2643</v>
      </c>
      <c r="H968" s="7">
        <v>1278871</v>
      </c>
      <c r="I968" s="14">
        <v>1473.2353000000001</v>
      </c>
      <c r="J968" s="7">
        <v>1712973</v>
      </c>
    </row>
    <row r="969" spans="1:10" x14ac:dyDescent="0.2">
      <c r="A969" s="9">
        <v>45344</v>
      </c>
      <c r="B969" s="4" t="s">
        <v>224</v>
      </c>
      <c r="C969" s="8">
        <v>45323</v>
      </c>
      <c r="D969" s="4" t="s">
        <v>188</v>
      </c>
      <c r="E969" s="14">
        <v>474.63630000000001</v>
      </c>
      <c r="F969" s="7">
        <v>524239</v>
      </c>
      <c r="G969" s="14">
        <v>1263.3416999999999</v>
      </c>
      <c r="H969" s="7">
        <v>1477121</v>
      </c>
      <c r="I969" s="14">
        <v>1737.9780000000001</v>
      </c>
      <c r="J969" s="7">
        <v>2001360</v>
      </c>
    </row>
    <row r="970" spans="1:10" x14ac:dyDescent="0.2">
      <c r="A970" s="9">
        <v>45345</v>
      </c>
      <c r="B970" s="4" t="s">
        <v>222</v>
      </c>
      <c r="C970" s="8">
        <v>45323</v>
      </c>
      <c r="D970" s="4" t="s">
        <v>188</v>
      </c>
      <c r="E970" s="14">
        <v>360.94779999999997</v>
      </c>
      <c r="F970" s="7">
        <v>416561</v>
      </c>
      <c r="G970" s="14">
        <v>1423.4992999999999</v>
      </c>
      <c r="H970" s="7">
        <v>1612709</v>
      </c>
      <c r="I970" s="14">
        <v>1784.4471000000001</v>
      </c>
      <c r="J970" s="7">
        <v>2029270</v>
      </c>
    </row>
    <row r="971" spans="1:10" x14ac:dyDescent="0.2">
      <c r="A971" s="9">
        <v>45348</v>
      </c>
      <c r="B971" s="4" t="s">
        <v>225</v>
      </c>
      <c r="C971" s="8">
        <v>45323</v>
      </c>
      <c r="D971" s="4" t="s">
        <v>188</v>
      </c>
      <c r="E971" s="14">
        <v>387.02910000000003</v>
      </c>
      <c r="F971" s="7">
        <v>439196</v>
      </c>
      <c r="G971" s="14">
        <v>2311.5342999999998</v>
      </c>
      <c r="H971" s="7">
        <v>2745740</v>
      </c>
      <c r="I971" s="14">
        <v>2698.5634</v>
      </c>
      <c r="J971" s="7">
        <v>3184936</v>
      </c>
    </row>
    <row r="972" spans="1:10" x14ac:dyDescent="0.2">
      <c r="A972" s="9">
        <v>45349</v>
      </c>
      <c r="B972" s="4" t="s">
        <v>223</v>
      </c>
      <c r="C972" s="8">
        <v>45323</v>
      </c>
      <c r="D972" s="4" t="s">
        <v>188</v>
      </c>
      <c r="E972" s="14">
        <v>414.35129999999998</v>
      </c>
      <c r="F972" s="7">
        <v>463697</v>
      </c>
      <c r="G972" s="14">
        <v>2667.3978000000002</v>
      </c>
      <c r="H972" s="7">
        <v>3161112</v>
      </c>
      <c r="I972" s="14">
        <v>3081.7491</v>
      </c>
      <c r="J972" s="7">
        <v>3624809</v>
      </c>
    </row>
    <row r="973" spans="1:10" x14ac:dyDescent="0.2">
      <c r="A973" s="9">
        <v>45350</v>
      </c>
      <c r="B973" s="4" t="s">
        <v>221</v>
      </c>
      <c r="C973" s="8">
        <v>45323</v>
      </c>
      <c r="D973" s="4" t="s">
        <v>188</v>
      </c>
      <c r="E973" s="14">
        <v>572.52750000000003</v>
      </c>
      <c r="F973" s="7">
        <v>658545</v>
      </c>
      <c r="G973" s="14">
        <v>2376.2745</v>
      </c>
      <c r="H973" s="7">
        <v>2836944</v>
      </c>
      <c r="I973" s="14">
        <v>2948.8020000000001</v>
      </c>
      <c r="J973" s="7">
        <v>3495489</v>
      </c>
    </row>
    <row r="974" spans="1:10" x14ac:dyDescent="0.2">
      <c r="A974" s="9">
        <v>45351</v>
      </c>
      <c r="B974" s="4" t="s">
        <v>224</v>
      </c>
      <c r="C974" s="8">
        <v>45323</v>
      </c>
      <c r="D974" s="4" t="s">
        <v>188</v>
      </c>
      <c r="E974" s="14">
        <v>646.09810000000004</v>
      </c>
      <c r="F974" s="7">
        <v>731970</v>
      </c>
      <c r="G974" s="14">
        <v>2836.779</v>
      </c>
      <c r="H974" s="7">
        <v>3423312</v>
      </c>
      <c r="I974" s="14">
        <v>3482.8771000000002</v>
      </c>
      <c r="J974" s="7">
        <v>4155282</v>
      </c>
    </row>
    <row r="975" spans="1:10" x14ac:dyDescent="0.2">
      <c r="A975" s="9">
        <v>45352</v>
      </c>
      <c r="B975" s="4" t="s">
        <v>222</v>
      </c>
      <c r="C975" s="8">
        <v>45352</v>
      </c>
      <c r="D975" s="4" t="s">
        <v>188</v>
      </c>
      <c r="E975" s="14">
        <v>457.17320000000001</v>
      </c>
      <c r="F975" s="7">
        <v>528794</v>
      </c>
      <c r="G975" s="14">
        <v>1076.1378999999999</v>
      </c>
      <c r="H975" s="7">
        <v>1237255</v>
      </c>
      <c r="I975" s="14">
        <v>1533.3110999999999</v>
      </c>
      <c r="J975" s="7">
        <v>1766049</v>
      </c>
    </row>
    <row r="976" spans="1:10" x14ac:dyDescent="0.2">
      <c r="A976" s="9">
        <v>45353</v>
      </c>
      <c r="B976" s="4" t="s">
        <v>226</v>
      </c>
      <c r="C976" s="8">
        <v>45352</v>
      </c>
      <c r="D976" s="4" t="s">
        <v>188</v>
      </c>
      <c r="E976" s="14">
        <v>55.8005</v>
      </c>
      <c r="F976" s="7">
        <v>60325</v>
      </c>
      <c r="G976" s="14">
        <v>149.09909999999999</v>
      </c>
      <c r="H976" s="7">
        <v>162670</v>
      </c>
      <c r="I976" s="14">
        <v>204.89959999999999</v>
      </c>
      <c r="J976" s="7">
        <v>222995</v>
      </c>
    </row>
    <row r="977" spans="1:10" x14ac:dyDescent="0.2">
      <c r="A977" s="9">
        <v>45355</v>
      </c>
      <c r="B977" s="4" t="s">
        <v>225</v>
      </c>
      <c r="C977" s="8">
        <v>45352</v>
      </c>
      <c r="D977" s="4" t="s">
        <v>188</v>
      </c>
      <c r="E977" s="14">
        <v>239.74440000000001</v>
      </c>
      <c r="F977" s="7">
        <v>284253</v>
      </c>
      <c r="G977" s="14">
        <v>1021.6629</v>
      </c>
      <c r="H977" s="7">
        <v>1102648</v>
      </c>
      <c r="I977" s="14">
        <v>1261.4073000000001</v>
      </c>
      <c r="J977" s="7">
        <v>1386901</v>
      </c>
    </row>
    <row r="978" spans="1:10" x14ac:dyDescent="0.2">
      <c r="A978" s="9">
        <v>45356</v>
      </c>
      <c r="B978" s="4" t="s">
        <v>223</v>
      </c>
      <c r="C978" s="8">
        <v>45352</v>
      </c>
      <c r="D978" s="4" t="s">
        <v>188</v>
      </c>
      <c r="E978" s="14">
        <v>331.2903</v>
      </c>
      <c r="F978" s="7">
        <v>370520</v>
      </c>
      <c r="G978" s="14">
        <v>1078.6871000000001</v>
      </c>
      <c r="H978" s="7">
        <v>1173349</v>
      </c>
      <c r="I978" s="14">
        <v>1409.9774</v>
      </c>
      <c r="J978" s="7">
        <v>1543869</v>
      </c>
    </row>
    <row r="979" spans="1:10" x14ac:dyDescent="0.2">
      <c r="A979" s="9">
        <v>45357</v>
      </c>
      <c r="B979" s="4" t="s">
        <v>221</v>
      </c>
      <c r="C979" s="8">
        <v>45352</v>
      </c>
      <c r="D979" s="4" t="s">
        <v>188</v>
      </c>
      <c r="E979" s="14">
        <v>483.9074</v>
      </c>
      <c r="F979" s="7">
        <v>554115</v>
      </c>
      <c r="G979" s="14">
        <v>1306.7874999999999</v>
      </c>
      <c r="H979" s="7">
        <v>1497676</v>
      </c>
      <c r="I979" s="14">
        <v>1790.6949</v>
      </c>
      <c r="J979" s="7">
        <v>2051791</v>
      </c>
    </row>
    <row r="980" spans="1:10" x14ac:dyDescent="0.2">
      <c r="A980" s="9">
        <v>45358</v>
      </c>
      <c r="B980" s="4" t="s">
        <v>224</v>
      </c>
      <c r="C980" s="8">
        <v>45352</v>
      </c>
      <c r="D980" s="4" t="s">
        <v>188</v>
      </c>
      <c r="E980" s="14">
        <v>251.398</v>
      </c>
      <c r="F980" s="7">
        <v>282183</v>
      </c>
      <c r="G980" s="14">
        <v>1094.1992</v>
      </c>
      <c r="H980" s="7">
        <v>1211726</v>
      </c>
      <c r="I980" s="14">
        <v>1345.5971999999999</v>
      </c>
      <c r="J980" s="7">
        <v>1493909</v>
      </c>
    </row>
    <row r="981" spans="1:10" x14ac:dyDescent="0.2">
      <c r="A981" s="9">
        <v>45362</v>
      </c>
      <c r="B981" s="4" t="s">
        <v>225</v>
      </c>
      <c r="C981" s="8">
        <v>45352</v>
      </c>
      <c r="D981" s="4" t="s">
        <v>188</v>
      </c>
      <c r="E981" s="14">
        <v>305.22629999999998</v>
      </c>
      <c r="F981" s="7">
        <v>344627</v>
      </c>
      <c r="G981" s="14">
        <v>987.87800000000004</v>
      </c>
      <c r="H981" s="7">
        <v>1103768</v>
      </c>
      <c r="I981" s="14">
        <v>1293.1043</v>
      </c>
      <c r="J981" s="7">
        <v>1448395</v>
      </c>
    </row>
    <row r="982" spans="1:10" x14ac:dyDescent="0.2">
      <c r="A982" s="9">
        <v>45363</v>
      </c>
      <c r="B982" s="4" t="s">
        <v>223</v>
      </c>
      <c r="C982" s="8">
        <v>45352</v>
      </c>
      <c r="D982" s="4" t="s">
        <v>188</v>
      </c>
      <c r="E982" s="14">
        <v>381.76569999999998</v>
      </c>
      <c r="F982" s="7">
        <v>453690</v>
      </c>
      <c r="G982" s="14">
        <v>1050.3501000000001</v>
      </c>
      <c r="H982" s="7">
        <v>1203854</v>
      </c>
      <c r="I982" s="14">
        <v>1432.1158</v>
      </c>
      <c r="J982" s="7">
        <v>1657544</v>
      </c>
    </row>
    <row r="983" spans="1:10" x14ac:dyDescent="0.2">
      <c r="A983" s="9">
        <v>45364</v>
      </c>
      <c r="B983" s="4" t="s">
        <v>221</v>
      </c>
      <c r="C983" s="8">
        <v>45352</v>
      </c>
      <c r="D983" s="4" t="s">
        <v>188</v>
      </c>
      <c r="E983" s="14">
        <v>494.56979999999999</v>
      </c>
      <c r="F983" s="7">
        <v>542871</v>
      </c>
      <c r="G983" s="14">
        <v>1475.5346</v>
      </c>
      <c r="H983" s="7">
        <v>1723828</v>
      </c>
      <c r="I983" s="14">
        <v>1970.1043999999999</v>
      </c>
      <c r="J983" s="7">
        <v>2266699</v>
      </c>
    </row>
    <row r="984" spans="1:10" x14ac:dyDescent="0.2">
      <c r="A984" s="9">
        <v>45365</v>
      </c>
      <c r="B984" s="4" t="s">
        <v>224</v>
      </c>
      <c r="C984" s="8">
        <v>45352</v>
      </c>
      <c r="D984" s="4" t="s">
        <v>188</v>
      </c>
      <c r="E984" s="14">
        <v>392.12479999999999</v>
      </c>
      <c r="F984" s="7">
        <v>437554</v>
      </c>
      <c r="G984" s="14">
        <v>1118.6904999999999</v>
      </c>
      <c r="H984" s="7">
        <v>1290735</v>
      </c>
      <c r="I984" s="14">
        <v>1510.8153</v>
      </c>
      <c r="J984" s="7">
        <v>1728289</v>
      </c>
    </row>
    <row r="985" spans="1:10" x14ac:dyDescent="0.2">
      <c r="A985" s="9">
        <v>45366</v>
      </c>
      <c r="B985" s="4" t="s">
        <v>222</v>
      </c>
      <c r="C985" s="8">
        <v>45352</v>
      </c>
      <c r="D985" s="4" t="s">
        <v>188</v>
      </c>
      <c r="E985" s="14">
        <v>468.00720000000001</v>
      </c>
      <c r="F985" s="7">
        <v>532271</v>
      </c>
      <c r="G985" s="14">
        <v>1283.0187000000001</v>
      </c>
      <c r="H985" s="7">
        <v>1468925</v>
      </c>
      <c r="I985" s="14">
        <v>1751.0259000000001</v>
      </c>
      <c r="J985" s="7">
        <v>2001196</v>
      </c>
    </row>
    <row r="986" spans="1:10" x14ac:dyDescent="0.2">
      <c r="A986" s="9">
        <v>45369</v>
      </c>
      <c r="B986" s="4" t="s">
        <v>225</v>
      </c>
      <c r="C986" s="8">
        <v>45352</v>
      </c>
      <c r="D986" s="4" t="s">
        <v>188</v>
      </c>
      <c r="E986" s="14">
        <v>351.03269999999998</v>
      </c>
      <c r="F986" s="7">
        <v>408240</v>
      </c>
      <c r="G986" s="14">
        <v>842.77139999999997</v>
      </c>
      <c r="H986" s="7">
        <v>985792</v>
      </c>
      <c r="I986" s="14">
        <v>1193.8041000000001</v>
      </c>
      <c r="J986" s="7">
        <v>1394032</v>
      </c>
    </row>
    <row r="987" spans="1:10" x14ac:dyDescent="0.2">
      <c r="A987" s="9">
        <v>45370</v>
      </c>
      <c r="B987" s="4" t="s">
        <v>223</v>
      </c>
      <c r="C987" s="8">
        <v>45352</v>
      </c>
      <c r="D987" s="4" t="s">
        <v>188</v>
      </c>
      <c r="E987" s="14">
        <v>377.39319999999998</v>
      </c>
      <c r="F987" s="7">
        <v>426422</v>
      </c>
      <c r="G987" s="14">
        <v>921.47640000000001</v>
      </c>
      <c r="H987" s="7">
        <v>1096518</v>
      </c>
      <c r="I987" s="14">
        <v>1298.8696</v>
      </c>
      <c r="J987" s="7">
        <v>1522940</v>
      </c>
    </row>
    <row r="988" spans="1:10" x14ac:dyDescent="0.2">
      <c r="A988" s="9">
        <v>45371</v>
      </c>
      <c r="B988" s="4" t="s">
        <v>221</v>
      </c>
      <c r="C988" s="8">
        <v>45352</v>
      </c>
      <c r="D988" s="4" t="s">
        <v>188</v>
      </c>
      <c r="E988" s="14">
        <v>447.35250000000002</v>
      </c>
      <c r="F988" s="7">
        <v>533940</v>
      </c>
      <c r="G988" s="14">
        <v>1068.8557000000001</v>
      </c>
      <c r="H988" s="7">
        <v>1301078</v>
      </c>
      <c r="I988" s="14">
        <v>1516.2082</v>
      </c>
      <c r="J988" s="7">
        <v>1835018</v>
      </c>
    </row>
    <row r="989" spans="1:10" x14ac:dyDescent="0.2">
      <c r="A989" s="9">
        <v>45372</v>
      </c>
      <c r="B989" s="4" t="s">
        <v>224</v>
      </c>
      <c r="C989" s="8">
        <v>45352</v>
      </c>
      <c r="D989" s="4" t="s">
        <v>188</v>
      </c>
      <c r="E989" s="14">
        <v>357.53890000000001</v>
      </c>
      <c r="F989" s="7">
        <v>407583</v>
      </c>
      <c r="G989" s="14">
        <v>1368.2541000000001</v>
      </c>
      <c r="H989" s="7">
        <v>1608734</v>
      </c>
      <c r="I989" s="14">
        <v>1725.7929999999999</v>
      </c>
      <c r="J989" s="7">
        <v>2016317</v>
      </c>
    </row>
    <row r="990" spans="1:10" x14ac:dyDescent="0.2">
      <c r="A990" s="9">
        <v>45373</v>
      </c>
      <c r="B990" s="4" t="s">
        <v>222</v>
      </c>
      <c r="C990" s="8">
        <v>45352</v>
      </c>
      <c r="D990" s="4" t="s">
        <v>188</v>
      </c>
      <c r="E990" s="14">
        <v>394.2525</v>
      </c>
      <c r="F990" s="7">
        <v>427569</v>
      </c>
      <c r="G990" s="14">
        <v>2174.6767</v>
      </c>
      <c r="H990" s="7">
        <v>2627161</v>
      </c>
      <c r="I990" s="14">
        <v>2568.9292</v>
      </c>
      <c r="J990" s="7">
        <v>3054730</v>
      </c>
    </row>
    <row r="991" spans="1:10" x14ac:dyDescent="0.2">
      <c r="A991" s="9">
        <v>45377</v>
      </c>
      <c r="B991" s="4" t="s">
        <v>223</v>
      </c>
      <c r="C991" s="8">
        <v>45352</v>
      </c>
      <c r="D991" s="4" t="s">
        <v>188</v>
      </c>
      <c r="E991" s="14">
        <v>376.85059999999999</v>
      </c>
      <c r="F991" s="7">
        <v>413563</v>
      </c>
      <c r="G991" s="14">
        <v>2920.8247000000001</v>
      </c>
      <c r="H991" s="7">
        <v>3489438</v>
      </c>
      <c r="I991" s="14">
        <v>3297.6752999999999</v>
      </c>
      <c r="J991" s="7">
        <v>3903001</v>
      </c>
    </row>
    <row r="992" spans="1:10" x14ac:dyDescent="0.2">
      <c r="A992" s="9">
        <v>45378</v>
      </c>
      <c r="B992" s="4" t="s">
        <v>221</v>
      </c>
      <c r="C992" s="8">
        <v>45352</v>
      </c>
      <c r="D992" s="4" t="s">
        <v>188</v>
      </c>
      <c r="E992" s="14">
        <v>440.61200000000002</v>
      </c>
      <c r="F992" s="7">
        <v>497245</v>
      </c>
      <c r="G992" s="14">
        <v>2666.9695999999999</v>
      </c>
      <c r="H992" s="7">
        <v>3253552</v>
      </c>
      <c r="I992" s="14">
        <v>3107.5816</v>
      </c>
      <c r="J992" s="7">
        <v>3750797</v>
      </c>
    </row>
    <row r="993" spans="1:10" x14ac:dyDescent="0.2">
      <c r="A993" s="9">
        <v>45379</v>
      </c>
      <c r="B993" s="4" t="s">
        <v>224</v>
      </c>
      <c r="C993" s="8">
        <v>45352</v>
      </c>
      <c r="D993" s="4" t="s">
        <v>188</v>
      </c>
      <c r="E993" s="14">
        <v>651.12519999999995</v>
      </c>
      <c r="F993" s="7">
        <v>662927</v>
      </c>
      <c r="G993" s="14">
        <v>2847.7705000000001</v>
      </c>
      <c r="H993" s="7">
        <v>3371374</v>
      </c>
      <c r="I993" s="14">
        <v>3498.8957</v>
      </c>
      <c r="J993" s="7">
        <v>4034301</v>
      </c>
    </row>
    <row r="994" spans="1:10" x14ac:dyDescent="0.2">
      <c r="A994" s="9">
        <v>45383</v>
      </c>
      <c r="B994" s="4" t="s">
        <v>225</v>
      </c>
      <c r="C994" s="8">
        <v>45383</v>
      </c>
      <c r="D994" s="4" t="s">
        <v>189</v>
      </c>
      <c r="E994" s="14">
        <v>430.50990000000002</v>
      </c>
      <c r="F994" s="7">
        <v>492732</v>
      </c>
      <c r="G994" s="14">
        <v>973.25189999999998</v>
      </c>
      <c r="H994" s="7">
        <v>1079365</v>
      </c>
      <c r="I994" s="14">
        <v>1403.7618</v>
      </c>
      <c r="J994" s="7">
        <v>1572097</v>
      </c>
    </row>
    <row r="995" spans="1:10" x14ac:dyDescent="0.2">
      <c r="A995" s="9">
        <v>45384</v>
      </c>
      <c r="B995" s="4" t="s">
        <v>223</v>
      </c>
      <c r="C995" s="8">
        <v>45383</v>
      </c>
      <c r="D995" s="4" t="s">
        <v>189</v>
      </c>
      <c r="E995" s="14">
        <v>196.4999</v>
      </c>
      <c r="F995" s="7">
        <v>220846</v>
      </c>
      <c r="G995" s="14">
        <v>1096.4934000000001</v>
      </c>
      <c r="H995" s="7">
        <v>1232455</v>
      </c>
      <c r="I995" s="14">
        <v>1292.9933000000001</v>
      </c>
      <c r="J995" s="7">
        <v>1453301</v>
      </c>
    </row>
    <row r="996" spans="1:10" x14ac:dyDescent="0.2">
      <c r="A996" s="9">
        <v>45385</v>
      </c>
      <c r="B996" s="4" t="s">
        <v>221</v>
      </c>
      <c r="C996" s="8">
        <v>45383</v>
      </c>
      <c r="D996" s="4" t="s">
        <v>189</v>
      </c>
      <c r="E996" s="14">
        <v>257.45870000000002</v>
      </c>
      <c r="F996" s="7">
        <v>280609</v>
      </c>
      <c r="G996" s="14">
        <v>1079.6142</v>
      </c>
      <c r="H996" s="7">
        <v>1214564</v>
      </c>
      <c r="I996" s="14">
        <v>1337.0728999999999</v>
      </c>
      <c r="J996" s="7">
        <v>1495173</v>
      </c>
    </row>
    <row r="997" spans="1:10" x14ac:dyDescent="0.2">
      <c r="A997" s="9">
        <v>45386</v>
      </c>
      <c r="B997" s="4" t="s">
        <v>224</v>
      </c>
      <c r="C997" s="8">
        <v>45383</v>
      </c>
      <c r="D997" s="4" t="s">
        <v>189</v>
      </c>
      <c r="E997" s="14">
        <v>414.7432</v>
      </c>
      <c r="F997" s="7">
        <v>438878</v>
      </c>
      <c r="G997" s="14">
        <v>1215.5536</v>
      </c>
      <c r="H997" s="7">
        <v>1411142</v>
      </c>
      <c r="I997" s="14">
        <v>1630.2968000000001</v>
      </c>
      <c r="J997" s="7">
        <v>1850020</v>
      </c>
    </row>
    <row r="998" spans="1:10" x14ac:dyDescent="0.2">
      <c r="A998" s="9">
        <v>45387</v>
      </c>
      <c r="B998" s="4" t="s">
        <v>222</v>
      </c>
      <c r="C998" s="8">
        <v>45383</v>
      </c>
      <c r="D998" s="4" t="s">
        <v>189</v>
      </c>
      <c r="E998" s="14">
        <v>239.63939999999999</v>
      </c>
      <c r="F998" s="7">
        <v>275945</v>
      </c>
      <c r="G998" s="14">
        <v>939.77620000000002</v>
      </c>
      <c r="H998" s="7">
        <v>1097247</v>
      </c>
      <c r="I998" s="14">
        <v>1179.4156</v>
      </c>
      <c r="J998" s="7">
        <v>1373192</v>
      </c>
    </row>
    <row r="999" spans="1:10" x14ac:dyDescent="0.2">
      <c r="A999" s="9">
        <v>45390</v>
      </c>
      <c r="B999" s="4" t="s">
        <v>225</v>
      </c>
      <c r="C999" s="8">
        <v>45383</v>
      </c>
      <c r="D999" s="4" t="s">
        <v>189</v>
      </c>
      <c r="E999" s="14">
        <v>229.68960000000001</v>
      </c>
      <c r="F999" s="7">
        <v>242770</v>
      </c>
      <c r="G999" s="14">
        <v>1026.5985000000001</v>
      </c>
      <c r="H999" s="7">
        <v>1166398</v>
      </c>
      <c r="I999" s="14">
        <v>1256.2881</v>
      </c>
      <c r="J999" s="7">
        <v>1409168</v>
      </c>
    </row>
    <row r="1000" spans="1:10" x14ac:dyDescent="0.2">
      <c r="A1000" s="9">
        <v>45391</v>
      </c>
      <c r="B1000" s="4" t="s">
        <v>223</v>
      </c>
      <c r="C1000" s="8">
        <v>45383</v>
      </c>
      <c r="D1000" s="4" t="s">
        <v>189</v>
      </c>
      <c r="E1000" s="14">
        <v>254.94630000000001</v>
      </c>
      <c r="F1000" s="7">
        <v>276707</v>
      </c>
      <c r="G1000" s="14">
        <v>1092.4348</v>
      </c>
      <c r="H1000" s="7">
        <v>1206349</v>
      </c>
      <c r="I1000" s="14">
        <v>1347.3811000000001</v>
      </c>
      <c r="J1000" s="7">
        <v>1483056</v>
      </c>
    </row>
    <row r="1001" spans="1:10" x14ac:dyDescent="0.2">
      <c r="A1001" s="9">
        <v>45392</v>
      </c>
      <c r="B1001" s="4" t="s">
        <v>221</v>
      </c>
      <c r="C1001" s="8">
        <v>45383</v>
      </c>
      <c r="D1001" s="4" t="s">
        <v>189</v>
      </c>
      <c r="E1001" s="14">
        <v>210.0215</v>
      </c>
      <c r="F1001" s="7">
        <v>235491</v>
      </c>
      <c r="G1001" s="14">
        <v>1203.6101000000001</v>
      </c>
      <c r="H1001" s="7">
        <v>1364387</v>
      </c>
      <c r="I1001" s="14">
        <v>1413.6315999999999</v>
      </c>
      <c r="J1001" s="7">
        <v>1599878</v>
      </c>
    </row>
    <row r="1002" spans="1:10" x14ac:dyDescent="0.2">
      <c r="A1002" s="9">
        <v>45394</v>
      </c>
      <c r="B1002" s="4" t="s">
        <v>222</v>
      </c>
      <c r="C1002" s="8">
        <v>45383</v>
      </c>
      <c r="D1002" s="4" t="s">
        <v>189</v>
      </c>
      <c r="E1002" s="14">
        <v>322.11219999999997</v>
      </c>
      <c r="F1002" s="7">
        <v>332805</v>
      </c>
      <c r="G1002" s="14">
        <v>1209.8545999999999</v>
      </c>
      <c r="H1002" s="7">
        <v>1382598</v>
      </c>
      <c r="I1002" s="14">
        <v>1531.9667999999999</v>
      </c>
      <c r="J1002" s="7">
        <v>1715403</v>
      </c>
    </row>
    <row r="1003" spans="1:10" x14ac:dyDescent="0.2">
      <c r="A1003" s="9">
        <v>45397</v>
      </c>
      <c r="B1003" s="4" t="s">
        <v>225</v>
      </c>
      <c r="C1003" s="8">
        <v>45383</v>
      </c>
      <c r="D1003" s="4" t="s">
        <v>189</v>
      </c>
      <c r="E1003" s="14">
        <v>374.7962</v>
      </c>
      <c r="F1003" s="7">
        <v>401323</v>
      </c>
      <c r="G1003" s="14">
        <v>1333.164</v>
      </c>
      <c r="H1003" s="7">
        <v>1498364</v>
      </c>
      <c r="I1003" s="14">
        <v>1707.9602</v>
      </c>
      <c r="J1003" s="7">
        <v>1899687</v>
      </c>
    </row>
    <row r="1004" spans="1:10" x14ac:dyDescent="0.2">
      <c r="A1004" s="9">
        <v>45398</v>
      </c>
      <c r="B1004" s="4" t="s">
        <v>223</v>
      </c>
      <c r="C1004" s="8">
        <v>45383</v>
      </c>
      <c r="D1004" s="4" t="s">
        <v>189</v>
      </c>
      <c r="E1004" s="14">
        <v>313.23540000000003</v>
      </c>
      <c r="F1004" s="7">
        <v>336291</v>
      </c>
      <c r="G1004" s="14">
        <v>1152.0664999999999</v>
      </c>
      <c r="H1004" s="7">
        <v>1309504</v>
      </c>
      <c r="I1004" s="14">
        <v>1465.3018999999999</v>
      </c>
      <c r="J1004" s="7">
        <v>1645795</v>
      </c>
    </row>
    <row r="1005" spans="1:10" x14ac:dyDescent="0.2">
      <c r="A1005" s="9">
        <v>45400</v>
      </c>
      <c r="B1005" s="4" t="s">
        <v>224</v>
      </c>
      <c r="C1005" s="8">
        <v>45383</v>
      </c>
      <c r="D1005" s="4" t="s">
        <v>189</v>
      </c>
      <c r="E1005" s="14">
        <v>535.21510000000001</v>
      </c>
      <c r="F1005" s="7">
        <v>562910</v>
      </c>
      <c r="G1005" s="14">
        <v>1712.0862999999999</v>
      </c>
      <c r="H1005" s="7">
        <v>1958463</v>
      </c>
      <c r="I1005" s="14">
        <v>2247.3013999999998</v>
      </c>
      <c r="J1005" s="7">
        <v>2521373</v>
      </c>
    </row>
    <row r="1006" spans="1:10" x14ac:dyDescent="0.2">
      <c r="A1006" s="9">
        <v>45401</v>
      </c>
      <c r="B1006" s="4" t="s">
        <v>222</v>
      </c>
      <c r="C1006" s="8">
        <v>45383</v>
      </c>
      <c r="D1006" s="4" t="s">
        <v>189</v>
      </c>
      <c r="E1006" s="14">
        <v>516.84059999999999</v>
      </c>
      <c r="F1006" s="7">
        <v>558903</v>
      </c>
      <c r="G1006" s="14">
        <v>1648.2782</v>
      </c>
      <c r="H1006" s="7">
        <v>1945949</v>
      </c>
      <c r="I1006" s="14">
        <v>2165.1188000000002</v>
      </c>
      <c r="J1006" s="7">
        <v>2504852</v>
      </c>
    </row>
    <row r="1007" spans="1:10" x14ac:dyDescent="0.2">
      <c r="A1007" s="9">
        <v>45404</v>
      </c>
      <c r="B1007" s="4" t="s">
        <v>225</v>
      </c>
      <c r="C1007" s="8">
        <v>45383</v>
      </c>
      <c r="D1007" s="4" t="s">
        <v>189</v>
      </c>
      <c r="E1007" s="14">
        <v>358.17630000000003</v>
      </c>
      <c r="F1007" s="7">
        <v>401212</v>
      </c>
      <c r="G1007" s="14">
        <v>2734.2482</v>
      </c>
      <c r="H1007" s="7">
        <v>3156887</v>
      </c>
      <c r="I1007" s="14">
        <v>3092.4245000000001</v>
      </c>
      <c r="J1007" s="7">
        <v>3558099</v>
      </c>
    </row>
    <row r="1008" spans="1:10" x14ac:dyDescent="0.2">
      <c r="A1008" s="9">
        <v>45405</v>
      </c>
      <c r="B1008" s="4" t="s">
        <v>223</v>
      </c>
      <c r="C1008" s="8">
        <v>45383</v>
      </c>
      <c r="D1008" s="4" t="s">
        <v>189</v>
      </c>
      <c r="E1008" s="14">
        <v>315.1542</v>
      </c>
      <c r="F1008" s="7">
        <v>340569</v>
      </c>
      <c r="G1008" s="14">
        <v>2858.5295000000001</v>
      </c>
      <c r="H1008" s="7">
        <v>3323633</v>
      </c>
      <c r="I1008" s="14">
        <v>3173.6837</v>
      </c>
      <c r="J1008" s="7">
        <v>3664202</v>
      </c>
    </row>
    <row r="1009" spans="1:10" x14ac:dyDescent="0.2">
      <c r="A1009" s="9">
        <v>45406</v>
      </c>
      <c r="B1009" s="4" t="s">
        <v>221</v>
      </c>
      <c r="C1009" s="8">
        <v>45383</v>
      </c>
      <c r="D1009" s="4" t="s">
        <v>189</v>
      </c>
      <c r="E1009" s="14">
        <v>395.07619999999997</v>
      </c>
      <c r="F1009" s="7">
        <v>427954</v>
      </c>
      <c r="G1009" s="14">
        <v>2835.4929000000002</v>
      </c>
      <c r="H1009" s="7">
        <v>3268470</v>
      </c>
      <c r="I1009" s="14">
        <v>3230.5691000000002</v>
      </c>
      <c r="J1009" s="7">
        <v>3696424</v>
      </c>
    </row>
    <row r="1010" spans="1:10" x14ac:dyDescent="0.2">
      <c r="A1010" s="9">
        <v>45407</v>
      </c>
      <c r="B1010" s="4" t="s">
        <v>224</v>
      </c>
      <c r="C1010" s="8">
        <v>45383</v>
      </c>
      <c r="D1010" s="4" t="s">
        <v>189</v>
      </c>
      <c r="E1010" s="14">
        <v>623.87739999999997</v>
      </c>
      <c r="F1010" s="7">
        <v>616113</v>
      </c>
      <c r="G1010" s="14">
        <v>3524.7649999999999</v>
      </c>
      <c r="H1010" s="7">
        <v>4107816</v>
      </c>
      <c r="I1010" s="14">
        <v>4148.6423999999997</v>
      </c>
      <c r="J1010" s="7">
        <v>4723929</v>
      </c>
    </row>
    <row r="1011" spans="1:10" x14ac:dyDescent="0.2">
      <c r="A1011" s="9">
        <v>45408</v>
      </c>
      <c r="B1011" s="4" t="s">
        <v>222</v>
      </c>
      <c r="C1011" s="8">
        <v>45383</v>
      </c>
      <c r="D1011" s="4" t="s">
        <v>189</v>
      </c>
      <c r="E1011" s="14">
        <v>267.22059999999999</v>
      </c>
      <c r="F1011" s="7">
        <v>423949</v>
      </c>
      <c r="G1011" s="14">
        <v>1307.0735</v>
      </c>
      <c r="H1011" s="7">
        <v>1720629</v>
      </c>
      <c r="I1011" s="14">
        <v>1574.2941000000001</v>
      </c>
      <c r="J1011" s="7">
        <v>2144578</v>
      </c>
    </row>
    <row r="1012" spans="1:10" x14ac:dyDescent="0.2">
      <c r="A1012" s="9">
        <v>45411</v>
      </c>
      <c r="B1012" s="4" t="s">
        <v>225</v>
      </c>
      <c r="C1012" s="8">
        <v>45383</v>
      </c>
      <c r="D1012" s="4" t="s">
        <v>189</v>
      </c>
      <c r="E1012" s="14">
        <v>343.14260000000002</v>
      </c>
      <c r="F1012" s="7">
        <v>520097</v>
      </c>
      <c r="G1012" s="14">
        <v>1213.8705</v>
      </c>
      <c r="H1012" s="7">
        <v>1612712</v>
      </c>
      <c r="I1012" s="14">
        <v>1557.0130999999999</v>
      </c>
      <c r="J1012" s="7">
        <v>2132809</v>
      </c>
    </row>
    <row r="1013" spans="1:10" x14ac:dyDescent="0.2">
      <c r="A1013" s="9">
        <v>45412</v>
      </c>
      <c r="B1013" s="4" t="s">
        <v>223</v>
      </c>
      <c r="C1013" s="8">
        <v>45383</v>
      </c>
      <c r="D1013" s="4" t="s">
        <v>189</v>
      </c>
      <c r="E1013" s="14">
        <v>332.28309999999999</v>
      </c>
      <c r="F1013" s="7">
        <v>500982</v>
      </c>
      <c r="G1013" s="14">
        <v>1432.3886</v>
      </c>
      <c r="H1013" s="7">
        <v>1812662</v>
      </c>
      <c r="I1013" s="14">
        <v>1764.6717000000001</v>
      </c>
      <c r="J1013" s="7">
        <v>2313644</v>
      </c>
    </row>
    <row r="1014" spans="1:10" x14ac:dyDescent="0.2">
      <c r="A1014" s="9">
        <v>45414</v>
      </c>
      <c r="B1014" s="4" t="s">
        <v>224</v>
      </c>
      <c r="C1014" s="8">
        <v>45413</v>
      </c>
      <c r="D1014" s="4" t="s">
        <v>189</v>
      </c>
      <c r="E1014" s="14">
        <v>212.60589999999999</v>
      </c>
      <c r="F1014" s="7">
        <v>334460</v>
      </c>
      <c r="G1014" s="14">
        <v>1351.7973</v>
      </c>
      <c r="H1014" s="7">
        <v>1710095</v>
      </c>
      <c r="I1014" s="14">
        <v>1564.4032</v>
      </c>
      <c r="J1014" s="7">
        <v>2044555</v>
      </c>
    </row>
    <row r="1015" spans="1:10" x14ac:dyDescent="0.2">
      <c r="A1015" s="9">
        <v>45415</v>
      </c>
      <c r="B1015" s="4" t="s">
        <v>222</v>
      </c>
      <c r="C1015" s="8">
        <v>45413</v>
      </c>
      <c r="D1015" s="4" t="s">
        <v>189</v>
      </c>
      <c r="E1015" s="14">
        <v>433.53640000000001</v>
      </c>
      <c r="F1015" s="7">
        <v>698298</v>
      </c>
      <c r="G1015" s="14">
        <v>1499.5355999999999</v>
      </c>
      <c r="H1015" s="7">
        <v>1915194</v>
      </c>
      <c r="I1015" s="14">
        <v>1933.0719999999999</v>
      </c>
      <c r="J1015" s="7">
        <v>2613492</v>
      </c>
    </row>
    <row r="1016" spans="1:10" x14ac:dyDescent="0.2">
      <c r="A1016" s="9">
        <v>45418</v>
      </c>
      <c r="B1016" s="4" t="s">
        <v>225</v>
      </c>
      <c r="C1016" s="8">
        <v>45413</v>
      </c>
      <c r="D1016" s="4" t="s">
        <v>189</v>
      </c>
      <c r="E1016" s="14">
        <v>275.69150000000002</v>
      </c>
      <c r="F1016" s="7">
        <v>434124</v>
      </c>
      <c r="G1016" s="14">
        <v>1351.3424</v>
      </c>
      <c r="H1016" s="7">
        <v>1733580</v>
      </c>
      <c r="I1016" s="14">
        <v>1627.0338999999999</v>
      </c>
      <c r="J1016" s="7">
        <v>2167704</v>
      </c>
    </row>
    <row r="1017" spans="1:10" x14ac:dyDescent="0.2">
      <c r="A1017" s="9">
        <v>45419</v>
      </c>
      <c r="B1017" s="4" t="s">
        <v>223</v>
      </c>
      <c r="C1017" s="8">
        <v>45413</v>
      </c>
      <c r="D1017" s="4" t="s">
        <v>189</v>
      </c>
      <c r="E1017" s="14">
        <v>338.07</v>
      </c>
      <c r="F1017" s="7">
        <v>535034</v>
      </c>
      <c r="G1017" s="14">
        <v>1249.0567000000001</v>
      </c>
      <c r="H1017" s="7">
        <v>1658968</v>
      </c>
      <c r="I1017" s="14">
        <v>1587.1267</v>
      </c>
      <c r="J1017" s="7">
        <v>2194002</v>
      </c>
    </row>
    <row r="1018" spans="1:10" x14ac:dyDescent="0.2">
      <c r="A1018" s="9">
        <v>45420</v>
      </c>
      <c r="B1018" s="4" t="s">
        <v>221</v>
      </c>
      <c r="C1018" s="8">
        <v>45413</v>
      </c>
      <c r="D1018" s="4" t="s">
        <v>189</v>
      </c>
      <c r="E1018" s="14">
        <v>324.2328</v>
      </c>
      <c r="F1018" s="7">
        <v>522745</v>
      </c>
      <c r="G1018" s="14">
        <v>1198.2211</v>
      </c>
      <c r="H1018" s="7">
        <v>1589285</v>
      </c>
      <c r="I1018" s="14">
        <v>1522.4539</v>
      </c>
      <c r="J1018" s="7">
        <v>2112030</v>
      </c>
    </row>
    <row r="1019" spans="1:10" x14ac:dyDescent="0.2">
      <c r="A1019" s="9">
        <v>45421</v>
      </c>
      <c r="B1019" s="4" t="s">
        <v>224</v>
      </c>
      <c r="C1019" s="8">
        <v>45413</v>
      </c>
      <c r="D1019" s="4" t="s">
        <v>189</v>
      </c>
      <c r="E1019" s="14">
        <v>443.64190000000002</v>
      </c>
      <c r="F1019" s="7">
        <v>736650</v>
      </c>
      <c r="G1019" s="14">
        <v>1397.4423999999999</v>
      </c>
      <c r="H1019" s="7">
        <v>1923165</v>
      </c>
      <c r="I1019" s="14">
        <v>1841.0843</v>
      </c>
      <c r="J1019" s="7">
        <v>2659815</v>
      </c>
    </row>
    <row r="1020" spans="1:10" x14ac:dyDescent="0.2">
      <c r="A1020" s="9">
        <v>45422</v>
      </c>
      <c r="B1020" s="4" t="s">
        <v>222</v>
      </c>
      <c r="C1020" s="8">
        <v>45413</v>
      </c>
      <c r="D1020" s="4" t="s">
        <v>189</v>
      </c>
      <c r="E1020" s="14">
        <v>298.63229999999999</v>
      </c>
      <c r="F1020" s="7">
        <v>489426</v>
      </c>
      <c r="G1020" s="14">
        <v>1042.5423000000001</v>
      </c>
      <c r="H1020" s="7">
        <v>1421053</v>
      </c>
      <c r="I1020" s="14">
        <v>1341.1746000000001</v>
      </c>
      <c r="J1020" s="7">
        <v>1910479</v>
      </c>
    </row>
    <row r="1021" spans="1:10" x14ac:dyDescent="0.2">
      <c r="A1021" s="9">
        <v>45425</v>
      </c>
      <c r="B1021" s="4" t="s">
        <v>225</v>
      </c>
      <c r="C1021" s="8">
        <v>45413</v>
      </c>
      <c r="D1021" s="4" t="s">
        <v>189</v>
      </c>
      <c r="E1021" s="14">
        <v>399.27280000000002</v>
      </c>
      <c r="F1021" s="7">
        <v>648303</v>
      </c>
      <c r="G1021" s="14">
        <v>1200.4773</v>
      </c>
      <c r="H1021" s="7">
        <v>1563535</v>
      </c>
      <c r="I1021" s="14">
        <v>1599.7501</v>
      </c>
      <c r="J1021" s="7">
        <v>2211838</v>
      </c>
    </row>
    <row r="1022" spans="1:10" x14ac:dyDescent="0.2">
      <c r="A1022" s="9">
        <v>45426</v>
      </c>
      <c r="B1022" s="4" t="s">
        <v>223</v>
      </c>
      <c r="C1022" s="8">
        <v>45413</v>
      </c>
      <c r="D1022" s="4" t="s">
        <v>189</v>
      </c>
      <c r="E1022" s="14">
        <v>292.60359999999997</v>
      </c>
      <c r="F1022" s="7">
        <v>480484</v>
      </c>
      <c r="G1022" s="14">
        <v>1051.4028000000001</v>
      </c>
      <c r="H1022" s="7">
        <v>1371012</v>
      </c>
      <c r="I1022" s="14">
        <v>1344.0064</v>
      </c>
      <c r="J1022" s="7">
        <v>1851496</v>
      </c>
    </row>
    <row r="1023" spans="1:10" x14ac:dyDescent="0.2">
      <c r="A1023" s="9">
        <v>45427</v>
      </c>
      <c r="B1023" s="4" t="s">
        <v>221</v>
      </c>
      <c r="C1023" s="8">
        <v>45413</v>
      </c>
      <c r="D1023" s="4" t="s">
        <v>189</v>
      </c>
      <c r="E1023" s="14">
        <v>257.27760000000001</v>
      </c>
      <c r="F1023" s="7">
        <v>414082</v>
      </c>
      <c r="G1023" s="14">
        <v>1081.3179</v>
      </c>
      <c r="H1023" s="7">
        <v>1369442</v>
      </c>
      <c r="I1023" s="14">
        <v>1338.5954999999999</v>
      </c>
      <c r="J1023" s="7">
        <v>1783524</v>
      </c>
    </row>
    <row r="1024" spans="1:10" x14ac:dyDescent="0.2">
      <c r="A1024" s="9">
        <v>45428</v>
      </c>
      <c r="B1024" s="4" t="s">
        <v>224</v>
      </c>
      <c r="C1024" s="8">
        <v>45413</v>
      </c>
      <c r="D1024" s="4" t="s">
        <v>189</v>
      </c>
      <c r="E1024" s="14">
        <v>554.64080000000001</v>
      </c>
      <c r="F1024" s="7">
        <v>913088</v>
      </c>
      <c r="G1024" s="14">
        <v>1451.38</v>
      </c>
      <c r="H1024" s="7">
        <v>1864327</v>
      </c>
      <c r="I1024" s="14">
        <v>2006.0208</v>
      </c>
      <c r="J1024" s="7">
        <v>2777415</v>
      </c>
    </row>
    <row r="1025" spans="1:10" x14ac:dyDescent="0.2">
      <c r="A1025" s="9">
        <v>45429</v>
      </c>
      <c r="B1025" s="4" t="s">
        <v>222</v>
      </c>
      <c r="C1025" s="8">
        <v>45413</v>
      </c>
      <c r="D1025" s="4" t="s">
        <v>189</v>
      </c>
      <c r="E1025" s="14">
        <v>247.78579999999999</v>
      </c>
      <c r="F1025" s="7">
        <v>397135</v>
      </c>
      <c r="G1025" s="14">
        <v>1140.2389000000001</v>
      </c>
      <c r="H1025" s="7">
        <v>1418406</v>
      </c>
      <c r="I1025" s="14">
        <v>1388.0246999999999</v>
      </c>
      <c r="J1025" s="7">
        <v>1815541</v>
      </c>
    </row>
    <row r="1026" spans="1:10" x14ac:dyDescent="0.2">
      <c r="A1026" s="9">
        <v>45430</v>
      </c>
      <c r="B1026" s="4" t="s">
        <v>226</v>
      </c>
      <c r="C1026" s="8">
        <v>45413</v>
      </c>
      <c r="D1026" s="4" t="s">
        <v>189</v>
      </c>
      <c r="E1026" s="14">
        <v>37.251199999999997</v>
      </c>
      <c r="F1026" s="7">
        <v>60049</v>
      </c>
      <c r="G1026" s="14">
        <v>216.41159999999999</v>
      </c>
      <c r="H1026" s="7">
        <v>253648</v>
      </c>
      <c r="I1026" s="14">
        <v>253.6628</v>
      </c>
      <c r="J1026" s="7">
        <v>313697</v>
      </c>
    </row>
    <row r="1027" spans="1:10" x14ac:dyDescent="0.2">
      <c r="A1027" s="9">
        <v>45433</v>
      </c>
      <c r="B1027" s="4" t="s">
        <v>223</v>
      </c>
      <c r="C1027" s="8">
        <v>45413</v>
      </c>
      <c r="D1027" s="4" t="s">
        <v>189</v>
      </c>
      <c r="E1027" s="14">
        <v>245.55860000000001</v>
      </c>
      <c r="F1027" s="7">
        <v>388357</v>
      </c>
      <c r="G1027" s="14">
        <v>1284.934</v>
      </c>
      <c r="H1027" s="7">
        <v>1603488</v>
      </c>
      <c r="I1027" s="14">
        <v>1530.4926</v>
      </c>
      <c r="J1027" s="7">
        <v>1991845</v>
      </c>
    </row>
    <row r="1028" spans="1:10" x14ac:dyDescent="0.2">
      <c r="A1028" s="9">
        <v>45434</v>
      </c>
      <c r="B1028" s="4" t="s">
        <v>221</v>
      </c>
      <c r="C1028" s="8">
        <v>45413</v>
      </c>
      <c r="D1028" s="4" t="s">
        <v>189</v>
      </c>
      <c r="E1028" s="14">
        <v>316.04450000000003</v>
      </c>
      <c r="F1028" s="7">
        <v>477275</v>
      </c>
      <c r="G1028" s="14">
        <v>1368.9029</v>
      </c>
      <c r="H1028" s="7">
        <v>1722926</v>
      </c>
      <c r="I1028" s="14">
        <v>1684.9474</v>
      </c>
      <c r="J1028" s="7">
        <v>2200201</v>
      </c>
    </row>
    <row r="1029" spans="1:10" x14ac:dyDescent="0.2">
      <c r="A1029" s="9">
        <v>45435</v>
      </c>
      <c r="B1029" s="4" t="s">
        <v>224</v>
      </c>
      <c r="C1029" s="8">
        <v>45413</v>
      </c>
      <c r="D1029" s="4" t="s">
        <v>189</v>
      </c>
      <c r="E1029" s="14">
        <v>529.4873</v>
      </c>
      <c r="F1029" s="7">
        <v>839160</v>
      </c>
      <c r="G1029" s="14">
        <v>1691.8675000000001</v>
      </c>
      <c r="H1029" s="7">
        <v>2192372</v>
      </c>
      <c r="I1029" s="14">
        <v>2221.3548000000001</v>
      </c>
      <c r="J1029" s="7">
        <v>3031532</v>
      </c>
    </row>
    <row r="1030" spans="1:10" x14ac:dyDescent="0.2">
      <c r="A1030" s="9">
        <v>45436</v>
      </c>
      <c r="B1030" s="4" t="s">
        <v>222</v>
      </c>
      <c r="C1030" s="8">
        <v>45413</v>
      </c>
      <c r="D1030" s="4" t="s">
        <v>189</v>
      </c>
      <c r="E1030" s="14">
        <v>344.95699999999999</v>
      </c>
      <c r="F1030" s="7">
        <v>527640</v>
      </c>
      <c r="G1030" s="14">
        <v>1796.1949999999999</v>
      </c>
      <c r="H1030" s="7">
        <v>2225340</v>
      </c>
      <c r="I1030" s="14">
        <v>2141.152</v>
      </c>
      <c r="J1030" s="7">
        <v>2752980</v>
      </c>
    </row>
    <row r="1031" spans="1:10" x14ac:dyDescent="0.2">
      <c r="A1031" s="9">
        <v>45439</v>
      </c>
      <c r="B1031" s="4" t="s">
        <v>225</v>
      </c>
      <c r="C1031" s="8">
        <v>45413</v>
      </c>
      <c r="D1031" s="4" t="s">
        <v>189</v>
      </c>
      <c r="E1031" s="14">
        <v>445.49689999999998</v>
      </c>
      <c r="F1031" s="7">
        <v>675852</v>
      </c>
      <c r="G1031" s="14">
        <v>3135.6541000000002</v>
      </c>
      <c r="H1031" s="7">
        <v>4028799</v>
      </c>
      <c r="I1031" s="14">
        <v>3581.1509999999998</v>
      </c>
      <c r="J1031" s="7">
        <v>4704651</v>
      </c>
    </row>
    <row r="1032" spans="1:10" x14ac:dyDescent="0.2">
      <c r="A1032" s="9">
        <v>45440</v>
      </c>
      <c r="B1032" s="4" t="s">
        <v>223</v>
      </c>
      <c r="C1032" s="8">
        <v>45413</v>
      </c>
      <c r="D1032" s="4" t="s">
        <v>189</v>
      </c>
      <c r="E1032" s="14">
        <v>371.18779999999998</v>
      </c>
      <c r="F1032" s="7">
        <v>576516</v>
      </c>
      <c r="G1032" s="14">
        <v>3021.6134999999999</v>
      </c>
      <c r="H1032" s="7">
        <v>3877862</v>
      </c>
      <c r="I1032" s="14">
        <v>3392.8013000000001</v>
      </c>
      <c r="J1032" s="7">
        <v>4454378</v>
      </c>
    </row>
    <row r="1033" spans="1:10" x14ac:dyDescent="0.2">
      <c r="A1033" s="9">
        <v>45441</v>
      </c>
      <c r="B1033" s="4" t="s">
        <v>221</v>
      </c>
      <c r="C1033" s="8">
        <v>45413</v>
      </c>
      <c r="D1033" s="4" t="s">
        <v>189</v>
      </c>
      <c r="E1033" s="14">
        <v>588.97239999999999</v>
      </c>
      <c r="F1033" s="7">
        <v>918992</v>
      </c>
      <c r="G1033" s="14">
        <v>2736.2991000000002</v>
      </c>
      <c r="H1033" s="7">
        <v>3543253</v>
      </c>
      <c r="I1033" s="14">
        <v>3325.2714999999998</v>
      </c>
      <c r="J1033" s="7">
        <v>4462245</v>
      </c>
    </row>
    <row r="1034" spans="1:10" x14ac:dyDescent="0.2">
      <c r="A1034" s="9">
        <v>45442</v>
      </c>
      <c r="B1034" s="4" t="s">
        <v>224</v>
      </c>
      <c r="C1034" s="8">
        <v>45413</v>
      </c>
      <c r="D1034" s="4" t="s">
        <v>189</v>
      </c>
      <c r="E1034" s="14">
        <v>612.01829999999995</v>
      </c>
      <c r="F1034" s="7">
        <v>1000876</v>
      </c>
      <c r="G1034" s="14">
        <v>2982.413</v>
      </c>
      <c r="H1034" s="7">
        <v>3939189</v>
      </c>
      <c r="I1034" s="14">
        <v>3594.4313000000002</v>
      </c>
      <c r="J1034" s="7">
        <v>4940065</v>
      </c>
    </row>
    <row r="1035" spans="1:10" x14ac:dyDescent="0.2">
      <c r="A1035" s="9">
        <v>45443</v>
      </c>
      <c r="B1035" s="4" t="s">
        <v>222</v>
      </c>
      <c r="C1035" s="8">
        <v>45413</v>
      </c>
      <c r="D1035" s="4" t="s">
        <v>189</v>
      </c>
      <c r="E1035" s="14">
        <v>497.55770000000001</v>
      </c>
      <c r="F1035" s="7">
        <v>799096</v>
      </c>
      <c r="G1035" s="14">
        <v>1395.2535</v>
      </c>
      <c r="H1035" s="7">
        <v>1805200</v>
      </c>
      <c r="I1035" s="14">
        <v>1892.8112000000001</v>
      </c>
      <c r="J1035" s="7">
        <v>2604296</v>
      </c>
    </row>
    <row r="1036" spans="1:10" x14ac:dyDescent="0.2">
      <c r="A1036" s="9">
        <v>45446</v>
      </c>
      <c r="B1036" s="4" t="s">
        <v>225</v>
      </c>
      <c r="C1036" s="8">
        <v>45444</v>
      </c>
      <c r="D1036" s="4" t="s">
        <v>189</v>
      </c>
      <c r="E1036" s="14">
        <v>616.02819999999997</v>
      </c>
      <c r="F1036" s="7">
        <v>945517</v>
      </c>
      <c r="G1036" s="14">
        <v>1927.3912</v>
      </c>
      <c r="H1036" s="7">
        <v>2358400</v>
      </c>
      <c r="I1036" s="14">
        <v>2543.4194000000002</v>
      </c>
      <c r="J1036" s="7">
        <v>3303917</v>
      </c>
    </row>
    <row r="1037" spans="1:10" x14ac:dyDescent="0.2">
      <c r="A1037" s="9">
        <v>45447</v>
      </c>
      <c r="B1037" s="4" t="s">
        <v>223</v>
      </c>
      <c r="C1037" s="8">
        <v>45444</v>
      </c>
      <c r="D1037" s="4" t="s">
        <v>189</v>
      </c>
      <c r="E1037" s="14">
        <v>1570.3606</v>
      </c>
      <c r="F1037" s="7">
        <v>2560595</v>
      </c>
      <c r="G1037" s="14">
        <v>3128.9928</v>
      </c>
      <c r="H1037" s="7">
        <v>4132844</v>
      </c>
      <c r="I1037" s="14">
        <v>4699.3534</v>
      </c>
      <c r="J1037" s="7">
        <v>6693439</v>
      </c>
    </row>
    <row r="1038" spans="1:10" x14ac:dyDescent="0.2">
      <c r="A1038" s="9">
        <v>45448</v>
      </c>
      <c r="B1038" s="4" t="s">
        <v>221</v>
      </c>
      <c r="C1038" s="8">
        <v>45444</v>
      </c>
      <c r="D1038" s="4" t="s">
        <v>189</v>
      </c>
      <c r="E1038" s="14">
        <v>916.9615</v>
      </c>
      <c r="F1038" s="7">
        <v>1459090</v>
      </c>
      <c r="G1038" s="14">
        <v>2107.7143000000001</v>
      </c>
      <c r="H1038" s="7">
        <v>2817541</v>
      </c>
      <c r="I1038" s="14">
        <v>3024.6758</v>
      </c>
      <c r="J1038" s="7">
        <v>4276631</v>
      </c>
    </row>
    <row r="1039" spans="1:10" x14ac:dyDescent="0.2">
      <c r="A1039" s="9">
        <v>45449</v>
      </c>
      <c r="B1039" s="4" t="s">
        <v>224</v>
      </c>
      <c r="C1039" s="8">
        <v>45444</v>
      </c>
      <c r="D1039" s="4" t="s">
        <v>189</v>
      </c>
      <c r="E1039" s="14">
        <v>585.34500000000003</v>
      </c>
      <c r="F1039" s="7">
        <v>940452</v>
      </c>
      <c r="G1039" s="14">
        <v>1656.9983999999999</v>
      </c>
      <c r="H1039" s="7">
        <v>2118869</v>
      </c>
      <c r="I1039" s="14">
        <v>2242.3434000000002</v>
      </c>
      <c r="J1039" s="7">
        <v>3059321</v>
      </c>
    </row>
    <row r="1040" spans="1:10" x14ac:dyDescent="0.2">
      <c r="A1040" s="9">
        <v>45450</v>
      </c>
      <c r="B1040" s="4" t="s">
        <v>222</v>
      </c>
      <c r="C1040" s="8">
        <v>45444</v>
      </c>
      <c r="D1040" s="4" t="s">
        <v>189</v>
      </c>
      <c r="E1040" s="14">
        <v>526.91049999999996</v>
      </c>
      <c r="F1040" s="7">
        <v>833367</v>
      </c>
      <c r="G1040" s="14">
        <v>1434.4078</v>
      </c>
      <c r="H1040" s="7">
        <v>1845549</v>
      </c>
      <c r="I1040" s="14">
        <v>1961.3182999999999</v>
      </c>
      <c r="J1040" s="7">
        <v>2678916</v>
      </c>
    </row>
    <row r="1041" spans="1:10" x14ac:dyDescent="0.2">
      <c r="A1041" s="9">
        <v>45453</v>
      </c>
      <c r="B1041" s="4" t="s">
        <v>225</v>
      </c>
      <c r="C1041" s="8">
        <v>45444</v>
      </c>
      <c r="D1041" s="4" t="s">
        <v>189</v>
      </c>
      <c r="E1041" s="14">
        <v>367.87279999999998</v>
      </c>
      <c r="F1041" s="7">
        <v>564852</v>
      </c>
      <c r="G1041" s="14">
        <v>1229.2762</v>
      </c>
      <c r="H1041" s="7">
        <v>1542959</v>
      </c>
      <c r="I1041" s="14">
        <v>1597.1489999999999</v>
      </c>
      <c r="J1041" s="7">
        <v>2107811</v>
      </c>
    </row>
    <row r="1042" spans="1:10" x14ac:dyDescent="0.2">
      <c r="A1042" s="9">
        <v>45454</v>
      </c>
      <c r="B1042" s="4" t="s">
        <v>223</v>
      </c>
      <c r="C1042" s="8">
        <v>45444</v>
      </c>
      <c r="D1042" s="4" t="s">
        <v>189</v>
      </c>
      <c r="E1042" s="14">
        <v>289.23009999999999</v>
      </c>
      <c r="F1042" s="7">
        <v>442795</v>
      </c>
      <c r="G1042" s="14">
        <v>1049.6967999999999</v>
      </c>
      <c r="H1042" s="7">
        <v>1285193</v>
      </c>
      <c r="I1042" s="14">
        <v>1338.9268999999999</v>
      </c>
      <c r="J1042" s="7">
        <v>1727988</v>
      </c>
    </row>
    <row r="1043" spans="1:10" x14ac:dyDescent="0.2">
      <c r="A1043" s="9">
        <v>45455</v>
      </c>
      <c r="B1043" s="4" t="s">
        <v>221</v>
      </c>
      <c r="C1043" s="8">
        <v>45444</v>
      </c>
      <c r="D1043" s="4" t="s">
        <v>189</v>
      </c>
      <c r="E1043" s="14">
        <v>341.2527</v>
      </c>
      <c r="F1043" s="7">
        <v>518437</v>
      </c>
      <c r="G1043" s="14">
        <v>1132.0700999999999</v>
      </c>
      <c r="H1043" s="7">
        <v>1406749</v>
      </c>
      <c r="I1043" s="14">
        <v>1473.3227999999999</v>
      </c>
      <c r="J1043" s="7">
        <v>1925186</v>
      </c>
    </row>
    <row r="1044" spans="1:10" x14ac:dyDescent="0.2">
      <c r="A1044" s="9">
        <v>45456</v>
      </c>
      <c r="B1044" s="4" t="s">
        <v>224</v>
      </c>
      <c r="C1044" s="8">
        <v>45444</v>
      </c>
      <c r="D1044" s="4" t="s">
        <v>189</v>
      </c>
      <c r="E1044" s="14">
        <v>224.5848</v>
      </c>
      <c r="F1044" s="7">
        <v>350124</v>
      </c>
      <c r="G1044" s="14">
        <v>1123.9241</v>
      </c>
      <c r="H1044" s="7">
        <v>1368164</v>
      </c>
      <c r="I1044" s="14">
        <v>1348.5089</v>
      </c>
      <c r="J1044" s="7">
        <v>1718288</v>
      </c>
    </row>
    <row r="1045" spans="1:10" x14ac:dyDescent="0.2">
      <c r="A1045" s="9">
        <v>45457</v>
      </c>
      <c r="B1045" s="4" t="s">
        <v>222</v>
      </c>
      <c r="C1045" s="8">
        <v>45444</v>
      </c>
      <c r="D1045" s="4" t="s">
        <v>189</v>
      </c>
      <c r="E1045" s="14">
        <v>239.08690000000001</v>
      </c>
      <c r="F1045" s="7">
        <v>365058</v>
      </c>
      <c r="G1045" s="14">
        <v>1136.442</v>
      </c>
      <c r="H1045" s="7">
        <v>1352048</v>
      </c>
      <c r="I1045" s="14">
        <v>1375.5289</v>
      </c>
      <c r="J1045" s="7">
        <v>1717106</v>
      </c>
    </row>
    <row r="1046" spans="1:10" x14ac:dyDescent="0.2">
      <c r="A1046" s="9">
        <v>45461</v>
      </c>
      <c r="B1046" s="4" t="s">
        <v>223</v>
      </c>
      <c r="C1046" s="8">
        <v>45444</v>
      </c>
      <c r="D1046" s="4" t="s">
        <v>189</v>
      </c>
      <c r="E1046" s="14">
        <v>241.26589999999999</v>
      </c>
      <c r="F1046" s="7">
        <v>361729</v>
      </c>
      <c r="G1046" s="14">
        <v>1177.7909999999999</v>
      </c>
      <c r="H1046" s="7">
        <v>1404072</v>
      </c>
      <c r="I1046" s="14">
        <v>1419.0569</v>
      </c>
      <c r="J1046" s="7">
        <v>1765801</v>
      </c>
    </row>
    <row r="1047" spans="1:10" x14ac:dyDescent="0.2">
      <c r="A1047" s="9">
        <v>45462</v>
      </c>
      <c r="B1047" s="4" t="s">
        <v>221</v>
      </c>
      <c r="C1047" s="8">
        <v>45444</v>
      </c>
      <c r="D1047" s="4" t="s">
        <v>189</v>
      </c>
      <c r="E1047" s="14">
        <v>607.64049999999997</v>
      </c>
      <c r="F1047" s="7">
        <v>876703</v>
      </c>
      <c r="G1047" s="14">
        <v>1944.624</v>
      </c>
      <c r="H1047" s="7">
        <v>2336914</v>
      </c>
      <c r="I1047" s="14">
        <v>2552.2645000000002</v>
      </c>
      <c r="J1047" s="7">
        <v>3213617</v>
      </c>
    </row>
    <row r="1048" spans="1:10" x14ac:dyDescent="0.2">
      <c r="A1048" s="9">
        <v>45463</v>
      </c>
      <c r="B1048" s="4" t="s">
        <v>224</v>
      </c>
      <c r="C1048" s="8">
        <v>45444</v>
      </c>
      <c r="D1048" s="4" t="s">
        <v>189</v>
      </c>
      <c r="E1048" s="14">
        <v>341.66140000000001</v>
      </c>
      <c r="F1048" s="7">
        <v>506250</v>
      </c>
      <c r="G1048" s="14">
        <v>1437.7059999999999</v>
      </c>
      <c r="H1048" s="7">
        <v>1794586</v>
      </c>
      <c r="I1048" s="14">
        <v>1779.3674000000001</v>
      </c>
      <c r="J1048" s="7">
        <v>2300836</v>
      </c>
    </row>
    <row r="1049" spans="1:10" x14ac:dyDescent="0.2">
      <c r="A1049" s="9">
        <v>45464</v>
      </c>
      <c r="B1049" s="4" t="s">
        <v>222</v>
      </c>
      <c r="C1049" s="8">
        <v>45444</v>
      </c>
      <c r="D1049" s="4" t="s">
        <v>189</v>
      </c>
      <c r="E1049" s="14">
        <v>435.42630000000003</v>
      </c>
      <c r="F1049" s="7">
        <v>654914</v>
      </c>
      <c r="G1049" s="14">
        <v>1955.1114</v>
      </c>
      <c r="H1049" s="7">
        <v>2529810</v>
      </c>
      <c r="I1049" s="14">
        <v>2390.5376999999999</v>
      </c>
      <c r="J1049" s="7">
        <v>3184724</v>
      </c>
    </row>
    <row r="1050" spans="1:10" x14ac:dyDescent="0.2">
      <c r="A1050" s="9">
        <v>45467</v>
      </c>
      <c r="B1050" s="4" t="s">
        <v>225</v>
      </c>
      <c r="C1050" s="8">
        <v>45444</v>
      </c>
      <c r="D1050" s="4" t="s">
        <v>189</v>
      </c>
      <c r="E1050" s="14">
        <v>475.04090000000002</v>
      </c>
      <c r="F1050" s="7">
        <v>716868</v>
      </c>
      <c r="G1050" s="14">
        <v>3000.7988</v>
      </c>
      <c r="H1050" s="7">
        <v>3854440</v>
      </c>
      <c r="I1050" s="14">
        <v>3475.8397</v>
      </c>
      <c r="J1050" s="7">
        <v>4571308</v>
      </c>
    </row>
    <row r="1051" spans="1:10" x14ac:dyDescent="0.2">
      <c r="A1051" s="9">
        <v>45468</v>
      </c>
      <c r="B1051" s="4" t="s">
        <v>223</v>
      </c>
      <c r="C1051" s="8">
        <v>45444</v>
      </c>
      <c r="D1051" s="4" t="s">
        <v>189</v>
      </c>
      <c r="E1051" s="14">
        <v>542.29349999999999</v>
      </c>
      <c r="F1051" s="7">
        <v>799560</v>
      </c>
      <c r="G1051" s="14">
        <v>3179.1570999999999</v>
      </c>
      <c r="H1051" s="7">
        <v>4048794</v>
      </c>
      <c r="I1051" s="14">
        <v>3721.4506000000001</v>
      </c>
      <c r="J1051" s="7">
        <v>4848354</v>
      </c>
    </row>
    <row r="1052" spans="1:10" x14ac:dyDescent="0.2">
      <c r="A1052" s="9">
        <v>45469</v>
      </c>
      <c r="B1052" s="4" t="s">
        <v>221</v>
      </c>
      <c r="C1052" s="8">
        <v>45444</v>
      </c>
      <c r="D1052" s="4" t="s">
        <v>189</v>
      </c>
      <c r="E1052" s="14">
        <v>537.48180000000002</v>
      </c>
      <c r="F1052" s="7">
        <v>793681</v>
      </c>
      <c r="G1052" s="14">
        <v>3060.4614999999999</v>
      </c>
      <c r="H1052" s="7">
        <v>3927030</v>
      </c>
      <c r="I1052" s="14">
        <v>3597.9432999999999</v>
      </c>
      <c r="J1052" s="7">
        <v>4720711</v>
      </c>
    </row>
    <row r="1053" spans="1:10" x14ac:dyDescent="0.2">
      <c r="A1053" s="9">
        <v>45470</v>
      </c>
      <c r="B1053" s="4" t="s">
        <v>224</v>
      </c>
      <c r="C1053" s="8">
        <v>45444</v>
      </c>
      <c r="D1053" s="4" t="s">
        <v>189</v>
      </c>
      <c r="E1053" s="14">
        <v>636.86580000000004</v>
      </c>
      <c r="F1053" s="7">
        <v>1008136</v>
      </c>
      <c r="G1053" s="14">
        <v>3528.2130000000002</v>
      </c>
      <c r="H1053" s="7">
        <v>4537514</v>
      </c>
      <c r="I1053" s="14">
        <v>4165.0788000000002</v>
      </c>
      <c r="J1053" s="7">
        <v>5545650</v>
      </c>
    </row>
    <row r="1054" spans="1:10" x14ac:dyDescent="0.2">
      <c r="A1054" s="9">
        <v>45471</v>
      </c>
      <c r="B1054" s="4" t="s">
        <v>222</v>
      </c>
      <c r="C1054" s="8">
        <v>45444</v>
      </c>
      <c r="D1054" s="4" t="s">
        <v>189</v>
      </c>
      <c r="E1054" s="14">
        <v>338.13529999999997</v>
      </c>
      <c r="F1054" s="7">
        <v>504467</v>
      </c>
      <c r="G1054" s="14">
        <v>1414.5075999999999</v>
      </c>
      <c r="H1054" s="7">
        <v>1803344</v>
      </c>
      <c r="I1054" s="14">
        <v>1752.6429000000001</v>
      </c>
      <c r="J1054" s="7">
        <v>2307811</v>
      </c>
    </row>
    <row r="1055" spans="1:10" x14ac:dyDescent="0.2">
      <c r="A1055" s="9">
        <v>45474</v>
      </c>
      <c r="B1055" s="4" t="s">
        <v>225</v>
      </c>
      <c r="C1055" s="8">
        <v>45474</v>
      </c>
      <c r="D1055" s="4" t="s">
        <v>190</v>
      </c>
      <c r="E1055" s="14">
        <v>210.90600000000001</v>
      </c>
      <c r="F1055" s="7">
        <v>311819</v>
      </c>
      <c r="G1055" s="14">
        <v>1052.3679</v>
      </c>
      <c r="H1055" s="7">
        <v>1324295</v>
      </c>
      <c r="I1055" s="14">
        <v>1263.2738999999999</v>
      </c>
      <c r="J1055" s="7">
        <v>1636114</v>
      </c>
    </row>
    <row r="1056" spans="1:10" x14ac:dyDescent="0.2">
      <c r="A1056" s="9">
        <v>45475</v>
      </c>
      <c r="B1056" s="4" t="s">
        <v>223</v>
      </c>
      <c r="C1056" s="8">
        <v>45474</v>
      </c>
      <c r="D1056" s="4" t="s">
        <v>190</v>
      </c>
      <c r="E1056" s="14">
        <v>297.55</v>
      </c>
      <c r="F1056" s="7">
        <v>438276</v>
      </c>
      <c r="G1056" s="14">
        <v>1316.192</v>
      </c>
      <c r="H1056" s="7">
        <v>1674407</v>
      </c>
      <c r="I1056" s="14">
        <v>1613.742</v>
      </c>
      <c r="J1056" s="7">
        <v>2112683</v>
      </c>
    </row>
    <row r="1057" spans="1:10" x14ac:dyDescent="0.2">
      <c r="A1057" s="9">
        <v>45476</v>
      </c>
      <c r="B1057" s="4" t="s">
        <v>221</v>
      </c>
      <c r="C1057" s="8">
        <v>45474</v>
      </c>
      <c r="D1057" s="4" t="s">
        <v>190</v>
      </c>
      <c r="E1057" s="14">
        <v>376.39980000000003</v>
      </c>
      <c r="F1057" s="7">
        <v>530600</v>
      </c>
      <c r="G1057" s="14">
        <v>1266.9093</v>
      </c>
      <c r="H1057" s="7">
        <v>1569214</v>
      </c>
      <c r="I1057" s="14">
        <v>1643.3090999999999</v>
      </c>
      <c r="J1057" s="7">
        <v>2099814</v>
      </c>
    </row>
    <row r="1058" spans="1:10" x14ac:dyDescent="0.2">
      <c r="A1058" s="9">
        <v>45477</v>
      </c>
      <c r="B1058" s="4" t="s">
        <v>224</v>
      </c>
      <c r="C1058" s="8">
        <v>45474</v>
      </c>
      <c r="D1058" s="4" t="s">
        <v>190</v>
      </c>
      <c r="E1058" s="14">
        <v>250.94880000000001</v>
      </c>
      <c r="F1058" s="7">
        <v>368793</v>
      </c>
      <c r="G1058" s="14">
        <v>1175.5650000000001</v>
      </c>
      <c r="H1058" s="7">
        <v>1463104</v>
      </c>
      <c r="I1058" s="14">
        <v>1426.5137999999999</v>
      </c>
      <c r="J1058" s="7">
        <v>1831897</v>
      </c>
    </row>
    <row r="1059" spans="1:10" x14ac:dyDescent="0.2">
      <c r="A1059" s="9">
        <v>45478</v>
      </c>
      <c r="B1059" s="4" t="s">
        <v>222</v>
      </c>
      <c r="C1059" s="8">
        <v>45474</v>
      </c>
      <c r="D1059" s="4" t="s">
        <v>190</v>
      </c>
      <c r="E1059" s="14">
        <v>314.01049999999998</v>
      </c>
      <c r="F1059" s="7">
        <v>458603</v>
      </c>
      <c r="G1059" s="14">
        <v>1184.3689999999999</v>
      </c>
      <c r="H1059" s="7">
        <v>1474811</v>
      </c>
      <c r="I1059" s="14">
        <v>1498.3795</v>
      </c>
      <c r="J1059" s="7">
        <v>1933414</v>
      </c>
    </row>
    <row r="1060" spans="1:10" x14ac:dyDescent="0.2">
      <c r="A1060" s="9">
        <v>45481</v>
      </c>
      <c r="B1060" s="4" t="s">
        <v>225</v>
      </c>
      <c r="C1060" s="8">
        <v>45474</v>
      </c>
      <c r="D1060" s="4" t="s">
        <v>190</v>
      </c>
      <c r="E1060" s="14">
        <v>209.5615</v>
      </c>
      <c r="F1060" s="7">
        <v>302905</v>
      </c>
      <c r="G1060" s="14">
        <v>1207.4616000000001</v>
      </c>
      <c r="H1060" s="7">
        <v>1509880</v>
      </c>
      <c r="I1060" s="14">
        <v>1417.0231000000001</v>
      </c>
      <c r="J1060" s="7">
        <v>1812785</v>
      </c>
    </row>
    <row r="1061" spans="1:10" x14ac:dyDescent="0.2">
      <c r="A1061" s="9">
        <v>45482</v>
      </c>
      <c r="B1061" s="4" t="s">
        <v>223</v>
      </c>
      <c r="C1061" s="8">
        <v>45474</v>
      </c>
      <c r="D1061" s="4" t="s">
        <v>190</v>
      </c>
      <c r="E1061" s="14">
        <v>184.3048</v>
      </c>
      <c r="F1061" s="7">
        <v>276781</v>
      </c>
      <c r="G1061" s="14">
        <v>1055.4836</v>
      </c>
      <c r="H1061" s="7">
        <v>1340039</v>
      </c>
      <c r="I1061" s="14">
        <v>1239.7883999999999</v>
      </c>
      <c r="J1061" s="7">
        <v>1616820</v>
      </c>
    </row>
    <row r="1062" spans="1:10" x14ac:dyDescent="0.2">
      <c r="A1062" s="9">
        <v>45483</v>
      </c>
      <c r="B1062" s="4" t="s">
        <v>221</v>
      </c>
      <c r="C1062" s="8">
        <v>45474</v>
      </c>
      <c r="D1062" s="4" t="s">
        <v>190</v>
      </c>
      <c r="E1062" s="14">
        <v>356.97809999999998</v>
      </c>
      <c r="F1062" s="7">
        <v>537071</v>
      </c>
      <c r="G1062" s="14">
        <v>1437.491</v>
      </c>
      <c r="H1062" s="7">
        <v>1815930</v>
      </c>
      <c r="I1062" s="14">
        <v>1794.4691</v>
      </c>
      <c r="J1062" s="7">
        <v>2353001</v>
      </c>
    </row>
    <row r="1063" spans="1:10" x14ac:dyDescent="0.2">
      <c r="A1063" s="9">
        <v>45484</v>
      </c>
      <c r="B1063" s="4" t="s">
        <v>224</v>
      </c>
      <c r="C1063" s="8">
        <v>45474</v>
      </c>
      <c r="D1063" s="4" t="s">
        <v>190</v>
      </c>
      <c r="E1063" s="14">
        <v>316.88569999999999</v>
      </c>
      <c r="F1063" s="7">
        <v>464505</v>
      </c>
      <c r="G1063" s="14">
        <v>1153.7427</v>
      </c>
      <c r="H1063" s="7">
        <v>1457176</v>
      </c>
      <c r="I1063" s="14">
        <v>1470.6284000000001</v>
      </c>
      <c r="J1063" s="7">
        <v>1921681</v>
      </c>
    </row>
    <row r="1064" spans="1:10" x14ac:dyDescent="0.2">
      <c r="A1064" s="9">
        <v>45485</v>
      </c>
      <c r="B1064" s="4" t="s">
        <v>222</v>
      </c>
      <c r="C1064" s="8">
        <v>45474</v>
      </c>
      <c r="D1064" s="4" t="s">
        <v>190</v>
      </c>
      <c r="E1064" s="14">
        <v>338.2278</v>
      </c>
      <c r="F1064" s="7">
        <v>501268</v>
      </c>
      <c r="G1064" s="14">
        <v>1384.4114999999999</v>
      </c>
      <c r="H1064" s="7">
        <v>1755062</v>
      </c>
      <c r="I1064" s="14">
        <v>1722.6393</v>
      </c>
      <c r="J1064" s="7">
        <v>2256330</v>
      </c>
    </row>
    <row r="1065" spans="1:10" x14ac:dyDescent="0.2">
      <c r="A1065" s="9">
        <v>45488</v>
      </c>
      <c r="B1065" s="4" t="s">
        <v>225</v>
      </c>
      <c r="C1065" s="8">
        <v>45474</v>
      </c>
      <c r="D1065" s="4" t="s">
        <v>190</v>
      </c>
      <c r="E1065" s="14">
        <v>226.54839999999999</v>
      </c>
      <c r="F1065" s="7">
        <v>325826</v>
      </c>
      <c r="G1065" s="14">
        <v>1239.1735000000001</v>
      </c>
      <c r="H1065" s="7">
        <v>1579267</v>
      </c>
      <c r="I1065" s="14">
        <v>1465.7219</v>
      </c>
      <c r="J1065" s="7">
        <v>1905093</v>
      </c>
    </row>
    <row r="1066" spans="1:10" x14ac:dyDescent="0.2">
      <c r="A1066" s="9">
        <v>45489</v>
      </c>
      <c r="B1066" s="4" t="s">
        <v>223</v>
      </c>
      <c r="C1066" s="8">
        <v>45474</v>
      </c>
      <c r="D1066" s="4" t="s">
        <v>190</v>
      </c>
      <c r="E1066" s="14">
        <v>175.01900000000001</v>
      </c>
      <c r="F1066" s="7">
        <v>257845</v>
      </c>
      <c r="G1066" s="14">
        <v>1208.9527</v>
      </c>
      <c r="H1066" s="7">
        <v>1527901</v>
      </c>
      <c r="I1066" s="14">
        <v>1383.9717000000001</v>
      </c>
      <c r="J1066" s="7">
        <v>1785746</v>
      </c>
    </row>
    <row r="1067" spans="1:10" x14ac:dyDescent="0.2">
      <c r="A1067" s="9">
        <v>45491</v>
      </c>
      <c r="B1067" s="4" t="s">
        <v>224</v>
      </c>
      <c r="C1067" s="8">
        <v>45474</v>
      </c>
      <c r="D1067" s="4" t="s">
        <v>190</v>
      </c>
      <c r="E1067" s="14">
        <v>449.94060000000002</v>
      </c>
      <c r="F1067" s="7">
        <v>674242</v>
      </c>
      <c r="G1067" s="14">
        <v>1841.6246000000001</v>
      </c>
      <c r="H1067" s="7">
        <v>2273351</v>
      </c>
      <c r="I1067" s="14">
        <v>2291.5652</v>
      </c>
      <c r="J1067" s="7">
        <v>2947593</v>
      </c>
    </row>
    <row r="1068" spans="1:10" x14ac:dyDescent="0.2">
      <c r="A1068" s="9">
        <v>45492</v>
      </c>
      <c r="B1068" s="4" t="s">
        <v>222</v>
      </c>
      <c r="C1068" s="8">
        <v>45474</v>
      </c>
      <c r="D1068" s="4" t="s">
        <v>190</v>
      </c>
      <c r="E1068" s="14">
        <v>398.76949999999999</v>
      </c>
      <c r="F1068" s="7">
        <v>600803</v>
      </c>
      <c r="G1068" s="14">
        <v>1790.134</v>
      </c>
      <c r="H1068" s="7">
        <v>2295103</v>
      </c>
      <c r="I1068" s="14">
        <v>2188.9034999999999</v>
      </c>
      <c r="J1068" s="7">
        <v>2895906</v>
      </c>
    </row>
    <row r="1069" spans="1:10" x14ac:dyDescent="0.2">
      <c r="A1069" s="9">
        <v>45495</v>
      </c>
      <c r="B1069" s="4" t="s">
        <v>225</v>
      </c>
      <c r="C1069" s="8">
        <v>45474</v>
      </c>
      <c r="D1069" s="4" t="s">
        <v>190</v>
      </c>
      <c r="E1069" s="14">
        <v>330.46850000000001</v>
      </c>
      <c r="F1069" s="7">
        <v>502905</v>
      </c>
      <c r="G1069" s="14">
        <v>3169.5309000000002</v>
      </c>
      <c r="H1069" s="7">
        <v>4082314</v>
      </c>
      <c r="I1069" s="14">
        <v>3499.9994000000002</v>
      </c>
      <c r="J1069" s="7">
        <v>4585219</v>
      </c>
    </row>
    <row r="1070" spans="1:10" x14ac:dyDescent="0.2">
      <c r="A1070" s="9">
        <v>45496</v>
      </c>
      <c r="B1070" s="4" t="s">
        <v>223</v>
      </c>
      <c r="C1070" s="8">
        <v>45474</v>
      </c>
      <c r="D1070" s="4" t="s">
        <v>190</v>
      </c>
      <c r="E1070" s="14">
        <v>796.32730000000004</v>
      </c>
      <c r="F1070" s="7">
        <v>1208955</v>
      </c>
      <c r="G1070" s="14">
        <v>3981.6077</v>
      </c>
      <c r="H1070" s="7">
        <v>5122358</v>
      </c>
      <c r="I1070" s="14">
        <v>4777.9350000000004</v>
      </c>
      <c r="J1070" s="7">
        <v>6331313</v>
      </c>
    </row>
    <row r="1071" spans="1:10" x14ac:dyDescent="0.2">
      <c r="A1071" s="9">
        <v>45497</v>
      </c>
      <c r="B1071" s="4" t="s">
        <v>221</v>
      </c>
      <c r="C1071" s="8">
        <v>45474</v>
      </c>
      <c r="D1071" s="4" t="s">
        <v>190</v>
      </c>
      <c r="E1071" s="14">
        <v>721.84969999999998</v>
      </c>
      <c r="F1071" s="7">
        <v>1075922</v>
      </c>
      <c r="G1071" s="14">
        <v>3714.0160999999998</v>
      </c>
      <c r="H1071" s="7">
        <v>4763228</v>
      </c>
      <c r="I1071" s="14">
        <v>4435.8657999999996</v>
      </c>
      <c r="J1071" s="7">
        <v>5839150</v>
      </c>
    </row>
    <row r="1072" spans="1:10" x14ac:dyDescent="0.2">
      <c r="A1072" s="9">
        <v>45498</v>
      </c>
      <c r="B1072" s="4" t="s">
        <v>224</v>
      </c>
      <c r="C1072" s="8">
        <v>45474</v>
      </c>
      <c r="D1072" s="4" t="s">
        <v>190</v>
      </c>
      <c r="E1072" s="14">
        <v>667.68679999999995</v>
      </c>
      <c r="F1072" s="7">
        <v>1033810</v>
      </c>
      <c r="G1072" s="14">
        <v>3336.8903</v>
      </c>
      <c r="H1072" s="7">
        <v>4312298</v>
      </c>
      <c r="I1072" s="14">
        <v>4004.5771</v>
      </c>
      <c r="J1072" s="7">
        <v>5346108</v>
      </c>
    </row>
    <row r="1073" spans="1:10" x14ac:dyDescent="0.2">
      <c r="A1073" s="9">
        <v>45499</v>
      </c>
      <c r="B1073" s="4" t="s">
        <v>222</v>
      </c>
      <c r="C1073" s="8">
        <v>45474</v>
      </c>
      <c r="D1073" s="4" t="s">
        <v>190</v>
      </c>
      <c r="E1073" s="14">
        <v>472.80099999999999</v>
      </c>
      <c r="F1073" s="7">
        <v>709908</v>
      </c>
      <c r="G1073" s="14">
        <v>1579.3553999999999</v>
      </c>
      <c r="H1073" s="7">
        <v>1981735</v>
      </c>
      <c r="I1073" s="14">
        <v>2052.1563999999998</v>
      </c>
      <c r="J1073" s="7">
        <v>2691643</v>
      </c>
    </row>
    <row r="1074" spans="1:10" x14ac:dyDescent="0.2">
      <c r="A1074" s="9">
        <v>45502</v>
      </c>
      <c r="B1074" s="4" t="s">
        <v>225</v>
      </c>
      <c r="C1074" s="8">
        <v>45474</v>
      </c>
      <c r="D1074" s="4" t="s">
        <v>190</v>
      </c>
      <c r="E1074" s="14">
        <v>533.16179999999997</v>
      </c>
      <c r="F1074" s="7">
        <v>756633</v>
      </c>
      <c r="G1074" s="14">
        <v>1584.7063000000001</v>
      </c>
      <c r="H1074" s="7">
        <v>1942457</v>
      </c>
      <c r="I1074" s="14">
        <v>2117.8681000000001</v>
      </c>
      <c r="J1074" s="7">
        <v>2699090</v>
      </c>
    </row>
    <row r="1075" spans="1:10" x14ac:dyDescent="0.2">
      <c r="A1075" s="9">
        <v>45503</v>
      </c>
      <c r="B1075" s="4" t="s">
        <v>223</v>
      </c>
      <c r="C1075" s="8">
        <v>45474</v>
      </c>
      <c r="D1075" s="4" t="s">
        <v>190</v>
      </c>
      <c r="E1075" s="14">
        <v>339.08699999999999</v>
      </c>
      <c r="F1075" s="7">
        <v>489673</v>
      </c>
      <c r="G1075" s="14">
        <v>1324.3975</v>
      </c>
      <c r="H1075" s="7">
        <v>1606414</v>
      </c>
      <c r="I1075" s="14">
        <v>1663.4845</v>
      </c>
      <c r="J1075" s="7">
        <v>2096087</v>
      </c>
    </row>
    <row r="1076" spans="1:10" x14ac:dyDescent="0.2">
      <c r="A1076" s="9">
        <v>45504</v>
      </c>
      <c r="B1076" s="4" t="s">
        <v>221</v>
      </c>
      <c r="C1076" s="8">
        <v>45474</v>
      </c>
      <c r="D1076" s="4" t="s">
        <v>190</v>
      </c>
      <c r="E1076" s="14">
        <v>283.61130000000003</v>
      </c>
      <c r="F1076" s="7">
        <v>402835</v>
      </c>
      <c r="G1076" s="14">
        <v>1312.9186</v>
      </c>
      <c r="H1076" s="7">
        <v>1590220</v>
      </c>
      <c r="I1076" s="14">
        <v>1596.5299</v>
      </c>
      <c r="J1076" s="7">
        <v>1993055</v>
      </c>
    </row>
    <row r="1077" spans="1:10" x14ac:dyDescent="0.2">
      <c r="A1077" s="9">
        <v>45505</v>
      </c>
      <c r="B1077" s="4" t="s">
        <v>224</v>
      </c>
      <c r="C1077" s="8">
        <v>45505</v>
      </c>
      <c r="D1077" s="4" t="s">
        <v>190</v>
      </c>
      <c r="E1077" s="14">
        <v>264.51949999999999</v>
      </c>
      <c r="F1077" s="7">
        <v>391957</v>
      </c>
      <c r="G1077" s="14">
        <v>1481.6821</v>
      </c>
      <c r="H1077" s="7">
        <v>1828336</v>
      </c>
      <c r="I1077" s="14">
        <v>1746.2016000000001</v>
      </c>
      <c r="J1077" s="7">
        <v>2220293</v>
      </c>
    </row>
    <row r="1078" spans="1:10" x14ac:dyDescent="0.2">
      <c r="A1078" s="9">
        <v>45506</v>
      </c>
      <c r="B1078" s="4" t="s">
        <v>222</v>
      </c>
      <c r="C1078" s="8">
        <v>45505</v>
      </c>
      <c r="D1078" s="4" t="s">
        <v>190</v>
      </c>
      <c r="E1078" s="14">
        <v>369.86309999999997</v>
      </c>
      <c r="F1078" s="7">
        <v>554758</v>
      </c>
      <c r="G1078" s="14">
        <v>1431.5596</v>
      </c>
      <c r="H1078" s="7">
        <v>1787263</v>
      </c>
      <c r="I1078" s="14">
        <v>1801.4227000000001</v>
      </c>
      <c r="J1078" s="7">
        <v>2342021</v>
      </c>
    </row>
    <row r="1079" spans="1:10" x14ac:dyDescent="0.2">
      <c r="A1079" s="9">
        <v>45509</v>
      </c>
      <c r="B1079" s="4" t="s">
        <v>225</v>
      </c>
      <c r="C1079" s="8">
        <v>45505</v>
      </c>
      <c r="D1079" s="4" t="s">
        <v>190</v>
      </c>
      <c r="E1079" s="14">
        <v>705.02499999999998</v>
      </c>
      <c r="F1079" s="7">
        <v>1098418</v>
      </c>
      <c r="G1079" s="14">
        <v>1683.0213000000001</v>
      </c>
      <c r="H1079" s="7">
        <v>2181159</v>
      </c>
      <c r="I1079" s="14">
        <v>2388.0463</v>
      </c>
      <c r="J1079" s="7">
        <v>3279577</v>
      </c>
    </row>
    <row r="1080" spans="1:10" x14ac:dyDescent="0.2">
      <c r="A1080" s="9">
        <v>45510</v>
      </c>
      <c r="B1080" s="4" t="s">
        <v>223</v>
      </c>
      <c r="C1080" s="8">
        <v>45505</v>
      </c>
      <c r="D1080" s="4" t="s">
        <v>190</v>
      </c>
      <c r="E1080" s="14">
        <v>447.64710000000002</v>
      </c>
      <c r="F1080" s="7">
        <v>691658</v>
      </c>
      <c r="G1080" s="14">
        <v>1287.0328</v>
      </c>
      <c r="H1080" s="7">
        <v>1656753</v>
      </c>
      <c r="I1080" s="14">
        <v>1734.6799000000001</v>
      </c>
      <c r="J1080" s="7">
        <v>2348411</v>
      </c>
    </row>
    <row r="1081" spans="1:10" x14ac:dyDescent="0.2">
      <c r="A1081" s="9">
        <v>45511</v>
      </c>
      <c r="B1081" s="4" t="s">
        <v>221</v>
      </c>
      <c r="C1081" s="8">
        <v>45505</v>
      </c>
      <c r="D1081" s="4" t="s">
        <v>190</v>
      </c>
      <c r="E1081" s="14">
        <v>386.70859999999999</v>
      </c>
      <c r="F1081" s="7">
        <v>586481</v>
      </c>
      <c r="G1081" s="14">
        <v>1261.4848999999999</v>
      </c>
      <c r="H1081" s="7">
        <v>1592536</v>
      </c>
      <c r="I1081" s="14">
        <v>1648.1935000000001</v>
      </c>
      <c r="J1081" s="7">
        <v>2179017</v>
      </c>
    </row>
    <row r="1082" spans="1:10" x14ac:dyDescent="0.2">
      <c r="A1082" s="9">
        <v>45512</v>
      </c>
      <c r="B1082" s="4" t="s">
        <v>224</v>
      </c>
      <c r="C1082" s="8">
        <v>45505</v>
      </c>
      <c r="D1082" s="4" t="s">
        <v>190</v>
      </c>
      <c r="E1082" s="14">
        <v>378.26960000000003</v>
      </c>
      <c r="F1082" s="7">
        <v>584932</v>
      </c>
      <c r="G1082" s="14">
        <v>1244.8179</v>
      </c>
      <c r="H1082" s="7">
        <v>1584033</v>
      </c>
      <c r="I1082" s="14">
        <v>1623.0875000000001</v>
      </c>
      <c r="J1082" s="7">
        <v>2168965</v>
      </c>
    </row>
    <row r="1083" spans="1:10" x14ac:dyDescent="0.2">
      <c r="A1083" s="9">
        <v>45513</v>
      </c>
      <c r="B1083" s="4" t="s">
        <v>222</v>
      </c>
      <c r="C1083" s="8">
        <v>45505</v>
      </c>
      <c r="D1083" s="4" t="s">
        <v>190</v>
      </c>
      <c r="E1083" s="14">
        <v>280.0899</v>
      </c>
      <c r="F1083" s="7">
        <v>427618</v>
      </c>
      <c r="G1083" s="14">
        <v>1115.8987999999999</v>
      </c>
      <c r="H1083" s="7">
        <v>1400938</v>
      </c>
      <c r="I1083" s="14">
        <v>1395.9887000000001</v>
      </c>
      <c r="J1083" s="7">
        <v>1828556</v>
      </c>
    </row>
    <row r="1084" spans="1:10" x14ac:dyDescent="0.2">
      <c r="A1084" s="9">
        <v>45516</v>
      </c>
      <c r="B1084" s="4" t="s">
        <v>225</v>
      </c>
      <c r="C1084" s="8">
        <v>45505</v>
      </c>
      <c r="D1084" s="4" t="s">
        <v>190</v>
      </c>
      <c r="E1084" s="14">
        <v>328.41840000000002</v>
      </c>
      <c r="F1084" s="7">
        <v>494307</v>
      </c>
      <c r="G1084" s="14">
        <v>1163.7788</v>
      </c>
      <c r="H1084" s="7">
        <v>1450153</v>
      </c>
      <c r="I1084" s="14">
        <v>1492.1972000000001</v>
      </c>
      <c r="J1084" s="7">
        <v>1944460</v>
      </c>
    </row>
    <row r="1085" spans="1:10" x14ac:dyDescent="0.2">
      <c r="A1085" s="9">
        <v>45517</v>
      </c>
      <c r="B1085" s="4" t="s">
        <v>223</v>
      </c>
      <c r="C1085" s="8">
        <v>45505</v>
      </c>
      <c r="D1085" s="4" t="s">
        <v>190</v>
      </c>
      <c r="E1085" s="14">
        <v>327.76960000000003</v>
      </c>
      <c r="F1085" s="7">
        <v>489488</v>
      </c>
      <c r="G1085" s="14">
        <v>1177.7833000000001</v>
      </c>
      <c r="H1085" s="7">
        <v>1479265</v>
      </c>
      <c r="I1085" s="14">
        <v>1505.5528999999999</v>
      </c>
      <c r="J1085" s="7">
        <v>1968753</v>
      </c>
    </row>
    <row r="1086" spans="1:10" x14ac:dyDescent="0.2">
      <c r="A1086" s="9">
        <v>45518</v>
      </c>
      <c r="B1086" s="4" t="s">
        <v>221</v>
      </c>
      <c r="C1086" s="8">
        <v>45505</v>
      </c>
      <c r="D1086" s="4" t="s">
        <v>190</v>
      </c>
      <c r="E1086" s="14">
        <v>217.39189999999999</v>
      </c>
      <c r="F1086" s="7">
        <v>329885</v>
      </c>
      <c r="G1086" s="14">
        <v>1024.5121999999999</v>
      </c>
      <c r="H1086" s="7">
        <v>1275978</v>
      </c>
      <c r="I1086" s="14">
        <v>1241.9041</v>
      </c>
      <c r="J1086" s="7">
        <v>1605863</v>
      </c>
    </row>
    <row r="1087" spans="1:10" x14ac:dyDescent="0.2">
      <c r="A1087" s="9">
        <v>45520</v>
      </c>
      <c r="B1087" s="4" t="s">
        <v>222</v>
      </c>
      <c r="C1087" s="8">
        <v>45505</v>
      </c>
      <c r="D1087" s="4" t="s">
        <v>190</v>
      </c>
      <c r="E1087" s="14">
        <v>461.33699999999999</v>
      </c>
      <c r="F1087" s="7">
        <v>698349</v>
      </c>
      <c r="G1087" s="14">
        <v>1115.183</v>
      </c>
      <c r="H1087" s="7">
        <v>1407731</v>
      </c>
      <c r="I1087" s="14">
        <v>1576.52</v>
      </c>
      <c r="J1087" s="7">
        <v>2106080</v>
      </c>
    </row>
    <row r="1088" spans="1:10" x14ac:dyDescent="0.2">
      <c r="A1088" s="9">
        <v>45523</v>
      </c>
      <c r="B1088" s="4" t="s">
        <v>225</v>
      </c>
      <c r="C1088" s="8">
        <v>45505</v>
      </c>
      <c r="D1088" s="4" t="s">
        <v>190</v>
      </c>
      <c r="E1088" s="14">
        <v>225.73910000000001</v>
      </c>
      <c r="F1088" s="7">
        <v>335157</v>
      </c>
      <c r="G1088" s="14">
        <v>973.54790000000003</v>
      </c>
      <c r="H1088" s="7">
        <v>1204129</v>
      </c>
      <c r="I1088" s="14">
        <v>1199.287</v>
      </c>
      <c r="J1088" s="7">
        <v>1539286</v>
      </c>
    </row>
    <row r="1089" spans="1:10" x14ac:dyDescent="0.2">
      <c r="A1089" s="9">
        <v>45524</v>
      </c>
      <c r="B1089" s="4" t="s">
        <v>223</v>
      </c>
      <c r="C1089" s="8">
        <v>45505</v>
      </c>
      <c r="D1089" s="4" t="s">
        <v>190</v>
      </c>
      <c r="E1089" s="14">
        <v>269.1748</v>
      </c>
      <c r="F1089" s="7">
        <v>392546</v>
      </c>
      <c r="G1089" s="14">
        <v>1097.9262000000001</v>
      </c>
      <c r="H1089" s="7">
        <v>1366672</v>
      </c>
      <c r="I1089" s="14">
        <v>1367.1010000000001</v>
      </c>
      <c r="J1089" s="7">
        <v>1759218</v>
      </c>
    </row>
    <row r="1090" spans="1:10" x14ac:dyDescent="0.2">
      <c r="A1090" s="9">
        <v>45525</v>
      </c>
      <c r="B1090" s="4" t="s">
        <v>221</v>
      </c>
      <c r="C1090" s="8">
        <v>45505</v>
      </c>
      <c r="D1090" s="4" t="s">
        <v>190</v>
      </c>
      <c r="E1090" s="14">
        <v>293.93310000000002</v>
      </c>
      <c r="F1090" s="7">
        <v>417367</v>
      </c>
      <c r="G1090" s="14">
        <v>1022.4059999999999</v>
      </c>
      <c r="H1090" s="7">
        <v>1252601</v>
      </c>
      <c r="I1090" s="14">
        <v>1316.3390999999999</v>
      </c>
      <c r="J1090" s="7">
        <v>1669968</v>
      </c>
    </row>
    <row r="1091" spans="1:10" x14ac:dyDescent="0.2">
      <c r="A1091" s="9">
        <v>45526</v>
      </c>
      <c r="B1091" s="4" t="s">
        <v>224</v>
      </c>
      <c r="C1091" s="8">
        <v>45505</v>
      </c>
      <c r="D1091" s="4" t="s">
        <v>190</v>
      </c>
      <c r="E1091" s="14">
        <v>239.89160000000001</v>
      </c>
      <c r="F1091" s="7">
        <v>350569</v>
      </c>
      <c r="G1091" s="14">
        <v>1264.5039999999999</v>
      </c>
      <c r="H1091" s="7">
        <v>1598634</v>
      </c>
      <c r="I1091" s="14">
        <v>1504.3956000000001</v>
      </c>
      <c r="J1091" s="7">
        <v>1949203</v>
      </c>
    </row>
    <row r="1092" spans="1:10" x14ac:dyDescent="0.2">
      <c r="A1092" s="9">
        <v>45527</v>
      </c>
      <c r="B1092" s="4" t="s">
        <v>222</v>
      </c>
      <c r="C1092" s="8">
        <v>45505</v>
      </c>
      <c r="D1092" s="4" t="s">
        <v>190</v>
      </c>
      <c r="E1092" s="14">
        <v>231.79179999999999</v>
      </c>
      <c r="F1092" s="7">
        <v>344634</v>
      </c>
      <c r="G1092" s="14">
        <v>1357.8961999999999</v>
      </c>
      <c r="H1092" s="7">
        <v>1676126</v>
      </c>
      <c r="I1092" s="14">
        <v>1589.6880000000001</v>
      </c>
      <c r="J1092" s="7">
        <v>2020760</v>
      </c>
    </row>
    <row r="1093" spans="1:10" x14ac:dyDescent="0.2">
      <c r="A1093" s="9">
        <v>45530</v>
      </c>
      <c r="B1093" s="4" t="s">
        <v>225</v>
      </c>
      <c r="C1093" s="8">
        <v>45505</v>
      </c>
      <c r="D1093" s="4" t="s">
        <v>190</v>
      </c>
      <c r="E1093" s="14">
        <v>390.16899999999998</v>
      </c>
      <c r="F1093" s="7">
        <v>580951</v>
      </c>
      <c r="G1093" s="14">
        <v>3050.5331000000001</v>
      </c>
      <c r="H1093" s="7">
        <v>3819154</v>
      </c>
      <c r="I1093" s="14">
        <v>3440.7021</v>
      </c>
      <c r="J1093" s="7">
        <v>4400105</v>
      </c>
    </row>
    <row r="1094" spans="1:10" x14ac:dyDescent="0.2">
      <c r="A1094" s="9">
        <v>45531</v>
      </c>
      <c r="B1094" s="4" t="s">
        <v>223</v>
      </c>
      <c r="C1094" s="8">
        <v>45505</v>
      </c>
      <c r="D1094" s="4" t="s">
        <v>190</v>
      </c>
      <c r="E1094" s="14">
        <v>400.05419999999998</v>
      </c>
      <c r="F1094" s="7">
        <v>584543</v>
      </c>
      <c r="G1094" s="14">
        <v>3109.7561999999998</v>
      </c>
      <c r="H1094" s="7">
        <v>3891816</v>
      </c>
      <c r="I1094" s="14">
        <v>3509.8103999999998</v>
      </c>
      <c r="J1094" s="7">
        <v>4476359</v>
      </c>
    </row>
    <row r="1095" spans="1:10" x14ac:dyDescent="0.2">
      <c r="A1095" s="9">
        <v>45532</v>
      </c>
      <c r="B1095" s="4" t="s">
        <v>221</v>
      </c>
      <c r="C1095" s="8">
        <v>45505</v>
      </c>
      <c r="D1095" s="4" t="s">
        <v>190</v>
      </c>
      <c r="E1095" s="14">
        <v>483.22640000000001</v>
      </c>
      <c r="F1095" s="7">
        <v>711239</v>
      </c>
      <c r="G1095" s="14">
        <v>3018.3901999999998</v>
      </c>
      <c r="H1095" s="7">
        <v>3753724</v>
      </c>
      <c r="I1095" s="14">
        <v>3501.6165999999998</v>
      </c>
      <c r="J1095" s="7">
        <v>4464963</v>
      </c>
    </row>
    <row r="1096" spans="1:10" x14ac:dyDescent="0.2">
      <c r="A1096" s="9">
        <v>45533</v>
      </c>
      <c r="B1096" s="4" t="s">
        <v>224</v>
      </c>
      <c r="C1096" s="8">
        <v>45505</v>
      </c>
      <c r="D1096" s="4" t="s">
        <v>190</v>
      </c>
      <c r="E1096" s="14">
        <v>580.97180000000003</v>
      </c>
      <c r="F1096" s="7">
        <v>889625</v>
      </c>
      <c r="G1096" s="14">
        <v>3334.9684999999999</v>
      </c>
      <c r="H1096" s="7">
        <v>4132944</v>
      </c>
      <c r="I1096" s="14">
        <v>3915.9403000000002</v>
      </c>
      <c r="J1096" s="7">
        <v>5022569</v>
      </c>
    </row>
    <row r="1097" spans="1:10" x14ac:dyDescent="0.2">
      <c r="A1097" s="9">
        <v>45534</v>
      </c>
      <c r="B1097" s="4" t="s">
        <v>222</v>
      </c>
      <c r="C1097" s="8">
        <v>45505</v>
      </c>
      <c r="D1097" s="4" t="s">
        <v>190</v>
      </c>
      <c r="E1097" s="14">
        <v>246.8398</v>
      </c>
      <c r="F1097" s="7">
        <v>365314</v>
      </c>
      <c r="G1097" s="14">
        <v>1445.6079999999999</v>
      </c>
      <c r="H1097" s="7">
        <v>1741324</v>
      </c>
      <c r="I1097" s="14">
        <v>1692.4477999999999</v>
      </c>
      <c r="J1097" s="7">
        <v>2106638</v>
      </c>
    </row>
    <row r="1098" spans="1:10" x14ac:dyDescent="0.2">
      <c r="A1098" s="9">
        <v>45537</v>
      </c>
      <c r="B1098" s="4" t="s">
        <v>225</v>
      </c>
      <c r="C1098" s="8">
        <v>45536</v>
      </c>
      <c r="D1098" s="4" t="s">
        <v>190</v>
      </c>
      <c r="E1098" s="14">
        <v>232.7482</v>
      </c>
      <c r="F1098" s="7">
        <v>342201</v>
      </c>
      <c r="G1098" s="14">
        <v>1070.1626000000001</v>
      </c>
      <c r="H1098" s="7">
        <v>1301294</v>
      </c>
      <c r="I1098" s="14">
        <v>1302.9108000000001</v>
      </c>
      <c r="J1098" s="7">
        <v>1643495</v>
      </c>
    </row>
    <row r="1099" spans="1:10" x14ac:dyDescent="0.2">
      <c r="A1099" s="9">
        <v>45538</v>
      </c>
      <c r="B1099" s="4" t="s">
        <v>223</v>
      </c>
      <c r="C1099" s="8">
        <v>45536</v>
      </c>
      <c r="D1099" s="4" t="s">
        <v>190</v>
      </c>
      <c r="E1099" s="14">
        <v>192.90010000000001</v>
      </c>
      <c r="F1099" s="7">
        <v>277828</v>
      </c>
      <c r="G1099" s="14">
        <v>1025.7828</v>
      </c>
      <c r="H1099" s="7">
        <v>1231351</v>
      </c>
      <c r="I1099" s="14">
        <v>1218.6829</v>
      </c>
      <c r="J1099" s="7">
        <v>1509179</v>
      </c>
    </row>
    <row r="1100" spans="1:10" x14ac:dyDescent="0.2">
      <c r="A1100" s="9">
        <v>45539</v>
      </c>
      <c r="B1100" s="4" t="s">
        <v>221</v>
      </c>
      <c r="C1100" s="8">
        <v>45536</v>
      </c>
      <c r="D1100" s="4" t="s">
        <v>190</v>
      </c>
      <c r="E1100" s="14">
        <v>251.72470000000001</v>
      </c>
      <c r="F1100" s="7">
        <v>372207</v>
      </c>
      <c r="G1100" s="14">
        <v>1080.3400999999999</v>
      </c>
      <c r="H1100" s="7">
        <v>1328674</v>
      </c>
      <c r="I1100" s="14">
        <v>1332.0648000000001</v>
      </c>
      <c r="J1100" s="7">
        <v>1700881</v>
      </c>
    </row>
    <row r="1101" spans="1:10" x14ac:dyDescent="0.2">
      <c r="A1101" s="9">
        <v>45540</v>
      </c>
      <c r="B1101" s="4" t="s">
        <v>224</v>
      </c>
      <c r="C1101" s="8">
        <v>45536</v>
      </c>
      <c r="D1101" s="4" t="s">
        <v>190</v>
      </c>
      <c r="E1101" s="14">
        <v>167.28399999999999</v>
      </c>
      <c r="F1101" s="7">
        <v>249558</v>
      </c>
      <c r="G1101" s="14">
        <v>1024.9074000000001</v>
      </c>
      <c r="H1101" s="7">
        <v>1251985</v>
      </c>
      <c r="I1101" s="14">
        <v>1192.1913999999999</v>
      </c>
      <c r="J1101" s="7">
        <v>1501543</v>
      </c>
    </row>
    <row r="1102" spans="1:10" x14ac:dyDescent="0.2">
      <c r="A1102" s="9">
        <v>45541</v>
      </c>
      <c r="B1102" s="4" t="s">
        <v>222</v>
      </c>
      <c r="C1102" s="8">
        <v>45536</v>
      </c>
      <c r="D1102" s="4" t="s">
        <v>190</v>
      </c>
      <c r="E1102" s="14">
        <v>466.33359999999999</v>
      </c>
      <c r="F1102" s="7">
        <v>697048</v>
      </c>
      <c r="G1102" s="14">
        <v>1294.4286999999999</v>
      </c>
      <c r="H1102" s="7">
        <v>1650180</v>
      </c>
      <c r="I1102" s="14">
        <v>1760.7623000000001</v>
      </c>
      <c r="J1102" s="7">
        <v>2347228</v>
      </c>
    </row>
    <row r="1103" spans="1:10" x14ac:dyDescent="0.2">
      <c r="A1103" s="9">
        <v>45544</v>
      </c>
      <c r="B1103" s="4" t="s">
        <v>225</v>
      </c>
      <c r="C1103" s="8">
        <v>45536</v>
      </c>
      <c r="D1103" s="4" t="s">
        <v>190</v>
      </c>
      <c r="E1103" s="14">
        <v>282.32889999999998</v>
      </c>
      <c r="F1103" s="7">
        <v>415165</v>
      </c>
      <c r="G1103" s="14">
        <v>979.9135</v>
      </c>
      <c r="H1103" s="7">
        <v>1228083</v>
      </c>
      <c r="I1103" s="14">
        <v>1262.2424000000001</v>
      </c>
      <c r="J1103" s="7">
        <v>1643248</v>
      </c>
    </row>
    <row r="1104" spans="1:10" x14ac:dyDescent="0.2">
      <c r="A1104" s="9">
        <v>45545</v>
      </c>
      <c r="B1104" s="4" t="s">
        <v>223</v>
      </c>
      <c r="C1104" s="8">
        <v>45536</v>
      </c>
      <c r="D1104" s="4" t="s">
        <v>190</v>
      </c>
      <c r="E1104" s="14">
        <v>274.87909999999999</v>
      </c>
      <c r="F1104" s="7">
        <v>410457</v>
      </c>
      <c r="G1104" s="14">
        <v>974.08590000000004</v>
      </c>
      <c r="H1104" s="7">
        <v>1210787</v>
      </c>
      <c r="I1104" s="14">
        <v>1248.9649999999999</v>
      </c>
      <c r="J1104" s="7">
        <v>1621244</v>
      </c>
    </row>
    <row r="1105" spans="1:10" x14ac:dyDescent="0.2">
      <c r="A1105" s="9">
        <v>45546</v>
      </c>
      <c r="B1105" s="4" t="s">
        <v>221</v>
      </c>
      <c r="C1105" s="8">
        <v>45536</v>
      </c>
      <c r="D1105" s="4" t="s">
        <v>190</v>
      </c>
      <c r="E1105" s="14">
        <v>257.14479999999998</v>
      </c>
      <c r="F1105" s="7">
        <v>377328</v>
      </c>
      <c r="G1105" s="14">
        <v>1021.8645</v>
      </c>
      <c r="H1105" s="7">
        <v>1300412</v>
      </c>
      <c r="I1105" s="14">
        <v>1279.0092999999999</v>
      </c>
      <c r="J1105" s="7">
        <v>1677740</v>
      </c>
    </row>
    <row r="1106" spans="1:10" x14ac:dyDescent="0.2">
      <c r="A1106" s="9">
        <v>45547</v>
      </c>
      <c r="B1106" s="4" t="s">
        <v>224</v>
      </c>
      <c r="C1106" s="8">
        <v>45536</v>
      </c>
      <c r="D1106" s="4" t="s">
        <v>190</v>
      </c>
      <c r="E1106" s="14">
        <v>467.6465</v>
      </c>
      <c r="F1106" s="7">
        <v>698971</v>
      </c>
      <c r="G1106" s="14">
        <v>1374.4893999999999</v>
      </c>
      <c r="H1106" s="7">
        <v>1709024</v>
      </c>
      <c r="I1106" s="14">
        <v>1842.1359</v>
      </c>
      <c r="J1106" s="7">
        <v>2407995</v>
      </c>
    </row>
    <row r="1107" spans="1:10" x14ac:dyDescent="0.2">
      <c r="A1107" s="9">
        <v>45548</v>
      </c>
      <c r="B1107" s="4" t="s">
        <v>222</v>
      </c>
      <c r="C1107" s="8">
        <v>45536</v>
      </c>
      <c r="D1107" s="4" t="s">
        <v>190</v>
      </c>
      <c r="E1107" s="14">
        <v>235.01259999999999</v>
      </c>
      <c r="F1107" s="7">
        <v>340512</v>
      </c>
      <c r="G1107" s="14">
        <v>1070.6600000000001</v>
      </c>
      <c r="H1107" s="7">
        <v>1302783</v>
      </c>
      <c r="I1107" s="14">
        <v>1305.6726000000001</v>
      </c>
      <c r="J1107" s="7">
        <v>1643295</v>
      </c>
    </row>
    <row r="1108" spans="1:10" x14ac:dyDescent="0.2">
      <c r="A1108" s="9">
        <v>45551</v>
      </c>
      <c r="B1108" s="4" t="s">
        <v>225</v>
      </c>
      <c r="C1108" s="8">
        <v>45536</v>
      </c>
      <c r="D1108" s="4" t="s">
        <v>190</v>
      </c>
      <c r="E1108" s="14">
        <v>202.62960000000001</v>
      </c>
      <c r="F1108" s="7">
        <v>293277</v>
      </c>
      <c r="G1108" s="14">
        <v>1072.3615</v>
      </c>
      <c r="H1108" s="7">
        <v>1270869</v>
      </c>
      <c r="I1108" s="14">
        <v>1274.9911</v>
      </c>
      <c r="J1108" s="7">
        <v>1564146</v>
      </c>
    </row>
    <row r="1109" spans="1:10" x14ac:dyDescent="0.2">
      <c r="A1109" s="9">
        <v>45552</v>
      </c>
      <c r="B1109" s="4" t="s">
        <v>223</v>
      </c>
      <c r="C1109" s="8">
        <v>45536</v>
      </c>
      <c r="D1109" s="4" t="s">
        <v>190</v>
      </c>
      <c r="E1109" s="14">
        <v>160.27699999999999</v>
      </c>
      <c r="F1109" s="7">
        <v>232347</v>
      </c>
      <c r="G1109" s="14">
        <v>946.5</v>
      </c>
      <c r="H1109" s="7">
        <v>1128014</v>
      </c>
      <c r="I1109" s="14">
        <v>1106.777</v>
      </c>
      <c r="J1109" s="7">
        <v>1360361</v>
      </c>
    </row>
    <row r="1110" spans="1:10" x14ac:dyDescent="0.2">
      <c r="A1110" s="9">
        <v>45553</v>
      </c>
      <c r="B1110" s="4" t="s">
        <v>221</v>
      </c>
      <c r="C1110" s="8">
        <v>45536</v>
      </c>
      <c r="D1110" s="4" t="s">
        <v>190</v>
      </c>
      <c r="E1110" s="14">
        <v>343.84859999999998</v>
      </c>
      <c r="F1110" s="7">
        <v>484484</v>
      </c>
      <c r="G1110" s="14">
        <v>1310.0264999999999</v>
      </c>
      <c r="H1110" s="7">
        <v>1586719</v>
      </c>
      <c r="I1110" s="14">
        <v>1653.8751</v>
      </c>
      <c r="J1110" s="7">
        <v>2071203</v>
      </c>
    </row>
    <row r="1111" spans="1:10" x14ac:dyDescent="0.2">
      <c r="A1111" s="9">
        <v>45554</v>
      </c>
      <c r="B1111" s="4" t="s">
        <v>224</v>
      </c>
      <c r="C1111" s="8">
        <v>45536</v>
      </c>
      <c r="D1111" s="4" t="s">
        <v>190</v>
      </c>
      <c r="E1111" s="14">
        <v>407.13510000000002</v>
      </c>
      <c r="F1111" s="7">
        <v>592726</v>
      </c>
      <c r="G1111" s="14">
        <v>1917.0332000000001</v>
      </c>
      <c r="H1111" s="7">
        <v>2384440</v>
      </c>
      <c r="I1111" s="14">
        <v>2324.1682999999998</v>
      </c>
      <c r="J1111" s="7">
        <v>2977166</v>
      </c>
    </row>
    <row r="1112" spans="1:10" x14ac:dyDescent="0.2">
      <c r="A1112" s="9">
        <v>45555</v>
      </c>
      <c r="B1112" s="4" t="s">
        <v>222</v>
      </c>
      <c r="C1112" s="8">
        <v>45536</v>
      </c>
      <c r="D1112" s="4" t="s">
        <v>190</v>
      </c>
      <c r="E1112" s="14">
        <v>640.59169999999995</v>
      </c>
      <c r="F1112" s="7">
        <v>938384</v>
      </c>
      <c r="G1112" s="14">
        <v>2277.5695999999998</v>
      </c>
      <c r="H1112" s="7">
        <v>2813810</v>
      </c>
      <c r="I1112" s="14">
        <v>2918.1613000000002</v>
      </c>
      <c r="J1112" s="7">
        <v>3752194</v>
      </c>
    </row>
    <row r="1113" spans="1:10" x14ac:dyDescent="0.2">
      <c r="A1113" s="9">
        <v>45558</v>
      </c>
      <c r="B1113" s="4" t="s">
        <v>225</v>
      </c>
      <c r="C1113" s="8">
        <v>45536</v>
      </c>
      <c r="D1113" s="4" t="s">
        <v>190</v>
      </c>
      <c r="E1113" s="14">
        <v>456.26870000000002</v>
      </c>
      <c r="F1113" s="7">
        <v>655682</v>
      </c>
      <c r="G1113" s="14">
        <v>3141.7534999999998</v>
      </c>
      <c r="H1113" s="7">
        <v>3855036</v>
      </c>
      <c r="I1113" s="14">
        <v>3598.0221999999999</v>
      </c>
      <c r="J1113" s="7">
        <v>4510718</v>
      </c>
    </row>
    <row r="1114" spans="1:10" x14ac:dyDescent="0.2">
      <c r="A1114" s="9">
        <v>45559</v>
      </c>
      <c r="B1114" s="4" t="s">
        <v>223</v>
      </c>
      <c r="C1114" s="8">
        <v>45536</v>
      </c>
      <c r="D1114" s="4" t="s">
        <v>190</v>
      </c>
      <c r="E1114" s="14">
        <v>427.47199999999998</v>
      </c>
      <c r="F1114" s="7">
        <v>616573</v>
      </c>
      <c r="G1114" s="14">
        <v>3386.3240999999998</v>
      </c>
      <c r="H1114" s="7">
        <v>4099201</v>
      </c>
      <c r="I1114" s="14">
        <v>3813.7961</v>
      </c>
      <c r="J1114" s="7">
        <v>4715774</v>
      </c>
    </row>
    <row r="1115" spans="1:10" x14ac:dyDescent="0.2">
      <c r="A1115" s="9">
        <v>45560</v>
      </c>
      <c r="B1115" s="4" t="s">
        <v>221</v>
      </c>
      <c r="C1115" s="8">
        <v>45536</v>
      </c>
      <c r="D1115" s="4" t="s">
        <v>190</v>
      </c>
      <c r="E1115" s="14">
        <v>440.87670000000003</v>
      </c>
      <c r="F1115" s="7">
        <v>627600</v>
      </c>
      <c r="G1115" s="14">
        <v>3125.9144000000001</v>
      </c>
      <c r="H1115" s="7">
        <v>3823265</v>
      </c>
      <c r="I1115" s="14">
        <v>3566.7910999999999</v>
      </c>
      <c r="J1115" s="7">
        <v>4450865</v>
      </c>
    </row>
    <row r="1116" spans="1:10" x14ac:dyDescent="0.2">
      <c r="A1116" s="9">
        <v>45561</v>
      </c>
      <c r="B1116" s="4" t="s">
        <v>224</v>
      </c>
      <c r="C1116" s="8">
        <v>45536</v>
      </c>
      <c r="D1116" s="4" t="s">
        <v>190</v>
      </c>
      <c r="E1116" s="14">
        <v>551.75519999999995</v>
      </c>
      <c r="F1116" s="7">
        <v>816956</v>
      </c>
      <c r="G1116" s="14">
        <v>3195.4099000000001</v>
      </c>
      <c r="H1116" s="7">
        <v>3935160</v>
      </c>
      <c r="I1116" s="14">
        <v>3747.1651000000002</v>
      </c>
      <c r="J1116" s="7">
        <v>4752116</v>
      </c>
    </row>
    <row r="1117" spans="1:10" x14ac:dyDescent="0.2">
      <c r="A1117" s="9">
        <v>45562</v>
      </c>
      <c r="B1117" s="4" t="s">
        <v>222</v>
      </c>
      <c r="C1117" s="8">
        <v>45536</v>
      </c>
      <c r="D1117" s="4" t="s">
        <v>190</v>
      </c>
      <c r="E1117" s="14">
        <v>264.65100000000001</v>
      </c>
      <c r="F1117" s="7">
        <v>372337</v>
      </c>
      <c r="G1117" s="14">
        <v>1581.5178000000001</v>
      </c>
      <c r="H1117" s="7">
        <v>1894745</v>
      </c>
      <c r="I1117" s="14">
        <v>1846.1687999999999</v>
      </c>
      <c r="J1117" s="7">
        <v>2267082</v>
      </c>
    </row>
    <row r="1118" spans="1:10" x14ac:dyDescent="0.2">
      <c r="A1118" s="9">
        <v>45565</v>
      </c>
      <c r="B1118" s="4" t="s">
        <v>225</v>
      </c>
      <c r="C1118" s="8">
        <v>45536</v>
      </c>
      <c r="D1118" s="4" t="s">
        <v>190</v>
      </c>
      <c r="E1118" s="14">
        <v>403.08420000000001</v>
      </c>
      <c r="F1118" s="7">
        <v>578988</v>
      </c>
      <c r="G1118" s="14">
        <v>1276.7464</v>
      </c>
      <c r="H1118" s="7">
        <v>1544839</v>
      </c>
      <c r="I1118" s="14">
        <v>1679.8306</v>
      </c>
      <c r="J1118" s="7">
        <v>2123827</v>
      </c>
    </row>
    <row r="1119" spans="1:10" x14ac:dyDescent="0.2">
      <c r="A1119" s="9">
        <v>45566</v>
      </c>
      <c r="B1119" s="4" t="s">
        <v>223</v>
      </c>
      <c r="C1119" s="8">
        <v>45566</v>
      </c>
      <c r="D1119" s="4" t="s">
        <v>191</v>
      </c>
      <c r="E1119" s="14">
        <v>241.0044</v>
      </c>
      <c r="F1119" s="7">
        <v>341671</v>
      </c>
      <c r="G1119" s="14">
        <v>1061.1397999999999</v>
      </c>
      <c r="H1119" s="7">
        <v>1268375</v>
      </c>
      <c r="I1119" s="14">
        <v>1302.1442</v>
      </c>
      <c r="J1119" s="7">
        <v>1610046</v>
      </c>
    </row>
    <row r="1120" spans="1:10" x14ac:dyDescent="0.2">
      <c r="A1120" s="9">
        <v>45568</v>
      </c>
      <c r="B1120" s="4" t="s">
        <v>224</v>
      </c>
      <c r="C1120" s="8">
        <v>45566</v>
      </c>
      <c r="D1120" s="4" t="s">
        <v>191</v>
      </c>
      <c r="E1120" s="14">
        <v>502.72309999999999</v>
      </c>
      <c r="F1120" s="7">
        <v>739664</v>
      </c>
      <c r="G1120" s="14">
        <v>1456.5005000000001</v>
      </c>
      <c r="H1120" s="7">
        <v>1793779</v>
      </c>
      <c r="I1120" s="14">
        <v>1959.2236</v>
      </c>
      <c r="J1120" s="7">
        <v>2533443</v>
      </c>
    </row>
    <row r="1121" spans="1:10" x14ac:dyDescent="0.2">
      <c r="A1121" s="9">
        <v>45569</v>
      </c>
      <c r="B1121" s="4" t="s">
        <v>222</v>
      </c>
      <c r="C1121" s="8">
        <v>45566</v>
      </c>
      <c r="D1121" s="4" t="s">
        <v>191</v>
      </c>
      <c r="E1121" s="14">
        <v>508.89850000000001</v>
      </c>
      <c r="F1121" s="7">
        <v>752768</v>
      </c>
      <c r="G1121" s="14">
        <v>1344.2526</v>
      </c>
      <c r="H1121" s="7">
        <v>1677548</v>
      </c>
      <c r="I1121" s="14">
        <v>1853.1511</v>
      </c>
      <c r="J1121" s="7">
        <v>2430316</v>
      </c>
    </row>
    <row r="1122" spans="1:10" x14ac:dyDescent="0.2">
      <c r="A1122" s="9">
        <v>45572</v>
      </c>
      <c r="B1122" s="4" t="s">
        <v>225</v>
      </c>
      <c r="C1122" s="8">
        <v>45566</v>
      </c>
      <c r="D1122" s="4" t="s">
        <v>191</v>
      </c>
      <c r="E1122" s="14">
        <v>521.476</v>
      </c>
      <c r="F1122" s="7">
        <v>764315</v>
      </c>
      <c r="G1122" s="14">
        <v>1347.2035000000001</v>
      </c>
      <c r="H1122" s="7">
        <v>1709173</v>
      </c>
      <c r="I1122" s="14">
        <v>1868.6795</v>
      </c>
      <c r="J1122" s="7">
        <v>2473488</v>
      </c>
    </row>
    <row r="1123" spans="1:10" x14ac:dyDescent="0.2">
      <c r="A1123" s="9">
        <v>45573</v>
      </c>
      <c r="B1123" s="4" t="s">
        <v>223</v>
      </c>
      <c r="C1123" s="8">
        <v>45566</v>
      </c>
      <c r="D1123" s="4" t="s">
        <v>191</v>
      </c>
      <c r="E1123" s="14">
        <v>335.5643</v>
      </c>
      <c r="F1123" s="7">
        <v>502231</v>
      </c>
      <c r="G1123" s="14">
        <v>1078.8949</v>
      </c>
      <c r="H1123" s="7">
        <v>1322300</v>
      </c>
      <c r="I1123" s="14">
        <v>1414.4592</v>
      </c>
      <c r="J1123" s="7">
        <v>1824531</v>
      </c>
    </row>
    <row r="1124" spans="1:10" x14ac:dyDescent="0.2">
      <c r="A1124" s="9">
        <v>45574</v>
      </c>
      <c r="B1124" s="4" t="s">
        <v>221</v>
      </c>
      <c r="C1124" s="8">
        <v>45566</v>
      </c>
      <c r="D1124" s="4" t="s">
        <v>191</v>
      </c>
      <c r="E1124" s="14">
        <v>399.8503</v>
      </c>
      <c r="F1124" s="7">
        <v>581347</v>
      </c>
      <c r="G1124" s="14">
        <v>1190.7140999999999</v>
      </c>
      <c r="H1124" s="7">
        <v>1460998</v>
      </c>
      <c r="I1124" s="14">
        <v>1590.5644</v>
      </c>
      <c r="J1124" s="7">
        <v>2042345</v>
      </c>
    </row>
    <row r="1125" spans="1:10" x14ac:dyDescent="0.2">
      <c r="A1125" s="9">
        <v>45575</v>
      </c>
      <c r="B1125" s="4" t="s">
        <v>224</v>
      </c>
      <c r="C1125" s="8">
        <v>45566</v>
      </c>
      <c r="D1125" s="4" t="s">
        <v>191</v>
      </c>
      <c r="E1125" s="14">
        <v>223.79519999999999</v>
      </c>
      <c r="F1125" s="7">
        <v>330087</v>
      </c>
      <c r="G1125" s="14">
        <v>942.60479999999995</v>
      </c>
      <c r="H1125" s="7">
        <v>1152985</v>
      </c>
      <c r="I1125" s="14">
        <v>1166.4000000000001</v>
      </c>
      <c r="J1125" s="7">
        <v>1483072</v>
      </c>
    </row>
    <row r="1126" spans="1:10" x14ac:dyDescent="0.2">
      <c r="A1126" s="9">
        <v>45576</v>
      </c>
      <c r="B1126" s="4" t="s">
        <v>222</v>
      </c>
      <c r="C1126" s="8">
        <v>45566</v>
      </c>
      <c r="D1126" s="4" t="s">
        <v>191</v>
      </c>
      <c r="E1126" s="14">
        <v>192.6831</v>
      </c>
      <c r="F1126" s="7">
        <v>278877</v>
      </c>
      <c r="G1126" s="14">
        <v>811.07230000000004</v>
      </c>
      <c r="H1126" s="7">
        <v>985099</v>
      </c>
      <c r="I1126" s="14">
        <v>1003.7554</v>
      </c>
      <c r="J1126" s="7">
        <v>1263976</v>
      </c>
    </row>
    <row r="1127" spans="1:10" x14ac:dyDescent="0.2">
      <c r="A1127" s="9">
        <v>45579</v>
      </c>
      <c r="B1127" s="4" t="s">
        <v>225</v>
      </c>
      <c r="C1127" s="8">
        <v>45566</v>
      </c>
      <c r="D1127" s="4" t="s">
        <v>191</v>
      </c>
      <c r="E1127" s="14">
        <v>220.23159999999999</v>
      </c>
      <c r="F1127" s="7">
        <v>317888</v>
      </c>
      <c r="G1127" s="14">
        <v>869.44209999999998</v>
      </c>
      <c r="H1127" s="7">
        <v>1062810</v>
      </c>
      <c r="I1127" s="14">
        <v>1089.6737000000001</v>
      </c>
      <c r="J1127" s="7">
        <v>1380698</v>
      </c>
    </row>
    <row r="1128" spans="1:10" x14ac:dyDescent="0.2">
      <c r="A1128" s="9">
        <v>45580</v>
      </c>
      <c r="B1128" s="4" t="s">
        <v>223</v>
      </c>
      <c r="C1128" s="8">
        <v>45566</v>
      </c>
      <c r="D1128" s="4" t="s">
        <v>191</v>
      </c>
      <c r="E1128" s="14">
        <v>197.15979999999999</v>
      </c>
      <c r="F1128" s="7">
        <v>289331</v>
      </c>
      <c r="G1128" s="14">
        <v>974.84069999999997</v>
      </c>
      <c r="H1128" s="7">
        <v>1201627</v>
      </c>
      <c r="I1128" s="14">
        <v>1172.0005000000001</v>
      </c>
      <c r="J1128" s="7">
        <v>1490958</v>
      </c>
    </row>
    <row r="1129" spans="1:10" x14ac:dyDescent="0.2">
      <c r="A1129" s="9">
        <v>45581</v>
      </c>
      <c r="B1129" s="4" t="s">
        <v>221</v>
      </c>
      <c r="C1129" s="8">
        <v>45566</v>
      </c>
      <c r="D1129" s="4" t="s">
        <v>191</v>
      </c>
      <c r="E1129" s="14">
        <v>206.27289999999999</v>
      </c>
      <c r="F1129" s="7">
        <v>307330</v>
      </c>
      <c r="G1129" s="14">
        <v>984.36609999999996</v>
      </c>
      <c r="H1129" s="7">
        <v>1193904</v>
      </c>
      <c r="I1129" s="14">
        <v>1190.6389999999999</v>
      </c>
      <c r="J1129" s="7">
        <v>1501234</v>
      </c>
    </row>
    <row r="1130" spans="1:10" x14ac:dyDescent="0.2">
      <c r="A1130" s="9">
        <v>45582</v>
      </c>
      <c r="B1130" s="4" t="s">
        <v>224</v>
      </c>
      <c r="C1130" s="8">
        <v>45566</v>
      </c>
      <c r="D1130" s="4" t="s">
        <v>191</v>
      </c>
      <c r="E1130" s="14">
        <v>259.90230000000003</v>
      </c>
      <c r="F1130" s="7">
        <v>383050</v>
      </c>
      <c r="G1130" s="14">
        <v>1242.9344000000001</v>
      </c>
      <c r="H1130" s="7">
        <v>1546364</v>
      </c>
      <c r="I1130" s="14">
        <v>1502.8367000000001</v>
      </c>
      <c r="J1130" s="7">
        <v>1929414</v>
      </c>
    </row>
    <row r="1131" spans="1:10" x14ac:dyDescent="0.2">
      <c r="A1131" s="9">
        <v>45583</v>
      </c>
      <c r="B1131" s="4" t="s">
        <v>222</v>
      </c>
      <c r="C1131" s="8">
        <v>45566</v>
      </c>
      <c r="D1131" s="4" t="s">
        <v>191</v>
      </c>
      <c r="E1131" s="14">
        <v>343.73230000000001</v>
      </c>
      <c r="F1131" s="7">
        <v>502449</v>
      </c>
      <c r="G1131" s="14">
        <v>1220.1523</v>
      </c>
      <c r="H1131" s="7">
        <v>1534961</v>
      </c>
      <c r="I1131" s="14">
        <v>1563.8846000000001</v>
      </c>
      <c r="J1131" s="7">
        <v>2037410</v>
      </c>
    </row>
    <row r="1132" spans="1:10" x14ac:dyDescent="0.2">
      <c r="A1132" s="9">
        <v>45586</v>
      </c>
      <c r="B1132" s="4" t="s">
        <v>225</v>
      </c>
      <c r="C1132" s="8">
        <v>45566</v>
      </c>
      <c r="D1132" s="4" t="s">
        <v>191</v>
      </c>
      <c r="E1132" s="14">
        <v>292.67219999999998</v>
      </c>
      <c r="F1132" s="7">
        <v>429769</v>
      </c>
      <c r="G1132" s="14">
        <v>1375.0292999999999</v>
      </c>
      <c r="H1132" s="7">
        <v>1752595</v>
      </c>
      <c r="I1132" s="14">
        <v>1667.7014999999999</v>
      </c>
      <c r="J1132" s="7">
        <v>2182364</v>
      </c>
    </row>
    <row r="1133" spans="1:10" x14ac:dyDescent="0.2">
      <c r="A1133" s="9">
        <v>45587</v>
      </c>
      <c r="B1133" s="4" t="s">
        <v>223</v>
      </c>
      <c r="C1133" s="8">
        <v>45566</v>
      </c>
      <c r="D1133" s="4" t="s">
        <v>191</v>
      </c>
      <c r="E1133" s="14">
        <v>346.01150000000001</v>
      </c>
      <c r="F1133" s="7">
        <v>515224</v>
      </c>
      <c r="G1133" s="14">
        <v>1203.0951</v>
      </c>
      <c r="H1133" s="7">
        <v>1523298</v>
      </c>
      <c r="I1133" s="14">
        <v>1549.1066000000001</v>
      </c>
      <c r="J1133" s="7">
        <v>2038522</v>
      </c>
    </row>
    <row r="1134" spans="1:10" x14ac:dyDescent="0.2">
      <c r="A1134" s="9">
        <v>45588</v>
      </c>
      <c r="B1134" s="4" t="s">
        <v>221</v>
      </c>
      <c r="C1134" s="8">
        <v>45566</v>
      </c>
      <c r="D1134" s="4" t="s">
        <v>191</v>
      </c>
      <c r="E1134" s="14">
        <v>286.9545</v>
      </c>
      <c r="F1134" s="7">
        <v>432714</v>
      </c>
      <c r="G1134" s="14">
        <v>1430.6204</v>
      </c>
      <c r="H1134" s="7">
        <v>1814574</v>
      </c>
      <c r="I1134" s="14">
        <v>1717.5749000000001</v>
      </c>
      <c r="J1134" s="7">
        <v>2247288</v>
      </c>
    </row>
    <row r="1135" spans="1:10" x14ac:dyDescent="0.2">
      <c r="A1135" s="9">
        <v>45589</v>
      </c>
      <c r="B1135" s="4" t="s">
        <v>224</v>
      </c>
      <c r="C1135" s="8">
        <v>45566</v>
      </c>
      <c r="D1135" s="4" t="s">
        <v>191</v>
      </c>
      <c r="E1135" s="14">
        <v>278.47370000000001</v>
      </c>
      <c r="F1135" s="7">
        <v>411912</v>
      </c>
      <c r="G1135" s="14">
        <v>1298.2125000000001</v>
      </c>
      <c r="H1135" s="7">
        <v>1665582</v>
      </c>
      <c r="I1135" s="14">
        <v>1576.6862000000001</v>
      </c>
      <c r="J1135" s="7">
        <v>2077494</v>
      </c>
    </row>
    <row r="1136" spans="1:10" x14ac:dyDescent="0.2">
      <c r="A1136" s="9">
        <v>45590</v>
      </c>
      <c r="B1136" s="4" t="s">
        <v>222</v>
      </c>
      <c r="C1136" s="8">
        <v>45566</v>
      </c>
      <c r="D1136" s="4" t="s">
        <v>191</v>
      </c>
      <c r="E1136" s="14">
        <v>465.75510000000003</v>
      </c>
      <c r="F1136" s="7">
        <v>697988</v>
      </c>
      <c r="G1136" s="14">
        <v>1804.8348000000001</v>
      </c>
      <c r="H1136" s="7">
        <v>2373978</v>
      </c>
      <c r="I1136" s="14">
        <v>2270.5898999999999</v>
      </c>
      <c r="J1136" s="7">
        <v>3071966</v>
      </c>
    </row>
    <row r="1137" spans="1:10" x14ac:dyDescent="0.2">
      <c r="A1137" s="9">
        <v>45593</v>
      </c>
      <c r="B1137" s="4" t="s">
        <v>225</v>
      </c>
      <c r="C1137" s="8">
        <v>45566</v>
      </c>
      <c r="D1137" s="4" t="s">
        <v>191</v>
      </c>
      <c r="E1137" s="14">
        <v>428.03730000000002</v>
      </c>
      <c r="F1137" s="7">
        <v>644531</v>
      </c>
      <c r="G1137" s="14">
        <v>2891.4630999999999</v>
      </c>
      <c r="H1137" s="7">
        <v>3819309</v>
      </c>
      <c r="I1137" s="14">
        <v>3319.5003999999999</v>
      </c>
      <c r="J1137" s="7">
        <v>4463840</v>
      </c>
    </row>
    <row r="1138" spans="1:10" x14ac:dyDescent="0.2">
      <c r="A1138" s="9">
        <v>45594</v>
      </c>
      <c r="B1138" s="4" t="s">
        <v>223</v>
      </c>
      <c r="C1138" s="8">
        <v>45566</v>
      </c>
      <c r="D1138" s="4" t="s">
        <v>191</v>
      </c>
      <c r="E1138" s="14">
        <v>493.9427</v>
      </c>
      <c r="F1138" s="7">
        <v>734997</v>
      </c>
      <c r="G1138" s="14">
        <v>3432.9416000000001</v>
      </c>
      <c r="H1138" s="7">
        <v>4578201</v>
      </c>
      <c r="I1138" s="14">
        <v>3926.8843000000002</v>
      </c>
      <c r="J1138" s="7">
        <v>5313198</v>
      </c>
    </row>
    <row r="1139" spans="1:10" x14ac:dyDescent="0.2">
      <c r="A1139" s="9">
        <v>45595</v>
      </c>
      <c r="B1139" s="4" t="s">
        <v>221</v>
      </c>
      <c r="C1139" s="8">
        <v>45566</v>
      </c>
      <c r="D1139" s="4" t="s">
        <v>191</v>
      </c>
      <c r="E1139" s="14">
        <v>460.63990000000001</v>
      </c>
      <c r="F1139" s="7">
        <v>678834</v>
      </c>
      <c r="G1139" s="14">
        <v>2759.3083000000001</v>
      </c>
      <c r="H1139" s="7">
        <v>3596053</v>
      </c>
      <c r="I1139" s="14">
        <v>3219.9481999999998</v>
      </c>
      <c r="J1139" s="7">
        <v>4274887</v>
      </c>
    </row>
    <row r="1140" spans="1:10" x14ac:dyDescent="0.2">
      <c r="A1140" s="9">
        <v>45596</v>
      </c>
      <c r="B1140" s="4" t="s">
        <v>224</v>
      </c>
      <c r="C1140" s="8">
        <v>45566</v>
      </c>
      <c r="D1140" s="4" t="s">
        <v>191</v>
      </c>
      <c r="E1140" s="14">
        <v>406.3956</v>
      </c>
      <c r="F1140" s="7">
        <v>629399</v>
      </c>
      <c r="G1140" s="14">
        <v>2711.9087</v>
      </c>
      <c r="H1140" s="7">
        <v>3631126</v>
      </c>
      <c r="I1140" s="14">
        <v>3118.3042999999998</v>
      </c>
      <c r="J1140" s="7">
        <v>4260525</v>
      </c>
    </row>
    <row r="1141" spans="1:10" x14ac:dyDescent="0.2">
      <c r="A1141" s="9">
        <v>45597</v>
      </c>
      <c r="B1141" s="4" t="s">
        <v>222</v>
      </c>
      <c r="C1141" s="8">
        <v>45597</v>
      </c>
      <c r="D1141" s="4" t="s">
        <v>191</v>
      </c>
      <c r="E1141" s="14">
        <v>49.557699999999997</v>
      </c>
      <c r="F1141" s="7">
        <v>75740</v>
      </c>
      <c r="G1141" s="14">
        <v>120.6764</v>
      </c>
      <c r="H1141" s="7">
        <v>187935</v>
      </c>
      <c r="I1141" s="14">
        <v>170.23410000000001</v>
      </c>
      <c r="J1141" s="7">
        <v>263675</v>
      </c>
    </row>
    <row r="1142" spans="1:10" x14ac:dyDescent="0.2">
      <c r="A1142" s="9">
        <v>45600</v>
      </c>
      <c r="B1142" s="4" t="s">
        <v>225</v>
      </c>
      <c r="C1142" s="8">
        <v>45597</v>
      </c>
      <c r="D1142" s="4" t="s">
        <v>191</v>
      </c>
      <c r="E1142" s="14">
        <v>314.84899999999999</v>
      </c>
      <c r="F1142" s="7">
        <v>488190</v>
      </c>
      <c r="G1142" s="14">
        <v>959.36130000000003</v>
      </c>
      <c r="H1142" s="7">
        <v>1467026</v>
      </c>
      <c r="I1142" s="14">
        <v>1274.2103</v>
      </c>
      <c r="J1142" s="7">
        <v>1955216</v>
      </c>
    </row>
    <row r="1143" spans="1:10" x14ac:dyDescent="0.2">
      <c r="A1143" s="9">
        <v>45601</v>
      </c>
      <c r="B1143" s="4" t="s">
        <v>223</v>
      </c>
      <c r="C1143" s="8">
        <v>45597</v>
      </c>
      <c r="D1143" s="4" t="s">
        <v>191</v>
      </c>
      <c r="E1143" s="14">
        <v>341.9246</v>
      </c>
      <c r="F1143" s="7">
        <v>506722</v>
      </c>
      <c r="G1143" s="14">
        <v>1047.0823</v>
      </c>
      <c r="H1143" s="7">
        <v>1532851</v>
      </c>
      <c r="I1143" s="14">
        <v>1389.0069000000001</v>
      </c>
      <c r="J1143" s="7">
        <v>2039573</v>
      </c>
    </row>
    <row r="1144" spans="1:10" x14ac:dyDescent="0.2">
      <c r="A1144" s="9">
        <v>45602</v>
      </c>
      <c r="B1144" s="4" t="s">
        <v>221</v>
      </c>
      <c r="C1144" s="8">
        <v>45597</v>
      </c>
      <c r="D1144" s="4" t="s">
        <v>191</v>
      </c>
      <c r="E1144" s="14">
        <v>318.86790000000002</v>
      </c>
      <c r="F1144" s="7">
        <v>484334</v>
      </c>
      <c r="G1144" s="14">
        <v>1127.3318999999999</v>
      </c>
      <c r="H1144" s="7">
        <v>1641655</v>
      </c>
      <c r="I1144" s="14">
        <v>1446.1998000000001</v>
      </c>
      <c r="J1144" s="7">
        <v>2125989</v>
      </c>
    </row>
    <row r="1145" spans="1:10" x14ac:dyDescent="0.2">
      <c r="A1145" s="9">
        <v>45603</v>
      </c>
      <c r="B1145" s="4" t="s">
        <v>224</v>
      </c>
      <c r="C1145" s="8">
        <v>45597</v>
      </c>
      <c r="D1145" s="4" t="s">
        <v>191</v>
      </c>
      <c r="E1145" s="14">
        <v>263.61950000000002</v>
      </c>
      <c r="F1145" s="7">
        <v>398097</v>
      </c>
      <c r="G1145" s="14">
        <v>966.2192</v>
      </c>
      <c r="H1145" s="7">
        <v>1417556</v>
      </c>
      <c r="I1145" s="14">
        <v>1229.8387</v>
      </c>
      <c r="J1145" s="7">
        <v>1815653</v>
      </c>
    </row>
    <row r="1146" spans="1:10" x14ac:dyDescent="0.2">
      <c r="A1146" s="9">
        <v>45604</v>
      </c>
      <c r="B1146" s="4" t="s">
        <v>222</v>
      </c>
      <c r="C1146" s="8">
        <v>45597</v>
      </c>
      <c r="D1146" s="4" t="s">
        <v>191</v>
      </c>
      <c r="E1146" s="14">
        <v>235.33840000000001</v>
      </c>
      <c r="F1146" s="7">
        <v>353003</v>
      </c>
      <c r="G1146" s="14">
        <v>972.0779</v>
      </c>
      <c r="H1146" s="7">
        <v>1472375</v>
      </c>
      <c r="I1146" s="14">
        <v>1207.4163000000001</v>
      </c>
      <c r="J1146" s="7">
        <v>1825378</v>
      </c>
    </row>
    <row r="1147" spans="1:10" x14ac:dyDescent="0.2">
      <c r="A1147" s="9">
        <v>45607</v>
      </c>
      <c r="B1147" s="4" t="s">
        <v>225</v>
      </c>
      <c r="C1147" s="8">
        <v>45597</v>
      </c>
      <c r="D1147" s="4" t="s">
        <v>191</v>
      </c>
      <c r="E1147" s="14">
        <v>270.10770000000002</v>
      </c>
      <c r="F1147" s="7">
        <v>408025</v>
      </c>
      <c r="G1147" s="14">
        <v>942.09590000000003</v>
      </c>
      <c r="H1147" s="7">
        <v>1456061</v>
      </c>
      <c r="I1147" s="14">
        <v>1212.2036000000001</v>
      </c>
      <c r="J1147" s="7">
        <v>1864086</v>
      </c>
    </row>
    <row r="1148" spans="1:10" x14ac:dyDescent="0.2">
      <c r="A1148" s="9">
        <v>45608</v>
      </c>
      <c r="B1148" s="4" t="s">
        <v>223</v>
      </c>
      <c r="C1148" s="8">
        <v>45597</v>
      </c>
      <c r="D1148" s="4" t="s">
        <v>191</v>
      </c>
      <c r="E1148" s="14">
        <v>286.17500000000001</v>
      </c>
      <c r="F1148" s="7">
        <v>426319</v>
      </c>
      <c r="G1148" s="14">
        <v>969.47149999999999</v>
      </c>
      <c r="H1148" s="7">
        <v>1433503</v>
      </c>
      <c r="I1148" s="14">
        <v>1255.6465000000001</v>
      </c>
      <c r="J1148" s="7">
        <v>1859822</v>
      </c>
    </row>
    <row r="1149" spans="1:10" x14ac:dyDescent="0.2">
      <c r="A1149" s="9">
        <v>45609</v>
      </c>
      <c r="B1149" s="4" t="s">
        <v>221</v>
      </c>
      <c r="C1149" s="8">
        <v>45597</v>
      </c>
      <c r="D1149" s="4" t="s">
        <v>191</v>
      </c>
      <c r="E1149" s="14">
        <v>365.41340000000002</v>
      </c>
      <c r="F1149" s="7">
        <v>552421</v>
      </c>
      <c r="G1149" s="14">
        <v>960.08709999999996</v>
      </c>
      <c r="H1149" s="7">
        <v>1468100</v>
      </c>
      <c r="I1149" s="14">
        <v>1325.5005000000001</v>
      </c>
      <c r="J1149" s="7">
        <v>2020521</v>
      </c>
    </row>
    <row r="1150" spans="1:10" x14ac:dyDescent="0.2">
      <c r="A1150" s="9">
        <v>45610</v>
      </c>
      <c r="B1150" s="4" t="s">
        <v>224</v>
      </c>
      <c r="C1150" s="8">
        <v>45597</v>
      </c>
      <c r="D1150" s="4" t="s">
        <v>191</v>
      </c>
      <c r="E1150" s="14">
        <v>265.08049999999997</v>
      </c>
      <c r="F1150" s="7">
        <v>410095</v>
      </c>
      <c r="G1150" s="14">
        <v>837.63229999999999</v>
      </c>
      <c r="H1150" s="7">
        <v>1290834</v>
      </c>
      <c r="I1150" s="14">
        <v>1102.7128</v>
      </c>
      <c r="J1150" s="7">
        <v>1700929</v>
      </c>
    </row>
    <row r="1151" spans="1:10" x14ac:dyDescent="0.2">
      <c r="A1151" s="9">
        <v>45614</v>
      </c>
      <c r="B1151" s="4" t="s">
        <v>225</v>
      </c>
      <c r="C1151" s="8">
        <v>45597</v>
      </c>
      <c r="D1151" s="4" t="s">
        <v>191</v>
      </c>
      <c r="E1151" s="14">
        <v>239.99010000000001</v>
      </c>
      <c r="F1151" s="7">
        <v>381941</v>
      </c>
      <c r="G1151" s="14">
        <v>851.08640000000003</v>
      </c>
      <c r="H1151" s="7">
        <v>1320722</v>
      </c>
      <c r="I1151" s="14">
        <v>1091.0764999999999</v>
      </c>
      <c r="J1151" s="7">
        <v>1702663</v>
      </c>
    </row>
    <row r="1152" spans="1:10" x14ac:dyDescent="0.2">
      <c r="A1152" s="9">
        <v>45615</v>
      </c>
      <c r="B1152" s="4" t="s">
        <v>223</v>
      </c>
      <c r="C1152" s="8">
        <v>45597</v>
      </c>
      <c r="D1152" s="4" t="s">
        <v>191</v>
      </c>
      <c r="E1152" s="14">
        <v>342.31630000000001</v>
      </c>
      <c r="F1152" s="7">
        <v>529173</v>
      </c>
      <c r="G1152" s="14">
        <v>1020.1891000000001</v>
      </c>
      <c r="H1152" s="7">
        <v>1559659</v>
      </c>
      <c r="I1152" s="14">
        <v>1362.5054</v>
      </c>
      <c r="J1152" s="7">
        <v>2088832</v>
      </c>
    </row>
    <row r="1153" spans="1:10" x14ac:dyDescent="0.2">
      <c r="A1153" s="9">
        <v>45617</v>
      </c>
      <c r="B1153" s="4" t="s">
        <v>224</v>
      </c>
      <c r="C1153" s="8">
        <v>45597</v>
      </c>
      <c r="D1153" s="4" t="s">
        <v>191</v>
      </c>
      <c r="E1153" s="14">
        <v>338.42200000000003</v>
      </c>
      <c r="F1153" s="7">
        <v>517918</v>
      </c>
      <c r="G1153" s="14">
        <v>1198.598</v>
      </c>
      <c r="H1153" s="7">
        <v>1932799</v>
      </c>
      <c r="I1153" s="14">
        <v>1537.02</v>
      </c>
      <c r="J1153" s="7">
        <v>2450717</v>
      </c>
    </row>
    <row r="1154" spans="1:10" x14ac:dyDescent="0.2">
      <c r="A1154" s="9">
        <v>45618</v>
      </c>
      <c r="B1154" s="4" t="s">
        <v>222</v>
      </c>
      <c r="C1154" s="8">
        <v>45597</v>
      </c>
      <c r="D1154" s="4" t="s">
        <v>191</v>
      </c>
      <c r="E1154" s="14">
        <v>515.91030000000001</v>
      </c>
      <c r="F1154" s="7">
        <v>806634</v>
      </c>
      <c r="G1154" s="14">
        <v>1433.4712999999999</v>
      </c>
      <c r="H1154" s="7">
        <v>2249545</v>
      </c>
      <c r="I1154" s="14">
        <v>1949.3815999999999</v>
      </c>
      <c r="J1154" s="7">
        <v>3056179</v>
      </c>
    </row>
    <row r="1155" spans="1:10" x14ac:dyDescent="0.2">
      <c r="A1155" s="9">
        <v>45621</v>
      </c>
      <c r="B1155" s="4" t="s">
        <v>225</v>
      </c>
      <c r="C1155" s="8">
        <v>45597</v>
      </c>
      <c r="D1155" s="4" t="s">
        <v>191</v>
      </c>
      <c r="E1155" s="14">
        <v>496.63560000000001</v>
      </c>
      <c r="F1155" s="7">
        <v>749546</v>
      </c>
      <c r="G1155" s="14">
        <v>3273.9729000000002</v>
      </c>
      <c r="H1155" s="7">
        <v>4912563</v>
      </c>
      <c r="I1155" s="14">
        <v>3770.6084999999998</v>
      </c>
      <c r="J1155" s="7">
        <v>5662109</v>
      </c>
    </row>
    <row r="1156" spans="1:10" x14ac:dyDescent="0.2">
      <c r="A1156" s="9">
        <v>45622</v>
      </c>
      <c r="B1156" s="4" t="s">
        <v>223</v>
      </c>
      <c r="C1156" s="8">
        <v>45597</v>
      </c>
      <c r="D1156" s="4" t="s">
        <v>191</v>
      </c>
      <c r="E1156" s="14">
        <v>317.21839999999997</v>
      </c>
      <c r="F1156" s="7">
        <v>480139</v>
      </c>
      <c r="G1156" s="14">
        <v>2981.6259</v>
      </c>
      <c r="H1156" s="7">
        <v>4536300</v>
      </c>
      <c r="I1156" s="14">
        <v>3298.8443000000002</v>
      </c>
      <c r="J1156" s="7">
        <v>5016439</v>
      </c>
    </row>
    <row r="1157" spans="1:10" x14ac:dyDescent="0.2">
      <c r="A1157" s="9">
        <v>45623</v>
      </c>
      <c r="B1157" s="4" t="s">
        <v>221</v>
      </c>
      <c r="C1157" s="8">
        <v>45597</v>
      </c>
      <c r="D1157" s="4" t="s">
        <v>191</v>
      </c>
      <c r="E1157" s="14">
        <v>434.53769999999997</v>
      </c>
      <c r="F1157" s="7">
        <v>646723</v>
      </c>
      <c r="G1157" s="14">
        <v>2848.1941999999999</v>
      </c>
      <c r="H1157" s="7">
        <v>4360394</v>
      </c>
      <c r="I1157" s="14">
        <v>3282.7319000000002</v>
      </c>
      <c r="J1157" s="7">
        <v>5007117</v>
      </c>
    </row>
    <row r="1158" spans="1:10" x14ac:dyDescent="0.2">
      <c r="A1158" s="9">
        <v>45624</v>
      </c>
      <c r="B1158" s="4" t="s">
        <v>224</v>
      </c>
      <c r="C1158" s="8">
        <v>45597</v>
      </c>
      <c r="D1158" s="4" t="s">
        <v>191</v>
      </c>
      <c r="E1158" s="14">
        <v>680.36670000000004</v>
      </c>
      <c r="F1158" s="7">
        <v>1064579</v>
      </c>
      <c r="G1158" s="14">
        <v>2830.944</v>
      </c>
      <c r="H1158" s="7">
        <v>4312589</v>
      </c>
      <c r="I1158" s="14">
        <v>3511.3107</v>
      </c>
      <c r="J1158" s="7">
        <v>5377168</v>
      </c>
    </row>
    <row r="1159" spans="1:10" x14ac:dyDescent="0.2">
      <c r="A1159" s="9">
        <v>45625</v>
      </c>
      <c r="B1159" s="4" t="s">
        <v>222</v>
      </c>
      <c r="C1159" s="8">
        <v>45597</v>
      </c>
      <c r="D1159" s="4" t="s">
        <v>191</v>
      </c>
      <c r="E1159" s="14">
        <v>267.3492</v>
      </c>
      <c r="F1159" s="7">
        <v>404844</v>
      </c>
      <c r="G1159" s="14">
        <v>823.95270000000005</v>
      </c>
      <c r="H1159" s="7">
        <v>1272000</v>
      </c>
      <c r="I1159" s="14">
        <v>1091.3018999999999</v>
      </c>
      <c r="J1159" s="7">
        <v>1676844</v>
      </c>
    </row>
    <row r="1160" spans="1:10" x14ac:dyDescent="0.2">
      <c r="A1160" s="9">
        <v>45628</v>
      </c>
      <c r="B1160" s="4" t="s">
        <v>225</v>
      </c>
      <c r="C1160" s="8">
        <v>45627</v>
      </c>
      <c r="D1160" s="4" t="s">
        <v>191</v>
      </c>
      <c r="E1160" s="14">
        <v>238.4263</v>
      </c>
      <c r="F1160" s="7">
        <v>358682</v>
      </c>
      <c r="G1160" s="14">
        <v>788.56479999999999</v>
      </c>
      <c r="H1160" s="7">
        <v>1205546</v>
      </c>
      <c r="I1160" s="14">
        <v>1026.9911</v>
      </c>
      <c r="J1160" s="7">
        <v>1564228</v>
      </c>
    </row>
    <row r="1161" spans="1:10" x14ac:dyDescent="0.2">
      <c r="A1161" s="9">
        <v>45629</v>
      </c>
      <c r="B1161" s="4" t="s">
        <v>223</v>
      </c>
      <c r="C1161" s="8">
        <v>45627</v>
      </c>
      <c r="D1161" s="4" t="s">
        <v>191</v>
      </c>
      <c r="E1161" s="14">
        <v>248.71850000000001</v>
      </c>
      <c r="F1161" s="7">
        <v>362044</v>
      </c>
      <c r="G1161" s="14">
        <v>876.52139999999997</v>
      </c>
      <c r="H1161" s="7">
        <v>1328135</v>
      </c>
      <c r="I1161" s="14">
        <v>1125.2399</v>
      </c>
      <c r="J1161" s="7">
        <v>1690179</v>
      </c>
    </row>
    <row r="1162" spans="1:10" x14ac:dyDescent="0.2">
      <c r="A1162" s="9">
        <v>45630</v>
      </c>
      <c r="B1162" s="4" t="s">
        <v>221</v>
      </c>
      <c r="C1162" s="8">
        <v>45627</v>
      </c>
      <c r="D1162" s="4" t="s">
        <v>191</v>
      </c>
      <c r="E1162" s="14">
        <v>283.1628</v>
      </c>
      <c r="F1162" s="7">
        <v>411592</v>
      </c>
      <c r="G1162" s="14">
        <v>964.2183</v>
      </c>
      <c r="H1162" s="7">
        <v>1422481</v>
      </c>
      <c r="I1162" s="14">
        <v>1247.3811000000001</v>
      </c>
      <c r="J1162" s="7">
        <v>1834073</v>
      </c>
    </row>
    <row r="1163" spans="1:10" x14ac:dyDescent="0.2">
      <c r="A1163" s="9">
        <v>45631</v>
      </c>
      <c r="B1163" s="4" t="s">
        <v>224</v>
      </c>
      <c r="C1163" s="8">
        <v>45627</v>
      </c>
      <c r="D1163" s="4" t="s">
        <v>191</v>
      </c>
      <c r="E1163" s="14">
        <v>482.44810000000001</v>
      </c>
      <c r="F1163" s="7">
        <v>719906</v>
      </c>
      <c r="G1163" s="14">
        <v>1213.0344</v>
      </c>
      <c r="H1163" s="7">
        <v>1798093</v>
      </c>
      <c r="I1163" s="14">
        <v>1695.4825000000001</v>
      </c>
      <c r="J1163" s="7">
        <v>2517999</v>
      </c>
    </row>
    <row r="1164" spans="1:10" x14ac:dyDescent="0.2">
      <c r="A1164" s="9">
        <v>45632</v>
      </c>
      <c r="B1164" s="4" t="s">
        <v>222</v>
      </c>
      <c r="C1164" s="8">
        <v>45627</v>
      </c>
      <c r="D1164" s="4" t="s">
        <v>191</v>
      </c>
      <c r="E1164" s="14">
        <v>273.77179999999998</v>
      </c>
      <c r="F1164" s="7">
        <v>382223</v>
      </c>
      <c r="G1164" s="14">
        <v>968.20510000000002</v>
      </c>
      <c r="H1164" s="7">
        <v>1456787</v>
      </c>
      <c r="I1164" s="14">
        <v>1241.9768999999999</v>
      </c>
      <c r="J1164" s="7">
        <v>1839010</v>
      </c>
    </row>
    <row r="1165" spans="1:10" x14ac:dyDescent="0.2">
      <c r="A1165" s="9">
        <v>45635</v>
      </c>
      <c r="B1165" s="4" t="s">
        <v>225</v>
      </c>
      <c r="C1165" s="8">
        <v>45627</v>
      </c>
      <c r="D1165" s="4" t="s">
        <v>191</v>
      </c>
      <c r="E1165" s="14">
        <v>184.34360000000001</v>
      </c>
      <c r="F1165" s="7">
        <v>263756</v>
      </c>
      <c r="G1165" s="14">
        <v>829.14200000000005</v>
      </c>
      <c r="H1165" s="7">
        <v>1247620</v>
      </c>
      <c r="I1165" s="14">
        <v>1013.4856</v>
      </c>
      <c r="J1165" s="7">
        <v>1511376</v>
      </c>
    </row>
    <row r="1166" spans="1:10" x14ac:dyDescent="0.2">
      <c r="A1166" s="9">
        <v>45636</v>
      </c>
      <c r="B1166" s="4" t="s">
        <v>223</v>
      </c>
      <c r="C1166" s="8">
        <v>45627</v>
      </c>
      <c r="D1166" s="4" t="s">
        <v>191</v>
      </c>
      <c r="E1166" s="14">
        <v>181.73660000000001</v>
      </c>
      <c r="F1166" s="7">
        <v>265513</v>
      </c>
      <c r="G1166" s="14">
        <v>762.68399999999997</v>
      </c>
      <c r="H1166" s="7">
        <v>1130740</v>
      </c>
      <c r="I1166" s="14">
        <v>944.42060000000004</v>
      </c>
      <c r="J1166" s="7">
        <v>1396253</v>
      </c>
    </row>
    <row r="1167" spans="1:10" x14ac:dyDescent="0.2">
      <c r="A1167" s="9">
        <v>45637</v>
      </c>
      <c r="B1167" s="4" t="s">
        <v>221</v>
      </c>
      <c r="C1167" s="8">
        <v>45627</v>
      </c>
      <c r="D1167" s="4" t="s">
        <v>191</v>
      </c>
      <c r="E1167" s="14">
        <v>180.41050000000001</v>
      </c>
      <c r="F1167" s="7">
        <v>261959</v>
      </c>
      <c r="G1167" s="14">
        <v>730.58799999999997</v>
      </c>
      <c r="H1167" s="7">
        <v>1084006</v>
      </c>
      <c r="I1167" s="14">
        <v>910.99850000000004</v>
      </c>
      <c r="J1167" s="7">
        <v>1345965</v>
      </c>
    </row>
    <row r="1168" spans="1:10" x14ac:dyDescent="0.2">
      <c r="A1168" s="9">
        <v>45638</v>
      </c>
      <c r="B1168" s="4" t="s">
        <v>224</v>
      </c>
      <c r="C1168" s="8">
        <v>45627</v>
      </c>
      <c r="D1168" s="4" t="s">
        <v>191</v>
      </c>
      <c r="E1168" s="14">
        <v>159.4316</v>
      </c>
      <c r="F1168" s="7">
        <v>233257</v>
      </c>
      <c r="G1168" s="14">
        <v>873.2559</v>
      </c>
      <c r="H1168" s="7">
        <v>1304819</v>
      </c>
      <c r="I1168" s="14">
        <v>1032.6875</v>
      </c>
      <c r="J1168" s="7">
        <v>1538076</v>
      </c>
    </row>
    <row r="1169" spans="1:10" x14ac:dyDescent="0.2">
      <c r="A1169" s="9">
        <v>45639</v>
      </c>
      <c r="B1169" s="4" t="s">
        <v>222</v>
      </c>
      <c r="C1169" s="8">
        <v>45627</v>
      </c>
      <c r="D1169" s="4" t="s">
        <v>191</v>
      </c>
      <c r="E1169" s="14">
        <v>555.54819999999995</v>
      </c>
      <c r="F1169" s="7">
        <v>812421</v>
      </c>
      <c r="G1169" s="14">
        <v>1201.5034000000001</v>
      </c>
      <c r="H1169" s="7">
        <v>1787337</v>
      </c>
      <c r="I1169" s="14">
        <v>1757.0516</v>
      </c>
      <c r="J1169" s="7">
        <v>2599758</v>
      </c>
    </row>
    <row r="1170" spans="1:10" x14ac:dyDescent="0.2">
      <c r="A1170" s="9">
        <v>45642</v>
      </c>
      <c r="B1170" s="4" t="s">
        <v>225</v>
      </c>
      <c r="C1170" s="8">
        <v>45627</v>
      </c>
      <c r="D1170" s="4" t="s">
        <v>191</v>
      </c>
      <c r="E1170" s="14">
        <v>222.8811</v>
      </c>
      <c r="F1170" s="7">
        <v>322603</v>
      </c>
      <c r="G1170" s="14">
        <v>733.00440000000003</v>
      </c>
      <c r="H1170" s="7">
        <v>1073539</v>
      </c>
      <c r="I1170" s="14">
        <v>955.88549999999998</v>
      </c>
      <c r="J1170" s="7">
        <v>1396142</v>
      </c>
    </row>
    <row r="1171" spans="1:10" x14ac:dyDescent="0.2">
      <c r="A1171" s="9">
        <v>45643</v>
      </c>
      <c r="B1171" s="4" t="s">
        <v>223</v>
      </c>
      <c r="C1171" s="8">
        <v>45627</v>
      </c>
      <c r="D1171" s="4" t="s">
        <v>191</v>
      </c>
      <c r="E1171" s="14">
        <v>373.16570000000002</v>
      </c>
      <c r="F1171" s="7">
        <v>547584</v>
      </c>
      <c r="G1171" s="14">
        <v>1002.5119</v>
      </c>
      <c r="H1171" s="7">
        <v>1482085</v>
      </c>
      <c r="I1171" s="14">
        <v>1375.6776</v>
      </c>
      <c r="J1171" s="7">
        <v>2029669</v>
      </c>
    </row>
    <row r="1172" spans="1:10" x14ac:dyDescent="0.2">
      <c r="A1172" s="9">
        <v>45644</v>
      </c>
      <c r="B1172" s="4" t="s">
        <v>221</v>
      </c>
      <c r="C1172" s="8">
        <v>45627</v>
      </c>
      <c r="D1172" s="4" t="s">
        <v>191</v>
      </c>
      <c r="E1172" s="14">
        <v>317.61349999999999</v>
      </c>
      <c r="F1172" s="7">
        <v>458509</v>
      </c>
      <c r="G1172" s="14">
        <v>1003.1407</v>
      </c>
      <c r="H1172" s="7">
        <v>1499546</v>
      </c>
      <c r="I1172" s="14">
        <v>1320.7542000000001</v>
      </c>
      <c r="J1172" s="7">
        <v>1958055</v>
      </c>
    </row>
    <row r="1173" spans="1:10" x14ac:dyDescent="0.2">
      <c r="A1173" s="9">
        <v>45645</v>
      </c>
      <c r="B1173" s="4" t="s">
        <v>224</v>
      </c>
      <c r="C1173" s="8">
        <v>45627</v>
      </c>
      <c r="D1173" s="4" t="s">
        <v>191</v>
      </c>
      <c r="E1173" s="14">
        <v>285.02190000000002</v>
      </c>
      <c r="F1173" s="7">
        <v>418257</v>
      </c>
      <c r="G1173" s="14">
        <v>1262.1360999999999</v>
      </c>
      <c r="H1173" s="7">
        <v>1899263</v>
      </c>
      <c r="I1173" s="14">
        <v>1547.1579999999999</v>
      </c>
      <c r="J1173" s="7">
        <v>2317520</v>
      </c>
    </row>
    <row r="1174" spans="1:10" x14ac:dyDescent="0.2">
      <c r="A1174" s="9">
        <v>45646</v>
      </c>
      <c r="B1174" s="4" t="s">
        <v>222</v>
      </c>
      <c r="C1174" s="8">
        <v>45627</v>
      </c>
      <c r="D1174" s="4" t="s">
        <v>191</v>
      </c>
      <c r="E1174" s="14">
        <v>433.74779999999998</v>
      </c>
      <c r="F1174" s="7">
        <v>651283</v>
      </c>
      <c r="G1174" s="14">
        <v>2903.4690999999998</v>
      </c>
      <c r="H1174" s="7">
        <v>4475048</v>
      </c>
      <c r="I1174" s="14">
        <v>3337.2168999999999</v>
      </c>
      <c r="J1174" s="7">
        <v>5126331</v>
      </c>
    </row>
    <row r="1175" spans="1:10" x14ac:dyDescent="0.2">
      <c r="A1175" s="9">
        <v>45649</v>
      </c>
      <c r="B1175" s="4" t="s">
        <v>225</v>
      </c>
      <c r="C1175" s="8">
        <v>45627</v>
      </c>
      <c r="D1175" s="4" t="s">
        <v>191</v>
      </c>
      <c r="E1175" s="14">
        <v>371.67189999999999</v>
      </c>
      <c r="F1175" s="7">
        <v>556323</v>
      </c>
      <c r="G1175" s="14">
        <v>2917.2323999999999</v>
      </c>
      <c r="H1175" s="7">
        <v>4565126</v>
      </c>
      <c r="I1175" s="14">
        <v>3288.9043000000001</v>
      </c>
      <c r="J1175" s="7">
        <v>5121449</v>
      </c>
    </row>
    <row r="1176" spans="1:10" x14ac:dyDescent="0.2">
      <c r="A1176" s="9">
        <v>45650</v>
      </c>
      <c r="B1176" s="4" t="s">
        <v>223</v>
      </c>
      <c r="C1176" s="8">
        <v>45627</v>
      </c>
      <c r="D1176" s="4" t="s">
        <v>191</v>
      </c>
      <c r="E1176" s="14">
        <v>446.03089999999997</v>
      </c>
      <c r="F1176" s="7">
        <v>681534</v>
      </c>
      <c r="G1176" s="14">
        <v>2731.4099000000001</v>
      </c>
      <c r="H1176" s="7">
        <v>4338533</v>
      </c>
      <c r="I1176" s="14">
        <v>3177.4407999999999</v>
      </c>
      <c r="J1176" s="7">
        <v>5020067</v>
      </c>
    </row>
    <row r="1177" spans="1:10" x14ac:dyDescent="0.2">
      <c r="A1177" s="9">
        <v>45652</v>
      </c>
      <c r="B1177" s="4" t="s">
        <v>224</v>
      </c>
      <c r="C1177" s="8">
        <v>45627</v>
      </c>
      <c r="D1177" s="4" t="s">
        <v>191</v>
      </c>
      <c r="E1177" s="14">
        <v>381.20530000000002</v>
      </c>
      <c r="F1177" s="7">
        <v>592998</v>
      </c>
      <c r="G1177" s="14">
        <v>2626.1444000000001</v>
      </c>
      <c r="H1177" s="7">
        <v>4229856</v>
      </c>
      <c r="I1177" s="14">
        <v>3007.3497000000002</v>
      </c>
      <c r="J1177" s="7">
        <v>4822854</v>
      </c>
    </row>
    <row r="1178" spans="1:10" x14ac:dyDescent="0.2">
      <c r="A1178" s="9">
        <v>45653</v>
      </c>
      <c r="B1178" s="4" t="s">
        <v>222</v>
      </c>
      <c r="C1178" s="8">
        <v>45627</v>
      </c>
      <c r="D1178" s="4" t="s">
        <v>191</v>
      </c>
      <c r="E1178" s="14">
        <v>197.18950000000001</v>
      </c>
      <c r="F1178" s="7">
        <v>291727</v>
      </c>
      <c r="G1178" s="14">
        <v>615.66589999999997</v>
      </c>
      <c r="H1178" s="7">
        <v>967179</v>
      </c>
      <c r="I1178" s="14">
        <v>812.85540000000003</v>
      </c>
      <c r="J1178" s="7">
        <v>1258906</v>
      </c>
    </row>
    <row r="1179" spans="1:10" x14ac:dyDescent="0.2">
      <c r="A1179" s="9">
        <v>45656</v>
      </c>
      <c r="B1179" s="4" t="s">
        <v>225</v>
      </c>
      <c r="C1179" s="8">
        <v>45627</v>
      </c>
      <c r="D1179" s="4" t="s">
        <v>191</v>
      </c>
      <c r="E1179" s="14">
        <v>314.76479999999998</v>
      </c>
      <c r="F1179" s="7">
        <v>447319</v>
      </c>
      <c r="G1179" s="14">
        <v>971.92089999999996</v>
      </c>
      <c r="H1179" s="7">
        <v>1519956</v>
      </c>
      <c r="I1179" s="14">
        <v>1286.6857</v>
      </c>
      <c r="J1179" s="7">
        <v>1967275</v>
      </c>
    </row>
    <row r="1180" spans="1:10" x14ac:dyDescent="0.2">
      <c r="A1180" s="9">
        <v>45657</v>
      </c>
      <c r="B1180" s="4" t="s">
        <v>223</v>
      </c>
      <c r="C1180" s="8">
        <v>45627</v>
      </c>
      <c r="D1180" s="4" t="s">
        <v>191</v>
      </c>
      <c r="E1180" s="14">
        <v>203.14840000000001</v>
      </c>
      <c r="F1180" s="7">
        <v>303437</v>
      </c>
      <c r="G1180" s="14">
        <v>671.33370000000002</v>
      </c>
      <c r="H1180" s="7">
        <v>1038209</v>
      </c>
      <c r="I1180" s="14">
        <v>874.48209999999995</v>
      </c>
      <c r="J1180" s="7">
        <v>1341646</v>
      </c>
    </row>
    <row r="1181" spans="1:10" x14ac:dyDescent="0.2">
      <c r="A1181" s="9">
        <v>45658</v>
      </c>
      <c r="B1181" s="4" t="s">
        <v>221</v>
      </c>
      <c r="C1181" s="8">
        <v>45658</v>
      </c>
      <c r="D1181" s="4" t="s">
        <v>192</v>
      </c>
      <c r="E1181" s="14">
        <v>200.3562</v>
      </c>
      <c r="F1181" s="7">
        <v>291514</v>
      </c>
      <c r="G1181" s="14">
        <v>503.5539</v>
      </c>
      <c r="H1181" s="7">
        <v>782718</v>
      </c>
      <c r="I1181" s="14">
        <v>703.91010000000006</v>
      </c>
      <c r="J1181" s="7">
        <v>1074232</v>
      </c>
    </row>
    <row r="1182" spans="1:10" x14ac:dyDescent="0.2">
      <c r="A1182" s="9">
        <v>45659</v>
      </c>
      <c r="B1182" s="4" t="s">
        <v>224</v>
      </c>
      <c r="C1182" s="8">
        <v>45658</v>
      </c>
      <c r="D1182" s="4" t="s">
        <v>192</v>
      </c>
      <c r="E1182" s="14">
        <v>311.80650000000003</v>
      </c>
      <c r="F1182" s="7">
        <v>461233</v>
      </c>
      <c r="G1182" s="14">
        <v>1026.4231</v>
      </c>
      <c r="H1182" s="7">
        <v>1572303</v>
      </c>
      <c r="I1182" s="14">
        <v>1338.2295999999999</v>
      </c>
      <c r="J1182" s="7">
        <v>2033536</v>
      </c>
    </row>
    <row r="1183" spans="1:10" x14ac:dyDescent="0.2">
      <c r="A1183" s="9">
        <v>45660</v>
      </c>
      <c r="B1183" s="4" t="s">
        <v>222</v>
      </c>
      <c r="C1183" s="8">
        <v>45658</v>
      </c>
      <c r="D1183" s="4" t="s">
        <v>192</v>
      </c>
      <c r="E1183" s="14">
        <v>278.435</v>
      </c>
      <c r="F1183" s="7">
        <v>401822</v>
      </c>
      <c r="G1183" s="14">
        <v>953.64970000000005</v>
      </c>
      <c r="H1183" s="7">
        <v>1484325</v>
      </c>
      <c r="I1183" s="14">
        <v>1232.0847000000001</v>
      </c>
      <c r="J1183" s="7">
        <v>1886147</v>
      </c>
    </row>
    <row r="1184" spans="1:10" x14ac:dyDescent="0.2">
      <c r="A1184" s="9">
        <v>45663</v>
      </c>
      <c r="B1184" s="4" t="s">
        <v>225</v>
      </c>
      <c r="C1184" s="8">
        <v>45658</v>
      </c>
      <c r="D1184" s="4" t="s">
        <v>192</v>
      </c>
      <c r="E1184" s="14">
        <v>401.47620000000001</v>
      </c>
      <c r="F1184" s="7">
        <v>580989</v>
      </c>
      <c r="G1184" s="14">
        <v>1140.9108000000001</v>
      </c>
      <c r="H1184" s="7">
        <v>1773963</v>
      </c>
      <c r="I1184" s="14">
        <v>1542.3869999999999</v>
      </c>
      <c r="J1184" s="7">
        <v>2354952</v>
      </c>
    </row>
    <row r="1185" spans="1:10" x14ac:dyDescent="0.2">
      <c r="A1185" s="9">
        <v>45664</v>
      </c>
      <c r="B1185" s="4" t="s">
        <v>223</v>
      </c>
      <c r="C1185" s="8">
        <v>45658</v>
      </c>
      <c r="D1185" s="4" t="s">
        <v>192</v>
      </c>
      <c r="E1185" s="14">
        <v>202.24690000000001</v>
      </c>
      <c r="F1185" s="7">
        <v>288998</v>
      </c>
      <c r="G1185" s="14">
        <v>770.38789999999995</v>
      </c>
      <c r="H1185" s="7">
        <v>1214298</v>
      </c>
      <c r="I1185" s="14">
        <v>972.63480000000004</v>
      </c>
      <c r="J1185" s="7">
        <v>1503296</v>
      </c>
    </row>
    <row r="1186" spans="1:10" x14ac:dyDescent="0.2">
      <c r="A1186" s="9">
        <v>45665</v>
      </c>
      <c r="B1186" s="4" t="s">
        <v>221</v>
      </c>
      <c r="C1186" s="8">
        <v>45658</v>
      </c>
      <c r="D1186" s="4" t="s">
        <v>192</v>
      </c>
      <c r="E1186" s="14">
        <v>281.69929999999999</v>
      </c>
      <c r="F1186" s="7">
        <v>402880</v>
      </c>
      <c r="G1186" s="14">
        <v>902.73400000000004</v>
      </c>
      <c r="H1186" s="7">
        <v>1412762</v>
      </c>
      <c r="I1186" s="14">
        <v>1184.4332999999999</v>
      </c>
      <c r="J1186" s="7">
        <v>1815642</v>
      </c>
    </row>
    <row r="1187" spans="1:10" x14ac:dyDescent="0.2">
      <c r="A1187" s="9">
        <v>45666</v>
      </c>
      <c r="B1187" s="4" t="s">
        <v>224</v>
      </c>
      <c r="C1187" s="8">
        <v>45658</v>
      </c>
      <c r="D1187" s="4" t="s">
        <v>192</v>
      </c>
      <c r="E1187" s="14">
        <v>211.69749999999999</v>
      </c>
      <c r="F1187" s="7">
        <v>302330</v>
      </c>
      <c r="G1187" s="14">
        <v>944.3981</v>
      </c>
      <c r="H1187" s="7">
        <v>1478937</v>
      </c>
      <c r="I1187" s="14">
        <v>1156.0956000000001</v>
      </c>
      <c r="J1187" s="7">
        <v>1781267</v>
      </c>
    </row>
    <row r="1188" spans="1:10" x14ac:dyDescent="0.2">
      <c r="A1188" s="9">
        <v>45667</v>
      </c>
      <c r="B1188" s="4" t="s">
        <v>222</v>
      </c>
      <c r="C1188" s="8">
        <v>45658</v>
      </c>
      <c r="D1188" s="4" t="s">
        <v>192</v>
      </c>
      <c r="E1188" s="14">
        <v>314.75279999999998</v>
      </c>
      <c r="F1188" s="7">
        <v>447642</v>
      </c>
      <c r="G1188" s="14">
        <v>1007.8964999999999</v>
      </c>
      <c r="H1188" s="7">
        <v>1607078</v>
      </c>
      <c r="I1188" s="14">
        <v>1322.6493</v>
      </c>
      <c r="J1188" s="7">
        <v>2054720</v>
      </c>
    </row>
    <row r="1189" spans="1:10" x14ac:dyDescent="0.2">
      <c r="A1189" s="9">
        <v>45670</v>
      </c>
      <c r="B1189" s="4" t="s">
        <v>225</v>
      </c>
      <c r="C1189" s="8">
        <v>45658</v>
      </c>
      <c r="D1189" s="4" t="s">
        <v>192</v>
      </c>
      <c r="E1189" s="14">
        <v>319.01859999999999</v>
      </c>
      <c r="F1189" s="7">
        <v>459595</v>
      </c>
      <c r="G1189" s="14">
        <v>1073.0152</v>
      </c>
      <c r="H1189" s="7">
        <v>1781647</v>
      </c>
      <c r="I1189" s="14">
        <v>1392.0337999999999</v>
      </c>
      <c r="J1189" s="7">
        <v>2241242</v>
      </c>
    </row>
    <row r="1190" spans="1:10" x14ac:dyDescent="0.2">
      <c r="A1190" s="9">
        <v>45671</v>
      </c>
      <c r="B1190" s="4" t="s">
        <v>223</v>
      </c>
      <c r="C1190" s="8">
        <v>45658</v>
      </c>
      <c r="D1190" s="4" t="s">
        <v>192</v>
      </c>
      <c r="E1190" s="14">
        <v>245.44829999999999</v>
      </c>
      <c r="F1190" s="7">
        <v>351166</v>
      </c>
      <c r="G1190" s="14">
        <v>1026.5525</v>
      </c>
      <c r="H1190" s="7">
        <v>1680317</v>
      </c>
      <c r="I1190" s="14">
        <v>1272.0008</v>
      </c>
      <c r="J1190" s="7">
        <v>2031483</v>
      </c>
    </row>
    <row r="1191" spans="1:10" x14ac:dyDescent="0.2">
      <c r="A1191" s="9">
        <v>45672</v>
      </c>
      <c r="B1191" s="4" t="s">
        <v>221</v>
      </c>
      <c r="C1191" s="8">
        <v>45658</v>
      </c>
      <c r="D1191" s="4" t="s">
        <v>192</v>
      </c>
      <c r="E1191" s="14">
        <v>167.33369999999999</v>
      </c>
      <c r="F1191" s="7">
        <v>245200</v>
      </c>
      <c r="G1191" s="14">
        <v>904.13130000000001</v>
      </c>
      <c r="H1191" s="7">
        <v>1512455</v>
      </c>
      <c r="I1191" s="14">
        <v>1071.4649999999999</v>
      </c>
      <c r="J1191" s="7">
        <v>1757655</v>
      </c>
    </row>
    <row r="1192" spans="1:10" x14ac:dyDescent="0.2">
      <c r="A1192" s="9">
        <v>45673</v>
      </c>
      <c r="B1192" s="4" t="s">
        <v>224</v>
      </c>
      <c r="C1192" s="8">
        <v>45658</v>
      </c>
      <c r="D1192" s="4" t="s">
        <v>192</v>
      </c>
      <c r="E1192" s="14">
        <v>214.6121</v>
      </c>
      <c r="F1192" s="7">
        <v>305764</v>
      </c>
      <c r="G1192" s="14">
        <v>950.90269999999998</v>
      </c>
      <c r="H1192" s="7">
        <v>1526890</v>
      </c>
      <c r="I1192" s="14">
        <v>1165.5147999999999</v>
      </c>
      <c r="J1192" s="7">
        <v>1832654</v>
      </c>
    </row>
    <row r="1193" spans="1:10" x14ac:dyDescent="0.2">
      <c r="A1193" s="9">
        <v>45674</v>
      </c>
      <c r="B1193" s="4" t="s">
        <v>222</v>
      </c>
      <c r="C1193" s="8">
        <v>45658</v>
      </c>
      <c r="D1193" s="4" t="s">
        <v>192</v>
      </c>
      <c r="E1193" s="14">
        <v>272.74759999999998</v>
      </c>
      <c r="F1193" s="7">
        <v>390819</v>
      </c>
      <c r="G1193" s="14">
        <v>919.5471</v>
      </c>
      <c r="H1193" s="7">
        <v>1456733</v>
      </c>
      <c r="I1193" s="14">
        <v>1192.2946999999999</v>
      </c>
      <c r="J1193" s="7">
        <v>1847552</v>
      </c>
    </row>
    <row r="1194" spans="1:10" x14ac:dyDescent="0.2">
      <c r="A1194" s="9">
        <v>45677</v>
      </c>
      <c r="B1194" s="4" t="s">
        <v>225</v>
      </c>
      <c r="C1194" s="8">
        <v>45658</v>
      </c>
      <c r="D1194" s="4" t="s">
        <v>192</v>
      </c>
      <c r="E1194" s="14">
        <v>235.33699999999999</v>
      </c>
      <c r="F1194" s="7">
        <v>329562</v>
      </c>
      <c r="G1194" s="14">
        <v>947.56989999999996</v>
      </c>
      <c r="H1194" s="7">
        <v>1505223</v>
      </c>
      <c r="I1194" s="14">
        <v>1182.9069</v>
      </c>
      <c r="J1194" s="7">
        <v>1834785</v>
      </c>
    </row>
    <row r="1195" spans="1:10" x14ac:dyDescent="0.2">
      <c r="A1195" s="9">
        <v>45678</v>
      </c>
      <c r="B1195" s="4" t="s">
        <v>223</v>
      </c>
      <c r="C1195" s="8">
        <v>45658</v>
      </c>
      <c r="D1195" s="4" t="s">
        <v>192</v>
      </c>
      <c r="E1195" s="14">
        <v>422.18889999999999</v>
      </c>
      <c r="F1195" s="7">
        <v>597359</v>
      </c>
      <c r="G1195" s="14">
        <v>1250.0556999999999</v>
      </c>
      <c r="H1195" s="7">
        <v>2013997</v>
      </c>
      <c r="I1195" s="14">
        <v>1672.2446</v>
      </c>
      <c r="J1195" s="7">
        <v>2611356</v>
      </c>
    </row>
    <row r="1196" spans="1:10" x14ac:dyDescent="0.2">
      <c r="A1196" s="9">
        <v>45679</v>
      </c>
      <c r="B1196" s="4" t="s">
        <v>221</v>
      </c>
      <c r="C1196" s="8">
        <v>45658</v>
      </c>
      <c r="D1196" s="4" t="s">
        <v>192</v>
      </c>
      <c r="E1196" s="14">
        <v>289.41969999999998</v>
      </c>
      <c r="F1196" s="7">
        <v>400653</v>
      </c>
      <c r="G1196" s="14">
        <v>1138.8453</v>
      </c>
      <c r="H1196" s="7">
        <v>1857692</v>
      </c>
      <c r="I1196" s="14">
        <v>1428.2650000000001</v>
      </c>
      <c r="J1196" s="7">
        <v>2258345</v>
      </c>
    </row>
    <row r="1197" spans="1:10" x14ac:dyDescent="0.2">
      <c r="A1197" s="9">
        <v>45680</v>
      </c>
      <c r="B1197" s="4" t="s">
        <v>224</v>
      </c>
      <c r="C1197" s="8">
        <v>45658</v>
      </c>
      <c r="D1197" s="4" t="s">
        <v>192</v>
      </c>
      <c r="E1197" s="14">
        <v>215.1883</v>
      </c>
      <c r="F1197" s="7">
        <v>296433</v>
      </c>
      <c r="G1197" s="14">
        <v>1231.6447000000001</v>
      </c>
      <c r="H1197" s="7">
        <v>2002211</v>
      </c>
      <c r="I1197" s="14">
        <v>1446.8330000000001</v>
      </c>
      <c r="J1197" s="7">
        <v>2298644</v>
      </c>
    </row>
    <row r="1198" spans="1:10" x14ac:dyDescent="0.2">
      <c r="A1198" s="9">
        <v>45681</v>
      </c>
      <c r="B1198" s="4" t="s">
        <v>222</v>
      </c>
      <c r="C1198" s="8">
        <v>45658</v>
      </c>
      <c r="D1198" s="4" t="s">
        <v>192</v>
      </c>
      <c r="E1198" s="14">
        <v>352.41699999999997</v>
      </c>
      <c r="F1198" s="7">
        <v>482709</v>
      </c>
      <c r="G1198" s="14">
        <v>1346.8970999999999</v>
      </c>
      <c r="H1198" s="7">
        <v>2232987</v>
      </c>
      <c r="I1198" s="14">
        <v>1699.3141000000001</v>
      </c>
      <c r="J1198" s="7">
        <v>2715696</v>
      </c>
    </row>
    <row r="1199" spans="1:10" x14ac:dyDescent="0.2">
      <c r="A1199" s="9">
        <v>45684</v>
      </c>
      <c r="B1199" s="4" t="s">
        <v>225</v>
      </c>
      <c r="C1199" s="8">
        <v>45658</v>
      </c>
      <c r="D1199" s="4" t="s">
        <v>192</v>
      </c>
      <c r="E1199" s="14">
        <v>372.34109999999998</v>
      </c>
      <c r="F1199" s="7">
        <v>466187</v>
      </c>
      <c r="G1199" s="14">
        <v>2762.3384000000001</v>
      </c>
      <c r="H1199" s="7">
        <v>4672271</v>
      </c>
      <c r="I1199" s="14">
        <v>3134.6795000000002</v>
      </c>
      <c r="J1199" s="7">
        <v>5138458</v>
      </c>
    </row>
    <row r="1200" spans="1:10" x14ac:dyDescent="0.2">
      <c r="A1200" s="9">
        <v>45685</v>
      </c>
      <c r="B1200" s="4" t="s">
        <v>223</v>
      </c>
      <c r="C1200" s="8">
        <v>45658</v>
      </c>
      <c r="D1200" s="4" t="s">
        <v>192</v>
      </c>
      <c r="E1200" s="14">
        <v>550.44680000000005</v>
      </c>
      <c r="F1200" s="7">
        <v>654854</v>
      </c>
      <c r="G1200" s="14">
        <v>3310.5794000000001</v>
      </c>
      <c r="H1200" s="7">
        <v>5609473</v>
      </c>
      <c r="I1200" s="14">
        <v>3861.0261999999998</v>
      </c>
      <c r="J1200" s="7">
        <v>6264327</v>
      </c>
    </row>
    <row r="1201" spans="1:10" x14ac:dyDescent="0.2">
      <c r="A1201" s="9">
        <v>45686</v>
      </c>
      <c r="B1201" s="4" t="s">
        <v>221</v>
      </c>
      <c r="C1201" s="8">
        <v>45658</v>
      </c>
      <c r="D1201" s="4" t="s">
        <v>192</v>
      </c>
      <c r="E1201" s="14">
        <v>466.8417</v>
      </c>
      <c r="F1201" s="7">
        <v>551419</v>
      </c>
      <c r="G1201" s="14">
        <v>2725.5587999999998</v>
      </c>
      <c r="H1201" s="7">
        <v>4625361</v>
      </c>
      <c r="I1201" s="14">
        <v>3192.4005000000002</v>
      </c>
      <c r="J1201" s="7">
        <v>5176780</v>
      </c>
    </row>
    <row r="1202" spans="1:10" x14ac:dyDescent="0.2">
      <c r="A1202" s="9">
        <v>45687</v>
      </c>
      <c r="B1202" s="4" t="s">
        <v>224</v>
      </c>
      <c r="C1202" s="8">
        <v>45658</v>
      </c>
      <c r="D1202" s="4" t="s">
        <v>192</v>
      </c>
      <c r="E1202" s="14">
        <v>527.64559999999994</v>
      </c>
      <c r="F1202" s="7">
        <v>552925</v>
      </c>
      <c r="G1202" s="14">
        <v>2946.4490999999998</v>
      </c>
      <c r="H1202" s="7">
        <v>4953136</v>
      </c>
      <c r="I1202" s="14">
        <v>3474.0947000000001</v>
      </c>
      <c r="J1202" s="7">
        <v>5506061</v>
      </c>
    </row>
    <row r="1203" spans="1:10" x14ac:dyDescent="0.2">
      <c r="A1203" s="9">
        <v>45688</v>
      </c>
      <c r="B1203" s="4" t="s">
        <v>222</v>
      </c>
      <c r="C1203" s="8">
        <v>45658</v>
      </c>
      <c r="D1203" s="4" t="s">
        <v>192</v>
      </c>
      <c r="E1203" s="14">
        <v>292.82400000000001</v>
      </c>
      <c r="F1203" s="7">
        <v>178575</v>
      </c>
      <c r="G1203" s="14">
        <v>1014.4102</v>
      </c>
      <c r="H1203" s="7">
        <v>1702631</v>
      </c>
      <c r="I1203" s="14">
        <v>1307.2342000000001</v>
      </c>
      <c r="J1203" s="7">
        <v>1881206</v>
      </c>
    </row>
    <row r="1204" spans="1:10" x14ac:dyDescent="0.2">
      <c r="A1204" s="9">
        <v>45689</v>
      </c>
      <c r="B1204" s="4" t="s">
        <v>226</v>
      </c>
      <c r="C1204" s="8">
        <v>45689</v>
      </c>
      <c r="D1204" s="4" t="s">
        <v>192</v>
      </c>
      <c r="E1204" s="14">
        <v>466.03530000000001</v>
      </c>
      <c r="F1204" s="7">
        <v>282998</v>
      </c>
      <c r="G1204" s="14">
        <v>1097.6759</v>
      </c>
      <c r="H1204" s="7">
        <v>1839271</v>
      </c>
      <c r="I1204" s="14">
        <v>1563.7112</v>
      </c>
      <c r="J1204" s="7">
        <v>2122269</v>
      </c>
    </row>
    <row r="1205" spans="1:10" x14ac:dyDescent="0.2">
      <c r="A1205" s="9">
        <v>45691</v>
      </c>
      <c r="B1205" s="4" t="s">
        <v>225</v>
      </c>
      <c r="C1205" s="8">
        <v>45689</v>
      </c>
      <c r="D1205" s="4" t="s">
        <v>192</v>
      </c>
      <c r="E1205" s="14">
        <v>246.7602</v>
      </c>
      <c r="F1205" s="7">
        <v>150343</v>
      </c>
      <c r="G1205" s="14">
        <v>1096.7392</v>
      </c>
      <c r="H1205" s="7">
        <v>1831772</v>
      </c>
      <c r="I1205" s="14">
        <v>1343.4993999999999</v>
      </c>
      <c r="J1205" s="7">
        <v>1982115</v>
      </c>
    </row>
    <row r="1206" spans="1:10" x14ac:dyDescent="0.2">
      <c r="A1206" s="9">
        <v>45692</v>
      </c>
      <c r="B1206" s="4" t="s">
        <v>223</v>
      </c>
      <c r="C1206" s="8">
        <v>45689</v>
      </c>
      <c r="D1206" s="4" t="s">
        <v>192</v>
      </c>
      <c r="E1206" s="14">
        <v>407.12200000000001</v>
      </c>
      <c r="F1206" s="7">
        <v>244405</v>
      </c>
      <c r="G1206" s="14">
        <v>1127.7141999999999</v>
      </c>
      <c r="H1206" s="7">
        <v>1869130</v>
      </c>
      <c r="I1206" s="14">
        <v>1534.8362</v>
      </c>
      <c r="J1206" s="7">
        <v>2113535</v>
      </c>
    </row>
    <row r="1207" spans="1:10" x14ac:dyDescent="0.2">
      <c r="A1207" s="9">
        <v>45693</v>
      </c>
      <c r="B1207" s="4" t="s">
        <v>221</v>
      </c>
      <c r="C1207" s="8">
        <v>45689</v>
      </c>
      <c r="D1207" s="4" t="s">
        <v>192</v>
      </c>
      <c r="E1207" s="14">
        <v>178.66200000000001</v>
      </c>
      <c r="F1207" s="7">
        <v>108027</v>
      </c>
      <c r="G1207" s="14">
        <v>912.66219999999998</v>
      </c>
      <c r="H1207" s="7">
        <v>1501577</v>
      </c>
      <c r="I1207" s="14">
        <v>1091.3242</v>
      </c>
      <c r="J1207" s="7">
        <v>1609604</v>
      </c>
    </row>
    <row r="1208" spans="1:10" x14ac:dyDescent="0.2">
      <c r="A1208" s="9">
        <v>45694</v>
      </c>
      <c r="B1208" s="4" t="s">
        <v>224</v>
      </c>
      <c r="C1208" s="8">
        <v>45689</v>
      </c>
      <c r="D1208" s="4" t="s">
        <v>192</v>
      </c>
      <c r="E1208" s="14">
        <v>177.76159999999999</v>
      </c>
      <c r="F1208" s="7">
        <v>107126</v>
      </c>
      <c r="G1208" s="14">
        <v>890.07320000000004</v>
      </c>
      <c r="H1208" s="7">
        <v>1440314</v>
      </c>
      <c r="I1208" s="14">
        <v>1067.8348000000001</v>
      </c>
      <c r="J1208" s="7">
        <v>1547440</v>
      </c>
    </row>
    <row r="1209" spans="1:10" x14ac:dyDescent="0.2">
      <c r="A1209" s="9">
        <v>45695</v>
      </c>
      <c r="B1209" s="4" t="s">
        <v>222</v>
      </c>
      <c r="C1209" s="8">
        <v>45689</v>
      </c>
      <c r="D1209" s="4" t="s">
        <v>192</v>
      </c>
      <c r="E1209" s="14">
        <v>335.14150000000001</v>
      </c>
      <c r="F1209" s="7">
        <v>204207</v>
      </c>
      <c r="G1209" s="14">
        <v>946.09389999999996</v>
      </c>
      <c r="H1209" s="7">
        <v>1537901</v>
      </c>
      <c r="I1209" s="14">
        <v>1281.2354</v>
      </c>
      <c r="J1209" s="7">
        <v>1742108</v>
      </c>
    </row>
    <row r="1210" spans="1:10" x14ac:dyDescent="0.2">
      <c r="A1210" s="9">
        <v>45698</v>
      </c>
      <c r="B1210" s="4" t="s">
        <v>225</v>
      </c>
      <c r="C1210" s="8">
        <v>45689</v>
      </c>
      <c r="D1210" s="4" t="s">
        <v>192</v>
      </c>
      <c r="E1210" s="14">
        <v>212.33680000000001</v>
      </c>
      <c r="F1210" s="7">
        <v>128809</v>
      </c>
      <c r="G1210" s="14">
        <v>685.77629999999999</v>
      </c>
      <c r="H1210" s="7">
        <v>1130588</v>
      </c>
      <c r="I1210" s="14">
        <v>898.11310000000003</v>
      </c>
      <c r="J1210" s="7">
        <v>1259397</v>
      </c>
    </row>
    <row r="1211" spans="1:10" x14ac:dyDescent="0.2">
      <c r="A1211" s="9">
        <v>45699</v>
      </c>
      <c r="B1211" s="4" t="s">
        <v>223</v>
      </c>
      <c r="C1211" s="8">
        <v>45689</v>
      </c>
      <c r="D1211" s="4" t="s">
        <v>192</v>
      </c>
      <c r="E1211" s="14">
        <v>299.66699999999997</v>
      </c>
      <c r="F1211" s="7">
        <v>184666</v>
      </c>
      <c r="G1211" s="14">
        <v>868.9864</v>
      </c>
      <c r="H1211" s="7">
        <v>1443652</v>
      </c>
      <c r="I1211" s="14">
        <v>1168.6533999999999</v>
      </c>
      <c r="J1211" s="7">
        <v>1628318</v>
      </c>
    </row>
    <row r="1212" spans="1:10" x14ac:dyDescent="0.2">
      <c r="A1212" s="9">
        <v>45700</v>
      </c>
      <c r="B1212" s="4" t="s">
        <v>221</v>
      </c>
      <c r="C1212" s="8">
        <v>45689</v>
      </c>
      <c r="D1212" s="4" t="s">
        <v>192</v>
      </c>
      <c r="E1212" s="14">
        <v>404.66390000000001</v>
      </c>
      <c r="F1212" s="7">
        <v>249496</v>
      </c>
      <c r="G1212" s="14">
        <v>1047.2106000000001</v>
      </c>
      <c r="H1212" s="7">
        <v>1792629</v>
      </c>
      <c r="I1212" s="14">
        <v>1451.8744999999999</v>
      </c>
      <c r="J1212" s="7">
        <v>2042125</v>
      </c>
    </row>
    <row r="1213" spans="1:10" x14ac:dyDescent="0.2">
      <c r="A1213" s="9">
        <v>45701</v>
      </c>
      <c r="B1213" s="4" t="s">
        <v>224</v>
      </c>
      <c r="C1213" s="8">
        <v>45689</v>
      </c>
      <c r="D1213" s="4" t="s">
        <v>192</v>
      </c>
      <c r="E1213" s="14">
        <v>249.0703</v>
      </c>
      <c r="F1213" s="7">
        <v>151984</v>
      </c>
      <c r="G1213" s="14">
        <v>808.57719999999995</v>
      </c>
      <c r="H1213" s="7">
        <v>1339270</v>
      </c>
      <c r="I1213" s="14">
        <v>1057.6475</v>
      </c>
      <c r="J1213" s="7">
        <v>1491254</v>
      </c>
    </row>
    <row r="1214" spans="1:10" x14ac:dyDescent="0.2">
      <c r="A1214" s="9">
        <v>45702</v>
      </c>
      <c r="B1214" s="4" t="s">
        <v>222</v>
      </c>
      <c r="C1214" s="8">
        <v>45689</v>
      </c>
      <c r="D1214" s="4" t="s">
        <v>192</v>
      </c>
      <c r="E1214" s="14">
        <v>340.97719999999998</v>
      </c>
      <c r="F1214" s="7">
        <v>210753</v>
      </c>
      <c r="G1214" s="14">
        <v>873.37040000000002</v>
      </c>
      <c r="H1214" s="7">
        <v>1495859</v>
      </c>
      <c r="I1214" s="14">
        <v>1214.3476000000001</v>
      </c>
      <c r="J1214" s="7">
        <v>1706612</v>
      </c>
    </row>
    <row r="1215" spans="1:10" x14ac:dyDescent="0.2">
      <c r="A1215" s="9">
        <v>45705</v>
      </c>
      <c r="B1215" s="4" t="s">
        <v>225</v>
      </c>
      <c r="C1215" s="8">
        <v>45689</v>
      </c>
      <c r="D1215" s="4" t="s">
        <v>192</v>
      </c>
      <c r="E1215" s="14">
        <v>292.11619999999999</v>
      </c>
      <c r="F1215" s="7">
        <v>181268</v>
      </c>
      <c r="G1215" s="14">
        <v>790.63440000000003</v>
      </c>
      <c r="H1215" s="7">
        <v>1379308</v>
      </c>
      <c r="I1215" s="14">
        <v>1082.7506000000001</v>
      </c>
      <c r="J1215" s="7">
        <v>1560576</v>
      </c>
    </row>
    <row r="1216" spans="1:10" x14ac:dyDescent="0.2">
      <c r="A1216" s="9">
        <v>45706</v>
      </c>
      <c r="B1216" s="4" t="s">
        <v>223</v>
      </c>
      <c r="C1216" s="8">
        <v>45689</v>
      </c>
      <c r="D1216" s="4" t="s">
        <v>192</v>
      </c>
      <c r="E1216" s="14">
        <v>233.8039</v>
      </c>
      <c r="F1216" s="7">
        <v>144988</v>
      </c>
      <c r="G1216" s="14">
        <v>716.87239999999997</v>
      </c>
      <c r="H1216" s="7">
        <v>1248032</v>
      </c>
      <c r="I1216" s="14">
        <v>950.67629999999997</v>
      </c>
      <c r="J1216" s="7">
        <v>1393020</v>
      </c>
    </row>
    <row r="1217" spans="1:10" x14ac:dyDescent="0.2">
      <c r="A1217" s="9">
        <v>45707</v>
      </c>
      <c r="B1217" s="4" t="s">
        <v>221</v>
      </c>
      <c r="C1217" s="8">
        <v>45689</v>
      </c>
      <c r="D1217" s="4" t="s">
        <v>192</v>
      </c>
      <c r="E1217" s="14">
        <v>285.59640000000002</v>
      </c>
      <c r="F1217" s="7">
        <v>176931</v>
      </c>
      <c r="G1217" s="14">
        <v>938.04639999999995</v>
      </c>
      <c r="H1217" s="7">
        <v>1593789</v>
      </c>
      <c r="I1217" s="14">
        <v>1223.6428000000001</v>
      </c>
      <c r="J1217" s="7">
        <v>1770720</v>
      </c>
    </row>
    <row r="1218" spans="1:10" x14ac:dyDescent="0.2">
      <c r="A1218" s="9">
        <v>45708</v>
      </c>
      <c r="B1218" s="4" t="s">
        <v>224</v>
      </c>
      <c r="C1218" s="8">
        <v>45689</v>
      </c>
      <c r="D1218" s="4" t="s">
        <v>192</v>
      </c>
      <c r="E1218" s="14">
        <v>192.3065</v>
      </c>
      <c r="F1218" s="7">
        <v>118678</v>
      </c>
      <c r="G1218" s="14">
        <v>1051.1097</v>
      </c>
      <c r="H1218" s="7">
        <v>1784793</v>
      </c>
      <c r="I1218" s="14">
        <v>1243.4161999999999</v>
      </c>
      <c r="J1218" s="7">
        <v>1903471</v>
      </c>
    </row>
    <row r="1219" spans="1:10" x14ac:dyDescent="0.2">
      <c r="A1219" s="9">
        <v>45709</v>
      </c>
      <c r="B1219" s="4" t="s">
        <v>222</v>
      </c>
      <c r="C1219" s="8">
        <v>45689</v>
      </c>
      <c r="D1219" s="4" t="s">
        <v>192</v>
      </c>
      <c r="E1219" s="14">
        <v>364.08870000000002</v>
      </c>
      <c r="F1219" s="7">
        <v>227675</v>
      </c>
      <c r="G1219" s="14">
        <v>2410.2939000000001</v>
      </c>
      <c r="H1219" s="7">
        <v>4139198</v>
      </c>
      <c r="I1219" s="14">
        <v>2774.3825999999999</v>
      </c>
      <c r="J1219" s="7">
        <v>4366873</v>
      </c>
    </row>
    <row r="1220" spans="1:10" x14ac:dyDescent="0.2">
      <c r="A1220" s="9">
        <v>45712</v>
      </c>
      <c r="B1220" s="4" t="s">
        <v>225</v>
      </c>
      <c r="C1220" s="8">
        <v>45689</v>
      </c>
      <c r="D1220" s="4" t="s">
        <v>192</v>
      </c>
      <c r="E1220" s="14">
        <v>484.51069999999999</v>
      </c>
      <c r="F1220" s="7">
        <v>304452</v>
      </c>
      <c r="G1220" s="14">
        <v>2834.8238999999999</v>
      </c>
      <c r="H1220" s="7">
        <v>4899596</v>
      </c>
      <c r="I1220" s="14">
        <v>3319.3346000000001</v>
      </c>
      <c r="J1220" s="7">
        <v>5204048</v>
      </c>
    </row>
    <row r="1221" spans="1:10" x14ac:dyDescent="0.2">
      <c r="A1221" s="9">
        <v>45713</v>
      </c>
      <c r="B1221" s="4" t="s">
        <v>223</v>
      </c>
      <c r="C1221" s="8">
        <v>45689</v>
      </c>
      <c r="D1221" s="4" t="s">
        <v>192</v>
      </c>
      <c r="E1221" s="14">
        <v>421.6035</v>
      </c>
      <c r="F1221" s="7">
        <v>262628</v>
      </c>
      <c r="G1221" s="14">
        <v>2568.0409</v>
      </c>
      <c r="H1221" s="7">
        <v>4493836</v>
      </c>
      <c r="I1221" s="14">
        <v>2989.6444000000001</v>
      </c>
      <c r="J1221" s="7">
        <v>4756464</v>
      </c>
    </row>
    <row r="1222" spans="1:10" x14ac:dyDescent="0.2">
      <c r="A1222" s="9">
        <v>45715</v>
      </c>
      <c r="B1222" s="4" t="s">
        <v>224</v>
      </c>
      <c r="C1222" s="8">
        <v>45689</v>
      </c>
      <c r="D1222" s="4" t="s">
        <v>192</v>
      </c>
      <c r="E1222" s="14">
        <v>542.64110000000005</v>
      </c>
      <c r="F1222" s="7">
        <v>340598</v>
      </c>
      <c r="G1222" s="14">
        <v>2748.6632</v>
      </c>
      <c r="H1222" s="7">
        <v>4828842</v>
      </c>
      <c r="I1222" s="14">
        <v>3291.3042999999998</v>
      </c>
      <c r="J1222" s="7">
        <v>5169440</v>
      </c>
    </row>
    <row r="1223" spans="1:10" x14ac:dyDescent="0.2">
      <c r="A1223" s="9">
        <v>45716</v>
      </c>
      <c r="B1223" s="4" t="s">
        <v>222</v>
      </c>
      <c r="C1223" s="8">
        <v>45689</v>
      </c>
      <c r="D1223" s="4" t="s">
        <v>192</v>
      </c>
      <c r="E1223" s="14">
        <v>350.19490000000002</v>
      </c>
      <c r="F1223" s="7">
        <v>220922</v>
      </c>
      <c r="G1223" s="14">
        <v>1028.604</v>
      </c>
      <c r="H1223" s="7">
        <v>1872823</v>
      </c>
      <c r="I1223" s="14">
        <v>1378.7989</v>
      </c>
      <c r="J1223" s="7">
        <v>2093745</v>
      </c>
    </row>
    <row r="1224" spans="1:10" x14ac:dyDescent="0.2">
      <c r="A1224" s="9">
        <v>45719</v>
      </c>
      <c r="B1224" s="4" t="s">
        <v>225</v>
      </c>
      <c r="C1224" s="8">
        <v>45717</v>
      </c>
      <c r="D1224" s="4" t="s">
        <v>192</v>
      </c>
      <c r="E1224" s="14">
        <v>274.58539999999999</v>
      </c>
      <c r="F1224" s="7">
        <v>174989</v>
      </c>
      <c r="G1224" s="14">
        <v>868.74869999999999</v>
      </c>
      <c r="H1224" s="7">
        <v>1592252</v>
      </c>
      <c r="I1224" s="14">
        <v>1143.3341</v>
      </c>
      <c r="J1224" s="7">
        <v>1767241</v>
      </c>
    </row>
    <row r="1225" spans="1:10" x14ac:dyDescent="0.2">
      <c r="A1225" s="9">
        <v>45720</v>
      </c>
      <c r="B1225" s="4" t="s">
        <v>223</v>
      </c>
      <c r="C1225" s="8">
        <v>45717</v>
      </c>
      <c r="D1225" s="4" t="s">
        <v>192</v>
      </c>
      <c r="E1225" s="14">
        <v>213.28460000000001</v>
      </c>
      <c r="F1225" s="7">
        <v>137219</v>
      </c>
      <c r="G1225" s="14">
        <v>699.13400000000001</v>
      </c>
      <c r="H1225" s="7">
        <v>1282238</v>
      </c>
      <c r="I1225" s="14">
        <v>912.41859999999997</v>
      </c>
      <c r="J1225" s="7">
        <v>1419457</v>
      </c>
    </row>
    <row r="1226" spans="1:10" x14ac:dyDescent="0.2">
      <c r="A1226" s="9">
        <v>45721</v>
      </c>
      <c r="B1226" s="4" t="s">
        <v>221</v>
      </c>
      <c r="C1226" s="8">
        <v>45717</v>
      </c>
      <c r="D1226" s="4" t="s">
        <v>192</v>
      </c>
      <c r="E1226" s="14">
        <v>251.7604</v>
      </c>
      <c r="F1226" s="7">
        <v>158040</v>
      </c>
      <c r="G1226" s="14">
        <v>884.6377</v>
      </c>
      <c r="H1226" s="7">
        <v>1573173</v>
      </c>
      <c r="I1226" s="14">
        <v>1136.3981000000001</v>
      </c>
      <c r="J1226" s="7">
        <v>1731213</v>
      </c>
    </row>
    <row r="1227" spans="1:10" x14ac:dyDescent="0.2">
      <c r="A1227" s="9">
        <v>45722</v>
      </c>
      <c r="B1227" s="4" t="s">
        <v>224</v>
      </c>
      <c r="C1227" s="8">
        <v>45717</v>
      </c>
      <c r="D1227" s="4" t="s">
        <v>192</v>
      </c>
      <c r="E1227" s="14">
        <v>300.58760000000001</v>
      </c>
      <c r="F1227" s="7">
        <v>186006</v>
      </c>
      <c r="G1227" s="14">
        <v>853.49459999999999</v>
      </c>
      <c r="H1227" s="7">
        <v>1500857</v>
      </c>
      <c r="I1227" s="14">
        <v>1154.0822000000001</v>
      </c>
      <c r="J1227" s="7">
        <v>1686863</v>
      </c>
    </row>
    <row r="1228" spans="1:10" x14ac:dyDescent="0.2">
      <c r="A1228" s="9">
        <v>45723</v>
      </c>
      <c r="B1228" s="4" t="s">
        <v>222</v>
      </c>
      <c r="C1228" s="8">
        <v>45717</v>
      </c>
      <c r="D1228" s="4" t="s">
        <v>192</v>
      </c>
      <c r="E1228" s="14">
        <v>230.73599999999999</v>
      </c>
      <c r="F1228" s="7">
        <v>143944</v>
      </c>
      <c r="G1228" s="14">
        <v>679.32960000000003</v>
      </c>
      <c r="H1228" s="7">
        <v>1208066</v>
      </c>
      <c r="I1228" s="14">
        <v>910.06560000000002</v>
      </c>
      <c r="J1228" s="7">
        <v>1352010</v>
      </c>
    </row>
    <row r="1229" spans="1:10" x14ac:dyDescent="0.2">
      <c r="A1229" s="9">
        <v>45726</v>
      </c>
      <c r="B1229" s="4" t="s">
        <v>225</v>
      </c>
      <c r="C1229" s="8">
        <v>45717</v>
      </c>
      <c r="D1229" s="4" t="s">
        <v>192</v>
      </c>
      <c r="E1229" s="14">
        <v>217.8014</v>
      </c>
      <c r="F1229" s="7">
        <v>137028</v>
      </c>
      <c r="G1229" s="14">
        <v>736.52350000000001</v>
      </c>
      <c r="H1229" s="7">
        <v>1320423</v>
      </c>
      <c r="I1229" s="14">
        <v>954.32489999999996</v>
      </c>
      <c r="J1229" s="7">
        <v>1457451</v>
      </c>
    </row>
    <row r="1230" spans="1:10" x14ac:dyDescent="0.2">
      <c r="A1230" s="9">
        <v>45727</v>
      </c>
      <c r="B1230" s="4" t="s">
        <v>223</v>
      </c>
      <c r="C1230" s="8">
        <v>45717</v>
      </c>
      <c r="D1230" s="4" t="s">
        <v>192</v>
      </c>
      <c r="E1230" s="14">
        <v>234.68039999999999</v>
      </c>
      <c r="F1230" s="7">
        <v>148931</v>
      </c>
      <c r="G1230" s="14">
        <v>821.70190000000002</v>
      </c>
      <c r="H1230" s="7">
        <v>1565542</v>
      </c>
      <c r="I1230" s="14">
        <v>1056.3823</v>
      </c>
      <c r="J1230" s="7">
        <v>1714473</v>
      </c>
    </row>
    <row r="1231" spans="1:10" x14ac:dyDescent="0.2">
      <c r="A1231" s="9">
        <v>45728</v>
      </c>
      <c r="B1231" s="4" t="s">
        <v>221</v>
      </c>
      <c r="C1231" s="8">
        <v>45717</v>
      </c>
      <c r="D1231" s="4" t="s">
        <v>192</v>
      </c>
      <c r="E1231" s="14">
        <v>229.60489999999999</v>
      </c>
      <c r="F1231" s="7">
        <v>144798</v>
      </c>
      <c r="G1231" s="14">
        <v>798.89359999999999</v>
      </c>
      <c r="H1231" s="7">
        <v>1413055</v>
      </c>
      <c r="I1231" s="14">
        <v>1028.4984999999999</v>
      </c>
      <c r="J1231" s="7">
        <v>1557853</v>
      </c>
    </row>
    <row r="1232" spans="1:10" x14ac:dyDescent="0.2">
      <c r="A1232" s="9">
        <v>45729</v>
      </c>
      <c r="B1232" s="4" t="s">
        <v>224</v>
      </c>
      <c r="C1232" s="8">
        <v>45717</v>
      </c>
      <c r="D1232" s="4" t="s">
        <v>192</v>
      </c>
      <c r="E1232" s="14">
        <v>186.9879</v>
      </c>
      <c r="F1232" s="7">
        <v>117553</v>
      </c>
      <c r="G1232" s="14">
        <v>589.774</v>
      </c>
      <c r="H1232" s="7">
        <v>1051217</v>
      </c>
      <c r="I1232" s="14">
        <v>776.76189999999997</v>
      </c>
      <c r="J1232" s="7">
        <v>1168770</v>
      </c>
    </row>
    <row r="1233" spans="1:10" x14ac:dyDescent="0.2">
      <c r="A1233" s="9">
        <v>45733</v>
      </c>
      <c r="B1233" s="4" t="s">
        <v>225</v>
      </c>
      <c r="C1233" s="8">
        <v>45717</v>
      </c>
      <c r="D1233" s="4" t="s">
        <v>192</v>
      </c>
      <c r="E1233" s="14">
        <v>196.59309999999999</v>
      </c>
      <c r="F1233" s="7">
        <v>122990</v>
      </c>
      <c r="G1233" s="14">
        <v>636.33889999999997</v>
      </c>
      <c r="H1233" s="7">
        <v>1109628</v>
      </c>
      <c r="I1233" s="14">
        <v>832.93200000000002</v>
      </c>
      <c r="J1233" s="7">
        <v>1232618</v>
      </c>
    </row>
    <row r="1234" spans="1:10" x14ac:dyDescent="0.2">
      <c r="A1234" s="9">
        <v>45734</v>
      </c>
      <c r="B1234" s="4" t="s">
        <v>223</v>
      </c>
      <c r="C1234" s="8">
        <v>45717</v>
      </c>
      <c r="D1234" s="4" t="s">
        <v>192</v>
      </c>
      <c r="E1234" s="14">
        <v>333.3485</v>
      </c>
      <c r="F1234" s="7">
        <v>209372</v>
      </c>
      <c r="G1234" s="14">
        <v>801.79449999999997</v>
      </c>
      <c r="H1234" s="7">
        <v>1385747</v>
      </c>
      <c r="I1234" s="14">
        <v>1135.143</v>
      </c>
      <c r="J1234" s="7">
        <v>1595119</v>
      </c>
    </row>
    <row r="1235" spans="1:10" x14ac:dyDescent="0.2">
      <c r="A1235" s="9">
        <v>45735</v>
      </c>
      <c r="B1235" s="4" t="s">
        <v>221</v>
      </c>
      <c r="C1235" s="8">
        <v>45717</v>
      </c>
      <c r="D1235" s="4" t="s">
        <v>192</v>
      </c>
      <c r="E1235" s="14">
        <v>255.67349999999999</v>
      </c>
      <c r="F1235" s="7">
        <v>159554</v>
      </c>
      <c r="G1235" s="14">
        <v>921.62220000000002</v>
      </c>
      <c r="H1235" s="7">
        <v>1593826</v>
      </c>
      <c r="I1235" s="14">
        <v>1177.2956999999999</v>
      </c>
      <c r="J1235" s="7">
        <v>1753380</v>
      </c>
    </row>
    <row r="1236" spans="1:10" x14ac:dyDescent="0.2">
      <c r="A1236" s="9">
        <v>45736</v>
      </c>
      <c r="B1236" s="4" t="s">
        <v>224</v>
      </c>
      <c r="C1236" s="8">
        <v>45717</v>
      </c>
      <c r="D1236" s="4" t="s">
        <v>192</v>
      </c>
      <c r="E1236" s="14">
        <v>330.20760000000001</v>
      </c>
      <c r="F1236" s="7">
        <v>199806</v>
      </c>
      <c r="G1236" s="14">
        <v>1134.8525</v>
      </c>
      <c r="H1236" s="7">
        <v>1932686</v>
      </c>
      <c r="I1236" s="14">
        <v>1465.0600999999999</v>
      </c>
      <c r="J1236" s="7">
        <v>2132492</v>
      </c>
    </row>
    <row r="1237" spans="1:10" x14ac:dyDescent="0.2">
      <c r="A1237" s="9">
        <v>45737</v>
      </c>
      <c r="B1237" s="4" t="s">
        <v>222</v>
      </c>
      <c r="C1237" s="8">
        <v>45717</v>
      </c>
      <c r="D1237" s="4" t="s">
        <v>192</v>
      </c>
      <c r="E1237" s="14">
        <v>327.90370000000001</v>
      </c>
      <c r="F1237" s="7">
        <v>198248</v>
      </c>
      <c r="G1237" s="14">
        <v>1566.8127999999999</v>
      </c>
      <c r="H1237" s="7">
        <v>2583009</v>
      </c>
      <c r="I1237" s="14">
        <v>1894.7165</v>
      </c>
      <c r="J1237" s="7">
        <v>2781257</v>
      </c>
    </row>
    <row r="1238" spans="1:10" x14ac:dyDescent="0.2">
      <c r="A1238" s="9">
        <v>45740</v>
      </c>
      <c r="B1238" s="4" t="s">
        <v>225</v>
      </c>
      <c r="C1238" s="8">
        <v>45717</v>
      </c>
      <c r="D1238" s="4" t="s">
        <v>192</v>
      </c>
      <c r="E1238" s="14">
        <v>460.51839999999999</v>
      </c>
      <c r="F1238" s="7">
        <v>277052</v>
      </c>
      <c r="G1238" s="14">
        <v>2887.7257</v>
      </c>
      <c r="H1238" s="7">
        <v>4780910</v>
      </c>
      <c r="I1238" s="14">
        <v>3348.2440999999999</v>
      </c>
      <c r="J1238" s="7">
        <v>5057962</v>
      </c>
    </row>
    <row r="1239" spans="1:10" x14ac:dyDescent="0.2">
      <c r="A1239" s="9">
        <v>45741</v>
      </c>
      <c r="B1239" s="4" t="s">
        <v>223</v>
      </c>
      <c r="C1239" s="8">
        <v>45717</v>
      </c>
      <c r="D1239" s="4" t="s">
        <v>192</v>
      </c>
      <c r="E1239" s="14">
        <v>514.03819999999996</v>
      </c>
      <c r="F1239" s="7">
        <v>305530</v>
      </c>
      <c r="G1239" s="14">
        <v>3076.0821000000001</v>
      </c>
      <c r="H1239" s="7">
        <v>5050166</v>
      </c>
      <c r="I1239" s="14">
        <v>3590.1203</v>
      </c>
      <c r="J1239" s="7">
        <v>5355696</v>
      </c>
    </row>
    <row r="1240" spans="1:10" x14ac:dyDescent="0.2">
      <c r="A1240" s="9">
        <v>45742</v>
      </c>
      <c r="B1240" s="4" t="s">
        <v>221</v>
      </c>
      <c r="C1240" s="8">
        <v>45717</v>
      </c>
      <c r="D1240" s="4" t="s">
        <v>192</v>
      </c>
      <c r="E1240" s="14">
        <v>550.57910000000004</v>
      </c>
      <c r="F1240" s="7">
        <v>325776</v>
      </c>
      <c r="G1240" s="14">
        <v>2576.1514999999999</v>
      </c>
      <c r="H1240" s="7">
        <v>4343751</v>
      </c>
      <c r="I1240" s="14">
        <v>3126.7305999999999</v>
      </c>
      <c r="J1240" s="7">
        <v>4669527</v>
      </c>
    </row>
    <row r="1241" spans="1:10" x14ac:dyDescent="0.2">
      <c r="A1241" s="9">
        <v>45743</v>
      </c>
      <c r="B1241" s="4" t="s">
        <v>224</v>
      </c>
      <c r="C1241" s="8">
        <v>45717</v>
      </c>
      <c r="D1241" s="4" t="s">
        <v>192</v>
      </c>
      <c r="E1241" s="14">
        <v>442.55</v>
      </c>
      <c r="F1241" s="7">
        <v>263016</v>
      </c>
      <c r="G1241" s="14">
        <v>2475.1963000000001</v>
      </c>
      <c r="H1241" s="7">
        <v>4298731</v>
      </c>
      <c r="I1241" s="14">
        <v>2917.7462999999998</v>
      </c>
      <c r="J1241" s="7">
        <v>4561747</v>
      </c>
    </row>
    <row r="1242" spans="1:10" x14ac:dyDescent="0.2">
      <c r="A1242" s="9">
        <v>45744</v>
      </c>
      <c r="B1242" s="4" t="s">
        <v>222</v>
      </c>
      <c r="C1242" s="8">
        <v>45717</v>
      </c>
      <c r="D1242" s="4" t="s">
        <v>192</v>
      </c>
      <c r="E1242" s="14">
        <v>310.74250000000001</v>
      </c>
      <c r="F1242" s="7">
        <v>185097</v>
      </c>
      <c r="G1242" s="14">
        <v>897.05589999999995</v>
      </c>
      <c r="H1242" s="7">
        <v>1533831</v>
      </c>
      <c r="I1242" s="14">
        <v>1207.7983999999999</v>
      </c>
      <c r="J1242" s="7">
        <v>1718928</v>
      </c>
    </row>
    <row r="1243" spans="1:10" x14ac:dyDescent="0.2">
      <c r="A1243" s="9">
        <v>45748</v>
      </c>
      <c r="B1243" s="4" t="s">
        <v>223</v>
      </c>
      <c r="C1243" s="8">
        <v>45748</v>
      </c>
      <c r="D1243" s="4" t="s">
        <v>193</v>
      </c>
      <c r="E1243" s="14">
        <v>384.60669999999999</v>
      </c>
      <c r="F1243" s="7">
        <v>230454</v>
      </c>
      <c r="G1243" s="14">
        <v>902.63710000000003</v>
      </c>
      <c r="H1243" s="7">
        <v>1533413</v>
      </c>
      <c r="I1243" s="14">
        <v>1287.2438</v>
      </c>
      <c r="J1243" s="7">
        <v>1763867</v>
      </c>
    </row>
    <row r="1244" spans="1:10" x14ac:dyDescent="0.2">
      <c r="A1244" s="9">
        <v>45749</v>
      </c>
      <c r="B1244" s="4" t="s">
        <v>221</v>
      </c>
      <c r="C1244" s="8">
        <v>45748</v>
      </c>
      <c r="D1244" s="4" t="s">
        <v>193</v>
      </c>
      <c r="E1244" s="14">
        <v>205.04939999999999</v>
      </c>
      <c r="F1244" s="7">
        <v>123943</v>
      </c>
      <c r="G1244" s="14">
        <v>732.14509999999996</v>
      </c>
      <c r="H1244" s="7">
        <v>1265138</v>
      </c>
      <c r="I1244" s="14">
        <v>937.19449999999995</v>
      </c>
      <c r="J1244" s="7">
        <v>1389081</v>
      </c>
    </row>
    <row r="1245" spans="1:10" x14ac:dyDescent="0.2">
      <c r="A1245" s="9">
        <v>45750</v>
      </c>
      <c r="B1245" s="4" t="s">
        <v>224</v>
      </c>
      <c r="C1245" s="8">
        <v>45748</v>
      </c>
      <c r="D1245" s="4" t="s">
        <v>193</v>
      </c>
      <c r="E1245" s="14">
        <v>217.31229999999999</v>
      </c>
      <c r="F1245" s="7">
        <v>131716</v>
      </c>
      <c r="G1245" s="14">
        <v>851.65120000000002</v>
      </c>
      <c r="H1245" s="7">
        <v>1425967</v>
      </c>
      <c r="I1245" s="14">
        <v>1068.9635000000001</v>
      </c>
      <c r="J1245" s="7">
        <v>1557683</v>
      </c>
    </row>
    <row r="1246" spans="1:10" x14ac:dyDescent="0.2">
      <c r="A1246" s="9">
        <v>45751</v>
      </c>
      <c r="B1246" s="4" t="s">
        <v>222</v>
      </c>
      <c r="C1246" s="8">
        <v>45748</v>
      </c>
      <c r="D1246" s="4" t="s">
        <v>193</v>
      </c>
      <c r="E1246" s="14">
        <v>326.10520000000002</v>
      </c>
      <c r="F1246" s="7">
        <v>197819</v>
      </c>
      <c r="G1246" s="14">
        <v>1126.0625</v>
      </c>
      <c r="H1246" s="7">
        <v>1944604</v>
      </c>
      <c r="I1246" s="14">
        <v>1452.1677</v>
      </c>
      <c r="J1246" s="7">
        <v>2142423</v>
      </c>
    </row>
    <row r="1247" spans="1:10" x14ac:dyDescent="0.2">
      <c r="A1247" s="9">
        <v>45754</v>
      </c>
      <c r="B1247" s="4" t="s">
        <v>225</v>
      </c>
      <c r="C1247" s="8">
        <v>45748</v>
      </c>
      <c r="D1247" s="4" t="s">
        <v>193</v>
      </c>
      <c r="E1247" s="14">
        <v>727.43899999999996</v>
      </c>
      <c r="F1247" s="7">
        <v>455679</v>
      </c>
      <c r="G1247" s="14">
        <v>1323.9588000000001</v>
      </c>
      <c r="H1247" s="7">
        <v>2378479</v>
      </c>
      <c r="I1247" s="14">
        <v>2051.3978000000002</v>
      </c>
      <c r="J1247" s="7">
        <v>2834158</v>
      </c>
    </row>
    <row r="1248" spans="1:10" x14ac:dyDescent="0.2">
      <c r="A1248" s="9">
        <v>45755</v>
      </c>
      <c r="B1248" s="4" t="s">
        <v>223</v>
      </c>
      <c r="C1248" s="8">
        <v>45748</v>
      </c>
      <c r="D1248" s="4" t="s">
        <v>193</v>
      </c>
      <c r="E1248" s="14">
        <v>419.78149999999999</v>
      </c>
      <c r="F1248" s="7">
        <v>257159</v>
      </c>
      <c r="G1248" s="14">
        <v>904.06420000000003</v>
      </c>
      <c r="H1248" s="7">
        <v>1588436</v>
      </c>
      <c r="I1248" s="14">
        <v>1323.8457000000001</v>
      </c>
      <c r="J1248" s="7">
        <v>1845595</v>
      </c>
    </row>
    <row r="1249" spans="1:10" x14ac:dyDescent="0.2">
      <c r="A1249" s="9">
        <v>45756</v>
      </c>
      <c r="B1249" s="4" t="s">
        <v>221</v>
      </c>
      <c r="C1249" s="8">
        <v>45748</v>
      </c>
      <c r="D1249" s="4" t="s">
        <v>193</v>
      </c>
      <c r="E1249" s="14">
        <v>283.65269999999998</v>
      </c>
      <c r="F1249" s="7">
        <v>177091</v>
      </c>
      <c r="G1249" s="14">
        <v>769.53809999999999</v>
      </c>
      <c r="H1249" s="7">
        <v>1351761</v>
      </c>
      <c r="I1249" s="14">
        <v>1053.1908000000001</v>
      </c>
      <c r="J1249" s="7">
        <v>1528852</v>
      </c>
    </row>
    <row r="1250" spans="1:10" x14ac:dyDescent="0.2">
      <c r="A1250" s="9">
        <v>45758</v>
      </c>
      <c r="B1250" s="4" t="s">
        <v>222</v>
      </c>
      <c r="C1250" s="8">
        <v>45748</v>
      </c>
      <c r="D1250" s="4" t="s">
        <v>193</v>
      </c>
      <c r="E1250" s="14">
        <v>339.74810000000002</v>
      </c>
      <c r="F1250" s="7">
        <v>205878</v>
      </c>
      <c r="G1250" s="14">
        <v>847.92970000000003</v>
      </c>
      <c r="H1250" s="7">
        <v>1466766</v>
      </c>
      <c r="I1250" s="14">
        <v>1187.6777999999999</v>
      </c>
      <c r="J1250" s="7">
        <v>1672644</v>
      </c>
    </row>
    <row r="1251" spans="1:10" x14ac:dyDescent="0.2">
      <c r="A1251" s="9">
        <v>45762</v>
      </c>
      <c r="B1251" s="4" t="s">
        <v>223</v>
      </c>
      <c r="C1251" s="8">
        <v>45748</v>
      </c>
      <c r="D1251" s="4" t="s">
        <v>193</v>
      </c>
      <c r="E1251" s="14">
        <v>299.44439999999997</v>
      </c>
      <c r="F1251" s="7">
        <v>179323</v>
      </c>
      <c r="G1251" s="14">
        <v>972.29949999999997</v>
      </c>
      <c r="H1251" s="7">
        <v>1623612</v>
      </c>
      <c r="I1251" s="14">
        <v>1271.7438999999999</v>
      </c>
      <c r="J1251" s="7">
        <v>1802935</v>
      </c>
    </row>
    <row r="1252" spans="1:10" x14ac:dyDescent="0.2">
      <c r="A1252" s="9">
        <v>45763</v>
      </c>
      <c r="B1252" s="4" t="s">
        <v>221</v>
      </c>
      <c r="C1252" s="8">
        <v>45748</v>
      </c>
      <c r="D1252" s="4" t="s">
        <v>193</v>
      </c>
      <c r="E1252" s="14">
        <v>267.14490000000001</v>
      </c>
      <c r="F1252" s="7">
        <v>159714</v>
      </c>
      <c r="G1252" s="14">
        <v>1020.2776</v>
      </c>
      <c r="H1252" s="7">
        <v>1722803</v>
      </c>
      <c r="I1252" s="14">
        <v>1287.4224999999999</v>
      </c>
      <c r="J1252" s="7">
        <v>1882517</v>
      </c>
    </row>
    <row r="1253" spans="1:10" x14ac:dyDescent="0.2">
      <c r="A1253" s="9">
        <v>45764</v>
      </c>
      <c r="B1253" s="4" t="s">
        <v>224</v>
      </c>
      <c r="C1253" s="8">
        <v>45748</v>
      </c>
      <c r="D1253" s="4" t="s">
        <v>193</v>
      </c>
      <c r="E1253" s="14">
        <v>483.31619999999998</v>
      </c>
      <c r="F1253" s="7">
        <v>282595</v>
      </c>
      <c r="G1253" s="14">
        <v>1476.3904</v>
      </c>
      <c r="H1253" s="7">
        <v>2445722</v>
      </c>
      <c r="I1253" s="14">
        <v>1959.7066</v>
      </c>
      <c r="J1253" s="7">
        <v>2728317</v>
      </c>
    </row>
    <row r="1254" spans="1:10" x14ac:dyDescent="0.2">
      <c r="A1254" s="9">
        <v>45768</v>
      </c>
      <c r="B1254" s="4" t="s">
        <v>225</v>
      </c>
      <c r="C1254" s="8">
        <v>45748</v>
      </c>
      <c r="D1254" s="4" t="s">
        <v>193</v>
      </c>
      <c r="E1254" s="14">
        <v>469.95350000000002</v>
      </c>
      <c r="F1254" s="7">
        <v>273833</v>
      </c>
      <c r="G1254" s="14">
        <v>3216.2429999999999</v>
      </c>
      <c r="H1254" s="7">
        <v>5288816</v>
      </c>
      <c r="I1254" s="14">
        <v>3686.1965</v>
      </c>
      <c r="J1254" s="7">
        <v>5562649</v>
      </c>
    </row>
    <row r="1255" spans="1:10" x14ac:dyDescent="0.2">
      <c r="A1255" s="9">
        <v>45769</v>
      </c>
      <c r="B1255" s="4" t="s">
        <v>223</v>
      </c>
      <c r="C1255" s="8">
        <v>45748</v>
      </c>
      <c r="D1255" s="4" t="s">
        <v>193</v>
      </c>
      <c r="E1255" s="14">
        <v>471.79450000000003</v>
      </c>
      <c r="F1255" s="7">
        <v>272169</v>
      </c>
      <c r="G1255" s="14">
        <v>3154.2085000000002</v>
      </c>
      <c r="H1255" s="7">
        <v>5095674</v>
      </c>
      <c r="I1255" s="14">
        <v>3626.0030000000002</v>
      </c>
      <c r="J1255" s="7">
        <v>5367843</v>
      </c>
    </row>
    <row r="1256" spans="1:10" x14ac:dyDescent="0.2">
      <c r="A1256" s="9">
        <v>45770</v>
      </c>
      <c r="B1256" s="4" t="s">
        <v>221</v>
      </c>
      <c r="C1256" s="8">
        <v>45748</v>
      </c>
      <c r="D1256" s="4" t="s">
        <v>193</v>
      </c>
      <c r="E1256" s="14">
        <v>532.2645</v>
      </c>
      <c r="F1256" s="7">
        <v>303621</v>
      </c>
      <c r="G1256" s="14">
        <v>3078.018</v>
      </c>
      <c r="H1256" s="7">
        <v>5013708</v>
      </c>
      <c r="I1256" s="14">
        <v>3610.2824999999998</v>
      </c>
      <c r="J1256" s="7">
        <v>5317329</v>
      </c>
    </row>
    <row r="1257" spans="1:10" x14ac:dyDescent="0.2">
      <c r="A1257" s="9">
        <v>45771</v>
      </c>
      <c r="B1257" s="4" t="s">
        <v>224</v>
      </c>
      <c r="C1257" s="8">
        <v>45748</v>
      </c>
      <c r="D1257" s="4" t="s">
        <v>193</v>
      </c>
      <c r="E1257" s="14">
        <v>413.35759999999999</v>
      </c>
      <c r="F1257" s="7">
        <v>236863</v>
      </c>
      <c r="G1257" s="14">
        <v>2543.2323999999999</v>
      </c>
      <c r="H1257" s="7">
        <v>4073534</v>
      </c>
      <c r="I1257" s="14">
        <v>2956.59</v>
      </c>
      <c r="J1257" s="7">
        <v>4310397</v>
      </c>
    </row>
    <row r="1258" spans="1:10" x14ac:dyDescent="0.2">
      <c r="A1258" s="9">
        <v>45772</v>
      </c>
      <c r="B1258" s="4" t="s">
        <v>222</v>
      </c>
      <c r="C1258" s="8">
        <v>45748</v>
      </c>
      <c r="D1258" s="4" t="s">
        <v>193</v>
      </c>
      <c r="E1258" s="14">
        <v>514.13120000000004</v>
      </c>
      <c r="F1258" s="7">
        <v>295634</v>
      </c>
      <c r="G1258" s="14">
        <v>1193.7302999999999</v>
      </c>
      <c r="H1258" s="7">
        <v>1941067</v>
      </c>
      <c r="I1258" s="14">
        <v>1707.8615</v>
      </c>
      <c r="J1258" s="7">
        <v>2236701</v>
      </c>
    </row>
    <row r="1259" spans="1:10" x14ac:dyDescent="0.2">
      <c r="A1259" s="9">
        <v>45775</v>
      </c>
      <c r="B1259" s="4" t="s">
        <v>225</v>
      </c>
      <c r="C1259" s="8">
        <v>45748</v>
      </c>
      <c r="D1259" s="4" t="s">
        <v>193</v>
      </c>
      <c r="E1259" s="14">
        <v>321.71550000000002</v>
      </c>
      <c r="F1259" s="7">
        <v>182717</v>
      </c>
      <c r="G1259" s="14">
        <v>874.36300000000006</v>
      </c>
      <c r="H1259" s="7">
        <v>1420575</v>
      </c>
      <c r="I1259" s="14">
        <v>1196.0785000000001</v>
      </c>
      <c r="J1259" s="7">
        <v>1603292</v>
      </c>
    </row>
    <row r="1260" spans="1:10" x14ac:dyDescent="0.2">
      <c r="A1260" s="9">
        <v>45776</v>
      </c>
      <c r="B1260" s="4" t="s">
        <v>223</v>
      </c>
      <c r="C1260" s="8">
        <v>45748</v>
      </c>
      <c r="D1260" s="4" t="s">
        <v>193</v>
      </c>
      <c r="E1260" s="14">
        <v>267.59859999999998</v>
      </c>
      <c r="F1260" s="7">
        <v>152089</v>
      </c>
      <c r="G1260" s="14">
        <v>779.16210000000001</v>
      </c>
      <c r="H1260" s="7">
        <v>1252779</v>
      </c>
      <c r="I1260" s="14">
        <v>1046.7607</v>
      </c>
      <c r="J1260" s="7">
        <v>1404868</v>
      </c>
    </row>
    <row r="1261" spans="1:10" x14ac:dyDescent="0.2">
      <c r="A1261" s="9">
        <v>45777</v>
      </c>
      <c r="B1261" s="4" t="s">
        <v>221</v>
      </c>
      <c r="C1261" s="8">
        <v>45748</v>
      </c>
      <c r="D1261" s="4" t="s">
        <v>193</v>
      </c>
      <c r="E1261" s="14">
        <v>224.18530000000001</v>
      </c>
      <c r="F1261" s="7">
        <v>128211</v>
      </c>
      <c r="G1261" s="14">
        <v>834.23630000000003</v>
      </c>
      <c r="H1261" s="7">
        <v>1342753</v>
      </c>
      <c r="I1261" s="14">
        <v>1058.4215999999999</v>
      </c>
      <c r="J1261" s="7">
        <v>1470964</v>
      </c>
    </row>
    <row r="1262" spans="1:10" x14ac:dyDescent="0.2">
      <c r="A1262" s="9">
        <v>45779</v>
      </c>
      <c r="B1262" s="4" t="s">
        <v>222</v>
      </c>
      <c r="C1262" s="8">
        <v>45778</v>
      </c>
      <c r="D1262" s="4" t="s">
        <v>193</v>
      </c>
      <c r="E1262" s="14">
        <v>450.9556</v>
      </c>
      <c r="F1262" s="7">
        <v>254110</v>
      </c>
      <c r="G1262" s="14">
        <v>937.13459999999998</v>
      </c>
      <c r="H1262" s="7">
        <v>1507588</v>
      </c>
      <c r="I1262" s="14">
        <v>1388.0902000000001</v>
      </c>
      <c r="J1262" s="7">
        <v>1761698</v>
      </c>
    </row>
    <row r="1263" spans="1:10" x14ac:dyDescent="0.2">
      <c r="A1263" s="9">
        <v>45782</v>
      </c>
      <c r="B1263" s="4" t="s">
        <v>225</v>
      </c>
      <c r="C1263" s="8">
        <v>45778</v>
      </c>
      <c r="D1263" s="4" t="s">
        <v>193</v>
      </c>
      <c r="E1263" s="14">
        <v>240.90389999999999</v>
      </c>
      <c r="F1263" s="7">
        <v>136952</v>
      </c>
      <c r="G1263" s="14">
        <v>805.9425</v>
      </c>
      <c r="H1263" s="7">
        <v>1310622</v>
      </c>
      <c r="I1263" s="14">
        <v>1046.8463999999999</v>
      </c>
      <c r="J1263" s="7">
        <v>1447574</v>
      </c>
    </row>
    <row r="1264" spans="1:10" x14ac:dyDescent="0.2">
      <c r="A1264" s="9">
        <v>45783</v>
      </c>
      <c r="B1264" s="4" t="s">
        <v>223</v>
      </c>
      <c r="C1264" s="8">
        <v>45778</v>
      </c>
      <c r="D1264" s="4" t="s">
        <v>193</v>
      </c>
      <c r="E1264" s="14">
        <v>230.49270000000001</v>
      </c>
      <c r="F1264" s="7">
        <v>133065</v>
      </c>
      <c r="G1264" s="14">
        <v>854.47280000000001</v>
      </c>
      <c r="H1264" s="7">
        <v>1397178</v>
      </c>
      <c r="I1264" s="14">
        <v>1084.9655</v>
      </c>
      <c r="J1264" s="7">
        <v>1530243</v>
      </c>
    </row>
    <row r="1265" spans="1:10" x14ac:dyDescent="0.2">
      <c r="A1265" s="9">
        <v>45784</v>
      </c>
      <c r="B1265" s="4" t="s">
        <v>221</v>
      </c>
      <c r="C1265" s="8">
        <v>45778</v>
      </c>
      <c r="D1265" s="4" t="s">
        <v>193</v>
      </c>
      <c r="E1265" s="14">
        <v>321.53960000000001</v>
      </c>
      <c r="F1265" s="7">
        <v>184742</v>
      </c>
      <c r="G1265" s="14">
        <v>850.76530000000002</v>
      </c>
      <c r="H1265" s="7">
        <v>1391554</v>
      </c>
      <c r="I1265" s="14">
        <v>1172.3049000000001</v>
      </c>
      <c r="J1265" s="7">
        <v>1576296</v>
      </c>
    </row>
    <row r="1266" spans="1:10" x14ac:dyDescent="0.2">
      <c r="A1266" s="9">
        <v>45785</v>
      </c>
      <c r="B1266" s="4" t="s">
        <v>224</v>
      </c>
      <c r="C1266" s="8">
        <v>45778</v>
      </c>
      <c r="D1266" s="4" t="s">
        <v>193</v>
      </c>
      <c r="E1266" s="14">
        <v>340.0462</v>
      </c>
      <c r="F1266" s="7">
        <v>194430</v>
      </c>
      <c r="G1266" s="14">
        <v>1014.7655999999999</v>
      </c>
      <c r="H1266" s="7">
        <v>1678347</v>
      </c>
      <c r="I1266" s="14">
        <v>1354.8117999999999</v>
      </c>
      <c r="J1266" s="7">
        <v>1872777</v>
      </c>
    </row>
    <row r="1267" spans="1:10" x14ac:dyDescent="0.2">
      <c r="A1267" s="9">
        <v>45786</v>
      </c>
      <c r="B1267" s="4" t="s">
        <v>222</v>
      </c>
      <c r="C1267" s="8">
        <v>45778</v>
      </c>
      <c r="D1267" s="4" t="s">
        <v>193</v>
      </c>
      <c r="E1267" s="14">
        <v>431.4289</v>
      </c>
      <c r="F1267" s="7">
        <v>248740</v>
      </c>
      <c r="G1267" s="14">
        <v>917.15409999999997</v>
      </c>
      <c r="H1267" s="7">
        <v>1526017</v>
      </c>
      <c r="I1267" s="14">
        <v>1348.5830000000001</v>
      </c>
      <c r="J1267" s="7">
        <v>1774757</v>
      </c>
    </row>
    <row r="1268" spans="1:10" x14ac:dyDescent="0.2">
      <c r="A1268" s="9">
        <v>45789</v>
      </c>
      <c r="B1268" s="4" t="s">
        <v>225</v>
      </c>
      <c r="C1268" s="8">
        <v>45778</v>
      </c>
      <c r="D1268" s="4" t="s">
        <v>193</v>
      </c>
      <c r="E1268" s="14">
        <v>508.649</v>
      </c>
      <c r="F1268" s="7">
        <v>285259</v>
      </c>
      <c r="G1268" s="14">
        <v>1212.5526</v>
      </c>
      <c r="H1268" s="7">
        <v>1921660</v>
      </c>
      <c r="I1268" s="14">
        <v>1721.2016000000001</v>
      </c>
      <c r="J1268" s="7">
        <v>2206919</v>
      </c>
    </row>
    <row r="1269" spans="1:10" x14ac:dyDescent="0.2">
      <c r="A1269" s="9">
        <v>45790</v>
      </c>
      <c r="B1269" s="4" t="s">
        <v>223</v>
      </c>
      <c r="C1269" s="8">
        <v>45778</v>
      </c>
      <c r="D1269" s="4" t="s">
        <v>193</v>
      </c>
      <c r="E1269" s="14">
        <v>454.21550000000002</v>
      </c>
      <c r="F1269" s="7">
        <v>251954</v>
      </c>
      <c r="G1269" s="14">
        <v>995.66740000000004</v>
      </c>
      <c r="H1269" s="7">
        <v>1550549</v>
      </c>
      <c r="I1269" s="14">
        <v>1449.8829000000001</v>
      </c>
      <c r="J1269" s="7">
        <v>1802503</v>
      </c>
    </row>
    <row r="1270" spans="1:10" x14ac:dyDescent="0.2">
      <c r="A1270" s="9">
        <v>45791</v>
      </c>
      <c r="B1270" s="4" t="s">
        <v>221</v>
      </c>
      <c r="C1270" s="8">
        <v>45778</v>
      </c>
      <c r="D1270" s="4" t="s">
        <v>193</v>
      </c>
      <c r="E1270" s="14">
        <v>276.27609999999999</v>
      </c>
      <c r="F1270" s="7">
        <v>155472</v>
      </c>
      <c r="G1270" s="14">
        <v>922.52369999999996</v>
      </c>
      <c r="H1270" s="7">
        <v>1514818</v>
      </c>
      <c r="I1270" s="14">
        <v>1198.7998</v>
      </c>
      <c r="J1270" s="7">
        <v>1670290</v>
      </c>
    </row>
    <row r="1271" spans="1:10" x14ac:dyDescent="0.2">
      <c r="A1271" s="9">
        <v>45792</v>
      </c>
      <c r="B1271" s="4" t="s">
        <v>224</v>
      </c>
      <c r="C1271" s="8">
        <v>45778</v>
      </c>
      <c r="D1271" s="4" t="s">
        <v>193</v>
      </c>
      <c r="E1271" s="14">
        <v>522.10029999999995</v>
      </c>
      <c r="F1271" s="7">
        <v>288211</v>
      </c>
      <c r="G1271" s="14">
        <v>1118.1922999999999</v>
      </c>
      <c r="H1271" s="7">
        <v>1747239</v>
      </c>
      <c r="I1271" s="14">
        <v>1640.2926</v>
      </c>
      <c r="J1271" s="7">
        <v>2035450</v>
      </c>
    </row>
    <row r="1272" spans="1:10" x14ac:dyDescent="0.2">
      <c r="A1272" s="9">
        <v>45793</v>
      </c>
      <c r="B1272" s="4" t="s">
        <v>222</v>
      </c>
      <c r="C1272" s="8">
        <v>45778</v>
      </c>
      <c r="D1272" s="4" t="s">
        <v>193</v>
      </c>
      <c r="E1272" s="14">
        <v>201.63079999999999</v>
      </c>
      <c r="F1272" s="7">
        <v>111540</v>
      </c>
      <c r="G1272" s="14">
        <v>946.87689999999998</v>
      </c>
      <c r="H1272" s="7">
        <v>1523360</v>
      </c>
      <c r="I1272" s="14">
        <v>1148.5077000000001</v>
      </c>
      <c r="J1272" s="7">
        <v>1634900</v>
      </c>
    </row>
    <row r="1273" spans="1:10" x14ac:dyDescent="0.2">
      <c r="A1273" s="9">
        <v>45796</v>
      </c>
      <c r="B1273" s="4" t="s">
        <v>225</v>
      </c>
      <c r="C1273" s="8">
        <v>45778</v>
      </c>
      <c r="D1273" s="4" t="s">
        <v>193</v>
      </c>
      <c r="E1273" s="14">
        <v>200.37029999999999</v>
      </c>
      <c r="F1273" s="7">
        <v>112346</v>
      </c>
      <c r="G1273" s="14">
        <v>931.56970000000001</v>
      </c>
      <c r="H1273" s="7">
        <v>1495094</v>
      </c>
      <c r="I1273" s="14">
        <v>1131.94</v>
      </c>
      <c r="J1273" s="7">
        <v>1607440</v>
      </c>
    </row>
    <row r="1274" spans="1:10" x14ac:dyDescent="0.2">
      <c r="A1274" s="9">
        <v>45797</v>
      </c>
      <c r="B1274" s="4" t="s">
        <v>223</v>
      </c>
      <c r="C1274" s="8">
        <v>45778</v>
      </c>
      <c r="D1274" s="4" t="s">
        <v>193</v>
      </c>
      <c r="E1274" s="14">
        <v>359.37020000000001</v>
      </c>
      <c r="F1274" s="7">
        <v>199383</v>
      </c>
      <c r="G1274" s="14">
        <v>1028.9001000000001</v>
      </c>
      <c r="H1274" s="7">
        <v>1621889</v>
      </c>
      <c r="I1274" s="14">
        <v>1388.2702999999999</v>
      </c>
      <c r="J1274" s="7">
        <v>1821272</v>
      </c>
    </row>
    <row r="1275" spans="1:10" x14ac:dyDescent="0.2">
      <c r="A1275" s="9">
        <v>45798</v>
      </c>
      <c r="B1275" s="4" t="s">
        <v>221</v>
      </c>
      <c r="C1275" s="8">
        <v>45778</v>
      </c>
      <c r="D1275" s="4" t="s">
        <v>193</v>
      </c>
      <c r="E1275" s="14">
        <v>375.89729999999997</v>
      </c>
      <c r="F1275" s="7">
        <v>208980</v>
      </c>
      <c r="G1275" s="14">
        <v>952.93520000000001</v>
      </c>
      <c r="H1275" s="7">
        <v>1487238</v>
      </c>
      <c r="I1275" s="14">
        <v>1328.8325</v>
      </c>
      <c r="J1275" s="7">
        <v>1696218</v>
      </c>
    </row>
    <row r="1276" spans="1:10" x14ac:dyDescent="0.2">
      <c r="A1276" s="9">
        <v>45799</v>
      </c>
      <c r="B1276" s="4" t="s">
        <v>224</v>
      </c>
      <c r="C1276" s="8">
        <v>45778</v>
      </c>
      <c r="D1276" s="4" t="s">
        <v>193</v>
      </c>
      <c r="E1276" s="14">
        <v>364.92590000000001</v>
      </c>
      <c r="F1276" s="7">
        <v>203711</v>
      </c>
      <c r="G1276" s="14">
        <v>1056.7556</v>
      </c>
      <c r="H1276" s="7">
        <v>1692547</v>
      </c>
      <c r="I1276" s="14">
        <v>1421.6814999999999</v>
      </c>
      <c r="J1276" s="7">
        <v>1896258</v>
      </c>
    </row>
    <row r="1277" spans="1:10" x14ac:dyDescent="0.2">
      <c r="A1277" s="9">
        <v>45800</v>
      </c>
      <c r="B1277" s="4" t="s">
        <v>222</v>
      </c>
      <c r="C1277" s="8">
        <v>45778</v>
      </c>
      <c r="D1277" s="4" t="s">
        <v>193</v>
      </c>
      <c r="E1277" s="14">
        <v>371.24130000000002</v>
      </c>
      <c r="F1277" s="7">
        <v>206095</v>
      </c>
      <c r="G1277" s="14">
        <v>1190.8471999999999</v>
      </c>
      <c r="H1277" s="7">
        <v>1854161</v>
      </c>
      <c r="I1277" s="14">
        <v>1562.0885000000001</v>
      </c>
      <c r="J1277" s="7">
        <v>2060256</v>
      </c>
    </row>
    <row r="1278" spans="1:10" x14ac:dyDescent="0.2">
      <c r="A1278" s="9">
        <v>45803</v>
      </c>
      <c r="B1278" s="4" t="s">
        <v>225</v>
      </c>
      <c r="C1278" s="8">
        <v>45778</v>
      </c>
      <c r="D1278" s="4" t="s">
        <v>193</v>
      </c>
      <c r="E1278" s="14">
        <v>383.6062</v>
      </c>
      <c r="F1278" s="7">
        <v>213682</v>
      </c>
      <c r="G1278" s="14">
        <v>2822.0648000000001</v>
      </c>
      <c r="H1278" s="7">
        <v>4459704</v>
      </c>
      <c r="I1278" s="14">
        <v>3205.6709999999998</v>
      </c>
      <c r="J1278" s="7">
        <v>4673386</v>
      </c>
    </row>
    <row r="1279" spans="1:10" x14ac:dyDescent="0.2">
      <c r="A1279" s="9">
        <v>45804</v>
      </c>
      <c r="B1279" s="4" t="s">
        <v>223</v>
      </c>
      <c r="C1279" s="8">
        <v>45778</v>
      </c>
      <c r="D1279" s="4" t="s">
        <v>193</v>
      </c>
      <c r="E1279" s="14">
        <v>709.68799999999999</v>
      </c>
      <c r="F1279" s="7">
        <v>394935</v>
      </c>
      <c r="G1279" s="14">
        <v>2943.4113000000002</v>
      </c>
      <c r="H1279" s="7">
        <v>4631777</v>
      </c>
      <c r="I1279" s="14">
        <v>3653.0992999999999</v>
      </c>
      <c r="J1279" s="7">
        <v>5026712</v>
      </c>
    </row>
    <row r="1280" spans="1:10" x14ac:dyDescent="0.2">
      <c r="A1280" s="9">
        <v>45805</v>
      </c>
      <c r="B1280" s="4" t="s">
        <v>221</v>
      </c>
      <c r="C1280" s="8">
        <v>45778</v>
      </c>
      <c r="D1280" s="4" t="s">
        <v>193</v>
      </c>
      <c r="E1280" s="14">
        <v>422.10230000000001</v>
      </c>
      <c r="F1280" s="7">
        <v>237351</v>
      </c>
      <c r="G1280" s="14">
        <v>2675.6491999999998</v>
      </c>
      <c r="H1280" s="7">
        <v>4220795</v>
      </c>
      <c r="I1280" s="14">
        <v>3097.7514999999999</v>
      </c>
      <c r="J1280" s="7">
        <v>4458146</v>
      </c>
    </row>
    <row r="1281" spans="1:10" x14ac:dyDescent="0.2">
      <c r="A1281" s="9">
        <v>45806</v>
      </c>
      <c r="B1281" s="4" t="s">
        <v>224</v>
      </c>
      <c r="C1281" s="8">
        <v>45778</v>
      </c>
      <c r="D1281" s="4" t="s">
        <v>193</v>
      </c>
      <c r="E1281" s="14">
        <v>620.01400000000001</v>
      </c>
      <c r="F1281" s="7">
        <v>344892</v>
      </c>
      <c r="G1281" s="14">
        <v>2222.6927999999998</v>
      </c>
      <c r="H1281" s="7">
        <v>3524112</v>
      </c>
      <c r="I1281" s="14">
        <v>2842.7067999999999</v>
      </c>
      <c r="J1281" s="7">
        <v>3869004</v>
      </c>
    </row>
    <row r="1282" spans="1:10" x14ac:dyDescent="0.2">
      <c r="A1282" s="9">
        <v>45807</v>
      </c>
      <c r="B1282" s="4" t="s">
        <v>222</v>
      </c>
      <c r="C1282" s="8">
        <v>45778</v>
      </c>
      <c r="D1282" s="4" t="s">
        <v>193</v>
      </c>
      <c r="E1282" s="14">
        <v>236.64179999999999</v>
      </c>
      <c r="F1282" s="7">
        <v>131712</v>
      </c>
      <c r="G1282" s="14">
        <v>914.65650000000005</v>
      </c>
      <c r="H1282" s="7">
        <v>1456328</v>
      </c>
      <c r="I1282" s="14">
        <v>1151.2982999999999</v>
      </c>
      <c r="J1282" s="7">
        <v>1588040</v>
      </c>
    </row>
    <row r="1283" spans="1:10" x14ac:dyDescent="0.2">
      <c r="A1283" s="9">
        <v>45810</v>
      </c>
      <c r="B1283" s="4" t="s">
        <v>225</v>
      </c>
      <c r="C1283" s="8">
        <v>45809</v>
      </c>
      <c r="D1283" s="4" t="s">
        <v>193</v>
      </c>
      <c r="E1283" s="14">
        <v>280.70749999999998</v>
      </c>
      <c r="F1283" s="7">
        <v>155651</v>
      </c>
      <c r="G1283" s="14">
        <v>731.23230000000001</v>
      </c>
      <c r="H1283" s="7">
        <v>1139019</v>
      </c>
      <c r="I1283" s="14">
        <v>1011.9398</v>
      </c>
      <c r="J1283" s="7">
        <v>1294670</v>
      </c>
    </row>
    <row r="1284" spans="1:10" x14ac:dyDescent="0.2">
      <c r="A1284" s="9">
        <v>45811</v>
      </c>
      <c r="B1284" s="4" t="s">
        <v>223</v>
      </c>
      <c r="C1284" s="8">
        <v>45809</v>
      </c>
      <c r="D1284" s="4" t="s">
        <v>193</v>
      </c>
      <c r="E1284" s="14">
        <v>320.55739999999997</v>
      </c>
      <c r="F1284" s="7">
        <v>177461</v>
      </c>
      <c r="G1284" s="14">
        <v>774.95510000000002</v>
      </c>
      <c r="H1284" s="7">
        <v>1197215</v>
      </c>
      <c r="I1284" s="14">
        <v>1095.5125</v>
      </c>
      <c r="J1284" s="7">
        <v>1374676</v>
      </c>
    </row>
    <row r="1285" spans="1:10" x14ac:dyDescent="0.2">
      <c r="A1285" s="9">
        <v>45812</v>
      </c>
      <c r="B1285" s="4" t="s">
        <v>221</v>
      </c>
      <c r="C1285" s="8">
        <v>45809</v>
      </c>
      <c r="D1285" s="4" t="s">
        <v>193</v>
      </c>
      <c r="E1285" s="14">
        <v>170.04519999999999</v>
      </c>
      <c r="F1285" s="7">
        <v>94783</v>
      </c>
      <c r="G1285" s="14">
        <v>647.75969999999995</v>
      </c>
      <c r="H1285" s="7">
        <v>1040602</v>
      </c>
      <c r="I1285" s="14">
        <v>817.80489999999998</v>
      </c>
      <c r="J1285" s="7">
        <v>1135385</v>
      </c>
    </row>
    <row r="1286" spans="1:10" x14ac:dyDescent="0.2">
      <c r="A1286" s="9">
        <v>45813</v>
      </c>
      <c r="B1286" s="4" t="s">
        <v>224</v>
      </c>
      <c r="C1286" s="8">
        <v>45809</v>
      </c>
      <c r="D1286" s="4" t="s">
        <v>193</v>
      </c>
      <c r="E1286" s="14">
        <v>304.2491</v>
      </c>
      <c r="F1286" s="7">
        <v>166759</v>
      </c>
      <c r="G1286" s="14">
        <v>773.44870000000003</v>
      </c>
      <c r="H1286" s="7">
        <v>1181879</v>
      </c>
      <c r="I1286" s="14">
        <v>1077.6977999999999</v>
      </c>
      <c r="J1286" s="7">
        <v>1348638</v>
      </c>
    </row>
    <row r="1287" spans="1:10" x14ac:dyDescent="0.2">
      <c r="A1287" s="9">
        <v>45814</v>
      </c>
      <c r="B1287" s="4" t="s">
        <v>222</v>
      </c>
      <c r="C1287" s="8">
        <v>45809</v>
      </c>
      <c r="D1287" s="4" t="s">
        <v>193</v>
      </c>
      <c r="E1287" s="14">
        <v>460.26330000000002</v>
      </c>
      <c r="F1287" s="7">
        <v>257461</v>
      </c>
      <c r="G1287" s="14">
        <v>1106.0653</v>
      </c>
      <c r="H1287" s="7">
        <v>1654477</v>
      </c>
      <c r="I1287" s="14">
        <v>1566.3286000000001</v>
      </c>
      <c r="J1287" s="7">
        <v>1911938</v>
      </c>
    </row>
    <row r="1288" spans="1:10" x14ac:dyDescent="0.2">
      <c r="A1288" s="9">
        <v>45817</v>
      </c>
      <c r="B1288" s="4" t="s">
        <v>225</v>
      </c>
      <c r="C1288" s="8">
        <v>45809</v>
      </c>
      <c r="D1288" s="4" t="s">
        <v>193</v>
      </c>
      <c r="E1288" s="14">
        <v>179.7587</v>
      </c>
      <c r="F1288" s="7">
        <v>99054</v>
      </c>
      <c r="G1288" s="14">
        <v>898.54560000000004</v>
      </c>
      <c r="H1288" s="7">
        <v>1350210</v>
      </c>
      <c r="I1288" s="14">
        <v>1078.3043</v>
      </c>
      <c r="J1288" s="7">
        <v>1449264</v>
      </c>
    </row>
    <row r="1289" spans="1:10" x14ac:dyDescent="0.2">
      <c r="A1289" s="9">
        <v>45818</v>
      </c>
      <c r="B1289" s="4" t="s">
        <v>223</v>
      </c>
      <c r="C1289" s="8">
        <v>45809</v>
      </c>
      <c r="D1289" s="4" t="s">
        <v>193</v>
      </c>
      <c r="E1289" s="14">
        <v>159.77189999999999</v>
      </c>
      <c r="F1289" s="7">
        <v>87671</v>
      </c>
      <c r="G1289" s="14">
        <v>846.02739999999994</v>
      </c>
      <c r="H1289" s="7">
        <v>1277603</v>
      </c>
      <c r="I1289" s="14">
        <v>1005.7993</v>
      </c>
      <c r="J1289" s="7">
        <v>1365274</v>
      </c>
    </row>
    <row r="1290" spans="1:10" x14ac:dyDescent="0.2">
      <c r="A1290" s="9">
        <v>45819</v>
      </c>
      <c r="B1290" s="4" t="s">
        <v>221</v>
      </c>
      <c r="C1290" s="8">
        <v>45809</v>
      </c>
      <c r="D1290" s="4" t="s">
        <v>193</v>
      </c>
      <c r="E1290" s="14">
        <v>201.7732</v>
      </c>
      <c r="F1290" s="7">
        <v>110299</v>
      </c>
      <c r="G1290" s="14">
        <v>843.86479999999995</v>
      </c>
      <c r="H1290" s="7">
        <v>1280775</v>
      </c>
      <c r="I1290" s="14">
        <v>1045.6379999999999</v>
      </c>
      <c r="J1290" s="7">
        <v>1391074</v>
      </c>
    </row>
    <row r="1291" spans="1:10" x14ac:dyDescent="0.2">
      <c r="A1291" s="9">
        <v>45820</v>
      </c>
      <c r="B1291" s="4" t="s">
        <v>224</v>
      </c>
      <c r="C1291" s="8">
        <v>45809</v>
      </c>
      <c r="D1291" s="4" t="s">
        <v>193</v>
      </c>
      <c r="E1291" s="14">
        <v>350.23570000000001</v>
      </c>
      <c r="F1291" s="7">
        <v>190997</v>
      </c>
      <c r="G1291" s="14">
        <v>905.48379999999997</v>
      </c>
      <c r="H1291" s="7">
        <v>1392006</v>
      </c>
      <c r="I1291" s="14">
        <v>1255.7194999999999</v>
      </c>
      <c r="J1291" s="7">
        <v>1583003</v>
      </c>
    </row>
    <row r="1292" spans="1:10" x14ac:dyDescent="0.2">
      <c r="A1292" s="9">
        <v>45821</v>
      </c>
      <c r="B1292" s="4" t="s">
        <v>222</v>
      </c>
      <c r="C1292" s="8">
        <v>45809</v>
      </c>
      <c r="D1292" s="4" t="s">
        <v>193</v>
      </c>
      <c r="E1292" s="14">
        <v>281.74880000000002</v>
      </c>
      <c r="F1292" s="7">
        <v>156669</v>
      </c>
      <c r="G1292" s="14">
        <v>881.14380000000006</v>
      </c>
      <c r="H1292" s="7">
        <v>1329998</v>
      </c>
      <c r="I1292" s="14">
        <v>1162.8925999999999</v>
      </c>
      <c r="J1292" s="7">
        <v>1486667</v>
      </c>
    </row>
    <row r="1293" spans="1:10" x14ac:dyDescent="0.2">
      <c r="A1293" s="9">
        <v>45824</v>
      </c>
      <c r="B1293" s="4" t="s">
        <v>225</v>
      </c>
      <c r="C1293" s="8">
        <v>45809</v>
      </c>
      <c r="D1293" s="4" t="s">
        <v>193</v>
      </c>
      <c r="E1293" s="14">
        <v>284.88310000000001</v>
      </c>
      <c r="F1293" s="7">
        <v>156862</v>
      </c>
      <c r="G1293" s="14">
        <v>798.24379999999996</v>
      </c>
      <c r="H1293" s="7">
        <v>1233255</v>
      </c>
      <c r="I1293" s="14">
        <v>1083.1269</v>
      </c>
      <c r="J1293" s="7">
        <v>1390117</v>
      </c>
    </row>
    <row r="1294" spans="1:10" x14ac:dyDescent="0.2">
      <c r="A1294" s="9">
        <v>45825</v>
      </c>
      <c r="B1294" s="4" t="s">
        <v>223</v>
      </c>
      <c r="C1294" s="8">
        <v>45809</v>
      </c>
      <c r="D1294" s="4" t="s">
        <v>193</v>
      </c>
      <c r="E1294" s="14">
        <v>191.03960000000001</v>
      </c>
      <c r="F1294" s="7">
        <v>105198</v>
      </c>
      <c r="G1294" s="14">
        <v>736.47569999999996</v>
      </c>
      <c r="H1294" s="7">
        <v>1127536</v>
      </c>
      <c r="I1294" s="14">
        <v>927.51530000000002</v>
      </c>
      <c r="J1294" s="7">
        <v>1232734</v>
      </c>
    </row>
    <row r="1295" spans="1:10" x14ac:dyDescent="0.2">
      <c r="A1295" s="9">
        <v>45826</v>
      </c>
      <c r="B1295" s="4" t="s">
        <v>221</v>
      </c>
      <c r="C1295" s="8">
        <v>45809</v>
      </c>
      <c r="D1295" s="4" t="s">
        <v>193</v>
      </c>
      <c r="E1295" s="14">
        <v>226.9237</v>
      </c>
      <c r="F1295" s="7">
        <v>124959</v>
      </c>
      <c r="G1295" s="14">
        <v>765.46190000000001</v>
      </c>
      <c r="H1295" s="7">
        <v>1179714</v>
      </c>
      <c r="I1295" s="14">
        <v>992.38559999999995</v>
      </c>
      <c r="J1295" s="7">
        <v>1304673</v>
      </c>
    </row>
    <row r="1296" spans="1:10" x14ac:dyDescent="0.2">
      <c r="A1296" s="9">
        <v>45827</v>
      </c>
      <c r="B1296" s="4" t="s">
        <v>224</v>
      </c>
      <c r="C1296" s="8">
        <v>45809</v>
      </c>
      <c r="D1296" s="4" t="s">
        <v>193</v>
      </c>
      <c r="E1296" s="14">
        <v>193.5882</v>
      </c>
      <c r="F1296" s="7">
        <v>107583</v>
      </c>
      <c r="G1296" s="14">
        <v>859.57280000000003</v>
      </c>
      <c r="H1296" s="7">
        <v>1364018</v>
      </c>
      <c r="I1296" s="14">
        <v>1053.1610000000001</v>
      </c>
      <c r="J1296" s="7">
        <v>1471601</v>
      </c>
    </row>
    <row r="1297" spans="1:10" x14ac:dyDescent="0.2">
      <c r="A1297" s="9">
        <v>45828</v>
      </c>
      <c r="B1297" s="4" t="s">
        <v>222</v>
      </c>
      <c r="C1297" s="8">
        <v>45809</v>
      </c>
      <c r="D1297" s="4" t="s">
        <v>193</v>
      </c>
      <c r="E1297" s="14">
        <v>395.58449999999999</v>
      </c>
      <c r="F1297" s="7">
        <v>216075</v>
      </c>
      <c r="G1297" s="14">
        <v>1397.6586</v>
      </c>
      <c r="H1297" s="7">
        <v>2165279</v>
      </c>
      <c r="I1297" s="14">
        <v>1793.2430999999999</v>
      </c>
      <c r="J1297" s="7">
        <v>2381354</v>
      </c>
    </row>
    <row r="1298" spans="1:10" x14ac:dyDescent="0.2">
      <c r="A1298" s="9">
        <v>45831</v>
      </c>
      <c r="B1298" s="4" t="s">
        <v>225</v>
      </c>
      <c r="C1298" s="8">
        <v>45809</v>
      </c>
      <c r="D1298" s="4" t="s">
        <v>193</v>
      </c>
      <c r="E1298" s="14">
        <v>458.14519999999999</v>
      </c>
      <c r="F1298" s="7">
        <v>249656</v>
      </c>
      <c r="G1298" s="14">
        <v>3134.9412000000002</v>
      </c>
      <c r="H1298" s="7">
        <v>4747365</v>
      </c>
      <c r="I1298" s="14">
        <v>3593.0864000000001</v>
      </c>
      <c r="J1298" s="7">
        <v>4997021</v>
      </c>
    </row>
    <row r="1299" spans="1:10" x14ac:dyDescent="0.2">
      <c r="A1299" s="9">
        <v>45832</v>
      </c>
      <c r="B1299" s="4" t="s">
        <v>223</v>
      </c>
      <c r="C1299" s="8">
        <v>45809</v>
      </c>
      <c r="D1299" s="4" t="s">
        <v>193</v>
      </c>
      <c r="E1299" s="14">
        <v>680.94510000000002</v>
      </c>
      <c r="F1299" s="7">
        <v>365747</v>
      </c>
      <c r="G1299" s="14">
        <v>3441.5493000000001</v>
      </c>
      <c r="H1299" s="7">
        <v>5218277</v>
      </c>
      <c r="I1299" s="14">
        <v>4122.4943999999996</v>
      </c>
      <c r="J1299" s="7">
        <v>5584024</v>
      </c>
    </row>
    <row r="1300" spans="1:10" x14ac:dyDescent="0.2">
      <c r="A1300" s="9">
        <v>45833</v>
      </c>
      <c r="B1300" s="4" t="s">
        <v>221</v>
      </c>
      <c r="C1300" s="8">
        <v>45809</v>
      </c>
      <c r="D1300" s="4" t="s">
        <v>193</v>
      </c>
      <c r="E1300" s="14">
        <v>403.76479999999998</v>
      </c>
      <c r="F1300" s="7">
        <v>216232</v>
      </c>
      <c r="G1300" s="14">
        <v>2932.9560999999999</v>
      </c>
      <c r="H1300" s="7">
        <v>4383724</v>
      </c>
      <c r="I1300" s="14">
        <v>3336.7208999999998</v>
      </c>
      <c r="J1300" s="7">
        <v>4599956</v>
      </c>
    </row>
    <row r="1301" spans="1:10" x14ac:dyDescent="0.2">
      <c r="A1301" s="9">
        <v>45834</v>
      </c>
      <c r="B1301" s="4" t="s">
        <v>224</v>
      </c>
      <c r="C1301" s="8">
        <v>45809</v>
      </c>
      <c r="D1301" s="4" t="s">
        <v>193</v>
      </c>
      <c r="E1301" s="14">
        <v>616.52269999999999</v>
      </c>
      <c r="F1301" s="7">
        <v>326825</v>
      </c>
      <c r="G1301" s="14">
        <v>2643.2932000000001</v>
      </c>
      <c r="H1301" s="7">
        <v>3913493</v>
      </c>
      <c r="I1301" s="14">
        <v>3259.8159000000001</v>
      </c>
      <c r="J1301" s="7">
        <v>4240318</v>
      </c>
    </row>
    <row r="1302" spans="1:10" x14ac:dyDescent="0.2">
      <c r="A1302" s="9">
        <v>45835</v>
      </c>
      <c r="B1302" s="4" t="s">
        <v>222</v>
      </c>
      <c r="C1302" s="8">
        <v>45809</v>
      </c>
      <c r="D1302" s="4" t="s">
        <v>193</v>
      </c>
      <c r="E1302" s="14">
        <v>209.8261</v>
      </c>
      <c r="F1302" s="7">
        <v>107513</v>
      </c>
      <c r="G1302" s="14">
        <v>1139.9766</v>
      </c>
      <c r="H1302" s="7">
        <v>1591143</v>
      </c>
      <c r="I1302" s="14">
        <v>1349.8027</v>
      </c>
      <c r="J1302" s="7">
        <v>1698656</v>
      </c>
    </row>
    <row r="1303" spans="1:10" x14ac:dyDescent="0.2">
      <c r="A1303" s="9">
        <v>45838</v>
      </c>
      <c r="B1303" s="4" t="s">
        <v>225</v>
      </c>
      <c r="C1303" s="8">
        <v>45809</v>
      </c>
      <c r="D1303" s="4" t="s">
        <v>193</v>
      </c>
      <c r="E1303" s="14">
        <v>257.22199999999998</v>
      </c>
      <c r="F1303" s="7">
        <v>132573</v>
      </c>
      <c r="G1303" s="14">
        <v>749.49220000000003</v>
      </c>
      <c r="H1303" s="7">
        <v>1049190</v>
      </c>
      <c r="I1303" s="14">
        <v>1006.7142</v>
      </c>
      <c r="J1303" s="7">
        <v>1181763</v>
      </c>
    </row>
    <row r="1304" spans="1:10" x14ac:dyDescent="0.2">
      <c r="A1304" s="9">
        <v>45839</v>
      </c>
      <c r="B1304" s="4" t="s">
        <v>223</v>
      </c>
      <c r="C1304" s="8">
        <v>45839</v>
      </c>
      <c r="D1304" s="4" t="s">
        <v>194</v>
      </c>
      <c r="E1304" s="14">
        <v>150.6994</v>
      </c>
      <c r="F1304" s="7">
        <v>77305</v>
      </c>
      <c r="G1304" s="14">
        <v>781.87260000000003</v>
      </c>
      <c r="H1304" s="7">
        <v>1081805</v>
      </c>
      <c r="I1304" s="14">
        <v>932.572</v>
      </c>
      <c r="J1304" s="7">
        <v>1159110</v>
      </c>
    </row>
    <row r="1305" spans="1:10" x14ac:dyDescent="0.2">
      <c r="A1305" s="9">
        <v>45840</v>
      </c>
      <c r="B1305" s="4" t="s">
        <v>221</v>
      </c>
      <c r="C1305" s="8">
        <v>45839</v>
      </c>
      <c r="D1305" s="4" t="s">
        <v>194</v>
      </c>
      <c r="E1305" s="14">
        <v>243.38560000000001</v>
      </c>
      <c r="F1305" s="7">
        <v>125226</v>
      </c>
      <c r="G1305" s="14">
        <v>808.06899999999996</v>
      </c>
      <c r="H1305" s="7">
        <v>1147973</v>
      </c>
      <c r="I1305" s="14">
        <v>1051.4546</v>
      </c>
      <c r="J1305" s="7">
        <v>1273199</v>
      </c>
    </row>
    <row r="1306" spans="1:10" x14ac:dyDescent="0.2">
      <c r="A1306" s="9">
        <v>45841</v>
      </c>
      <c r="B1306" s="4" t="s">
        <v>224</v>
      </c>
      <c r="C1306" s="8">
        <v>45839</v>
      </c>
      <c r="D1306" s="4" t="s">
        <v>194</v>
      </c>
      <c r="E1306" s="14">
        <v>248.24180000000001</v>
      </c>
      <c r="F1306" s="7">
        <v>128271</v>
      </c>
      <c r="G1306" s="14">
        <v>690.32799999999997</v>
      </c>
      <c r="H1306" s="7">
        <v>975279</v>
      </c>
      <c r="I1306" s="14">
        <v>938.56979999999999</v>
      </c>
      <c r="J1306" s="7">
        <v>1103550</v>
      </c>
    </row>
    <row r="1307" spans="1:10" x14ac:dyDescent="0.2">
      <c r="A1307" s="9">
        <v>45842</v>
      </c>
      <c r="B1307" s="4" t="s">
        <v>222</v>
      </c>
      <c r="C1307" s="8">
        <v>45839</v>
      </c>
      <c r="D1307" s="4" t="s">
        <v>194</v>
      </c>
      <c r="E1307" s="14">
        <v>190.36320000000001</v>
      </c>
      <c r="F1307" s="7">
        <v>98399</v>
      </c>
      <c r="G1307" s="14">
        <v>691.1182</v>
      </c>
      <c r="H1307" s="7">
        <v>974049</v>
      </c>
      <c r="I1307" s="14">
        <v>881.48140000000001</v>
      </c>
      <c r="J1307" s="7">
        <v>1072448</v>
      </c>
    </row>
    <row r="1308" spans="1:10" x14ac:dyDescent="0.2">
      <c r="A1308" s="9">
        <v>45845</v>
      </c>
      <c r="B1308" s="4" t="s">
        <v>225</v>
      </c>
      <c r="C1308" s="8">
        <v>45839</v>
      </c>
      <c r="D1308" s="4" t="s">
        <v>194</v>
      </c>
      <c r="E1308" s="14">
        <v>151.89850000000001</v>
      </c>
      <c r="F1308" s="7">
        <v>78210</v>
      </c>
      <c r="G1308" s="14">
        <v>570.71230000000003</v>
      </c>
      <c r="H1308" s="7">
        <v>808058</v>
      </c>
      <c r="I1308" s="14">
        <v>722.61080000000004</v>
      </c>
      <c r="J1308" s="7">
        <v>886268</v>
      </c>
    </row>
    <row r="1309" spans="1:10" x14ac:dyDescent="0.2">
      <c r="A1309" s="9">
        <v>45846</v>
      </c>
      <c r="B1309" s="4" t="s">
        <v>223</v>
      </c>
      <c r="C1309" s="8">
        <v>45839</v>
      </c>
      <c r="D1309" s="4" t="s">
        <v>194</v>
      </c>
      <c r="E1309" s="14">
        <v>159.86850000000001</v>
      </c>
      <c r="F1309" s="7">
        <v>82357</v>
      </c>
      <c r="G1309" s="14">
        <v>715.2269</v>
      </c>
      <c r="H1309" s="7">
        <v>1010548</v>
      </c>
      <c r="I1309" s="14">
        <v>875.09540000000004</v>
      </c>
      <c r="J1309" s="7">
        <v>1092905</v>
      </c>
    </row>
    <row r="1310" spans="1:10" x14ac:dyDescent="0.2">
      <c r="A1310" s="9">
        <v>45847</v>
      </c>
      <c r="B1310" s="4" t="s">
        <v>221</v>
      </c>
      <c r="C1310" s="8">
        <v>45839</v>
      </c>
      <c r="D1310" s="4" t="s">
        <v>194</v>
      </c>
      <c r="E1310" s="14">
        <v>148.96639999999999</v>
      </c>
      <c r="F1310" s="7">
        <v>76825</v>
      </c>
      <c r="G1310" s="14">
        <v>708.46159999999998</v>
      </c>
      <c r="H1310" s="7">
        <v>1021825</v>
      </c>
      <c r="I1310" s="14">
        <v>857.428</v>
      </c>
      <c r="J1310" s="7">
        <v>1098650</v>
      </c>
    </row>
    <row r="1311" spans="1:10" x14ac:dyDescent="0.2">
      <c r="A1311" s="9">
        <v>45848</v>
      </c>
      <c r="B1311" s="4" t="s">
        <v>224</v>
      </c>
      <c r="C1311" s="8">
        <v>45839</v>
      </c>
      <c r="D1311" s="4" t="s">
        <v>194</v>
      </c>
      <c r="E1311" s="14">
        <v>195.03800000000001</v>
      </c>
      <c r="F1311" s="7">
        <v>100960</v>
      </c>
      <c r="G1311" s="14">
        <v>677.72329999999999</v>
      </c>
      <c r="H1311" s="7">
        <v>980035</v>
      </c>
      <c r="I1311" s="14">
        <v>872.76130000000001</v>
      </c>
      <c r="J1311" s="7">
        <v>1080995</v>
      </c>
    </row>
    <row r="1312" spans="1:10" x14ac:dyDescent="0.2">
      <c r="A1312" s="9">
        <v>45849</v>
      </c>
      <c r="B1312" s="4" t="s">
        <v>222</v>
      </c>
      <c r="C1312" s="8">
        <v>45839</v>
      </c>
      <c r="D1312" s="4" t="s">
        <v>194</v>
      </c>
      <c r="E1312" s="14">
        <v>220.7473</v>
      </c>
      <c r="F1312" s="7">
        <v>115191</v>
      </c>
      <c r="G1312" s="14">
        <v>802.26030000000003</v>
      </c>
      <c r="H1312" s="7">
        <v>1149890</v>
      </c>
      <c r="I1312" s="14">
        <v>1023.0076</v>
      </c>
      <c r="J1312" s="7">
        <v>1265081</v>
      </c>
    </row>
    <row r="1313" spans="1:10" x14ac:dyDescent="0.2">
      <c r="A1313" s="9">
        <v>45852</v>
      </c>
      <c r="B1313" s="4" t="s">
        <v>225</v>
      </c>
      <c r="C1313" s="8">
        <v>45839</v>
      </c>
      <c r="D1313" s="4" t="s">
        <v>194</v>
      </c>
      <c r="E1313" s="14">
        <v>204.55070000000001</v>
      </c>
      <c r="F1313" s="7">
        <v>107276</v>
      </c>
      <c r="G1313" s="14">
        <v>752.6377</v>
      </c>
      <c r="H1313" s="7">
        <v>1076290</v>
      </c>
      <c r="I1313" s="14">
        <v>957.1884</v>
      </c>
      <c r="J1313" s="7">
        <v>1183566</v>
      </c>
    </row>
    <row r="1314" spans="1:10" x14ac:dyDescent="0.2">
      <c r="A1314" s="9">
        <v>45853</v>
      </c>
      <c r="B1314" s="4" t="s">
        <v>223</v>
      </c>
      <c r="C1314" s="8">
        <v>45839</v>
      </c>
      <c r="D1314" s="4" t="s">
        <v>194</v>
      </c>
      <c r="E1314" s="14">
        <v>177.64169999999999</v>
      </c>
      <c r="F1314" s="7">
        <v>92278</v>
      </c>
      <c r="G1314" s="14">
        <v>790.39930000000004</v>
      </c>
      <c r="H1314" s="7">
        <v>1147153</v>
      </c>
      <c r="I1314" s="14">
        <v>968.04100000000005</v>
      </c>
      <c r="J1314" s="7">
        <v>1239431</v>
      </c>
    </row>
    <row r="1315" spans="1:10" x14ac:dyDescent="0.2">
      <c r="A1315" s="9">
        <v>45854</v>
      </c>
      <c r="B1315" s="4" t="s">
        <v>221</v>
      </c>
      <c r="C1315" s="8">
        <v>45839</v>
      </c>
      <c r="D1315" s="4" t="s">
        <v>194</v>
      </c>
      <c r="E1315" s="14">
        <v>149.02709999999999</v>
      </c>
      <c r="F1315" s="7">
        <v>77451</v>
      </c>
      <c r="G1315" s="14">
        <v>825.65959999999995</v>
      </c>
      <c r="H1315" s="7">
        <v>1183301</v>
      </c>
      <c r="I1315" s="14">
        <v>974.68669999999997</v>
      </c>
      <c r="J1315" s="7">
        <v>1260752</v>
      </c>
    </row>
    <row r="1316" spans="1:10" x14ac:dyDescent="0.2">
      <c r="A1316" s="9">
        <v>45855</v>
      </c>
      <c r="B1316" s="4" t="s">
        <v>224</v>
      </c>
      <c r="C1316" s="8">
        <v>45839</v>
      </c>
      <c r="D1316" s="4" t="s">
        <v>194</v>
      </c>
      <c r="E1316" s="14">
        <v>176.39940000000001</v>
      </c>
      <c r="F1316" s="7">
        <v>91625</v>
      </c>
      <c r="G1316" s="14">
        <v>826.91150000000005</v>
      </c>
      <c r="H1316" s="7">
        <v>1167560</v>
      </c>
      <c r="I1316" s="14">
        <v>1003.3108999999999</v>
      </c>
      <c r="J1316" s="7">
        <v>1259185</v>
      </c>
    </row>
    <row r="1317" spans="1:10" x14ac:dyDescent="0.2">
      <c r="A1317" s="9">
        <v>45856</v>
      </c>
      <c r="B1317" s="4" t="s">
        <v>222</v>
      </c>
      <c r="C1317" s="8">
        <v>45839</v>
      </c>
      <c r="D1317" s="4" t="s">
        <v>194</v>
      </c>
      <c r="E1317" s="14">
        <v>252.63829999999999</v>
      </c>
      <c r="F1317" s="7">
        <v>132094</v>
      </c>
      <c r="G1317" s="14">
        <v>865.41700000000003</v>
      </c>
      <c r="H1317" s="7">
        <v>1211570</v>
      </c>
      <c r="I1317" s="14">
        <v>1118.0553</v>
      </c>
      <c r="J1317" s="7">
        <v>1343664</v>
      </c>
    </row>
    <row r="1318" spans="1:10" x14ac:dyDescent="0.2">
      <c r="A1318" s="9">
        <v>45859</v>
      </c>
      <c r="B1318" s="4" t="s">
        <v>225</v>
      </c>
      <c r="C1318" s="8">
        <v>45839</v>
      </c>
      <c r="D1318" s="4" t="s">
        <v>194</v>
      </c>
      <c r="E1318" s="14">
        <v>235.27430000000001</v>
      </c>
      <c r="F1318" s="7">
        <v>122273</v>
      </c>
      <c r="G1318" s="14">
        <v>898.47879999999998</v>
      </c>
      <c r="H1318" s="7">
        <v>1253949</v>
      </c>
      <c r="I1318" s="14">
        <v>1133.7530999999999</v>
      </c>
      <c r="J1318" s="7">
        <v>1376222</v>
      </c>
    </row>
    <row r="1319" spans="1:10" x14ac:dyDescent="0.2">
      <c r="A1319" s="9">
        <v>45860</v>
      </c>
      <c r="B1319" s="4" t="s">
        <v>223</v>
      </c>
      <c r="C1319" s="8">
        <v>45839</v>
      </c>
      <c r="D1319" s="4" t="s">
        <v>194</v>
      </c>
      <c r="E1319" s="14">
        <v>152.09180000000001</v>
      </c>
      <c r="F1319" s="7">
        <v>79141</v>
      </c>
      <c r="G1319" s="14">
        <v>885.50310000000002</v>
      </c>
      <c r="H1319" s="7">
        <v>1271194</v>
      </c>
      <c r="I1319" s="14">
        <v>1037.5949000000001</v>
      </c>
      <c r="J1319" s="7">
        <v>1350335</v>
      </c>
    </row>
    <row r="1320" spans="1:10" x14ac:dyDescent="0.2">
      <c r="A1320" s="9">
        <v>45861</v>
      </c>
      <c r="B1320" s="4" t="s">
        <v>221</v>
      </c>
      <c r="C1320" s="8">
        <v>45839</v>
      </c>
      <c r="D1320" s="4" t="s">
        <v>194</v>
      </c>
      <c r="E1320" s="14">
        <v>186.30699999999999</v>
      </c>
      <c r="F1320" s="7">
        <v>96817</v>
      </c>
      <c r="G1320" s="14">
        <v>905.65290000000005</v>
      </c>
      <c r="H1320" s="7">
        <v>1315357</v>
      </c>
      <c r="I1320" s="14">
        <v>1091.9599000000001</v>
      </c>
      <c r="J1320" s="7">
        <v>1412174</v>
      </c>
    </row>
    <row r="1321" spans="1:10" x14ac:dyDescent="0.2">
      <c r="A1321" s="9">
        <v>45862</v>
      </c>
      <c r="B1321" s="4" t="s">
        <v>224</v>
      </c>
      <c r="C1321" s="8">
        <v>45839</v>
      </c>
      <c r="D1321" s="4" t="s">
        <v>194</v>
      </c>
      <c r="E1321" s="14">
        <v>233.49299999999999</v>
      </c>
      <c r="F1321" s="7">
        <v>122085</v>
      </c>
      <c r="G1321" s="14">
        <v>991.61080000000004</v>
      </c>
      <c r="H1321" s="7">
        <v>1464611</v>
      </c>
      <c r="I1321" s="14">
        <v>1225.1038000000001</v>
      </c>
      <c r="J1321" s="7">
        <v>1586696</v>
      </c>
    </row>
    <row r="1322" spans="1:10" x14ac:dyDescent="0.2">
      <c r="A1322" s="9">
        <v>45863</v>
      </c>
      <c r="B1322" s="4" t="s">
        <v>222</v>
      </c>
      <c r="C1322" s="8">
        <v>45839</v>
      </c>
      <c r="D1322" s="4" t="s">
        <v>194</v>
      </c>
      <c r="E1322" s="14">
        <v>296.8569</v>
      </c>
      <c r="F1322" s="7">
        <v>155844</v>
      </c>
      <c r="G1322" s="14">
        <v>1223.1113</v>
      </c>
      <c r="H1322" s="7">
        <v>1816967</v>
      </c>
      <c r="I1322" s="14">
        <v>1519.9682</v>
      </c>
      <c r="J1322" s="7">
        <v>1972811</v>
      </c>
    </row>
    <row r="1323" spans="1:10" x14ac:dyDescent="0.2">
      <c r="A1323" s="9">
        <v>45866</v>
      </c>
      <c r="B1323" s="4" t="s">
        <v>225</v>
      </c>
      <c r="C1323" s="8">
        <v>45839</v>
      </c>
      <c r="D1323" s="4" t="s">
        <v>194</v>
      </c>
      <c r="E1323" s="14">
        <v>321.47320000000002</v>
      </c>
      <c r="F1323" s="7">
        <v>170525</v>
      </c>
      <c r="G1323" s="14">
        <v>2928.8197</v>
      </c>
      <c r="H1323" s="7">
        <v>4310680</v>
      </c>
      <c r="I1323" s="14">
        <v>3250.2928999999999</v>
      </c>
      <c r="J1323" s="7">
        <v>4481205</v>
      </c>
    </row>
    <row r="1324" spans="1:10" x14ac:dyDescent="0.2">
      <c r="A1324" s="9">
        <v>45867</v>
      </c>
      <c r="B1324" s="4" t="s">
        <v>223</v>
      </c>
      <c r="C1324" s="8">
        <v>45839</v>
      </c>
      <c r="D1324" s="4" t="s">
        <v>194</v>
      </c>
      <c r="E1324" s="14">
        <v>411.32170000000002</v>
      </c>
      <c r="F1324" s="7">
        <v>218701</v>
      </c>
      <c r="G1324" s="14">
        <v>3040.74</v>
      </c>
      <c r="H1324" s="7">
        <v>4487284</v>
      </c>
      <c r="I1324" s="14">
        <v>3452.0617000000002</v>
      </c>
      <c r="J1324" s="7">
        <v>4705985</v>
      </c>
    </row>
    <row r="1325" spans="1:10" x14ac:dyDescent="0.2">
      <c r="A1325" s="9">
        <v>45868</v>
      </c>
      <c r="B1325" s="4" t="s">
        <v>221</v>
      </c>
      <c r="C1325" s="8">
        <v>45839</v>
      </c>
      <c r="D1325" s="4" t="s">
        <v>194</v>
      </c>
      <c r="E1325" s="14">
        <v>356.73009999999999</v>
      </c>
      <c r="F1325" s="7">
        <v>188947</v>
      </c>
      <c r="G1325" s="14">
        <v>2657.7302</v>
      </c>
      <c r="H1325" s="7">
        <v>3905261</v>
      </c>
      <c r="I1325" s="14">
        <v>3014.4603000000002</v>
      </c>
      <c r="J1325" s="7">
        <v>4094208</v>
      </c>
    </row>
    <row r="1326" spans="1:10" x14ac:dyDescent="0.2">
      <c r="A1326" s="9">
        <v>45869</v>
      </c>
      <c r="B1326" s="4" t="s">
        <v>224</v>
      </c>
      <c r="C1326" s="8">
        <v>45839</v>
      </c>
      <c r="D1326" s="4" t="s">
        <v>194</v>
      </c>
      <c r="E1326" s="14">
        <v>638.77940000000001</v>
      </c>
      <c r="F1326" s="7">
        <v>338035</v>
      </c>
      <c r="G1326" s="14">
        <v>2491.317</v>
      </c>
      <c r="H1326" s="7">
        <v>3676968</v>
      </c>
      <c r="I1326" s="14">
        <v>3130.0963999999999</v>
      </c>
      <c r="J1326" s="7">
        <v>4015003</v>
      </c>
    </row>
    <row r="1327" spans="1:10" x14ac:dyDescent="0.2">
      <c r="A1327" s="9">
        <v>45870</v>
      </c>
      <c r="B1327" s="4" t="s">
        <v>222</v>
      </c>
      <c r="C1327" s="8">
        <v>45870</v>
      </c>
      <c r="D1327" s="4" t="s">
        <v>194</v>
      </c>
      <c r="E1327" s="14">
        <v>249.36930000000001</v>
      </c>
      <c r="F1327" s="7">
        <v>132590</v>
      </c>
      <c r="G1327" s="14">
        <v>803.21289999999999</v>
      </c>
      <c r="H1327" s="7">
        <v>1184702</v>
      </c>
      <c r="I1327" s="14">
        <v>1052.5822000000001</v>
      </c>
      <c r="J1327" s="7">
        <v>1317292</v>
      </c>
    </row>
    <row r="1328" spans="1:10" x14ac:dyDescent="0.2">
      <c r="A1328" s="9">
        <v>45873</v>
      </c>
      <c r="B1328" s="4" t="s">
        <v>225</v>
      </c>
      <c r="C1328" s="8">
        <v>45870</v>
      </c>
      <c r="D1328" s="4" t="s">
        <v>194</v>
      </c>
      <c r="E1328" s="14">
        <v>170.191</v>
      </c>
      <c r="F1328" s="7">
        <v>90751</v>
      </c>
      <c r="G1328" s="14">
        <v>725.97680000000003</v>
      </c>
      <c r="H1328" s="7">
        <v>1050925</v>
      </c>
      <c r="I1328" s="14">
        <v>896.16780000000006</v>
      </c>
      <c r="J1328" s="7">
        <v>1141676</v>
      </c>
    </row>
    <row r="1329" spans="1:10" x14ac:dyDescent="0.2">
      <c r="A1329" s="9">
        <v>45874</v>
      </c>
      <c r="B1329" s="4" t="s">
        <v>223</v>
      </c>
      <c r="C1329" s="8">
        <v>45870</v>
      </c>
      <c r="D1329" s="4" t="s">
        <v>194</v>
      </c>
      <c r="E1329" s="14">
        <v>176.0402</v>
      </c>
      <c r="F1329" s="7">
        <v>93665</v>
      </c>
      <c r="G1329" s="14">
        <v>673.38980000000004</v>
      </c>
      <c r="H1329" s="7">
        <v>971789</v>
      </c>
      <c r="I1329" s="14">
        <v>849.43</v>
      </c>
      <c r="J1329" s="7">
        <v>1065454</v>
      </c>
    </row>
    <row r="1330" spans="1:10" x14ac:dyDescent="0.2">
      <c r="A1330" s="9">
        <v>45875</v>
      </c>
      <c r="B1330" s="4" t="s">
        <v>221</v>
      </c>
      <c r="C1330" s="8">
        <v>45870</v>
      </c>
      <c r="D1330" s="4" t="s">
        <v>194</v>
      </c>
      <c r="E1330" s="14">
        <v>169.6961</v>
      </c>
      <c r="F1330" s="7">
        <v>90443</v>
      </c>
      <c r="G1330" s="14">
        <v>694.99530000000004</v>
      </c>
      <c r="H1330" s="7">
        <v>1026378</v>
      </c>
      <c r="I1330" s="14">
        <v>864.69140000000004</v>
      </c>
      <c r="J1330" s="7">
        <v>1116821</v>
      </c>
    </row>
    <row r="1331" spans="1:10" x14ac:dyDescent="0.2">
      <c r="A1331" s="9">
        <v>45876</v>
      </c>
      <c r="B1331" s="4" t="s">
        <v>224</v>
      </c>
      <c r="C1331" s="8">
        <v>45870</v>
      </c>
      <c r="D1331" s="4" t="s">
        <v>194</v>
      </c>
      <c r="E1331" s="14">
        <v>284.39100000000002</v>
      </c>
      <c r="F1331" s="7">
        <v>152596</v>
      </c>
      <c r="G1331" s="14">
        <v>806.25170000000003</v>
      </c>
      <c r="H1331" s="7">
        <v>1198543</v>
      </c>
      <c r="I1331" s="14">
        <v>1090.6427000000001</v>
      </c>
      <c r="J1331" s="7">
        <v>1351139</v>
      </c>
    </row>
    <row r="1332" spans="1:10" x14ac:dyDescent="0.2">
      <c r="A1332" s="9">
        <v>45877</v>
      </c>
      <c r="B1332" s="4" t="s">
        <v>222</v>
      </c>
      <c r="C1332" s="8">
        <v>45870</v>
      </c>
      <c r="D1332" s="4" t="s">
        <v>194</v>
      </c>
      <c r="E1332" s="14">
        <v>232.62440000000001</v>
      </c>
      <c r="F1332" s="7">
        <v>124978</v>
      </c>
      <c r="G1332" s="14">
        <v>738.95029999999997</v>
      </c>
      <c r="H1332" s="7">
        <v>1097108</v>
      </c>
      <c r="I1332" s="14">
        <v>971.57470000000001</v>
      </c>
      <c r="J1332" s="7">
        <v>1222086</v>
      </c>
    </row>
    <row r="1333" spans="1:10" x14ac:dyDescent="0.2">
      <c r="A1333" s="9">
        <v>45880</v>
      </c>
      <c r="B1333" s="4" t="s">
        <v>225</v>
      </c>
      <c r="C1333" s="8">
        <v>45870</v>
      </c>
      <c r="D1333" s="4" t="s">
        <v>194</v>
      </c>
      <c r="E1333" s="14">
        <v>195.80940000000001</v>
      </c>
      <c r="F1333" s="7">
        <v>104963</v>
      </c>
      <c r="G1333" s="14">
        <v>655.4896</v>
      </c>
      <c r="H1333" s="7">
        <v>1011130</v>
      </c>
      <c r="I1333" s="14">
        <v>851.29899999999998</v>
      </c>
      <c r="J1333" s="7">
        <v>1116093</v>
      </c>
    </row>
    <row r="1334" spans="1:10" x14ac:dyDescent="0.2">
      <c r="A1334" s="9">
        <v>45881</v>
      </c>
      <c r="B1334" s="4" t="s">
        <v>223</v>
      </c>
      <c r="C1334" s="8">
        <v>45870</v>
      </c>
      <c r="D1334" s="4" t="s">
        <v>194</v>
      </c>
      <c r="E1334" s="14">
        <v>234.4008</v>
      </c>
      <c r="F1334" s="7">
        <v>125460</v>
      </c>
      <c r="G1334" s="14">
        <v>629.25459999999998</v>
      </c>
      <c r="H1334" s="7">
        <v>936722</v>
      </c>
      <c r="I1334" s="14">
        <v>863.65539999999999</v>
      </c>
      <c r="J1334" s="7">
        <v>1062182</v>
      </c>
    </row>
    <row r="1335" spans="1:10" x14ac:dyDescent="0.2">
      <c r="A1335" s="9">
        <v>45882</v>
      </c>
      <c r="B1335" s="4" t="s">
        <v>221</v>
      </c>
      <c r="C1335" s="8">
        <v>45870</v>
      </c>
      <c r="D1335" s="4" t="s">
        <v>194</v>
      </c>
      <c r="E1335" s="14">
        <v>169.55799999999999</v>
      </c>
      <c r="F1335" s="7">
        <v>90785</v>
      </c>
      <c r="G1335" s="14">
        <v>777.67070000000001</v>
      </c>
      <c r="H1335" s="7">
        <v>1098906</v>
      </c>
      <c r="I1335" s="14">
        <v>947.2287</v>
      </c>
      <c r="J1335" s="7">
        <v>1189691</v>
      </c>
    </row>
    <row r="1336" spans="1:10" x14ac:dyDescent="0.2">
      <c r="A1336" s="9">
        <v>45883</v>
      </c>
      <c r="B1336" s="4" t="s">
        <v>224</v>
      </c>
      <c r="C1336" s="8">
        <v>45870</v>
      </c>
      <c r="D1336" s="4" t="s">
        <v>194</v>
      </c>
      <c r="E1336" s="14">
        <v>148.72579999999999</v>
      </c>
      <c r="F1336" s="7">
        <v>79392</v>
      </c>
      <c r="G1336" s="14">
        <v>648.7432</v>
      </c>
      <c r="H1336" s="7">
        <v>947563</v>
      </c>
      <c r="I1336" s="14">
        <v>797.46900000000005</v>
      </c>
      <c r="J1336" s="7">
        <v>1026955</v>
      </c>
    </row>
    <row r="1337" spans="1:10" x14ac:dyDescent="0.2">
      <c r="A1337" s="9">
        <v>45887</v>
      </c>
      <c r="B1337" s="4" t="s">
        <v>225</v>
      </c>
      <c r="C1337" s="8">
        <v>45870</v>
      </c>
      <c r="D1337" s="4" t="s">
        <v>194</v>
      </c>
      <c r="E1337" s="14">
        <v>301.02769999999998</v>
      </c>
      <c r="F1337" s="7">
        <v>158744</v>
      </c>
      <c r="G1337" s="14">
        <v>1003.4159</v>
      </c>
      <c r="H1337" s="7">
        <v>1458644</v>
      </c>
      <c r="I1337" s="14">
        <v>1304.4436000000001</v>
      </c>
      <c r="J1337" s="7">
        <v>1617388</v>
      </c>
    </row>
    <row r="1338" spans="1:10" x14ac:dyDescent="0.2">
      <c r="A1338" s="9">
        <v>45888</v>
      </c>
      <c r="B1338" s="4" t="s">
        <v>223</v>
      </c>
      <c r="C1338" s="8">
        <v>45870</v>
      </c>
      <c r="D1338" s="4" t="s">
        <v>194</v>
      </c>
      <c r="E1338" s="14">
        <v>152.99090000000001</v>
      </c>
      <c r="F1338" s="7">
        <v>80798</v>
      </c>
      <c r="G1338" s="14">
        <v>805.49279999999999</v>
      </c>
      <c r="H1338" s="7">
        <v>1178730</v>
      </c>
      <c r="I1338" s="14">
        <v>958.4837</v>
      </c>
      <c r="J1338" s="7">
        <v>1259528</v>
      </c>
    </row>
    <row r="1339" spans="1:10" x14ac:dyDescent="0.2">
      <c r="A1339" s="9">
        <v>45889</v>
      </c>
      <c r="B1339" s="4" t="s">
        <v>221</v>
      </c>
      <c r="C1339" s="8">
        <v>45870</v>
      </c>
      <c r="D1339" s="4" t="s">
        <v>194</v>
      </c>
      <c r="E1339" s="14">
        <v>169.0326</v>
      </c>
      <c r="F1339" s="7">
        <v>89295</v>
      </c>
      <c r="G1339" s="14">
        <v>896.76549999999997</v>
      </c>
      <c r="H1339" s="7">
        <v>1337175</v>
      </c>
      <c r="I1339" s="14">
        <v>1065.7981</v>
      </c>
      <c r="J1339" s="7">
        <v>1426470</v>
      </c>
    </row>
    <row r="1340" spans="1:10" x14ac:dyDescent="0.2">
      <c r="A1340" s="9">
        <v>45890</v>
      </c>
      <c r="B1340" s="4" t="s">
        <v>224</v>
      </c>
      <c r="C1340" s="8">
        <v>45870</v>
      </c>
      <c r="D1340" s="4" t="s">
        <v>194</v>
      </c>
      <c r="E1340" s="14">
        <v>190.6</v>
      </c>
      <c r="F1340" s="7">
        <v>100326</v>
      </c>
      <c r="G1340" s="14">
        <v>977.45719999999994</v>
      </c>
      <c r="H1340" s="7">
        <v>1415231</v>
      </c>
      <c r="I1340" s="14">
        <v>1168.0572</v>
      </c>
      <c r="J1340" s="7">
        <v>1515557</v>
      </c>
    </row>
    <row r="1341" spans="1:10" x14ac:dyDescent="0.2">
      <c r="A1341" s="9">
        <v>45891</v>
      </c>
      <c r="B1341" s="4" t="s">
        <v>222</v>
      </c>
      <c r="C1341" s="8">
        <v>45870</v>
      </c>
      <c r="D1341" s="4" t="s">
        <v>194</v>
      </c>
      <c r="E1341" s="14">
        <v>276.42689999999999</v>
      </c>
      <c r="F1341" s="7">
        <v>146278</v>
      </c>
      <c r="G1341" s="14">
        <v>2592.7312000000002</v>
      </c>
      <c r="H1341" s="7">
        <v>3763081</v>
      </c>
      <c r="I1341" s="14">
        <v>2869.1581000000001</v>
      </c>
      <c r="J1341" s="7">
        <v>3909359</v>
      </c>
    </row>
    <row r="1342" spans="1:10" x14ac:dyDescent="0.2">
      <c r="A1342" s="9">
        <v>45894</v>
      </c>
      <c r="B1342" s="4" t="s">
        <v>225</v>
      </c>
      <c r="C1342" s="8">
        <v>45870</v>
      </c>
      <c r="D1342" s="4" t="s">
        <v>194</v>
      </c>
      <c r="E1342" s="14">
        <v>395.90609999999998</v>
      </c>
      <c r="F1342" s="7">
        <v>210345</v>
      </c>
      <c r="G1342" s="14">
        <v>3298.8971999999999</v>
      </c>
      <c r="H1342" s="7">
        <v>4804600</v>
      </c>
      <c r="I1342" s="14">
        <v>3694.8033</v>
      </c>
      <c r="J1342" s="7">
        <v>5014945</v>
      </c>
    </row>
    <row r="1343" spans="1:10" x14ac:dyDescent="0.2">
      <c r="A1343" s="9">
        <v>45895</v>
      </c>
      <c r="B1343" s="4" t="s">
        <v>223</v>
      </c>
      <c r="C1343" s="8">
        <v>45870</v>
      </c>
      <c r="D1343" s="4" t="s">
        <v>194</v>
      </c>
      <c r="E1343" s="14">
        <v>612.49080000000004</v>
      </c>
      <c r="F1343" s="7">
        <v>327228</v>
      </c>
      <c r="G1343" s="14">
        <v>3023.9405000000002</v>
      </c>
      <c r="H1343" s="7">
        <v>4482954</v>
      </c>
      <c r="I1343" s="14">
        <v>3636.4313000000002</v>
      </c>
      <c r="J1343" s="7">
        <v>4810182</v>
      </c>
    </row>
    <row r="1344" spans="1:10" x14ac:dyDescent="0.2">
      <c r="A1344" s="9">
        <v>45897</v>
      </c>
      <c r="B1344" s="4" t="s">
        <v>224</v>
      </c>
      <c r="C1344" s="8">
        <v>45870</v>
      </c>
      <c r="D1344" s="4" t="s">
        <v>194</v>
      </c>
      <c r="E1344" s="14">
        <v>667.64509999999996</v>
      </c>
      <c r="F1344" s="7">
        <v>359090</v>
      </c>
      <c r="G1344" s="14">
        <v>2559.7415000000001</v>
      </c>
      <c r="H1344" s="7">
        <v>3815910</v>
      </c>
      <c r="I1344" s="14">
        <v>3227.3865999999998</v>
      </c>
      <c r="J1344" s="7">
        <v>4175000</v>
      </c>
    </row>
    <row r="1345" spans="1:10" x14ac:dyDescent="0.2">
      <c r="A1345" s="9">
        <v>45898</v>
      </c>
      <c r="B1345" s="4" t="s">
        <v>222</v>
      </c>
      <c r="C1345" s="8">
        <v>45870</v>
      </c>
      <c r="D1345" s="4" t="s">
        <v>194</v>
      </c>
      <c r="E1345" s="14">
        <v>202.80359999999999</v>
      </c>
      <c r="F1345" s="7">
        <v>109177</v>
      </c>
      <c r="G1345" s="14">
        <v>686.37739999999997</v>
      </c>
      <c r="H1345" s="7">
        <v>1017690</v>
      </c>
      <c r="I1345" s="14">
        <v>889.18100000000004</v>
      </c>
      <c r="J1345" s="7">
        <v>1126867</v>
      </c>
    </row>
    <row r="1346" spans="1:10" x14ac:dyDescent="0.2">
      <c r="A1346" s="9">
        <v>45901</v>
      </c>
      <c r="B1346" s="4" t="s">
        <v>225</v>
      </c>
      <c r="C1346" s="8">
        <v>45901</v>
      </c>
      <c r="D1346" s="4" t="s">
        <v>194</v>
      </c>
      <c r="E1346" s="14">
        <v>156.036</v>
      </c>
      <c r="F1346" s="7">
        <v>83823</v>
      </c>
      <c r="G1346" s="14">
        <v>600.16049999999996</v>
      </c>
      <c r="H1346" s="7">
        <v>882004</v>
      </c>
      <c r="I1346" s="14">
        <v>756.19650000000001</v>
      </c>
      <c r="J1346" s="7">
        <v>965827</v>
      </c>
    </row>
    <row r="1347" spans="1:10" x14ac:dyDescent="0.2">
      <c r="A1347" s="9">
        <v>45902</v>
      </c>
      <c r="B1347" s="4" t="s">
        <v>223</v>
      </c>
      <c r="C1347" s="8">
        <v>45901</v>
      </c>
      <c r="D1347" s="4" t="s">
        <v>194</v>
      </c>
      <c r="E1347" s="14">
        <v>219.5916</v>
      </c>
      <c r="F1347" s="7">
        <v>117700</v>
      </c>
      <c r="G1347" s="14">
        <v>664.93020000000001</v>
      </c>
      <c r="H1347" s="7">
        <v>975666</v>
      </c>
      <c r="I1347" s="14">
        <v>884.52179999999998</v>
      </c>
      <c r="J1347" s="7">
        <v>1093366</v>
      </c>
    </row>
    <row r="1348" spans="1:10" x14ac:dyDescent="0.2">
      <c r="A1348" s="9">
        <v>45903</v>
      </c>
      <c r="B1348" s="4" t="s">
        <v>221</v>
      </c>
      <c r="C1348" s="8">
        <v>45901</v>
      </c>
      <c r="D1348" s="4" t="s">
        <v>194</v>
      </c>
      <c r="E1348" s="14">
        <v>175.6592</v>
      </c>
      <c r="F1348" s="7">
        <v>94200</v>
      </c>
      <c r="G1348" s="14">
        <v>646.46339999999998</v>
      </c>
      <c r="H1348" s="7">
        <v>927673</v>
      </c>
      <c r="I1348" s="14">
        <v>822.12260000000003</v>
      </c>
      <c r="J1348" s="7">
        <v>1021873</v>
      </c>
    </row>
    <row r="1349" spans="1:10" x14ac:dyDescent="0.2">
      <c r="A1349" s="9">
        <v>45904</v>
      </c>
      <c r="B1349" s="4" t="s">
        <v>224</v>
      </c>
      <c r="C1349" s="8">
        <v>45901</v>
      </c>
      <c r="D1349" s="4" t="s">
        <v>194</v>
      </c>
      <c r="E1349" s="14">
        <v>240.89449999999999</v>
      </c>
      <c r="F1349" s="7">
        <v>128507</v>
      </c>
      <c r="G1349" s="14">
        <v>779.32299999999998</v>
      </c>
      <c r="H1349" s="7">
        <v>1117390</v>
      </c>
      <c r="I1349" s="14">
        <v>1020.2175</v>
      </c>
      <c r="J1349" s="7">
        <v>1245897</v>
      </c>
    </row>
    <row r="1350" spans="1:10" x14ac:dyDescent="0.2">
      <c r="A1350" s="9">
        <v>45905</v>
      </c>
      <c r="B1350" s="4" t="s">
        <v>222</v>
      </c>
      <c r="C1350" s="8">
        <v>45901</v>
      </c>
      <c r="D1350" s="4" t="s">
        <v>194</v>
      </c>
      <c r="E1350" s="14">
        <v>218.9744</v>
      </c>
      <c r="F1350" s="7">
        <v>117275</v>
      </c>
      <c r="G1350" s="14">
        <v>644.29740000000004</v>
      </c>
      <c r="H1350" s="7">
        <v>954635</v>
      </c>
      <c r="I1350" s="14">
        <v>863.27179999999998</v>
      </c>
      <c r="J1350" s="7">
        <v>1071910</v>
      </c>
    </row>
    <row r="1351" spans="1:10" x14ac:dyDescent="0.2">
      <c r="A1351" s="9">
        <v>45908</v>
      </c>
      <c r="B1351" s="4" t="s">
        <v>225</v>
      </c>
      <c r="C1351" s="8">
        <v>45901</v>
      </c>
      <c r="D1351" s="4" t="s">
        <v>194</v>
      </c>
      <c r="E1351" s="14">
        <v>185.22389999999999</v>
      </c>
      <c r="F1351" s="7">
        <v>98624</v>
      </c>
      <c r="G1351" s="14">
        <v>630.4873</v>
      </c>
      <c r="H1351" s="7">
        <v>916975</v>
      </c>
      <c r="I1351" s="14">
        <v>815.71119999999996</v>
      </c>
      <c r="J1351" s="7">
        <v>1015599</v>
      </c>
    </row>
    <row r="1352" spans="1:10" x14ac:dyDescent="0.2">
      <c r="A1352" s="9">
        <v>45909</v>
      </c>
      <c r="B1352" s="4" t="s">
        <v>223</v>
      </c>
      <c r="C1352" s="8">
        <v>45901</v>
      </c>
      <c r="D1352" s="4" t="s">
        <v>194</v>
      </c>
      <c r="E1352" s="14">
        <v>111.935</v>
      </c>
      <c r="F1352" s="7">
        <v>59612</v>
      </c>
      <c r="G1352" s="14">
        <v>531.57749999999999</v>
      </c>
      <c r="H1352" s="7">
        <v>775605</v>
      </c>
      <c r="I1352" s="14">
        <v>643.51250000000005</v>
      </c>
      <c r="J1352" s="7">
        <v>835217</v>
      </c>
    </row>
    <row r="1353" spans="1:10" x14ac:dyDescent="0.2">
      <c r="A1353" s="9">
        <v>45910</v>
      </c>
      <c r="B1353" s="4" t="s">
        <v>221</v>
      </c>
      <c r="C1353" s="8">
        <v>45901</v>
      </c>
      <c r="D1353" s="4" t="s">
        <v>194</v>
      </c>
      <c r="E1353" s="14">
        <v>207.4555</v>
      </c>
      <c r="F1353" s="7">
        <v>109906</v>
      </c>
      <c r="G1353" s="14">
        <v>751.85709999999995</v>
      </c>
      <c r="H1353" s="7">
        <v>1095691</v>
      </c>
      <c r="I1353" s="14">
        <v>959.31259999999997</v>
      </c>
      <c r="J1353" s="7">
        <v>1205597</v>
      </c>
    </row>
    <row r="1354" spans="1:10" x14ac:dyDescent="0.2">
      <c r="A1354" s="9">
        <v>45911</v>
      </c>
      <c r="B1354" s="4" t="s">
        <v>224</v>
      </c>
      <c r="C1354" s="8">
        <v>45901</v>
      </c>
      <c r="D1354" s="4" t="s">
        <v>194</v>
      </c>
      <c r="E1354" s="14">
        <v>101.9235</v>
      </c>
      <c r="F1354" s="7">
        <v>53889</v>
      </c>
      <c r="G1354" s="14">
        <v>687.56169999999997</v>
      </c>
      <c r="H1354" s="7">
        <v>1008720</v>
      </c>
      <c r="I1354" s="14">
        <v>789.48519999999996</v>
      </c>
      <c r="J1354" s="7">
        <v>1062609</v>
      </c>
    </row>
    <row r="1355" spans="1:10" x14ac:dyDescent="0.2">
      <c r="A1355" s="9">
        <v>45912</v>
      </c>
      <c r="B1355" s="4" t="s">
        <v>222</v>
      </c>
      <c r="C1355" s="8">
        <v>45901</v>
      </c>
      <c r="D1355" s="4" t="s">
        <v>194</v>
      </c>
      <c r="E1355" s="14">
        <v>128.98750000000001</v>
      </c>
      <c r="F1355" s="7">
        <v>68037</v>
      </c>
      <c r="G1355" s="14">
        <v>662.36900000000003</v>
      </c>
      <c r="H1355" s="7">
        <v>962223</v>
      </c>
      <c r="I1355" s="14">
        <v>791.35649999999998</v>
      </c>
      <c r="J1355" s="7">
        <v>1030260</v>
      </c>
    </row>
    <row r="1356" spans="1:10" x14ac:dyDescent="0.2">
      <c r="A1356" s="9">
        <v>45915</v>
      </c>
      <c r="B1356" s="4" t="s">
        <v>225</v>
      </c>
      <c r="C1356" s="8">
        <v>45901</v>
      </c>
      <c r="D1356" s="4" t="s">
        <v>194</v>
      </c>
      <c r="E1356" s="14">
        <v>106.0899</v>
      </c>
      <c r="F1356" s="7">
        <v>55925</v>
      </c>
      <c r="G1356" s="14">
        <v>587.58879999999999</v>
      </c>
      <c r="H1356" s="7">
        <v>871054</v>
      </c>
      <c r="I1356" s="14">
        <v>693.67870000000005</v>
      </c>
      <c r="J1356" s="7">
        <v>926979</v>
      </c>
    </row>
    <row r="1357" spans="1:10" x14ac:dyDescent="0.2">
      <c r="A1357" s="9">
        <v>45916</v>
      </c>
      <c r="B1357" s="4" t="s">
        <v>223</v>
      </c>
      <c r="C1357" s="8">
        <v>45901</v>
      </c>
      <c r="D1357" s="4" t="s">
        <v>194</v>
      </c>
      <c r="E1357" s="14">
        <v>183.14410000000001</v>
      </c>
      <c r="F1357" s="7">
        <v>96183</v>
      </c>
      <c r="G1357" s="14">
        <v>665.89639999999997</v>
      </c>
      <c r="H1357" s="7">
        <v>959784</v>
      </c>
      <c r="I1357" s="14">
        <v>849.04049999999995</v>
      </c>
      <c r="J1357" s="7">
        <v>1055967</v>
      </c>
    </row>
    <row r="1358" spans="1:10" x14ac:dyDescent="0.2">
      <c r="A1358" s="9">
        <v>45917</v>
      </c>
      <c r="B1358" s="4" t="s">
        <v>221</v>
      </c>
      <c r="C1358" s="8">
        <v>45901</v>
      </c>
      <c r="D1358" s="4" t="s">
        <v>194</v>
      </c>
      <c r="E1358" s="14">
        <v>170.9906</v>
      </c>
      <c r="F1358" s="7">
        <v>89088</v>
      </c>
      <c r="G1358" s="14">
        <v>809.24590000000001</v>
      </c>
      <c r="H1358" s="7">
        <v>1166098</v>
      </c>
      <c r="I1358" s="14">
        <v>980.23649999999998</v>
      </c>
      <c r="J1358" s="7">
        <v>1255186</v>
      </c>
    </row>
    <row r="1359" spans="1:10" x14ac:dyDescent="0.2">
      <c r="A1359" s="9">
        <v>45918</v>
      </c>
      <c r="B1359" s="4" t="s">
        <v>224</v>
      </c>
      <c r="C1359" s="8">
        <v>45901</v>
      </c>
      <c r="D1359" s="4" t="s">
        <v>194</v>
      </c>
      <c r="E1359" s="14">
        <v>207.33510000000001</v>
      </c>
      <c r="F1359" s="7">
        <v>107766</v>
      </c>
      <c r="G1359" s="14">
        <v>844.59410000000003</v>
      </c>
      <c r="H1359" s="7">
        <v>1198319</v>
      </c>
      <c r="I1359" s="14">
        <v>1051.9292</v>
      </c>
      <c r="J1359" s="7">
        <v>1306085</v>
      </c>
    </row>
    <row r="1360" spans="1:10" x14ac:dyDescent="0.2">
      <c r="A1360" s="9">
        <v>45919</v>
      </c>
      <c r="B1360" s="4" t="s">
        <v>222</v>
      </c>
      <c r="C1360" s="8">
        <v>45901</v>
      </c>
      <c r="D1360" s="4" t="s">
        <v>194</v>
      </c>
      <c r="E1360" s="14">
        <v>202.60820000000001</v>
      </c>
      <c r="F1360" s="7">
        <v>105799</v>
      </c>
      <c r="G1360" s="14">
        <v>1028.8033</v>
      </c>
      <c r="H1360" s="7">
        <v>1459803</v>
      </c>
      <c r="I1360" s="14">
        <v>1231.4114999999999</v>
      </c>
      <c r="J1360" s="7">
        <v>1565602</v>
      </c>
    </row>
    <row r="1361" spans="1:10" x14ac:dyDescent="0.2">
      <c r="A1361" s="9">
        <v>45922</v>
      </c>
      <c r="B1361" s="4" t="s">
        <v>225</v>
      </c>
      <c r="C1361" s="8">
        <v>45901</v>
      </c>
      <c r="D1361" s="4" t="s">
        <v>194</v>
      </c>
      <c r="E1361" s="14">
        <v>184.9349</v>
      </c>
      <c r="F1361" s="7">
        <v>96768</v>
      </c>
      <c r="G1361" s="14">
        <v>1101.6916000000001</v>
      </c>
      <c r="H1361" s="7">
        <v>1575533</v>
      </c>
      <c r="I1361" s="14">
        <v>1286.6265000000001</v>
      </c>
      <c r="J1361" s="7">
        <v>1672301</v>
      </c>
    </row>
    <row r="1362" spans="1:10" x14ac:dyDescent="0.2">
      <c r="A1362" s="9">
        <v>45923</v>
      </c>
      <c r="B1362" s="4" t="s">
        <v>223</v>
      </c>
      <c r="C1362" s="8">
        <v>45901</v>
      </c>
      <c r="D1362" s="4" t="s">
        <v>194</v>
      </c>
      <c r="E1362" s="14">
        <v>214.74789999999999</v>
      </c>
      <c r="F1362" s="7">
        <v>112622</v>
      </c>
      <c r="G1362" s="14">
        <v>1064.6624999999999</v>
      </c>
      <c r="H1362" s="7">
        <v>1524952</v>
      </c>
      <c r="I1362" s="14">
        <v>1279.4104</v>
      </c>
      <c r="J1362" s="7">
        <v>1637574</v>
      </c>
    </row>
    <row r="1363" spans="1:10" x14ac:dyDescent="0.2">
      <c r="A1363" s="9">
        <v>45924</v>
      </c>
      <c r="B1363" s="4" t="s">
        <v>221</v>
      </c>
      <c r="C1363" s="8">
        <v>45901</v>
      </c>
      <c r="D1363" s="4" t="s">
        <v>194</v>
      </c>
      <c r="E1363" s="14">
        <v>265.47269999999997</v>
      </c>
      <c r="F1363" s="7">
        <v>139763</v>
      </c>
      <c r="G1363" s="14">
        <v>1234.2592999999999</v>
      </c>
      <c r="H1363" s="7">
        <v>1766035</v>
      </c>
      <c r="I1363" s="14">
        <v>1499.732</v>
      </c>
      <c r="J1363" s="7">
        <v>1905798</v>
      </c>
    </row>
    <row r="1364" spans="1:10" x14ac:dyDescent="0.2">
      <c r="A1364" s="9">
        <v>45925</v>
      </c>
      <c r="B1364" s="4" t="s">
        <v>224</v>
      </c>
      <c r="C1364" s="8">
        <v>45901</v>
      </c>
      <c r="D1364" s="4" t="s">
        <v>194</v>
      </c>
      <c r="E1364" s="14">
        <v>337.92399999999998</v>
      </c>
      <c r="F1364" s="7">
        <v>178886</v>
      </c>
      <c r="G1364" s="14">
        <v>3123.8780999999999</v>
      </c>
      <c r="H1364" s="7">
        <v>4506662</v>
      </c>
      <c r="I1364" s="14">
        <v>3461.8020999999999</v>
      </c>
      <c r="J1364" s="7">
        <v>4685548</v>
      </c>
    </row>
    <row r="1365" spans="1:10" x14ac:dyDescent="0.2">
      <c r="A1365" s="9">
        <v>45926</v>
      </c>
      <c r="B1365" s="4" t="s">
        <v>222</v>
      </c>
      <c r="C1365" s="8">
        <v>45901</v>
      </c>
      <c r="D1365" s="4" t="s">
        <v>194</v>
      </c>
      <c r="E1365" s="14">
        <v>481.71199999999999</v>
      </c>
      <c r="F1365" s="7">
        <v>258361</v>
      </c>
      <c r="G1365" s="14">
        <v>3033.7401</v>
      </c>
      <c r="H1365" s="7">
        <v>4411147</v>
      </c>
      <c r="I1365" s="14">
        <v>3515.4521</v>
      </c>
      <c r="J1365" s="7">
        <v>4669508</v>
      </c>
    </row>
    <row r="1366" spans="1:10" x14ac:dyDescent="0.2">
      <c r="A1366" s="9">
        <v>45929</v>
      </c>
      <c r="B1366" s="4" t="s">
        <v>225</v>
      </c>
      <c r="C1366" s="8">
        <v>45901</v>
      </c>
      <c r="D1366" s="4" t="s">
        <v>194</v>
      </c>
      <c r="E1366" s="14">
        <v>522.08540000000005</v>
      </c>
      <c r="F1366" s="7">
        <v>279355</v>
      </c>
      <c r="G1366" s="14">
        <v>3072.3449999999998</v>
      </c>
      <c r="H1366" s="7">
        <v>4495038</v>
      </c>
      <c r="I1366" s="14">
        <v>3594.4304000000002</v>
      </c>
      <c r="J1366" s="7">
        <v>4774393</v>
      </c>
    </row>
    <row r="1367" spans="1:10" x14ac:dyDescent="0.2">
      <c r="A1367" s="9">
        <v>45930</v>
      </c>
      <c r="B1367" s="4" t="s">
        <v>223</v>
      </c>
      <c r="C1367" s="8">
        <v>45901</v>
      </c>
      <c r="D1367" s="4" t="s">
        <v>194</v>
      </c>
      <c r="E1367" s="14">
        <v>409.89550000000003</v>
      </c>
      <c r="F1367" s="7">
        <v>219796</v>
      </c>
      <c r="G1367" s="14">
        <v>2037.6588999999999</v>
      </c>
      <c r="H1367" s="7">
        <v>3011048</v>
      </c>
      <c r="I1367" s="14">
        <v>2447.5544</v>
      </c>
      <c r="J1367" s="7">
        <v>3230844</v>
      </c>
    </row>
    <row r="1368" spans="1:10" x14ac:dyDescent="0.2">
      <c r="A1368" s="9">
        <v>45931</v>
      </c>
      <c r="B1368" s="4" t="s">
        <v>221</v>
      </c>
      <c r="C1368" s="8">
        <v>45931</v>
      </c>
      <c r="D1368" s="4" t="s">
        <v>195</v>
      </c>
      <c r="E1368" s="14">
        <v>260.68920000000003</v>
      </c>
      <c r="F1368" s="7">
        <v>138010</v>
      </c>
      <c r="G1368" s="14">
        <v>791.03719999999998</v>
      </c>
      <c r="H1368" s="7">
        <v>1143168</v>
      </c>
      <c r="I1368" s="14">
        <v>1051.7264</v>
      </c>
      <c r="J1368" s="7">
        <v>1281178</v>
      </c>
    </row>
    <row r="1369" spans="1:10" x14ac:dyDescent="0.2">
      <c r="A1369" s="9">
        <v>45933</v>
      </c>
      <c r="B1369" s="4" t="s">
        <v>222</v>
      </c>
      <c r="C1369" s="8">
        <v>45931</v>
      </c>
      <c r="D1369" s="4" t="s">
        <v>195</v>
      </c>
      <c r="E1369" s="14">
        <v>168.36949999999999</v>
      </c>
      <c r="F1369" s="7">
        <v>89163</v>
      </c>
      <c r="G1369" s="14">
        <v>752.27779999999996</v>
      </c>
      <c r="H1369" s="7">
        <v>1061570</v>
      </c>
      <c r="I1369" s="14">
        <v>920.64729999999997</v>
      </c>
      <c r="J1369" s="7">
        <v>1150733</v>
      </c>
    </row>
    <row r="1370" spans="1:10" x14ac:dyDescent="0.2">
      <c r="A1370" s="9">
        <v>45936</v>
      </c>
      <c r="B1370" s="4" t="s">
        <v>225</v>
      </c>
      <c r="C1370" s="8">
        <v>45931</v>
      </c>
      <c r="D1370" s="4" t="s">
        <v>195</v>
      </c>
      <c r="E1370" s="14">
        <v>210.3083</v>
      </c>
      <c r="F1370" s="7">
        <v>110589</v>
      </c>
      <c r="G1370" s="14">
        <v>792.51170000000002</v>
      </c>
      <c r="H1370" s="7">
        <v>1121370</v>
      </c>
      <c r="I1370" s="14">
        <v>1002.82</v>
      </c>
      <c r="J1370" s="7">
        <v>1231959</v>
      </c>
    </row>
    <row r="1371" spans="1:10" x14ac:dyDescent="0.2">
      <c r="A1371" s="9">
        <v>45937</v>
      </c>
      <c r="B1371" s="4" t="s">
        <v>223</v>
      </c>
      <c r="C1371" s="8">
        <v>45931</v>
      </c>
      <c r="D1371" s="4" t="s">
        <v>195</v>
      </c>
      <c r="E1371" s="14">
        <v>197.7902</v>
      </c>
      <c r="F1371" s="7">
        <v>103284</v>
      </c>
      <c r="G1371" s="14">
        <v>761.18830000000003</v>
      </c>
      <c r="H1371" s="7">
        <v>1092422</v>
      </c>
      <c r="I1371" s="14">
        <v>958.97850000000005</v>
      </c>
      <c r="J1371" s="7">
        <v>1195706</v>
      </c>
    </row>
    <row r="1372" spans="1:10" x14ac:dyDescent="0.2">
      <c r="A1372" s="9">
        <v>45938</v>
      </c>
      <c r="B1372" s="4" t="s">
        <v>221</v>
      </c>
      <c r="C1372" s="8">
        <v>45931</v>
      </c>
      <c r="D1372" s="4" t="s">
        <v>195</v>
      </c>
      <c r="E1372" s="14">
        <v>220.7362</v>
      </c>
      <c r="F1372" s="7">
        <v>115742</v>
      </c>
      <c r="G1372" s="14">
        <v>730.70119999999997</v>
      </c>
      <c r="H1372" s="7">
        <v>1064437</v>
      </c>
      <c r="I1372" s="14">
        <v>951.43740000000003</v>
      </c>
      <c r="J1372" s="7">
        <v>1180179</v>
      </c>
    </row>
    <row r="1373" spans="1:10" x14ac:dyDescent="0.2">
      <c r="A1373" s="9">
        <v>45939</v>
      </c>
      <c r="B1373" s="4" t="s">
        <v>224</v>
      </c>
      <c r="C1373" s="8">
        <v>45931</v>
      </c>
      <c r="D1373" s="4" t="s">
        <v>195</v>
      </c>
      <c r="E1373" s="14">
        <v>187.05889999999999</v>
      </c>
      <c r="F1373" s="7">
        <v>98059</v>
      </c>
      <c r="G1373" s="14">
        <v>741.37599999999998</v>
      </c>
      <c r="H1373" s="7">
        <v>1061407</v>
      </c>
      <c r="I1373" s="14">
        <v>928.43489999999997</v>
      </c>
      <c r="J1373" s="7">
        <v>1159466</v>
      </c>
    </row>
    <row r="1374" spans="1:10" x14ac:dyDescent="0.2">
      <c r="A1374" s="9">
        <v>45940</v>
      </c>
      <c r="B1374" s="4" t="s">
        <v>222</v>
      </c>
      <c r="C1374" s="8">
        <v>45931</v>
      </c>
      <c r="D1374" s="4" t="s">
        <v>195</v>
      </c>
      <c r="E1374" s="14">
        <v>196.2277</v>
      </c>
      <c r="F1374" s="7">
        <v>101731</v>
      </c>
      <c r="G1374" s="14">
        <v>832.98509999999999</v>
      </c>
      <c r="H1374" s="7">
        <v>1202475</v>
      </c>
      <c r="I1374" s="14">
        <v>1029.2128</v>
      </c>
      <c r="J1374" s="7">
        <v>1304206</v>
      </c>
    </row>
    <row r="1375" spans="1:10" x14ac:dyDescent="0.2">
      <c r="A1375" s="9">
        <v>45943</v>
      </c>
      <c r="B1375" s="4" t="s">
        <v>225</v>
      </c>
      <c r="C1375" s="8">
        <v>45931</v>
      </c>
      <c r="D1375" s="4" t="s">
        <v>195</v>
      </c>
      <c r="E1375" s="14">
        <v>203.66249999999999</v>
      </c>
      <c r="F1375" s="7">
        <v>106405</v>
      </c>
      <c r="G1375" s="14">
        <v>695.58849999999995</v>
      </c>
      <c r="H1375" s="7">
        <v>1002196</v>
      </c>
      <c r="I1375" s="14">
        <v>899.25099999999998</v>
      </c>
      <c r="J1375" s="7">
        <v>1108601</v>
      </c>
    </row>
    <row r="1376" spans="1:10" x14ac:dyDescent="0.2">
      <c r="A1376" s="9">
        <v>45944</v>
      </c>
      <c r="B1376" s="4" t="s">
        <v>223</v>
      </c>
      <c r="C1376" s="8">
        <v>45931</v>
      </c>
      <c r="D1376" s="4" t="s">
        <v>195</v>
      </c>
      <c r="E1376" s="14">
        <v>262.33789999999999</v>
      </c>
      <c r="F1376" s="7">
        <v>137282</v>
      </c>
      <c r="G1376" s="14">
        <v>815.78489999999999</v>
      </c>
      <c r="H1376" s="7">
        <v>1199019</v>
      </c>
      <c r="I1376" s="14">
        <v>1078.1228000000001</v>
      </c>
      <c r="J1376" s="7">
        <v>1336301</v>
      </c>
    </row>
    <row r="1377" spans="1:10" x14ac:dyDescent="0.2">
      <c r="A1377" s="9">
        <v>45945</v>
      </c>
      <c r="B1377" s="4" t="s">
        <v>221</v>
      </c>
      <c r="C1377" s="8">
        <v>45931</v>
      </c>
      <c r="D1377" s="4" t="s">
        <v>195</v>
      </c>
      <c r="E1377" s="14">
        <v>233.6557</v>
      </c>
      <c r="F1377" s="7">
        <v>121651</v>
      </c>
      <c r="G1377" s="14">
        <v>837.36320000000001</v>
      </c>
      <c r="H1377" s="7">
        <v>1219837</v>
      </c>
      <c r="I1377" s="14">
        <v>1071.0189</v>
      </c>
      <c r="J1377" s="7">
        <v>1341488</v>
      </c>
    </row>
    <row r="1378" spans="1:10" x14ac:dyDescent="0.2">
      <c r="A1378" s="9">
        <v>45946</v>
      </c>
      <c r="B1378" s="4" t="s">
        <v>224</v>
      </c>
      <c r="C1378" s="8">
        <v>45931</v>
      </c>
      <c r="D1378" s="4" t="s">
        <v>195</v>
      </c>
      <c r="E1378" s="14">
        <v>272.2199</v>
      </c>
      <c r="F1378" s="7">
        <v>140325</v>
      </c>
      <c r="G1378" s="14">
        <v>1045.5068000000001</v>
      </c>
      <c r="H1378" s="7">
        <v>1457723</v>
      </c>
      <c r="I1378" s="14">
        <v>1317.7266999999999</v>
      </c>
      <c r="J1378" s="7">
        <v>1598048</v>
      </c>
    </row>
    <row r="1379" spans="1:10" x14ac:dyDescent="0.2">
      <c r="A1379" s="9">
        <v>45947</v>
      </c>
      <c r="B1379" s="4" t="s">
        <v>222</v>
      </c>
      <c r="C1379" s="8">
        <v>45931</v>
      </c>
      <c r="D1379" s="4" t="s">
        <v>195</v>
      </c>
      <c r="E1379" s="14">
        <v>337.74340000000001</v>
      </c>
      <c r="F1379" s="7">
        <v>173176</v>
      </c>
      <c r="G1379" s="14">
        <v>1166.3696</v>
      </c>
      <c r="H1379" s="7">
        <v>1639057</v>
      </c>
      <c r="I1379" s="14">
        <v>1504.1130000000001</v>
      </c>
      <c r="J1379" s="7">
        <v>1812233</v>
      </c>
    </row>
    <row r="1380" spans="1:10" x14ac:dyDescent="0.2">
      <c r="A1380" s="9">
        <v>45950</v>
      </c>
      <c r="B1380" s="4" t="s">
        <v>225</v>
      </c>
      <c r="C1380" s="8">
        <v>45931</v>
      </c>
      <c r="D1380" s="4" t="s">
        <v>195</v>
      </c>
      <c r="E1380" s="14">
        <v>263.61439999999999</v>
      </c>
      <c r="F1380" s="7">
        <v>134246</v>
      </c>
      <c r="G1380" s="14">
        <v>1193.7853</v>
      </c>
      <c r="H1380" s="7">
        <v>1639709</v>
      </c>
      <c r="I1380" s="14">
        <v>1457.3996999999999</v>
      </c>
      <c r="J1380" s="7">
        <v>1773955</v>
      </c>
    </row>
    <row r="1381" spans="1:10" x14ac:dyDescent="0.2">
      <c r="A1381" s="9">
        <v>45951</v>
      </c>
      <c r="B1381" s="4" t="s">
        <v>223</v>
      </c>
      <c r="C1381" s="8">
        <v>45931</v>
      </c>
      <c r="D1381" s="4" t="s">
        <v>195</v>
      </c>
      <c r="E1381" s="14">
        <v>58.368699999999997</v>
      </c>
      <c r="F1381" s="7">
        <v>29698</v>
      </c>
      <c r="G1381" s="14">
        <v>171.6865</v>
      </c>
      <c r="H1381" s="7">
        <v>240082</v>
      </c>
      <c r="I1381" s="14">
        <v>230.05520000000001</v>
      </c>
      <c r="J1381" s="7">
        <v>269780</v>
      </c>
    </row>
    <row r="1382" spans="1:10" x14ac:dyDescent="0.2">
      <c r="A1382" s="9">
        <v>45953</v>
      </c>
      <c r="B1382" s="4" t="s">
        <v>224</v>
      </c>
      <c r="C1382" s="8">
        <v>45931</v>
      </c>
      <c r="D1382" s="4" t="s">
        <v>195</v>
      </c>
      <c r="E1382" s="14">
        <v>449.50709999999998</v>
      </c>
      <c r="F1382" s="7">
        <v>227488</v>
      </c>
      <c r="G1382" s="14">
        <v>3365.2928000000002</v>
      </c>
      <c r="H1382" s="7">
        <v>4706904</v>
      </c>
      <c r="I1382" s="14">
        <v>3814.7999</v>
      </c>
      <c r="J1382" s="7">
        <v>4934392</v>
      </c>
    </row>
    <row r="1383" spans="1:10" x14ac:dyDescent="0.2">
      <c r="A1383" s="9">
        <v>45954</v>
      </c>
      <c r="B1383" s="4" t="s">
        <v>222</v>
      </c>
      <c r="C1383" s="8">
        <v>45931</v>
      </c>
      <c r="D1383" s="4" t="s">
        <v>195</v>
      </c>
      <c r="E1383" s="14">
        <v>434.77870000000001</v>
      </c>
      <c r="F1383" s="7">
        <v>222244</v>
      </c>
      <c r="G1383" s="14">
        <v>3667.4445999999998</v>
      </c>
      <c r="H1383" s="7">
        <v>5114006</v>
      </c>
      <c r="I1383" s="14">
        <v>4102.2232999999997</v>
      </c>
      <c r="J1383" s="7">
        <v>5336250</v>
      </c>
    </row>
    <row r="1384" spans="1:10" x14ac:dyDescent="0.2">
      <c r="A1384" s="9">
        <v>45957</v>
      </c>
      <c r="B1384" s="4" t="s">
        <v>225</v>
      </c>
      <c r="C1384" s="8">
        <v>45931</v>
      </c>
      <c r="D1384" s="4" t="s">
        <v>195</v>
      </c>
      <c r="E1384" s="14">
        <v>554.44010000000003</v>
      </c>
      <c r="F1384" s="7">
        <v>281481</v>
      </c>
      <c r="G1384" s="14">
        <v>3457.3665000000001</v>
      </c>
      <c r="H1384" s="7">
        <v>4840420</v>
      </c>
      <c r="I1384" s="14">
        <v>4011.8065999999999</v>
      </c>
      <c r="J1384" s="7">
        <v>5121901</v>
      </c>
    </row>
    <row r="1385" spans="1:10" x14ac:dyDescent="0.2">
      <c r="A1385" s="9">
        <v>45958</v>
      </c>
      <c r="B1385" s="4" t="s">
        <v>223</v>
      </c>
      <c r="C1385" s="8">
        <v>45931</v>
      </c>
      <c r="D1385" s="4" t="s">
        <v>195</v>
      </c>
      <c r="E1385" s="14">
        <v>631.49260000000004</v>
      </c>
      <c r="F1385" s="7">
        <v>320723</v>
      </c>
      <c r="G1385" s="14">
        <v>2595.107</v>
      </c>
      <c r="H1385" s="7">
        <v>3634378</v>
      </c>
      <c r="I1385" s="14">
        <v>3226.5996</v>
      </c>
      <c r="J1385" s="7">
        <v>3955101</v>
      </c>
    </row>
    <row r="1386" spans="1:10" x14ac:dyDescent="0.2">
      <c r="A1386" s="9">
        <v>45959</v>
      </c>
      <c r="B1386" s="4" t="s">
        <v>221</v>
      </c>
      <c r="C1386" s="8">
        <v>45931</v>
      </c>
      <c r="D1386" s="4" t="s">
        <v>195</v>
      </c>
      <c r="E1386" s="14">
        <v>250.79820000000001</v>
      </c>
      <c r="F1386" s="7">
        <v>126494</v>
      </c>
      <c r="G1386" s="14">
        <v>956.82849999999996</v>
      </c>
      <c r="H1386" s="7">
        <v>1430497</v>
      </c>
      <c r="I1386" s="14">
        <v>1207.6267</v>
      </c>
      <c r="J1386" s="7">
        <v>1556991</v>
      </c>
    </row>
    <row r="1387" spans="1:10" x14ac:dyDescent="0.2">
      <c r="A1387" s="9">
        <v>45960</v>
      </c>
      <c r="B1387" s="4" t="s">
        <v>224</v>
      </c>
      <c r="C1387" s="8">
        <v>45931</v>
      </c>
      <c r="D1387" s="4" t="s">
        <v>195</v>
      </c>
      <c r="E1387" s="14">
        <v>229.64330000000001</v>
      </c>
      <c r="F1387" s="7">
        <v>116736</v>
      </c>
      <c r="G1387" s="14">
        <v>826.14269999999999</v>
      </c>
      <c r="H1387" s="7">
        <v>1201043</v>
      </c>
      <c r="I1387" s="14">
        <v>1055.7860000000001</v>
      </c>
      <c r="J1387" s="7">
        <v>1317779</v>
      </c>
    </row>
    <row r="1388" spans="1:10" x14ac:dyDescent="0.2">
      <c r="A1388" s="9">
        <v>45961</v>
      </c>
      <c r="B1388" s="4" t="s">
        <v>222</v>
      </c>
      <c r="C1388" s="8">
        <v>45931</v>
      </c>
      <c r="D1388" s="4" t="s">
        <v>195</v>
      </c>
      <c r="E1388" s="14">
        <v>247.16390000000001</v>
      </c>
      <c r="F1388" s="7">
        <v>126086</v>
      </c>
      <c r="G1388" s="14">
        <v>921.46669999999995</v>
      </c>
      <c r="H1388" s="7">
        <v>1328853</v>
      </c>
      <c r="I1388" s="14">
        <v>1168.6306</v>
      </c>
      <c r="J1388" s="7">
        <v>1454939</v>
      </c>
    </row>
    <row r="1389" spans="1:10" x14ac:dyDescent="0.2">
      <c r="A1389" s="9">
        <v>45964</v>
      </c>
      <c r="B1389" s="4" t="s">
        <v>225</v>
      </c>
      <c r="C1389" s="8">
        <v>45962</v>
      </c>
      <c r="D1389" s="4" t="s">
        <v>195</v>
      </c>
      <c r="E1389" s="14">
        <v>188.90629999999999</v>
      </c>
      <c r="F1389" s="7">
        <v>96361</v>
      </c>
      <c r="G1389" s="14">
        <v>822.24480000000005</v>
      </c>
      <c r="H1389" s="7">
        <v>1190055</v>
      </c>
      <c r="I1389" s="14">
        <v>1011.1511</v>
      </c>
      <c r="J1389" s="7">
        <v>1286416</v>
      </c>
    </row>
    <row r="1390" spans="1:10" x14ac:dyDescent="0.2">
      <c r="A1390" s="9">
        <v>45965</v>
      </c>
      <c r="B1390" s="4" t="s">
        <v>223</v>
      </c>
      <c r="C1390" s="8">
        <v>45962</v>
      </c>
      <c r="D1390" s="4" t="s">
        <v>195</v>
      </c>
      <c r="E1390" s="14">
        <v>212.45529999999999</v>
      </c>
      <c r="F1390" s="7">
        <v>109066</v>
      </c>
      <c r="G1390" s="14">
        <v>841.55359999999996</v>
      </c>
      <c r="H1390" s="7">
        <v>1215714</v>
      </c>
      <c r="I1390" s="14">
        <v>1054.0089</v>
      </c>
      <c r="J1390" s="7">
        <v>1324780</v>
      </c>
    </row>
    <row r="1391" spans="1:10" x14ac:dyDescent="0.2">
      <c r="A1391" s="9">
        <v>45967</v>
      </c>
      <c r="B1391" s="4" t="s">
        <v>224</v>
      </c>
      <c r="C1391" s="8">
        <v>45962</v>
      </c>
      <c r="D1391" s="4" t="s">
        <v>195</v>
      </c>
      <c r="E1391" s="14">
        <v>184.27289999999999</v>
      </c>
      <c r="F1391" s="7">
        <v>94871</v>
      </c>
      <c r="G1391" s="14">
        <v>938.43349999999998</v>
      </c>
      <c r="H1391" s="7">
        <v>1357415</v>
      </c>
      <c r="I1391" s="14">
        <v>1122.7064</v>
      </c>
      <c r="J1391" s="7">
        <v>1452286</v>
      </c>
    </row>
    <row r="1392" spans="1:10" x14ac:dyDescent="0.2">
      <c r="A1392" s="9">
        <v>45968</v>
      </c>
      <c r="B1392" s="4" t="s">
        <v>222</v>
      </c>
      <c r="C1392" s="8">
        <v>45962</v>
      </c>
      <c r="D1392" s="4" t="s">
        <v>195</v>
      </c>
      <c r="E1392" s="14">
        <v>288.7876</v>
      </c>
      <c r="F1392" s="7">
        <v>149043</v>
      </c>
      <c r="G1392" s="14">
        <v>984.005</v>
      </c>
      <c r="H1392" s="7">
        <v>1381083</v>
      </c>
      <c r="I1392" s="14">
        <v>1272.7926</v>
      </c>
      <c r="J1392" s="7">
        <v>1530126</v>
      </c>
    </row>
    <row r="1393" spans="1:10" x14ac:dyDescent="0.2">
      <c r="A1393" s="9">
        <v>45971</v>
      </c>
      <c r="B1393" s="4" t="s">
        <v>225</v>
      </c>
      <c r="C1393" s="8">
        <v>45962</v>
      </c>
      <c r="D1393" s="4" t="s">
        <v>195</v>
      </c>
      <c r="E1393" s="14">
        <v>147.9632</v>
      </c>
      <c r="F1393" s="7">
        <v>75971</v>
      </c>
      <c r="G1393" s="14">
        <v>757.64930000000004</v>
      </c>
      <c r="H1393" s="7">
        <v>1108480</v>
      </c>
      <c r="I1393" s="14">
        <v>905.61249999999995</v>
      </c>
      <c r="J1393" s="7">
        <v>1184451</v>
      </c>
    </row>
    <row r="1394" spans="1:10" x14ac:dyDescent="0.2">
      <c r="A1394" s="9">
        <v>45972</v>
      </c>
      <c r="B1394" s="4" t="s">
        <v>223</v>
      </c>
      <c r="C1394" s="8">
        <v>45962</v>
      </c>
      <c r="D1394" s="4" t="s">
        <v>195</v>
      </c>
      <c r="E1394" s="14">
        <v>254.0498</v>
      </c>
      <c r="F1394" s="7">
        <v>130578</v>
      </c>
      <c r="G1394" s="14">
        <v>872.82460000000003</v>
      </c>
      <c r="H1394" s="7">
        <v>1264928</v>
      </c>
      <c r="I1394" s="14">
        <v>1126.8743999999999</v>
      </c>
      <c r="J1394" s="7">
        <v>1395506</v>
      </c>
    </row>
    <row r="1395" spans="1:10" x14ac:dyDescent="0.2">
      <c r="A1395" s="9">
        <v>45973</v>
      </c>
      <c r="B1395" s="4" t="s">
        <v>221</v>
      </c>
      <c r="C1395" s="8">
        <v>45962</v>
      </c>
      <c r="D1395" s="4" t="s">
        <v>195</v>
      </c>
      <c r="E1395" s="14">
        <v>241.4982</v>
      </c>
      <c r="F1395" s="7">
        <v>123051</v>
      </c>
      <c r="G1395" s="14">
        <v>976.4973</v>
      </c>
      <c r="H1395" s="7">
        <v>1404181</v>
      </c>
      <c r="I1395" s="14">
        <v>1217.9955</v>
      </c>
      <c r="J1395" s="7">
        <v>1527232</v>
      </c>
    </row>
    <row r="1396" spans="1:10" x14ac:dyDescent="0.2">
      <c r="A1396" s="9">
        <v>45974</v>
      </c>
      <c r="B1396" s="4" t="s">
        <v>224</v>
      </c>
      <c r="C1396" s="8">
        <v>45962</v>
      </c>
      <c r="D1396" s="4" t="s">
        <v>195</v>
      </c>
      <c r="E1396" s="14">
        <v>221.37729999999999</v>
      </c>
      <c r="F1396" s="7">
        <v>112457</v>
      </c>
      <c r="G1396" s="14">
        <v>947.04899999999998</v>
      </c>
      <c r="H1396" s="7">
        <v>1349074</v>
      </c>
      <c r="I1396" s="14">
        <v>1168.4263000000001</v>
      </c>
      <c r="J1396" s="7">
        <v>1461531</v>
      </c>
    </row>
    <row r="1397" spans="1:10" x14ac:dyDescent="0.2">
      <c r="A1397" s="9">
        <v>45975</v>
      </c>
      <c r="B1397" s="4" t="s">
        <v>222</v>
      </c>
      <c r="C1397" s="8">
        <v>45962</v>
      </c>
      <c r="D1397" s="4" t="s">
        <v>195</v>
      </c>
      <c r="E1397" s="14">
        <v>308.78620000000001</v>
      </c>
      <c r="F1397" s="7">
        <v>157691</v>
      </c>
      <c r="G1397" s="14">
        <v>875.24890000000005</v>
      </c>
      <c r="H1397" s="7">
        <v>1271564</v>
      </c>
      <c r="I1397" s="14">
        <v>1184.0351000000001</v>
      </c>
      <c r="J1397" s="7">
        <v>1429255</v>
      </c>
    </row>
    <row r="1398" spans="1:10" x14ac:dyDescent="0.2">
      <c r="A1398" s="9">
        <v>45978</v>
      </c>
      <c r="B1398" s="4" t="s">
        <v>225</v>
      </c>
      <c r="C1398" s="8">
        <v>45962</v>
      </c>
      <c r="D1398" s="4" t="s">
        <v>195</v>
      </c>
      <c r="E1398" s="14">
        <v>192.00309999999999</v>
      </c>
      <c r="F1398" s="7">
        <v>97020</v>
      </c>
      <c r="G1398" s="14">
        <v>839.88239999999996</v>
      </c>
      <c r="H1398" s="7">
        <v>1229185</v>
      </c>
      <c r="I1398" s="14">
        <v>1031.8855000000001</v>
      </c>
      <c r="J1398" s="7">
        <v>1326205</v>
      </c>
    </row>
    <row r="1399" spans="1:10" x14ac:dyDescent="0.2">
      <c r="A1399" s="9">
        <v>45979</v>
      </c>
      <c r="B1399" s="4" t="s">
        <v>223</v>
      </c>
      <c r="C1399" s="8">
        <v>45962</v>
      </c>
      <c r="D1399" s="4" t="s">
        <v>195</v>
      </c>
      <c r="E1399" s="14">
        <v>216.2433</v>
      </c>
      <c r="F1399" s="7">
        <v>109917</v>
      </c>
      <c r="G1399" s="14">
        <v>920.34090000000003</v>
      </c>
      <c r="H1399" s="7">
        <v>1328641</v>
      </c>
      <c r="I1399" s="14">
        <v>1136.5842</v>
      </c>
      <c r="J1399" s="7">
        <v>1438558</v>
      </c>
    </row>
    <row r="1400" spans="1:10" x14ac:dyDescent="0.2">
      <c r="A1400" s="9">
        <v>45980</v>
      </c>
      <c r="B1400" s="4" t="s">
        <v>221</v>
      </c>
      <c r="C1400" s="8">
        <v>45962</v>
      </c>
      <c r="D1400" s="4" t="s">
        <v>195</v>
      </c>
      <c r="E1400" s="14">
        <v>245.48699999999999</v>
      </c>
      <c r="F1400" s="7">
        <v>124168</v>
      </c>
      <c r="G1400" s="14">
        <v>1091.1814999999999</v>
      </c>
      <c r="H1400" s="7">
        <v>1593840</v>
      </c>
      <c r="I1400" s="14">
        <v>1336.6685</v>
      </c>
      <c r="J1400" s="7">
        <v>1718008</v>
      </c>
    </row>
    <row r="1401" spans="1:10" x14ac:dyDescent="0.2">
      <c r="A1401" s="9">
        <v>45981</v>
      </c>
      <c r="B1401" s="4" t="s">
        <v>224</v>
      </c>
      <c r="C1401" s="8">
        <v>45962</v>
      </c>
      <c r="D1401" s="4" t="s">
        <v>195</v>
      </c>
      <c r="E1401" s="14">
        <v>373.7749</v>
      </c>
      <c r="F1401" s="7">
        <v>188926</v>
      </c>
      <c r="G1401" s="14">
        <v>2982.5358000000001</v>
      </c>
      <c r="H1401" s="7">
        <v>4363399</v>
      </c>
      <c r="I1401" s="14">
        <v>3356.3107</v>
      </c>
      <c r="J1401" s="7">
        <v>4552325</v>
      </c>
    </row>
    <row r="1402" spans="1:10" x14ac:dyDescent="0.2">
      <c r="A1402" s="9">
        <v>45982</v>
      </c>
      <c r="B1402" s="4" t="s">
        <v>222</v>
      </c>
      <c r="C1402" s="8">
        <v>45962</v>
      </c>
      <c r="D1402" s="4" t="s">
        <v>195</v>
      </c>
      <c r="E1402" s="14">
        <v>551.69820000000004</v>
      </c>
      <c r="F1402" s="7">
        <v>278539</v>
      </c>
      <c r="G1402" s="14">
        <v>3443.1410000000001</v>
      </c>
      <c r="H1402" s="7">
        <v>5054194</v>
      </c>
      <c r="I1402" s="14">
        <v>3994.8391999999999</v>
      </c>
      <c r="J1402" s="7">
        <v>5332733</v>
      </c>
    </row>
    <row r="1403" spans="1:10" x14ac:dyDescent="0.2">
      <c r="A1403" s="9">
        <v>45985</v>
      </c>
      <c r="B1403" s="4" t="s">
        <v>225</v>
      </c>
      <c r="C1403" s="8">
        <v>45962</v>
      </c>
      <c r="D1403" s="4" t="s">
        <v>195</v>
      </c>
      <c r="E1403" s="14">
        <v>515.52850000000001</v>
      </c>
      <c r="F1403" s="7">
        <v>260766</v>
      </c>
      <c r="G1403" s="14">
        <v>3387.1891999999998</v>
      </c>
      <c r="H1403" s="7">
        <v>5017151</v>
      </c>
      <c r="I1403" s="14">
        <v>3902.7177000000001</v>
      </c>
      <c r="J1403" s="7">
        <v>5277917</v>
      </c>
    </row>
    <row r="1404" spans="1:10" x14ac:dyDescent="0.2">
      <c r="A1404" s="9">
        <v>45986</v>
      </c>
      <c r="B1404" s="4" t="s">
        <v>223</v>
      </c>
      <c r="C1404" s="8">
        <v>45962</v>
      </c>
      <c r="D1404" s="4" t="s">
        <v>195</v>
      </c>
      <c r="E1404" s="14">
        <v>469.08670000000001</v>
      </c>
      <c r="F1404" s="7">
        <v>238168</v>
      </c>
      <c r="G1404" s="14">
        <v>2314.2786000000001</v>
      </c>
      <c r="H1404" s="7">
        <v>3465850</v>
      </c>
      <c r="I1404" s="14">
        <v>2783.3652999999999</v>
      </c>
      <c r="J1404" s="7">
        <v>3704018</v>
      </c>
    </row>
    <row r="1405" spans="1:10" x14ac:dyDescent="0.2">
      <c r="A1405" s="9">
        <v>45987</v>
      </c>
      <c r="B1405" s="4" t="s">
        <v>221</v>
      </c>
      <c r="C1405" s="8">
        <v>45962</v>
      </c>
      <c r="D1405" s="4" t="s">
        <v>195</v>
      </c>
      <c r="E1405" s="14">
        <v>289.59829999999999</v>
      </c>
      <c r="F1405" s="7">
        <v>146247</v>
      </c>
      <c r="G1405" s="14">
        <v>722.68050000000005</v>
      </c>
      <c r="H1405" s="7">
        <v>1035325</v>
      </c>
      <c r="I1405" s="14">
        <v>1012.2788</v>
      </c>
      <c r="J1405" s="7">
        <v>1181572</v>
      </c>
    </row>
    <row r="1406" spans="1:10" x14ac:dyDescent="0.2">
      <c r="A1406" s="9">
        <v>45988</v>
      </c>
      <c r="B1406" s="4" t="s">
        <v>224</v>
      </c>
      <c r="C1406" s="8">
        <v>45962</v>
      </c>
      <c r="D1406" s="4" t="s">
        <v>195</v>
      </c>
      <c r="E1406" s="14">
        <v>212.3844</v>
      </c>
      <c r="F1406" s="7">
        <v>106878</v>
      </c>
      <c r="G1406" s="14">
        <v>677.48230000000001</v>
      </c>
      <c r="H1406" s="7">
        <v>949944</v>
      </c>
      <c r="I1406" s="14">
        <v>889.86670000000004</v>
      </c>
      <c r="J1406" s="7">
        <v>1056822</v>
      </c>
    </row>
    <row r="1407" spans="1:10" x14ac:dyDescent="0.2">
      <c r="A1407" s="9">
        <v>45989</v>
      </c>
      <c r="B1407" s="4" t="s">
        <v>222</v>
      </c>
      <c r="C1407" s="8">
        <v>45962</v>
      </c>
      <c r="D1407" s="4" t="s">
        <v>195</v>
      </c>
      <c r="E1407" s="14">
        <v>122.1854</v>
      </c>
      <c r="F1407" s="7">
        <v>61423</v>
      </c>
      <c r="G1407" s="14">
        <v>556.95439999999996</v>
      </c>
      <c r="H1407" s="7">
        <v>788449</v>
      </c>
      <c r="I1407" s="14">
        <v>679.13980000000004</v>
      </c>
      <c r="J1407" s="7">
        <v>849872</v>
      </c>
    </row>
    <row r="1408" spans="1:10" x14ac:dyDescent="0.2">
      <c r="A1408" s="9">
        <v>45992</v>
      </c>
      <c r="B1408" s="4" t="s">
        <v>225</v>
      </c>
      <c r="C1408" s="8">
        <v>45992</v>
      </c>
      <c r="D1408" s="4" t="s">
        <v>195</v>
      </c>
      <c r="E1408" s="14">
        <v>207.3218</v>
      </c>
      <c r="F1408" s="7">
        <v>104018</v>
      </c>
      <c r="G1408" s="14">
        <v>618.32420000000002</v>
      </c>
      <c r="H1408" s="7">
        <v>873491</v>
      </c>
      <c r="I1408" s="14">
        <v>825.64599999999996</v>
      </c>
      <c r="J1408" s="7">
        <v>977509</v>
      </c>
    </row>
    <row r="1409" spans="1:10" x14ac:dyDescent="0.2">
      <c r="A1409" s="9">
        <v>45993</v>
      </c>
      <c r="B1409" s="4" t="s">
        <v>223</v>
      </c>
      <c r="C1409" s="8">
        <v>45992</v>
      </c>
      <c r="D1409" s="4" t="s">
        <v>195</v>
      </c>
      <c r="E1409" s="14">
        <v>213.21600000000001</v>
      </c>
      <c r="F1409" s="7">
        <v>107797</v>
      </c>
      <c r="G1409" s="14">
        <v>620.18989999999997</v>
      </c>
      <c r="H1409" s="7">
        <v>879898</v>
      </c>
      <c r="I1409" s="14">
        <v>833.40589999999997</v>
      </c>
      <c r="J1409" s="7">
        <v>987695</v>
      </c>
    </row>
    <row r="1410" spans="1:10" x14ac:dyDescent="0.2">
      <c r="A1410" s="9">
        <v>45994</v>
      </c>
      <c r="B1410" s="4" t="s">
        <v>221</v>
      </c>
      <c r="C1410" s="8">
        <v>45992</v>
      </c>
      <c r="D1410" s="4" t="s">
        <v>195</v>
      </c>
      <c r="E1410" s="14">
        <v>248.16739999999999</v>
      </c>
      <c r="F1410" s="7">
        <v>125698</v>
      </c>
      <c r="G1410" s="14">
        <v>760.7876</v>
      </c>
      <c r="H1410" s="7">
        <v>1092803</v>
      </c>
      <c r="I1410" s="14">
        <v>1008.955</v>
      </c>
      <c r="J1410" s="7">
        <v>1218501</v>
      </c>
    </row>
    <row r="1411" spans="1:10" x14ac:dyDescent="0.2">
      <c r="A1411" s="9">
        <v>45995</v>
      </c>
      <c r="B1411" s="4" t="s">
        <v>224</v>
      </c>
      <c r="C1411" s="8">
        <v>45992</v>
      </c>
      <c r="D1411" s="4" t="s">
        <v>195</v>
      </c>
      <c r="E1411" s="14">
        <v>190.04650000000001</v>
      </c>
      <c r="F1411" s="7">
        <v>96103</v>
      </c>
      <c r="G1411" s="14">
        <v>646.42420000000004</v>
      </c>
      <c r="H1411" s="7">
        <v>935460</v>
      </c>
      <c r="I1411" s="14">
        <v>836.47069999999997</v>
      </c>
      <c r="J1411" s="7">
        <v>1031563</v>
      </c>
    </row>
    <row r="1412" spans="1:10" x14ac:dyDescent="0.2">
      <c r="A1412" s="9">
        <v>45996</v>
      </c>
      <c r="B1412" s="4" t="s">
        <v>222</v>
      </c>
      <c r="C1412" s="8">
        <v>45992</v>
      </c>
      <c r="D1412" s="4" t="s">
        <v>195</v>
      </c>
      <c r="E1412" s="14">
        <v>270.48390000000001</v>
      </c>
      <c r="F1412" s="7">
        <v>135694</v>
      </c>
      <c r="G1412" s="14">
        <v>779.05319999999995</v>
      </c>
      <c r="H1412" s="7">
        <v>1133007</v>
      </c>
      <c r="I1412" s="14">
        <v>1049.5371</v>
      </c>
      <c r="J1412" s="7">
        <v>1268701</v>
      </c>
    </row>
    <row r="1413" spans="1:10" x14ac:dyDescent="0.2">
      <c r="A1413" s="9">
        <v>45999</v>
      </c>
      <c r="B1413" s="4" t="s">
        <v>225</v>
      </c>
      <c r="C1413" s="8">
        <v>45992</v>
      </c>
      <c r="D1413" s="4" t="s">
        <v>195</v>
      </c>
      <c r="E1413" s="14">
        <v>284.22239999999999</v>
      </c>
      <c r="F1413" s="7">
        <v>144159</v>
      </c>
      <c r="G1413" s="14">
        <v>853.505</v>
      </c>
      <c r="H1413" s="7">
        <v>1239321</v>
      </c>
      <c r="I1413" s="14">
        <v>1137.7274</v>
      </c>
      <c r="J1413" s="7">
        <v>1383480</v>
      </c>
    </row>
    <row r="1414" spans="1:10" x14ac:dyDescent="0.2">
      <c r="A1414" s="9">
        <v>46000</v>
      </c>
      <c r="B1414" s="4" t="s">
        <v>223</v>
      </c>
      <c r="C1414" s="8">
        <v>45992</v>
      </c>
      <c r="D1414" s="4" t="s">
        <v>195</v>
      </c>
      <c r="E1414" s="14">
        <v>266.7122</v>
      </c>
      <c r="F1414" s="7">
        <v>136851</v>
      </c>
      <c r="G1414" s="14">
        <v>795.41229999999996</v>
      </c>
      <c r="H1414" s="7">
        <v>1156463</v>
      </c>
      <c r="I1414" s="14">
        <v>1062.1244999999999</v>
      </c>
      <c r="J1414" s="7">
        <v>1293314</v>
      </c>
    </row>
    <row r="1415" spans="1:10" x14ac:dyDescent="0.2">
      <c r="A1415" s="9">
        <v>46001</v>
      </c>
      <c r="B1415" s="4" t="s">
        <v>221</v>
      </c>
      <c r="C1415" s="8">
        <v>45992</v>
      </c>
      <c r="D1415" s="4" t="s">
        <v>195</v>
      </c>
      <c r="E1415" s="14">
        <v>204.84219999999999</v>
      </c>
      <c r="F1415" s="7">
        <v>105052</v>
      </c>
      <c r="G1415" s="14">
        <v>697.99659999999994</v>
      </c>
      <c r="H1415" s="7">
        <v>1032221</v>
      </c>
      <c r="I1415" s="14">
        <v>902.83879999999999</v>
      </c>
      <c r="J1415" s="7">
        <v>1137273</v>
      </c>
    </row>
    <row r="1416" spans="1:10" x14ac:dyDescent="0.2">
      <c r="A1416" s="9">
        <v>46002</v>
      </c>
      <c r="B1416" s="4" t="s">
        <v>224</v>
      </c>
      <c r="C1416" s="8">
        <v>45992</v>
      </c>
      <c r="D1416" s="4" t="s">
        <v>195</v>
      </c>
      <c r="E1416" s="14">
        <v>230.20699999999999</v>
      </c>
      <c r="F1416" s="7">
        <v>117705</v>
      </c>
      <c r="G1416" s="14">
        <v>680.38819999999998</v>
      </c>
      <c r="H1416" s="7">
        <v>998460</v>
      </c>
      <c r="I1416" s="14">
        <v>910.59519999999998</v>
      </c>
      <c r="J1416" s="7">
        <v>1116165</v>
      </c>
    </row>
    <row r="1417" spans="1:10" x14ac:dyDescent="0.2">
      <c r="A1417" s="9">
        <v>46003</v>
      </c>
      <c r="B1417" s="4" t="s">
        <v>222</v>
      </c>
      <c r="C1417" s="8">
        <v>45992</v>
      </c>
      <c r="D1417" s="4" t="s">
        <v>195</v>
      </c>
      <c r="E1417" s="14">
        <v>210.81299999999999</v>
      </c>
      <c r="F1417" s="7">
        <v>107535</v>
      </c>
      <c r="G1417" s="14">
        <v>697.86670000000004</v>
      </c>
      <c r="H1417" s="7">
        <v>1030176</v>
      </c>
      <c r="I1417" s="14">
        <v>908.67970000000003</v>
      </c>
      <c r="J1417" s="7">
        <v>1137711</v>
      </c>
    </row>
    <row r="1418" spans="1:10" x14ac:dyDescent="0.2">
      <c r="A1418" s="9">
        <v>46006</v>
      </c>
      <c r="B1418" s="4" t="s">
        <v>225</v>
      </c>
      <c r="C1418" s="8">
        <v>45992</v>
      </c>
      <c r="D1418" s="4" t="s">
        <v>195</v>
      </c>
      <c r="E1418" s="14">
        <v>182.4744</v>
      </c>
      <c r="F1418" s="7">
        <v>93161</v>
      </c>
      <c r="G1418" s="14">
        <v>636.97149999999999</v>
      </c>
      <c r="H1418" s="7">
        <v>935983</v>
      </c>
      <c r="I1418" s="14">
        <v>819.44590000000005</v>
      </c>
      <c r="J1418" s="7">
        <v>1029144</v>
      </c>
    </row>
    <row r="1419" spans="1:10" x14ac:dyDescent="0.2">
      <c r="A1419" s="9">
        <v>46007</v>
      </c>
      <c r="B1419" s="4" t="s">
        <v>223</v>
      </c>
      <c r="C1419" s="8">
        <v>45992</v>
      </c>
      <c r="D1419" s="4" t="s">
        <v>195</v>
      </c>
      <c r="E1419" s="14">
        <v>205.8092</v>
      </c>
      <c r="F1419" s="7">
        <v>105339</v>
      </c>
      <c r="G1419" s="14">
        <v>728.58180000000004</v>
      </c>
      <c r="H1419" s="7">
        <v>1069369</v>
      </c>
      <c r="I1419" s="14">
        <v>934.39099999999996</v>
      </c>
      <c r="J1419" s="7">
        <v>1174708</v>
      </c>
    </row>
    <row r="1420" spans="1:10" x14ac:dyDescent="0.2">
      <c r="A1420" s="9">
        <v>46008</v>
      </c>
      <c r="B1420" s="4" t="s">
        <v>221</v>
      </c>
      <c r="C1420" s="8">
        <v>45992</v>
      </c>
      <c r="D1420" s="4" t="s">
        <v>195</v>
      </c>
      <c r="E1420" s="14">
        <v>156.36340000000001</v>
      </c>
      <c r="F1420" s="7">
        <v>80538</v>
      </c>
      <c r="G1420" s="14">
        <v>679.25170000000003</v>
      </c>
      <c r="H1420" s="7">
        <v>997545</v>
      </c>
      <c r="I1420" s="14">
        <v>835.61509999999998</v>
      </c>
      <c r="J1420" s="7">
        <v>1078083</v>
      </c>
    </row>
    <row r="1421" spans="1:10" x14ac:dyDescent="0.2">
      <c r="A1421" s="9">
        <v>46009</v>
      </c>
      <c r="B1421" s="4" t="s">
        <v>224</v>
      </c>
      <c r="C1421" s="8">
        <v>45992</v>
      </c>
      <c r="D1421" s="4" t="s">
        <v>195</v>
      </c>
      <c r="E1421" s="14">
        <v>211.65280000000001</v>
      </c>
      <c r="F1421" s="7">
        <v>108971</v>
      </c>
      <c r="G1421" s="14">
        <v>877.20889999999997</v>
      </c>
      <c r="H1421" s="7">
        <v>1301095</v>
      </c>
      <c r="I1421" s="14">
        <v>1088.8616999999999</v>
      </c>
      <c r="J1421" s="7">
        <v>1410066</v>
      </c>
    </row>
    <row r="1422" spans="1:10" x14ac:dyDescent="0.2">
      <c r="A1422" s="9">
        <v>46010</v>
      </c>
      <c r="B1422" s="4" t="s">
        <v>222</v>
      </c>
      <c r="C1422" s="8">
        <v>45992</v>
      </c>
      <c r="D1422" s="4" t="s">
        <v>195</v>
      </c>
      <c r="E1422" s="14">
        <v>186.77449999999999</v>
      </c>
      <c r="F1422" s="7">
        <v>96369</v>
      </c>
      <c r="G1422" s="14">
        <v>1015.2899</v>
      </c>
      <c r="H1422" s="7">
        <v>1489052</v>
      </c>
      <c r="I1422" s="14">
        <v>1202.0644</v>
      </c>
      <c r="J1422" s="7">
        <v>1585421</v>
      </c>
    </row>
    <row r="1423" spans="1:10" x14ac:dyDescent="0.2">
      <c r="A1423" s="9">
        <v>46013</v>
      </c>
      <c r="B1423" s="4" t="s">
        <v>225</v>
      </c>
      <c r="C1423" s="8">
        <v>45992</v>
      </c>
      <c r="D1423" s="4" t="s">
        <v>195</v>
      </c>
      <c r="E1423" s="14">
        <v>160.33869999999999</v>
      </c>
      <c r="F1423" s="7">
        <v>83490</v>
      </c>
      <c r="G1423" s="14">
        <v>1180.7328</v>
      </c>
      <c r="H1423" s="7">
        <v>1700903</v>
      </c>
      <c r="I1423" s="14">
        <v>1341.0715</v>
      </c>
      <c r="J1423" s="7">
        <v>1784393</v>
      </c>
    </row>
    <row r="1424" spans="1:10" x14ac:dyDescent="0.2">
      <c r="A1424" s="9">
        <v>46014</v>
      </c>
      <c r="B1424" s="4" t="s">
        <v>223</v>
      </c>
      <c r="C1424" s="8">
        <v>45992</v>
      </c>
      <c r="D1424" s="4" t="s">
        <v>195</v>
      </c>
      <c r="E1424" s="14">
        <v>143.8237</v>
      </c>
      <c r="F1424" s="7">
        <v>74951</v>
      </c>
      <c r="G1424" s="14">
        <v>1653.7598</v>
      </c>
      <c r="H1424" s="7">
        <v>2402588</v>
      </c>
      <c r="I1424" s="14">
        <v>1797.5835</v>
      </c>
      <c r="J1424" s="7">
        <v>2477539</v>
      </c>
    </row>
    <row r="1425" spans="1:10" x14ac:dyDescent="0.2">
      <c r="A1425" s="9">
        <v>46015</v>
      </c>
      <c r="B1425" s="4" t="s">
        <v>221</v>
      </c>
      <c r="C1425" s="8">
        <v>45992</v>
      </c>
      <c r="D1425" s="4" t="s">
        <v>195</v>
      </c>
      <c r="E1425" s="14">
        <v>217.30889999999999</v>
      </c>
      <c r="F1425" s="7">
        <v>113743</v>
      </c>
      <c r="G1425" s="14">
        <v>2666.4052000000001</v>
      </c>
      <c r="H1425" s="7">
        <v>3919248</v>
      </c>
      <c r="I1425" s="14">
        <v>2883.7141000000001</v>
      </c>
      <c r="J1425" s="7">
        <v>4032991</v>
      </c>
    </row>
    <row r="1426" spans="1:10" x14ac:dyDescent="0.2">
      <c r="A1426" s="9">
        <v>46017</v>
      </c>
      <c r="B1426" s="4" t="s">
        <v>222</v>
      </c>
      <c r="C1426" s="8">
        <v>45992</v>
      </c>
      <c r="D1426" s="4" t="s">
        <v>195</v>
      </c>
      <c r="E1426" s="14">
        <v>358.16750000000002</v>
      </c>
      <c r="F1426" s="7">
        <v>192818</v>
      </c>
      <c r="G1426" s="14">
        <v>2927.9589000000001</v>
      </c>
      <c r="H1426" s="7">
        <v>4305287</v>
      </c>
      <c r="I1426" s="14">
        <v>3286.1264000000001</v>
      </c>
      <c r="J1426" s="7">
        <v>4498105</v>
      </c>
    </row>
    <row r="1427" spans="1:10" x14ac:dyDescent="0.2">
      <c r="A1427" s="9">
        <v>46020</v>
      </c>
      <c r="B1427" s="4" t="s">
        <v>225</v>
      </c>
      <c r="C1427" s="8">
        <v>45992</v>
      </c>
      <c r="D1427" s="4" t="s">
        <v>195</v>
      </c>
      <c r="E1427" s="14">
        <v>430.24119999999999</v>
      </c>
      <c r="F1427" s="7">
        <v>234962</v>
      </c>
      <c r="G1427" s="14">
        <v>2711.855</v>
      </c>
      <c r="H1427" s="7">
        <v>4011602</v>
      </c>
      <c r="I1427" s="14">
        <v>3142.0962</v>
      </c>
      <c r="J1427" s="7">
        <v>4246564</v>
      </c>
    </row>
    <row r="1428" spans="1:10" x14ac:dyDescent="0.2">
      <c r="A1428" s="9">
        <v>46021</v>
      </c>
      <c r="B1428" s="4" t="s">
        <v>223</v>
      </c>
      <c r="C1428" s="8">
        <v>45992</v>
      </c>
      <c r="D1428" s="4" t="s">
        <v>195</v>
      </c>
      <c r="E1428" s="14">
        <v>472.75639999999999</v>
      </c>
      <c r="F1428" s="7">
        <v>260240</v>
      </c>
      <c r="G1428" s="14">
        <v>2612.7112000000002</v>
      </c>
      <c r="H1428" s="7">
        <v>3878121</v>
      </c>
      <c r="I1428" s="14">
        <v>3085.4675999999999</v>
      </c>
      <c r="J1428" s="7">
        <v>4138361</v>
      </c>
    </row>
    <row r="1429" spans="1:10" x14ac:dyDescent="0.2">
      <c r="A1429" s="9">
        <v>46022</v>
      </c>
      <c r="B1429" s="4" t="s">
        <v>221</v>
      </c>
      <c r="C1429" s="8">
        <v>45992</v>
      </c>
      <c r="D1429" s="4" t="s">
        <v>195</v>
      </c>
      <c r="E1429" s="14">
        <v>207.7713</v>
      </c>
      <c r="F1429" s="7">
        <v>120332</v>
      </c>
      <c r="G1429" s="14">
        <v>805.2912</v>
      </c>
      <c r="H1429" s="7">
        <v>1137832</v>
      </c>
      <c r="I1429" s="14">
        <v>1013.0625</v>
      </c>
      <c r="J1429" s="7">
        <v>1258164</v>
      </c>
    </row>
    <row r="1430" spans="1:10" x14ac:dyDescent="0.2">
      <c r="A1430" s="9">
        <v>46023</v>
      </c>
      <c r="B1430" s="4" t="s">
        <v>224</v>
      </c>
      <c r="C1430" s="8">
        <v>46023</v>
      </c>
      <c r="D1430" s="4" t="s">
        <v>196</v>
      </c>
      <c r="E1430" s="14">
        <v>87.337999999999994</v>
      </c>
      <c r="F1430" s="7">
        <v>50522</v>
      </c>
      <c r="G1430" s="14">
        <v>594.07420000000002</v>
      </c>
      <c r="H1430" s="7">
        <v>870629</v>
      </c>
      <c r="I1430" s="14">
        <v>681.41219999999998</v>
      </c>
      <c r="J1430" s="7">
        <v>921151</v>
      </c>
    </row>
    <row r="1431" spans="1:10" x14ac:dyDescent="0.2">
      <c r="A1431" s="9">
        <v>46024</v>
      </c>
      <c r="B1431" s="4" t="s">
        <v>222</v>
      </c>
      <c r="C1431" s="8">
        <v>46023</v>
      </c>
      <c r="D1431" s="4" t="s">
        <v>196</v>
      </c>
      <c r="E1431" s="14">
        <v>183.78960000000001</v>
      </c>
      <c r="F1431" s="7">
        <v>105823</v>
      </c>
      <c r="G1431" s="14">
        <v>864.39210000000003</v>
      </c>
      <c r="H1431" s="7">
        <v>1259988</v>
      </c>
      <c r="I1431" s="14">
        <v>1048.1817000000001</v>
      </c>
      <c r="J1431" s="7">
        <v>1365811</v>
      </c>
    </row>
    <row r="1432" spans="1:10" x14ac:dyDescent="0.2">
      <c r="A1432" s="9">
        <v>46027</v>
      </c>
      <c r="B1432" s="4" t="s">
        <v>225</v>
      </c>
      <c r="C1432" s="8">
        <v>46023</v>
      </c>
      <c r="D1432" s="4" t="s">
        <v>196</v>
      </c>
      <c r="E1432" s="14">
        <v>212.2013</v>
      </c>
      <c r="F1432" s="7">
        <v>122132</v>
      </c>
      <c r="G1432" s="14">
        <v>902.42049999999995</v>
      </c>
      <c r="H1432" s="7">
        <v>1313528</v>
      </c>
      <c r="I1432" s="14">
        <v>1114.6217999999999</v>
      </c>
      <c r="J1432" s="7">
        <v>1435660</v>
      </c>
    </row>
    <row r="1433" spans="1:10" x14ac:dyDescent="0.2">
      <c r="A1433" s="9">
        <v>46028</v>
      </c>
      <c r="B1433" s="4" t="s">
        <v>223</v>
      </c>
      <c r="C1433" s="8">
        <v>46023</v>
      </c>
      <c r="D1433" s="4" t="s">
        <v>196</v>
      </c>
      <c r="E1433" s="14">
        <v>166.95490000000001</v>
      </c>
      <c r="F1433" s="7">
        <v>96540</v>
      </c>
      <c r="G1433" s="14">
        <v>966.1662</v>
      </c>
      <c r="H1433" s="7">
        <v>1412211</v>
      </c>
      <c r="I1433" s="14">
        <v>1133.1211000000001</v>
      </c>
      <c r="J1433" s="7">
        <v>1508751</v>
      </c>
    </row>
    <row r="1434" spans="1:10" x14ac:dyDescent="0.2">
      <c r="A1434" s="9">
        <v>46029</v>
      </c>
      <c r="B1434" s="4" t="s">
        <v>221</v>
      </c>
      <c r="C1434" s="8">
        <v>46023</v>
      </c>
      <c r="D1434" s="4" t="s">
        <v>196</v>
      </c>
      <c r="E1434" s="14">
        <v>160.3887</v>
      </c>
      <c r="F1434" s="7">
        <v>92585</v>
      </c>
      <c r="G1434" s="14">
        <v>928.12059999999997</v>
      </c>
      <c r="H1434" s="7">
        <v>1346450</v>
      </c>
      <c r="I1434" s="14">
        <v>1088.5092999999999</v>
      </c>
      <c r="J1434" s="7">
        <v>1439035</v>
      </c>
    </row>
    <row r="1435" spans="1:10" x14ac:dyDescent="0.2">
      <c r="A1435" s="9">
        <v>46030</v>
      </c>
      <c r="B1435" s="4" t="s">
        <v>224</v>
      </c>
      <c r="C1435" s="8">
        <v>46023</v>
      </c>
      <c r="D1435" s="4" t="s">
        <v>196</v>
      </c>
      <c r="E1435" s="14">
        <v>279.27699999999999</v>
      </c>
      <c r="F1435" s="7">
        <v>163129</v>
      </c>
      <c r="G1435" s="14">
        <v>1036.0843</v>
      </c>
      <c r="H1435" s="7">
        <v>1506368</v>
      </c>
      <c r="I1435" s="14">
        <v>1315.3613</v>
      </c>
      <c r="J1435" s="7">
        <v>1669497</v>
      </c>
    </row>
    <row r="1436" spans="1:10" x14ac:dyDescent="0.2">
      <c r="A1436" s="9">
        <v>46031</v>
      </c>
      <c r="B1436" s="4" t="s">
        <v>222</v>
      </c>
      <c r="C1436" s="8">
        <v>46023</v>
      </c>
      <c r="D1436" s="4" t="s">
        <v>196</v>
      </c>
      <c r="E1436" s="14">
        <v>250.42789999999999</v>
      </c>
      <c r="F1436" s="7">
        <v>146880</v>
      </c>
      <c r="G1436" s="14">
        <v>1014.1322</v>
      </c>
      <c r="H1436" s="7">
        <v>1485713</v>
      </c>
      <c r="I1436" s="14">
        <v>1264.5600999999999</v>
      </c>
      <c r="J1436" s="7">
        <v>1632593</v>
      </c>
    </row>
    <row r="1437" spans="1:10" x14ac:dyDescent="0.2">
      <c r="A1437" s="9">
        <v>46034</v>
      </c>
      <c r="B1437" s="4" t="s">
        <v>225</v>
      </c>
      <c r="C1437" s="8">
        <v>46023</v>
      </c>
      <c r="D1437" s="4" t="s">
        <v>196</v>
      </c>
      <c r="E1437" s="14">
        <v>307.13569999999999</v>
      </c>
      <c r="F1437" s="7">
        <v>181189</v>
      </c>
      <c r="G1437" s="14">
        <v>932.56709999999998</v>
      </c>
      <c r="H1437" s="7">
        <v>1372969</v>
      </c>
      <c r="I1437" s="14">
        <v>1239.7028</v>
      </c>
      <c r="J1437" s="7">
        <v>1554158</v>
      </c>
    </row>
    <row r="1438" spans="1:10" x14ac:dyDescent="0.2">
      <c r="A1438" s="9">
        <v>46035</v>
      </c>
      <c r="B1438" s="4" t="s">
        <v>223</v>
      </c>
      <c r="C1438" s="8">
        <v>46023</v>
      </c>
      <c r="D1438" s="4" t="s">
        <v>196</v>
      </c>
      <c r="E1438" s="14">
        <v>222.6078</v>
      </c>
      <c r="F1438" s="7">
        <v>131008</v>
      </c>
      <c r="G1438" s="14">
        <v>886.18449999999996</v>
      </c>
      <c r="H1438" s="7">
        <v>1312231</v>
      </c>
      <c r="I1438" s="14">
        <v>1108.7923000000001</v>
      </c>
      <c r="J1438" s="7">
        <v>1443239</v>
      </c>
    </row>
    <row r="1439" spans="1:10" x14ac:dyDescent="0.2">
      <c r="A1439" s="9">
        <v>46036</v>
      </c>
      <c r="B1439" s="4" t="s">
        <v>221</v>
      </c>
      <c r="C1439" s="8">
        <v>46023</v>
      </c>
      <c r="D1439" s="4" t="s">
        <v>196</v>
      </c>
      <c r="E1439" s="14">
        <v>182.95699999999999</v>
      </c>
      <c r="F1439" s="7">
        <v>107659</v>
      </c>
      <c r="G1439" s="14">
        <v>936.67420000000004</v>
      </c>
      <c r="H1439" s="7">
        <v>1335104</v>
      </c>
      <c r="I1439" s="14">
        <v>1119.6312</v>
      </c>
      <c r="J1439" s="7">
        <v>1442763</v>
      </c>
    </row>
    <row r="1440" spans="1:10" x14ac:dyDescent="0.2">
      <c r="A1440" s="9">
        <v>46038</v>
      </c>
      <c r="B1440" s="4" t="s">
        <v>222</v>
      </c>
      <c r="C1440" s="8">
        <v>46023</v>
      </c>
      <c r="D1440" s="4" t="s">
        <v>196</v>
      </c>
      <c r="E1440" s="14">
        <v>254.16319999999999</v>
      </c>
      <c r="F1440" s="7">
        <v>148578</v>
      </c>
      <c r="G1440" s="14">
        <v>1202.0527</v>
      </c>
      <c r="H1440" s="7">
        <v>1693881</v>
      </c>
      <c r="I1440" s="14">
        <v>1456.2158999999999</v>
      </c>
      <c r="J1440" s="7">
        <v>1842459</v>
      </c>
    </row>
    <row r="1441" spans="1:10" x14ac:dyDescent="0.2">
      <c r="A1441" s="9">
        <v>46041</v>
      </c>
      <c r="B1441" s="4" t="s">
        <v>225</v>
      </c>
      <c r="C1441" s="8">
        <v>46023</v>
      </c>
      <c r="D1441" s="4" t="s">
        <v>196</v>
      </c>
      <c r="E1441" s="14">
        <v>213.50110000000001</v>
      </c>
      <c r="F1441" s="7">
        <v>126068</v>
      </c>
      <c r="G1441" s="14">
        <v>1198.9087999999999</v>
      </c>
      <c r="H1441" s="7">
        <v>1724671</v>
      </c>
      <c r="I1441" s="14">
        <v>1412.4099000000001</v>
      </c>
      <c r="J1441" s="7">
        <v>1850739</v>
      </c>
    </row>
    <row r="1442" spans="1:10" x14ac:dyDescent="0.2">
      <c r="A1442" s="9">
        <v>46042</v>
      </c>
      <c r="B1442" s="4" t="s">
        <v>223</v>
      </c>
      <c r="C1442" s="8">
        <v>46023</v>
      </c>
      <c r="D1442" s="4" t="s">
        <v>196</v>
      </c>
      <c r="E1442" s="14">
        <v>285.84519999999998</v>
      </c>
      <c r="F1442" s="7">
        <v>170223</v>
      </c>
      <c r="G1442" s="14">
        <v>1463.3017</v>
      </c>
      <c r="H1442" s="7">
        <v>2154595</v>
      </c>
      <c r="I1442" s="14">
        <v>1749.1469</v>
      </c>
      <c r="J1442" s="7">
        <v>2324818</v>
      </c>
    </row>
    <row r="1443" spans="1:10" x14ac:dyDescent="0.2">
      <c r="A1443" s="9">
        <v>46043</v>
      </c>
      <c r="B1443" s="4" t="s">
        <v>221</v>
      </c>
      <c r="C1443" s="8">
        <v>46023</v>
      </c>
      <c r="D1443" s="4" t="s">
        <v>196</v>
      </c>
      <c r="E1443" s="14">
        <v>490.60789999999997</v>
      </c>
      <c r="F1443" s="7">
        <v>294775</v>
      </c>
      <c r="G1443" s="14">
        <v>3241.8797</v>
      </c>
      <c r="H1443" s="7">
        <v>4940261</v>
      </c>
      <c r="I1443" s="14">
        <v>3732.4875999999999</v>
      </c>
      <c r="J1443" s="7">
        <v>5235036</v>
      </c>
    </row>
    <row r="1444" spans="1:10" x14ac:dyDescent="0.2">
      <c r="A1444" s="9">
        <v>46044</v>
      </c>
      <c r="B1444" s="4" t="s">
        <v>224</v>
      </c>
      <c r="C1444" s="8">
        <v>46023</v>
      </c>
      <c r="D1444" s="4" t="s">
        <v>196</v>
      </c>
      <c r="E1444" s="14">
        <v>550.2586</v>
      </c>
      <c r="F1444" s="7">
        <v>330252</v>
      </c>
      <c r="G1444" s="14">
        <v>3848.2602999999999</v>
      </c>
      <c r="H1444" s="7">
        <v>5758090</v>
      </c>
      <c r="I1444" s="14">
        <v>4398.5189</v>
      </c>
      <c r="J1444" s="7">
        <v>6088342</v>
      </c>
    </row>
    <row r="1445" spans="1:10" x14ac:dyDescent="0.2">
      <c r="A1445" s="9">
        <v>46045</v>
      </c>
      <c r="B1445" s="4" t="s">
        <v>222</v>
      </c>
      <c r="C1445" s="8">
        <v>46023</v>
      </c>
      <c r="D1445" s="4" t="s">
        <v>196</v>
      </c>
      <c r="E1445" s="14">
        <v>503.49360000000001</v>
      </c>
      <c r="F1445" s="7">
        <v>302541</v>
      </c>
      <c r="G1445" s="14">
        <v>3830.0500999999999</v>
      </c>
      <c r="H1445" s="7">
        <v>5811454</v>
      </c>
      <c r="I1445" s="14">
        <v>4333.5437000000002</v>
      </c>
      <c r="J1445" s="7">
        <v>6113995</v>
      </c>
    </row>
    <row r="1446" spans="1:10" x14ac:dyDescent="0.2">
      <c r="A1446" s="9">
        <v>46049</v>
      </c>
      <c r="B1446" s="4" t="s">
        <v>223</v>
      </c>
      <c r="C1446" s="8">
        <v>46023</v>
      </c>
      <c r="D1446" s="4" t="s">
        <v>196</v>
      </c>
      <c r="E1446" s="14">
        <v>634.577</v>
      </c>
      <c r="F1446" s="7">
        <v>381846</v>
      </c>
      <c r="G1446" s="14">
        <v>3250.8535000000002</v>
      </c>
      <c r="H1446" s="7">
        <v>5044848</v>
      </c>
      <c r="I1446" s="14">
        <v>3885.4304999999999</v>
      </c>
      <c r="J1446" s="7">
        <v>5426694</v>
      </c>
    </row>
    <row r="1447" spans="1:10" x14ac:dyDescent="0.2">
      <c r="A1447" s="9">
        <v>46050</v>
      </c>
      <c r="B1447" s="4" t="s">
        <v>221</v>
      </c>
      <c r="C1447" s="8">
        <v>46023</v>
      </c>
      <c r="D1447" s="4" t="s">
        <v>196</v>
      </c>
      <c r="E1447" s="14">
        <v>270.40320000000003</v>
      </c>
      <c r="F1447" s="7">
        <v>160847</v>
      </c>
      <c r="G1447" s="14">
        <v>1046.9475</v>
      </c>
      <c r="H1447" s="7">
        <v>1539842</v>
      </c>
      <c r="I1447" s="14">
        <v>1317.3507</v>
      </c>
      <c r="J1447" s="7">
        <v>1700689</v>
      </c>
    </row>
    <row r="1448" spans="1:10" x14ac:dyDescent="0.2">
      <c r="A1448" s="9">
        <v>46051</v>
      </c>
      <c r="B1448" s="4" t="s">
        <v>224</v>
      </c>
      <c r="C1448" s="8">
        <v>46023</v>
      </c>
      <c r="D1448" s="4" t="s">
        <v>196</v>
      </c>
      <c r="E1448" s="14">
        <v>312.92189999999999</v>
      </c>
      <c r="F1448" s="7">
        <v>186551</v>
      </c>
      <c r="G1448" s="14">
        <v>1094.0726</v>
      </c>
      <c r="H1448" s="7">
        <v>1592426</v>
      </c>
      <c r="I1448" s="14">
        <v>1406.9945</v>
      </c>
      <c r="J1448" s="7">
        <v>1778977</v>
      </c>
    </row>
    <row r="1449" spans="1:10" x14ac:dyDescent="0.2">
      <c r="A1449" s="9">
        <v>46052</v>
      </c>
      <c r="B1449" s="4" t="s">
        <v>222</v>
      </c>
      <c r="C1449" s="8">
        <v>46023</v>
      </c>
      <c r="D1449" s="4" t="s">
        <v>196</v>
      </c>
      <c r="E1449" s="14">
        <v>255.06630000000001</v>
      </c>
      <c r="F1449" s="7">
        <v>152083</v>
      </c>
      <c r="G1449" s="14">
        <v>1069.4305999999999</v>
      </c>
      <c r="H1449" s="7">
        <v>1542208</v>
      </c>
      <c r="I1449" s="14">
        <v>1324.4969000000001</v>
      </c>
      <c r="J1449" s="7">
        <v>1694291</v>
      </c>
    </row>
    <row r="1450" spans="1:10" x14ac:dyDescent="0.2">
      <c r="A1450" s="9">
        <v>46054</v>
      </c>
      <c r="B1450" s="4" t="s">
        <v>227</v>
      </c>
      <c r="C1450" s="8">
        <v>46054</v>
      </c>
      <c r="D1450" s="4" t="s">
        <v>196</v>
      </c>
      <c r="E1450" s="14">
        <v>537.05679999999995</v>
      </c>
      <c r="F1450" s="7">
        <v>323021</v>
      </c>
      <c r="G1450" s="14">
        <v>1172.6355000000001</v>
      </c>
      <c r="H1450" s="7">
        <v>1727925</v>
      </c>
      <c r="I1450" s="14">
        <v>1709.6922999999999</v>
      </c>
      <c r="J1450" s="7">
        <v>2050946</v>
      </c>
    </row>
    <row r="1451" spans="1:10" x14ac:dyDescent="0.2">
      <c r="A1451" s="9">
        <v>46055</v>
      </c>
      <c r="B1451" s="4" t="s">
        <v>225</v>
      </c>
      <c r="C1451" s="8">
        <v>46054</v>
      </c>
      <c r="D1451" s="4" t="s">
        <v>196</v>
      </c>
      <c r="E1451" s="14">
        <v>347.61660000000001</v>
      </c>
      <c r="F1451" s="7">
        <v>210480</v>
      </c>
      <c r="G1451" s="14">
        <v>1110.8770999999999</v>
      </c>
      <c r="H1451" s="7">
        <v>1664425</v>
      </c>
      <c r="I1451" s="14">
        <v>1458.4937</v>
      </c>
      <c r="J1451" s="7">
        <v>1874905</v>
      </c>
    </row>
    <row r="1452" spans="1:10" x14ac:dyDescent="0.2">
      <c r="A1452" s="9">
        <v>46056</v>
      </c>
      <c r="B1452" s="4" t="s">
        <v>223</v>
      </c>
      <c r="C1452" s="8">
        <v>46054</v>
      </c>
      <c r="D1452" s="4" t="s">
        <v>196</v>
      </c>
      <c r="E1452" s="14">
        <v>690.82320000000004</v>
      </c>
      <c r="F1452" s="7">
        <v>404748</v>
      </c>
      <c r="G1452" s="14">
        <v>1506.0238999999999</v>
      </c>
      <c r="H1452" s="7">
        <v>2212163</v>
      </c>
      <c r="I1452" s="14">
        <v>2196.8471</v>
      </c>
      <c r="J1452" s="7">
        <v>2616911</v>
      </c>
    </row>
    <row r="1453" spans="1:10" x14ac:dyDescent="0.2">
      <c r="A1453" s="9">
        <v>46057</v>
      </c>
      <c r="B1453" s="4" t="s">
        <v>221</v>
      </c>
      <c r="C1453" s="8">
        <v>46054</v>
      </c>
      <c r="D1453" s="4" t="s">
        <v>196</v>
      </c>
      <c r="E1453" s="14">
        <v>209.02629999999999</v>
      </c>
      <c r="F1453" s="7">
        <v>122003</v>
      </c>
      <c r="G1453" s="14">
        <v>1074.1396</v>
      </c>
      <c r="H1453" s="7">
        <v>1623728</v>
      </c>
      <c r="I1453" s="14">
        <v>1283.1659</v>
      </c>
      <c r="J1453" s="7">
        <v>1745731</v>
      </c>
    </row>
    <row r="1454" spans="1:10" x14ac:dyDescent="0.2">
      <c r="A1454" s="9">
        <v>46058</v>
      </c>
      <c r="B1454" s="4" t="s">
        <v>224</v>
      </c>
      <c r="C1454" s="8">
        <v>46054</v>
      </c>
      <c r="D1454" s="4" t="s">
        <v>196</v>
      </c>
      <c r="E1454" s="14">
        <v>168.70359999999999</v>
      </c>
      <c r="F1454" s="7">
        <v>99518</v>
      </c>
      <c r="G1454" s="14">
        <v>841.149</v>
      </c>
      <c r="H1454" s="7">
        <v>1276774</v>
      </c>
      <c r="I1454" s="14">
        <v>1009.8526000000001</v>
      </c>
      <c r="J1454" s="7">
        <v>1376292</v>
      </c>
    </row>
    <row r="1455" spans="1:10" x14ac:dyDescent="0.2">
      <c r="A1455" s="9">
        <v>46059</v>
      </c>
      <c r="B1455" s="4" t="s">
        <v>222</v>
      </c>
      <c r="C1455" s="8">
        <v>46054</v>
      </c>
      <c r="D1455" s="4" t="s">
        <v>196</v>
      </c>
      <c r="E1455" s="14">
        <v>208.029</v>
      </c>
      <c r="F1455" s="7">
        <v>122873</v>
      </c>
      <c r="G1455" s="14">
        <v>867.37329999999997</v>
      </c>
      <c r="H1455" s="7">
        <v>1324720</v>
      </c>
      <c r="I1455" s="14">
        <v>1075.4023</v>
      </c>
      <c r="J1455" s="7">
        <v>1447593</v>
      </c>
    </row>
    <row r="1456" spans="1:10" x14ac:dyDescent="0.2">
      <c r="A1456" s="9">
        <v>46062</v>
      </c>
      <c r="B1456" s="4" t="s">
        <v>225</v>
      </c>
      <c r="C1456" s="8">
        <v>46054</v>
      </c>
      <c r="D1456" s="4" t="s">
        <v>196</v>
      </c>
      <c r="E1456" s="14">
        <v>185.0814</v>
      </c>
      <c r="F1456" s="7">
        <v>107456</v>
      </c>
      <c r="G1456" s="14">
        <v>898.93499999999995</v>
      </c>
      <c r="H1456" s="7">
        <v>1325366</v>
      </c>
      <c r="I1456" s="14">
        <v>1084.0164</v>
      </c>
      <c r="J1456" s="7">
        <v>1432822</v>
      </c>
    </row>
    <row r="1457" spans="1:10" x14ac:dyDescent="0.2">
      <c r="A1457" s="9">
        <v>46063</v>
      </c>
      <c r="B1457" s="4" t="s">
        <v>223</v>
      </c>
      <c r="C1457" s="8">
        <v>46054</v>
      </c>
      <c r="D1457" s="4" t="s">
        <v>196</v>
      </c>
      <c r="E1457" s="14">
        <v>152.27160000000001</v>
      </c>
      <c r="F1457" s="7">
        <v>88659</v>
      </c>
      <c r="G1457" s="14">
        <v>861.53570000000002</v>
      </c>
      <c r="H1457" s="7">
        <v>1237116</v>
      </c>
      <c r="I1457" s="14">
        <v>1013.8073000000001</v>
      </c>
      <c r="J1457" s="7">
        <v>1325775</v>
      </c>
    </row>
    <row r="1458" spans="1:10" x14ac:dyDescent="0.2">
      <c r="A1458" s="9">
        <v>46064</v>
      </c>
      <c r="B1458" s="4" t="s">
        <v>221</v>
      </c>
      <c r="C1458" s="8">
        <v>46054</v>
      </c>
      <c r="D1458" s="4" t="s">
        <v>196</v>
      </c>
      <c r="E1458" s="14">
        <v>138.83860000000001</v>
      </c>
      <c r="F1458" s="7">
        <v>80737</v>
      </c>
      <c r="G1458" s="14">
        <v>955.97289999999998</v>
      </c>
      <c r="H1458" s="7">
        <v>1349246</v>
      </c>
      <c r="I1458" s="14">
        <v>1094.8115</v>
      </c>
      <c r="J1458" s="7">
        <v>1429983</v>
      </c>
    </row>
    <row r="1459" spans="1:10" x14ac:dyDescent="0.2">
      <c r="A1459" s="9">
        <v>46065</v>
      </c>
      <c r="B1459" s="4" t="s">
        <v>224</v>
      </c>
      <c r="C1459" s="8">
        <v>46054</v>
      </c>
      <c r="D1459" s="4" t="s">
        <v>196</v>
      </c>
      <c r="E1459" s="14">
        <v>162.53790000000001</v>
      </c>
      <c r="F1459" s="7">
        <v>94780</v>
      </c>
      <c r="G1459" s="14">
        <v>987.41589999999997</v>
      </c>
      <c r="H1459" s="7">
        <v>1447007</v>
      </c>
      <c r="I1459" s="14">
        <v>1149.9538</v>
      </c>
      <c r="J1459" s="7">
        <v>1541787</v>
      </c>
    </row>
    <row r="1460" spans="1:10" x14ac:dyDescent="0.2">
      <c r="A1460" s="9">
        <v>46066</v>
      </c>
      <c r="B1460" s="4" t="s">
        <v>222</v>
      </c>
      <c r="C1460" s="8">
        <v>46054</v>
      </c>
      <c r="D1460" s="4" t="s">
        <v>196</v>
      </c>
      <c r="E1460" s="14">
        <v>239.8708</v>
      </c>
      <c r="F1460" s="7">
        <v>141516</v>
      </c>
      <c r="G1460" s="14">
        <v>1055.1360999999999</v>
      </c>
      <c r="H1460" s="7">
        <v>1622371</v>
      </c>
      <c r="I1460" s="14">
        <v>1295.0069000000001</v>
      </c>
      <c r="J1460" s="7">
        <v>1763887</v>
      </c>
    </row>
    <row r="1461" spans="1:10" x14ac:dyDescent="0.2">
      <c r="A1461" s="9">
        <v>46069</v>
      </c>
      <c r="B1461" s="4" t="s">
        <v>225</v>
      </c>
      <c r="C1461" s="8">
        <v>46054</v>
      </c>
      <c r="D1461" s="4" t="s">
        <v>196</v>
      </c>
      <c r="E1461" s="14">
        <v>203.09950000000001</v>
      </c>
      <c r="F1461" s="7">
        <v>118697</v>
      </c>
      <c r="G1461" s="14">
        <v>824.61950000000002</v>
      </c>
      <c r="H1461" s="7">
        <v>1219236</v>
      </c>
      <c r="I1461" s="14">
        <v>1027.7190000000001</v>
      </c>
      <c r="J1461" s="7">
        <v>1337933</v>
      </c>
    </row>
    <row r="1462" spans="1:10" x14ac:dyDescent="0.2">
      <c r="A1462" s="9">
        <v>46070</v>
      </c>
      <c r="B1462" s="4" t="s">
        <v>223</v>
      </c>
      <c r="C1462" s="8">
        <v>46054</v>
      </c>
      <c r="D1462" s="4" t="s">
        <v>196</v>
      </c>
      <c r="E1462" s="14">
        <v>180.98410000000001</v>
      </c>
      <c r="F1462" s="7">
        <v>105750</v>
      </c>
      <c r="G1462" s="14">
        <v>1031.0646999999999</v>
      </c>
      <c r="H1462" s="7">
        <v>1536843</v>
      </c>
      <c r="I1462" s="14">
        <v>1212.0488</v>
      </c>
      <c r="J1462" s="7">
        <v>1642593</v>
      </c>
    </row>
    <row r="1463" spans="1:10" x14ac:dyDescent="0.2">
      <c r="A1463" s="9">
        <v>46071</v>
      </c>
      <c r="B1463" s="4" t="s">
        <v>221</v>
      </c>
      <c r="C1463" s="8">
        <v>46054</v>
      </c>
      <c r="D1463" s="4" t="s">
        <v>196</v>
      </c>
      <c r="E1463" s="14">
        <v>191.0591</v>
      </c>
      <c r="F1463" s="7">
        <v>111026</v>
      </c>
      <c r="G1463" s="14">
        <v>1402.2601</v>
      </c>
      <c r="H1463" s="7">
        <v>2090826</v>
      </c>
      <c r="I1463" s="14">
        <v>1593.3191999999999</v>
      </c>
      <c r="J1463" s="7">
        <v>2201852</v>
      </c>
    </row>
    <row r="1464" spans="1:10" x14ac:dyDescent="0.2">
      <c r="A1464" s="9">
        <v>46072</v>
      </c>
      <c r="B1464" s="4" t="s">
        <v>224</v>
      </c>
      <c r="C1464" s="8">
        <v>46054</v>
      </c>
      <c r="D1464" s="4" t="s">
        <v>196</v>
      </c>
      <c r="E1464" s="14">
        <v>357.24720000000002</v>
      </c>
      <c r="F1464" s="7">
        <v>209490</v>
      </c>
      <c r="G1464" s="14">
        <v>3228.6127000000001</v>
      </c>
      <c r="H1464" s="7">
        <v>4834112</v>
      </c>
      <c r="I1464" s="14">
        <v>3585.8598999999999</v>
      </c>
      <c r="J1464" s="7">
        <v>5043602</v>
      </c>
    </row>
    <row r="1465" spans="1:10" x14ac:dyDescent="0.2">
      <c r="A1465" s="9">
        <v>46073</v>
      </c>
      <c r="B1465" s="4" t="s">
        <v>222</v>
      </c>
      <c r="C1465" s="8">
        <v>46054</v>
      </c>
      <c r="D1465" s="4" t="s">
        <v>196</v>
      </c>
      <c r="E1465" s="14">
        <v>444.85489999999999</v>
      </c>
      <c r="F1465" s="7">
        <v>261522</v>
      </c>
      <c r="G1465" s="14">
        <v>3479.9522999999999</v>
      </c>
      <c r="H1465" s="7">
        <v>5204539</v>
      </c>
      <c r="I1465" s="14">
        <v>3924.8072000000002</v>
      </c>
      <c r="J1465" s="7">
        <v>5466061</v>
      </c>
    </row>
    <row r="1466" spans="1:10" x14ac:dyDescent="0.2">
      <c r="A1466" s="9">
        <v>46076</v>
      </c>
      <c r="B1466" s="4" t="s">
        <v>225</v>
      </c>
      <c r="C1466" s="8">
        <v>46054</v>
      </c>
      <c r="D1466" s="4" t="s">
        <v>196</v>
      </c>
      <c r="E1466" s="14">
        <v>494.22809999999998</v>
      </c>
      <c r="F1466" s="7">
        <v>291390</v>
      </c>
      <c r="G1466" s="14">
        <v>3266.4132</v>
      </c>
      <c r="H1466" s="7">
        <v>4868805</v>
      </c>
      <c r="I1466" s="14">
        <v>3760.6412999999998</v>
      </c>
      <c r="J1466" s="7">
        <v>5160195</v>
      </c>
    </row>
    <row r="1467" spans="1:10" x14ac:dyDescent="0.2">
      <c r="A1467" s="9">
        <v>46077</v>
      </c>
      <c r="B1467" s="4" t="s">
        <v>223</v>
      </c>
      <c r="C1467" s="8">
        <v>46054</v>
      </c>
      <c r="D1467" s="4" t="s">
        <v>196</v>
      </c>
      <c r="E1467" s="14">
        <v>493.99340000000001</v>
      </c>
      <c r="F1467" s="7">
        <v>290782</v>
      </c>
      <c r="G1467" s="14">
        <v>2493.701</v>
      </c>
      <c r="H1467" s="7">
        <v>3818932</v>
      </c>
      <c r="I1467" s="14">
        <v>2987.6943999999999</v>
      </c>
      <c r="J1467" s="7">
        <v>4109714</v>
      </c>
    </row>
    <row r="1468" spans="1:10" x14ac:dyDescent="0.2">
      <c r="A1468" s="9">
        <v>46078</v>
      </c>
      <c r="B1468" s="4" t="s">
        <v>221</v>
      </c>
      <c r="C1468" s="8">
        <v>46054</v>
      </c>
      <c r="D1468" s="4" t="s">
        <v>196</v>
      </c>
      <c r="E1468" s="14">
        <v>222.87350000000001</v>
      </c>
      <c r="F1468" s="7">
        <v>130585</v>
      </c>
      <c r="G1468" s="14">
        <v>869.0643</v>
      </c>
      <c r="H1468" s="7">
        <v>1288596</v>
      </c>
      <c r="I1468" s="14">
        <v>1091.9377999999999</v>
      </c>
      <c r="J1468" s="7">
        <v>1419181</v>
      </c>
    </row>
    <row r="1469" spans="1:10" x14ac:dyDescent="0.2">
      <c r="A1469" s="9">
        <v>46079</v>
      </c>
      <c r="B1469" s="4" t="s">
        <v>224</v>
      </c>
      <c r="C1469" s="8">
        <v>46054</v>
      </c>
      <c r="D1469" s="4" t="s">
        <v>196</v>
      </c>
      <c r="E1469" s="14">
        <v>149.74940000000001</v>
      </c>
      <c r="F1469" s="7">
        <v>87935</v>
      </c>
      <c r="G1469" s="14">
        <v>822.55430000000001</v>
      </c>
      <c r="H1469" s="7">
        <v>1187313</v>
      </c>
      <c r="I1469" s="14">
        <v>972.30370000000005</v>
      </c>
      <c r="J1469" s="7">
        <v>1275248</v>
      </c>
    </row>
    <row r="1470" spans="1:10" x14ac:dyDescent="0.2">
      <c r="A1470" s="9">
        <v>46080</v>
      </c>
      <c r="B1470" s="4" t="s">
        <v>222</v>
      </c>
      <c r="C1470" s="8">
        <v>46054</v>
      </c>
      <c r="D1470" s="4" t="s">
        <v>196</v>
      </c>
      <c r="E1470" s="14">
        <v>271.43920000000003</v>
      </c>
      <c r="F1470" s="7">
        <v>159597</v>
      </c>
      <c r="G1470" s="14">
        <v>843.2903</v>
      </c>
      <c r="H1470" s="7">
        <v>1241568</v>
      </c>
      <c r="I1470" s="14">
        <v>1114.7294999999999</v>
      </c>
      <c r="J1470" s="7">
        <v>1401165</v>
      </c>
    </row>
    <row r="1471" spans="1:10" x14ac:dyDescent="0.2">
      <c r="A1471" s="9">
        <v>46083</v>
      </c>
      <c r="B1471" s="4" t="s">
        <v>225</v>
      </c>
      <c r="C1471" s="8">
        <v>46082</v>
      </c>
      <c r="D1471" s="4" t="s">
        <v>196</v>
      </c>
      <c r="E1471" s="14">
        <v>373.91239999999999</v>
      </c>
      <c r="F1471" s="7">
        <v>224131</v>
      </c>
      <c r="G1471" s="14">
        <v>983.24120000000005</v>
      </c>
      <c r="H1471" s="7">
        <v>1454748</v>
      </c>
      <c r="I1471" s="14">
        <v>1357.1536000000001</v>
      </c>
      <c r="J1471" s="7">
        <v>1678879</v>
      </c>
    </row>
    <row r="1472" spans="1:10" x14ac:dyDescent="0.2">
      <c r="A1472" s="9">
        <v>46085</v>
      </c>
      <c r="B1472" s="4" t="s">
        <v>221</v>
      </c>
      <c r="C1472" s="8">
        <v>46082</v>
      </c>
      <c r="D1472" s="4" t="s">
        <v>196</v>
      </c>
      <c r="E1472" s="14">
        <v>420.19130000000001</v>
      </c>
      <c r="F1472" s="7">
        <v>256953</v>
      </c>
      <c r="G1472" s="14">
        <v>1029.5962999999999</v>
      </c>
      <c r="H1472" s="7">
        <v>1539061</v>
      </c>
      <c r="I1472" s="14">
        <v>1449.7876000000001</v>
      </c>
      <c r="J1472" s="7">
        <v>1796014</v>
      </c>
    </row>
    <row r="1473" spans="1:10" x14ac:dyDescent="0.2">
      <c r="A1473" s="9">
        <v>46086</v>
      </c>
      <c r="B1473" s="4" t="s">
        <v>224</v>
      </c>
      <c r="C1473" s="8">
        <v>46082</v>
      </c>
      <c r="D1473" s="4" t="s">
        <v>196</v>
      </c>
      <c r="E1473" s="14">
        <v>317.48790000000002</v>
      </c>
      <c r="F1473" s="7">
        <v>191938</v>
      </c>
      <c r="G1473" s="14">
        <v>1009.9038</v>
      </c>
      <c r="H1473" s="7">
        <v>1503768</v>
      </c>
      <c r="I1473" s="14">
        <v>1327.3916999999999</v>
      </c>
      <c r="J1473" s="7">
        <v>1695706</v>
      </c>
    </row>
    <row r="1474" spans="1:10" x14ac:dyDescent="0.2">
      <c r="A1474" s="9">
        <v>46087</v>
      </c>
      <c r="B1474" s="4" t="s">
        <v>222</v>
      </c>
      <c r="C1474" s="8">
        <v>46082</v>
      </c>
      <c r="D1474" s="4" t="s">
        <v>196</v>
      </c>
      <c r="E1474" s="14">
        <v>268.21589999999998</v>
      </c>
      <c r="F1474" s="7">
        <v>162156</v>
      </c>
      <c r="G1474" s="14">
        <v>855.30529999999999</v>
      </c>
      <c r="H1474" s="7">
        <v>1301981</v>
      </c>
      <c r="I1474" s="14">
        <v>1123.5211999999999</v>
      </c>
      <c r="J1474" s="7">
        <v>1464137</v>
      </c>
    </row>
    <row r="1475" spans="1:10" x14ac:dyDescent="0.2">
      <c r="A1475" s="9">
        <v>46090</v>
      </c>
      <c r="B1475" s="4" t="s">
        <v>225</v>
      </c>
      <c r="C1475" s="8">
        <v>46082</v>
      </c>
      <c r="D1475" s="4" t="s">
        <v>196</v>
      </c>
      <c r="E1475" s="14">
        <v>464.81229999999999</v>
      </c>
      <c r="F1475" s="7">
        <v>291723</v>
      </c>
      <c r="G1475" s="14">
        <v>1047.9555</v>
      </c>
      <c r="H1475" s="7">
        <v>1610372</v>
      </c>
      <c r="I1475" s="14">
        <v>1512.7678000000001</v>
      </c>
      <c r="J1475" s="7">
        <v>1902095</v>
      </c>
    </row>
    <row r="1476" spans="1:10" x14ac:dyDescent="0.2">
      <c r="A1476" s="9">
        <v>46091</v>
      </c>
      <c r="B1476" s="4" t="s">
        <v>223</v>
      </c>
      <c r="C1476" s="8">
        <v>46082</v>
      </c>
      <c r="D1476" s="4" t="s">
        <v>196</v>
      </c>
      <c r="E1476" s="14">
        <v>284.63470000000001</v>
      </c>
      <c r="F1476" s="7">
        <v>176047</v>
      </c>
      <c r="G1476" s="14">
        <v>878.69579999999996</v>
      </c>
      <c r="H1476" s="7">
        <v>1333320</v>
      </c>
      <c r="I1476" s="14">
        <v>1163.3305</v>
      </c>
      <c r="J1476" s="7">
        <v>1509367</v>
      </c>
    </row>
    <row r="1477" spans="1:10" x14ac:dyDescent="0.2">
      <c r="A1477" s="9">
        <v>46092</v>
      </c>
      <c r="B1477" s="4" t="s">
        <v>221</v>
      </c>
      <c r="C1477" s="8">
        <v>46082</v>
      </c>
      <c r="D1477" s="4" t="s">
        <v>196</v>
      </c>
      <c r="E1477" s="14">
        <v>339.60660000000001</v>
      </c>
      <c r="F1477" s="7">
        <v>211678</v>
      </c>
      <c r="G1477" s="14">
        <v>827.65239999999994</v>
      </c>
      <c r="H1477" s="7">
        <v>1264363</v>
      </c>
      <c r="I1477" s="14">
        <v>1167.259</v>
      </c>
      <c r="J1477" s="7">
        <v>1476041</v>
      </c>
    </row>
    <row r="1478" spans="1:10" x14ac:dyDescent="0.2">
      <c r="A1478" s="9">
        <v>46093</v>
      </c>
      <c r="B1478" s="4" t="s">
        <v>224</v>
      </c>
      <c r="C1478" s="8">
        <v>46082</v>
      </c>
      <c r="D1478" s="4" t="s">
        <v>196</v>
      </c>
      <c r="E1478" s="14">
        <v>353.58109999999999</v>
      </c>
      <c r="F1478" s="7">
        <v>224242</v>
      </c>
      <c r="G1478" s="14">
        <v>903.84929999999997</v>
      </c>
      <c r="H1478" s="7">
        <v>1417217</v>
      </c>
      <c r="I1478" s="14">
        <v>1257.4304</v>
      </c>
      <c r="J1478" s="7">
        <v>1641459</v>
      </c>
    </row>
    <row r="1479" spans="1:10" x14ac:dyDescent="0.2">
      <c r="A1479" s="9">
        <v>46094</v>
      </c>
      <c r="B1479" s="4" t="s">
        <v>222</v>
      </c>
      <c r="C1479" s="8">
        <v>46082</v>
      </c>
      <c r="D1479" s="4" t="s">
        <v>196</v>
      </c>
      <c r="E1479" s="14">
        <v>448.90010000000001</v>
      </c>
      <c r="F1479" s="7">
        <v>290352</v>
      </c>
      <c r="G1479" s="14">
        <v>1001.7817</v>
      </c>
      <c r="H1479" s="7">
        <v>1600999</v>
      </c>
      <c r="I1479" s="14">
        <v>1450.6818000000001</v>
      </c>
      <c r="J1479" s="7">
        <v>1891351</v>
      </c>
    </row>
    <row r="1480" spans="1:10" x14ac:dyDescent="0.2">
      <c r="A1480" s="9">
        <v>46097</v>
      </c>
      <c r="B1480" s="4" t="s">
        <v>225</v>
      </c>
      <c r="C1480" s="8">
        <v>46082</v>
      </c>
      <c r="D1480" s="4" t="s">
        <v>196</v>
      </c>
      <c r="E1480" s="14">
        <v>424.93509999999998</v>
      </c>
      <c r="F1480" s="7">
        <v>275679</v>
      </c>
      <c r="G1480" s="14">
        <v>947.01009999999997</v>
      </c>
      <c r="H1480" s="7">
        <v>1526685</v>
      </c>
      <c r="I1480" s="14">
        <v>1371.9452000000001</v>
      </c>
      <c r="J1480" s="7">
        <v>1802364</v>
      </c>
    </row>
    <row r="1481" spans="1:10" x14ac:dyDescent="0.2">
      <c r="A1481" s="9">
        <v>46098</v>
      </c>
      <c r="B1481" s="4" t="s">
        <v>223</v>
      </c>
      <c r="C1481" s="8">
        <v>46082</v>
      </c>
      <c r="D1481" s="4" t="s">
        <v>196</v>
      </c>
      <c r="E1481" s="14">
        <v>292.3999</v>
      </c>
      <c r="F1481" s="7">
        <v>187852</v>
      </c>
      <c r="G1481" s="14">
        <v>794.71529999999996</v>
      </c>
      <c r="H1481" s="7">
        <v>1281063</v>
      </c>
      <c r="I1481" s="14">
        <v>1087.1152</v>
      </c>
      <c r="J1481" s="7">
        <v>1468915</v>
      </c>
    </row>
    <row r="1482" spans="1:10" x14ac:dyDescent="0.2">
      <c r="A1482" s="9">
        <v>46099</v>
      </c>
      <c r="B1482" s="4" t="s">
        <v>221</v>
      </c>
      <c r="C1482" s="8">
        <v>46082</v>
      </c>
      <c r="D1482" s="4" t="s">
        <v>196</v>
      </c>
      <c r="E1482" s="14">
        <v>286.70639999999997</v>
      </c>
      <c r="F1482" s="7">
        <v>181774</v>
      </c>
      <c r="G1482" s="14">
        <v>871.83519999999999</v>
      </c>
      <c r="H1482" s="7">
        <v>1392063</v>
      </c>
      <c r="I1482" s="14">
        <v>1158.5416</v>
      </c>
      <c r="J1482" s="7">
        <v>1573837</v>
      </c>
    </row>
    <row r="1483" spans="1:10" x14ac:dyDescent="0.2">
      <c r="A1483" s="9">
        <v>46100</v>
      </c>
      <c r="B1483" s="4" t="s">
        <v>224</v>
      </c>
      <c r="C1483" s="8">
        <v>46082</v>
      </c>
      <c r="D1483" s="4" t="s">
        <v>196</v>
      </c>
      <c r="E1483" s="14">
        <v>410.60480000000001</v>
      </c>
      <c r="F1483" s="7">
        <v>266632</v>
      </c>
      <c r="G1483" s="14">
        <v>1055.3082999999999</v>
      </c>
      <c r="H1483" s="7">
        <v>1740939</v>
      </c>
      <c r="I1483" s="14">
        <v>1465.9131</v>
      </c>
      <c r="J1483" s="7">
        <v>2007571</v>
      </c>
    </row>
    <row r="1484" spans="1:10" x14ac:dyDescent="0.2">
      <c r="A1484" s="9">
        <v>46101</v>
      </c>
      <c r="B1484" s="4" t="s">
        <v>222</v>
      </c>
      <c r="C1484" s="8">
        <v>46082</v>
      </c>
      <c r="D1484" s="4" t="s">
        <v>196</v>
      </c>
      <c r="E1484" s="14">
        <v>369.25909999999999</v>
      </c>
      <c r="F1484" s="7">
        <v>239876</v>
      </c>
      <c r="G1484" s="14">
        <v>1042.5066999999999</v>
      </c>
      <c r="H1484" s="7">
        <v>1685637</v>
      </c>
      <c r="I1484" s="14">
        <v>1411.7657999999999</v>
      </c>
      <c r="J1484" s="7">
        <v>1925513</v>
      </c>
    </row>
    <row r="1485" spans="1:10" x14ac:dyDescent="0.2">
      <c r="A1485" s="9">
        <v>46104</v>
      </c>
      <c r="B1485" s="4" t="s">
        <v>225</v>
      </c>
      <c r="C1485" s="8">
        <v>46082</v>
      </c>
      <c r="D1485" s="4" t="s">
        <v>196</v>
      </c>
      <c r="E1485" s="14">
        <v>392.90249999999997</v>
      </c>
      <c r="F1485" s="7">
        <v>263272</v>
      </c>
      <c r="G1485" s="14">
        <v>1187.5854999999999</v>
      </c>
      <c r="H1485" s="7">
        <v>2014155</v>
      </c>
      <c r="I1485" s="14">
        <v>1580.4880000000001</v>
      </c>
      <c r="J1485" s="7">
        <v>2277427</v>
      </c>
    </row>
    <row r="1486" spans="1:10" x14ac:dyDescent="0.2">
      <c r="A1486" s="9">
        <v>46105</v>
      </c>
      <c r="B1486" s="4" t="s">
        <v>223</v>
      </c>
      <c r="C1486" s="8">
        <v>46082</v>
      </c>
      <c r="D1486" s="4" t="s">
        <v>196</v>
      </c>
      <c r="E1486" s="14">
        <v>513.73329999999999</v>
      </c>
      <c r="F1486" s="7">
        <v>340303</v>
      </c>
      <c r="G1486" s="14">
        <v>3148.4213</v>
      </c>
      <c r="H1486" s="7">
        <v>5291892</v>
      </c>
      <c r="I1486" s="14">
        <v>3662.1545999999998</v>
      </c>
      <c r="J1486" s="7">
        <v>5632195</v>
      </c>
    </row>
    <row r="1487" spans="1:10" x14ac:dyDescent="0.2">
      <c r="A1487" s="9">
        <v>46106</v>
      </c>
      <c r="B1487" s="4" t="s">
        <v>221</v>
      </c>
      <c r="C1487" s="8">
        <v>46082</v>
      </c>
      <c r="D1487" s="4" t="s">
        <v>196</v>
      </c>
      <c r="E1487" s="14">
        <v>471.65</v>
      </c>
      <c r="F1487" s="7">
        <v>306185</v>
      </c>
      <c r="G1487" s="14">
        <v>3637.4679999999998</v>
      </c>
      <c r="H1487" s="7">
        <v>5989780</v>
      </c>
      <c r="I1487" s="14">
        <v>4109.1180000000004</v>
      </c>
      <c r="J1487" s="7">
        <v>6295965</v>
      </c>
    </row>
    <row r="1488" spans="1:10" x14ac:dyDescent="0.2">
      <c r="A1488" s="9">
        <v>46108</v>
      </c>
      <c r="B1488" s="4" t="s">
        <v>222</v>
      </c>
      <c r="C1488" s="8">
        <v>46082</v>
      </c>
      <c r="D1488" s="4" t="s">
        <v>196</v>
      </c>
      <c r="E1488" s="14">
        <v>670.30269999999996</v>
      </c>
      <c r="F1488" s="7">
        <v>442990</v>
      </c>
      <c r="G1488" s="14">
        <v>3433.3173999999999</v>
      </c>
      <c r="H1488" s="7">
        <v>5698327</v>
      </c>
      <c r="I1488" s="14">
        <v>4103.6201000000001</v>
      </c>
      <c r="J1488" s="7">
        <v>6141317</v>
      </c>
    </row>
    <row r="1489" spans="1:10" x14ac:dyDescent="0.2">
      <c r="A1489" s="9">
        <v>46111</v>
      </c>
      <c r="B1489" s="4" t="s">
        <v>225</v>
      </c>
      <c r="C1489" s="8">
        <v>46082</v>
      </c>
      <c r="D1489" s="4" t="s">
        <v>196</v>
      </c>
      <c r="E1489" s="14">
        <v>765.58640000000003</v>
      </c>
      <c r="F1489" s="7">
        <v>516976</v>
      </c>
      <c r="G1489" s="14">
        <v>2436.2788</v>
      </c>
      <c r="H1489" s="7">
        <v>4124743</v>
      </c>
      <c r="I1489" s="14">
        <v>3201.8652000000002</v>
      </c>
      <c r="J1489" s="7">
        <v>4641719</v>
      </c>
    </row>
    <row r="1490" spans="1:10" x14ac:dyDescent="0.2">
      <c r="A1490" s="9">
        <v>46113</v>
      </c>
      <c r="B1490" s="4" t="s">
        <v>221</v>
      </c>
      <c r="C1490" s="8">
        <v>46113</v>
      </c>
      <c r="D1490" s="4" t="s">
        <v>197</v>
      </c>
      <c r="E1490" s="14">
        <v>347.38490000000002</v>
      </c>
      <c r="F1490" s="7">
        <v>230291</v>
      </c>
      <c r="G1490" s="14">
        <v>842.20060000000001</v>
      </c>
      <c r="H1490" s="7">
        <v>1376185</v>
      </c>
      <c r="I1490" s="14">
        <v>1189.5854999999999</v>
      </c>
      <c r="J1490" s="7">
        <v>1606476</v>
      </c>
    </row>
    <row r="1491" spans="1:10" x14ac:dyDescent="0.2">
      <c r="A1491" s="9">
        <v>46114</v>
      </c>
      <c r="B1491" s="4" t="s">
        <v>224</v>
      </c>
      <c r="C1491" s="8">
        <v>46113</v>
      </c>
      <c r="D1491" s="4" t="s">
        <v>197</v>
      </c>
      <c r="E1491" s="14">
        <v>330.95139999999998</v>
      </c>
      <c r="F1491" s="7">
        <v>223113</v>
      </c>
      <c r="G1491" s="14">
        <v>771.76289999999995</v>
      </c>
      <c r="H1491" s="7">
        <v>1284466</v>
      </c>
      <c r="I1491" s="14">
        <v>1102.7143000000001</v>
      </c>
      <c r="J1491" s="7">
        <v>1507579</v>
      </c>
    </row>
    <row r="1492" spans="1:10" x14ac:dyDescent="0.2">
      <c r="A1492" s="9">
        <v>46118</v>
      </c>
      <c r="B1492" s="4" t="s">
        <v>225</v>
      </c>
      <c r="C1492" s="8">
        <v>46113</v>
      </c>
      <c r="D1492" s="4" t="s">
        <v>197</v>
      </c>
      <c r="E1492" s="14">
        <v>275.2208</v>
      </c>
      <c r="F1492" s="7">
        <v>182716</v>
      </c>
      <c r="G1492" s="14">
        <v>734.20920000000001</v>
      </c>
      <c r="H1492" s="7">
        <v>1191035</v>
      </c>
      <c r="I1492" s="14">
        <v>1009.43</v>
      </c>
      <c r="J1492" s="7">
        <v>1373751</v>
      </c>
    </row>
    <row r="1493" spans="1:10" x14ac:dyDescent="0.2">
      <c r="A1493" s="9">
        <v>46119</v>
      </c>
      <c r="B1493" s="4" t="s">
        <v>223</v>
      </c>
      <c r="C1493" s="8">
        <v>46113</v>
      </c>
      <c r="D1493" s="4" t="s">
        <v>197</v>
      </c>
      <c r="E1493" s="14">
        <v>251.81610000000001</v>
      </c>
      <c r="F1493" s="7">
        <v>166298</v>
      </c>
      <c r="G1493" s="14">
        <v>669.54930000000002</v>
      </c>
      <c r="H1493" s="7">
        <v>1079621</v>
      </c>
      <c r="I1493" s="14">
        <v>921.36540000000002</v>
      </c>
      <c r="J1493" s="7">
        <v>1245919</v>
      </c>
    </row>
    <row r="1494" spans="1:10" x14ac:dyDescent="0.2">
      <c r="A1494" s="9">
        <v>46120</v>
      </c>
      <c r="B1494" s="4" t="s">
        <v>221</v>
      </c>
      <c r="C1494" s="8">
        <v>46113</v>
      </c>
      <c r="D1494" s="4" t="s">
        <v>197</v>
      </c>
      <c r="E1494" s="14">
        <v>330.4504</v>
      </c>
      <c r="F1494" s="7">
        <v>207806</v>
      </c>
      <c r="G1494" s="14">
        <v>1124.895</v>
      </c>
      <c r="H1494" s="7">
        <v>1740488</v>
      </c>
      <c r="I1494" s="14">
        <v>1455.3453999999999</v>
      </c>
      <c r="J1494" s="7">
        <v>1948294</v>
      </c>
    </row>
    <row r="1495" spans="1:10" x14ac:dyDescent="0.2">
      <c r="A1495" s="9">
        <v>46121</v>
      </c>
      <c r="B1495" s="4" t="s">
        <v>224</v>
      </c>
      <c r="C1495" s="8">
        <v>46113</v>
      </c>
      <c r="D1495" s="4" t="s">
        <v>197</v>
      </c>
      <c r="E1495" s="14">
        <v>232.27619999999999</v>
      </c>
      <c r="F1495" s="7">
        <v>146587</v>
      </c>
      <c r="G1495" s="14">
        <v>777.79349999999999</v>
      </c>
      <c r="H1495" s="7">
        <v>1224602</v>
      </c>
      <c r="I1495" s="14">
        <v>1010.0697</v>
      </c>
      <c r="J1495" s="7">
        <v>1371189</v>
      </c>
    </row>
    <row r="1496" spans="1:10" x14ac:dyDescent="0.2">
      <c r="A1496" s="9">
        <v>46122</v>
      </c>
      <c r="B1496" s="4" t="s">
        <v>222</v>
      </c>
      <c r="C1496" s="8">
        <v>46113</v>
      </c>
      <c r="D1496" s="4" t="s">
        <v>197</v>
      </c>
      <c r="E1496" s="14">
        <v>226.74209999999999</v>
      </c>
      <c r="F1496" s="7">
        <v>141903</v>
      </c>
      <c r="G1496" s="14">
        <v>798.95320000000004</v>
      </c>
      <c r="H1496" s="7">
        <v>1251194</v>
      </c>
      <c r="I1496" s="14">
        <v>1025.6953000000001</v>
      </c>
      <c r="J1496" s="7">
        <v>1393097</v>
      </c>
    </row>
    <row r="1497" spans="1:10" x14ac:dyDescent="0.2">
      <c r="A1497" s="9">
        <v>46125</v>
      </c>
      <c r="B1497" s="4" t="s">
        <v>225</v>
      </c>
      <c r="C1497" s="8">
        <v>46113</v>
      </c>
      <c r="D1497" s="4" t="s">
        <v>197</v>
      </c>
      <c r="E1497" s="14">
        <v>220.53309999999999</v>
      </c>
      <c r="F1497" s="7">
        <v>139682</v>
      </c>
      <c r="G1497" s="14">
        <v>775.85730000000001</v>
      </c>
      <c r="H1497" s="7">
        <v>1187281</v>
      </c>
      <c r="I1497" s="14">
        <v>996.3904</v>
      </c>
      <c r="J1497" s="7">
        <v>1326963</v>
      </c>
    </row>
    <row r="1498" spans="1:10" x14ac:dyDescent="0.2">
      <c r="A1498" s="9">
        <v>46127</v>
      </c>
      <c r="B1498" s="4" t="s">
        <v>221</v>
      </c>
      <c r="C1498" s="8">
        <v>46113</v>
      </c>
      <c r="D1498" s="4" t="s">
        <v>197</v>
      </c>
      <c r="E1498" s="14">
        <v>190.16149999999999</v>
      </c>
      <c r="F1498" s="7">
        <v>117749</v>
      </c>
      <c r="G1498" s="14">
        <v>901.94</v>
      </c>
      <c r="H1498" s="7">
        <v>1371950</v>
      </c>
      <c r="I1498" s="14">
        <v>1092.1015</v>
      </c>
      <c r="J1498" s="7">
        <v>1489699</v>
      </c>
    </row>
    <row r="1499" spans="1:10" x14ac:dyDescent="0.2">
      <c r="A1499" s="9">
        <v>46128</v>
      </c>
      <c r="B1499" s="4" t="s">
        <v>224</v>
      </c>
      <c r="C1499" s="8">
        <v>46113</v>
      </c>
      <c r="D1499" s="4" t="s">
        <v>197</v>
      </c>
      <c r="E1499" s="14">
        <v>190.48009999999999</v>
      </c>
      <c r="F1499" s="7">
        <v>118220</v>
      </c>
      <c r="G1499" s="14">
        <v>951.90039999999999</v>
      </c>
      <c r="H1499" s="7">
        <v>1480376</v>
      </c>
      <c r="I1499" s="14">
        <v>1142.3805</v>
      </c>
      <c r="J1499" s="7">
        <v>1598596</v>
      </c>
    </row>
    <row r="1500" spans="1:10" x14ac:dyDescent="0.2">
      <c r="A1500" s="9">
        <v>46129</v>
      </c>
      <c r="B1500" s="4" t="s">
        <v>222</v>
      </c>
      <c r="C1500" s="8">
        <v>46113</v>
      </c>
      <c r="D1500" s="4" t="s">
        <v>197</v>
      </c>
      <c r="E1500" s="14">
        <v>150.7355</v>
      </c>
      <c r="F1500" s="7">
        <v>93246</v>
      </c>
      <c r="G1500" s="14">
        <v>967.02850000000001</v>
      </c>
      <c r="H1500" s="7">
        <v>1474635</v>
      </c>
      <c r="I1500" s="14">
        <v>1117.7639999999999</v>
      </c>
      <c r="J1500" s="7">
        <v>1567881</v>
      </c>
    </row>
    <row r="1501" spans="1:10" x14ac:dyDescent="0.2">
      <c r="A1501" s="9">
        <v>46132</v>
      </c>
      <c r="B1501" s="4" t="s">
        <v>225</v>
      </c>
      <c r="C1501" s="8">
        <v>46113</v>
      </c>
      <c r="D1501" s="4" t="s">
        <v>197</v>
      </c>
      <c r="E1501" s="14">
        <v>210.98179999999999</v>
      </c>
      <c r="F1501" s="7">
        <v>129744</v>
      </c>
      <c r="G1501" s="14">
        <v>925.29470000000003</v>
      </c>
      <c r="H1501" s="7">
        <v>1414649</v>
      </c>
      <c r="I1501" s="14">
        <v>1136.2764999999999</v>
      </c>
      <c r="J1501" s="7">
        <v>1544393</v>
      </c>
    </row>
    <row r="1502" spans="1:10" x14ac:dyDescent="0.2">
      <c r="A1502" s="9">
        <v>46133</v>
      </c>
      <c r="B1502" s="4" t="s">
        <v>223</v>
      </c>
      <c r="C1502" s="8">
        <v>46113</v>
      </c>
      <c r="D1502" s="4" t="s">
        <v>197</v>
      </c>
      <c r="E1502" s="14">
        <v>189.4427</v>
      </c>
      <c r="F1502" s="7">
        <v>115833</v>
      </c>
      <c r="G1502" s="14">
        <v>1005.4303</v>
      </c>
      <c r="H1502" s="7">
        <v>1537003</v>
      </c>
      <c r="I1502" s="14">
        <v>1194.873</v>
      </c>
      <c r="J1502" s="7">
        <v>1652836</v>
      </c>
    </row>
    <row r="1503" spans="1:10" x14ac:dyDescent="0.2">
      <c r="A1503" s="9">
        <v>46134</v>
      </c>
      <c r="B1503" s="4" t="s">
        <v>221</v>
      </c>
      <c r="C1503" s="8">
        <v>46113</v>
      </c>
      <c r="D1503" s="4" t="s">
        <v>197</v>
      </c>
      <c r="E1503" s="14">
        <v>178.14009999999999</v>
      </c>
      <c r="F1503" s="7">
        <v>109318</v>
      </c>
      <c r="G1503" s="14">
        <v>1383.9521999999999</v>
      </c>
      <c r="H1503" s="7">
        <v>2140880</v>
      </c>
      <c r="I1503" s="14">
        <v>1562.0923</v>
      </c>
      <c r="J1503" s="7">
        <v>2250198</v>
      </c>
    </row>
    <row r="1504" spans="1:10" x14ac:dyDescent="0.2">
      <c r="A1504" s="9">
        <v>46135</v>
      </c>
      <c r="B1504" s="4" t="s">
        <v>224</v>
      </c>
      <c r="C1504" s="8">
        <v>46113</v>
      </c>
      <c r="D1504" s="4" t="s">
        <v>197</v>
      </c>
      <c r="E1504" s="14">
        <v>292.36099999999999</v>
      </c>
      <c r="F1504" s="7">
        <v>181696</v>
      </c>
      <c r="G1504" s="14">
        <v>3155.5585999999998</v>
      </c>
      <c r="H1504" s="7">
        <v>4916597</v>
      </c>
      <c r="I1504" s="14">
        <v>3447.9196000000002</v>
      </c>
      <c r="J1504" s="7">
        <v>5098293</v>
      </c>
    </row>
    <row r="1505" spans="1:10" x14ac:dyDescent="0.2">
      <c r="A1505" s="9">
        <v>46136</v>
      </c>
      <c r="B1505" s="4" t="s">
        <v>222</v>
      </c>
      <c r="C1505" s="8">
        <v>46113</v>
      </c>
      <c r="D1505" s="4" t="s">
        <v>197</v>
      </c>
      <c r="E1505" s="14">
        <v>359.93270000000001</v>
      </c>
      <c r="F1505" s="7">
        <v>225662</v>
      </c>
      <c r="G1505" s="14">
        <v>3340.5596</v>
      </c>
      <c r="H1505" s="7">
        <v>5271504</v>
      </c>
      <c r="I1505" s="14">
        <v>3700.4922999999999</v>
      </c>
      <c r="J1505" s="7">
        <v>5497166</v>
      </c>
    </row>
    <row r="1506" spans="1:10" x14ac:dyDescent="0.2">
      <c r="A1506" s="9">
        <v>46139</v>
      </c>
      <c r="B1506" s="4" t="s">
        <v>225</v>
      </c>
      <c r="C1506" s="8">
        <v>46113</v>
      </c>
      <c r="D1506" s="4" t="s">
        <v>197</v>
      </c>
      <c r="E1506" s="14">
        <v>413.97739999999999</v>
      </c>
      <c r="F1506" s="7">
        <v>259217</v>
      </c>
      <c r="G1506" s="14">
        <v>3160.0214999999998</v>
      </c>
      <c r="H1506" s="7">
        <v>4901362</v>
      </c>
      <c r="I1506" s="14">
        <v>3573.9989</v>
      </c>
      <c r="J1506" s="7">
        <v>5160579</v>
      </c>
    </row>
    <row r="1507" spans="1:10" x14ac:dyDescent="0.2">
      <c r="A1507" s="9">
        <v>46140</v>
      </c>
      <c r="B1507" s="4" t="s">
        <v>223</v>
      </c>
      <c r="C1507" s="8">
        <v>46113</v>
      </c>
      <c r="D1507" s="4" t="s">
        <v>197</v>
      </c>
      <c r="E1507" s="14">
        <v>365.95499999999998</v>
      </c>
      <c r="F1507" s="7">
        <v>228248</v>
      </c>
      <c r="G1507" s="14">
        <v>2240.1639</v>
      </c>
      <c r="H1507" s="7">
        <v>3387570</v>
      </c>
      <c r="I1507" s="14">
        <v>2606.1188999999999</v>
      </c>
      <c r="J1507" s="7">
        <v>3615818</v>
      </c>
    </row>
    <row r="1508" spans="1:10" x14ac:dyDescent="0.2">
      <c r="A1508" s="9">
        <v>46141</v>
      </c>
      <c r="B1508" s="4" t="s">
        <v>221</v>
      </c>
      <c r="C1508" s="8">
        <v>46113</v>
      </c>
      <c r="D1508" s="4" t="s">
        <v>197</v>
      </c>
      <c r="E1508" s="14">
        <v>220.36060000000001</v>
      </c>
      <c r="F1508" s="7">
        <v>136670</v>
      </c>
      <c r="G1508" s="14">
        <v>848.11350000000004</v>
      </c>
      <c r="H1508" s="7">
        <v>1271050</v>
      </c>
      <c r="I1508" s="14">
        <v>1068.4740999999999</v>
      </c>
      <c r="J1508" s="7">
        <v>1407720</v>
      </c>
    </row>
    <row r="1509" spans="1:10" x14ac:dyDescent="0.2">
      <c r="A1509" s="9">
        <v>46142</v>
      </c>
      <c r="B1509" s="4" t="s">
        <v>224</v>
      </c>
      <c r="C1509" s="8">
        <v>46113</v>
      </c>
      <c r="D1509" s="4" t="s">
        <v>197</v>
      </c>
      <c r="E1509" s="14">
        <v>235.53059999999999</v>
      </c>
      <c r="F1509" s="7">
        <v>148405</v>
      </c>
      <c r="G1509" s="14">
        <v>865.67139999999995</v>
      </c>
      <c r="H1509" s="7">
        <v>1332321</v>
      </c>
      <c r="I1509" s="14">
        <v>1101.202</v>
      </c>
      <c r="J1509" s="7">
        <v>1480726</v>
      </c>
    </row>
    <row r="1510" spans="1:10" x14ac:dyDescent="0.2">
      <c r="A1510" s="9">
        <v>46146</v>
      </c>
      <c r="B1510" s="4" t="s">
        <v>225</v>
      </c>
      <c r="C1510" s="8">
        <v>46143</v>
      </c>
      <c r="D1510" s="4" t="s">
        <v>197</v>
      </c>
      <c r="E1510" s="14">
        <v>191.19669999999999</v>
      </c>
      <c r="F1510" s="7">
        <v>119169</v>
      </c>
      <c r="G1510" s="14">
        <v>887.33709999999996</v>
      </c>
      <c r="H1510" s="7">
        <v>1302650</v>
      </c>
      <c r="I1510" s="14">
        <v>1078.5337999999999</v>
      </c>
      <c r="J1510" s="7">
        <v>1421819</v>
      </c>
    </row>
    <row r="1511" spans="1:10" x14ac:dyDescent="0.2">
      <c r="A1511" s="9">
        <v>46147</v>
      </c>
      <c r="B1511" s="4" t="s">
        <v>223</v>
      </c>
      <c r="C1511" s="8">
        <v>46143</v>
      </c>
      <c r="D1511" s="4" t="s">
        <v>197</v>
      </c>
      <c r="E1511" s="14">
        <v>167.9639</v>
      </c>
      <c r="F1511" s="7">
        <v>105592</v>
      </c>
      <c r="G1511" s="14">
        <v>717.14110000000005</v>
      </c>
      <c r="H1511" s="7">
        <v>1075249</v>
      </c>
      <c r="I1511" s="14">
        <v>885.10500000000002</v>
      </c>
      <c r="J1511" s="7">
        <v>1180841</v>
      </c>
    </row>
    <row r="1512" spans="1:10" x14ac:dyDescent="0.2">
      <c r="A1512" s="9">
        <v>46148</v>
      </c>
      <c r="B1512" s="4" t="s">
        <v>221</v>
      </c>
      <c r="C1512" s="8">
        <v>46143</v>
      </c>
      <c r="D1512" s="4" t="s">
        <v>197</v>
      </c>
      <c r="E1512" s="14">
        <v>279.57589999999999</v>
      </c>
      <c r="F1512" s="7">
        <v>173147</v>
      </c>
      <c r="G1512" s="14">
        <v>1023.2605</v>
      </c>
      <c r="H1512" s="7">
        <v>1545548</v>
      </c>
      <c r="I1512" s="14">
        <v>1302.8363999999999</v>
      </c>
      <c r="J1512" s="7">
        <v>1718695</v>
      </c>
    </row>
    <row r="1513" spans="1:10" x14ac:dyDescent="0.2">
      <c r="A1513" s="9">
        <v>46149</v>
      </c>
      <c r="B1513" s="4" t="s">
        <v>224</v>
      </c>
      <c r="C1513" s="8">
        <v>46143</v>
      </c>
      <c r="D1513" s="4" t="s">
        <v>197</v>
      </c>
      <c r="E1513" s="14">
        <v>181.309</v>
      </c>
      <c r="F1513" s="7">
        <v>111599</v>
      </c>
      <c r="G1513" s="14">
        <v>879.60090000000002</v>
      </c>
      <c r="H1513" s="7">
        <v>1291163</v>
      </c>
      <c r="I1513" s="14">
        <v>1060.9099000000001</v>
      </c>
      <c r="J1513" s="7">
        <v>1402762</v>
      </c>
    </row>
    <row r="1514" spans="1:10" x14ac:dyDescent="0.2">
      <c r="A1514" s="9">
        <v>46150</v>
      </c>
      <c r="B1514" s="4" t="s">
        <v>222</v>
      </c>
      <c r="C1514" s="8">
        <v>46143</v>
      </c>
      <c r="D1514" s="4" t="s">
        <v>197</v>
      </c>
      <c r="E1514" s="14">
        <v>167.92320000000001</v>
      </c>
      <c r="F1514" s="7">
        <v>104128</v>
      </c>
      <c r="G1514" s="14">
        <v>866.1934</v>
      </c>
      <c r="H1514" s="7">
        <v>1255415</v>
      </c>
      <c r="I1514" s="14">
        <v>1034.1166000000001</v>
      </c>
      <c r="J1514" s="7">
        <v>1359543</v>
      </c>
    </row>
    <row r="1515" spans="1:10" x14ac:dyDescent="0.2">
      <c r="A1515" s="9">
        <v>46153</v>
      </c>
      <c r="B1515" s="4" t="s">
        <v>225</v>
      </c>
      <c r="C1515" s="8">
        <v>46143</v>
      </c>
      <c r="D1515" s="4" t="s">
        <v>197</v>
      </c>
      <c r="E1515" s="14">
        <v>196.94030000000001</v>
      </c>
      <c r="F1515" s="7">
        <v>124079</v>
      </c>
      <c r="G1515" s="14">
        <v>835.00099999999998</v>
      </c>
      <c r="H1515" s="7">
        <v>1215435</v>
      </c>
      <c r="I1515" s="14">
        <v>1031.9413</v>
      </c>
      <c r="J1515" s="7">
        <v>1339514</v>
      </c>
    </row>
    <row r="1516" spans="1:10" x14ac:dyDescent="0.2">
      <c r="A1516" s="9">
        <v>46154</v>
      </c>
      <c r="B1516" s="4" t="s">
        <v>223</v>
      </c>
      <c r="C1516" s="8">
        <v>46143</v>
      </c>
      <c r="D1516" s="4" t="s">
        <v>197</v>
      </c>
      <c r="E1516" s="14">
        <v>226.88040000000001</v>
      </c>
      <c r="F1516" s="7">
        <v>145418</v>
      </c>
      <c r="G1516" s="14">
        <v>817.07410000000004</v>
      </c>
      <c r="H1516" s="7">
        <v>1277719</v>
      </c>
      <c r="I1516" s="14">
        <v>1043.9545000000001</v>
      </c>
      <c r="J1516" s="7">
        <v>1423137</v>
      </c>
    </row>
    <row r="1517" spans="1:10" x14ac:dyDescent="0.2">
      <c r="A1517" s="9">
        <v>46155</v>
      </c>
      <c r="B1517" s="4" t="s">
        <v>221</v>
      </c>
      <c r="C1517" s="8">
        <v>46143</v>
      </c>
      <c r="D1517" s="4" t="s">
        <v>197</v>
      </c>
      <c r="E1517" s="14">
        <v>204.44499999999999</v>
      </c>
      <c r="F1517" s="7">
        <v>131209</v>
      </c>
      <c r="G1517" s="14">
        <v>891.66800000000001</v>
      </c>
      <c r="H1517" s="7">
        <v>1398404</v>
      </c>
      <c r="I1517" s="14">
        <v>1096.1130000000001</v>
      </c>
      <c r="J1517" s="7">
        <v>1529613</v>
      </c>
    </row>
    <row r="1518" spans="1:10" x14ac:dyDescent="0.2">
      <c r="A1518" s="9">
        <v>46156</v>
      </c>
      <c r="B1518" s="4" t="s">
        <v>224</v>
      </c>
      <c r="C1518" s="8">
        <v>46143</v>
      </c>
      <c r="D1518" s="4" t="s">
        <v>197</v>
      </c>
      <c r="E1518" s="14">
        <v>231.5034</v>
      </c>
      <c r="F1518" s="7">
        <v>147534</v>
      </c>
      <c r="G1518" s="14">
        <v>936.85829999999999</v>
      </c>
      <c r="H1518" s="7">
        <v>1499612</v>
      </c>
      <c r="I1518" s="14">
        <v>1168.3616999999999</v>
      </c>
      <c r="J1518" s="7">
        <v>1647146</v>
      </c>
    </row>
    <row r="1519" spans="1:10" x14ac:dyDescent="0.2">
      <c r="A1519" s="9">
        <v>46157</v>
      </c>
      <c r="B1519" s="4" t="s">
        <v>222</v>
      </c>
      <c r="C1519" s="8">
        <v>46143</v>
      </c>
      <c r="D1519" s="4" t="s">
        <v>197</v>
      </c>
      <c r="E1519" s="14">
        <v>206.43219999999999</v>
      </c>
      <c r="F1519" s="7">
        <v>131640</v>
      </c>
      <c r="G1519" s="14">
        <v>841.48850000000004</v>
      </c>
      <c r="H1519" s="7">
        <v>1287740</v>
      </c>
      <c r="I1519" s="14">
        <v>1047.9206999999999</v>
      </c>
      <c r="J1519" s="7">
        <v>1419380</v>
      </c>
    </row>
    <row r="1520" spans="1:10" x14ac:dyDescent="0.2">
      <c r="A1520" s="9">
        <v>46160</v>
      </c>
      <c r="B1520" s="4" t="s">
        <v>225</v>
      </c>
      <c r="C1520" s="8">
        <v>46143</v>
      </c>
      <c r="D1520" s="4" t="s">
        <v>197</v>
      </c>
      <c r="E1520" s="14">
        <v>227.51259999999999</v>
      </c>
      <c r="F1520" s="7">
        <v>146319</v>
      </c>
      <c r="G1520" s="14">
        <v>873.43169999999998</v>
      </c>
      <c r="H1520" s="7">
        <v>1352239</v>
      </c>
      <c r="I1520" s="14">
        <v>1100.9443000000001</v>
      </c>
      <c r="J1520" s="7">
        <v>1498558</v>
      </c>
    </row>
    <row r="1521" spans="1:10" x14ac:dyDescent="0.2">
      <c r="A1521" s="9">
        <v>46161</v>
      </c>
      <c r="B1521" s="4" t="s">
        <v>223</v>
      </c>
      <c r="C1521" s="8">
        <v>46143</v>
      </c>
      <c r="D1521" s="4" t="s">
        <v>197</v>
      </c>
      <c r="E1521" s="14">
        <v>147.3484</v>
      </c>
      <c r="F1521" s="7">
        <v>93894</v>
      </c>
      <c r="G1521" s="14">
        <v>917.44330000000002</v>
      </c>
      <c r="H1521" s="7">
        <v>1424426</v>
      </c>
      <c r="I1521" s="14">
        <v>1064.7917</v>
      </c>
      <c r="J1521" s="7">
        <v>1518320</v>
      </c>
    </row>
    <row r="1522" spans="1:10" x14ac:dyDescent="0.2">
      <c r="A1522" s="9">
        <v>46162</v>
      </c>
      <c r="B1522" s="4" t="s">
        <v>221</v>
      </c>
      <c r="C1522" s="8">
        <v>46143</v>
      </c>
      <c r="D1522" s="4" t="s">
        <v>197</v>
      </c>
      <c r="E1522" s="14">
        <v>170.72409999999999</v>
      </c>
      <c r="F1522" s="7">
        <v>109290</v>
      </c>
      <c r="G1522" s="14">
        <v>1341.7247</v>
      </c>
      <c r="H1522" s="7">
        <v>2098874</v>
      </c>
      <c r="I1522" s="14">
        <v>1512.4487999999999</v>
      </c>
      <c r="J1522" s="7">
        <v>2208164</v>
      </c>
    </row>
    <row r="1523" spans="1:10" x14ac:dyDescent="0.2">
      <c r="A1523" s="9">
        <v>46163</v>
      </c>
      <c r="B1523" s="4" t="s">
        <v>224</v>
      </c>
      <c r="C1523" s="8">
        <v>46143</v>
      </c>
      <c r="D1523" s="4" t="s">
        <v>197</v>
      </c>
      <c r="E1523" s="14">
        <v>289.02409999999998</v>
      </c>
      <c r="F1523" s="7">
        <v>183753</v>
      </c>
      <c r="G1523" s="14">
        <v>3158.2997</v>
      </c>
      <c r="H1523" s="7">
        <v>4979547</v>
      </c>
      <c r="I1523" s="14">
        <v>3447.3238000000001</v>
      </c>
      <c r="J1523" s="7">
        <v>5163300</v>
      </c>
    </row>
    <row r="1524" spans="1:10" x14ac:dyDescent="0.2">
      <c r="A1524" s="9">
        <v>46164</v>
      </c>
      <c r="B1524" s="4" t="s">
        <v>222</v>
      </c>
      <c r="C1524" s="8">
        <v>46143</v>
      </c>
      <c r="D1524" s="4" t="s">
        <v>197</v>
      </c>
      <c r="E1524" s="14">
        <v>370.61110000000002</v>
      </c>
      <c r="F1524" s="7">
        <v>234514</v>
      </c>
      <c r="G1524" s="14">
        <v>3411.6230999999998</v>
      </c>
      <c r="H1524" s="7">
        <v>5358543</v>
      </c>
      <c r="I1524" s="14">
        <v>3782.2341999999999</v>
      </c>
      <c r="J1524" s="7">
        <v>5593057</v>
      </c>
    </row>
    <row r="1525" spans="1:10" x14ac:dyDescent="0.2">
      <c r="A1525" s="9">
        <v>46167</v>
      </c>
      <c r="B1525" s="4" t="s">
        <v>225</v>
      </c>
      <c r="C1525" s="8">
        <v>46143</v>
      </c>
      <c r="D1525" s="4" t="s">
        <v>197</v>
      </c>
      <c r="E1525" s="14">
        <v>375.47980000000001</v>
      </c>
      <c r="F1525" s="7">
        <v>233979</v>
      </c>
      <c r="G1525" s="14">
        <v>3075.7172</v>
      </c>
      <c r="H1525" s="7">
        <v>4778071</v>
      </c>
      <c r="I1525" s="14">
        <v>3451.1970000000001</v>
      </c>
      <c r="J1525" s="7">
        <v>5012050</v>
      </c>
    </row>
    <row r="1526" spans="1:10" x14ac:dyDescent="0.2">
      <c r="A1526" s="9">
        <v>46168</v>
      </c>
      <c r="B1526" s="4" t="s">
        <v>223</v>
      </c>
      <c r="C1526" s="8">
        <v>46143</v>
      </c>
      <c r="D1526" s="4" t="s">
        <v>197</v>
      </c>
      <c r="E1526" s="14">
        <v>343.13850000000002</v>
      </c>
      <c r="F1526" s="7">
        <v>214688</v>
      </c>
      <c r="G1526" s="14">
        <v>1999.2081000000001</v>
      </c>
      <c r="H1526" s="7">
        <v>3038618</v>
      </c>
      <c r="I1526" s="14">
        <v>2342.3465999999999</v>
      </c>
      <c r="J1526" s="7">
        <v>3253306</v>
      </c>
    </row>
    <row r="1527" spans="1:10" x14ac:dyDescent="0.2">
      <c r="A1527" s="9">
        <v>46169</v>
      </c>
      <c r="B1527" s="4" t="s">
        <v>221</v>
      </c>
      <c r="C1527" s="8">
        <v>46143</v>
      </c>
      <c r="D1527" s="4" t="s">
        <v>197</v>
      </c>
      <c r="E1527" s="14">
        <v>127.27970000000001</v>
      </c>
      <c r="F1527" s="7">
        <v>79455</v>
      </c>
      <c r="G1527" s="14">
        <v>767.43979999999999</v>
      </c>
      <c r="H1527" s="7">
        <v>1153359</v>
      </c>
      <c r="I1527" s="14">
        <v>894.71950000000004</v>
      </c>
      <c r="J1527" s="7">
        <v>1232814</v>
      </c>
    </row>
    <row r="1528" spans="1:10" x14ac:dyDescent="0.2">
      <c r="A1528" s="9">
        <v>46171</v>
      </c>
      <c r="B1528" s="4" t="s">
        <v>222</v>
      </c>
      <c r="C1528" s="8">
        <v>46143</v>
      </c>
      <c r="D1528" s="4" t="s">
        <v>197</v>
      </c>
      <c r="E1528" s="14">
        <v>302.22809999999998</v>
      </c>
      <c r="F1528" s="7">
        <v>191325</v>
      </c>
      <c r="G1528" s="14">
        <v>1322.6177</v>
      </c>
      <c r="H1528" s="7">
        <v>2053246</v>
      </c>
      <c r="I1528" s="14">
        <v>1624.8458000000001</v>
      </c>
      <c r="J1528" s="7">
        <v>2244571</v>
      </c>
    </row>
    <row r="1529" spans="1:10" x14ac:dyDescent="0.2">
      <c r="A1529" s="9">
        <v>46174</v>
      </c>
      <c r="B1529" s="4" t="s">
        <v>225</v>
      </c>
      <c r="C1529" s="8">
        <v>46174</v>
      </c>
      <c r="D1529" s="4" t="s">
        <v>197</v>
      </c>
      <c r="E1529" s="14">
        <v>192.9847</v>
      </c>
      <c r="F1529" s="7">
        <v>123218</v>
      </c>
      <c r="G1529" s="14">
        <v>695.28579999999999</v>
      </c>
      <c r="H1529" s="7">
        <v>1070176</v>
      </c>
      <c r="I1529" s="14">
        <v>888.27049999999997</v>
      </c>
      <c r="J1529" s="7">
        <v>1193394</v>
      </c>
    </row>
    <row r="1530" spans="1:10" x14ac:dyDescent="0.2">
      <c r="A1530" s="9">
        <v>46175</v>
      </c>
      <c r="B1530" s="4" t="s">
        <v>223</v>
      </c>
      <c r="C1530" s="8">
        <v>46174</v>
      </c>
      <c r="D1530" s="4" t="s">
        <v>197</v>
      </c>
      <c r="E1530" s="14">
        <v>219.9691</v>
      </c>
      <c r="F1530" s="7">
        <v>141265</v>
      </c>
      <c r="G1530" s="14">
        <v>808.44079999999997</v>
      </c>
      <c r="H1530" s="7">
        <v>1288046</v>
      </c>
      <c r="I1530" s="14">
        <v>1028.4099000000001</v>
      </c>
      <c r="J1530" s="7">
        <v>1429311</v>
      </c>
    </row>
    <row r="1531" spans="1:10" x14ac:dyDescent="0.2">
      <c r="A1531" s="9">
        <v>46176</v>
      </c>
      <c r="B1531" s="4" t="s">
        <v>221</v>
      </c>
      <c r="C1531" s="8">
        <v>46174</v>
      </c>
      <c r="D1531" s="4" t="s">
        <v>197</v>
      </c>
      <c r="E1531" s="14">
        <v>325.96539999999999</v>
      </c>
      <c r="F1531" s="7">
        <v>209664</v>
      </c>
      <c r="G1531" s="14">
        <v>773.673</v>
      </c>
      <c r="H1531" s="7">
        <v>1229360</v>
      </c>
      <c r="I1531" s="14">
        <v>1099.6384</v>
      </c>
      <c r="J1531" s="7">
        <v>1439024</v>
      </c>
    </row>
    <row r="1532" spans="1:10" x14ac:dyDescent="0.2">
      <c r="A1532" s="9">
        <v>46177</v>
      </c>
      <c r="B1532" s="4" t="s">
        <v>224</v>
      </c>
      <c r="C1532" s="8">
        <v>46174</v>
      </c>
      <c r="D1532" s="4" t="s">
        <v>197</v>
      </c>
      <c r="E1532" s="14">
        <v>161.34450000000001</v>
      </c>
      <c r="F1532" s="7">
        <v>103408</v>
      </c>
      <c r="G1532" s="14">
        <v>611.53200000000004</v>
      </c>
      <c r="H1532" s="7">
        <v>937030</v>
      </c>
      <c r="I1532" s="14">
        <v>772.87649999999996</v>
      </c>
      <c r="J1532" s="7">
        <v>1040438</v>
      </c>
    </row>
    <row r="1533" spans="1:10" x14ac:dyDescent="0.2">
      <c r="A1533" s="9">
        <v>46178</v>
      </c>
      <c r="B1533" s="4" t="s">
        <v>222</v>
      </c>
      <c r="C1533" s="8">
        <v>46174</v>
      </c>
      <c r="D1533" s="4" t="s">
        <v>197</v>
      </c>
      <c r="E1533" s="14">
        <v>244.43450000000001</v>
      </c>
      <c r="F1533" s="7">
        <v>154662</v>
      </c>
      <c r="G1533" s="14">
        <v>695.77650000000006</v>
      </c>
      <c r="H1533" s="7">
        <v>1025088</v>
      </c>
      <c r="I1533" s="14">
        <v>940.21100000000001</v>
      </c>
      <c r="J1533" s="7">
        <v>1179750</v>
      </c>
    </row>
    <row r="1534" spans="1:10" x14ac:dyDescent="0.2">
      <c r="A1534" s="9">
        <v>46181</v>
      </c>
      <c r="B1534" s="4" t="s">
        <v>225</v>
      </c>
      <c r="C1534" s="8">
        <v>46174</v>
      </c>
      <c r="D1534" s="4" t="s">
        <v>197</v>
      </c>
      <c r="E1534" s="14">
        <v>184.41120000000001</v>
      </c>
      <c r="F1534" s="7">
        <v>119052</v>
      </c>
      <c r="G1534" s="14">
        <v>575.77139999999997</v>
      </c>
      <c r="H1534" s="7">
        <v>888007</v>
      </c>
      <c r="I1534" s="14">
        <v>760.18259999999998</v>
      </c>
      <c r="J1534" s="7">
        <v>1007059</v>
      </c>
    </row>
    <row r="1535" spans="1:10" x14ac:dyDescent="0.2">
      <c r="A1535" s="9">
        <v>46182</v>
      </c>
      <c r="B1535" s="4" t="s">
        <v>223</v>
      </c>
      <c r="C1535" s="8">
        <v>46174</v>
      </c>
      <c r="D1535" s="4" t="s">
        <v>197</v>
      </c>
      <c r="E1535" s="14">
        <v>188.53790000000001</v>
      </c>
      <c r="F1535" s="7">
        <v>119499</v>
      </c>
      <c r="G1535" s="14">
        <v>628.8347</v>
      </c>
      <c r="H1535" s="7">
        <v>938111</v>
      </c>
      <c r="I1535" s="14">
        <v>817.37260000000003</v>
      </c>
      <c r="J1535" s="7">
        <v>1057610</v>
      </c>
    </row>
    <row r="1536" spans="1:10" x14ac:dyDescent="0.2">
      <c r="A1536" s="9">
        <v>46183</v>
      </c>
      <c r="B1536" s="4" t="s">
        <v>221</v>
      </c>
      <c r="C1536" s="8">
        <v>46174</v>
      </c>
      <c r="D1536" s="4" t="s">
        <v>197</v>
      </c>
      <c r="E1536" s="14">
        <v>178.92949999999999</v>
      </c>
      <c r="F1536" s="7">
        <v>112841</v>
      </c>
      <c r="G1536" s="14">
        <v>659.38800000000003</v>
      </c>
      <c r="H1536" s="7">
        <v>1002723</v>
      </c>
      <c r="I1536" s="14">
        <v>838.3175</v>
      </c>
      <c r="J1536" s="7">
        <v>1115564</v>
      </c>
    </row>
    <row r="1537" spans="1:10" x14ac:dyDescent="0.2">
      <c r="A1537" s="9">
        <v>46184</v>
      </c>
      <c r="B1537" s="4" t="s">
        <v>224</v>
      </c>
      <c r="C1537" s="8">
        <v>46174</v>
      </c>
      <c r="D1537" s="4" t="s">
        <v>197</v>
      </c>
      <c r="E1537" s="14">
        <v>160.33930000000001</v>
      </c>
      <c r="F1537" s="7">
        <v>102815</v>
      </c>
      <c r="G1537" s="14">
        <v>561.32640000000004</v>
      </c>
      <c r="H1537" s="7">
        <v>870092</v>
      </c>
      <c r="I1537" s="14">
        <v>721.66570000000002</v>
      </c>
      <c r="J1537" s="7">
        <v>972907</v>
      </c>
    </row>
    <row r="1538" spans="1:10" x14ac:dyDescent="0.2">
      <c r="A1538" s="9">
        <v>46185</v>
      </c>
      <c r="B1538" s="4" t="s">
        <v>222</v>
      </c>
      <c r="C1538" s="8">
        <v>46174</v>
      </c>
      <c r="D1538" s="4" t="s">
        <v>197</v>
      </c>
      <c r="E1538" s="14">
        <v>276.10950000000003</v>
      </c>
      <c r="F1538" s="7">
        <v>174762</v>
      </c>
      <c r="G1538" s="14">
        <v>779.28859999999997</v>
      </c>
      <c r="H1538" s="7">
        <v>1183864</v>
      </c>
      <c r="I1538" s="14">
        <v>1055.3981000000001</v>
      </c>
      <c r="J1538" s="7">
        <v>1358626</v>
      </c>
    </row>
    <row r="1539" spans="1:10" x14ac:dyDescent="0.2">
      <c r="A1539" s="9">
        <v>46188</v>
      </c>
      <c r="B1539" s="4" t="s">
        <v>225</v>
      </c>
      <c r="C1539" s="8">
        <v>46174</v>
      </c>
      <c r="D1539" s="4" t="s">
        <v>197</v>
      </c>
      <c r="E1539" s="14">
        <v>200.39230000000001</v>
      </c>
      <c r="F1539" s="7">
        <v>124374</v>
      </c>
      <c r="G1539" s="14">
        <v>846.83540000000005</v>
      </c>
      <c r="H1539" s="7">
        <v>1283313</v>
      </c>
      <c r="I1539" s="14">
        <v>1047.2276999999999</v>
      </c>
      <c r="J1539" s="7">
        <v>1407687</v>
      </c>
    </row>
    <row r="1540" spans="1:10" x14ac:dyDescent="0.2">
      <c r="A1540" s="9">
        <v>46189</v>
      </c>
      <c r="B1540" s="4" t="s">
        <v>223</v>
      </c>
      <c r="C1540" s="8">
        <v>46174</v>
      </c>
      <c r="D1540" s="4" t="s">
        <v>197</v>
      </c>
      <c r="E1540" s="14">
        <v>121.4267</v>
      </c>
      <c r="F1540" s="7">
        <v>75789</v>
      </c>
      <c r="G1540" s="14">
        <v>613.72260000000006</v>
      </c>
      <c r="H1540" s="7">
        <v>944344</v>
      </c>
      <c r="I1540" s="14">
        <v>735.14930000000004</v>
      </c>
      <c r="J1540" s="7">
        <v>1020133</v>
      </c>
    </row>
    <row r="1541" spans="1:10" x14ac:dyDescent="0.2">
      <c r="A1541" s="9">
        <v>46190</v>
      </c>
      <c r="B1541" s="4" t="s">
        <v>221</v>
      </c>
      <c r="C1541" s="8">
        <v>46174</v>
      </c>
      <c r="D1541" s="4" t="s">
        <v>197</v>
      </c>
      <c r="E1541" s="14">
        <v>117.2689</v>
      </c>
      <c r="F1541" s="7">
        <v>72139</v>
      </c>
      <c r="G1541" s="14">
        <v>737.56529999999998</v>
      </c>
      <c r="H1541" s="7">
        <v>1169468</v>
      </c>
      <c r="I1541" s="14">
        <v>854.83420000000001</v>
      </c>
      <c r="J1541" s="7">
        <v>1241607</v>
      </c>
    </row>
    <row r="1542" spans="1:10" x14ac:dyDescent="0.2">
      <c r="A1542" s="9">
        <v>46191</v>
      </c>
      <c r="B1542" s="4" t="s">
        <v>224</v>
      </c>
      <c r="C1542" s="8">
        <v>46174</v>
      </c>
      <c r="D1542" s="4" t="s">
        <v>197</v>
      </c>
      <c r="E1542" s="14">
        <v>136.32130000000001</v>
      </c>
      <c r="F1542" s="7">
        <v>83660</v>
      </c>
      <c r="G1542" s="14">
        <v>757.70029999999997</v>
      </c>
      <c r="H1542" s="7">
        <v>1175360</v>
      </c>
      <c r="I1542" s="14">
        <v>894.02160000000003</v>
      </c>
      <c r="J1542" s="7">
        <v>1259020</v>
      </c>
    </row>
    <row r="1543" spans="1:10" x14ac:dyDescent="0.2">
      <c r="A1543" s="9">
        <v>46192</v>
      </c>
      <c r="B1543" s="4" t="s">
        <v>222</v>
      </c>
      <c r="C1543" s="8">
        <v>46174</v>
      </c>
      <c r="D1543" s="4" t="s">
        <v>197</v>
      </c>
      <c r="E1543" s="14">
        <v>171.96860000000001</v>
      </c>
      <c r="F1543" s="7">
        <v>106668</v>
      </c>
      <c r="G1543" s="14">
        <v>959.43219999999997</v>
      </c>
      <c r="H1543" s="7">
        <v>1520500</v>
      </c>
      <c r="I1543" s="14">
        <v>1131.4007999999999</v>
      </c>
      <c r="J1543" s="7">
        <v>1627168</v>
      </c>
    </row>
    <row r="1544" spans="1:10" x14ac:dyDescent="0.2">
      <c r="A1544" s="9">
        <v>46195</v>
      </c>
      <c r="B1544" s="4" t="s">
        <v>225</v>
      </c>
      <c r="C1544" s="8">
        <v>46174</v>
      </c>
      <c r="D1544" s="4" t="s">
        <v>197</v>
      </c>
      <c r="E1544" s="14">
        <v>113.523</v>
      </c>
      <c r="F1544" s="7">
        <v>69132</v>
      </c>
      <c r="G1544" s="14">
        <v>808.69190000000003</v>
      </c>
      <c r="H1544" s="7">
        <v>1251362</v>
      </c>
      <c r="I1544" s="14">
        <v>922.21489999999994</v>
      </c>
      <c r="J1544" s="7">
        <v>1320494</v>
      </c>
    </row>
    <row r="1545" spans="1:10" x14ac:dyDescent="0.2">
      <c r="A1545" s="9">
        <v>46196</v>
      </c>
      <c r="B1545" s="4" t="s">
        <v>223</v>
      </c>
      <c r="C1545" s="8">
        <v>46174</v>
      </c>
      <c r="D1545" s="4" t="s">
        <v>197</v>
      </c>
      <c r="E1545" s="14">
        <v>196.61689999999999</v>
      </c>
      <c r="F1545" s="7">
        <v>121651</v>
      </c>
      <c r="G1545" s="14">
        <v>1223.9794999999999</v>
      </c>
      <c r="H1545" s="7">
        <v>1923955</v>
      </c>
      <c r="I1545" s="14">
        <v>1420.5963999999999</v>
      </c>
      <c r="J1545" s="7">
        <v>2045606</v>
      </c>
    </row>
    <row r="1546" spans="1:10" x14ac:dyDescent="0.2">
      <c r="A1546" s="9">
        <v>46197</v>
      </c>
      <c r="B1546" s="4" t="s">
        <v>221</v>
      </c>
      <c r="C1546" s="8">
        <v>46174</v>
      </c>
      <c r="D1546" s="4" t="s">
        <v>197</v>
      </c>
      <c r="E1546" s="14">
        <v>369.36900000000003</v>
      </c>
      <c r="F1546" s="7">
        <v>227793</v>
      </c>
      <c r="G1546" s="14">
        <v>3310.17</v>
      </c>
      <c r="H1546" s="7">
        <v>5187622</v>
      </c>
      <c r="I1546" s="14">
        <v>3679.5390000000002</v>
      </c>
      <c r="J1546" s="7">
        <v>5415415</v>
      </c>
    </row>
    <row r="1547" spans="1:10" x14ac:dyDescent="0.2">
      <c r="A1547" s="9">
        <v>46198</v>
      </c>
      <c r="B1547" s="4" t="s">
        <v>224</v>
      </c>
      <c r="C1547" s="8">
        <v>46174</v>
      </c>
      <c r="D1547" s="4" t="s">
        <v>197</v>
      </c>
      <c r="E1547" s="14">
        <v>391.23309999999998</v>
      </c>
      <c r="F1547" s="7">
        <v>239985</v>
      </c>
      <c r="G1547" s="14">
        <v>3797.1837999999998</v>
      </c>
      <c r="H1547" s="7">
        <v>5768732</v>
      </c>
      <c r="I1547" s="14">
        <v>4188.4169000000002</v>
      </c>
      <c r="J1547" s="7">
        <v>6008717</v>
      </c>
    </row>
    <row r="1548" spans="1:10" x14ac:dyDescent="0.2">
      <c r="A1548" s="9">
        <v>46202</v>
      </c>
      <c r="B1548" s="4" t="s">
        <v>225</v>
      </c>
      <c r="C1548" s="8">
        <v>46174</v>
      </c>
      <c r="D1548" s="4" t="s">
        <v>197</v>
      </c>
      <c r="E1548" s="14">
        <v>381.75970000000001</v>
      </c>
      <c r="F1548" s="7">
        <v>235681</v>
      </c>
      <c r="G1548" s="14">
        <v>3653.2905999999998</v>
      </c>
      <c r="H1548" s="7">
        <v>5526930</v>
      </c>
      <c r="I1548" s="14">
        <v>4035.0502999999999</v>
      </c>
      <c r="J1548" s="7">
        <v>5762611</v>
      </c>
    </row>
    <row r="1549" spans="1:10" x14ac:dyDescent="0.2">
      <c r="A1549" s="9">
        <v>46203</v>
      </c>
      <c r="B1549" s="4" t="s">
        <v>223</v>
      </c>
      <c r="C1549" s="8">
        <v>46174</v>
      </c>
      <c r="D1549" s="4" t="s">
        <v>197</v>
      </c>
      <c r="E1549" s="14">
        <v>420.6327</v>
      </c>
      <c r="F1549" s="7">
        <v>262474</v>
      </c>
      <c r="G1549" s="14">
        <v>2170.9771999999998</v>
      </c>
      <c r="H1549" s="7">
        <v>3322325</v>
      </c>
      <c r="I1549" s="14">
        <v>2591.6098999999999</v>
      </c>
      <c r="J1549" s="7">
        <v>3584799</v>
      </c>
    </row>
    <row r="1550" spans="1:10" x14ac:dyDescent="0.2">
      <c r="A1550" s="9">
        <v>46204</v>
      </c>
      <c r="B1550" s="4" t="s">
        <v>221</v>
      </c>
      <c r="C1550" s="8">
        <v>46204</v>
      </c>
      <c r="D1550" s="4" t="s">
        <v>198</v>
      </c>
      <c r="E1550" s="14">
        <v>105.12179999999999</v>
      </c>
      <c r="F1550" s="7">
        <v>64419</v>
      </c>
      <c r="G1550" s="14">
        <v>673.61850000000004</v>
      </c>
      <c r="H1550" s="7">
        <v>1004869</v>
      </c>
      <c r="I1550" s="14">
        <v>778.74030000000005</v>
      </c>
      <c r="J1550" s="7">
        <v>1069288</v>
      </c>
    </row>
    <row r="1551" spans="1:10" x14ac:dyDescent="0.2">
      <c r="A1551" s="9">
        <v>46205</v>
      </c>
      <c r="B1551" s="4" t="s">
        <v>224</v>
      </c>
      <c r="C1551" s="8">
        <v>46204</v>
      </c>
      <c r="D1551" s="4" t="s">
        <v>198</v>
      </c>
      <c r="E1551" s="14">
        <v>117.8719</v>
      </c>
      <c r="F1551" s="7">
        <v>72175</v>
      </c>
      <c r="G1551" s="14">
        <v>699.03269999999998</v>
      </c>
      <c r="H1551" s="7">
        <v>1038880</v>
      </c>
      <c r="I1551" s="14">
        <v>816.90459999999996</v>
      </c>
      <c r="J1551" s="7">
        <v>1111055</v>
      </c>
    </row>
    <row r="1552" spans="1:10" x14ac:dyDescent="0.2">
      <c r="A1552" s="9">
        <v>46206</v>
      </c>
      <c r="B1552" s="4" t="s">
        <v>222</v>
      </c>
      <c r="C1552" s="8">
        <v>46204</v>
      </c>
      <c r="D1552" s="4" t="s">
        <v>198</v>
      </c>
      <c r="E1552" s="14">
        <v>121.84139999999999</v>
      </c>
      <c r="F1552" s="7">
        <v>74811</v>
      </c>
      <c r="G1552" s="14">
        <v>763.77359999999999</v>
      </c>
      <c r="H1552" s="7">
        <v>1111422</v>
      </c>
      <c r="I1552" s="14">
        <v>885.61500000000001</v>
      </c>
      <c r="J1552" s="7">
        <v>1186233</v>
      </c>
    </row>
    <row r="1553" spans="1:10" x14ac:dyDescent="0.2">
      <c r="A1553" s="9">
        <v>46209</v>
      </c>
      <c r="B1553" s="4" t="s">
        <v>225</v>
      </c>
      <c r="C1553" s="8">
        <v>46204</v>
      </c>
      <c r="D1553" s="4" t="s">
        <v>198</v>
      </c>
      <c r="E1553" s="14">
        <v>111.9807</v>
      </c>
      <c r="F1553" s="7">
        <v>68056</v>
      </c>
      <c r="G1553" s="14">
        <v>644.53560000000004</v>
      </c>
      <c r="H1553" s="7">
        <v>935070</v>
      </c>
      <c r="I1553" s="14">
        <v>756.5163</v>
      </c>
      <c r="J1553" s="7">
        <v>1003126</v>
      </c>
    </row>
    <row r="1554" spans="1:10" x14ac:dyDescent="0.2">
      <c r="A1554" s="9">
        <v>46210</v>
      </c>
      <c r="B1554" s="4" t="s">
        <v>223</v>
      </c>
      <c r="C1554" s="8">
        <v>46204</v>
      </c>
      <c r="D1554" s="4" t="s">
        <v>198</v>
      </c>
      <c r="E1554" s="14">
        <v>119.4961</v>
      </c>
      <c r="F1554" s="7">
        <v>72867</v>
      </c>
      <c r="G1554" s="14">
        <v>736.34550000000002</v>
      </c>
      <c r="H1554" s="7">
        <v>1104972</v>
      </c>
      <c r="I1554" s="14">
        <v>855.84159999999997</v>
      </c>
      <c r="J1554" s="7">
        <v>1177839</v>
      </c>
    </row>
    <row r="1555" spans="1:10" x14ac:dyDescent="0.2">
      <c r="A1555" s="9">
        <v>46211</v>
      </c>
      <c r="B1555" s="4" t="s">
        <v>221</v>
      </c>
      <c r="C1555" s="8">
        <v>46204</v>
      </c>
      <c r="D1555" s="4" t="s">
        <v>198</v>
      </c>
      <c r="E1555" s="14">
        <v>300.79689999999999</v>
      </c>
      <c r="F1555" s="7">
        <v>185502</v>
      </c>
      <c r="G1555" s="14">
        <v>1016.3441</v>
      </c>
      <c r="H1555" s="7">
        <v>1504667</v>
      </c>
      <c r="I1555" s="14">
        <v>1317.1410000000001</v>
      </c>
      <c r="J1555" s="7">
        <v>1690169</v>
      </c>
    </row>
    <row r="1556" spans="1:10" x14ac:dyDescent="0.2">
      <c r="A1556" s="9">
        <v>46212</v>
      </c>
      <c r="B1556" s="4" t="s">
        <v>224</v>
      </c>
      <c r="C1556" s="8">
        <v>46204</v>
      </c>
      <c r="D1556" s="4" t="s">
        <v>198</v>
      </c>
      <c r="E1556" s="14">
        <v>152.0686</v>
      </c>
      <c r="F1556" s="7">
        <v>94020</v>
      </c>
      <c r="G1556" s="14">
        <v>735.63710000000003</v>
      </c>
      <c r="H1556" s="7">
        <v>1089657</v>
      </c>
      <c r="I1556" s="14">
        <v>887.70569999999998</v>
      </c>
      <c r="J1556" s="7">
        <v>1183677</v>
      </c>
    </row>
    <row r="1557" spans="1:10" x14ac:dyDescent="0.2">
      <c r="A1557" s="9">
        <v>46213</v>
      </c>
      <c r="B1557" s="4" t="s">
        <v>222</v>
      </c>
      <c r="C1557" s="8">
        <v>46204</v>
      </c>
      <c r="D1557" s="4" t="s">
        <v>198</v>
      </c>
      <c r="E1557" s="14">
        <v>127.0201</v>
      </c>
      <c r="F1557" s="7">
        <v>77754</v>
      </c>
      <c r="G1557" s="14">
        <v>734.149</v>
      </c>
      <c r="H1557" s="7">
        <v>1077279</v>
      </c>
      <c r="I1557" s="14">
        <v>861.16909999999996</v>
      </c>
      <c r="J1557" s="7">
        <v>1155033</v>
      </c>
    </row>
    <row r="1558" spans="1:10" x14ac:dyDescent="0.2">
      <c r="A1558" s="9">
        <v>46216</v>
      </c>
      <c r="B1558" s="4" t="s">
        <v>225</v>
      </c>
      <c r="C1558" s="8">
        <v>46204</v>
      </c>
      <c r="D1558" s="4" t="s">
        <v>198</v>
      </c>
      <c r="E1558" s="14">
        <v>138.57140000000001</v>
      </c>
      <c r="F1558" s="7">
        <v>84825</v>
      </c>
      <c r="G1558" s="14">
        <v>715.59670000000006</v>
      </c>
      <c r="H1558" s="7">
        <v>1074128</v>
      </c>
      <c r="I1558" s="14">
        <v>854.16809999999998</v>
      </c>
      <c r="J1558" s="7">
        <v>1158953</v>
      </c>
    </row>
    <row r="1559" spans="1:10" x14ac:dyDescent="0.2">
      <c r="A1559" s="9">
        <v>46217</v>
      </c>
      <c r="B1559" s="4" t="s">
        <v>223</v>
      </c>
      <c r="C1559" s="8">
        <v>46204</v>
      </c>
      <c r="D1559" s="4" t="s">
        <v>198</v>
      </c>
      <c r="E1559" s="14">
        <v>151.3937</v>
      </c>
      <c r="F1559" s="7">
        <v>93009</v>
      </c>
      <c r="G1559" s="14">
        <v>783.28390000000002</v>
      </c>
      <c r="H1559" s="7">
        <v>1159720</v>
      </c>
      <c r="I1559" s="14">
        <v>934.67759999999998</v>
      </c>
      <c r="J1559" s="7">
        <v>1252729</v>
      </c>
    </row>
    <row r="1560" spans="1:10" x14ac:dyDescent="0.2">
      <c r="A1560" s="9">
        <v>46218</v>
      </c>
      <c r="B1560" s="4" t="s">
        <v>221</v>
      </c>
      <c r="C1560" s="8">
        <v>46204</v>
      </c>
      <c r="D1560" s="4" t="s">
        <v>198</v>
      </c>
      <c r="E1560" s="14">
        <v>143.49090000000001</v>
      </c>
      <c r="F1560" s="7">
        <v>87622</v>
      </c>
      <c r="G1560" s="14">
        <v>762.06769999999995</v>
      </c>
      <c r="H1560" s="7">
        <v>1136125</v>
      </c>
      <c r="I1560" s="14">
        <v>905.55859999999996</v>
      </c>
      <c r="J1560" s="7">
        <v>1223747</v>
      </c>
    </row>
    <row r="1561" spans="1:10" x14ac:dyDescent="0.2">
      <c r="A1561" s="9">
        <v>46219</v>
      </c>
      <c r="B1561" s="4" t="s">
        <v>224</v>
      </c>
      <c r="C1561" s="8">
        <v>46204</v>
      </c>
      <c r="D1561" s="4" t="s">
        <v>198</v>
      </c>
      <c r="E1561" s="14">
        <v>116.41459999999999</v>
      </c>
      <c r="F1561" s="7">
        <v>72111</v>
      </c>
      <c r="G1561" s="14">
        <v>792.01469999999995</v>
      </c>
      <c r="H1561" s="7">
        <v>1136249</v>
      </c>
      <c r="I1561" s="14">
        <v>908.42930000000001</v>
      </c>
      <c r="J1561" s="7">
        <v>1208360</v>
      </c>
    </row>
    <row r="1562" spans="1:10" x14ac:dyDescent="0.2">
      <c r="A1562" s="9">
        <v>46220</v>
      </c>
      <c r="B1562" s="4" t="s">
        <v>222</v>
      </c>
      <c r="C1562" s="8">
        <v>46204</v>
      </c>
      <c r="D1562" s="4" t="s">
        <v>198</v>
      </c>
      <c r="E1562" s="14">
        <v>228.04679999999999</v>
      </c>
      <c r="F1562" s="7">
        <v>139601</v>
      </c>
      <c r="G1562" s="14">
        <v>923.22050000000002</v>
      </c>
      <c r="H1562" s="7">
        <v>1341911</v>
      </c>
      <c r="I1562" s="14">
        <v>1151.2673</v>
      </c>
      <c r="J1562" s="7">
        <v>1481512</v>
      </c>
    </row>
    <row r="1563" spans="1:10" x14ac:dyDescent="0.2">
      <c r="A1563" s="9">
        <v>46223</v>
      </c>
      <c r="B1563" s="4" t="s">
        <v>225</v>
      </c>
      <c r="C1563" s="8">
        <v>46204</v>
      </c>
      <c r="D1563" s="4" t="s">
        <v>198</v>
      </c>
      <c r="E1563" s="14">
        <v>172.4631</v>
      </c>
      <c r="F1563" s="7">
        <v>104478</v>
      </c>
      <c r="G1563" s="14">
        <v>900.92660000000001</v>
      </c>
      <c r="H1563" s="7">
        <v>1305675</v>
      </c>
      <c r="I1563" s="14">
        <v>1073.3896999999999</v>
      </c>
      <c r="J1563" s="7">
        <v>1410153</v>
      </c>
    </row>
    <row r="1564" spans="1:10" x14ac:dyDescent="0.2">
      <c r="A1564" s="9">
        <v>46224</v>
      </c>
      <c r="B1564" s="4" t="s">
        <v>223</v>
      </c>
      <c r="C1564" s="8">
        <v>46204</v>
      </c>
      <c r="D1564" s="4" t="s">
        <v>198</v>
      </c>
      <c r="E1564" s="14">
        <v>114.2692</v>
      </c>
      <c r="F1564" s="7">
        <v>70432</v>
      </c>
      <c r="G1564" s="14">
        <v>919.38490000000002</v>
      </c>
      <c r="H1564" s="7">
        <v>1353758</v>
      </c>
      <c r="I1564" s="14">
        <v>1033.6541</v>
      </c>
      <c r="J1564" s="7">
        <v>1424190</v>
      </c>
    </row>
    <row r="1565" spans="1:10" x14ac:dyDescent="0.2">
      <c r="A1565" s="9">
        <v>46225</v>
      </c>
      <c r="B1565" s="4" t="s">
        <v>221</v>
      </c>
      <c r="C1565" s="8">
        <v>46204</v>
      </c>
      <c r="D1565" s="4" t="s">
        <v>198</v>
      </c>
      <c r="E1565" s="14">
        <v>169.4289</v>
      </c>
      <c r="F1565" s="7">
        <v>104320</v>
      </c>
      <c r="G1565" s="14">
        <v>1192.9262000000001</v>
      </c>
      <c r="H1565" s="7">
        <v>1760872</v>
      </c>
      <c r="I1565" s="14">
        <v>1362.3551</v>
      </c>
      <c r="J1565" s="7">
        <v>1865192</v>
      </c>
    </row>
    <row r="1566" spans="1:10" x14ac:dyDescent="0.2">
      <c r="A1566" s="9">
        <v>46226</v>
      </c>
      <c r="B1566" s="4" t="s">
        <v>224</v>
      </c>
      <c r="C1566" s="8">
        <v>46204</v>
      </c>
      <c r="D1566" s="4" t="s">
        <v>198</v>
      </c>
      <c r="E1566" s="14">
        <v>312.19619999999998</v>
      </c>
      <c r="F1566" s="7">
        <v>195366</v>
      </c>
      <c r="G1566" s="14">
        <v>3030.2438000000002</v>
      </c>
      <c r="H1566" s="7">
        <v>4494107</v>
      </c>
      <c r="I1566" s="14">
        <v>3342.44</v>
      </c>
      <c r="J1566" s="7">
        <v>4689473</v>
      </c>
    </row>
    <row r="1567" spans="1:10" x14ac:dyDescent="0.2">
      <c r="A1567" s="9">
        <v>46227</v>
      </c>
      <c r="B1567" s="4" t="s">
        <v>222</v>
      </c>
      <c r="C1567" s="8">
        <v>46204</v>
      </c>
      <c r="D1567" s="4" t="s">
        <v>198</v>
      </c>
      <c r="E1567" s="14">
        <v>318.63589999999999</v>
      </c>
      <c r="F1567" s="7">
        <v>199178</v>
      </c>
      <c r="G1567" s="14">
        <v>3430.2489999999998</v>
      </c>
      <c r="H1567" s="7">
        <v>5215709</v>
      </c>
      <c r="I1567" s="14">
        <v>3748.8849</v>
      </c>
      <c r="J1567" s="7">
        <v>5414887</v>
      </c>
    </row>
    <row r="1568" spans="1:10" x14ac:dyDescent="0.2">
      <c r="A1568" s="9">
        <v>46230</v>
      </c>
      <c r="B1568" s="4" t="s">
        <v>225</v>
      </c>
      <c r="C1568" s="8">
        <v>46204</v>
      </c>
      <c r="D1568" s="4" t="s">
        <v>198</v>
      </c>
      <c r="E1568" s="14">
        <v>272.81979999999999</v>
      </c>
      <c r="F1568" s="7">
        <v>169185</v>
      </c>
      <c r="G1568" s="14">
        <v>3235.0846000000001</v>
      </c>
      <c r="H1568" s="7">
        <v>4807306</v>
      </c>
      <c r="I1568" s="14">
        <v>3507.9043999999999</v>
      </c>
      <c r="J1568" s="7">
        <v>4976491</v>
      </c>
    </row>
    <row r="1569" spans="1:10" x14ac:dyDescent="0.2">
      <c r="A1569" s="9">
        <v>46231</v>
      </c>
      <c r="B1569" s="4" t="s">
        <v>223</v>
      </c>
      <c r="C1569" s="8">
        <v>46204</v>
      </c>
      <c r="D1569" s="4" t="s">
        <v>198</v>
      </c>
      <c r="E1569" s="14">
        <v>340.61720000000003</v>
      </c>
      <c r="F1569" s="7">
        <v>211532</v>
      </c>
      <c r="G1569" s="14">
        <v>2191.0985000000001</v>
      </c>
      <c r="H1569" s="7">
        <v>3317302</v>
      </c>
      <c r="I1569" s="14">
        <v>2531.7157000000002</v>
      </c>
      <c r="J1569" s="7">
        <v>3528834</v>
      </c>
    </row>
    <row r="1570" spans="1:10" x14ac:dyDescent="0.2">
      <c r="A1570" s="9">
        <v>46232</v>
      </c>
      <c r="B1570" s="4" t="s">
        <v>221</v>
      </c>
      <c r="C1570" s="8">
        <v>46204</v>
      </c>
      <c r="D1570" s="4" t="s">
        <v>198</v>
      </c>
      <c r="E1570" s="14">
        <v>127.2436</v>
      </c>
      <c r="F1570" s="7">
        <v>78579</v>
      </c>
      <c r="G1570" s="14">
        <v>793.9307</v>
      </c>
      <c r="H1570" s="7">
        <v>1196471</v>
      </c>
      <c r="I1570" s="14">
        <v>921.17430000000002</v>
      </c>
      <c r="J1570" s="7">
        <v>1275050</v>
      </c>
    </row>
    <row r="1571" spans="1:10" x14ac:dyDescent="0.2">
      <c r="A1571" s="9">
        <v>46233</v>
      </c>
      <c r="B1571" s="4" t="s">
        <v>224</v>
      </c>
      <c r="C1571" s="8">
        <v>46204</v>
      </c>
      <c r="D1571" s="4" t="s">
        <v>198</v>
      </c>
      <c r="E1571" s="14">
        <v>106.5103</v>
      </c>
      <c r="F1571" s="7">
        <v>65379</v>
      </c>
      <c r="G1571" s="14">
        <v>677.69299999999998</v>
      </c>
      <c r="H1571" s="7">
        <v>1016689</v>
      </c>
      <c r="I1571" s="14">
        <v>784.20330000000001</v>
      </c>
      <c r="J1571" s="7">
        <v>1082068</v>
      </c>
    </row>
    <row r="1572" spans="1:10" x14ac:dyDescent="0.2">
      <c r="A1572" s="9">
        <v>46234</v>
      </c>
      <c r="B1572" s="4" t="s">
        <v>222</v>
      </c>
      <c r="C1572" s="8">
        <v>46204</v>
      </c>
      <c r="D1572" s="4" t="s">
        <v>198</v>
      </c>
      <c r="E1572" s="14">
        <v>93.494200000000006</v>
      </c>
      <c r="F1572" s="7">
        <v>57273</v>
      </c>
      <c r="G1572" s="14">
        <v>803.33050000000003</v>
      </c>
      <c r="H1572" s="7">
        <v>1164138</v>
      </c>
      <c r="I1572" s="14">
        <v>896.82470000000001</v>
      </c>
      <c r="J1572" s="7">
        <v>1221411</v>
      </c>
    </row>
    <row r="1573" spans="1:10" x14ac:dyDescent="0.2">
      <c r="A1573" s="9">
        <v>46237</v>
      </c>
      <c r="B1573" s="4" t="s">
        <v>225</v>
      </c>
      <c r="C1573" s="8">
        <v>46235</v>
      </c>
      <c r="D1573" s="4" t="s">
        <v>198</v>
      </c>
      <c r="E1573" s="14">
        <v>136.17830000000001</v>
      </c>
      <c r="F1573" s="7">
        <v>82600</v>
      </c>
      <c r="G1573" s="14">
        <v>754.42250000000001</v>
      </c>
      <c r="H1573" s="7">
        <v>1066133</v>
      </c>
      <c r="I1573" s="14">
        <v>890.60080000000005</v>
      </c>
      <c r="J1573" s="7">
        <v>1148733</v>
      </c>
    </row>
    <row r="1574" spans="1:10" x14ac:dyDescent="0.2">
      <c r="A1574" s="9">
        <v>46238</v>
      </c>
      <c r="B1574" s="4" t="s">
        <v>223</v>
      </c>
      <c r="C1574" s="8">
        <v>46235</v>
      </c>
      <c r="D1574" s="4" t="s">
        <v>198</v>
      </c>
      <c r="E1574" s="14">
        <v>143.43199999999999</v>
      </c>
      <c r="F1574" s="7">
        <v>88014</v>
      </c>
      <c r="G1574" s="14">
        <v>640.84699999999998</v>
      </c>
      <c r="H1574" s="7">
        <v>923441</v>
      </c>
      <c r="I1574" s="14">
        <v>784.279</v>
      </c>
      <c r="J1574" s="7">
        <v>1011455</v>
      </c>
    </row>
    <row r="1575" spans="1:10" x14ac:dyDescent="0.2">
      <c r="A1575" s="9">
        <v>46239</v>
      </c>
      <c r="B1575" s="4" t="s">
        <v>221</v>
      </c>
      <c r="C1575" s="8">
        <v>46235</v>
      </c>
      <c r="D1575" s="4" t="s">
        <v>198</v>
      </c>
      <c r="E1575" s="14">
        <v>126.1688</v>
      </c>
      <c r="F1575" s="7">
        <v>76496</v>
      </c>
      <c r="G1575" s="14">
        <v>697.74090000000001</v>
      </c>
      <c r="H1575" s="7">
        <v>993442</v>
      </c>
      <c r="I1575" s="14">
        <v>823.90970000000004</v>
      </c>
      <c r="J1575" s="7">
        <v>1069938</v>
      </c>
    </row>
    <row r="1576" spans="1:10" x14ac:dyDescent="0.2">
      <c r="A1576" s="9">
        <v>46240</v>
      </c>
      <c r="B1576" s="4" t="s">
        <v>224</v>
      </c>
      <c r="C1576" s="8">
        <v>46235</v>
      </c>
      <c r="D1576" s="4" t="s">
        <v>198</v>
      </c>
      <c r="E1576" s="14">
        <v>97.519000000000005</v>
      </c>
      <c r="F1576" s="7">
        <v>58611</v>
      </c>
      <c r="G1576" s="14">
        <v>717.99609999999996</v>
      </c>
      <c r="H1576" s="7">
        <v>1022745</v>
      </c>
      <c r="I1576" s="14">
        <v>815.51509999999996</v>
      </c>
      <c r="J1576" s="7">
        <v>1081356</v>
      </c>
    </row>
    <row r="1577" spans="1:10" x14ac:dyDescent="0.2">
      <c r="A1577" s="9">
        <v>46241</v>
      </c>
      <c r="B1577" s="4" t="s">
        <v>222</v>
      </c>
      <c r="C1577" s="8">
        <v>46235</v>
      </c>
      <c r="D1577" s="4" t="s">
        <v>198</v>
      </c>
      <c r="E1577" s="14">
        <v>73.038799999999995</v>
      </c>
      <c r="F1577" s="7">
        <v>44191</v>
      </c>
      <c r="G1577" s="14">
        <v>727.64660000000003</v>
      </c>
      <c r="H1577" s="7">
        <v>1004512</v>
      </c>
      <c r="I1577" s="14">
        <v>800.68539999999996</v>
      </c>
      <c r="J1577" s="7">
        <v>1048703</v>
      </c>
    </row>
    <row r="1578" spans="1:10" x14ac:dyDescent="0.2">
      <c r="A1578" s="9">
        <v>46244</v>
      </c>
      <c r="B1578" s="4" t="s">
        <v>225</v>
      </c>
      <c r="C1578" s="8">
        <v>46235</v>
      </c>
      <c r="D1578" s="4" t="s">
        <v>198</v>
      </c>
      <c r="E1578" s="14">
        <v>54.867199999999997</v>
      </c>
      <c r="F1578" s="7">
        <v>33127</v>
      </c>
      <c r="G1578" s="14">
        <v>661.13310000000001</v>
      </c>
      <c r="H1578" s="7">
        <v>914079</v>
      </c>
      <c r="I1578" s="14">
        <v>716.00030000000004</v>
      </c>
      <c r="J1578" s="7">
        <v>947206</v>
      </c>
    </row>
    <row r="1579" spans="1:10" x14ac:dyDescent="0.2">
      <c r="A1579" s="9">
        <v>46245</v>
      </c>
      <c r="B1579" s="4" t="s">
        <v>223</v>
      </c>
      <c r="C1579" s="8">
        <v>46235</v>
      </c>
      <c r="D1579" s="4" t="s">
        <v>198</v>
      </c>
      <c r="E1579" s="14">
        <v>83.215400000000002</v>
      </c>
      <c r="F1579" s="7">
        <v>50264</v>
      </c>
      <c r="G1579" s="14">
        <v>587.63379999999995</v>
      </c>
      <c r="H1579" s="7">
        <v>824725</v>
      </c>
      <c r="I1579" s="14">
        <v>670.8492</v>
      </c>
      <c r="J1579" s="7">
        <v>874989</v>
      </c>
    </row>
    <row r="1580" spans="1:10" x14ac:dyDescent="0.2">
      <c r="A1580" s="9">
        <v>46246</v>
      </c>
      <c r="B1580" s="4" t="s">
        <v>221</v>
      </c>
      <c r="C1580" s="8">
        <v>46235</v>
      </c>
      <c r="D1580" s="4" t="s">
        <v>198</v>
      </c>
      <c r="E1580" s="14">
        <v>134.28980000000001</v>
      </c>
      <c r="F1580" s="7">
        <v>81928</v>
      </c>
      <c r="G1580" s="14">
        <v>744.09130000000005</v>
      </c>
      <c r="H1580" s="7">
        <v>1074023</v>
      </c>
      <c r="I1580" s="14">
        <v>878.38109999999995</v>
      </c>
      <c r="J1580" s="7">
        <v>1155951</v>
      </c>
    </row>
    <row r="1581" spans="1:10" x14ac:dyDescent="0.2">
      <c r="A1581" s="9">
        <v>46247</v>
      </c>
      <c r="B1581" s="4" t="s">
        <v>224</v>
      </c>
      <c r="C1581" s="8">
        <v>46235</v>
      </c>
      <c r="D1581" s="4" t="s">
        <v>198</v>
      </c>
      <c r="E1581" s="14">
        <v>59.484400000000001</v>
      </c>
      <c r="F1581" s="7">
        <v>36394</v>
      </c>
      <c r="G1581" s="14">
        <v>583.77670000000001</v>
      </c>
      <c r="H1581" s="7">
        <v>825905</v>
      </c>
      <c r="I1581" s="14">
        <v>643.26110000000006</v>
      </c>
      <c r="J1581" s="7">
        <v>862299</v>
      </c>
    </row>
    <row r="1582" spans="1:10" x14ac:dyDescent="0.2">
      <c r="A1582" s="9">
        <v>46248</v>
      </c>
      <c r="B1582" s="4" t="s">
        <v>222</v>
      </c>
      <c r="C1582" s="8">
        <v>46235</v>
      </c>
      <c r="D1582" s="4" t="s">
        <v>198</v>
      </c>
      <c r="E1582" s="14">
        <v>76.834100000000007</v>
      </c>
      <c r="F1582" s="7">
        <v>46932</v>
      </c>
      <c r="G1582" s="14">
        <v>585.46050000000002</v>
      </c>
      <c r="H1582" s="7">
        <v>824114</v>
      </c>
      <c r="I1582" s="14">
        <v>662.29459999999995</v>
      </c>
      <c r="J1582" s="7">
        <v>871046</v>
      </c>
    </row>
    <row r="1583" spans="1:10" x14ac:dyDescent="0.2">
      <c r="A1583" s="9">
        <v>46251</v>
      </c>
      <c r="B1583" s="4" t="s">
        <v>225</v>
      </c>
      <c r="C1583" s="8">
        <v>46235</v>
      </c>
      <c r="D1583" s="4" t="s">
        <v>198</v>
      </c>
      <c r="E1583" s="14">
        <v>111.242</v>
      </c>
      <c r="F1583" s="7">
        <v>67841</v>
      </c>
      <c r="G1583" s="14">
        <v>564.32190000000003</v>
      </c>
      <c r="H1583" s="7">
        <v>819705</v>
      </c>
      <c r="I1583" s="14">
        <v>675.56389999999999</v>
      </c>
      <c r="J1583" s="7">
        <v>887546</v>
      </c>
    </row>
    <row r="1584" spans="1:10" x14ac:dyDescent="0.2">
      <c r="A1584" s="9">
        <v>46252</v>
      </c>
      <c r="B1584" s="4" t="s">
        <v>223</v>
      </c>
      <c r="C1584" s="8">
        <v>46235</v>
      </c>
      <c r="D1584" s="4" t="s">
        <v>198</v>
      </c>
      <c r="E1584" s="14">
        <v>102.87560000000001</v>
      </c>
      <c r="F1584" s="7">
        <v>63402</v>
      </c>
      <c r="G1584" s="14">
        <v>731.65160000000003</v>
      </c>
      <c r="H1584" s="7">
        <v>1055193</v>
      </c>
      <c r="I1584" s="14">
        <v>834.52719999999999</v>
      </c>
      <c r="J1584" s="7">
        <v>1118595</v>
      </c>
    </row>
    <row r="1585" spans="1:10" x14ac:dyDescent="0.2">
      <c r="A1585" s="9">
        <v>46253</v>
      </c>
      <c r="B1585" s="4" t="s">
        <v>221</v>
      </c>
      <c r="C1585" s="8">
        <v>46235</v>
      </c>
      <c r="D1585" s="4" t="s">
        <v>198</v>
      </c>
      <c r="E1585" s="14">
        <v>128.20150000000001</v>
      </c>
      <c r="F1585" s="7">
        <v>79325</v>
      </c>
      <c r="G1585" s="14">
        <v>1039.6797999999999</v>
      </c>
      <c r="H1585" s="7">
        <v>1544348</v>
      </c>
      <c r="I1585" s="14">
        <v>1167.8813</v>
      </c>
      <c r="J1585" s="7">
        <v>1623673</v>
      </c>
    </row>
    <row r="1586" spans="1:10" x14ac:dyDescent="0.2">
      <c r="A1586" s="9">
        <v>46254</v>
      </c>
      <c r="B1586" s="4" t="s">
        <v>224</v>
      </c>
      <c r="C1586" s="8">
        <v>46235</v>
      </c>
      <c r="D1586" s="4" t="s">
        <v>198</v>
      </c>
      <c r="E1586" s="14">
        <v>224.88849999999999</v>
      </c>
      <c r="F1586" s="7">
        <v>138452</v>
      </c>
      <c r="G1586" s="14">
        <v>3013.0763999999999</v>
      </c>
      <c r="H1586" s="7">
        <v>4447711</v>
      </c>
      <c r="I1586" s="14">
        <v>3237.9648999999999</v>
      </c>
      <c r="J1586" s="7">
        <v>4586163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30" customWidth="1"/>
    <col min="3" max="3" width="26" customWidth="1"/>
    <col min="4" max="4" width="34" customWidth="1"/>
    <col min="5" max="6" width="30" customWidth="1"/>
    <col min="7" max="7" width="26" customWidth="1"/>
    <col min="8" max="8" width="18" customWidth="1"/>
  </cols>
  <sheetData>
    <row r="1" spans="1:8" x14ac:dyDescent="0.2">
      <c r="A1" s="1" t="s">
        <v>60</v>
      </c>
      <c r="B1" s="12" t="s">
        <v>228</v>
      </c>
      <c r="C1" s="3" t="s">
        <v>229</v>
      </c>
      <c r="D1" s="12" t="s">
        <v>230</v>
      </c>
      <c r="E1" s="3" t="s">
        <v>231</v>
      </c>
      <c r="F1" s="12" t="s">
        <v>232</v>
      </c>
      <c r="G1" s="3" t="s">
        <v>233</v>
      </c>
      <c r="H1" s="21" t="s">
        <v>234</v>
      </c>
    </row>
    <row r="2" spans="1:8" x14ac:dyDescent="0.2">
      <c r="A2" s="4" t="s">
        <v>74</v>
      </c>
      <c r="B2" s="14">
        <v>30.8263</v>
      </c>
      <c r="C2" s="7">
        <v>103777</v>
      </c>
      <c r="D2" s="14">
        <v>16.8034</v>
      </c>
      <c r="E2" s="7">
        <v>33437</v>
      </c>
      <c r="F2" s="14">
        <v>47.6297</v>
      </c>
      <c r="G2" s="7">
        <v>137214</v>
      </c>
      <c r="H2" s="22">
        <v>254</v>
      </c>
    </row>
    <row r="3" spans="1:8" x14ac:dyDescent="0.2">
      <c r="A3" s="4" t="s">
        <v>75</v>
      </c>
      <c r="B3" s="14">
        <v>135.9966</v>
      </c>
      <c r="C3" s="7">
        <v>449630</v>
      </c>
      <c r="D3" s="14">
        <v>2.1284999999999998</v>
      </c>
      <c r="E3" s="7">
        <v>6725</v>
      </c>
      <c r="F3" s="14">
        <v>138.1251</v>
      </c>
      <c r="G3" s="7">
        <v>456355</v>
      </c>
      <c r="H3" s="22">
        <v>253</v>
      </c>
    </row>
    <row r="4" spans="1:8" x14ac:dyDescent="0.2">
      <c r="A4" s="4" t="s">
        <v>76</v>
      </c>
      <c r="B4" s="14">
        <v>0.05</v>
      </c>
      <c r="C4" s="7">
        <v>89</v>
      </c>
      <c r="D4" s="14">
        <v>4.8999999999999998E-3</v>
      </c>
      <c r="E4" s="7">
        <v>12</v>
      </c>
      <c r="F4" s="14">
        <v>5.4899999999999997E-2</v>
      </c>
      <c r="G4" s="7">
        <v>101</v>
      </c>
      <c r="H4" s="22">
        <v>251</v>
      </c>
    </row>
    <row r="5" spans="1:8" x14ac:dyDescent="0.2">
      <c r="A5" s="4" t="s">
        <v>77</v>
      </c>
      <c r="B5" s="14">
        <v>554.90859999999998</v>
      </c>
      <c r="C5" s="7">
        <v>1638779</v>
      </c>
      <c r="D5" s="14">
        <v>35.155000000000001</v>
      </c>
      <c r="E5" s="7">
        <v>142433</v>
      </c>
      <c r="F5" s="14">
        <v>590.06359999999995</v>
      </c>
      <c r="G5" s="7">
        <v>1781212</v>
      </c>
      <c r="H5" s="22">
        <v>249</v>
      </c>
    </row>
    <row r="6" spans="1:8" x14ac:dyDescent="0.2">
      <c r="A6" s="4" t="s">
        <v>78</v>
      </c>
      <c r="B6" s="14">
        <v>2346.6016</v>
      </c>
      <c r="C6" s="7">
        <v>7157078</v>
      </c>
      <c r="D6" s="14">
        <v>76.092399999999998</v>
      </c>
      <c r="E6" s="7">
        <v>295117</v>
      </c>
      <c r="F6" s="14">
        <v>2422.694</v>
      </c>
      <c r="G6" s="7">
        <v>7452195</v>
      </c>
      <c r="H6" s="22">
        <v>251</v>
      </c>
    </row>
    <row r="7" spans="1:8" x14ac:dyDescent="0.2">
      <c r="A7" s="4" t="s">
        <v>79</v>
      </c>
      <c r="B7" s="14">
        <v>117.5722</v>
      </c>
      <c r="C7" s="7">
        <v>495830</v>
      </c>
      <c r="D7" s="14">
        <v>8.4900000000000003E-2</v>
      </c>
      <c r="E7" s="7">
        <v>299</v>
      </c>
      <c r="F7" s="14">
        <v>117.6571</v>
      </c>
      <c r="G7" s="7">
        <v>496129</v>
      </c>
      <c r="H7" s="22">
        <v>243</v>
      </c>
    </row>
    <row r="8" spans="1:8" x14ac:dyDescent="0.2">
      <c r="A8" s="4" t="s">
        <v>80</v>
      </c>
      <c r="B8" s="14">
        <v>0.96</v>
      </c>
      <c r="C8" s="7">
        <v>3744</v>
      </c>
      <c r="D8" s="14">
        <v>3.0000000000000001E-3</v>
      </c>
      <c r="E8" s="7">
        <v>8</v>
      </c>
      <c r="F8" s="14">
        <v>0.96299999999999997</v>
      </c>
      <c r="G8" s="7">
        <v>3752</v>
      </c>
      <c r="H8" s="22">
        <v>244</v>
      </c>
    </row>
    <row r="9" spans="1:8" x14ac:dyDescent="0.2">
      <c r="A9" s="4" t="s">
        <v>81</v>
      </c>
      <c r="B9" s="14">
        <v>1.5407999999999999</v>
      </c>
      <c r="C9" s="7">
        <v>5613</v>
      </c>
      <c r="D9" s="14">
        <v>0</v>
      </c>
      <c r="E9" s="7">
        <v>0</v>
      </c>
      <c r="F9" s="14">
        <v>1.5407999999999999</v>
      </c>
      <c r="G9" s="7">
        <v>5613</v>
      </c>
      <c r="H9" s="22">
        <v>255</v>
      </c>
    </row>
    <row r="10" spans="1:8" x14ac:dyDescent="0.2">
      <c r="A10" s="4" t="s">
        <v>82</v>
      </c>
      <c r="B10" s="14">
        <v>1784.4883</v>
      </c>
      <c r="C10" s="7">
        <v>7073334</v>
      </c>
      <c r="D10" s="14">
        <v>102.157</v>
      </c>
      <c r="E10" s="7">
        <v>326342</v>
      </c>
      <c r="F10" s="14">
        <v>1886.6452999999999</v>
      </c>
      <c r="G10" s="7">
        <v>7399676</v>
      </c>
      <c r="H10" s="22">
        <v>249</v>
      </c>
    </row>
    <row r="11" spans="1:8" x14ac:dyDescent="0.2">
      <c r="A11" s="4" t="s">
        <v>83</v>
      </c>
      <c r="B11" s="14">
        <v>1224.2978000000001</v>
      </c>
      <c r="C11" s="7">
        <v>4701927</v>
      </c>
      <c r="D11" s="14">
        <v>34.200699999999998</v>
      </c>
      <c r="E11" s="7">
        <v>116933</v>
      </c>
      <c r="F11" s="14">
        <v>1258.4984999999999</v>
      </c>
      <c r="G11" s="7">
        <v>4818860</v>
      </c>
      <c r="H11" s="22">
        <v>250</v>
      </c>
    </row>
    <row r="12" spans="1:8" x14ac:dyDescent="0.2">
      <c r="A12" s="4" t="s">
        <v>84</v>
      </c>
      <c r="B12" s="14">
        <v>634.9384</v>
      </c>
      <c r="C12" s="7">
        <v>2136269</v>
      </c>
      <c r="D12" s="14">
        <v>545.99419999999998</v>
      </c>
      <c r="E12" s="7">
        <v>1901877</v>
      </c>
      <c r="F12" s="14">
        <v>1180.9326000000001</v>
      </c>
      <c r="G12" s="7">
        <v>4038146</v>
      </c>
      <c r="H12" s="22">
        <v>251</v>
      </c>
    </row>
    <row r="13" spans="1:8" x14ac:dyDescent="0.2">
      <c r="A13" s="4" t="s">
        <v>85</v>
      </c>
      <c r="B13" s="14">
        <v>486.32350000000002</v>
      </c>
      <c r="C13" s="7">
        <v>1227926</v>
      </c>
      <c r="D13" s="14">
        <v>97.942599999999999</v>
      </c>
      <c r="E13" s="7">
        <v>305714</v>
      </c>
      <c r="F13" s="14">
        <v>584.26610000000005</v>
      </c>
      <c r="G13" s="7">
        <v>1533640</v>
      </c>
      <c r="H13" s="22">
        <v>243</v>
      </c>
    </row>
    <row r="14" spans="1:8" x14ac:dyDescent="0.2">
      <c r="A14" s="4" t="s">
        <v>86</v>
      </c>
      <c r="B14" s="14">
        <v>130.9716</v>
      </c>
      <c r="C14" s="7">
        <v>306712</v>
      </c>
      <c r="D14" s="14">
        <v>13.495900000000001</v>
      </c>
      <c r="E14" s="7">
        <v>51815</v>
      </c>
      <c r="F14" s="14">
        <v>144.4675</v>
      </c>
      <c r="G14" s="7">
        <v>358527</v>
      </c>
      <c r="H14" s="22">
        <v>247</v>
      </c>
    </row>
    <row r="15" spans="1:8" x14ac:dyDescent="0.2">
      <c r="A15" s="4" t="s">
        <v>87</v>
      </c>
      <c r="B15" s="14">
        <v>22.668600000000001</v>
      </c>
      <c r="C15" s="7">
        <v>32288</v>
      </c>
      <c r="D15" s="14">
        <v>2.0308000000000002</v>
      </c>
      <c r="E15" s="7">
        <v>2901</v>
      </c>
      <c r="F15" s="14">
        <v>24.699400000000001</v>
      </c>
      <c r="G15" s="7">
        <v>35189</v>
      </c>
      <c r="H15" s="22">
        <v>248</v>
      </c>
    </row>
    <row r="16" spans="1:8" x14ac:dyDescent="0.2">
      <c r="A16" s="4" t="s">
        <v>88</v>
      </c>
      <c r="B16" s="14">
        <v>32.1751</v>
      </c>
      <c r="C16" s="7">
        <v>44117</v>
      </c>
      <c r="D16" s="14">
        <v>0.36759999999999998</v>
      </c>
      <c r="E16" s="7">
        <v>467</v>
      </c>
      <c r="F16" s="14">
        <v>32.542700000000004</v>
      </c>
      <c r="G16" s="7">
        <v>44584</v>
      </c>
      <c r="H16" s="22">
        <v>246</v>
      </c>
    </row>
    <row r="17" spans="1:8" x14ac:dyDescent="0.2">
      <c r="A17" s="4" t="s">
        <v>89</v>
      </c>
      <c r="B17" s="14">
        <v>0.39129999999999998</v>
      </c>
      <c r="C17" s="7">
        <v>438</v>
      </c>
      <c r="D17" s="14">
        <v>0.1777</v>
      </c>
      <c r="E17" s="7">
        <v>271</v>
      </c>
      <c r="F17" s="14">
        <v>0.56899999999999995</v>
      </c>
      <c r="G17" s="7">
        <v>709</v>
      </c>
      <c r="H17" s="22">
        <v>247</v>
      </c>
    </row>
    <row r="18" spans="1:8" x14ac:dyDescent="0.2">
      <c r="A18" s="4" t="s">
        <v>90</v>
      </c>
      <c r="B18" s="14">
        <v>149.33690000000001</v>
      </c>
      <c r="C18" s="7">
        <v>150212</v>
      </c>
      <c r="D18" s="14">
        <v>1.63</v>
      </c>
      <c r="E18" s="7">
        <v>2983</v>
      </c>
      <c r="F18" s="14">
        <v>150.96690000000001</v>
      </c>
      <c r="G18" s="7">
        <v>153195</v>
      </c>
      <c r="H18" s="22">
        <v>247</v>
      </c>
    </row>
    <row r="19" spans="1:8" x14ac:dyDescent="0.2">
      <c r="A19" s="4" t="s">
        <v>91</v>
      </c>
      <c r="B19" s="14">
        <v>50.102699999999999</v>
      </c>
      <c r="C19" s="7">
        <v>53629</v>
      </c>
      <c r="D19" s="14"/>
      <c r="E19" s="7"/>
      <c r="F19" s="14">
        <v>50.102699999999999</v>
      </c>
      <c r="G19" s="7">
        <v>53629</v>
      </c>
      <c r="H19" s="22">
        <v>248</v>
      </c>
    </row>
    <row r="20" spans="1:8" x14ac:dyDescent="0.2">
      <c r="A20" s="4" t="s">
        <v>92</v>
      </c>
      <c r="B20" s="14">
        <v>4.9352</v>
      </c>
      <c r="C20" s="7">
        <v>4454</v>
      </c>
      <c r="D20" s="14">
        <v>0</v>
      </c>
      <c r="E20" s="7">
        <v>0</v>
      </c>
      <c r="F20" s="14">
        <v>4.9352</v>
      </c>
      <c r="G20" s="7">
        <v>4454</v>
      </c>
      <c r="H20" s="22">
        <v>248</v>
      </c>
    </row>
    <row r="21" spans="1:8" x14ac:dyDescent="0.2">
      <c r="A21" s="4" t="s">
        <v>93</v>
      </c>
      <c r="B21" s="14">
        <v>0.58650000000000002</v>
      </c>
      <c r="C21" s="7">
        <v>651</v>
      </c>
      <c r="D21" s="14">
        <v>0</v>
      </c>
      <c r="E21" s="7">
        <v>0</v>
      </c>
      <c r="F21" s="14">
        <v>0.58650000000000002</v>
      </c>
      <c r="G21" s="7">
        <v>651</v>
      </c>
      <c r="H21" s="22">
        <v>249</v>
      </c>
    </row>
    <row r="22" spans="1:8" x14ac:dyDescent="0.2">
      <c r="A22" s="4" t="s">
        <v>94</v>
      </c>
      <c r="B22" s="14">
        <v>202.47130000000001</v>
      </c>
      <c r="C22" s="7">
        <v>281532</v>
      </c>
      <c r="D22" s="14">
        <v>8.9999999999999998E-4</v>
      </c>
      <c r="E22" s="7">
        <v>1</v>
      </c>
      <c r="F22" s="14">
        <v>202.47219999999999</v>
      </c>
      <c r="G22" s="7">
        <v>281533</v>
      </c>
      <c r="H22" s="22">
        <v>231</v>
      </c>
    </row>
    <row r="23" spans="1:8" x14ac:dyDescent="0.2">
      <c r="A23" s="4" t="s">
        <v>95</v>
      </c>
      <c r="B23" s="14">
        <v>508.34230000000002</v>
      </c>
      <c r="C23" s="7">
        <v>554035</v>
      </c>
      <c r="D23" s="14">
        <v>7.44</v>
      </c>
      <c r="E23" s="7">
        <v>10289</v>
      </c>
      <c r="F23" s="14">
        <v>515.78229999999996</v>
      </c>
      <c r="G23" s="7">
        <v>564324</v>
      </c>
      <c r="H23" s="22">
        <v>249</v>
      </c>
    </row>
    <row r="24" spans="1:8" x14ac:dyDescent="0.2">
      <c r="A24" s="4" t="s">
        <v>96</v>
      </c>
      <c r="B24" s="14">
        <v>836.51710000000003</v>
      </c>
      <c r="C24" s="7">
        <v>515747</v>
      </c>
      <c r="D24" s="14">
        <v>8.7321000000000009</v>
      </c>
      <c r="E24" s="7">
        <v>13312</v>
      </c>
      <c r="F24" s="14">
        <v>845.24919999999997</v>
      </c>
      <c r="G24" s="7">
        <v>529059</v>
      </c>
      <c r="H24" s="22">
        <v>247</v>
      </c>
    </row>
    <row r="25" spans="1:8" x14ac:dyDescent="0.2">
      <c r="A25" s="4" t="s">
        <v>97</v>
      </c>
      <c r="B25" s="14">
        <v>339.13589999999999</v>
      </c>
      <c r="C25" s="7">
        <v>220957</v>
      </c>
      <c r="D25" s="14">
        <v>0.39539999999999997</v>
      </c>
      <c r="E25" s="7">
        <v>610</v>
      </c>
      <c r="F25" s="14">
        <v>339.53129999999999</v>
      </c>
      <c r="G25" s="7">
        <v>221567</v>
      </c>
      <c r="H25" s="22">
        <v>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7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12" customWidth="1"/>
    <col min="4" max="4" width="30" customWidth="1"/>
    <col min="5" max="5" width="26" customWidth="1"/>
    <col min="6" max="6" width="34" customWidth="1"/>
    <col min="7" max="8" width="30" customWidth="1"/>
    <col min="9" max="9" width="26" customWidth="1"/>
    <col min="10" max="10" width="18" customWidth="1"/>
  </cols>
  <sheetData>
    <row r="1" spans="1:10" x14ac:dyDescent="0.2">
      <c r="A1" s="1" t="s">
        <v>205</v>
      </c>
      <c r="B1" s="1" t="s">
        <v>60</v>
      </c>
      <c r="C1" s="1" t="s">
        <v>104</v>
      </c>
      <c r="D1" s="12" t="s">
        <v>228</v>
      </c>
      <c r="E1" s="3" t="s">
        <v>229</v>
      </c>
      <c r="F1" s="12" t="s">
        <v>230</v>
      </c>
      <c r="G1" s="3" t="s">
        <v>231</v>
      </c>
      <c r="H1" s="12" t="s">
        <v>232</v>
      </c>
      <c r="I1" s="3" t="s">
        <v>233</v>
      </c>
      <c r="J1" s="21" t="s">
        <v>234</v>
      </c>
    </row>
    <row r="2" spans="1:10" x14ac:dyDescent="0.2">
      <c r="A2" s="8">
        <v>37987</v>
      </c>
      <c r="B2" s="4" t="s">
        <v>74</v>
      </c>
      <c r="C2" s="4" t="s">
        <v>108</v>
      </c>
      <c r="D2" s="14">
        <v>22.131900000000002</v>
      </c>
      <c r="E2" s="7">
        <v>73551</v>
      </c>
      <c r="F2" s="14">
        <v>14.984400000000001</v>
      </c>
      <c r="G2" s="7">
        <v>28374</v>
      </c>
      <c r="H2" s="14">
        <v>37.116300000000003</v>
      </c>
      <c r="I2" s="7">
        <v>101925</v>
      </c>
      <c r="J2" s="22">
        <v>21</v>
      </c>
    </row>
    <row r="3" spans="1:10" x14ac:dyDescent="0.2">
      <c r="A3" s="8">
        <v>38018</v>
      </c>
      <c r="B3" s="4" t="s">
        <v>74</v>
      </c>
      <c r="C3" s="4" t="s">
        <v>108</v>
      </c>
      <c r="D3" s="14">
        <v>5.5506000000000002</v>
      </c>
      <c r="E3" s="7">
        <v>19086</v>
      </c>
      <c r="F3" s="14">
        <v>0.78649999999999998</v>
      </c>
      <c r="G3" s="7">
        <v>1647</v>
      </c>
      <c r="H3" s="14">
        <v>6.3371000000000004</v>
      </c>
      <c r="I3" s="7">
        <v>20733</v>
      </c>
      <c r="J3" s="22">
        <v>19</v>
      </c>
    </row>
    <row r="4" spans="1:10" x14ac:dyDescent="0.2">
      <c r="A4" s="8">
        <v>38047</v>
      </c>
      <c r="B4" s="4" t="s">
        <v>74</v>
      </c>
      <c r="C4" s="4" t="s">
        <v>108</v>
      </c>
      <c r="D4" s="14">
        <v>3.1438000000000001</v>
      </c>
      <c r="E4" s="7">
        <v>11140</v>
      </c>
      <c r="F4" s="14">
        <v>1.0325</v>
      </c>
      <c r="G4" s="7">
        <v>3416</v>
      </c>
      <c r="H4" s="14">
        <v>4.1763000000000003</v>
      </c>
      <c r="I4" s="7">
        <v>14556</v>
      </c>
      <c r="J4" s="22">
        <v>22</v>
      </c>
    </row>
    <row r="5" spans="1:10" x14ac:dyDescent="0.2">
      <c r="A5" s="8">
        <v>38078</v>
      </c>
      <c r="B5" s="4" t="s">
        <v>75</v>
      </c>
      <c r="C5" s="4" t="s">
        <v>109</v>
      </c>
      <c r="D5" s="14">
        <v>0.7601</v>
      </c>
      <c r="E5" s="7">
        <v>2633</v>
      </c>
      <c r="F5" s="14">
        <v>8.7800000000000003E-2</v>
      </c>
      <c r="G5" s="7">
        <v>259</v>
      </c>
      <c r="H5" s="14">
        <v>0.84789999999999999</v>
      </c>
      <c r="I5" s="7">
        <v>2892</v>
      </c>
      <c r="J5" s="22">
        <v>20</v>
      </c>
    </row>
    <row r="6" spans="1:10" x14ac:dyDescent="0.2">
      <c r="A6" s="8">
        <v>38108</v>
      </c>
      <c r="B6" s="4" t="s">
        <v>75</v>
      </c>
      <c r="C6" s="4" t="s">
        <v>109</v>
      </c>
      <c r="D6" s="14">
        <v>0</v>
      </c>
      <c r="E6" s="7">
        <v>0</v>
      </c>
      <c r="F6" s="14">
        <v>0.38769999999999999</v>
      </c>
      <c r="G6" s="7">
        <v>1146</v>
      </c>
      <c r="H6" s="14">
        <v>0.38769999999999999</v>
      </c>
      <c r="I6" s="7">
        <v>1146</v>
      </c>
      <c r="J6" s="22">
        <v>21</v>
      </c>
    </row>
    <row r="7" spans="1:10" x14ac:dyDescent="0.2">
      <c r="A7" s="8">
        <v>38139</v>
      </c>
      <c r="B7" s="4" t="s">
        <v>75</v>
      </c>
      <c r="C7" s="4" t="s">
        <v>109</v>
      </c>
      <c r="D7" s="14">
        <v>0</v>
      </c>
      <c r="E7" s="7">
        <v>0</v>
      </c>
      <c r="F7" s="14">
        <v>0</v>
      </c>
      <c r="G7" s="7">
        <v>0</v>
      </c>
      <c r="H7" s="14">
        <v>0</v>
      </c>
      <c r="I7" s="7">
        <v>0</v>
      </c>
      <c r="J7" s="22">
        <v>22</v>
      </c>
    </row>
    <row r="8" spans="1:10" x14ac:dyDescent="0.2">
      <c r="A8" s="8">
        <v>38169</v>
      </c>
      <c r="B8" s="4" t="s">
        <v>75</v>
      </c>
      <c r="C8" s="4" t="s">
        <v>110</v>
      </c>
      <c r="D8" s="14">
        <v>0</v>
      </c>
      <c r="E8" s="7">
        <v>0</v>
      </c>
      <c r="F8" s="14">
        <v>3.2000000000000002E-3</v>
      </c>
      <c r="G8" s="7">
        <v>10</v>
      </c>
      <c r="H8" s="14">
        <v>3.2000000000000002E-3</v>
      </c>
      <c r="I8" s="7">
        <v>10</v>
      </c>
      <c r="J8" s="22">
        <v>22</v>
      </c>
    </row>
    <row r="9" spans="1:10" x14ac:dyDescent="0.2">
      <c r="A9" s="8">
        <v>38200</v>
      </c>
      <c r="B9" s="4" t="s">
        <v>75</v>
      </c>
      <c r="C9" s="4" t="s">
        <v>110</v>
      </c>
      <c r="D9" s="14">
        <v>0</v>
      </c>
      <c r="E9" s="7">
        <v>0</v>
      </c>
      <c r="F9" s="14">
        <v>0</v>
      </c>
      <c r="G9" s="7">
        <v>0</v>
      </c>
      <c r="H9" s="14">
        <v>0</v>
      </c>
      <c r="I9" s="7">
        <v>0</v>
      </c>
      <c r="J9" s="22">
        <v>22</v>
      </c>
    </row>
    <row r="10" spans="1:10" x14ac:dyDescent="0.2">
      <c r="A10" s="8">
        <v>38231</v>
      </c>
      <c r="B10" s="4" t="s">
        <v>75</v>
      </c>
      <c r="C10" s="4" t="s">
        <v>110</v>
      </c>
      <c r="D10" s="14">
        <v>8.3370999999999995</v>
      </c>
      <c r="E10" s="7">
        <v>30234</v>
      </c>
      <c r="F10" s="14">
        <v>0.3246</v>
      </c>
      <c r="G10" s="7">
        <v>1308</v>
      </c>
      <c r="H10" s="14">
        <v>8.6616999999999997</v>
      </c>
      <c r="I10" s="7">
        <v>31542</v>
      </c>
      <c r="J10" s="22">
        <v>22</v>
      </c>
    </row>
    <row r="11" spans="1:10" x14ac:dyDescent="0.2">
      <c r="A11" s="8">
        <v>38261</v>
      </c>
      <c r="B11" s="4" t="s">
        <v>75</v>
      </c>
      <c r="C11" s="4" t="s">
        <v>111</v>
      </c>
      <c r="D11" s="14">
        <v>27.753299999999999</v>
      </c>
      <c r="E11" s="7">
        <v>97381</v>
      </c>
      <c r="F11" s="14">
        <v>8.8999999999999999E-3</v>
      </c>
      <c r="G11" s="7">
        <v>24</v>
      </c>
      <c r="H11" s="14">
        <v>27.7622</v>
      </c>
      <c r="I11" s="7">
        <v>97405</v>
      </c>
      <c r="J11" s="22">
        <v>20</v>
      </c>
    </row>
    <row r="12" spans="1:10" x14ac:dyDescent="0.2">
      <c r="A12" s="8">
        <v>38292</v>
      </c>
      <c r="B12" s="4" t="s">
        <v>75</v>
      </c>
      <c r="C12" s="4" t="s">
        <v>111</v>
      </c>
      <c r="D12" s="14">
        <v>41.9285</v>
      </c>
      <c r="E12" s="7">
        <v>140680</v>
      </c>
      <c r="F12" s="14">
        <v>0.2016</v>
      </c>
      <c r="G12" s="7">
        <v>621</v>
      </c>
      <c r="H12" s="14">
        <v>42.130099999999999</v>
      </c>
      <c r="I12" s="7">
        <v>141301</v>
      </c>
      <c r="J12" s="22">
        <v>20</v>
      </c>
    </row>
    <row r="13" spans="1:10" x14ac:dyDescent="0.2">
      <c r="A13" s="8">
        <v>38322</v>
      </c>
      <c r="B13" s="4" t="s">
        <v>75</v>
      </c>
      <c r="C13" s="4" t="s">
        <v>111</v>
      </c>
      <c r="D13" s="14">
        <v>44.5443</v>
      </c>
      <c r="E13" s="7">
        <v>139550</v>
      </c>
      <c r="F13" s="14">
        <v>0.50370000000000004</v>
      </c>
      <c r="G13" s="7">
        <v>1583</v>
      </c>
      <c r="H13" s="14">
        <v>45.048000000000002</v>
      </c>
      <c r="I13" s="7">
        <v>141133</v>
      </c>
      <c r="J13" s="22">
        <v>23</v>
      </c>
    </row>
    <row r="14" spans="1:10" x14ac:dyDescent="0.2">
      <c r="A14" s="8">
        <v>38353</v>
      </c>
      <c r="B14" s="4" t="s">
        <v>75</v>
      </c>
      <c r="C14" s="4" t="s">
        <v>112</v>
      </c>
      <c r="D14" s="14">
        <v>10.9062</v>
      </c>
      <c r="E14" s="7">
        <v>33839</v>
      </c>
      <c r="F14" s="14">
        <v>0.2356</v>
      </c>
      <c r="G14" s="7">
        <v>717</v>
      </c>
      <c r="H14" s="14">
        <v>11.1418</v>
      </c>
      <c r="I14" s="7">
        <v>34556</v>
      </c>
      <c r="J14" s="22">
        <v>19</v>
      </c>
    </row>
    <row r="15" spans="1:10" x14ac:dyDescent="0.2">
      <c r="A15" s="8">
        <v>38384</v>
      </c>
      <c r="B15" s="4" t="s">
        <v>75</v>
      </c>
      <c r="C15" s="4" t="s">
        <v>112</v>
      </c>
      <c r="D15" s="14">
        <v>1.3481000000000001</v>
      </c>
      <c r="E15" s="7">
        <v>4077</v>
      </c>
      <c r="F15" s="14">
        <v>0.2064</v>
      </c>
      <c r="G15" s="7">
        <v>637</v>
      </c>
      <c r="H15" s="14">
        <v>1.5545</v>
      </c>
      <c r="I15" s="7">
        <v>4714</v>
      </c>
      <c r="J15" s="22">
        <v>20</v>
      </c>
    </row>
    <row r="16" spans="1:10" x14ac:dyDescent="0.2">
      <c r="A16" s="8">
        <v>38412</v>
      </c>
      <c r="B16" s="4" t="s">
        <v>75</v>
      </c>
      <c r="C16" s="4" t="s">
        <v>112</v>
      </c>
      <c r="D16" s="14">
        <v>0.41899999999999998</v>
      </c>
      <c r="E16" s="7">
        <v>1236</v>
      </c>
      <c r="F16" s="14">
        <v>0.16900000000000001</v>
      </c>
      <c r="G16" s="7">
        <v>420</v>
      </c>
      <c r="H16" s="14">
        <v>0.58799999999999997</v>
      </c>
      <c r="I16" s="7">
        <v>1656</v>
      </c>
      <c r="J16" s="22">
        <v>22</v>
      </c>
    </row>
    <row r="17" spans="1:10" x14ac:dyDescent="0.2">
      <c r="A17" s="8">
        <v>38443</v>
      </c>
      <c r="B17" s="4" t="s">
        <v>76</v>
      </c>
      <c r="C17" s="4" t="s">
        <v>113</v>
      </c>
      <c r="D17" s="14">
        <v>0</v>
      </c>
      <c r="E17" s="7">
        <v>0</v>
      </c>
      <c r="F17" s="14">
        <v>0</v>
      </c>
      <c r="G17" s="7">
        <v>0</v>
      </c>
      <c r="H17" s="14">
        <v>0</v>
      </c>
      <c r="I17" s="7">
        <v>0</v>
      </c>
      <c r="J17" s="22">
        <v>20</v>
      </c>
    </row>
    <row r="18" spans="1:10" x14ac:dyDescent="0.2">
      <c r="A18" s="8">
        <v>38473</v>
      </c>
      <c r="B18" s="4" t="s">
        <v>76</v>
      </c>
      <c r="C18" s="4" t="s">
        <v>113</v>
      </c>
      <c r="D18" s="14">
        <v>0</v>
      </c>
      <c r="E18" s="7">
        <v>0</v>
      </c>
      <c r="F18" s="14">
        <v>0</v>
      </c>
      <c r="G18" s="7">
        <v>0</v>
      </c>
      <c r="H18" s="14">
        <v>0</v>
      </c>
      <c r="I18" s="7">
        <v>0</v>
      </c>
      <c r="J18" s="22">
        <v>21</v>
      </c>
    </row>
    <row r="19" spans="1:10" x14ac:dyDescent="0.2">
      <c r="A19" s="8">
        <v>38504</v>
      </c>
      <c r="B19" s="4" t="s">
        <v>76</v>
      </c>
      <c r="C19" s="4" t="s">
        <v>113</v>
      </c>
      <c r="D19" s="14">
        <v>0</v>
      </c>
      <c r="E19" s="7">
        <v>0</v>
      </c>
      <c r="F19" s="14">
        <v>0</v>
      </c>
      <c r="G19" s="7">
        <v>0</v>
      </c>
      <c r="H19" s="14">
        <v>0</v>
      </c>
      <c r="I19" s="7">
        <v>0</v>
      </c>
      <c r="J19" s="22">
        <v>22</v>
      </c>
    </row>
    <row r="20" spans="1:10" x14ac:dyDescent="0.2">
      <c r="A20" s="8">
        <v>38534</v>
      </c>
      <c r="B20" s="4" t="s">
        <v>76</v>
      </c>
      <c r="C20" s="4" t="s">
        <v>114</v>
      </c>
      <c r="D20" s="14">
        <v>0</v>
      </c>
      <c r="E20" s="7">
        <v>0</v>
      </c>
      <c r="F20" s="14">
        <v>0</v>
      </c>
      <c r="G20" s="7">
        <v>0</v>
      </c>
      <c r="H20" s="14">
        <v>0</v>
      </c>
      <c r="I20" s="7">
        <v>0</v>
      </c>
      <c r="J20" s="22">
        <v>22</v>
      </c>
    </row>
    <row r="21" spans="1:10" x14ac:dyDescent="0.2">
      <c r="A21" s="8">
        <v>38565</v>
      </c>
      <c r="B21" s="4" t="s">
        <v>76</v>
      </c>
      <c r="C21" s="4" t="s">
        <v>114</v>
      </c>
      <c r="D21" s="14">
        <v>0</v>
      </c>
      <c r="E21" s="7">
        <v>0</v>
      </c>
      <c r="F21" s="14">
        <v>0</v>
      </c>
      <c r="G21" s="7">
        <v>0</v>
      </c>
      <c r="H21" s="14">
        <v>0</v>
      </c>
      <c r="I21" s="7">
        <v>0</v>
      </c>
      <c r="J21" s="22">
        <v>22</v>
      </c>
    </row>
    <row r="22" spans="1:10" x14ac:dyDescent="0.2">
      <c r="A22" s="8">
        <v>38596</v>
      </c>
      <c r="B22" s="4" t="s">
        <v>76</v>
      </c>
      <c r="C22" s="4" t="s">
        <v>114</v>
      </c>
      <c r="D22" s="14">
        <v>0</v>
      </c>
      <c r="E22" s="7">
        <v>0</v>
      </c>
      <c r="F22" s="14">
        <v>0</v>
      </c>
      <c r="G22" s="7">
        <v>0</v>
      </c>
      <c r="H22" s="14">
        <v>0</v>
      </c>
      <c r="I22" s="7">
        <v>0</v>
      </c>
      <c r="J22" s="22">
        <v>21</v>
      </c>
    </row>
    <row r="23" spans="1:10" x14ac:dyDescent="0.2">
      <c r="A23" s="8">
        <v>38626</v>
      </c>
      <c r="B23" s="4" t="s">
        <v>76</v>
      </c>
      <c r="C23" s="4" t="s">
        <v>115</v>
      </c>
      <c r="D23" s="14">
        <v>0</v>
      </c>
      <c r="E23" s="7">
        <v>0</v>
      </c>
      <c r="F23" s="14">
        <v>0</v>
      </c>
      <c r="G23" s="7">
        <v>0</v>
      </c>
      <c r="H23" s="14">
        <v>0</v>
      </c>
      <c r="I23" s="7">
        <v>0</v>
      </c>
      <c r="J23" s="22">
        <v>20</v>
      </c>
    </row>
    <row r="24" spans="1:10" x14ac:dyDescent="0.2">
      <c r="A24" s="8">
        <v>38657</v>
      </c>
      <c r="B24" s="4" t="s">
        <v>76</v>
      </c>
      <c r="C24" s="4" t="s">
        <v>115</v>
      </c>
      <c r="D24" s="14">
        <v>0</v>
      </c>
      <c r="E24" s="7">
        <v>0</v>
      </c>
      <c r="F24" s="14">
        <v>0</v>
      </c>
      <c r="G24" s="7">
        <v>0</v>
      </c>
      <c r="H24" s="14">
        <v>0</v>
      </c>
      <c r="I24" s="7">
        <v>0</v>
      </c>
      <c r="J24" s="22">
        <v>20</v>
      </c>
    </row>
    <row r="25" spans="1:10" x14ac:dyDescent="0.2">
      <c r="A25" s="8">
        <v>38687</v>
      </c>
      <c r="B25" s="4" t="s">
        <v>76</v>
      </c>
      <c r="C25" s="4" t="s">
        <v>115</v>
      </c>
      <c r="D25" s="14">
        <v>0</v>
      </c>
      <c r="E25" s="7">
        <v>0</v>
      </c>
      <c r="F25" s="14">
        <v>0</v>
      </c>
      <c r="G25" s="7">
        <v>0</v>
      </c>
      <c r="H25" s="14">
        <v>0</v>
      </c>
      <c r="I25" s="7">
        <v>0</v>
      </c>
      <c r="J25" s="22">
        <v>22</v>
      </c>
    </row>
    <row r="26" spans="1:10" x14ac:dyDescent="0.2">
      <c r="A26" s="8">
        <v>38718</v>
      </c>
      <c r="B26" s="4" t="s">
        <v>76</v>
      </c>
      <c r="C26" s="4" t="s">
        <v>116</v>
      </c>
      <c r="D26" s="14">
        <v>0</v>
      </c>
      <c r="E26" s="7">
        <v>0</v>
      </c>
      <c r="F26" s="14">
        <v>0</v>
      </c>
      <c r="G26" s="7">
        <v>0</v>
      </c>
      <c r="H26" s="14">
        <v>0</v>
      </c>
      <c r="I26" s="7">
        <v>0</v>
      </c>
      <c r="J26" s="22">
        <v>20</v>
      </c>
    </row>
    <row r="27" spans="1:10" x14ac:dyDescent="0.2">
      <c r="A27" s="8">
        <v>38749</v>
      </c>
      <c r="B27" s="4" t="s">
        <v>76</v>
      </c>
      <c r="C27" s="4" t="s">
        <v>116</v>
      </c>
      <c r="D27" s="14">
        <v>5.0000000000000001E-4</v>
      </c>
      <c r="E27" s="7">
        <v>1</v>
      </c>
      <c r="F27" s="14">
        <v>4.0000000000000002E-4</v>
      </c>
      <c r="G27" s="7">
        <v>1</v>
      </c>
      <c r="H27" s="14">
        <v>8.9999999999999998E-4</v>
      </c>
      <c r="I27" s="7">
        <v>2</v>
      </c>
      <c r="J27" s="22">
        <v>19</v>
      </c>
    </row>
    <row r="28" spans="1:10" x14ac:dyDescent="0.2">
      <c r="A28" s="8">
        <v>38777</v>
      </c>
      <c r="B28" s="4" t="s">
        <v>76</v>
      </c>
      <c r="C28" s="4" t="s">
        <v>116</v>
      </c>
      <c r="D28" s="14">
        <v>4.9500000000000002E-2</v>
      </c>
      <c r="E28" s="7">
        <v>88</v>
      </c>
      <c r="F28" s="14">
        <v>4.4999999999999997E-3</v>
      </c>
      <c r="G28" s="7">
        <v>11</v>
      </c>
      <c r="H28" s="14">
        <v>5.3999999999999999E-2</v>
      </c>
      <c r="I28" s="7">
        <v>99</v>
      </c>
      <c r="J28" s="22">
        <v>22</v>
      </c>
    </row>
    <row r="29" spans="1:10" x14ac:dyDescent="0.2">
      <c r="A29" s="8">
        <v>38808</v>
      </c>
      <c r="B29" s="4" t="s">
        <v>77</v>
      </c>
      <c r="C29" s="4" t="s">
        <v>117</v>
      </c>
      <c r="D29" s="14">
        <v>1.3899999999999999E-2</v>
      </c>
      <c r="E29" s="7">
        <v>24</v>
      </c>
      <c r="F29" s="14">
        <v>0</v>
      </c>
      <c r="G29" s="7">
        <v>0</v>
      </c>
      <c r="H29" s="14">
        <v>1.3899999999999999E-2</v>
      </c>
      <c r="I29" s="7">
        <v>24</v>
      </c>
      <c r="J29" s="22">
        <v>18</v>
      </c>
    </row>
    <row r="30" spans="1:10" x14ac:dyDescent="0.2">
      <c r="A30" s="8">
        <v>38838</v>
      </c>
      <c r="B30" s="4" t="s">
        <v>77</v>
      </c>
      <c r="C30" s="4" t="s">
        <v>117</v>
      </c>
      <c r="D30" s="14">
        <v>0</v>
      </c>
      <c r="E30" s="7">
        <v>0</v>
      </c>
      <c r="F30" s="14">
        <v>0</v>
      </c>
      <c r="G30" s="7">
        <v>0</v>
      </c>
      <c r="H30" s="14">
        <v>0</v>
      </c>
      <c r="I30" s="7">
        <v>0</v>
      </c>
      <c r="J30" s="22">
        <v>22</v>
      </c>
    </row>
    <row r="31" spans="1:10" x14ac:dyDescent="0.2">
      <c r="A31" s="8">
        <v>38869</v>
      </c>
      <c r="B31" s="4" t="s">
        <v>77</v>
      </c>
      <c r="C31" s="4" t="s">
        <v>117</v>
      </c>
      <c r="D31" s="14">
        <v>0.1764</v>
      </c>
      <c r="E31" s="7">
        <v>346</v>
      </c>
      <c r="F31" s="14">
        <v>0</v>
      </c>
      <c r="G31" s="7">
        <v>0</v>
      </c>
      <c r="H31" s="14">
        <v>0.1764</v>
      </c>
      <c r="I31" s="7">
        <v>346</v>
      </c>
      <c r="J31" s="22">
        <v>23</v>
      </c>
    </row>
    <row r="32" spans="1:10" x14ac:dyDescent="0.2">
      <c r="A32" s="8">
        <v>38899</v>
      </c>
      <c r="B32" s="4" t="s">
        <v>77</v>
      </c>
      <c r="C32" s="4" t="s">
        <v>118</v>
      </c>
      <c r="D32" s="14">
        <v>0.2581</v>
      </c>
      <c r="E32" s="7">
        <v>979</v>
      </c>
      <c r="F32" s="14">
        <v>2.3E-3</v>
      </c>
      <c r="G32" s="7">
        <v>9</v>
      </c>
      <c r="H32" s="14">
        <v>0.26040000000000002</v>
      </c>
      <c r="I32" s="7">
        <v>988</v>
      </c>
      <c r="J32" s="22">
        <v>21</v>
      </c>
    </row>
    <row r="33" spans="1:10" x14ac:dyDescent="0.2">
      <c r="A33" s="8">
        <v>38930</v>
      </c>
      <c r="B33" s="4" t="s">
        <v>77</v>
      </c>
      <c r="C33" s="4" t="s">
        <v>118</v>
      </c>
      <c r="D33" s="14">
        <v>0.68400000000000005</v>
      </c>
      <c r="E33" s="7">
        <v>2357</v>
      </c>
      <c r="F33" s="14">
        <v>1.1000000000000001E-3</v>
      </c>
      <c r="G33" s="7">
        <v>5</v>
      </c>
      <c r="H33" s="14">
        <v>0.68510000000000004</v>
      </c>
      <c r="I33" s="7">
        <v>2362</v>
      </c>
      <c r="J33" s="22">
        <v>22</v>
      </c>
    </row>
    <row r="34" spans="1:10" x14ac:dyDescent="0.2">
      <c r="A34" s="8">
        <v>38961</v>
      </c>
      <c r="B34" s="4" t="s">
        <v>77</v>
      </c>
      <c r="C34" s="4" t="s">
        <v>118</v>
      </c>
      <c r="D34" s="14">
        <v>2.6537000000000002</v>
      </c>
      <c r="E34" s="7">
        <v>8902</v>
      </c>
      <c r="F34" s="14">
        <v>0</v>
      </c>
      <c r="G34" s="7">
        <v>0</v>
      </c>
      <c r="H34" s="14">
        <v>2.6537000000000002</v>
      </c>
      <c r="I34" s="7">
        <v>8902</v>
      </c>
      <c r="J34" s="22">
        <v>21</v>
      </c>
    </row>
    <row r="35" spans="1:10" x14ac:dyDescent="0.2">
      <c r="A35" s="8">
        <v>38991</v>
      </c>
      <c r="B35" s="4" t="s">
        <v>77</v>
      </c>
      <c r="C35" s="4" t="s">
        <v>119</v>
      </c>
      <c r="D35" s="14">
        <v>1.9605999999999999</v>
      </c>
      <c r="E35" s="7">
        <v>6166</v>
      </c>
      <c r="F35" s="14">
        <v>1E-3</v>
      </c>
      <c r="G35" s="7">
        <v>4</v>
      </c>
      <c r="H35" s="14">
        <v>1.9616</v>
      </c>
      <c r="I35" s="7">
        <v>6170</v>
      </c>
      <c r="J35" s="22">
        <v>20</v>
      </c>
    </row>
    <row r="36" spans="1:10" x14ac:dyDescent="0.2">
      <c r="A36" s="8">
        <v>39022</v>
      </c>
      <c r="B36" s="4" t="s">
        <v>77</v>
      </c>
      <c r="C36" s="4" t="s">
        <v>119</v>
      </c>
      <c r="D36" s="14">
        <v>79.857100000000003</v>
      </c>
      <c r="E36" s="7">
        <v>236049</v>
      </c>
      <c r="F36" s="14">
        <v>6.9999999999999999E-4</v>
      </c>
      <c r="G36" s="7">
        <v>2</v>
      </c>
      <c r="H36" s="14">
        <v>79.857799999999997</v>
      </c>
      <c r="I36" s="7">
        <v>236051</v>
      </c>
      <c r="J36" s="22">
        <v>22</v>
      </c>
    </row>
    <row r="37" spans="1:10" x14ac:dyDescent="0.2">
      <c r="A37" s="8">
        <v>39052</v>
      </c>
      <c r="B37" s="4" t="s">
        <v>77</v>
      </c>
      <c r="C37" s="4" t="s">
        <v>119</v>
      </c>
      <c r="D37" s="14">
        <v>92.702500000000001</v>
      </c>
      <c r="E37" s="7">
        <v>271796</v>
      </c>
      <c r="F37" s="14">
        <v>2.3361000000000001</v>
      </c>
      <c r="G37" s="7">
        <v>6092</v>
      </c>
      <c r="H37" s="14">
        <v>95.038600000000002</v>
      </c>
      <c r="I37" s="7">
        <v>277888</v>
      </c>
      <c r="J37" s="22">
        <v>20</v>
      </c>
    </row>
    <row r="38" spans="1:10" x14ac:dyDescent="0.2">
      <c r="A38" s="8">
        <v>39083</v>
      </c>
      <c r="B38" s="4" t="s">
        <v>77</v>
      </c>
      <c r="C38" s="4" t="s">
        <v>120</v>
      </c>
      <c r="D38" s="14">
        <v>99.322699999999998</v>
      </c>
      <c r="E38" s="7">
        <v>283781</v>
      </c>
      <c r="F38" s="14">
        <v>10.202400000000001</v>
      </c>
      <c r="G38" s="7">
        <v>25539</v>
      </c>
      <c r="H38" s="14">
        <v>109.52509999999999</v>
      </c>
      <c r="I38" s="7">
        <v>309320</v>
      </c>
      <c r="J38" s="22">
        <v>20</v>
      </c>
    </row>
    <row r="39" spans="1:10" x14ac:dyDescent="0.2">
      <c r="A39" s="8">
        <v>39114</v>
      </c>
      <c r="B39" s="4" t="s">
        <v>77</v>
      </c>
      <c r="C39" s="4" t="s">
        <v>120</v>
      </c>
      <c r="D39" s="14">
        <v>121.1614</v>
      </c>
      <c r="E39" s="7">
        <v>341721</v>
      </c>
      <c r="F39" s="14">
        <v>10.731400000000001</v>
      </c>
      <c r="G39" s="7">
        <v>50949</v>
      </c>
      <c r="H39" s="14">
        <v>131.89279999999999</v>
      </c>
      <c r="I39" s="7">
        <v>392670</v>
      </c>
      <c r="J39" s="22">
        <v>19</v>
      </c>
    </row>
    <row r="40" spans="1:10" x14ac:dyDescent="0.2">
      <c r="A40" s="8">
        <v>39142</v>
      </c>
      <c r="B40" s="4" t="s">
        <v>77</v>
      </c>
      <c r="C40" s="4" t="s">
        <v>120</v>
      </c>
      <c r="D40" s="14">
        <v>156.1182</v>
      </c>
      <c r="E40" s="7">
        <v>486658</v>
      </c>
      <c r="F40" s="14">
        <v>11.88</v>
      </c>
      <c r="G40" s="7">
        <v>59833</v>
      </c>
      <c r="H40" s="14">
        <v>167.9982</v>
      </c>
      <c r="I40" s="7">
        <v>546491</v>
      </c>
      <c r="J40" s="22">
        <v>21</v>
      </c>
    </row>
    <row r="41" spans="1:10" x14ac:dyDescent="0.2">
      <c r="A41" s="8">
        <v>39173</v>
      </c>
      <c r="B41" s="4" t="s">
        <v>78</v>
      </c>
      <c r="C41" s="4" t="s">
        <v>121</v>
      </c>
      <c r="D41" s="14">
        <v>143.85040000000001</v>
      </c>
      <c r="E41" s="7">
        <v>428036</v>
      </c>
      <c r="F41" s="14">
        <v>12.0024</v>
      </c>
      <c r="G41" s="7">
        <v>55296</v>
      </c>
      <c r="H41" s="14">
        <v>155.8528</v>
      </c>
      <c r="I41" s="7">
        <v>483332</v>
      </c>
      <c r="J41" s="22">
        <v>20</v>
      </c>
    </row>
    <row r="42" spans="1:10" x14ac:dyDescent="0.2">
      <c r="A42" s="8">
        <v>39203</v>
      </c>
      <c r="B42" s="4" t="s">
        <v>78</v>
      </c>
      <c r="C42" s="4" t="s">
        <v>121</v>
      </c>
      <c r="D42" s="14">
        <v>157.64009999999999</v>
      </c>
      <c r="E42" s="7">
        <v>444174</v>
      </c>
      <c r="F42" s="14">
        <v>12.518700000000001</v>
      </c>
      <c r="G42" s="7">
        <v>50068</v>
      </c>
      <c r="H42" s="14">
        <v>170.15880000000001</v>
      </c>
      <c r="I42" s="7">
        <v>494242</v>
      </c>
      <c r="J42" s="22">
        <v>21</v>
      </c>
    </row>
    <row r="43" spans="1:10" x14ac:dyDescent="0.2">
      <c r="A43" s="8">
        <v>39234</v>
      </c>
      <c r="B43" s="4" t="s">
        <v>78</v>
      </c>
      <c r="C43" s="4" t="s">
        <v>121</v>
      </c>
      <c r="D43" s="14">
        <v>165.65989999999999</v>
      </c>
      <c r="E43" s="7">
        <v>462258</v>
      </c>
      <c r="F43" s="14">
        <v>11.6111</v>
      </c>
      <c r="G43" s="7">
        <v>45222</v>
      </c>
      <c r="H43" s="14">
        <v>177.27099999999999</v>
      </c>
      <c r="I43" s="7">
        <v>507480</v>
      </c>
      <c r="J43" s="22">
        <v>21</v>
      </c>
    </row>
    <row r="44" spans="1:10" x14ac:dyDescent="0.2">
      <c r="A44" s="8">
        <v>39264</v>
      </c>
      <c r="B44" s="4" t="s">
        <v>78</v>
      </c>
      <c r="C44" s="4" t="s">
        <v>122</v>
      </c>
      <c r="D44" s="14">
        <v>182.11099999999999</v>
      </c>
      <c r="E44" s="7">
        <v>478325</v>
      </c>
      <c r="F44" s="14">
        <v>22.3415</v>
      </c>
      <c r="G44" s="7">
        <v>86279</v>
      </c>
      <c r="H44" s="14">
        <v>204.45249999999999</v>
      </c>
      <c r="I44" s="7">
        <v>564604</v>
      </c>
      <c r="J44" s="22">
        <v>22</v>
      </c>
    </row>
    <row r="45" spans="1:10" x14ac:dyDescent="0.2">
      <c r="A45" s="8">
        <v>39295</v>
      </c>
      <c r="B45" s="4" t="s">
        <v>78</v>
      </c>
      <c r="C45" s="4" t="s">
        <v>122</v>
      </c>
      <c r="D45" s="14">
        <v>187.8442</v>
      </c>
      <c r="E45" s="7">
        <v>509557</v>
      </c>
      <c r="F45" s="14">
        <v>12.2684</v>
      </c>
      <c r="G45" s="7">
        <v>45098</v>
      </c>
      <c r="H45" s="14">
        <v>200.11259999999999</v>
      </c>
      <c r="I45" s="7">
        <v>554655</v>
      </c>
      <c r="J45" s="22">
        <v>22</v>
      </c>
    </row>
    <row r="46" spans="1:10" x14ac:dyDescent="0.2">
      <c r="A46" s="8">
        <v>39326</v>
      </c>
      <c r="B46" s="4" t="s">
        <v>78</v>
      </c>
      <c r="C46" s="4" t="s">
        <v>122</v>
      </c>
      <c r="D46" s="14">
        <v>214.3073</v>
      </c>
      <c r="E46" s="7">
        <v>535169</v>
      </c>
      <c r="F46" s="14">
        <v>0.72209999999999996</v>
      </c>
      <c r="G46" s="7">
        <v>2382</v>
      </c>
      <c r="H46" s="14">
        <v>215.02940000000001</v>
      </c>
      <c r="I46" s="7">
        <v>537551</v>
      </c>
      <c r="J46" s="22">
        <v>20</v>
      </c>
    </row>
    <row r="47" spans="1:10" x14ac:dyDescent="0.2">
      <c r="A47" s="8">
        <v>39356</v>
      </c>
      <c r="B47" s="4" t="s">
        <v>78</v>
      </c>
      <c r="C47" s="4" t="s">
        <v>123</v>
      </c>
      <c r="D47" s="14">
        <v>239.62090000000001</v>
      </c>
      <c r="E47" s="7">
        <v>518986</v>
      </c>
      <c r="F47" s="14">
        <v>0.22739999999999999</v>
      </c>
      <c r="G47" s="7">
        <v>587</v>
      </c>
      <c r="H47" s="14">
        <v>239.84829999999999</v>
      </c>
      <c r="I47" s="7">
        <v>519573</v>
      </c>
      <c r="J47" s="22">
        <v>22</v>
      </c>
    </row>
    <row r="48" spans="1:10" x14ac:dyDescent="0.2">
      <c r="A48" s="8">
        <v>39387</v>
      </c>
      <c r="B48" s="4" t="s">
        <v>78</v>
      </c>
      <c r="C48" s="4" t="s">
        <v>123</v>
      </c>
      <c r="D48" s="14">
        <v>219.60319999999999</v>
      </c>
      <c r="E48" s="7">
        <v>453732</v>
      </c>
      <c r="F48" s="14">
        <v>3.0735000000000001</v>
      </c>
      <c r="G48" s="7">
        <v>4517</v>
      </c>
      <c r="H48" s="14">
        <v>222.67670000000001</v>
      </c>
      <c r="I48" s="7">
        <v>458249</v>
      </c>
      <c r="J48" s="22">
        <v>22</v>
      </c>
    </row>
    <row r="49" spans="1:10" x14ac:dyDescent="0.2">
      <c r="A49" s="8">
        <v>39417</v>
      </c>
      <c r="B49" s="4" t="s">
        <v>78</v>
      </c>
      <c r="C49" s="4" t="s">
        <v>123</v>
      </c>
      <c r="D49" s="14">
        <v>202.93469999999999</v>
      </c>
      <c r="E49" s="7">
        <v>678222</v>
      </c>
      <c r="F49" s="14">
        <v>0.20330000000000001</v>
      </c>
      <c r="G49" s="7">
        <v>578</v>
      </c>
      <c r="H49" s="14">
        <v>203.13800000000001</v>
      </c>
      <c r="I49" s="7">
        <v>678800</v>
      </c>
      <c r="J49" s="22">
        <v>19</v>
      </c>
    </row>
    <row r="50" spans="1:10" x14ac:dyDescent="0.2">
      <c r="A50" s="8">
        <v>39448</v>
      </c>
      <c r="B50" s="4" t="s">
        <v>78</v>
      </c>
      <c r="C50" s="4" t="s">
        <v>124</v>
      </c>
      <c r="D50" s="14">
        <v>222.35419999999999</v>
      </c>
      <c r="E50" s="7">
        <v>1006619</v>
      </c>
      <c r="F50" s="14">
        <v>0.47210000000000002</v>
      </c>
      <c r="G50" s="7">
        <v>2011</v>
      </c>
      <c r="H50" s="14">
        <v>222.8263</v>
      </c>
      <c r="I50" s="7">
        <v>1008630</v>
      </c>
      <c r="J50" s="22">
        <v>23</v>
      </c>
    </row>
    <row r="51" spans="1:10" x14ac:dyDescent="0.2">
      <c r="A51" s="8">
        <v>39479</v>
      </c>
      <c r="B51" s="4" t="s">
        <v>78</v>
      </c>
      <c r="C51" s="4" t="s">
        <v>124</v>
      </c>
      <c r="D51" s="14">
        <v>225.14959999999999</v>
      </c>
      <c r="E51" s="7">
        <v>853383</v>
      </c>
      <c r="F51" s="14">
        <v>0.495</v>
      </c>
      <c r="G51" s="7">
        <v>2409</v>
      </c>
      <c r="H51" s="14">
        <v>225.6446</v>
      </c>
      <c r="I51" s="7">
        <v>855792</v>
      </c>
      <c r="J51" s="22">
        <v>21</v>
      </c>
    </row>
    <row r="52" spans="1:10" x14ac:dyDescent="0.2">
      <c r="A52" s="8">
        <v>39508</v>
      </c>
      <c r="B52" s="4" t="s">
        <v>78</v>
      </c>
      <c r="C52" s="4" t="s">
        <v>124</v>
      </c>
      <c r="D52" s="14">
        <v>185.52610000000001</v>
      </c>
      <c r="E52" s="7">
        <v>788617</v>
      </c>
      <c r="F52" s="14">
        <v>0.15690000000000001</v>
      </c>
      <c r="G52" s="7">
        <v>670</v>
      </c>
      <c r="H52" s="14">
        <v>185.68299999999999</v>
      </c>
      <c r="I52" s="7">
        <v>789287</v>
      </c>
      <c r="J52" s="22">
        <v>18</v>
      </c>
    </row>
    <row r="53" spans="1:10" x14ac:dyDescent="0.2">
      <c r="A53" s="8">
        <v>39539</v>
      </c>
      <c r="B53" s="4" t="s">
        <v>79</v>
      </c>
      <c r="C53" s="4" t="s">
        <v>125</v>
      </c>
      <c r="D53" s="14">
        <v>40.511600000000001</v>
      </c>
      <c r="E53" s="7">
        <v>166161</v>
      </c>
      <c r="F53" s="14">
        <v>2.3300000000000001E-2</v>
      </c>
      <c r="G53" s="7">
        <v>73</v>
      </c>
      <c r="H53" s="14">
        <v>40.5349</v>
      </c>
      <c r="I53" s="7">
        <v>166234</v>
      </c>
      <c r="J53" s="22">
        <v>20</v>
      </c>
    </row>
    <row r="54" spans="1:10" x14ac:dyDescent="0.2">
      <c r="A54" s="8">
        <v>39569</v>
      </c>
      <c r="B54" s="4" t="s">
        <v>79</v>
      </c>
      <c r="C54" s="4" t="s">
        <v>125</v>
      </c>
      <c r="D54" s="14">
        <v>45.5657</v>
      </c>
      <c r="E54" s="7">
        <v>179013</v>
      </c>
      <c r="F54" s="14">
        <v>1.4200000000000001E-2</v>
      </c>
      <c r="G54" s="7">
        <v>47</v>
      </c>
      <c r="H54" s="14">
        <v>45.579900000000002</v>
      </c>
      <c r="I54" s="7">
        <v>179060</v>
      </c>
      <c r="J54" s="22">
        <v>20</v>
      </c>
    </row>
    <row r="55" spans="1:10" x14ac:dyDescent="0.2">
      <c r="A55" s="8">
        <v>39600</v>
      </c>
      <c r="B55" s="4" t="s">
        <v>79</v>
      </c>
      <c r="C55" s="4" t="s">
        <v>125</v>
      </c>
      <c r="D55" s="14">
        <v>13.5869</v>
      </c>
      <c r="E55" s="7">
        <v>59901</v>
      </c>
      <c r="F55" s="14">
        <v>1.7500000000000002E-2</v>
      </c>
      <c r="G55" s="7">
        <v>61</v>
      </c>
      <c r="H55" s="14">
        <v>13.6044</v>
      </c>
      <c r="I55" s="7">
        <v>59962</v>
      </c>
      <c r="J55" s="22">
        <v>21</v>
      </c>
    </row>
    <row r="56" spans="1:10" x14ac:dyDescent="0.2">
      <c r="A56" s="8">
        <v>39630</v>
      </c>
      <c r="B56" s="4" t="s">
        <v>79</v>
      </c>
      <c r="C56" s="4" t="s">
        <v>126</v>
      </c>
      <c r="D56" s="14">
        <v>7.6475</v>
      </c>
      <c r="E56" s="7">
        <v>37754</v>
      </c>
      <c r="F56" s="14">
        <v>1.32E-2</v>
      </c>
      <c r="G56" s="7">
        <v>48</v>
      </c>
      <c r="H56" s="14">
        <v>7.6607000000000003</v>
      </c>
      <c r="I56" s="7">
        <v>37802</v>
      </c>
      <c r="J56" s="22">
        <v>23</v>
      </c>
    </row>
    <row r="57" spans="1:10" x14ac:dyDescent="0.2">
      <c r="A57" s="8">
        <v>39661</v>
      </c>
      <c r="B57" s="4" t="s">
        <v>79</v>
      </c>
      <c r="C57" s="4" t="s">
        <v>126</v>
      </c>
      <c r="D57" s="14">
        <v>3.7181000000000002</v>
      </c>
      <c r="E57" s="7">
        <v>16725</v>
      </c>
      <c r="F57" s="14">
        <v>7.4999999999999997E-3</v>
      </c>
      <c r="G57" s="7">
        <v>28</v>
      </c>
      <c r="H57" s="14">
        <v>3.7256</v>
      </c>
      <c r="I57" s="7">
        <v>16753</v>
      </c>
      <c r="J57" s="22">
        <v>20</v>
      </c>
    </row>
    <row r="58" spans="1:10" x14ac:dyDescent="0.2">
      <c r="A58" s="8">
        <v>39692</v>
      </c>
      <c r="B58" s="4" t="s">
        <v>79</v>
      </c>
      <c r="C58" s="4" t="s">
        <v>126</v>
      </c>
      <c r="D58" s="14">
        <v>3.7040000000000002</v>
      </c>
      <c r="E58" s="7">
        <v>17476</v>
      </c>
      <c r="F58" s="14">
        <v>6.6E-3</v>
      </c>
      <c r="G58" s="7">
        <v>26</v>
      </c>
      <c r="H58" s="14">
        <v>3.7105999999999999</v>
      </c>
      <c r="I58" s="7">
        <v>17502</v>
      </c>
      <c r="J58" s="22">
        <v>21</v>
      </c>
    </row>
    <row r="59" spans="1:10" x14ac:dyDescent="0.2">
      <c r="A59" s="8">
        <v>39722</v>
      </c>
      <c r="B59" s="4" t="s">
        <v>79</v>
      </c>
      <c r="C59" s="4" t="s">
        <v>127</v>
      </c>
      <c r="D59" s="14">
        <v>1.8246</v>
      </c>
      <c r="E59" s="7">
        <v>11690</v>
      </c>
      <c r="F59" s="14">
        <v>2.5999999999999999E-3</v>
      </c>
      <c r="G59" s="7">
        <v>16</v>
      </c>
      <c r="H59" s="14">
        <v>1.8271999999999999</v>
      </c>
      <c r="I59" s="7">
        <v>11706</v>
      </c>
      <c r="J59" s="22">
        <v>20</v>
      </c>
    </row>
    <row r="60" spans="1:10" x14ac:dyDescent="0.2">
      <c r="A60" s="8">
        <v>39753</v>
      </c>
      <c r="B60" s="4" t="s">
        <v>79</v>
      </c>
      <c r="C60" s="4" t="s">
        <v>127</v>
      </c>
      <c r="D60" s="14">
        <v>0.49059999999999998</v>
      </c>
      <c r="E60" s="7">
        <v>3387</v>
      </c>
      <c r="F60" s="14">
        <v>0</v>
      </c>
      <c r="G60" s="7">
        <v>0</v>
      </c>
      <c r="H60" s="14">
        <v>0.49059999999999998</v>
      </c>
      <c r="I60" s="7">
        <v>3387</v>
      </c>
      <c r="J60" s="22">
        <v>18</v>
      </c>
    </row>
    <row r="61" spans="1:10" x14ac:dyDescent="0.2">
      <c r="A61" s="8">
        <v>39783</v>
      </c>
      <c r="B61" s="4" t="s">
        <v>79</v>
      </c>
      <c r="C61" s="4" t="s">
        <v>127</v>
      </c>
      <c r="D61" s="14">
        <v>0.30080000000000001</v>
      </c>
      <c r="E61" s="7">
        <v>2131</v>
      </c>
      <c r="F61" s="14">
        <v>0</v>
      </c>
      <c r="G61" s="7">
        <v>0</v>
      </c>
      <c r="H61" s="14">
        <v>0.30080000000000001</v>
      </c>
      <c r="I61" s="7">
        <v>2131</v>
      </c>
      <c r="J61" s="22">
        <v>21</v>
      </c>
    </row>
    <row r="62" spans="1:10" x14ac:dyDescent="0.2">
      <c r="A62" s="8">
        <v>39814</v>
      </c>
      <c r="B62" s="4" t="s">
        <v>79</v>
      </c>
      <c r="C62" s="4" t="s">
        <v>128</v>
      </c>
      <c r="D62" s="14">
        <v>0.1197</v>
      </c>
      <c r="E62" s="7">
        <v>844</v>
      </c>
      <c r="F62" s="14">
        <v>0</v>
      </c>
      <c r="G62" s="7">
        <v>0</v>
      </c>
      <c r="H62" s="14">
        <v>0.1197</v>
      </c>
      <c r="I62" s="7">
        <v>844</v>
      </c>
      <c r="J62" s="22">
        <v>20</v>
      </c>
    </row>
    <row r="63" spans="1:10" x14ac:dyDescent="0.2">
      <c r="A63" s="8">
        <v>39845</v>
      </c>
      <c r="B63" s="4" t="s">
        <v>79</v>
      </c>
      <c r="C63" s="4" t="s">
        <v>128</v>
      </c>
      <c r="D63" s="14">
        <v>6.2399999999999997E-2</v>
      </c>
      <c r="E63" s="7">
        <v>454</v>
      </c>
      <c r="F63" s="14">
        <v>0</v>
      </c>
      <c r="G63" s="7">
        <v>0</v>
      </c>
      <c r="H63" s="14">
        <v>6.2399999999999997E-2</v>
      </c>
      <c r="I63" s="7">
        <v>454</v>
      </c>
      <c r="J63" s="22">
        <v>19</v>
      </c>
    </row>
    <row r="64" spans="1:10" x14ac:dyDescent="0.2">
      <c r="A64" s="8">
        <v>39873</v>
      </c>
      <c r="B64" s="4" t="s">
        <v>79</v>
      </c>
      <c r="C64" s="4" t="s">
        <v>128</v>
      </c>
      <c r="D64" s="14">
        <v>4.0300000000000002E-2</v>
      </c>
      <c r="E64" s="7">
        <v>294</v>
      </c>
      <c r="F64" s="14">
        <v>0</v>
      </c>
      <c r="G64" s="7">
        <v>0</v>
      </c>
      <c r="H64" s="14">
        <v>4.0300000000000002E-2</v>
      </c>
      <c r="I64" s="7">
        <v>294</v>
      </c>
      <c r="J64" s="22">
        <v>20</v>
      </c>
    </row>
    <row r="65" spans="1:10" x14ac:dyDescent="0.2">
      <c r="A65" s="8">
        <v>39904</v>
      </c>
      <c r="B65" s="4" t="s">
        <v>80</v>
      </c>
      <c r="C65" s="4" t="s">
        <v>129</v>
      </c>
      <c r="D65" s="14">
        <v>1.8499999999999999E-2</v>
      </c>
      <c r="E65" s="7">
        <v>113</v>
      </c>
      <c r="F65" s="14">
        <v>0</v>
      </c>
      <c r="G65" s="7">
        <v>0</v>
      </c>
      <c r="H65" s="14">
        <v>1.8499999999999999E-2</v>
      </c>
      <c r="I65" s="7">
        <v>113</v>
      </c>
      <c r="J65" s="22">
        <v>17</v>
      </c>
    </row>
    <row r="66" spans="1:10" x14ac:dyDescent="0.2">
      <c r="A66" s="8">
        <v>39934</v>
      </c>
      <c r="B66" s="4" t="s">
        <v>80</v>
      </c>
      <c r="C66" s="4" t="s">
        <v>129</v>
      </c>
      <c r="D66" s="14">
        <v>7.4999999999999997E-3</v>
      </c>
      <c r="E66" s="7">
        <v>39</v>
      </c>
      <c r="F66" s="14">
        <v>1.1999999999999999E-3</v>
      </c>
      <c r="G66" s="7">
        <v>2</v>
      </c>
      <c r="H66" s="14">
        <v>8.6999999999999994E-3</v>
      </c>
      <c r="I66" s="7">
        <v>41</v>
      </c>
      <c r="J66" s="22">
        <v>20</v>
      </c>
    </row>
    <row r="67" spans="1:10" x14ac:dyDescent="0.2">
      <c r="A67" s="8">
        <v>39965</v>
      </c>
      <c r="B67" s="4" t="s">
        <v>80</v>
      </c>
      <c r="C67" s="4" t="s">
        <v>129</v>
      </c>
      <c r="D67" s="14">
        <v>2.0000000000000001E-4</v>
      </c>
      <c r="E67" s="7">
        <v>1</v>
      </c>
      <c r="F67" s="14">
        <v>1.1999999999999999E-3</v>
      </c>
      <c r="G67" s="7">
        <v>4</v>
      </c>
      <c r="H67" s="14">
        <v>1.4E-3</v>
      </c>
      <c r="I67" s="7">
        <v>5</v>
      </c>
      <c r="J67" s="22">
        <v>22</v>
      </c>
    </row>
    <row r="68" spans="1:10" x14ac:dyDescent="0.2">
      <c r="A68" s="8">
        <v>39995</v>
      </c>
      <c r="B68" s="4" t="s">
        <v>80</v>
      </c>
      <c r="C68" s="4" t="s">
        <v>130</v>
      </c>
      <c r="D68" s="14">
        <v>8.9999999999999998E-4</v>
      </c>
      <c r="E68" s="7">
        <v>4</v>
      </c>
      <c r="F68" s="14">
        <v>0</v>
      </c>
      <c r="G68" s="7">
        <v>0</v>
      </c>
      <c r="H68" s="14">
        <v>8.9999999999999998E-4</v>
      </c>
      <c r="I68" s="7">
        <v>4</v>
      </c>
      <c r="J68" s="22">
        <v>23</v>
      </c>
    </row>
    <row r="69" spans="1:10" x14ac:dyDescent="0.2">
      <c r="A69" s="8">
        <v>40026</v>
      </c>
      <c r="B69" s="4" t="s">
        <v>80</v>
      </c>
      <c r="C69" s="4" t="s">
        <v>130</v>
      </c>
      <c r="D69" s="14">
        <v>2.0000000000000001E-4</v>
      </c>
      <c r="E69" s="7">
        <v>1</v>
      </c>
      <c r="F69" s="14">
        <v>0</v>
      </c>
      <c r="G69" s="7">
        <v>0</v>
      </c>
      <c r="H69" s="14">
        <v>2.0000000000000001E-4</v>
      </c>
      <c r="I69" s="7">
        <v>1</v>
      </c>
      <c r="J69" s="22">
        <v>21</v>
      </c>
    </row>
    <row r="70" spans="1:10" x14ac:dyDescent="0.2">
      <c r="A70" s="8">
        <v>40057</v>
      </c>
      <c r="B70" s="4" t="s">
        <v>80</v>
      </c>
      <c r="C70" s="4" t="s">
        <v>130</v>
      </c>
      <c r="D70" s="14">
        <v>2.9999999999999997E-4</v>
      </c>
      <c r="E70" s="7">
        <v>1</v>
      </c>
      <c r="F70" s="14">
        <v>0</v>
      </c>
      <c r="G70" s="7">
        <v>0</v>
      </c>
      <c r="H70" s="14">
        <v>2.9999999999999997E-4</v>
      </c>
      <c r="I70" s="7">
        <v>1</v>
      </c>
      <c r="J70" s="22">
        <v>20</v>
      </c>
    </row>
    <row r="71" spans="1:10" x14ac:dyDescent="0.2">
      <c r="A71" s="8">
        <v>40087</v>
      </c>
      <c r="B71" s="4" t="s">
        <v>80</v>
      </c>
      <c r="C71" s="4" t="s">
        <v>131</v>
      </c>
      <c r="D71" s="14">
        <v>0</v>
      </c>
      <c r="E71" s="7">
        <v>0</v>
      </c>
      <c r="F71" s="14">
        <v>0</v>
      </c>
      <c r="G71" s="7">
        <v>0</v>
      </c>
      <c r="H71" s="14">
        <v>0</v>
      </c>
      <c r="I71" s="7">
        <v>0</v>
      </c>
      <c r="J71" s="22">
        <v>20</v>
      </c>
    </row>
    <row r="72" spans="1:10" x14ac:dyDescent="0.2">
      <c r="A72" s="8">
        <v>40118</v>
      </c>
      <c r="B72" s="4" t="s">
        <v>80</v>
      </c>
      <c r="C72" s="4" t="s">
        <v>131</v>
      </c>
      <c r="D72" s="14">
        <v>0</v>
      </c>
      <c r="E72" s="7">
        <v>0</v>
      </c>
      <c r="F72" s="14">
        <v>2.9999999999999997E-4</v>
      </c>
      <c r="G72" s="7">
        <v>1</v>
      </c>
      <c r="H72" s="14">
        <v>2.9999999999999997E-4</v>
      </c>
      <c r="I72" s="7">
        <v>1</v>
      </c>
      <c r="J72" s="22">
        <v>20</v>
      </c>
    </row>
    <row r="73" spans="1:10" x14ac:dyDescent="0.2">
      <c r="A73" s="8">
        <v>40148</v>
      </c>
      <c r="B73" s="4" t="s">
        <v>80</v>
      </c>
      <c r="C73" s="4" t="s">
        <v>131</v>
      </c>
      <c r="D73" s="14">
        <v>6.8999999999999999E-3</v>
      </c>
      <c r="E73" s="7">
        <v>27</v>
      </c>
      <c r="F73" s="14">
        <v>0</v>
      </c>
      <c r="G73" s="7">
        <v>0</v>
      </c>
      <c r="H73" s="14">
        <v>6.8999999999999999E-3</v>
      </c>
      <c r="I73" s="7">
        <v>27</v>
      </c>
      <c r="J73" s="22">
        <v>21</v>
      </c>
    </row>
    <row r="74" spans="1:10" x14ac:dyDescent="0.2">
      <c r="A74" s="8">
        <v>40179</v>
      </c>
      <c r="B74" s="4" t="s">
        <v>80</v>
      </c>
      <c r="C74" s="4" t="s">
        <v>132</v>
      </c>
      <c r="D74" s="14">
        <v>0.82130000000000003</v>
      </c>
      <c r="E74" s="7">
        <v>3130</v>
      </c>
      <c r="F74" s="14">
        <v>2.9999999999999997E-4</v>
      </c>
      <c r="G74" s="7">
        <v>1</v>
      </c>
      <c r="H74" s="14">
        <v>0.8216</v>
      </c>
      <c r="I74" s="7">
        <v>3131</v>
      </c>
      <c r="J74" s="22">
        <v>19</v>
      </c>
    </row>
    <row r="75" spans="1:10" x14ac:dyDescent="0.2">
      <c r="A75" s="8">
        <v>40210</v>
      </c>
      <c r="B75" s="4" t="s">
        <v>80</v>
      </c>
      <c r="C75" s="4" t="s">
        <v>132</v>
      </c>
      <c r="D75" s="14">
        <v>9.6699999999999994E-2</v>
      </c>
      <c r="E75" s="7">
        <v>399</v>
      </c>
      <c r="F75" s="14">
        <v>0</v>
      </c>
      <c r="G75" s="7">
        <v>0</v>
      </c>
      <c r="H75" s="14">
        <v>9.6699999999999994E-2</v>
      </c>
      <c r="I75" s="7">
        <v>399</v>
      </c>
      <c r="J75" s="22">
        <v>20</v>
      </c>
    </row>
    <row r="76" spans="1:10" x14ac:dyDescent="0.2">
      <c r="A76" s="8">
        <v>40238</v>
      </c>
      <c r="B76" s="4" t="s">
        <v>80</v>
      </c>
      <c r="C76" s="4" t="s">
        <v>132</v>
      </c>
      <c r="D76" s="14">
        <v>7.4999999999999997E-3</v>
      </c>
      <c r="E76" s="7">
        <v>29</v>
      </c>
      <c r="F76" s="14">
        <v>0</v>
      </c>
      <c r="G76" s="7">
        <v>0</v>
      </c>
      <c r="H76" s="14">
        <v>7.4999999999999997E-3</v>
      </c>
      <c r="I76" s="7">
        <v>29</v>
      </c>
      <c r="J76" s="22">
        <v>21</v>
      </c>
    </row>
    <row r="77" spans="1:10" x14ac:dyDescent="0.2">
      <c r="A77" s="8">
        <v>40269</v>
      </c>
      <c r="B77" s="4" t="s">
        <v>81</v>
      </c>
      <c r="C77" s="4" t="s">
        <v>133</v>
      </c>
      <c r="D77" s="14">
        <v>1.4200000000000001E-2</v>
      </c>
      <c r="E77" s="7">
        <v>54</v>
      </c>
      <c r="F77" s="14">
        <v>0</v>
      </c>
      <c r="G77" s="7">
        <v>0</v>
      </c>
      <c r="H77" s="14">
        <v>1.4200000000000001E-2</v>
      </c>
      <c r="I77" s="7">
        <v>54</v>
      </c>
      <c r="J77" s="22">
        <v>20</v>
      </c>
    </row>
    <row r="78" spans="1:10" x14ac:dyDescent="0.2">
      <c r="A78" s="8">
        <v>40299</v>
      </c>
      <c r="B78" s="4" t="s">
        <v>81</v>
      </c>
      <c r="C78" s="4" t="s">
        <v>133</v>
      </c>
      <c r="D78" s="14">
        <v>3.7100000000000001E-2</v>
      </c>
      <c r="E78" s="7">
        <v>148</v>
      </c>
      <c r="F78" s="14">
        <v>0</v>
      </c>
      <c r="G78" s="7">
        <v>0</v>
      </c>
      <c r="H78" s="14">
        <v>3.7100000000000001E-2</v>
      </c>
      <c r="I78" s="7">
        <v>148</v>
      </c>
      <c r="J78" s="22">
        <v>22</v>
      </c>
    </row>
    <row r="79" spans="1:10" x14ac:dyDescent="0.2">
      <c r="A79" s="8">
        <v>40330</v>
      </c>
      <c r="B79" s="4" t="s">
        <v>81</v>
      </c>
      <c r="C79" s="4" t="s">
        <v>133</v>
      </c>
      <c r="D79" s="14">
        <v>2.4E-2</v>
      </c>
      <c r="E79" s="7">
        <v>93</v>
      </c>
      <c r="F79" s="14">
        <v>0</v>
      </c>
      <c r="G79" s="7">
        <v>0</v>
      </c>
      <c r="H79" s="14">
        <v>2.4E-2</v>
      </c>
      <c r="I79" s="7">
        <v>93</v>
      </c>
      <c r="J79" s="22">
        <v>22</v>
      </c>
    </row>
    <row r="80" spans="1:10" x14ac:dyDescent="0.2">
      <c r="A80" s="8">
        <v>40360</v>
      </c>
      <c r="B80" s="4" t="s">
        <v>81</v>
      </c>
      <c r="C80" s="4" t="s">
        <v>134</v>
      </c>
      <c r="D80" s="14">
        <v>1.0800000000000001E-2</v>
      </c>
      <c r="E80" s="7">
        <v>40</v>
      </c>
      <c r="F80" s="14">
        <v>0</v>
      </c>
      <c r="G80" s="7">
        <v>0</v>
      </c>
      <c r="H80" s="14">
        <v>1.0800000000000001E-2</v>
      </c>
      <c r="I80" s="7">
        <v>40</v>
      </c>
      <c r="J80" s="22">
        <v>22</v>
      </c>
    </row>
    <row r="81" spans="1:10" x14ac:dyDescent="0.2">
      <c r="A81" s="8">
        <v>40391</v>
      </c>
      <c r="B81" s="4" t="s">
        <v>81</v>
      </c>
      <c r="C81" s="4" t="s">
        <v>134</v>
      </c>
      <c r="D81" s="14">
        <v>3.1E-2</v>
      </c>
      <c r="E81" s="7">
        <v>114</v>
      </c>
      <c r="F81" s="14">
        <v>0</v>
      </c>
      <c r="G81" s="7">
        <v>0</v>
      </c>
      <c r="H81" s="14">
        <v>3.1E-2</v>
      </c>
      <c r="I81" s="7">
        <v>114</v>
      </c>
      <c r="J81" s="22">
        <v>22</v>
      </c>
    </row>
    <row r="82" spans="1:10" x14ac:dyDescent="0.2">
      <c r="A82" s="8">
        <v>40422</v>
      </c>
      <c r="B82" s="4" t="s">
        <v>81</v>
      </c>
      <c r="C82" s="4" t="s">
        <v>134</v>
      </c>
      <c r="D82" s="14">
        <v>3.5900000000000001E-2</v>
      </c>
      <c r="E82" s="7">
        <v>122</v>
      </c>
      <c r="F82" s="14">
        <v>0</v>
      </c>
      <c r="G82" s="7">
        <v>0</v>
      </c>
      <c r="H82" s="14">
        <v>3.5900000000000001E-2</v>
      </c>
      <c r="I82" s="7">
        <v>122</v>
      </c>
      <c r="J82" s="22">
        <v>21</v>
      </c>
    </row>
    <row r="83" spans="1:10" x14ac:dyDescent="0.2">
      <c r="A83" s="8">
        <v>40452</v>
      </c>
      <c r="B83" s="4" t="s">
        <v>81</v>
      </c>
      <c r="C83" s="4" t="s">
        <v>135</v>
      </c>
      <c r="D83" s="14">
        <v>5.5300000000000002E-2</v>
      </c>
      <c r="E83" s="7">
        <v>180</v>
      </c>
      <c r="F83" s="14">
        <v>0</v>
      </c>
      <c r="G83" s="7">
        <v>0</v>
      </c>
      <c r="H83" s="14">
        <v>5.5300000000000002E-2</v>
      </c>
      <c r="I83" s="7">
        <v>180</v>
      </c>
      <c r="J83" s="22">
        <v>21</v>
      </c>
    </row>
    <row r="84" spans="1:10" x14ac:dyDescent="0.2">
      <c r="A84" s="8">
        <v>40483</v>
      </c>
      <c r="B84" s="4" t="s">
        <v>81</v>
      </c>
      <c r="C84" s="4" t="s">
        <v>135</v>
      </c>
      <c r="D84" s="14">
        <v>1.12E-2</v>
      </c>
      <c r="E84" s="7">
        <v>37</v>
      </c>
      <c r="F84" s="14">
        <v>0</v>
      </c>
      <c r="G84" s="7">
        <v>0</v>
      </c>
      <c r="H84" s="14">
        <v>1.12E-2</v>
      </c>
      <c r="I84" s="7">
        <v>37</v>
      </c>
      <c r="J84" s="22">
        <v>21</v>
      </c>
    </row>
    <row r="85" spans="1:10" x14ac:dyDescent="0.2">
      <c r="A85" s="8">
        <v>40513</v>
      </c>
      <c r="B85" s="4" t="s">
        <v>81</v>
      </c>
      <c r="C85" s="4" t="s">
        <v>135</v>
      </c>
      <c r="D85" s="14">
        <v>0.12920000000000001</v>
      </c>
      <c r="E85" s="7">
        <v>435</v>
      </c>
      <c r="F85" s="14">
        <v>0</v>
      </c>
      <c r="G85" s="7">
        <v>0</v>
      </c>
      <c r="H85" s="14">
        <v>0.12920000000000001</v>
      </c>
      <c r="I85" s="7">
        <v>435</v>
      </c>
      <c r="J85" s="22">
        <v>22</v>
      </c>
    </row>
    <row r="86" spans="1:10" x14ac:dyDescent="0.2">
      <c r="A86" s="8">
        <v>40544</v>
      </c>
      <c r="B86" s="4" t="s">
        <v>81</v>
      </c>
      <c r="C86" s="4" t="s">
        <v>136</v>
      </c>
      <c r="D86" s="14">
        <v>1.1299999999999999E-2</v>
      </c>
      <c r="E86" s="7">
        <v>39</v>
      </c>
      <c r="F86" s="14">
        <v>0</v>
      </c>
      <c r="G86" s="7">
        <v>0</v>
      </c>
      <c r="H86" s="14">
        <v>1.1299999999999999E-2</v>
      </c>
      <c r="I86" s="7">
        <v>39</v>
      </c>
      <c r="J86" s="22">
        <v>20</v>
      </c>
    </row>
    <row r="87" spans="1:10" x14ac:dyDescent="0.2">
      <c r="A87" s="8">
        <v>40575</v>
      </c>
      <c r="B87" s="4" t="s">
        <v>81</v>
      </c>
      <c r="C87" s="4" t="s">
        <v>136</v>
      </c>
      <c r="D87" s="14">
        <v>0.92730000000000001</v>
      </c>
      <c r="E87" s="7">
        <v>3434</v>
      </c>
      <c r="F87" s="14">
        <v>0</v>
      </c>
      <c r="G87" s="7">
        <v>0</v>
      </c>
      <c r="H87" s="14">
        <v>0.92730000000000001</v>
      </c>
      <c r="I87" s="7">
        <v>3434</v>
      </c>
      <c r="J87" s="22">
        <v>20</v>
      </c>
    </row>
    <row r="88" spans="1:10" x14ac:dyDescent="0.2">
      <c r="A88" s="8">
        <v>40603</v>
      </c>
      <c r="B88" s="4" t="s">
        <v>81</v>
      </c>
      <c r="C88" s="4" t="s">
        <v>136</v>
      </c>
      <c r="D88" s="14">
        <v>0.2535</v>
      </c>
      <c r="E88" s="7">
        <v>917</v>
      </c>
      <c r="F88" s="14">
        <v>0</v>
      </c>
      <c r="G88" s="7">
        <v>0</v>
      </c>
      <c r="H88" s="14">
        <v>0.2535</v>
      </c>
      <c r="I88" s="7">
        <v>917</v>
      </c>
      <c r="J88" s="22">
        <v>22</v>
      </c>
    </row>
    <row r="89" spans="1:10" x14ac:dyDescent="0.2">
      <c r="A89" s="8">
        <v>40634</v>
      </c>
      <c r="B89" s="4" t="s">
        <v>82</v>
      </c>
      <c r="C89" s="4" t="s">
        <v>137</v>
      </c>
      <c r="D89" s="14">
        <v>0.10349999999999999</v>
      </c>
      <c r="E89" s="7">
        <v>353</v>
      </c>
      <c r="F89" s="14">
        <v>2.9000000000000001E-2</v>
      </c>
      <c r="G89" s="7">
        <v>82</v>
      </c>
      <c r="H89" s="14">
        <v>0.13250000000000001</v>
      </c>
      <c r="I89" s="7">
        <v>435</v>
      </c>
      <c r="J89" s="22">
        <v>18</v>
      </c>
    </row>
    <row r="90" spans="1:10" x14ac:dyDescent="0.2">
      <c r="A90" s="8">
        <v>40664</v>
      </c>
      <c r="B90" s="4" t="s">
        <v>82</v>
      </c>
      <c r="C90" s="4" t="s">
        <v>137</v>
      </c>
      <c r="D90" s="14">
        <v>1.0800000000000001E-2</v>
      </c>
      <c r="E90" s="7">
        <v>39</v>
      </c>
      <c r="F90" s="14">
        <v>0</v>
      </c>
      <c r="G90" s="7">
        <v>0</v>
      </c>
      <c r="H90" s="14">
        <v>1.0800000000000001E-2</v>
      </c>
      <c r="I90" s="7">
        <v>39</v>
      </c>
      <c r="J90" s="22">
        <v>22</v>
      </c>
    </row>
    <row r="91" spans="1:10" x14ac:dyDescent="0.2">
      <c r="A91" s="8">
        <v>40695</v>
      </c>
      <c r="B91" s="4" t="s">
        <v>82</v>
      </c>
      <c r="C91" s="4" t="s">
        <v>137</v>
      </c>
      <c r="D91" s="14">
        <v>0.13220000000000001</v>
      </c>
      <c r="E91" s="7">
        <v>487</v>
      </c>
      <c r="F91" s="14">
        <v>5.0000000000000001E-4</v>
      </c>
      <c r="G91" s="7">
        <v>2</v>
      </c>
      <c r="H91" s="14">
        <v>0.13270000000000001</v>
      </c>
      <c r="I91" s="7">
        <v>489</v>
      </c>
      <c r="J91" s="22">
        <v>22</v>
      </c>
    </row>
    <row r="92" spans="1:10" x14ac:dyDescent="0.2">
      <c r="A92" s="8">
        <v>40725</v>
      </c>
      <c r="B92" s="4" t="s">
        <v>82</v>
      </c>
      <c r="C92" s="4" t="s">
        <v>138</v>
      </c>
      <c r="D92" s="14">
        <v>0.1976</v>
      </c>
      <c r="E92" s="7">
        <v>706</v>
      </c>
      <c r="F92" s="14">
        <v>0.15579999999999999</v>
      </c>
      <c r="G92" s="7">
        <v>532</v>
      </c>
      <c r="H92" s="14">
        <v>0.35339999999999999</v>
      </c>
      <c r="I92" s="7">
        <v>1238</v>
      </c>
      <c r="J92" s="22">
        <v>21</v>
      </c>
    </row>
    <row r="93" spans="1:10" x14ac:dyDescent="0.2">
      <c r="A93" s="8">
        <v>40756</v>
      </c>
      <c r="B93" s="4" t="s">
        <v>82</v>
      </c>
      <c r="C93" s="4" t="s">
        <v>138</v>
      </c>
      <c r="D93" s="14">
        <v>0.1081</v>
      </c>
      <c r="E93" s="7">
        <v>428</v>
      </c>
      <c r="F93" s="14">
        <v>0.47020000000000001</v>
      </c>
      <c r="G93" s="7">
        <v>1736</v>
      </c>
      <c r="H93" s="14">
        <v>0.57830000000000004</v>
      </c>
      <c r="I93" s="7">
        <v>2164</v>
      </c>
      <c r="J93" s="22">
        <v>21</v>
      </c>
    </row>
    <row r="94" spans="1:10" x14ac:dyDescent="0.2">
      <c r="A94" s="8">
        <v>40787</v>
      </c>
      <c r="B94" s="4" t="s">
        <v>82</v>
      </c>
      <c r="C94" s="4" t="s">
        <v>138</v>
      </c>
      <c r="D94" s="14">
        <v>4.7408000000000001</v>
      </c>
      <c r="E94" s="7">
        <v>19303</v>
      </c>
      <c r="F94" s="14">
        <v>2.4104000000000001</v>
      </c>
      <c r="G94" s="7">
        <v>7759</v>
      </c>
      <c r="H94" s="14">
        <v>7.1512000000000002</v>
      </c>
      <c r="I94" s="7">
        <v>27062</v>
      </c>
      <c r="J94" s="22">
        <v>21</v>
      </c>
    </row>
    <row r="95" spans="1:10" x14ac:dyDescent="0.2">
      <c r="A95" s="8">
        <v>40817</v>
      </c>
      <c r="B95" s="4" t="s">
        <v>82</v>
      </c>
      <c r="C95" s="4" t="s">
        <v>139</v>
      </c>
      <c r="D95" s="14">
        <v>27.295100000000001</v>
      </c>
      <c r="E95" s="7">
        <v>107417</v>
      </c>
      <c r="F95" s="14">
        <v>13.779500000000001</v>
      </c>
      <c r="G95" s="7">
        <v>46749</v>
      </c>
      <c r="H95" s="14">
        <v>41.074599999999997</v>
      </c>
      <c r="I95" s="7">
        <v>154166</v>
      </c>
      <c r="J95" s="22">
        <v>19</v>
      </c>
    </row>
    <row r="96" spans="1:10" x14ac:dyDescent="0.2">
      <c r="A96" s="8">
        <v>40848</v>
      </c>
      <c r="B96" s="4" t="s">
        <v>82</v>
      </c>
      <c r="C96" s="4" t="s">
        <v>139</v>
      </c>
      <c r="D96" s="14">
        <v>192.52529999999999</v>
      </c>
      <c r="E96" s="7">
        <v>772190</v>
      </c>
      <c r="F96" s="14">
        <v>12.2151</v>
      </c>
      <c r="G96" s="7">
        <v>33048</v>
      </c>
      <c r="H96" s="14">
        <v>204.74039999999999</v>
      </c>
      <c r="I96" s="7">
        <v>805238</v>
      </c>
      <c r="J96" s="22">
        <v>20</v>
      </c>
    </row>
    <row r="97" spans="1:10" x14ac:dyDescent="0.2">
      <c r="A97" s="8">
        <v>40878</v>
      </c>
      <c r="B97" s="4" t="s">
        <v>82</v>
      </c>
      <c r="C97" s="4" t="s">
        <v>139</v>
      </c>
      <c r="D97" s="14">
        <v>375.45479999999998</v>
      </c>
      <c r="E97" s="7">
        <v>1569569</v>
      </c>
      <c r="F97" s="14">
        <v>21.517299999999999</v>
      </c>
      <c r="G97" s="7">
        <v>73314</v>
      </c>
      <c r="H97" s="14">
        <v>396.97210000000001</v>
      </c>
      <c r="I97" s="7">
        <v>1642883</v>
      </c>
      <c r="J97" s="22">
        <v>21</v>
      </c>
    </row>
    <row r="98" spans="1:10" x14ac:dyDescent="0.2">
      <c r="A98" s="8">
        <v>40909</v>
      </c>
      <c r="B98" s="4" t="s">
        <v>82</v>
      </c>
      <c r="C98" s="4" t="s">
        <v>140</v>
      </c>
      <c r="D98" s="14">
        <v>466.3888</v>
      </c>
      <c r="E98" s="7">
        <v>1899450</v>
      </c>
      <c r="F98" s="14">
        <v>19.395099999999999</v>
      </c>
      <c r="G98" s="7">
        <v>64293</v>
      </c>
      <c r="H98" s="14">
        <v>485.78390000000002</v>
      </c>
      <c r="I98" s="7">
        <v>1963743</v>
      </c>
      <c r="J98" s="22">
        <v>22</v>
      </c>
    </row>
    <row r="99" spans="1:10" x14ac:dyDescent="0.2">
      <c r="A99" s="8">
        <v>40940</v>
      </c>
      <c r="B99" s="4" t="s">
        <v>82</v>
      </c>
      <c r="C99" s="4" t="s">
        <v>140</v>
      </c>
      <c r="D99" s="14">
        <v>340.75220000000002</v>
      </c>
      <c r="E99" s="7">
        <v>1268794</v>
      </c>
      <c r="F99" s="14">
        <v>17.302099999999999</v>
      </c>
      <c r="G99" s="7">
        <v>46795</v>
      </c>
      <c r="H99" s="14">
        <v>358.05430000000001</v>
      </c>
      <c r="I99" s="7">
        <v>1315589</v>
      </c>
      <c r="J99" s="22">
        <v>20</v>
      </c>
    </row>
    <row r="100" spans="1:10" x14ac:dyDescent="0.2">
      <c r="A100" s="8">
        <v>40969</v>
      </c>
      <c r="B100" s="4" t="s">
        <v>82</v>
      </c>
      <c r="C100" s="4" t="s">
        <v>140</v>
      </c>
      <c r="D100" s="14">
        <v>376.77910000000003</v>
      </c>
      <c r="E100" s="7">
        <v>1434598</v>
      </c>
      <c r="F100" s="14">
        <v>14.882</v>
      </c>
      <c r="G100" s="7">
        <v>52032</v>
      </c>
      <c r="H100" s="14">
        <v>391.66109999999998</v>
      </c>
      <c r="I100" s="7">
        <v>1486630</v>
      </c>
      <c r="J100" s="22">
        <v>22</v>
      </c>
    </row>
    <row r="101" spans="1:10" x14ac:dyDescent="0.2">
      <c r="A101" s="8">
        <v>41000</v>
      </c>
      <c r="B101" s="4" t="s">
        <v>83</v>
      </c>
      <c r="C101" s="4" t="s">
        <v>141</v>
      </c>
      <c r="D101" s="14">
        <v>315.89460000000003</v>
      </c>
      <c r="E101" s="7">
        <v>1212385</v>
      </c>
      <c r="F101" s="14">
        <v>0.35570000000000002</v>
      </c>
      <c r="G101" s="7">
        <v>1299</v>
      </c>
      <c r="H101" s="14">
        <v>316.25029999999998</v>
      </c>
      <c r="I101" s="7">
        <v>1213684</v>
      </c>
      <c r="J101" s="22">
        <v>20</v>
      </c>
    </row>
    <row r="102" spans="1:10" x14ac:dyDescent="0.2">
      <c r="A102" s="8">
        <v>41030</v>
      </c>
      <c r="B102" s="4" t="s">
        <v>83</v>
      </c>
      <c r="C102" s="4" t="s">
        <v>141</v>
      </c>
      <c r="D102" s="14">
        <v>208.58619999999999</v>
      </c>
      <c r="E102" s="7">
        <v>870652</v>
      </c>
      <c r="F102" s="14">
        <v>3.4099999999999998E-2</v>
      </c>
      <c r="G102" s="7">
        <v>123</v>
      </c>
      <c r="H102" s="14">
        <v>208.62029999999999</v>
      </c>
      <c r="I102" s="7">
        <v>870775</v>
      </c>
      <c r="J102" s="22">
        <v>22</v>
      </c>
    </row>
    <row r="103" spans="1:10" x14ac:dyDescent="0.2">
      <c r="A103" s="8">
        <v>41061</v>
      </c>
      <c r="B103" s="4" t="s">
        <v>83</v>
      </c>
      <c r="C103" s="4" t="s">
        <v>141</v>
      </c>
      <c r="D103" s="14">
        <v>207.76390000000001</v>
      </c>
      <c r="E103" s="7">
        <v>832231</v>
      </c>
      <c r="F103" s="14">
        <v>0</v>
      </c>
      <c r="G103" s="7">
        <v>0</v>
      </c>
      <c r="H103" s="14">
        <v>207.76390000000001</v>
      </c>
      <c r="I103" s="7">
        <v>832231</v>
      </c>
      <c r="J103" s="22">
        <v>21</v>
      </c>
    </row>
    <row r="104" spans="1:10" x14ac:dyDescent="0.2">
      <c r="A104" s="8">
        <v>41091</v>
      </c>
      <c r="B104" s="4" t="s">
        <v>83</v>
      </c>
      <c r="C104" s="4" t="s">
        <v>142</v>
      </c>
      <c r="D104" s="14">
        <v>175.7499</v>
      </c>
      <c r="E104" s="7">
        <v>670155</v>
      </c>
      <c r="F104" s="14">
        <v>0.1019</v>
      </c>
      <c r="G104" s="7">
        <v>404</v>
      </c>
      <c r="H104" s="14">
        <v>175.8518</v>
      </c>
      <c r="I104" s="7">
        <v>670559</v>
      </c>
      <c r="J104" s="22">
        <v>22</v>
      </c>
    </row>
    <row r="105" spans="1:10" x14ac:dyDescent="0.2">
      <c r="A105" s="8">
        <v>41122</v>
      </c>
      <c r="B105" s="4" t="s">
        <v>83</v>
      </c>
      <c r="C105" s="4" t="s">
        <v>142</v>
      </c>
      <c r="D105" s="14">
        <v>88.181899999999999</v>
      </c>
      <c r="E105" s="7">
        <v>328488</v>
      </c>
      <c r="F105" s="14">
        <v>0.30730000000000002</v>
      </c>
      <c r="G105" s="7">
        <v>1059</v>
      </c>
      <c r="H105" s="14">
        <v>88.489199999999997</v>
      </c>
      <c r="I105" s="7">
        <v>329547</v>
      </c>
      <c r="J105" s="22">
        <v>21</v>
      </c>
    </row>
    <row r="106" spans="1:10" x14ac:dyDescent="0.2">
      <c r="A106" s="8">
        <v>41153</v>
      </c>
      <c r="B106" s="4" t="s">
        <v>83</v>
      </c>
      <c r="C106" s="4" t="s">
        <v>142</v>
      </c>
      <c r="D106" s="14">
        <v>45.71</v>
      </c>
      <c r="E106" s="7">
        <v>164723</v>
      </c>
      <c r="F106" s="14">
        <v>0.46089999999999998</v>
      </c>
      <c r="G106" s="7">
        <v>1799</v>
      </c>
      <c r="H106" s="14">
        <v>46.170900000000003</v>
      </c>
      <c r="I106" s="7">
        <v>166522</v>
      </c>
      <c r="J106" s="22">
        <v>20</v>
      </c>
    </row>
    <row r="107" spans="1:10" x14ac:dyDescent="0.2">
      <c r="A107" s="8">
        <v>41183</v>
      </c>
      <c r="B107" s="4" t="s">
        <v>83</v>
      </c>
      <c r="C107" s="4" t="s">
        <v>143</v>
      </c>
      <c r="D107" s="14">
        <v>36.36</v>
      </c>
      <c r="E107" s="7">
        <v>127788</v>
      </c>
      <c r="F107" s="14">
        <v>0.4</v>
      </c>
      <c r="G107" s="7">
        <v>1322</v>
      </c>
      <c r="H107" s="14">
        <v>36.76</v>
      </c>
      <c r="I107" s="7">
        <v>129110</v>
      </c>
      <c r="J107" s="22">
        <v>21</v>
      </c>
    </row>
    <row r="108" spans="1:10" x14ac:dyDescent="0.2">
      <c r="A108" s="8">
        <v>41214</v>
      </c>
      <c r="B108" s="4" t="s">
        <v>83</v>
      </c>
      <c r="C108" s="4" t="s">
        <v>143</v>
      </c>
      <c r="D108" s="14">
        <v>22.74</v>
      </c>
      <c r="E108" s="7">
        <v>79823</v>
      </c>
      <c r="F108" s="14">
        <v>0.13</v>
      </c>
      <c r="G108" s="7">
        <v>459</v>
      </c>
      <c r="H108" s="14">
        <v>22.87</v>
      </c>
      <c r="I108" s="7">
        <v>80282</v>
      </c>
      <c r="J108" s="22">
        <v>21</v>
      </c>
    </row>
    <row r="109" spans="1:10" x14ac:dyDescent="0.2">
      <c r="A109" s="8">
        <v>41244</v>
      </c>
      <c r="B109" s="4" t="s">
        <v>83</v>
      </c>
      <c r="C109" s="4" t="s">
        <v>143</v>
      </c>
      <c r="D109" s="14">
        <v>24.004200000000001</v>
      </c>
      <c r="E109" s="7">
        <v>80551</v>
      </c>
      <c r="F109" s="14">
        <v>0.25369999999999998</v>
      </c>
      <c r="G109" s="7">
        <v>836</v>
      </c>
      <c r="H109" s="14">
        <v>24.257899999999999</v>
      </c>
      <c r="I109" s="7">
        <v>81387</v>
      </c>
      <c r="J109" s="22">
        <v>20</v>
      </c>
    </row>
    <row r="110" spans="1:10" x14ac:dyDescent="0.2">
      <c r="A110" s="8">
        <v>41275</v>
      </c>
      <c r="B110" s="4" t="s">
        <v>83</v>
      </c>
      <c r="C110" s="4" t="s">
        <v>144</v>
      </c>
      <c r="D110" s="14">
        <v>36.736499999999999</v>
      </c>
      <c r="E110" s="7">
        <v>120434</v>
      </c>
      <c r="F110" s="14">
        <v>6.6962000000000002</v>
      </c>
      <c r="G110" s="7">
        <v>21272</v>
      </c>
      <c r="H110" s="14">
        <v>43.432699999999997</v>
      </c>
      <c r="I110" s="7">
        <v>141706</v>
      </c>
      <c r="J110" s="22">
        <v>23</v>
      </c>
    </row>
    <row r="111" spans="1:10" x14ac:dyDescent="0.2">
      <c r="A111" s="8">
        <v>41306</v>
      </c>
      <c r="B111" s="4" t="s">
        <v>83</v>
      </c>
      <c r="C111" s="4" t="s">
        <v>144</v>
      </c>
      <c r="D111" s="14">
        <v>34.8401</v>
      </c>
      <c r="E111" s="7">
        <v>118539</v>
      </c>
      <c r="F111" s="14">
        <v>5.9012000000000002</v>
      </c>
      <c r="G111" s="7">
        <v>20615</v>
      </c>
      <c r="H111" s="14">
        <v>40.741300000000003</v>
      </c>
      <c r="I111" s="7">
        <v>139154</v>
      </c>
      <c r="J111" s="22">
        <v>20</v>
      </c>
    </row>
    <row r="112" spans="1:10" x14ac:dyDescent="0.2">
      <c r="A112" s="8">
        <v>41334</v>
      </c>
      <c r="B112" s="4" t="s">
        <v>83</v>
      </c>
      <c r="C112" s="4" t="s">
        <v>144</v>
      </c>
      <c r="D112" s="14">
        <v>27.730599999999999</v>
      </c>
      <c r="E112" s="7">
        <v>96158</v>
      </c>
      <c r="F112" s="14">
        <v>19.559799999999999</v>
      </c>
      <c r="G112" s="7">
        <v>67745</v>
      </c>
      <c r="H112" s="14">
        <v>47.290399999999998</v>
      </c>
      <c r="I112" s="7">
        <v>163903</v>
      </c>
      <c r="J112" s="22">
        <v>19</v>
      </c>
    </row>
    <row r="113" spans="1:10" x14ac:dyDescent="0.2">
      <c r="A113" s="8">
        <v>41365</v>
      </c>
      <c r="B113" s="4" t="s">
        <v>84</v>
      </c>
      <c r="C113" s="4" t="s">
        <v>145</v>
      </c>
      <c r="D113" s="14">
        <v>72.689700000000002</v>
      </c>
      <c r="E113" s="7">
        <v>256417</v>
      </c>
      <c r="F113" s="14">
        <v>64.069999999999993</v>
      </c>
      <c r="G113" s="7">
        <v>235350</v>
      </c>
      <c r="H113" s="14">
        <v>136.75970000000001</v>
      </c>
      <c r="I113" s="7">
        <v>491767</v>
      </c>
      <c r="J113" s="22">
        <v>20</v>
      </c>
    </row>
    <row r="114" spans="1:10" x14ac:dyDescent="0.2">
      <c r="A114" s="8">
        <v>41395</v>
      </c>
      <c r="B114" s="4" t="s">
        <v>84</v>
      </c>
      <c r="C114" s="4" t="s">
        <v>145</v>
      </c>
      <c r="D114" s="14">
        <v>70.554199999999994</v>
      </c>
      <c r="E114" s="7">
        <v>233780</v>
      </c>
      <c r="F114" s="14">
        <v>67.620999999999995</v>
      </c>
      <c r="G114" s="7">
        <v>247629</v>
      </c>
      <c r="H114" s="14">
        <v>138.17519999999999</v>
      </c>
      <c r="I114" s="7">
        <v>481409</v>
      </c>
      <c r="J114" s="22">
        <v>23</v>
      </c>
    </row>
    <row r="115" spans="1:10" x14ac:dyDescent="0.2">
      <c r="A115" s="8">
        <v>41426</v>
      </c>
      <c r="B115" s="4" t="s">
        <v>84</v>
      </c>
      <c r="C115" s="4" t="s">
        <v>145</v>
      </c>
      <c r="D115" s="14">
        <v>65.213499999999996</v>
      </c>
      <c r="E115" s="7">
        <v>226988</v>
      </c>
      <c r="F115" s="14">
        <v>38.537599999999998</v>
      </c>
      <c r="G115" s="7">
        <v>149512</v>
      </c>
      <c r="H115" s="14">
        <v>103.75109999999999</v>
      </c>
      <c r="I115" s="7">
        <v>376500</v>
      </c>
      <c r="J115" s="22">
        <v>20</v>
      </c>
    </row>
    <row r="116" spans="1:10" x14ac:dyDescent="0.2">
      <c r="A116" s="8">
        <v>41456</v>
      </c>
      <c r="B116" s="4" t="s">
        <v>84</v>
      </c>
      <c r="C116" s="4" t="s">
        <v>146</v>
      </c>
      <c r="D116" s="14">
        <v>100.44759999999999</v>
      </c>
      <c r="E116" s="7">
        <v>340324</v>
      </c>
      <c r="F116" s="14">
        <v>69.447999999999993</v>
      </c>
      <c r="G116" s="7">
        <v>278544</v>
      </c>
      <c r="H116" s="14">
        <v>169.8956</v>
      </c>
      <c r="I116" s="7">
        <v>618868</v>
      </c>
      <c r="J116" s="22">
        <v>23</v>
      </c>
    </row>
    <row r="117" spans="1:10" x14ac:dyDescent="0.2">
      <c r="A117" s="8">
        <v>41487</v>
      </c>
      <c r="B117" s="4" t="s">
        <v>84</v>
      </c>
      <c r="C117" s="4" t="s">
        <v>146</v>
      </c>
      <c r="D117" s="14">
        <v>53.394199999999998</v>
      </c>
      <c r="E117" s="7">
        <v>194752</v>
      </c>
      <c r="F117" s="14">
        <v>35.673499999999997</v>
      </c>
      <c r="G117" s="7">
        <v>124342</v>
      </c>
      <c r="H117" s="14">
        <v>89.067700000000002</v>
      </c>
      <c r="I117" s="7">
        <v>319094</v>
      </c>
      <c r="J117" s="22">
        <v>20</v>
      </c>
    </row>
    <row r="118" spans="1:10" x14ac:dyDescent="0.2">
      <c r="A118" s="8">
        <v>41518</v>
      </c>
      <c r="B118" s="4" t="s">
        <v>84</v>
      </c>
      <c r="C118" s="4" t="s">
        <v>146</v>
      </c>
      <c r="D118" s="14">
        <v>55.084899999999998</v>
      </c>
      <c r="E118" s="7">
        <v>189538</v>
      </c>
      <c r="F118" s="14">
        <v>44.026600000000002</v>
      </c>
      <c r="G118" s="7">
        <v>140209</v>
      </c>
      <c r="H118" s="14">
        <v>99.111500000000007</v>
      </c>
      <c r="I118" s="7">
        <v>329747</v>
      </c>
      <c r="J118" s="22">
        <v>20</v>
      </c>
    </row>
    <row r="119" spans="1:10" x14ac:dyDescent="0.2">
      <c r="A119" s="8">
        <v>41548</v>
      </c>
      <c r="B119" s="4" t="s">
        <v>84</v>
      </c>
      <c r="C119" s="4" t="s">
        <v>147</v>
      </c>
      <c r="D119" s="14">
        <v>60.761499999999998</v>
      </c>
      <c r="E119" s="7">
        <v>199519</v>
      </c>
      <c r="F119" s="14">
        <v>52.171399999999998</v>
      </c>
      <c r="G119" s="7">
        <v>154157</v>
      </c>
      <c r="H119" s="14">
        <v>112.9329</v>
      </c>
      <c r="I119" s="7">
        <v>353676</v>
      </c>
      <c r="J119" s="22">
        <v>21</v>
      </c>
    </row>
    <row r="120" spans="1:10" x14ac:dyDescent="0.2">
      <c r="A120" s="8">
        <v>41579</v>
      </c>
      <c r="B120" s="4" t="s">
        <v>84</v>
      </c>
      <c r="C120" s="4" t="s">
        <v>147</v>
      </c>
      <c r="D120" s="14">
        <v>24.812799999999999</v>
      </c>
      <c r="E120" s="7">
        <v>79335</v>
      </c>
      <c r="F120" s="14">
        <v>27.011500000000002</v>
      </c>
      <c r="G120" s="7">
        <v>93566</v>
      </c>
      <c r="H120" s="14">
        <v>51.824300000000001</v>
      </c>
      <c r="I120" s="7">
        <v>172901</v>
      </c>
      <c r="J120" s="22">
        <v>20</v>
      </c>
    </row>
    <row r="121" spans="1:10" x14ac:dyDescent="0.2">
      <c r="A121" s="8">
        <v>41609</v>
      </c>
      <c r="B121" s="4" t="s">
        <v>84</v>
      </c>
      <c r="C121" s="4" t="s">
        <v>147</v>
      </c>
      <c r="D121" s="14">
        <v>18.899100000000001</v>
      </c>
      <c r="E121" s="7">
        <v>59655</v>
      </c>
      <c r="F121" s="14">
        <v>33.015300000000003</v>
      </c>
      <c r="G121" s="7">
        <v>109378</v>
      </c>
      <c r="H121" s="14">
        <v>51.914400000000001</v>
      </c>
      <c r="I121" s="7">
        <v>169033</v>
      </c>
      <c r="J121" s="22">
        <v>21</v>
      </c>
    </row>
    <row r="122" spans="1:10" x14ac:dyDescent="0.2">
      <c r="A122" s="8">
        <v>41640</v>
      </c>
      <c r="B122" s="4" t="s">
        <v>84</v>
      </c>
      <c r="C122" s="4" t="s">
        <v>148</v>
      </c>
      <c r="D122" s="14">
        <v>36.373100000000001</v>
      </c>
      <c r="E122" s="7">
        <v>115500</v>
      </c>
      <c r="F122" s="14">
        <v>42.787700000000001</v>
      </c>
      <c r="G122" s="7">
        <v>141257</v>
      </c>
      <c r="H122" s="14">
        <v>79.160799999999995</v>
      </c>
      <c r="I122" s="7">
        <v>256757</v>
      </c>
      <c r="J122" s="22">
        <v>23</v>
      </c>
    </row>
    <row r="123" spans="1:10" x14ac:dyDescent="0.2">
      <c r="A123" s="8">
        <v>41671</v>
      </c>
      <c r="B123" s="4" t="s">
        <v>84</v>
      </c>
      <c r="C123" s="4" t="s">
        <v>148</v>
      </c>
      <c r="D123" s="14">
        <v>34.645699999999998</v>
      </c>
      <c r="E123" s="7">
        <v>112391</v>
      </c>
      <c r="F123" s="14">
        <v>26.367899999999999</v>
      </c>
      <c r="G123" s="7">
        <v>87960</v>
      </c>
      <c r="H123" s="14">
        <v>61.013599999999997</v>
      </c>
      <c r="I123" s="7">
        <v>200351</v>
      </c>
      <c r="J123" s="22">
        <v>19</v>
      </c>
    </row>
    <row r="124" spans="1:10" x14ac:dyDescent="0.2">
      <c r="A124" s="8">
        <v>41699</v>
      </c>
      <c r="B124" s="4" t="s">
        <v>84</v>
      </c>
      <c r="C124" s="4" t="s">
        <v>148</v>
      </c>
      <c r="D124" s="14">
        <v>42.061900000000001</v>
      </c>
      <c r="E124" s="7">
        <v>128070</v>
      </c>
      <c r="F124" s="14">
        <v>45.2637</v>
      </c>
      <c r="G124" s="7">
        <v>139973</v>
      </c>
      <c r="H124" s="14">
        <v>87.325599999999994</v>
      </c>
      <c r="I124" s="7">
        <v>268043</v>
      </c>
      <c r="J124" s="22">
        <v>21</v>
      </c>
    </row>
    <row r="125" spans="1:10" x14ac:dyDescent="0.2">
      <c r="A125" s="8">
        <v>41730</v>
      </c>
      <c r="B125" s="4" t="s">
        <v>85</v>
      </c>
      <c r="C125" s="4" t="s">
        <v>149</v>
      </c>
      <c r="D125" s="14">
        <v>42.811300000000003</v>
      </c>
      <c r="E125" s="7">
        <v>125802</v>
      </c>
      <c r="F125" s="14">
        <v>27.459299999999999</v>
      </c>
      <c r="G125" s="7">
        <v>82783</v>
      </c>
      <c r="H125" s="14">
        <v>70.270600000000002</v>
      </c>
      <c r="I125" s="7">
        <v>208585</v>
      </c>
      <c r="J125" s="22">
        <v>18</v>
      </c>
    </row>
    <row r="126" spans="1:10" x14ac:dyDescent="0.2">
      <c r="A126" s="8">
        <v>41760</v>
      </c>
      <c r="B126" s="4" t="s">
        <v>85</v>
      </c>
      <c r="C126" s="4" t="s">
        <v>149</v>
      </c>
      <c r="D126" s="14">
        <v>31.573</v>
      </c>
      <c r="E126" s="7">
        <v>88483</v>
      </c>
      <c r="F126" s="14">
        <v>23.6721</v>
      </c>
      <c r="G126" s="7">
        <v>74143</v>
      </c>
      <c r="H126" s="14">
        <v>55.245100000000001</v>
      </c>
      <c r="I126" s="7">
        <v>162626</v>
      </c>
      <c r="J126" s="22">
        <v>21</v>
      </c>
    </row>
    <row r="127" spans="1:10" x14ac:dyDescent="0.2">
      <c r="A127" s="8">
        <v>41791</v>
      </c>
      <c r="B127" s="4" t="s">
        <v>85</v>
      </c>
      <c r="C127" s="4" t="s">
        <v>149</v>
      </c>
      <c r="D127" s="14">
        <v>54.688200000000002</v>
      </c>
      <c r="E127" s="7">
        <v>144469</v>
      </c>
      <c r="F127" s="14">
        <v>1.5410999999999999</v>
      </c>
      <c r="G127" s="7">
        <v>4594</v>
      </c>
      <c r="H127" s="14">
        <v>56.229300000000002</v>
      </c>
      <c r="I127" s="7">
        <v>149063</v>
      </c>
      <c r="J127" s="22">
        <v>21</v>
      </c>
    </row>
    <row r="128" spans="1:10" x14ac:dyDescent="0.2">
      <c r="A128" s="8">
        <v>41821</v>
      </c>
      <c r="B128" s="4" t="s">
        <v>85</v>
      </c>
      <c r="C128" s="4" t="s">
        <v>150</v>
      </c>
      <c r="D128" s="14">
        <v>53.154000000000003</v>
      </c>
      <c r="E128" s="7">
        <v>137732</v>
      </c>
      <c r="F128" s="14">
        <v>2.4169</v>
      </c>
      <c r="G128" s="7">
        <v>6899</v>
      </c>
      <c r="H128" s="14">
        <v>55.570900000000002</v>
      </c>
      <c r="I128" s="7">
        <v>144631</v>
      </c>
      <c r="J128" s="22">
        <v>22</v>
      </c>
    </row>
    <row r="129" spans="1:10" x14ac:dyDescent="0.2">
      <c r="A129" s="8">
        <v>41852</v>
      </c>
      <c r="B129" s="4" t="s">
        <v>85</v>
      </c>
      <c r="C129" s="4" t="s">
        <v>150</v>
      </c>
      <c r="D129" s="14">
        <v>33.829700000000003</v>
      </c>
      <c r="E129" s="7">
        <v>86504</v>
      </c>
      <c r="F129" s="14">
        <v>2.1539999999999999</v>
      </c>
      <c r="G129" s="7">
        <v>6346</v>
      </c>
      <c r="H129" s="14">
        <v>35.983699999999999</v>
      </c>
      <c r="I129" s="7">
        <v>92850</v>
      </c>
      <c r="J129" s="22">
        <v>19</v>
      </c>
    </row>
    <row r="130" spans="1:10" x14ac:dyDescent="0.2">
      <c r="A130" s="8">
        <v>41883</v>
      </c>
      <c r="B130" s="4" t="s">
        <v>85</v>
      </c>
      <c r="C130" s="4" t="s">
        <v>150</v>
      </c>
      <c r="D130" s="14">
        <v>38.066600000000001</v>
      </c>
      <c r="E130" s="7">
        <v>94154</v>
      </c>
      <c r="F130" s="14">
        <v>3.7997000000000001</v>
      </c>
      <c r="G130" s="7">
        <v>10482</v>
      </c>
      <c r="H130" s="14">
        <v>41.866300000000003</v>
      </c>
      <c r="I130" s="7">
        <v>104636</v>
      </c>
      <c r="J130" s="22">
        <v>22</v>
      </c>
    </row>
    <row r="131" spans="1:10" x14ac:dyDescent="0.2">
      <c r="A131" s="8">
        <v>41913</v>
      </c>
      <c r="B131" s="4" t="s">
        <v>85</v>
      </c>
      <c r="C131" s="4" t="s">
        <v>151</v>
      </c>
      <c r="D131" s="14">
        <v>32.168900000000001</v>
      </c>
      <c r="E131" s="7">
        <v>79997</v>
      </c>
      <c r="F131" s="14">
        <v>3.5693000000000001</v>
      </c>
      <c r="G131" s="7">
        <v>10058</v>
      </c>
      <c r="H131" s="14">
        <v>35.738199999999999</v>
      </c>
      <c r="I131" s="7">
        <v>90055</v>
      </c>
      <c r="J131" s="22">
        <v>18</v>
      </c>
    </row>
    <row r="132" spans="1:10" x14ac:dyDescent="0.2">
      <c r="A132" s="8">
        <v>41944</v>
      </c>
      <c r="B132" s="4" t="s">
        <v>85</v>
      </c>
      <c r="C132" s="4" t="s">
        <v>151</v>
      </c>
      <c r="D132" s="14">
        <v>38.302599999999998</v>
      </c>
      <c r="E132" s="7">
        <v>90211</v>
      </c>
      <c r="F132" s="14">
        <v>3.5142000000000002</v>
      </c>
      <c r="G132" s="7">
        <v>11551</v>
      </c>
      <c r="H132" s="14">
        <v>41.816800000000001</v>
      </c>
      <c r="I132" s="7">
        <v>101762</v>
      </c>
      <c r="J132" s="22">
        <v>18</v>
      </c>
    </row>
    <row r="133" spans="1:10" x14ac:dyDescent="0.2">
      <c r="A133" s="8">
        <v>41974</v>
      </c>
      <c r="B133" s="4" t="s">
        <v>85</v>
      </c>
      <c r="C133" s="4" t="s">
        <v>151</v>
      </c>
      <c r="D133" s="14">
        <v>64.022800000000004</v>
      </c>
      <c r="E133" s="7">
        <v>153607</v>
      </c>
      <c r="F133" s="14">
        <v>2.9586999999999999</v>
      </c>
      <c r="G133" s="7">
        <v>9889</v>
      </c>
      <c r="H133" s="14">
        <v>66.981499999999997</v>
      </c>
      <c r="I133" s="7">
        <v>163496</v>
      </c>
      <c r="J133" s="22">
        <v>22</v>
      </c>
    </row>
    <row r="134" spans="1:10" x14ac:dyDescent="0.2">
      <c r="A134" s="8">
        <v>42005</v>
      </c>
      <c r="B134" s="4" t="s">
        <v>85</v>
      </c>
      <c r="C134" s="4" t="s">
        <v>152</v>
      </c>
      <c r="D134" s="14">
        <v>40.858899999999998</v>
      </c>
      <c r="E134" s="7">
        <v>95598</v>
      </c>
      <c r="F134" s="14">
        <v>7.3117000000000001</v>
      </c>
      <c r="G134" s="7">
        <v>23123</v>
      </c>
      <c r="H134" s="14">
        <v>48.1706</v>
      </c>
      <c r="I134" s="7">
        <v>118721</v>
      </c>
      <c r="J134" s="22">
        <v>21</v>
      </c>
    </row>
    <row r="135" spans="1:10" x14ac:dyDescent="0.2">
      <c r="A135" s="8">
        <v>42036</v>
      </c>
      <c r="B135" s="4" t="s">
        <v>85</v>
      </c>
      <c r="C135" s="4" t="s">
        <v>152</v>
      </c>
      <c r="D135" s="14">
        <v>26.105799999999999</v>
      </c>
      <c r="E135" s="7">
        <v>59817</v>
      </c>
      <c r="F135" s="14">
        <v>9.9535</v>
      </c>
      <c r="G135" s="7">
        <v>33150</v>
      </c>
      <c r="H135" s="14">
        <v>36.0593</v>
      </c>
      <c r="I135" s="7">
        <v>92967</v>
      </c>
      <c r="J135" s="22">
        <v>20</v>
      </c>
    </row>
    <row r="136" spans="1:10" x14ac:dyDescent="0.2">
      <c r="A136" s="8">
        <v>42064</v>
      </c>
      <c r="B136" s="4" t="s">
        <v>85</v>
      </c>
      <c r="C136" s="4" t="s">
        <v>152</v>
      </c>
      <c r="D136" s="14">
        <v>30.741700000000002</v>
      </c>
      <c r="E136" s="7">
        <v>71552</v>
      </c>
      <c r="F136" s="14">
        <v>9.5921000000000003</v>
      </c>
      <c r="G136" s="7">
        <v>32696</v>
      </c>
      <c r="H136" s="14">
        <v>40.333799999999997</v>
      </c>
      <c r="I136" s="7">
        <v>104248</v>
      </c>
      <c r="J136" s="22">
        <v>21</v>
      </c>
    </row>
    <row r="137" spans="1:10" x14ac:dyDescent="0.2">
      <c r="A137" s="8">
        <v>42095</v>
      </c>
      <c r="B137" s="4" t="s">
        <v>86</v>
      </c>
      <c r="C137" s="4" t="s">
        <v>153</v>
      </c>
      <c r="D137" s="14">
        <v>26.651800000000001</v>
      </c>
      <c r="E137" s="7">
        <v>63480</v>
      </c>
      <c r="F137" s="14">
        <v>2.6029</v>
      </c>
      <c r="G137" s="7">
        <v>9018</v>
      </c>
      <c r="H137" s="14">
        <v>29.2547</v>
      </c>
      <c r="I137" s="7">
        <v>72498</v>
      </c>
      <c r="J137" s="22">
        <v>19</v>
      </c>
    </row>
    <row r="138" spans="1:10" x14ac:dyDescent="0.2">
      <c r="A138" s="8">
        <v>42125</v>
      </c>
      <c r="B138" s="4" t="s">
        <v>86</v>
      </c>
      <c r="C138" s="4" t="s">
        <v>153</v>
      </c>
      <c r="D138" s="14">
        <v>22.017099999999999</v>
      </c>
      <c r="E138" s="7">
        <v>53420</v>
      </c>
      <c r="F138" s="14">
        <v>2.8601000000000001</v>
      </c>
      <c r="G138" s="7">
        <v>11378</v>
      </c>
      <c r="H138" s="14">
        <v>24.877199999999998</v>
      </c>
      <c r="I138" s="7">
        <v>64798</v>
      </c>
      <c r="J138" s="22">
        <v>20</v>
      </c>
    </row>
    <row r="139" spans="1:10" x14ac:dyDescent="0.2">
      <c r="A139" s="8">
        <v>42156</v>
      </c>
      <c r="B139" s="4" t="s">
        <v>86</v>
      </c>
      <c r="C139" s="4" t="s">
        <v>153</v>
      </c>
      <c r="D139" s="14">
        <v>20.5336</v>
      </c>
      <c r="E139" s="7">
        <v>50411</v>
      </c>
      <c r="F139" s="14">
        <v>2.4575999999999998</v>
      </c>
      <c r="G139" s="7">
        <v>10419</v>
      </c>
      <c r="H139" s="14">
        <v>22.991199999999999</v>
      </c>
      <c r="I139" s="7">
        <v>60830</v>
      </c>
      <c r="J139" s="22">
        <v>22</v>
      </c>
    </row>
    <row r="140" spans="1:10" x14ac:dyDescent="0.2">
      <c r="A140" s="8">
        <v>42186</v>
      </c>
      <c r="B140" s="4" t="s">
        <v>86</v>
      </c>
      <c r="C140" s="4" t="s">
        <v>154</v>
      </c>
      <c r="D140" s="14">
        <v>11.285</v>
      </c>
      <c r="E140" s="7">
        <v>26905</v>
      </c>
      <c r="F140" s="14">
        <v>1.6761999999999999</v>
      </c>
      <c r="G140" s="7">
        <v>6283</v>
      </c>
      <c r="H140" s="14">
        <v>12.9612</v>
      </c>
      <c r="I140" s="7">
        <v>33188</v>
      </c>
      <c r="J140" s="22">
        <v>23</v>
      </c>
    </row>
    <row r="141" spans="1:10" x14ac:dyDescent="0.2">
      <c r="A141" s="8">
        <v>42217</v>
      </c>
      <c r="B141" s="4" t="s">
        <v>86</v>
      </c>
      <c r="C141" s="4" t="s">
        <v>154</v>
      </c>
      <c r="D141" s="14">
        <v>8.1751000000000005</v>
      </c>
      <c r="E141" s="7">
        <v>19761</v>
      </c>
      <c r="F141" s="14">
        <v>1.4439</v>
      </c>
      <c r="G141" s="7">
        <v>5371</v>
      </c>
      <c r="H141" s="14">
        <v>9.6189999999999998</v>
      </c>
      <c r="I141" s="7">
        <v>25132</v>
      </c>
      <c r="J141" s="22">
        <v>21</v>
      </c>
    </row>
    <row r="142" spans="1:10" x14ac:dyDescent="0.2">
      <c r="A142" s="8">
        <v>42248</v>
      </c>
      <c r="B142" s="4" t="s">
        <v>86</v>
      </c>
      <c r="C142" s="4" t="s">
        <v>154</v>
      </c>
      <c r="D142" s="14">
        <v>7.9855999999999998</v>
      </c>
      <c r="E142" s="7">
        <v>20747</v>
      </c>
      <c r="F142" s="14">
        <v>0.92830000000000001</v>
      </c>
      <c r="G142" s="7">
        <v>4742</v>
      </c>
      <c r="H142" s="14">
        <v>8.9138999999999999</v>
      </c>
      <c r="I142" s="7">
        <v>25489</v>
      </c>
      <c r="J142" s="22">
        <v>20</v>
      </c>
    </row>
    <row r="143" spans="1:10" x14ac:dyDescent="0.2">
      <c r="A143" s="8">
        <v>42278</v>
      </c>
      <c r="B143" s="4" t="s">
        <v>86</v>
      </c>
      <c r="C143" s="4" t="s">
        <v>155</v>
      </c>
      <c r="D143" s="14">
        <v>9.5755999999999997</v>
      </c>
      <c r="E143" s="7">
        <v>22040</v>
      </c>
      <c r="F143" s="14">
        <v>0.52</v>
      </c>
      <c r="G143" s="7">
        <v>2638</v>
      </c>
      <c r="H143" s="14">
        <v>10.095599999999999</v>
      </c>
      <c r="I143" s="7">
        <v>24678</v>
      </c>
      <c r="J143" s="22">
        <v>20</v>
      </c>
    </row>
    <row r="144" spans="1:10" x14ac:dyDescent="0.2">
      <c r="A144" s="8">
        <v>42309</v>
      </c>
      <c r="B144" s="4" t="s">
        <v>86</v>
      </c>
      <c r="C144" s="4" t="s">
        <v>155</v>
      </c>
      <c r="D144" s="14">
        <v>4.0545999999999998</v>
      </c>
      <c r="E144" s="7">
        <v>7790</v>
      </c>
      <c r="F144" s="14">
        <v>0.16300000000000001</v>
      </c>
      <c r="G144" s="7">
        <v>332</v>
      </c>
      <c r="H144" s="14">
        <v>4.2176</v>
      </c>
      <c r="I144" s="7">
        <v>8122</v>
      </c>
      <c r="J144" s="22">
        <v>19</v>
      </c>
    </row>
    <row r="145" spans="1:10" x14ac:dyDescent="0.2">
      <c r="A145" s="8">
        <v>42339</v>
      </c>
      <c r="B145" s="4" t="s">
        <v>86</v>
      </c>
      <c r="C145" s="4" t="s">
        <v>155</v>
      </c>
      <c r="D145" s="14">
        <v>3.8079000000000001</v>
      </c>
      <c r="E145" s="7">
        <v>7353</v>
      </c>
      <c r="F145" s="14">
        <v>0.27339999999999998</v>
      </c>
      <c r="G145" s="7">
        <v>551</v>
      </c>
      <c r="H145" s="14">
        <v>4.0812999999999997</v>
      </c>
      <c r="I145" s="7">
        <v>7904</v>
      </c>
      <c r="J145" s="22">
        <v>22</v>
      </c>
    </row>
    <row r="146" spans="1:10" x14ac:dyDescent="0.2">
      <c r="A146" s="8">
        <v>42370</v>
      </c>
      <c r="B146" s="4" t="s">
        <v>86</v>
      </c>
      <c r="C146" s="4" t="s">
        <v>156</v>
      </c>
      <c r="D146" s="14">
        <v>3.786</v>
      </c>
      <c r="E146" s="7">
        <v>7693</v>
      </c>
      <c r="F146" s="14">
        <v>7.46E-2</v>
      </c>
      <c r="G146" s="7">
        <v>172</v>
      </c>
      <c r="H146" s="14">
        <v>3.8605999999999998</v>
      </c>
      <c r="I146" s="7">
        <v>7865</v>
      </c>
      <c r="J146" s="22">
        <v>20</v>
      </c>
    </row>
    <row r="147" spans="1:10" x14ac:dyDescent="0.2">
      <c r="A147" s="8">
        <v>42401</v>
      </c>
      <c r="B147" s="4" t="s">
        <v>86</v>
      </c>
      <c r="C147" s="4" t="s">
        <v>156</v>
      </c>
      <c r="D147" s="14">
        <v>6.8620999999999999</v>
      </c>
      <c r="E147" s="7">
        <v>14625</v>
      </c>
      <c r="F147" s="14">
        <v>7.3300000000000004E-2</v>
      </c>
      <c r="G147" s="7">
        <v>178</v>
      </c>
      <c r="H147" s="14">
        <v>6.9353999999999996</v>
      </c>
      <c r="I147" s="7">
        <v>14803</v>
      </c>
      <c r="J147" s="22">
        <v>21</v>
      </c>
    </row>
    <row r="148" spans="1:10" x14ac:dyDescent="0.2">
      <c r="A148" s="8">
        <v>42430</v>
      </c>
      <c r="B148" s="4" t="s">
        <v>86</v>
      </c>
      <c r="C148" s="4" t="s">
        <v>156</v>
      </c>
      <c r="D148" s="14">
        <v>6.2371999999999996</v>
      </c>
      <c r="E148" s="7">
        <v>12487</v>
      </c>
      <c r="F148" s="14">
        <v>0.42259999999999998</v>
      </c>
      <c r="G148" s="7">
        <v>733</v>
      </c>
      <c r="H148" s="14">
        <v>6.6597999999999997</v>
      </c>
      <c r="I148" s="7">
        <v>13220</v>
      </c>
      <c r="J148" s="22">
        <v>20</v>
      </c>
    </row>
    <row r="149" spans="1:10" x14ac:dyDescent="0.2">
      <c r="A149" s="8">
        <v>42461</v>
      </c>
      <c r="B149" s="4" t="s">
        <v>87</v>
      </c>
      <c r="C149" s="4" t="s">
        <v>157</v>
      </c>
      <c r="D149" s="14">
        <v>0.22109999999999999</v>
      </c>
      <c r="E149" s="7">
        <v>433</v>
      </c>
      <c r="F149" s="14">
        <v>8.4000000000000005E-2</v>
      </c>
      <c r="G149" s="7">
        <v>147</v>
      </c>
      <c r="H149" s="14">
        <v>0.30509999999999998</v>
      </c>
      <c r="I149" s="7">
        <v>580</v>
      </c>
      <c r="J149" s="22">
        <v>18</v>
      </c>
    </row>
    <row r="150" spans="1:10" x14ac:dyDescent="0.2">
      <c r="A150" s="8">
        <v>42491</v>
      </c>
      <c r="B150" s="4" t="s">
        <v>87</v>
      </c>
      <c r="C150" s="4" t="s">
        <v>157</v>
      </c>
      <c r="D150" s="14">
        <v>9.2999999999999992E-3</v>
      </c>
      <c r="E150" s="7">
        <v>18</v>
      </c>
      <c r="F150" s="14">
        <v>0.14699999999999999</v>
      </c>
      <c r="G150" s="7">
        <v>252</v>
      </c>
      <c r="H150" s="14">
        <v>0.15629999999999999</v>
      </c>
      <c r="I150" s="7">
        <v>270</v>
      </c>
      <c r="J150" s="22">
        <v>22</v>
      </c>
    </row>
    <row r="151" spans="1:10" x14ac:dyDescent="0.2">
      <c r="A151" s="8">
        <v>42522</v>
      </c>
      <c r="B151" s="4" t="s">
        <v>87</v>
      </c>
      <c r="C151" s="4" t="s">
        <v>157</v>
      </c>
      <c r="D151" s="14"/>
      <c r="E151" s="7"/>
      <c r="F151" s="14">
        <v>0.2626</v>
      </c>
      <c r="G151" s="7">
        <v>452</v>
      </c>
      <c r="H151" s="14">
        <v>0.2626</v>
      </c>
      <c r="I151" s="7">
        <v>452</v>
      </c>
      <c r="J151" s="22">
        <v>22</v>
      </c>
    </row>
    <row r="152" spans="1:10" x14ac:dyDescent="0.2">
      <c r="A152" s="8">
        <v>42552</v>
      </c>
      <c r="B152" s="4" t="s">
        <v>87</v>
      </c>
      <c r="C152" s="4" t="s">
        <v>158</v>
      </c>
      <c r="D152" s="14">
        <v>2.9483000000000001</v>
      </c>
      <c r="E152" s="7">
        <v>4220</v>
      </c>
      <c r="F152" s="14">
        <v>0.23169999999999999</v>
      </c>
      <c r="G152" s="7">
        <v>340</v>
      </c>
      <c r="H152" s="14">
        <v>3.18</v>
      </c>
      <c r="I152" s="7">
        <v>4560</v>
      </c>
      <c r="J152" s="22">
        <v>20</v>
      </c>
    </row>
    <row r="153" spans="1:10" x14ac:dyDescent="0.2">
      <c r="A153" s="8">
        <v>42583</v>
      </c>
      <c r="B153" s="4" t="s">
        <v>87</v>
      </c>
      <c r="C153" s="4" t="s">
        <v>158</v>
      </c>
      <c r="D153" s="14">
        <v>11.8558</v>
      </c>
      <c r="E153" s="7">
        <v>16884</v>
      </c>
      <c r="F153" s="14">
        <v>0.39079999999999998</v>
      </c>
      <c r="G153" s="7">
        <v>547</v>
      </c>
      <c r="H153" s="14">
        <v>12.246600000000001</v>
      </c>
      <c r="I153" s="7">
        <v>17431</v>
      </c>
      <c r="J153" s="22">
        <v>22</v>
      </c>
    </row>
    <row r="154" spans="1:10" x14ac:dyDescent="0.2">
      <c r="A154" s="8">
        <v>42614</v>
      </c>
      <c r="B154" s="4" t="s">
        <v>87</v>
      </c>
      <c r="C154" s="4" t="s">
        <v>158</v>
      </c>
      <c r="D154" s="14">
        <v>4.4743000000000004</v>
      </c>
      <c r="E154" s="7">
        <v>6243</v>
      </c>
      <c r="F154" s="14">
        <v>0.26569999999999999</v>
      </c>
      <c r="G154" s="7">
        <v>353</v>
      </c>
      <c r="H154" s="14">
        <v>4.74</v>
      </c>
      <c r="I154" s="7">
        <v>6596</v>
      </c>
      <c r="J154" s="22">
        <v>20</v>
      </c>
    </row>
    <row r="155" spans="1:10" x14ac:dyDescent="0.2">
      <c r="A155" s="8">
        <v>42644</v>
      </c>
      <c r="B155" s="4" t="s">
        <v>87</v>
      </c>
      <c r="C155" s="4" t="s">
        <v>159</v>
      </c>
      <c r="D155" s="14">
        <v>0.54579999999999995</v>
      </c>
      <c r="E155" s="7">
        <v>778</v>
      </c>
      <c r="F155" s="14">
        <v>0.15</v>
      </c>
      <c r="G155" s="7">
        <v>189</v>
      </c>
      <c r="H155" s="14">
        <v>0.69579999999999997</v>
      </c>
      <c r="I155" s="7">
        <v>967</v>
      </c>
      <c r="J155" s="22">
        <v>19</v>
      </c>
    </row>
    <row r="156" spans="1:10" x14ac:dyDescent="0.2">
      <c r="A156" s="8">
        <v>42675</v>
      </c>
      <c r="B156" s="4" t="s">
        <v>87</v>
      </c>
      <c r="C156" s="4" t="s">
        <v>159</v>
      </c>
      <c r="D156" s="14">
        <v>0.37890000000000001</v>
      </c>
      <c r="E156" s="7">
        <v>554</v>
      </c>
      <c r="F156" s="14">
        <v>0.1492</v>
      </c>
      <c r="G156" s="7">
        <v>194</v>
      </c>
      <c r="H156" s="14">
        <v>0.52810000000000001</v>
      </c>
      <c r="I156" s="7">
        <v>748</v>
      </c>
      <c r="J156" s="22">
        <v>21</v>
      </c>
    </row>
    <row r="157" spans="1:10" x14ac:dyDescent="0.2">
      <c r="A157" s="8">
        <v>42705</v>
      </c>
      <c r="B157" s="4" t="s">
        <v>87</v>
      </c>
      <c r="C157" s="4" t="s">
        <v>159</v>
      </c>
      <c r="D157" s="14">
        <v>1.2999999999999999E-3</v>
      </c>
      <c r="E157" s="7">
        <v>2</v>
      </c>
      <c r="F157" s="14">
        <v>8.8499999999999995E-2</v>
      </c>
      <c r="G157" s="7">
        <v>115</v>
      </c>
      <c r="H157" s="14">
        <v>8.9800000000000005E-2</v>
      </c>
      <c r="I157" s="7">
        <v>117</v>
      </c>
      <c r="J157" s="22">
        <v>22</v>
      </c>
    </row>
    <row r="158" spans="1:10" x14ac:dyDescent="0.2">
      <c r="A158" s="8">
        <v>42736</v>
      </c>
      <c r="B158" s="4" t="s">
        <v>87</v>
      </c>
      <c r="C158" s="4" t="s">
        <v>160</v>
      </c>
      <c r="D158" s="14"/>
      <c r="E158" s="7"/>
      <c r="F158" s="14">
        <v>7.46E-2</v>
      </c>
      <c r="G158" s="7">
        <v>97</v>
      </c>
      <c r="H158" s="14">
        <v>7.46E-2</v>
      </c>
      <c r="I158" s="7">
        <v>97</v>
      </c>
      <c r="J158" s="22">
        <v>21</v>
      </c>
    </row>
    <row r="159" spans="1:10" x14ac:dyDescent="0.2">
      <c r="A159" s="8">
        <v>42767</v>
      </c>
      <c r="B159" s="4" t="s">
        <v>87</v>
      </c>
      <c r="C159" s="4" t="s">
        <v>160</v>
      </c>
      <c r="D159" s="14"/>
      <c r="E159" s="7"/>
      <c r="F159" s="14">
        <v>8.3799999999999999E-2</v>
      </c>
      <c r="G159" s="7">
        <v>99</v>
      </c>
      <c r="H159" s="14">
        <v>8.3799999999999999E-2</v>
      </c>
      <c r="I159" s="7">
        <v>99</v>
      </c>
      <c r="J159" s="22">
        <v>19</v>
      </c>
    </row>
    <row r="160" spans="1:10" x14ac:dyDescent="0.2">
      <c r="A160" s="8">
        <v>42795</v>
      </c>
      <c r="B160" s="4" t="s">
        <v>87</v>
      </c>
      <c r="C160" s="4" t="s">
        <v>160</v>
      </c>
      <c r="D160" s="14">
        <v>2.2338</v>
      </c>
      <c r="E160" s="7">
        <v>3156</v>
      </c>
      <c r="F160" s="14">
        <v>0.10290000000000001</v>
      </c>
      <c r="G160" s="7">
        <v>116</v>
      </c>
      <c r="H160" s="14">
        <v>2.3367</v>
      </c>
      <c r="I160" s="7">
        <v>3272</v>
      </c>
      <c r="J160" s="22">
        <v>22</v>
      </c>
    </row>
    <row r="161" spans="1:10" x14ac:dyDescent="0.2">
      <c r="A161" s="8">
        <v>42826</v>
      </c>
      <c r="B161" s="4" t="s">
        <v>88</v>
      </c>
      <c r="C161" s="4" t="s">
        <v>161</v>
      </c>
      <c r="D161" s="14">
        <v>13.301500000000001</v>
      </c>
      <c r="E161" s="7">
        <v>18597</v>
      </c>
      <c r="F161" s="14">
        <v>4.3299999999999998E-2</v>
      </c>
      <c r="G161" s="7">
        <v>51</v>
      </c>
      <c r="H161" s="14">
        <v>13.344799999999999</v>
      </c>
      <c r="I161" s="7">
        <v>18648</v>
      </c>
      <c r="J161" s="22">
        <v>18</v>
      </c>
    </row>
    <row r="162" spans="1:10" x14ac:dyDescent="0.2">
      <c r="A162" s="8">
        <v>42856</v>
      </c>
      <c r="B162" s="4" t="s">
        <v>88</v>
      </c>
      <c r="C162" s="4" t="s">
        <v>161</v>
      </c>
      <c r="D162" s="14">
        <v>10.8057</v>
      </c>
      <c r="E162" s="7">
        <v>14812</v>
      </c>
      <c r="F162" s="14">
        <v>5.3800000000000001E-2</v>
      </c>
      <c r="G162" s="7">
        <v>69</v>
      </c>
      <c r="H162" s="14">
        <v>10.859500000000001</v>
      </c>
      <c r="I162" s="7">
        <v>14881</v>
      </c>
      <c r="J162" s="22">
        <v>22</v>
      </c>
    </row>
    <row r="163" spans="1:10" x14ac:dyDescent="0.2">
      <c r="A163" s="8">
        <v>42887</v>
      </c>
      <c r="B163" s="4" t="s">
        <v>88</v>
      </c>
      <c r="C163" s="4" t="s">
        <v>161</v>
      </c>
      <c r="D163" s="14">
        <v>4.6802000000000001</v>
      </c>
      <c r="E163" s="7">
        <v>6267</v>
      </c>
      <c r="F163" s="14">
        <v>3.4299999999999997E-2</v>
      </c>
      <c r="G163" s="7">
        <v>43</v>
      </c>
      <c r="H163" s="14">
        <v>4.7145000000000001</v>
      </c>
      <c r="I163" s="7">
        <v>6310</v>
      </c>
      <c r="J163" s="22">
        <v>21</v>
      </c>
    </row>
    <row r="164" spans="1:10" x14ac:dyDescent="0.2">
      <c r="A164" s="8">
        <v>42917</v>
      </c>
      <c r="B164" s="4" t="s">
        <v>88</v>
      </c>
      <c r="C164" s="4" t="s">
        <v>162</v>
      </c>
      <c r="D164" s="14">
        <v>3.173</v>
      </c>
      <c r="E164" s="7">
        <v>4165</v>
      </c>
      <c r="F164" s="14">
        <v>4.3499999999999997E-2</v>
      </c>
      <c r="G164" s="7">
        <v>59</v>
      </c>
      <c r="H164" s="14">
        <v>3.2164999999999999</v>
      </c>
      <c r="I164" s="7">
        <v>4224</v>
      </c>
      <c r="J164" s="22">
        <v>21</v>
      </c>
    </row>
    <row r="165" spans="1:10" x14ac:dyDescent="0.2">
      <c r="A165" s="8">
        <v>42948</v>
      </c>
      <c r="B165" s="4" t="s">
        <v>88</v>
      </c>
      <c r="C165" s="4" t="s">
        <v>162</v>
      </c>
      <c r="D165" s="14">
        <v>0.1918</v>
      </c>
      <c r="E165" s="7">
        <v>248</v>
      </c>
      <c r="F165" s="14">
        <v>2.3300000000000001E-2</v>
      </c>
      <c r="G165" s="7">
        <v>28</v>
      </c>
      <c r="H165" s="14">
        <v>0.21510000000000001</v>
      </c>
      <c r="I165" s="7">
        <v>276</v>
      </c>
      <c r="J165" s="22">
        <v>21</v>
      </c>
    </row>
    <row r="166" spans="1:10" x14ac:dyDescent="0.2">
      <c r="A166" s="8">
        <v>42979</v>
      </c>
      <c r="B166" s="4" t="s">
        <v>88</v>
      </c>
      <c r="C166" s="4" t="s">
        <v>162</v>
      </c>
      <c r="D166" s="14">
        <v>8.8000000000000005E-3</v>
      </c>
      <c r="E166" s="7">
        <v>11</v>
      </c>
      <c r="F166" s="14">
        <v>2.2800000000000001E-2</v>
      </c>
      <c r="G166" s="7">
        <v>21</v>
      </c>
      <c r="H166" s="14">
        <v>3.1600000000000003E-2</v>
      </c>
      <c r="I166" s="7">
        <v>32</v>
      </c>
      <c r="J166" s="22">
        <v>21</v>
      </c>
    </row>
    <row r="167" spans="1:10" x14ac:dyDescent="0.2">
      <c r="A167" s="8">
        <v>43009</v>
      </c>
      <c r="B167" s="4" t="s">
        <v>88</v>
      </c>
      <c r="C167" s="4" t="s">
        <v>163</v>
      </c>
      <c r="D167" s="14">
        <v>8.0000000000000004E-4</v>
      </c>
      <c r="E167" s="7">
        <v>1</v>
      </c>
      <c r="F167" s="14">
        <v>2.6599999999999999E-2</v>
      </c>
      <c r="G167" s="7">
        <v>21</v>
      </c>
      <c r="H167" s="14">
        <v>2.7400000000000001E-2</v>
      </c>
      <c r="I167" s="7">
        <v>22</v>
      </c>
      <c r="J167" s="22">
        <v>20</v>
      </c>
    </row>
    <row r="168" spans="1:10" x14ac:dyDescent="0.2">
      <c r="A168" s="8">
        <v>43040</v>
      </c>
      <c r="B168" s="4" t="s">
        <v>88</v>
      </c>
      <c r="C168" s="4" t="s">
        <v>163</v>
      </c>
      <c r="D168" s="14"/>
      <c r="E168" s="7"/>
      <c r="F168" s="14">
        <v>1.7500000000000002E-2</v>
      </c>
      <c r="G168" s="7">
        <v>24</v>
      </c>
      <c r="H168" s="14">
        <v>1.7500000000000002E-2</v>
      </c>
      <c r="I168" s="7">
        <v>24</v>
      </c>
      <c r="J168" s="22">
        <v>22</v>
      </c>
    </row>
    <row r="169" spans="1:10" x14ac:dyDescent="0.2">
      <c r="A169" s="8">
        <v>43070</v>
      </c>
      <c r="B169" s="4" t="s">
        <v>88</v>
      </c>
      <c r="C169" s="4" t="s">
        <v>163</v>
      </c>
      <c r="D169" s="14"/>
      <c r="E169" s="7"/>
      <c r="F169" s="14">
        <v>1.37E-2</v>
      </c>
      <c r="G169" s="7">
        <v>19</v>
      </c>
      <c r="H169" s="14">
        <v>1.37E-2</v>
      </c>
      <c r="I169" s="7">
        <v>19</v>
      </c>
      <c r="J169" s="22">
        <v>20</v>
      </c>
    </row>
    <row r="170" spans="1:10" x14ac:dyDescent="0.2">
      <c r="A170" s="8">
        <v>43101</v>
      </c>
      <c r="B170" s="4" t="s">
        <v>88</v>
      </c>
      <c r="C170" s="4" t="s">
        <v>164</v>
      </c>
      <c r="D170" s="14"/>
      <c r="E170" s="7"/>
      <c r="F170" s="14">
        <v>4.3099999999999999E-2</v>
      </c>
      <c r="G170" s="7">
        <v>62</v>
      </c>
      <c r="H170" s="14">
        <v>4.3099999999999999E-2</v>
      </c>
      <c r="I170" s="7">
        <v>62</v>
      </c>
      <c r="J170" s="22">
        <v>22</v>
      </c>
    </row>
    <row r="171" spans="1:10" x14ac:dyDescent="0.2">
      <c r="A171" s="8">
        <v>43132</v>
      </c>
      <c r="B171" s="4" t="s">
        <v>88</v>
      </c>
      <c r="C171" s="4" t="s">
        <v>164</v>
      </c>
      <c r="D171" s="14"/>
      <c r="E171" s="7"/>
      <c r="F171" s="14">
        <v>2.8199999999999999E-2</v>
      </c>
      <c r="G171" s="7">
        <v>40</v>
      </c>
      <c r="H171" s="14">
        <v>2.8199999999999999E-2</v>
      </c>
      <c r="I171" s="7">
        <v>40</v>
      </c>
      <c r="J171" s="22">
        <v>19</v>
      </c>
    </row>
    <row r="172" spans="1:10" x14ac:dyDescent="0.2">
      <c r="A172" s="8">
        <v>43160</v>
      </c>
      <c r="B172" s="4" t="s">
        <v>88</v>
      </c>
      <c r="C172" s="4" t="s">
        <v>164</v>
      </c>
      <c r="D172" s="14">
        <v>1.3299999999999999E-2</v>
      </c>
      <c r="E172" s="7">
        <v>16</v>
      </c>
      <c r="F172" s="14">
        <v>1.7500000000000002E-2</v>
      </c>
      <c r="G172" s="7">
        <v>30</v>
      </c>
      <c r="H172" s="14">
        <v>3.0800000000000001E-2</v>
      </c>
      <c r="I172" s="7">
        <v>46</v>
      </c>
      <c r="J172" s="22">
        <v>19</v>
      </c>
    </row>
    <row r="173" spans="1:10" x14ac:dyDescent="0.2">
      <c r="A173" s="8">
        <v>43191</v>
      </c>
      <c r="B173" s="4" t="s">
        <v>89</v>
      </c>
      <c r="C173" s="4" t="s">
        <v>165</v>
      </c>
      <c r="D173" s="14">
        <v>1.6899999999999998E-2</v>
      </c>
      <c r="E173" s="7">
        <v>20</v>
      </c>
      <c r="F173" s="14">
        <v>2.53E-2</v>
      </c>
      <c r="G173" s="7">
        <v>39</v>
      </c>
      <c r="H173" s="14">
        <v>4.2200000000000001E-2</v>
      </c>
      <c r="I173" s="7">
        <v>59</v>
      </c>
      <c r="J173" s="22">
        <v>21</v>
      </c>
    </row>
    <row r="174" spans="1:10" x14ac:dyDescent="0.2">
      <c r="A174" s="8">
        <v>43221</v>
      </c>
      <c r="B174" s="4" t="s">
        <v>89</v>
      </c>
      <c r="C174" s="4" t="s">
        <v>165</v>
      </c>
      <c r="D174" s="14">
        <v>5.3E-3</v>
      </c>
      <c r="E174" s="7">
        <v>6</v>
      </c>
      <c r="F174" s="14">
        <v>1.9900000000000001E-2</v>
      </c>
      <c r="G174" s="7">
        <v>33</v>
      </c>
      <c r="H174" s="14">
        <v>2.52E-2</v>
      </c>
      <c r="I174" s="7">
        <v>39</v>
      </c>
      <c r="J174" s="22">
        <v>22</v>
      </c>
    </row>
    <row r="175" spans="1:10" x14ac:dyDescent="0.2">
      <c r="A175" s="8">
        <v>43252</v>
      </c>
      <c r="B175" s="4" t="s">
        <v>89</v>
      </c>
      <c r="C175" s="4" t="s">
        <v>165</v>
      </c>
      <c r="D175" s="14">
        <v>0.29310000000000003</v>
      </c>
      <c r="E175" s="7">
        <v>331</v>
      </c>
      <c r="F175" s="14">
        <v>1.2500000000000001E-2</v>
      </c>
      <c r="G175" s="7">
        <v>21</v>
      </c>
      <c r="H175" s="14">
        <v>0.30559999999999998</v>
      </c>
      <c r="I175" s="7">
        <v>352</v>
      </c>
      <c r="J175" s="22">
        <v>21</v>
      </c>
    </row>
    <row r="176" spans="1:10" x14ac:dyDescent="0.2">
      <c r="A176" s="8">
        <v>43282</v>
      </c>
      <c r="B176" s="4" t="s">
        <v>89</v>
      </c>
      <c r="C176" s="4" t="s">
        <v>166</v>
      </c>
      <c r="D176" s="14">
        <v>1.84E-2</v>
      </c>
      <c r="E176" s="7">
        <v>20</v>
      </c>
      <c r="F176" s="14">
        <v>1.34E-2</v>
      </c>
      <c r="G176" s="7">
        <v>22</v>
      </c>
      <c r="H176" s="14">
        <v>3.1800000000000002E-2</v>
      </c>
      <c r="I176" s="7">
        <v>42</v>
      </c>
      <c r="J176" s="22">
        <v>22</v>
      </c>
    </row>
    <row r="177" spans="1:10" x14ac:dyDescent="0.2">
      <c r="A177" s="8">
        <v>43313</v>
      </c>
      <c r="B177" s="4" t="s">
        <v>89</v>
      </c>
      <c r="C177" s="4" t="s">
        <v>166</v>
      </c>
      <c r="D177" s="14"/>
      <c r="E177" s="7"/>
      <c r="F177" s="14">
        <v>0.01</v>
      </c>
      <c r="G177" s="7">
        <v>16</v>
      </c>
      <c r="H177" s="14">
        <v>0.01</v>
      </c>
      <c r="I177" s="7">
        <v>16</v>
      </c>
      <c r="J177" s="22">
        <v>20</v>
      </c>
    </row>
    <row r="178" spans="1:10" x14ac:dyDescent="0.2">
      <c r="A178" s="8">
        <v>43344</v>
      </c>
      <c r="B178" s="4" t="s">
        <v>89</v>
      </c>
      <c r="C178" s="4" t="s">
        <v>166</v>
      </c>
      <c r="D178" s="14"/>
      <c r="E178" s="7"/>
      <c r="F178" s="14">
        <v>9.2999999999999992E-3</v>
      </c>
      <c r="G178" s="7">
        <v>14</v>
      </c>
      <c r="H178" s="14">
        <v>9.2999999999999992E-3</v>
      </c>
      <c r="I178" s="7">
        <v>14</v>
      </c>
      <c r="J178" s="22">
        <v>18</v>
      </c>
    </row>
    <row r="179" spans="1:10" x14ac:dyDescent="0.2">
      <c r="A179" s="8">
        <v>43374</v>
      </c>
      <c r="B179" s="4" t="s">
        <v>89</v>
      </c>
      <c r="C179" s="4" t="s">
        <v>167</v>
      </c>
      <c r="D179" s="14"/>
      <c r="E179" s="7"/>
      <c r="F179" s="14">
        <v>2.8999999999999998E-3</v>
      </c>
      <c r="G179" s="7">
        <v>5</v>
      </c>
      <c r="H179" s="14">
        <v>2.8999999999999998E-3</v>
      </c>
      <c r="I179" s="7">
        <v>5</v>
      </c>
      <c r="J179" s="22">
        <v>21</v>
      </c>
    </row>
    <row r="180" spans="1:10" x14ac:dyDescent="0.2">
      <c r="A180" s="8">
        <v>43405</v>
      </c>
      <c r="B180" s="4" t="s">
        <v>89</v>
      </c>
      <c r="C180" s="4" t="s">
        <v>167</v>
      </c>
      <c r="D180" s="14"/>
      <c r="E180" s="7"/>
      <c r="F180" s="14">
        <v>2.5000000000000001E-3</v>
      </c>
      <c r="G180" s="7">
        <v>4</v>
      </c>
      <c r="H180" s="14">
        <v>2.5000000000000001E-3</v>
      </c>
      <c r="I180" s="7">
        <v>4</v>
      </c>
      <c r="J180" s="22">
        <v>20</v>
      </c>
    </row>
    <row r="181" spans="1:10" x14ac:dyDescent="0.2">
      <c r="A181" s="8">
        <v>43435</v>
      </c>
      <c r="B181" s="4" t="s">
        <v>89</v>
      </c>
      <c r="C181" s="4" t="s">
        <v>167</v>
      </c>
      <c r="D181" s="14"/>
      <c r="E181" s="7"/>
      <c r="F181" s="14">
        <v>5.5999999999999999E-3</v>
      </c>
      <c r="G181" s="7">
        <v>9</v>
      </c>
      <c r="H181" s="14">
        <v>5.5999999999999999E-3</v>
      </c>
      <c r="I181" s="7">
        <v>9</v>
      </c>
      <c r="J181" s="22">
        <v>20</v>
      </c>
    </row>
    <row r="182" spans="1:10" x14ac:dyDescent="0.2">
      <c r="A182" s="8">
        <v>43466</v>
      </c>
      <c r="B182" s="4" t="s">
        <v>89</v>
      </c>
      <c r="C182" s="4" t="s">
        <v>168</v>
      </c>
      <c r="D182" s="14">
        <v>1.8E-3</v>
      </c>
      <c r="E182" s="7">
        <v>2</v>
      </c>
      <c r="F182" s="14">
        <v>2.8999999999999998E-3</v>
      </c>
      <c r="G182" s="7">
        <v>5</v>
      </c>
      <c r="H182" s="14">
        <v>4.7000000000000002E-3</v>
      </c>
      <c r="I182" s="7">
        <v>7</v>
      </c>
      <c r="J182" s="22">
        <v>23</v>
      </c>
    </row>
    <row r="183" spans="1:10" x14ac:dyDescent="0.2">
      <c r="A183" s="8">
        <v>43497</v>
      </c>
      <c r="B183" s="4" t="s">
        <v>89</v>
      </c>
      <c r="C183" s="4" t="s">
        <v>168</v>
      </c>
      <c r="D183" s="14"/>
      <c r="E183" s="7"/>
      <c r="F183" s="14">
        <v>7.9000000000000008E-3</v>
      </c>
      <c r="G183" s="7">
        <v>11</v>
      </c>
      <c r="H183" s="14">
        <v>7.9000000000000008E-3</v>
      </c>
      <c r="I183" s="7">
        <v>11</v>
      </c>
      <c r="J183" s="22">
        <v>20</v>
      </c>
    </row>
    <row r="184" spans="1:10" x14ac:dyDescent="0.2">
      <c r="A184" s="8">
        <v>43525</v>
      </c>
      <c r="B184" s="4" t="s">
        <v>89</v>
      </c>
      <c r="C184" s="4" t="s">
        <v>168</v>
      </c>
      <c r="D184" s="14">
        <v>5.5800000000000002E-2</v>
      </c>
      <c r="E184" s="7">
        <v>59</v>
      </c>
      <c r="F184" s="14">
        <v>6.5500000000000003E-2</v>
      </c>
      <c r="G184" s="7">
        <v>92</v>
      </c>
      <c r="H184" s="14">
        <v>0.12130000000000001</v>
      </c>
      <c r="I184" s="7">
        <v>151</v>
      </c>
      <c r="J184" s="22">
        <v>19</v>
      </c>
    </row>
    <row r="185" spans="1:10" x14ac:dyDescent="0.2">
      <c r="A185" s="8">
        <v>43556</v>
      </c>
      <c r="B185" s="4" t="s">
        <v>90</v>
      </c>
      <c r="C185" s="4" t="s">
        <v>169</v>
      </c>
      <c r="D185" s="14">
        <v>7.0000000000000001E-3</v>
      </c>
      <c r="E185" s="7">
        <v>7</v>
      </c>
      <c r="F185" s="14">
        <v>3.5299999999999998E-2</v>
      </c>
      <c r="G185" s="7">
        <v>51</v>
      </c>
      <c r="H185" s="14">
        <v>4.2299999999999997E-2</v>
      </c>
      <c r="I185" s="7">
        <v>58</v>
      </c>
      <c r="J185" s="22">
        <v>19</v>
      </c>
    </row>
    <row r="186" spans="1:10" x14ac:dyDescent="0.2">
      <c r="A186" s="8">
        <v>43586</v>
      </c>
      <c r="B186" s="4" t="s">
        <v>90</v>
      </c>
      <c r="C186" s="4" t="s">
        <v>169</v>
      </c>
      <c r="D186" s="14">
        <v>1.14E-2</v>
      </c>
      <c r="E186" s="7">
        <v>12</v>
      </c>
      <c r="F186" s="14">
        <v>2.3199999999999998E-2</v>
      </c>
      <c r="G186" s="7">
        <v>28</v>
      </c>
      <c r="H186" s="14">
        <v>3.4599999999999999E-2</v>
      </c>
      <c r="I186" s="7">
        <v>40</v>
      </c>
      <c r="J186" s="22">
        <v>22</v>
      </c>
    </row>
    <row r="187" spans="1:10" x14ac:dyDescent="0.2">
      <c r="A187" s="8">
        <v>43617</v>
      </c>
      <c r="B187" s="4" t="s">
        <v>90</v>
      </c>
      <c r="C187" s="4" t="s">
        <v>169</v>
      </c>
      <c r="D187" s="14">
        <v>4.0000000000000001E-3</v>
      </c>
      <c r="E187" s="7">
        <v>4</v>
      </c>
      <c r="F187" s="14">
        <v>1.3299999999999999E-2</v>
      </c>
      <c r="G187" s="7">
        <v>16</v>
      </c>
      <c r="H187" s="14">
        <v>1.7299999999999999E-2</v>
      </c>
      <c r="I187" s="7">
        <v>20</v>
      </c>
      <c r="J187" s="22">
        <v>19</v>
      </c>
    </row>
    <row r="188" spans="1:10" x14ac:dyDescent="0.2">
      <c r="A188" s="8">
        <v>43647</v>
      </c>
      <c r="B188" s="4" t="s">
        <v>90</v>
      </c>
      <c r="C188" s="4" t="s">
        <v>170</v>
      </c>
      <c r="D188" s="14">
        <v>2E-3</v>
      </c>
      <c r="E188" s="7">
        <v>2</v>
      </c>
      <c r="F188" s="14">
        <v>6.8999999999999999E-3</v>
      </c>
      <c r="G188" s="7">
        <v>9</v>
      </c>
      <c r="H188" s="14">
        <v>8.8999999999999999E-3</v>
      </c>
      <c r="I188" s="7">
        <v>11</v>
      </c>
      <c r="J188" s="22">
        <v>23</v>
      </c>
    </row>
    <row r="189" spans="1:10" x14ac:dyDescent="0.2">
      <c r="A189" s="8">
        <v>43678</v>
      </c>
      <c r="B189" s="4" t="s">
        <v>90</v>
      </c>
      <c r="C189" s="4" t="s">
        <v>170</v>
      </c>
      <c r="D189" s="14">
        <v>8.3999999999999995E-3</v>
      </c>
      <c r="E189" s="7">
        <v>9</v>
      </c>
      <c r="F189" s="14">
        <v>0.188</v>
      </c>
      <c r="G189" s="7">
        <v>357</v>
      </c>
      <c r="H189" s="14">
        <v>0.19639999999999999</v>
      </c>
      <c r="I189" s="7">
        <v>366</v>
      </c>
      <c r="J189" s="22">
        <v>20</v>
      </c>
    </row>
    <row r="190" spans="1:10" x14ac:dyDescent="0.2">
      <c r="A190" s="8">
        <v>43709</v>
      </c>
      <c r="B190" s="4" t="s">
        <v>90</v>
      </c>
      <c r="C190" s="4" t="s">
        <v>170</v>
      </c>
      <c r="D190" s="14">
        <v>2.7153999999999998</v>
      </c>
      <c r="E190" s="7">
        <v>2883</v>
      </c>
      <c r="F190" s="14">
        <v>0.43020000000000003</v>
      </c>
      <c r="G190" s="7">
        <v>921</v>
      </c>
      <c r="H190" s="14">
        <v>3.1456</v>
      </c>
      <c r="I190" s="7">
        <v>3804</v>
      </c>
      <c r="J190" s="22">
        <v>19</v>
      </c>
    </row>
    <row r="191" spans="1:10" x14ac:dyDescent="0.2">
      <c r="A191" s="8">
        <v>43739</v>
      </c>
      <c r="B191" s="4" t="s">
        <v>90</v>
      </c>
      <c r="C191" s="4" t="s">
        <v>171</v>
      </c>
      <c r="D191" s="14">
        <v>14.105</v>
      </c>
      <c r="E191" s="7">
        <v>14434</v>
      </c>
      <c r="F191" s="14">
        <v>0.23669999999999999</v>
      </c>
      <c r="G191" s="7">
        <v>443</v>
      </c>
      <c r="H191" s="14">
        <v>14.341699999999999</v>
      </c>
      <c r="I191" s="7">
        <v>14877</v>
      </c>
      <c r="J191" s="22">
        <v>20</v>
      </c>
    </row>
    <row r="192" spans="1:10" x14ac:dyDescent="0.2">
      <c r="A192" s="8">
        <v>43770</v>
      </c>
      <c r="B192" s="4" t="s">
        <v>90</v>
      </c>
      <c r="C192" s="4" t="s">
        <v>171</v>
      </c>
      <c r="D192" s="14">
        <v>28.415199999999999</v>
      </c>
      <c r="E192" s="7">
        <v>27957</v>
      </c>
      <c r="F192" s="14">
        <v>0.44040000000000001</v>
      </c>
      <c r="G192" s="7">
        <v>762</v>
      </c>
      <c r="H192" s="14">
        <v>28.855599999999999</v>
      </c>
      <c r="I192" s="7">
        <v>28719</v>
      </c>
      <c r="J192" s="22">
        <v>20</v>
      </c>
    </row>
    <row r="193" spans="1:10" x14ac:dyDescent="0.2">
      <c r="A193" s="8">
        <v>43800</v>
      </c>
      <c r="B193" s="4" t="s">
        <v>90</v>
      </c>
      <c r="C193" s="4" t="s">
        <v>171</v>
      </c>
      <c r="D193" s="14">
        <v>38.357900000000001</v>
      </c>
      <c r="E193" s="7">
        <v>37326</v>
      </c>
      <c r="F193" s="14">
        <v>0.13270000000000001</v>
      </c>
      <c r="G193" s="7">
        <v>216</v>
      </c>
      <c r="H193" s="14">
        <v>38.490600000000001</v>
      </c>
      <c r="I193" s="7">
        <v>37542</v>
      </c>
      <c r="J193" s="22">
        <v>21</v>
      </c>
    </row>
    <row r="194" spans="1:10" x14ac:dyDescent="0.2">
      <c r="A194" s="8">
        <v>43831</v>
      </c>
      <c r="B194" s="4" t="s">
        <v>90</v>
      </c>
      <c r="C194" s="4" t="s">
        <v>172</v>
      </c>
      <c r="D194" s="14">
        <v>24.936199999999999</v>
      </c>
      <c r="E194" s="7">
        <v>24081</v>
      </c>
      <c r="F194" s="14">
        <v>6.3399999999999998E-2</v>
      </c>
      <c r="G194" s="7">
        <v>88</v>
      </c>
      <c r="H194" s="14">
        <v>24.999600000000001</v>
      </c>
      <c r="I194" s="7">
        <v>24169</v>
      </c>
      <c r="J194" s="22">
        <v>23</v>
      </c>
    </row>
    <row r="195" spans="1:10" x14ac:dyDescent="0.2">
      <c r="A195" s="8">
        <v>43862</v>
      </c>
      <c r="B195" s="4" t="s">
        <v>90</v>
      </c>
      <c r="C195" s="4" t="s">
        <v>172</v>
      </c>
      <c r="D195" s="14">
        <v>22.877199999999998</v>
      </c>
      <c r="E195" s="7">
        <v>22518</v>
      </c>
      <c r="F195" s="14">
        <v>5.7799999999999997E-2</v>
      </c>
      <c r="G195" s="7">
        <v>88</v>
      </c>
      <c r="H195" s="14">
        <v>22.934999999999999</v>
      </c>
      <c r="I195" s="7">
        <v>22606</v>
      </c>
      <c r="J195" s="22">
        <v>20</v>
      </c>
    </row>
    <row r="196" spans="1:10" x14ac:dyDescent="0.2">
      <c r="A196" s="8">
        <v>43891</v>
      </c>
      <c r="B196" s="4" t="s">
        <v>90</v>
      </c>
      <c r="C196" s="4" t="s">
        <v>172</v>
      </c>
      <c r="D196" s="14">
        <v>17.897200000000002</v>
      </c>
      <c r="E196" s="7">
        <v>20979</v>
      </c>
      <c r="F196" s="14">
        <v>2.0999999999999999E-3</v>
      </c>
      <c r="G196" s="7">
        <v>4</v>
      </c>
      <c r="H196" s="14">
        <v>17.8993</v>
      </c>
      <c r="I196" s="7">
        <v>20983</v>
      </c>
      <c r="J196" s="22">
        <v>21</v>
      </c>
    </row>
    <row r="197" spans="1:10" x14ac:dyDescent="0.2">
      <c r="A197" s="8">
        <v>43922</v>
      </c>
      <c r="B197" s="4" t="s">
        <v>91</v>
      </c>
      <c r="C197" s="4" t="s">
        <v>173</v>
      </c>
      <c r="D197" s="14">
        <v>0.77749999999999997</v>
      </c>
      <c r="E197" s="7">
        <v>962</v>
      </c>
      <c r="F197" s="14"/>
      <c r="G197" s="7"/>
      <c r="H197" s="14">
        <v>0.77749999999999997</v>
      </c>
      <c r="I197" s="7">
        <v>962</v>
      </c>
      <c r="J197" s="22">
        <v>18</v>
      </c>
    </row>
    <row r="198" spans="1:10" x14ac:dyDescent="0.2">
      <c r="A198" s="8">
        <v>43952</v>
      </c>
      <c r="B198" s="4" t="s">
        <v>91</v>
      </c>
      <c r="C198" s="4" t="s">
        <v>173</v>
      </c>
      <c r="D198" s="14">
        <v>3.2639</v>
      </c>
      <c r="E198" s="7">
        <v>4144</v>
      </c>
      <c r="F198" s="14"/>
      <c r="G198" s="7"/>
      <c r="H198" s="14">
        <v>3.2639</v>
      </c>
      <c r="I198" s="7">
        <v>4144</v>
      </c>
      <c r="J198" s="22">
        <v>19</v>
      </c>
    </row>
    <row r="199" spans="1:10" x14ac:dyDescent="0.2">
      <c r="A199" s="8">
        <v>43983</v>
      </c>
      <c r="B199" s="4" t="s">
        <v>91</v>
      </c>
      <c r="C199" s="4" t="s">
        <v>173</v>
      </c>
      <c r="D199" s="14">
        <v>1.4585999999999999</v>
      </c>
      <c r="E199" s="7">
        <v>1747</v>
      </c>
      <c r="F199" s="14"/>
      <c r="G199" s="7"/>
      <c r="H199" s="14">
        <v>1.4585999999999999</v>
      </c>
      <c r="I199" s="7">
        <v>1747</v>
      </c>
      <c r="J199" s="22">
        <v>21</v>
      </c>
    </row>
    <row r="200" spans="1:10" x14ac:dyDescent="0.2">
      <c r="A200" s="8">
        <v>44013</v>
      </c>
      <c r="B200" s="4" t="s">
        <v>91</v>
      </c>
      <c r="C200" s="4" t="s">
        <v>174</v>
      </c>
      <c r="D200" s="14">
        <v>6.6390000000000002</v>
      </c>
      <c r="E200" s="7">
        <v>7735</v>
      </c>
      <c r="F200" s="14"/>
      <c r="G200" s="7"/>
      <c r="H200" s="14">
        <v>6.6390000000000002</v>
      </c>
      <c r="I200" s="7">
        <v>7735</v>
      </c>
      <c r="J200" s="22">
        <v>23</v>
      </c>
    </row>
    <row r="201" spans="1:10" x14ac:dyDescent="0.2">
      <c r="A201" s="8">
        <v>44044</v>
      </c>
      <c r="B201" s="4" t="s">
        <v>91</v>
      </c>
      <c r="C201" s="4" t="s">
        <v>174</v>
      </c>
      <c r="D201" s="14">
        <v>5.3651999999999997</v>
      </c>
      <c r="E201" s="7">
        <v>6025</v>
      </c>
      <c r="F201" s="14"/>
      <c r="G201" s="7"/>
      <c r="H201" s="14">
        <v>5.3651999999999997</v>
      </c>
      <c r="I201" s="7">
        <v>6025</v>
      </c>
      <c r="J201" s="22">
        <v>21</v>
      </c>
    </row>
    <row r="202" spans="1:10" x14ac:dyDescent="0.2">
      <c r="A202" s="8">
        <v>44075</v>
      </c>
      <c r="B202" s="4" t="s">
        <v>91</v>
      </c>
      <c r="C202" s="4" t="s">
        <v>174</v>
      </c>
      <c r="D202" s="14">
        <v>7.8663999999999996</v>
      </c>
      <c r="E202" s="7">
        <v>8832</v>
      </c>
      <c r="F202" s="14"/>
      <c r="G202" s="7"/>
      <c r="H202" s="14">
        <v>7.8663999999999996</v>
      </c>
      <c r="I202" s="7">
        <v>8832</v>
      </c>
      <c r="J202" s="22">
        <v>22</v>
      </c>
    </row>
    <row r="203" spans="1:10" x14ac:dyDescent="0.2">
      <c r="A203" s="8">
        <v>44105</v>
      </c>
      <c r="B203" s="4" t="s">
        <v>91</v>
      </c>
      <c r="C203" s="4" t="s">
        <v>175</v>
      </c>
      <c r="D203" s="14">
        <v>6.9962</v>
      </c>
      <c r="E203" s="7">
        <v>7543</v>
      </c>
      <c r="F203" s="14"/>
      <c r="G203" s="7"/>
      <c r="H203" s="14">
        <v>6.9962</v>
      </c>
      <c r="I203" s="7">
        <v>7543</v>
      </c>
      <c r="J203" s="22">
        <v>21</v>
      </c>
    </row>
    <row r="204" spans="1:10" x14ac:dyDescent="0.2">
      <c r="A204" s="8">
        <v>44136</v>
      </c>
      <c r="B204" s="4" t="s">
        <v>91</v>
      </c>
      <c r="C204" s="4" t="s">
        <v>175</v>
      </c>
      <c r="D204" s="14">
        <v>5.6524999999999999</v>
      </c>
      <c r="E204" s="7">
        <v>5748</v>
      </c>
      <c r="F204" s="14"/>
      <c r="G204" s="7"/>
      <c r="H204" s="14">
        <v>5.6524999999999999</v>
      </c>
      <c r="I204" s="7">
        <v>5748</v>
      </c>
      <c r="J204" s="22">
        <v>20</v>
      </c>
    </row>
    <row r="205" spans="1:10" x14ac:dyDescent="0.2">
      <c r="A205" s="8">
        <v>44166</v>
      </c>
      <c r="B205" s="4" t="s">
        <v>91</v>
      </c>
      <c r="C205" s="4" t="s">
        <v>175</v>
      </c>
      <c r="D205" s="14">
        <v>4.8384</v>
      </c>
      <c r="E205" s="7">
        <v>4575</v>
      </c>
      <c r="F205" s="14"/>
      <c r="G205" s="7"/>
      <c r="H205" s="14">
        <v>4.8384</v>
      </c>
      <c r="I205" s="7">
        <v>4575</v>
      </c>
      <c r="J205" s="22">
        <v>22</v>
      </c>
    </row>
    <row r="206" spans="1:10" x14ac:dyDescent="0.2">
      <c r="A206" s="8">
        <v>44197</v>
      </c>
      <c r="B206" s="4" t="s">
        <v>91</v>
      </c>
      <c r="C206" s="4" t="s">
        <v>176</v>
      </c>
      <c r="D206" s="14">
        <v>3.4723000000000002</v>
      </c>
      <c r="E206" s="7">
        <v>3087</v>
      </c>
      <c r="F206" s="14"/>
      <c r="G206" s="7"/>
      <c r="H206" s="14">
        <v>3.4723000000000002</v>
      </c>
      <c r="I206" s="7">
        <v>3087</v>
      </c>
      <c r="J206" s="22">
        <v>20</v>
      </c>
    </row>
    <row r="207" spans="1:10" x14ac:dyDescent="0.2">
      <c r="A207" s="8">
        <v>44228</v>
      </c>
      <c r="B207" s="4" t="s">
        <v>91</v>
      </c>
      <c r="C207" s="4" t="s">
        <v>176</v>
      </c>
      <c r="D207" s="14">
        <v>1.8511</v>
      </c>
      <c r="E207" s="7">
        <v>1584</v>
      </c>
      <c r="F207" s="14"/>
      <c r="G207" s="7"/>
      <c r="H207" s="14">
        <v>1.8511</v>
      </c>
      <c r="I207" s="7">
        <v>1584</v>
      </c>
      <c r="J207" s="22">
        <v>20</v>
      </c>
    </row>
    <row r="208" spans="1:10" x14ac:dyDescent="0.2">
      <c r="A208" s="8">
        <v>44256</v>
      </c>
      <c r="B208" s="4" t="s">
        <v>91</v>
      </c>
      <c r="C208" s="4" t="s">
        <v>176</v>
      </c>
      <c r="D208" s="14">
        <v>1.9216</v>
      </c>
      <c r="E208" s="7">
        <v>1647</v>
      </c>
      <c r="F208" s="14"/>
      <c r="G208" s="7"/>
      <c r="H208" s="14">
        <v>1.9216</v>
      </c>
      <c r="I208" s="7">
        <v>1647</v>
      </c>
      <c r="J208" s="22">
        <v>21</v>
      </c>
    </row>
    <row r="209" spans="1:10" x14ac:dyDescent="0.2">
      <c r="A209" s="8">
        <v>44287</v>
      </c>
      <c r="B209" s="4" t="s">
        <v>92</v>
      </c>
      <c r="C209" s="4" t="s">
        <v>177</v>
      </c>
      <c r="D209" s="14">
        <v>1.7014</v>
      </c>
      <c r="E209" s="7">
        <v>1480</v>
      </c>
      <c r="F209" s="14"/>
      <c r="G209" s="7"/>
      <c r="H209" s="14">
        <v>1.7014</v>
      </c>
      <c r="I209" s="7">
        <v>1480</v>
      </c>
      <c r="J209" s="22">
        <v>19</v>
      </c>
    </row>
    <row r="210" spans="1:10" x14ac:dyDescent="0.2">
      <c r="A210" s="8">
        <v>44317</v>
      </c>
      <c r="B210" s="4" t="s">
        <v>92</v>
      </c>
      <c r="C210" s="4" t="s">
        <v>177</v>
      </c>
      <c r="D210" s="14">
        <v>1.9341999999999999</v>
      </c>
      <c r="E210" s="7">
        <v>1646</v>
      </c>
      <c r="F210" s="14"/>
      <c r="G210" s="7"/>
      <c r="H210" s="14">
        <v>1.9341999999999999</v>
      </c>
      <c r="I210" s="7">
        <v>1646</v>
      </c>
      <c r="J210" s="22">
        <v>20</v>
      </c>
    </row>
    <row r="211" spans="1:10" x14ac:dyDescent="0.2">
      <c r="A211" s="8">
        <v>44348</v>
      </c>
      <c r="B211" s="4" t="s">
        <v>92</v>
      </c>
      <c r="C211" s="4" t="s">
        <v>177</v>
      </c>
      <c r="D211" s="14">
        <v>0.67449999999999999</v>
      </c>
      <c r="E211" s="7">
        <v>607</v>
      </c>
      <c r="F211" s="14"/>
      <c r="G211" s="7"/>
      <c r="H211" s="14">
        <v>0.67449999999999999</v>
      </c>
      <c r="I211" s="7">
        <v>607</v>
      </c>
      <c r="J211" s="22">
        <v>22</v>
      </c>
    </row>
    <row r="212" spans="1:10" x14ac:dyDescent="0.2">
      <c r="A212" s="8">
        <v>44378</v>
      </c>
      <c r="B212" s="4" t="s">
        <v>92</v>
      </c>
      <c r="C212" s="4" t="s">
        <v>178</v>
      </c>
      <c r="D212" s="14">
        <v>0.24560000000000001</v>
      </c>
      <c r="E212" s="7">
        <v>297</v>
      </c>
      <c r="F212" s="14"/>
      <c r="G212" s="7"/>
      <c r="H212" s="14">
        <v>0.24560000000000001</v>
      </c>
      <c r="I212" s="7">
        <v>297</v>
      </c>
      <c r="J212" s="22">
        <v>21</v>
      </c>
    </row>
    <row r="213" spans="1:10" x14ac:dyDescent="0.2">
      <c r="A213" s="8">
        <v>44409</v>
      </c>
      <c r="B213" s="4" t="s">
        <v>92</v>
      </c>
      <c r="C213" s="4" t="s">
        <v>178</v>
      </c>
      <c r="D213" s="14">
        <v>0.1061</v>
      </c>
      <c r="E213" s="7">
        <v>123</v>
      </c>
      <c r="F213" s="14"/>
      <c r="G213" s="7"/>
      <c r="H213" s="14">
        <v>0.1061</v>
      </c>
      <c r="I213" s="7">
        <v>123</v>
      </c>
      <c r="J213" s="22">
        <v>21</v>
      </c>
    </row>
    <row r="214" spans="1:10" x14ac:dyDescent="0.2">
      <c r="A214" s="8">
        <v>44440</v>
      </c>
      <c r="B214" s="4" t="s">
        <v>92</v>
      </c>
      <c r="C214" s="4" t="s">
        <v>178</v>
      </c>
      <c r="D214" s="14">
        <v>4.4999999999999997E-3</v>
      </c>
      <c r="E214" s="7">
        <v>5</v>
      </c>
      <c r="F214" s="14"/>
      <c r="G214" s="7"/>
      <c r="H214" s="14">
        <v>4.4999999999999997E-3</v>
      </c>
      <c r="I214" s="7">
        <v>5</v>
      </c>
      <c r="J214" s="22">
        <v>21</v>
      </c>
    </row>
    <row r="215" spans="1:10" x14ac:dyDescent="0.2">
      <c r="A215" s="8">
        <v>44470</v>
      </c>
      <c r="B215" s="4" t="s">
        <v>92</v>
      </c>
      <c r="C215" s="4" t="s">
        <v>179</v>
      </c>
      <c r="D215" s="14">
        <v>2.2800000000000001E-2</v>
      </c>
      <c r="E215" s="7">
        <v>24</v>
      </c>
      <c r="F215" s="14">
        <v>0</v>
      </c>
      <c r="G215" s="7">
        <v>0</v>
      </c>
      <c r="H215" s="14">
        <v>2.2800000000000001E-2</v>
      </c>
      <c r="I215" s="7">
        <v>24</v>
      </c>
      <c r="J215" s="22">
        <v>20</v>
      </c>
    </row>
    <row r="216" spans="1:10" x14ac:dyDescent="0.2">
      <c r="A216" s="8">
        <v>44501</v>
      </c>
      <c r="B216" s="4" t="s">
        <v>92</v>
      </c>
      <c r="C216" s="4" t="s">
        <v>179</v>
      </c>
      <c r="D216" s="14">
        <v>4.41E-2</v>
      </c>
      <c r="E216" s="7">
        <v>48</v>
      </c>
      <c r="F216" s="14">
        <v>0</v>
      </c>
      <c r="G216" s="7">
        <v>0</v>
      </c>
      <c r="H216" s="14">
        <v>4.41E-2</v>
      </c>
      <c r="I216" s="7">
        <v>48</v>
      </c>
      <c r="J216" s="22">
        <v>20</v>
      </c>
    </row>
    <row r="217" spans="1:10" x14ac:dyDescent="0.2">
      <c r="A217" s="8">
        <v>44531</v>
      </c>
      <c r="B217" s="4" t="s">
        <v>92</v>
      </c>
      <c r="C217" s="4" t="s">
        <v>179</v>
      </c>
      <c r="D217" s="14">
        <v>4.8500000000000001E-2</v>
      </c>
      <c r="E217" s="7">
        <v>54</v>
      </c>
      <c r="F217" s="14">
        <v>0</v>
      </c>
      <c r="G217" s="7">
        <v>0</v>
      </c>
      <c r="H217" s="14">
        <v>4.8500000000000001E-2</v>
      </c>
      <c r="I217" s="7">
        <v>54</v>
      </c>
      <c r="J217" s="22">
        <v>23</v>
      </c>
    </row>
    <row r="218" spans="1:10" x14ac:dyDescent="0.2">
      <c r="A218" s="8">
        <v>44562</v>
      </c>
      <c r="B218" s="4" t="s">
        <v>92</v>
      </c>
      <c r="C218" s="4" t="s">
        <v>180</v>
      </c>
      <c r="D218" s="14">
        <v>5.9400000000000001E-2</v>
      </c>
      <c r="E218" s="7">
        <v>64</v>
      </c>
      <c r="F218" s="14">
        <v>0</v>
      </c>
      <c r="G218" s="7">
        <v>0</v>
      </c>
      <c r="H218" s="14">
        <v>5.9400000000000001E-2</v>
      </c>
      <c r="I218" s="7">
        <v>64</v>
      </c>
      <c r="J218" s="22">
        <v>20</v>
      </c>
    </row>
    <row r="219" spans="1:10" x14ac:dyDescent="0.2">
      <c r="A219" s="8">
        <v>44593</v>
      </c>
      <c r="B219" s="4" t="s">
        <v>92</v>
      </c>
      <c r="C219" s="4" t="s">
        <v>180</v>
      </c>
      <c r="D219" s="14">
        <v>5.3100000000000001E-2</v>
      </c>
      <c r="E219" s="7">
        <v>59</v>
      </c>
      <c r="F219" s="14">
        <v>0</v>
      </c>
      <c r="G219" s="7">
        <v>0</v>
      </c>
      <c r="H219" s="14">
        <v>5.3100000000000001E-2</v>
      </c>
      <c r="I219" s="7">
        <v>59</v>
      </c>
      <c r="J219" s="22">
        <v>20</v>
      </c>
    </row>
    <row r="220" spans="1:10" x14ac:dyDescent="0.2">
      <c r="A220" s="8">
        <v>44621</v>
      </c>
      <c r="B220" s="4" t="s">
        <v>92</v>
      </c>
      <c r="C220" s="4" t="s">
        <v>180</v>
      </c>
      <c r="D220" s="14">
        <v>4.1000000000000002E-2</v>
      </c>
      <c r="E220" s="7">
        <v>47</v>
      </c>
      <c r="F220" s="14">
        <v>0</v>
      </c>
      <c r="G220" s="7">
        <v>0</v>
      </c>
      <c r="H220" s="14">
        <v>4.1000000000000002E-2</v>
      </c>
      <c r="I220" s="7">
        <v>47</v>
      </c>
      <c r="J220" s="22">
        <v>21</v>
      </c>
    </row>
    <row r="221" spans="1:10" x14ac:dyDescent="0.2">
      <c r="A221" s="8">
        <v>44652</v>
      </c>
      <c r="B221" s="4" t="s">
        <v>93</v>
      </c>
      <c r="C221" s="4" t="s">
        <v>181</v>
      </c>
      <c r="D221" s="14">
        <v>2.9100000000000001E-2</v>
      </c>
      <c r="E221" s="7">
        <v>32</v>
      </c>
      <c r="F221" s="14">
        <v>0</v>
      </c>
      <c r="G221" s="7">
        <v>0</v>
      </c>
      <c r="H221" s="14">
        <v>2.9100000000000001E-2</v>
      </c>
      <c r="I221" s="7">
        <v>32</v>
      </c>
      <c r="J221" s="22">
        <v>19</v>
      </c>
    </row>
    <row r="222" spans="1:10" x14ac:dyDescent="0.2">
      <c r="A222" s="8">
        <v>44682</v>
      </c>
      <c r="B222" s="4" t="s">
        <v>93</v>
      </c>
      <c r="C222" s="4" t="s">
        <v>181</v>
      </c>
      <c r="D222" s="14">
        <v>7.3700000000000002E-2</v>
      </c>
      <c r="E222" s="7">
        <v>87</v>
      </c>
      <c r="F222" s="14">
        <v>0</v>
      </c>
      <c r="G222" s="7">
        <v>0</v>
      </c>
      <c r="H222" s="14">
        <v>7.3700000000000002E-2</v>
      </c>
      <c r="I222" s="7">
        <v>87</v>
      </c>
      <c r="J222" s="22">
        <v>21</v>
      </c>
    </row>
    <row r="223" spans="1:10" x14ac:dyDescent="0.2">
      <c r="A223" s="8">
        <v>44713</v>
      </c>
      <c r="B223" s="4" t="s">
        <v>93</v>
      </c>
      <c r="C223" s="4" t="s">
        <v>181</v>
      </c>
      <c r="D223" s="14">
        <v>7.5600000000000001E-2</v>
      </c>
      <c r="E223" s="7">
        <v>90</v>
      </c>
      <c r="F223" s="14">
        <v>0</v>
      </c>
      <c r="G223" s="7">
        <v>0</v>
      </c>
      <c r="H223" s="14">
        <v>7.5600000000000001E-2</v>
      </c>
      <c r="I223" s="7">
        <v>90</v>
      </c>
      <c r="J223" s="22">
        <v>22</v>
      </c>
    </row>
    <row r="224" spans="1:10" x14ac:dyDescent="0.2">
      <c r="A224" s="8">
        <v>44743</v>
      </c>
      <c r="B224" s="4" t="s">
        <v>93</v>
      </c>
      <c r="C224" s="4" t="s">
        <v>182</v>
      </c>
      <c r="D224" s="14">
        <v>5.3999999999999999E-2</v>
      </c>
      <c r="E224" s="7">
        <v>63</v>
      </c>
      <c r="F224" s="14">
        <v>0</v>
      </c>
      <c r="G224" s="7">
        <v>0</v>
      </c>
      <c r="H224" s="14">
        <v>5.3999999999999999E-2</v>
      </c>
      <c r="I224" s="7">
        <v>63</v>
      </c>
      <c r="J224" s="22">
        <v>21</v>
      </c>
    </row>
    <row r="225" spans="1:10" x14ac:dyDescent="0.2">
      <c r="A225" s="8">
        <v>44774</v>
      </c>
      <c r="B225" s="4" t="s">
        <v>93</v>
      </c>
      <c r="C225" s="4" t="s">
        <v>182</v>
      </c>
      <c r="D225" s="14">
        <v>3.2199999999999999E-2</v>
      </c>
      <c r="E225" s="7">
        <v>35</v>
      </c>
      <c r="F225" s="14">
        <v>0</v>
      </c>
      <c r="G225" s="7">
        <v>0</v>
      </c>
      <c r="H225" s="14">
        <v>3.2199999999999999E-2</v>
      </c>
      <c r="I225" s="7">
        <v>35</v>
      </c>
      <c r="J225" s="22">
        <v>20</v>
      </c>
    </row>
    <row r="226" spans="1:10" x14ac:dyDescent="0.2">
      <c r="A226" s="8">
        <v>44805</v>
      </c>
      <c r="B226" s="4" t="s">
        <v>93</v>
      </c>
      <c r="C226" s="4" t="s">
        <v>182</v>
      </c>
      <c r="D226" s="14">
        <v>7.1900000000000006E-2</v>
      </c>
      <c r="E226" s="7">
        <v>78</v>
      </c>
      <c r="F226" s="14">
        <v>0</v>
      </c>
      <c r="G226" s="7">
        <v>0</v>
      </c>
      <c r="H226" s="14">
        <v>7.1900000000000006E-2</v>
      </c>
      <c r="I226" s="7">
        <v>78</v>
      </c>
      <c r="J226" s="22">
        <v>22</v>
      </c>
    </row>
    <row r="227" spans="1:10" x14ac:dyDescent="0.2">
      <c r="A227" s="8">
        <v>44835</v>
      </c>
      <c r="B227" s="4" t="s">
        <v>93</v>
      </c>
      <c r="C227" s="4" t="s">
        <v>183</v>
      </c>
      <c r="D227" s="14">
        <v>2.98E-2</v>
      </c>
      <c r="E227" s="7">
        <v>33</v>
      </c>
      <c r="F227" s="14">
        <v>0</v>
      </c>
      <c r="G227" s="7">
        <v>0</v>
      </c>
      <c r="H227" s="14">
        <v>2.98E-2</v>
      </c>
      <c r="I227" s="7">
        <v>33</v>
      </c>
      <c r="J227" s="22">
        <v>19</v>
      </c>
    </row>
    <row r="228" spans="1:10" x14ac:dyDescent="0.2">
      <c r="A228" s="8">
        <v>44866</v>
      </c>
      <c r="B228" s="4" t="s">
        <v>93</v>
      </c>
      <c r="C228" s="4" t="s">
        <v>183</v>
      </c>
      <c r="D228" s="14">
        <v>2.93E-2</v>
      </c>
      <c r="E228" s="7">
        <v>30</v>
      </c>
      <c r="F228" s="14">
        <v>0</v>
      </c>
      <c r="G228" s="7">
        <v>0</v>
      </c>
      <c r="H228" s="14">
        <v>2.93E-2</v>
      </c>
      <c r="I228" s="7">
        <v>30</v>
      </c>
      <c r="J228" s="22">
        <v>21</v>
      </c>
    </row>
    <row r="229" spans="1:10" x14ac:dyDescent="0.2">
      <c r="A229" s="8">
        <v>44896</v>
      </c>
      <c r="B229" s="4" t="s">
        <v>93</v>
      </c>
      <c r="C229" s="4" t="s">
        <v>183</v>
      </c>
      <c r="D229" s="14">
        <v>6.4500000000000002E-2</v>
      </c>
      <c r="E229" s="7">
        <v>67</v>
      </c>
      <c r="F229" s="14">
        <v>0</v>
      </c>
      <c r="G229" s="7">
        <v>0</v>
      </c>
      <c r="H229" s="14">
        <v>6.4500000000000002E-2</v>
      </c>
      <c r="I229" s="7">
        <v>67</v>
      </c>
      <c r="J229" s="22">
        <v>22</v>
      </c>
    </row>
    <row r="230" spans="1:10" x14ac:dyDescent="0.2">
      <c r="A230" s="8">
        <v>44927</v>
      </c>
      <c r="B230" s="4" t="s">
        <v>93</v>
      </c>
      <c r="C230" s="4" t="s">
        <v>184</v>
      </c>
      <c r="D230" s="14">
        <v>4.8300000000000003E-2</v>
      </c>
      <c r="E230" s="7">
        <v>51</v>
      </c>
      <c r="F230" s="14">
        <v>0</v>
      </c>
      <c r="G230" s="7">
        <v>0</v>
      </c>
      <c r="H230" s="14">
        <v>4.8300000000000003E-2</v>
      </c>
      <c r="I230" s="7">
        <v>51</v>
      </c>
      <c r="J230" s="22">
        <v>21</v>
      </c>
    </row>
    <row r="231" spans="1:10" x14ac:dyDescent="0.2">
      <c r="A231" s="8">
        <v>44958</v>
      </c>
      <c r="B231" s="4" t="s">
        <v>93</v>
      </c>
      <c r="C231" s="4" t="s">
        <v>184</v>
      </c>
      <c r="D231" s="14">
        <v>3.7400000000000003E-2</v>
      </c>
      <c r="E231" s="7">
        <v>40</v>
      </c>
      <c r="F231" s="14">
        <v>0</v>
      </c>
      <c r="G231" s="7">
        <v>0</v>
      </c>
      <c r="H231" s="14">
        <v>3.7400000000000003E-2</v>
      </c>
      <c r="I231" s="7">
        <v>40</v>
      </c>
      <c r="J231" s="22">
        <v>20</v>
      </c>
    </row>
    <row r="232" spans="1:10" x14ac:dyDescent="0.2">
      <c r="A232" s="8">
        <v>44986</v>
      </c>
      <c r="B232" s="4" t="s">
        <v>93</v>
      </c>
      <c r="C232" s="4" t="s">
        <v>184</v>
      </c>
      <c r="D232" s="14">
        <v>4.07E-2</v>
      </c>
      <c r="E232" s="7">
        <v>45</v>
      </c>
      <c r="F232" s="14">
        <v>0</v>
      </c>
      <c r="G232" s="7">
        <v>0</v>
      </c>
      <c r="H232" s="14">
        <v>4.07E-2</v>
      </c>
      <c r="I232" s="7">
        <v>45</v>
      </c>
      <c r="J232" s="22">
        <v>21</v>
      </c>
    </row>
    <row r="233" spans="1:10" x14ac:dyDescent="0.2">
      <c r="A233" s="8">
        <v>45017</v>
      </c>
      <c r="B233" s="4" t="s">
        <v>94</v>
      </c>
      <c r="C233" s="4" t="s">
        <v>185</v>
      </c>
      <c r="D233" s="14">
        <v>3.8E-3</v>
      </c>
      <c r="E233" s="7">
        <v>4</v>
      </c>
      <c r="F233" s="14">
        <v>0</v>
      </c>
      <c r="G233" s="7">
        <v>0</v>
      </c>
      <c r="H233" s="14">
        <v>3.8E-3</v>
      </c>
      <c r="I233" s="7">
        <v>4</v>
      </c>
      <c r="J233" s="22">
        <v>5</v>
      </c>
    </row>
    <row r="234" spans="1:10" x14ac:dyDescent="0.2">
      <c r="A234" s="8">
        <v>45047</v>
      </c>
      <c r="B234" s="4" t="s">
        <v>94</v>
      </c>
      <c r="C234" s="4" t="s">
        <v>185</v>
      </c>
      <c r="D234" s="14">
        <v>2.5821000000000001</v>
      </c>
      <c r="E234" s="7">
        <v>4125</v>
      </c>
      <c r="F234" s="14">
        <v>0</v>
      </c>
      <c r="G234" s="7">
        <v>0</v>
      </c>
      <c r="H234" s="14">
        <v>2.5821000000000001</v>
      </c>
      <c r="I234" s="7">
        <v>4125</v>
      </c>
      <c r="J234" s="22">
        <v>19</v>
      </c>
    </row>
    <row r="235" spans="1:10" x14ac:dyDescent="0.2">
      <c r="A235" s="8">
        <v>45078</v>
      </c>
      <c r="B235" s="4" t="s">
        <v>94</v>
      </c>
      <c r="C235" s="4" t="s">
        <v>185</v>
      </c>
      <c r="D235" s="14">
        <v>7.7083000000000004</v>
      </c>
      <c r="E235" s="7">
        <v>12197</v>
      </c>
      <c r="F235" s="14">
        <v>0</v>
      </c>
      <c r="G235" s="7">
        <v>0</v>
      </c>
      <c r="H235" s="14">
        <v>7.7083000000000004</v>
      </c>
      <c r="I235" s="7">
        <v>12197</v>
      </c>
      <c r="J235" s="22">
        <v>21</v>
      </c>
    </row>
    <row r="236" spans="1:10" x14ac:dyDescent="0.2">
      <c r="A236" s="8">
        <v>45108</v>
      </c>
      <c r="B236" s="4" t="s">
        <v>94</v>
      </c>
      <c r="C236" s="4" t="s">
        <v>186</v>
      </c>
      <c r="D236" s="14">
        <v>10.2951</v>
      </c>
      <c r="E236" s="7">
        <v>15512</v>
      </c>
      <c r="F236" s="14">
        <v>0</v>
      </c>
      <c r="G236" s="7">
        <v>0</v>
      </c>
      <c r="H236" s="14">
        <v>10.2951</v>
      </c>
      <c r="I236" s="7">
        <v>15512</v>
      </c>
      <c r="J236" s="22">
        <v>21</v>
      </c>
    </row>
    <row r="237" spans="1:10" x14ac:dyDescent="0.2">
      <c r="A237" s="8">
        <v>45139</v>
      </c>
      <c r="B237" s="4" t="s">
        <v>94</v>
      </c>
      <c r="C237" s="4" t="s">
        <v>186</v>
      </c>
      <c r="D237" s="14">
        <v>11.6661</v>
      </c>
      <c r="E237" s="7">
        <v>17848</v>
      </c>
      <c r="F237" s="14">
        <v>0</v>
      </c>
      <c r="G237" s="7">
        <v>0</v>
      </c>
      <c r="H237" s="14">
        <v>11.6661</v>
      </c>
      <c r="I237" s="7">
        <v>17848</v>
      </c>
      <c r="J237" s="22">
        <v>22</v>
      </c>
    </row>
    <row r="238" spans="1:10" x14ac:dyDescent="0.2">
      <c r="A238" s="8">
        <v>45170</v>
      </c>
      <c r="B238" s="4" t="s">
        <v>94</v>
      </c>
      <c r="C238" s="4" t="s">
        <v>186</v>
      </c>
      <c r="D238" s="14">
        <v>12.1896</v>
      </c>
      <c r="E238" s="7">
        <v>18396</v>
      </c>
      <c r="F238" s="14">
        <v>0</v>
      </c>
      <c r="G238" s="7">
        <v>0</v>
      </c>
      <c r="H238" s="14">
        <v>12.1896</v>
      </c>
      <c r="I238" s="7">
        <v>18396</v>
      </c>
      <c r="J238" s="22">
        <v>20</v>
      </c>
    </row>
    <row r="239" spans="1:10" x14ac:dyDescent="0.2">
      <c r="A239" s="8">
        <v>45200</v>
      </c>
      <c r="B239" s="4" t="s">
        <v>94</v>
      </c>
      <c r="C239" s="4" t="s">
        <v>187</v>
      </c>
      <c r="D239" s="14">
        <v>11.3649</v>
      </c>
      <c r="E239" s="7">
        <v>17396</v>
      </c>
      <c r="F239" s="14">
        <v>0</v>
      </c>
      <c r="G239" s="7">
        <v>0</v>
      </c>
      <c r="H239" s="14">
        <v>11.3649</v>
      </c>
      <c r="I239" s="7">
        <v>17396</v>
      </c>
      <c r="J239" s="22">
        <v>20</v>
      </c>
    </row>
    <row r="240" spans="1:10" x14ac:dyDescent="0.2">
      <c r="A240" s="8">
        <v>45231</v>
      </c>
      <c r="B240" s="4" t="s">
        <v>94</v>
      </c>
      <c r="C240" s="4" t="s">
        <v>187</v>
      </c>
      <c r="D240" s="14">
        <v>10.447100000000001</v>
      </c>
      <c r="E240" s="7">
        <v>15488</v>
      </c>
      <c r="F240" s="14">
        <v>0</v>
      </c>
      <c r="G240" s="7">
        <v>0</v>
      </c>
      <c r="H240" s="14">
        <v>10.447100000000001</v>
      </c>
      <c r="I240" s="7">
        <v>15488</v>
      </c>
      <c r="J240" s="22">
        <v>21</v>
      </c>
    </row>
    <row r="241" spans="1:10" x14ac:dyDescent="0.2">
      <c r="A241" s="8">
        <v>45261</v>
      </c>
      <c r="B241" s="4" t="s">
        <v>94</v>
      </c>
      <c r="C241" s="4" t="s">
        <v>187</v>
      </c>
      <c r="D241" s="14">
        <v>30.9818</v>
      </c>
      <c r="E241" s="7">
        <v>41486</v>
      </c>
      <c r="F241" s="14">
        <v>0</v>
      </c>
      <c r="G241" s="7">
        <v>0</v>
      </c>
      <c r="H241" s="14">
        <v>30.9818</v>
      </c>
      <c r="I241" s="7">
        <v>41486</v>
      </c>
      <c r="J241" s="22">
        <v>20</v>
      </c>
    </row>
    <row r="242" spans="1:10" x14ac:dyDescent="0.2">
      <c r="A242" s="8">
        <v>45292</v>
      </c>
      <c r="B242" s="4" t="s">
        <v>94</v>
      </c>
      <c r="C242" s="4" t="s">
        <v>188</v>
      </c>
      <c r="D242" s="14">
        <v>32.3551</v>
      </c>
      <c r="E242" s="7">
        <v>42799</v>
      </c>
      <c r="F242" s="14">
        <v>0</v>
      </c>
      <c r="G242" s="7">
        <v>0</v>
      </c>
      <c r="H242" s="14">
        <v>32.3551</v>
      </c>
      <c r="I242" s="7">
        <v>42799</v>
      </c>
      <c r="J242" s="22">
        <v>22</v>
      </c>
    </row>
    <row r="243" spans="1:10" x14ac:dyDescent="0.2">
      <c r="A243" s="8">
        <v>45323</v>
      </c>
      <c r="B243" s="4" t="s">
        <v>94</v>
      </c>
      <c r="C243" s="4" t="s">
        <v>188</v>
      </c>
      <c r="D243" s="14">
        <v>43.453000000000003</v>
      </c>
      <c r="E243" s="7">
        <v>57770</v>
      </c>
      <c r="F243" s="14">
        <v>0</v>
      </c>
      <c r="G243" s="7">
        <v>0</v>
      </c>
      <c r="H243" s="14">
        <v>43.453000000000003</v>
      </c>
      <c r="I243" s="7">
        <v>57770</v>
      </c>
      <c r="J243" s="22">
        <v>21</v>
      </c>
    </row>
    <row r="244" spans="1:10" x14ac:dyDescent="0.2">
      <c r="A244" s="8">
        <v>45352</v>
      </c>
      <c r="B244" s="4" t="s">
        <v>94</v>
      </c>
      <c r="C244" s="4" t="s">
        <v>188</v>
      </c>
      <c r="D244" s="14">
        <v>29.424399999999999</v>
      </c>
      <c r="E244" s="7">
        <v>38511</v>
      </c>
      <c r="F244" s="14">
        <v>8.9999999999999998E-4</v>
      </c>
      <c r="G244" s="7">
        <v>1</v>
      </c>
      <c r="H244" s="14">
        <v>29.4253</v>
      </c>
      <c r="I244" s="7">
        <v>38512</v>
      </c>
      <c r="J244" s="22">
        <v>19</v>
      </c>
    </row>
    <row r="245" spans="1:10" x14ac:dyDescent="0.2">
      <c r="A245" s="8">
        <v>45383</v>
      </c>
      <c r="B245" s="4" t="s">
        <v>95</v>
      </c>
      <c r="C245" s="4" t="s">
        <v>189</v>
      </c>
      <c r="D245" s="14">
        <v>33.366700000000002</v>
      </c>
      <c r="E245" s="7">
        <v>43584</v>
      </c>
      <c r="F245" s="14">
        <v>0</v>
      </c>
      <c r="G245" s="7">
        <v>0</v>
      </c>
      <c r="H245" s="14">
        <v>33.366700000000002</v>
      </c>
      <c r="I245" s="7">
        <v>43584</v>
      </c>
      <c r="J245" s="22">
        <v>20</v>
      </c>
    </row>
    <row r="246" spans="1:10" x14ac:dyDescent="0.2">
      <c r="A246" s="8">
        <v>45413</v>
      </c>
      <c r="B246" s="4" t="s">
        <v>95</v>
      </c>
      <c r="C246" s="4" t="s">
        <v>189</v>
      </c>
      <c r="D246" s="14">
        <v>25.5214</v>
      </c>
      <c r="E246" s="7">
        <v>33975</v>
      </c>
      <c r="F246" s="14">
        <v>0</v>
      </c>
      <c r="G246" s="7">
        <v>0</v>
      </c>
      <c r="H246" s="14">
        <v>25.5214</v>
      </c>
      <c r="I246" s="7">
        <v>33975</v>
      </c>
      <c r="J246" s="22">
        <v>22</v>
      </c>
    </row>
    <row r="247" spans="1:10" x14ac:dyDescent="0.2">
      <c r="A247" s="8">
        <v>45444</v>
      </c>
      <c r="B247" s="4" t="s">
        <v>95</v>
      </c>
      <c r="C247" s="4" t="s">
        <v>189</v>
      </c>
      <c r="D247" s="14">
        <v>27.238099999999999</v>
      </c>
      <c r="E247" s="7">
        <v>34978</v>
      </c>
      <c r="F247" s="14">
        <v>0</v>
      </c>
      <c r="G247" s="7">
        <v>0</v>
      </c>
      <c r="H247" s="14">
        <v>27.238099999999999</v>
      </c>
      <c r="I247" s="7">
        <v>34978</v>
      </c>
      <c r="J247" s="22">
        <v>19</v>
      </c>
    </row>
    <row r="248" spans="1:10" x14ac:dyDescent="0.2">
      <c r="A248" s="8">
        <v>45474</v>
      </c>
      <c r="B248" s="4" t="s">
        <v>95</v>
      </c>
      <c r="C248" s="4" t="s">
        <v>190</v>
      </c>
      <c r="D248" s="14">
        <v>49.234900000000003</v>
      </c>
      <c r="E248" s="7">
        <v>59154</v>
      </c>
      <c r="F248" s="14">
        <v>3.1614</v>
      </c>
      <c r="G248" s="7">
        <v>4148</v>
      </c>
      <c r="H248" s="14">
        <v>52.396299999999997</v>
      </c>
      <c r="I248" s="7">
        <v>63302</v>
      </c>
      <c r="J248" s="22">
        <v>22</v>
      </c>
    </row>
    <row r="249" spans="1:10" x14ac:dyDescent="0.2">
      <c r="A249" s="8">
        <v>45505</v>
      </c>
      <c r="B249" s="4" t="s">
        <v>95</v>
      </c>
      <c r="C249" s="4" t="s">
        <v>190</v>
      </c>
      <c r="D249" s="14">
        <v>44.9176</v>
      </c>
      <c r="E249" s="7">
        <v>54937</v>
      </c>
      <c r="F249" s="14">
        <v>1.0071000000000001</v>
      </c>
      <c r="G249" s="7">
        <v>1354</v>
      </c>
      <c r="H249" s="14">
        <v>45.924700000000001</v>
      </c>
      <c r="I249" s="7">
        <v>56291</v>
      </c>
      <c r="J249" s="22">
        <v>21</v>
      </c>
    </row>
    <row r="250" spans="1:10" x14ac:dyDescent="0.2">
      <c r="A250" s="8">
        <v>45536</v>
      </c>
      <c r="B250" s="4" t="s">
        <v>95</v>
      </c>
      <c r="C250" s="4" t="s">
        <v>190</v>
      </c>
      <c r="D250" s="14">
        <v>57.746000000000002</v>
      </c>
      <c r="E250" s="7">
        <v>68566</v>
      </c>
      <c r="F250" s="14">
        <v>0.63009999999999999</v>
      </c>
      <c r="G250" s="7">
        <v>820</v>
      </c>
      <c r="H250" s="14">
        <v>58.376100000000001</v>
      </c>
      <c r="I250" s="7">
        <v>69386</v>
      </c>
      <c r="J250" s="22">
        <v>21</v>
      </c>
    </row>
    <row r="251" spans="1:10" x14ac:dyDescent="0.2">
      <c r="A251" s="8">
        <v>45566</v>
      </c>
      <c r="B251" s="4" t="s">
        <v>95</v>
      </c>
      <c r="C251" s="4" t="s">
        <v>191</v>
      </c>
      <c r="D251" s="14">
        <v>39.147100000000002</v>
      </c>
      <c r="E251" s="7">
        <v>47463</v>
      </c>
      <c r="F251" s="14">
        <v>0.30659999999999998</v>
      </c>
      <c r="G251" s="7">
        <v>410</v>
      </c>
      <c r="H251" s="14">
        <v>39.453699999999998</v>
      </c>
      <c r="I251" s="7">
        <v>47873</v>
      </c>
      <c r="J251" s="22">
        <v>22</v>
      </c>
    </row>
    <row r="252" spans="1:10" x14ac:dyDescent="0.2">
      <c r="A252" s="8">
        <v>45597</v>
      </c>
      <c r="B252" s="4" t="s">
        <v>95</v>
      </c>
      <c r="C252" s="4" t="s">
        <v>191</v>
      </c>
      <c r="D252" s="14">
        <v>34.399799999999999</v>
      </c>
      <c r="E252" s="7">
        <v>42659</v>
      </c>
      <c r="F252" s="14">
        <v>0.33500000000000002</v>
      </c>
      <c r="G252" s="7">
        <v>475</v>
      </c>
      <c r="H252" s="14">
        <v>34.7348</v>
      </c>
      <c r="I252" s="7">
        <v>43134</v>
      </c>
      <c r="J252" s="22">
        <v>19</v>
      </c>
    </row>
    <row r="253" spans="1:10" x14ac:dyDescent="0.2">
      <c r="A253" s="8">
        <v>45627</v>
      </c>
      <c r="B253" s="4" t="s">
        <v>95</v>
      </c>
      <c r="C253" s="4" t="s">
        <v>191</v>
      </c>
      <c r="D253" s="14">
        <v>46.639800000000001</v>
      </c>
      <c r="E253" s="7">
        <v>57846</v>
      </c>
      <c r="F253" s="14">
        <v>0.20080000000000001</v>
      </c>
      <c r="G253" s="7">
        <v>280</v>
      </c>
      <c r="H253" s="14">
        <v>46.840600000000002</v>
      </c>
      <c r="I253" s="7">
        <v>58126</v>
      </c>
      <c r="J253" s="22">
        <v>21</v>
      </c>
    </row>
    <row r="254" spans="1:10" x14ac:dyDescent="0.2">
      <c r="A254" s="8">
        <v>45658</v>
      </c>
      <c r="B254" s="4" t="s">
        <v>95</v>
      </c>
      <c r="C254" s="4" t="s">
        <v>192</v>
      </c>
      <c r="D254" s="14">
        <v>57.774900000000002</v>
      </c>
      <c r="E254" s="7">
        <v>50212</v>
      </c>
      <c r="F254" s="14">
        <v>0.47739999999999999</v>
      </c>
      <c r="G254" s="7">
        <v>701</v>
      </c>
      <c r="H254" s="14">
        <v>58.252299999999998</v>
      </c>
      <c r="I254" s="7">
        <v>50913</v>
      </c>
      <c r="J254" s="22">
        <v>23</v>
      </c>
    </row>
    <row r="255" spans="1:10" x14ac:dyDescent="0.2">
      <c r="A255" s="8">
        <v>45689</v>
      </c>
      <c r="B255" s="4" t="s">
        <v>95</v>
      </c>
      <c r="C255" s="4" t="s">
        <v>192</v>
      </c>
      <c r="D255" s="14">
        <v>49.760399999999997</v>
      </c>
      <c r="E255" s="7">
        <v>32546</v>
      </c>
      <c r="F255" s="14">
        <v>0.56010000000000004</v>
      </c>
      <c r="G255" s="7">
        <v>901</v>
      </c>
      <c r="H255" s="14">
        <v>50.320500000000003</v>
      </c>
      <c r="I255" s="7">
        <v>33447</v>
      </c>
      <c r="J255" s="22">
        <v>20</v>
      </c>
    </row>
    <row r="256" spans="1:10" x14ac:dyDescent="0.2">
      <c r="A256" s="8">
        <v>45717</v>
      </c>
      <c r="B256" s="4" t="s">
        <v>95</v>
      </c>
      <c r="C256" s="4" t="s">
        <v>192</v>
      </c>
      <c r="D256" s="14">
        <v>42.595599999999997</v>
      </c>
      <c r="E256" s="7">
        <v>28115</v>
      </c>
      <c r="F256" s="14">
        <v>0.76149999999999995</v>
      </c>
      <c r="G256" s="7">
        <v>1200</v>
      </c>
      <c r="H256" s="14">
        <v>43.357100000000003</v>
      </c>
      <c r="I256" s="7">
        <v>29315</v>
      </c>
      <c r="J256" s="22">
        <v>19</v>
      </c>
    </row>
    <row r="257" spans="1:10" x14ac:dyDescent="0.2">
      <c r="A257" s="8">
        <v>45748</v>
      </c>
      <c r="B257" s="4" t="s">
        <v>96</v>
      </c>
      <c r="C257" s="4" t="s">
        <v>193</v>
      </c>
      <c r="D257" s="14">
        <v>61.971899999999998</v>
      </c>
      <c r="E257" s="7">
        <v>40282</v>
      </c>
      <c r="F257" s="14">
        <v>0.7097</v>
      </c>
      <c r="G257" s="7">
        <v>1074</v>
      </c>
      <c r="H257" s="14">
        <v>62.681600000000003</v>
      </c>
      <c r="I257" s="7">
        <v>41356</v>
      </c>
      <c r="J257" s="22">
        <v>19</v>
      </c>
    </row>
    <row r="258" spans="1:10" x14ac:dyDescent="0.2">
      <c r="A258" s="8">
        <v>45778</v>
      </c>
      <c r="B258" s="4" t="s">
        <v>96</v>
      </c>
      <c r="C258" s="4" t="s">
        <v>193</v>
      </c>
      <c r="D258" s="14">
        <v>77.195800000000006</v>
      </c>
      <c r="E258" s="7">
        <v>47315</v>
      </c>
      <c r="F258" s="14">
        <v>2.9199000000000002</v>
      </c>
      <c r="G258" s="7">
        <v>4616</v>
      </c>
      <c r="H258" s="14">
        <v>80.115700000000004</v>
      </c>
      <c r="I258" s="7">
        <v>51931</v>
      </c>
      <c r="J258" s="22">
        <v>21</v>
      </c>
    </row>
    <row r="259" spans="1:10" x14ac:dyDescent="0.2">
      <c r="A259" s="8">
        <v>45809</v>
      </c>
      <c r="B259" s="4" t="s">
        <v>96</v>
      </c>
      <c r="C259" s="4" t="s">
        <v>193</v>
      </c>
      <c r="D259" s="14">
        <v>94.007400000000004</v>
      </c>
      <c r="E259" s="7">
        <v>57332</v>
      </c>
      <c r="F259" s="14">
        <v>1.0992</v>
      </c>
      <c r="G259" s="7">
        <v>1667</v>
      </c>
      <c r="H259" s="14">
        <v>95.1066</v>
      </c>
      <c r="I259" s="7">
        <v>58999</v>
      </c>
      <c r="J259" s="22">
        <v>21</v>
      </c>
    </row>
    <row r="260" spans="1:10" x14ac:dyDescent="0.2">
      <c r="A260" s="8">
        <v>45839</v>
      </c>
      <c r="B260" s="4" t="s">
        <v>96</v>
      </c>
      <c r="C260" s="4" t="s">
        <v>194</v>
      </c>
      <c r="D260" s="14">
        <v>56.769399999999997</v>
      </c>
      <c r="E260" s="7">
        <v>34328</v>
      </c>
      <c r="F260" s="14">
        <v>0.70940000000000003</v>
      </c>
      <c r="G260" s="7">
        <v>1066</v>
      </c>
      <c r="H260" s="14">
        <v>57.4788</v>
      </c>
      <c r="I260" s="7">
        <v>35394</v>
      </c>
      <c r="J260" s="22">
        <v>23</v>
      </c>
    </row>
    <row r="261" spans="1:10" x14ac:dyDescent="0.2">
      <c r="A261" s="8">
        <v>45870</v>
      </c>
      <c r="B261" s="4" t="s">
        <v>96</v>
      </c>
      <c r="C261" s="4" t="s">
        <v>194</v>
      </c>
      <c r="D261" s="14">
        <v>47.596299999999999</v>
      </c>
      <c r="E261" s="7">
        <v>29347</v>
      </c>
      <c r="F261" s="14">
        <v>0.79390000000000005</v>
      </c>
      <c r="G261" s="7">
        <v>1175</v>
      </c>
      <c r="H261" s="14">
        <v>48.3902</v>
      </c>
      <c r="I261" s="7">
        <v>30522</v>
      </c>
      <c r="J261" s="22">
        <v>19</v>
      </c>
    </row>
    <row r="262" spans="1:10" x14ac:dyDescent="0.2">
      <c r="A262" s="8">
        <v>45901</v>
      </c>
      <c r="B262" s="4" t="s">
        <v>96</v>
      </c>
      <c r="C262" s="4" t="s">
        <v>194</v>
      </c>
      <c r="D262" s="14">
        <v>51.542499999999997</v>
      </c>
      <c r="E262" s="7">
        <v>31455</v>
      </c>
      <c r="F262" s="14">
        <v>0.56310000000000004</v>
      </c>
      <c r="G262" s="7">
        <v>853</v>
      </c>
      <c r="H262" s="14">
        <v>52.105600000000003</v>
      </c>
      <c r="I262" s="7">
        <v>32308</v>
      </c>
      <c r="J262" s="22">
        <v>22</v>
      </c>
    </row>
    <row r="263" spans="1:10" x14ac:dyDescent="0.2">
      <c r="A263" s="8">
        <v>45931</v>
      </c>
      <c r="B263" s="4" t="s">
        <v>96</v>
      </c>
      <c r="C263" s="4" t="s">
        <v>195</v>
      </c>
      <c r="D263" s="14">
        <v>55.458599999999997</v>
      </c>
      <c r="E263" s="7">
        <v>33039</v>
      </c>
      <c r="F263" s="14">
        <v>0.54359999999999997</v>
      </c>
      <c r="G263" s="7">
        <v>698</v>
      </c>
      <c r="H263" s="14">
        <v>56.002200000000002</v>
      </c>
      <c r="I263" s="7">
        <v>33737</v>
      </c>
      <c r="J263" s="22">
        <v>21</v>
      </c>
    </row>
    <row r="264" spans="1:10" x14ac:dyDescent="0.2">
      <c r="A264" s="8">
        <v>45962</v>
      </c>
      <c r="B264" s="4" t="s">
        <v>96</v>
      </c>
      <c r="C264" s="4" t="s">
        <v>195</v>
      </c>
      <c r="D264" s="14">
        <v>57.489899999999999</v>
      </c>
      <c r="E264" s="7">
        <v>33789</v>
      </c>
      <c r="F264" s="14">
        <v>0.64380000000000004</v>
      </c>
      <c r="G264" s="7">
        <v>1046</v>
      </c>
      <c r="H264" s="14">
        <v>58.133699999999997</v>
      </c>
      <c r="I264" s="7">
        <v>34835</v>
      </c>
      <c r="J264" s="22">
        <v>19</v>
      </c>
    </row>
    <row r="265" spans="1:10" x14ac:dyDescent="0.2">
      <c r="A265" s="8">
        <v>45992</v>
      </c>
      <c r="B265" s="4" t="s">
        <v>96</v>
      </c>
      <c r="C265" s="4" t="s">
        <v>195</v>
      </c>
      <c r="D265" s="14">
        <v>49.746899999999997</v>
      </c>
      <c r="E265" s="7">
        <v>29046</v>
      </c>
      <c r="F265" s="14">
        <v>0.47689999999999999</v>
      </c>
      <c r="G265" s="7">
        <v>692</v>
      </c>
      <c r="H265" s="14">
        <v>50.223799999999997</v>
      </c>
      <c r="I265" s="7">
        <v>29738</v>
      </c>
      <c r="J265" s="22">
        <v>22</v>
      </c>
    </row>
    <row r="266" spans="1:10" x14ac:dyDescent="0.2">
      <c r="A266" s="8">
        <v>46023</v>
      </c>
      <c r="B266" s="4" t="s">
        <v>96</v>
      </c>
      <c r="C266" s="4" t="s">
        <v>196</v>
      </c>
      <c r="D266" s="14">
        <v>64.855500000000006</v>
      </c>
      <c r="E266" s="7">
        <v>38819</v>
      </c>
      <c r="F266" s="14">
        <v>5.6099999999999997E-2</v>
      </c>
      <c r="G266" s="7">
        <v>80</v>
      </c>
      <c r="H266" s="14">
        <v>64.911600000000007</v>
      </c>
      <c r="I266" s="7">
        <v>38899</v>
      </c>
      <c r="J266" s="22">
        <v>20</v>
      </c>
    </row>
    <row r="267" spans="1:10" x14ac:dyDescent="0.2">
      <c r="A267" s="8">
        <v>46054</v>
      </c>
      <c r="B267" s="4" t="s">
        <v>96</v>
      </c>
      <c r="C267" s="4" t="s">
        <v>196</v>
      </c>
      <c r="D267" s="14">
        <v>72.34</v>
      </c>
      <c r="E267" s="7">
        <v>43481</v>
      </c>
      <c r="F267" s="14">
        <v>4.5199999999999997E-2</v>
      </c>
      <c r="G267" s="7">
        <v>66</v>
      </c>
      <c r="H267" s="14">
        <v>72.385199999999998</v>
      </c>
      <c r="I267" s="7">
        <v>43547</v>
      </c>
      <c r="J267" s="22">
        <v>21</v>
      </c>
    </row>
    <row r="268" spans="1:10" x14ac:dyDescent="0.2">
      <c r="A268" s="8">
        <v>46082</v>
      </c>
      <c r="B268" s="4" t="s">
        <v>96</v>
      </c>
      <c r="C268" s="4" t="s">
        <v>196</v>
      </c>
      <c r="D268" s="14">
        <v>147.5429</v>
      </c>
      <c r="E268" s="7">
        <v>97514</v>
      </c>
      <c r="F268" s="14">
        <v>0.17130000000000001</v>
      </c>
      <c r="G268" s="7">
        <v>279</v>
      </c>
      <c r="H268" s="14">
        <v>147.71420000000001</v>
      </c>
      <c r="I268" s="7">
        <v>97793</v>
      </c>
      <c r="J268" s="22">
        <v>19</v>
      </c>
    </row>
    <row r="269" spans="1:10" x14ac:dyDescent="0.2">
      <c r="A269" s="8">
        <v>46113</v>
      </c>
      <c r="B269" s="4" t="s">
        <v>97</v>
      </c>
      <c r="C269" s="4" t="s">
        <v>197</v>
      </c>
      <c r="D269" s="14">
        <v>103.7362</v>
      </c>
      <c r="E269" s="7">
        <v>67772</v>
      </c>
      <c r="F269" s="14">
        <v>8.4699999999999998E-2</v>
      </c>
      <c r="G269" s="7">
        <v>115</v>
      </c>
      <c r="H269" s="14">
        <v>103.82089999999999</v>
      </c>
      <c r="I269" s="7">
        <v>67887</v>
      </c>
      <c r="J269" s="22">
        <v>20</v>
      </c>
    </row>
    <row r="270" spans="1:10" x14ac:dyDescent="0.2">
      <c r="A270" s="8">
        <v>46143</v>
      </c>
      <c r="B270" s="4" t="s">
        <v>97</v>
      </c>
      <c r="C270" s="4" t="s">
        <v>197</v>
      </c>
      <c r="D270" s="14">
        <v>74.317599999999999</v>
      </c>
      <c r="E270" s="7">
        <v>48629</v>
      </c>
      <c r="F270" s="14">
        <v>5.6000000000000001E-2</v>
      </c>
      <c r="G270" s="7">
        <v>83</v>
      </c>
      <c r="H270" s="14">
        <v>74.373599999999996</v>
      </c>
      <c r="I270" s="7">
        <v>48712</v>
      </c>
      <c r="J270" s="22">
        <v>19</v>
      </c>
    </row>
    <row r="271" spans="1:10" x14ac:dyDescent="0.2">
      <c r="A271" s="8">
        <v>46174</v>
      </c>
      <c r="B271" s="4" t="s">
        <v>97</v>
      </c>
      <c r="C271" s="4" t="s">
        <v>197</v>
      </c>
      <c r="D271" s="14">
        <v>75.647599999999997</v>
      </c>
      <c r="E271" s="7">
        <v>49716</v>
      </c>
      <c r="F271" s="14">
        <v>0.1724</v>
      </c>
      <c r="G271" s="7">
        <v>284</v>
      </c>
      <c r="H271" s="14">
        <v>75.819999999999993</v>
      </c>
      <c r="I271" s="7">
        <v>50000</v>
      </c>
      <c r="J271" s="22">
        <v>21</v>
      </c>
    </row>
    <row r="272" spans="1:10" x14ac:dyDescent="0.2">
      <c r="A272" s="8">
        <v>46204</v>
      </c>
      <c r="B272" s="4" t="s">
        <v>97</v>
      </c>
      <c r="C272" s="4" t="s">
        <v>198</v>
      </c>
      <c r="D272" s="14">
        <v>58.140300000000003</v>
      </c>
      <c r="E272" s="7">
        <v>37446</v>
      </c>
      <c r="F272" s="14">
        <v>5.4699999999999999E-2</v>
      </c>
      <c r="G272" s="7">
        <v>84</v>
      </c>
      <c r="H272" s="14">
        <v>58.195</v>
      </c>
      <c r="I272" s="7">
        <v>37530</v>
      </c>
      <c r="J272" s="22">
        <v>23</v>
      </c>
    </row>
    <row r="273" spans="1:10" x14ac:dyDescent="0.2">
      <c r="A273" s="8">
        <v>46235</v>
      </c>
      <c r="B273" s="4" t="s">
        <v>97</v>
      </c>
      <c r="C273" s="4" t="s">
        <v>198</v>
      </c>
      <c r="D273" s="14">
        <v>27.2942</v>
      </c>
      <c r="E273" s="7">
        <v>17394</v>
      </c>
      <c r="F273" s="14">
        <v>2.76E-2</v>
      </c>
      <c r="G273" s="7">
        <v>44</v>
      </c>
      <c r="H273" s="14">
        <v>27.3218</v>
      </c>
      <c r="I273" s="7">
        <v>17438</v>
      </c>
      <c r="J273" s="22">
        <v>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54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3" width="16" customWidth="1"/>
    <col min="4" max="4" width="12" customWidth="1"/>
    <col min="5" max="5" width="30" customWidth="1"/>
    <col min="6" max="6" width="26" customWidth="1"/>
    <col min="7" max="7" width="34" customWidth="1"/>
    <col min="8" max="9" width="30" customWidth="1"/>
    <col min="10" max="10" width="26" customWidth="1"/>
  </cols>
  <sheetData>
    <row r="1" spans="1:10" x14ac:dyDescent="0.2">
      <c r="A1" s="1" t="s">
        <v>215</v>
      </c>
      <c r="B1" s="1" t="s">
        <v>216</v>
      </c>
      <c r="C1" s="1" t="s">
        <v>217</v>
      </c>
      <c r="D1" s="1" t="s">
        <v>104</v>
      </c>
      <c r="E1" s="12" t="s">
        <v>228</v>
      </c>
      <c r="F1" s="3" t="s">
        <v>229</v>
      </c>
      <c r="G1" s="12" t="s">
        <v>230</v>
      </c>
      <c r="H1" s="3" t="s">
        <v>231</v>
      </c>
      <c r="I1" s="12" t="s">
        <v>232</v>
      </c>
      <c r="J1" s="3" t="s">
        <v>233</v>
      </c>
    </row>
    <row r="2" spans="1:10" x14ac:dyDescent="0.2">
      <c r="A2" s="9">
        <v>43922</v>
      </c>
      <c r="B2" s="4" t="s">
        <v>221</v>
      </c>
      <c r="C2" s="8">
        <v>43922</v>
      </c>
      <c r="D2" s="4" t="s">
        <v>173</v>
      </c>
      <c r="E2" s="14">
        <v>1.6E-2</v>
      </c>
      <c r="F2" s="7">
        <v>22</v>
      </c>
      <c r="G2" s="14">
        <v>0</v>
      </c>
      <c r="H2" s="7">
        <v>0</v>
      </c>
      <c r="I2" s="14">
        <v>1.6E-2</v>
      </c>
      <c r="J2" s="7">
        <v>22</v>
      </c>
    </row>
    <row r="3" spans="1:10" x14ac:dyDescent="0.2">
      <c r="A3" s="9">
        <v>43924</v>
      </c>
      <c r="B3" s="4" t="s">
        <v>222</v>
      </c>
      <c r="C3" s="8">
        <v>43922</v>
      </c>
      <c r="D3" s="4" t="s">
        <v>173</v>
      </c>
      <c r="E3" s="14">
        <v>1.67E-2</v>
      </c>
      <c r="F3" s="7">
        <v>24</v>
      </c>
      <c r="G3" s="14">
        <v>0</v>
      </c>
      <c r="H3" s="7">
        <v>0</v>
      </c>
      <c r="I3" s="14">
        <v>1.67E-2</v>
      </c>
      <c r="J3" s="7">
        <v>24</v>
      </c>
    </row>
    <row r="4" spans="1:10" x14ac:dyDescent="0.2">
      <c r="A4" s="9">
        <v>43928</v>
      </c>
      <c r="B4" s="4" t="s">
        <v>223</v>
      </c>
      <c r="C4" s="8">
        <v>43922</v>
      </c>
      <c r="D4" s="4" t="s">
        <v>173</v>
      </c>
      <c r="E4" s="14">
        <v>1.66E-2</v>
      </c>
      <c r="F4" s="7">
        <v>23</v>
      </c>
      <c r="G4" s="14">
        <v>0</v>
      </c>
      <c r="H4" s="7">
        <v>0</v>
      </c>
      <c r="I4" s="14">
        <v>1.66E-2</v>
      </c>
      <c r="J4" s="7">
        <v>23</v>
      </c>
    </row>
    <row r="5" spans="1:10" x14ac:dyDescent="0.2">
      <c r="A5" s="9">
        <v>43929</v>
      </c>
      <c r="B5" s="4" t="s">
        <v>221</v>
      </c>
      <c r="C5" s="8">
        <v>43922</v>
      </c>
      <c r="D5" s="4" t="s">
        <v>173</v>
      </c>
      <c r="E5" s="14">
        <v>1.7999999999999999E-2</v>
      </c>
      <c r="F5" s="7">
        <v>24</v>
      </c>
      <c r="G5" s="14">
        <v>0</v>
      </c>
      <c r="H5" s="7">
        <v>0</v>
      </c>
      <c r="I5" s="14">
        <v>1.7999999999999999E-2</v>
      </c>
      <c r="J5" s="7">
        <v>24</v>
      </c>
    </row>
    <row r="6" spans="1:10" x14ac:dyDescent="0.2">
      <c r="A6" s="9">
        <v>43930</v>
      </c>
      <c r="B6" s="4" t="s">
        <v>224</v>
      </c>
      <c r="C6" s="8">
        <v>43922</v>
      </c>
      <c r="D6" s="4" t="s">
        <v>173</v>
      </c>
      <c r="E6" s="14">
        <v>2.07E-2</v>
      </c>
      <c r="F6" s="7">
        <v>27</v>
      </c>
      <c r="G6" s="14">
        <v>0</v>
      </c>
      <c r="H6" s="7">
        <v>0</v>
      </c>
      <c r="I6" s="14">
        <v>2.07E-2</v>
      </c>
      <c r="J6" s="7">
        <v>27</v>
      </c>
    </row>
    <row r="7" spans="1:10" x14ac:dyDescent="0.2">
      <c r="A7" s="9">
        <v>43934</v>
      </c>
      <c r="B7" s="4" t="s">
        <v>225</v>
      </c>
      <c r="C7" s="8">
        <v>43922</v>
      </c>
      <c r="D7" s="4" t="s">
        <v>173</v>
      </c>
      <c r="E7" s="14">
        <v>1.84E-2</v>
      </c>
      <c r="F7" s="7">
        <v>24</v>
      </c>
      <c r="G7" s="14">
        <v>0</v>
      </c>
      <c r="H7" s="7">
        <v>0</v>
      </c>
      <c r="I7" s="14">
        <v>1.84E-2</v>
      </c>
      <c r="J7" s="7">
        <v>24</v>
      </c>
    </row>
    <row r="8" spans="1:10" x14ac:dyDescent="0.2">
      <c r="A8" s="9">
        <v>43936</v>
      </c>
      <c r="B8" s="4" t="s">
        <v>221</v>
      </c>
      <c r="C8" s="8">
        <v>43922</v>
      </c>
      <c r="D8" s="4" t="s">
        <v>173</v>
      </c>
      <c r="E8" s="14">
        <v>2.18E-2</v>
      </c>
      <c r="F8" s="7">
        <v>28</v>
      </c>
      <c r="G8" s="14">
        <v>0</v>
      </c>
      <c r="H8" s="7">
        <v>0</v>
      </c>
      <c r="I8" s="14">
        <v>2.18E-2</v>
      </c>
      <c r="J8" s="7">
        <v>28</v>
      </c>
    </row>
    <row r="9" spans="1:10" x14ac:dyDescent="0.2">
      <c r="A9" s="9">
        <v>43937</v>
      </c>
      <c r="B9" s="4" t="s">
        <v>224</v>
      </c>
      <c r="C9" s="8">
        <v>43922</v>
      </c>
      <c r="D9" s="4" t="s">
        <v>173</v>
      </c>
      <c r="E9" s="14">
        <v>1.8100000000000002E-2</v>
      </c>
      <c r="F9" s="7">
        <v>24</v>
      </c>
      <c r="G9" s="14">
        <v>0</v>
      </c>
      <c r="H9" s="7">
        <v>0</v>
      </c>
      <c r="I9" s="14">
        <v>1.8100000000000002E-2</v>
      </c>
      <c r="J9" s="7">
        <v>24</v>
      </c>
    </row>
    <row r="10" spans="1:10" x14ac:dyDescent="0.2">
      <c r="A10" s="9">
        <v>43938</v>
      </c>
      <c r="B10" s="4" t="s">
        <v>222</v>
      </c>
      <c r="C10" s="8">
        <v>43922</v>
      </c>
      <c r="D10" s="4" t="s">
        <v>173</v>
      </c>
      <c r="E10" s="14">
        <v>1.9E-2</v>
      </c>
      <c r="F10" s="7">
        <v>24</v>
      </c>
      <c r="G10" s="14">
        <v>0</v>
      </c>
      <c r="H10" s="7">
        <v>0</v>
      </c>
      <c r="I10" s="14">
        <v>1.9E-2</v>
      </c>
      <c r="J10" s="7">
        <v>24</v>
      </c>
    </row>
    <row r="11" spans="1:10" x14ac:dyDescent="0.2">
      <c r="A11" s="9">
        <v>43941</v>
      </c>
      <c r="B11" s="4" t="s">
        <v>225</v>
      </c>
      <c r="C11" s="8">
        <v>43922</v>
      </c>
      <c r="D11" s="4" t="s">
        <v>173</v>
      </c>
      <c r="E11" s="14">
        <v>3.6600000000000001E-2</v>
      </c>
      <c r="F11" s="7">
        <v>46</v>
      </c>
      <c r="G11" s="14">
        <v>0</v>
      </c>
      <c r="H11" s="7">
        <v>0</v>
      </c>
      <c r="I11" s="14">
        <v>3.6600000000000001E-2</v>
      </c>
      <c r="J11" s="7">
        <v>46</v>
      </c>
    </row>
    <row r="12" spans="1:10" x14ac:dyDescent="0.2">
      <c r="A12" s="9">
        <v>43942</v>
      </c>
      <c r="B12" s="4" t="s">
        <v>223</v>
      </c>
      <c r="C12" s="8">
        <v>43922</v>
      </c>
      <c r="D12" s="4" t="s">
        <v>173</v>
      </c>
      <c r="E12" s="14">
        <v>2.3800000000000002E-2</v>
      </c>
      <c r="F12" s="7">
        <v>31</v>
      </c>
      <c r="G12" s="14">
        <v>0</v>
      </c>
      <c r="H12" s="7">
        <v>0</v>
      </c>
      <c r="I12" s="14">
        <v>2.3800000000000002E-2</v>
      </c>
      <c r="J12" s="7">
        <v>31</v>
      </c>
    </row>
    <row r="13" spans="1:10" x14ac:dyDescent="0.2">
      <c r="A13" s="9">
        <v>43943</v>
      </c>
      <c r="B13" s="4" t="s">
        <v>221</v>
      </c>
      <c r="C13" s="8">
        <v>43922</v>
      </c>
      <c r="D13" s="4" t="s">
        <v>173</v>
      </c>
      <c r="E13" s="14">
        <v>2.24E-2</v>
      </c>
      <c r="F13" s="7">
        <v>29</v>
      </c>
      <c r="G13" s="14">
        <v>0</v>
      </c>
      <c r="H13" s="7">
        <v>0</v>
      </c>
      <c r="I13" s="14">
        <v>2.24E-2</v>
      </c>
      <c r="J13" s="7">
        <v>29</v>
      </c>
    </row>
    <row r="14" spans="1:10" x14ac:dyDescent="0.2">
      <c r="A14" s="9">
        <v>43944</v>
      </c>
      <c r="B14" s="4" t="s">
        <v>224</v>
      </c>
      <c r="C14" s="8">
        <v>43922</v>
      </c>
      <c r="D14" s="4" t="s">
        <v>173</v>
      </c>
      <c r="E14" s="14">
        <v>1.7299999999999999E-2</v>
      </c>
      <c r="F14" s="7">
        <v>22</v>
      </c>
      <c r="G14" s="14">
        <v>0</v>
      </c>
      <c r="H14" s="7">
        <v>0</v>
      </c>
      <c r="I14" s="14">
        <v>1.7299999999999999E-2</v>
      </c>
      <c r="J14" s="7">
        <v>22</v>
      </c>
    </row>
    <row r="15" spans="1:10" x14ac:dyDescent="0.2">
      <c r="A15" s="9">
        <v>43945</v>
      </c>
      <c r="B15" s="4" t="s">
        <v>222</v>
      </c>
      <c r="C15" s="8">
        <v>43922</v>
      </c>
      <c r="D15" s="4" t="s">
        <v>173</v>
      </c>
      <c r="E15" s="14">
        <v>1.7299999999999999E-2</v>
      </c>
      <c r="F15" s="7">
        <v>22</v>
      </c>
      <c r="G15" s="14">
        <v>0</v>
      </c>
      <c r="H15" s="7">
        <v>0</v>
      </c>
      <c r="I15" s="14">
        <v>1.7299999999999999E-2</v>
      </c>
      <c r="J15" s="7">
        <v>22</v>
      </c>
    </row>
    <row r="16" spans="1:10" x14ac:dyDescent="0.2">
      <c r="A16" s="9">
        <v>43948</v>
      </c>
      <c r="B16" s="4" t="s">
        <v>225</v>
      </c>
      <c r="C16" s="8">
        <v>43922</v>
      </c>
      <c r="D16" s="4" t="s">
        <v>173</v>
      </c>
      <c r="E16" s="14">
        <v>2.3099999999999999E-2</v>
      </c>
      <c r="F16" s="7">
        <v>29</v>
      </c>
      <c r="G16" s="14">
        <v>0</v>
      </c>
      <c r="H16" s="7">
        <v>0</v>
      </c>
      <c r="I16" s="14">
        <v>2.3099999999999999E-2</v>
      </c>
      <c r="J16" s="7">
        <v>29</v>
      </c>
    </row>
    <row r="17" spans="1:10" x14ac:dyDescent="0.2">
      <c r="A17" s="9">
        <v>43949</v>
      </c>
      <c r="B17" s="4" t="s">
        <v>223</v>
      </c>
      <c r="C17" s="8">
        <v>43922</v>
      </c>
      <c r="D17" s="4" t="s">
        <v>173</v>
      </c>
      <c r="E17" s="14">
        <v>1.9199999999999998E-2</v>
      </c>
      <c r="F17" s="7">
        <v>24</v>
      </c>
      <c r="G17" s="14">
        <v>0</v>
      </c>
      <c r="H17" s="7">
        <v>0</v>
      </c>
      <c r="I17" s="14">
        <v>1.9199999999999998E-2</v>
      </c>
      <c r="J17" s="7">
        <v>24</v>
      </c>
    </row>
    <row r="18" spans="1:10" x14ac:dyDescent="0.2">
      <c r="A18" s="9">
        <v>43950</v>
      </c>
      <c r="B18" s="4" t="s">
        <v>221</v>
      </c>
      <c r="C18" s="8">
        <v>43922</v>
      </c>
      <c r="D18" s="4" t="s">
        <v>173</v>
      </c>
      <c r="E18" s="14">
        <v>2.0199999999999999E-2</v>
      </c>
      <c r="F18" s="7">
        <v>25</v>
      </c>
      <c r="G18" s="14">
        <v>0</v>
      </c>
      <c r="H18" s="7">
        <v>0</v>
      </c>
      <c r="I18" s="14">
        <v>2.0199999999999999E-2</v>
      </c>
      <c r="J18" s="7">
        <v>25</v>
      </c>
    </row>
    <row r="19" spans="1:10" x14ac:dyDescent="0.2">
      <c r="A19" s="9">
        <v>43951</v>
      </c>
      <c r="B19" s="4" t="s">
        <v>224</v>
      </c>
      <c r="C19" s="8">
        <v>43922</v>
      </c>
      <c r="D19" s="4" t="s">
        <v>173</v>
      </c>
      <c r="E19" s="14">
        <v>0.43230000000000002</v>
      </c>
      <c r="F19" s="7">
        <v>514</v>
      </c>
      <c r="G19" s="14">
        <v>0</v>
      </c>
      <c r="H19" s="7">
        <v>0</v>
      </c>
      <c r="I19" s="14">
        <v>0.43230000000000002</v>
      </c>
      <c r="J19" s="7">
        <v>514</v>
      </c>
    </row>
    <row r="20" spans="1:10" x14ac:dyDescent="0.2">
      <c r="A20" s="9">
        <v>43955</v>
      </c>
      <c r="B20" s="4" t="s">
        <v>225</v>
      </c>
      <c r="C20" s="8">
        <v>43952</v>
      </c>
      <c r="D20" s="4" t="s">
        <v>173</v>
      </c>
      <c r="E20" s="14">
        <v>2.2599999999999999E-2</v>
      </c>
      <c r="F20" s="7">
        <v>28</v>
      </c>
      <c r="G20" s="14">
        <v>0</v>
      </c>
      <c r="H20" s="7">
        <v>0</v>
      </c>
      <c r="I20" s="14">
        <v>2.2599999999999999E-2</v>
      </c>
      <c r="J20" s="7">
        <v>28</v>
      </c>
    </row>
    <row r="21" spans="1:10" x14ac:dyDescent="0.2">
      <c r="A21" s="9">
        <v>43956</v>
      </c>
      <c r="B21" s="4" t="s">
        <v>223</v>
      </c>
      <c r="C21" s="8">
        <v>43952</v>
      </c>
      <c r="D21" s="4" t="s">
        <v>173</v>
      </c>
      <c r="E21" s="14">
        <v>2.3300000000000001E-2</v>
      </c>
      <c r="F21" s="7">
        <v>29</v>
      </c>
      <c r="G21" s="14">
        <v>0</v>
      </c>
      <c r="H21" s="7">
        <v>0</v>
      </c>
      <c r="I21" s="14">
        <v>2.3300000000000001E-2</v>
      </c>
      <c r="J21" s="7">
        <v>29</v>
      </c>
    </row>
    <row r="22" spans="1:10" x14ac:dyDescent="0.2">
      <c r="A22" s="9">
        <v>43957</v>
      </c>
      <c r="B22" s="4" t="s">
        <v>221</v>
      </c>
      <c r="C22" s="8">
        <v>43952</v>
      </c>
      <c r="D22" s="4" t="s">
        <v>173</v>
      </c>
      <c r="E22" s="14">
        <v>1.0999999999999999E-2</v>
      </c>
      <c r="F22" s="7">
        <v>14</v>
      </c>
      <c r="G22" s="14">
        <v>0</v>
      </c>
      <c r="H22" s="7">
        <v>0</v>
      </c>
      <c r="I22" s="14">
        <v>1.0999999999999999E-2</v>
      </c>
      <c r="J22" s="7">
        <v>14</v>
      </c>
    </row>
    <row r="23" spans="1:10" x14ac:dyDescent="0.2">
      <c r="A23" s="9">
        <v>43958</v>
      </c>
      <c r="B23" s="4" t="s">
        <v>224</v>
      </c>
      <c r="C23" s="8">
        <v>43952</v>
      </c>
      <c r="D23" s="4" t="s">
        <v>173</v>
      </c>
      <c r="E23" s="14">
        <v>9.4999999999999998E-3</v>
      </c>
      <c r="F23" s="7">
        <v>12</v>
      </c>
      <c r="G23" s="14">
        <v>0</v>
      </c>
      <c r="H23" s="7">
        <v>0</v>
      </c>
      <c r="I23" s="14">
        <v>9.4999999999999998E-3</v>
      </c>
      <c r="J23" s="7">
        <v>12</v>
      </c>
    </row>
    <row r="24" spans="1:10" x14ac:dyDescent="0.2">
      <c r="A24" s="9">
        <v>43959</v>
      </c>
      <c r="B24" s="4" t="s">
        <v>222</v>
      </c>
      <c r="C24" s="8">
        <v>43952</v>
      </c>
      <c r="D24" s="4" t="s">
        <v>173</v>
      </c>
      <c r="E24" s="14">
        <v>0.43990000000000001</v>
      </c>
      <c r="F24" s="7">
        <v>552</v>
      </c>
      <c r="G24" s="14">
        <v>0</v>
      </c>
      <c r="H24" s="7">
        <v>0</v>
      </c>
      <c r="I24" s="14">
        <v>0.43990000000000001</v>
      </c>
      <c r="J24" s="7">
        <v>552</v>
      </c>
    </row>
    <row r="25" spans="1:10" x14ac:dyDescent="0.2">
      <c r="A25" s="9">
        <v>43962</v>
      </c>
      <c r="B25" s="4" t="s">
        <v>225</v>
      </c>
      <c r="C25" s="8">
        <v>43952</v>
      </c>
      <c r="D25" s="4" t="s">
        <v>173</v>
      </c>
      <c r="E25" s="14">
        <v>2.64E-2</v>
      </c>
      <c r="F25" s="7">
        <v>33</v>
      </c>
      <c r="G25" s="14">
        <v>0</v>
      </c>
      <c r="H25" s="7">
        <v>0</v>
      </c>
      <c r="I25" s="14">
        <v>2.64E-2</v>
      </c>
      <c r="J25" s="7">
        <v>33</v>
      </c>
    </row>
    <row r="26" spans="1:10" x14ac:dyDescent="0.2">
      <c r="A26" s="9">
        <v>43963</v>
      </c>
      <c r="B26" s="4" t="s">
        <v>223</v>
      </c>
      <c r="C26" s="8">
        <v>43952</v>
      </c>
      <c r="D26" s="4" t="s">
        <v>173</v>
      </c>
      <c r="E26" s="14">
        <v>0.1046</v>
      </c>
      <c r="F26" s="7">
        <v>134</v>
      </c>
      <c r="G26" s="14">
        <v>0</v>
      </c>
      <c r="H26" s="7">
        <v>0</v>
      </c>
      <c r="I26" s="14">
        <v>0.1046</v>
      </c>
      <c r="J26" s="7">
        <v>134</v>
      </c>
    </row>
    <row r="27" spans="1:10" x14ac:dyDescent="0.2">
      <c r="A27" s="9">
        <v>43964</v>
      </c>
      <c r="B27" s="4" t="s">
        <v>221</v>
      </c>
      <c r="C27" s="8">
        <v>43952</v>
      </c>
      <c r="D27" s="4" t="s">
        <v>173</v>
      </c>
      <c r="E27" s="14">
        <v>0.10440000000000001</v>
      </c>
      <c r="F27" s="7">
        <v>130</v>
      </c>
      <c r="G27" s="14">
        <v>0</v>
      </c>
      <c r="H27" s="7">
        <v>0</v>
      </c>
      <c r="I27" s="14">
        <v>0.10440000000000001</v>
      </c>
      <c r="J27" s="7">
        <v>130</v>
      </c>
    </row>
    <row r="28" spans="1:10" x14ac:dyDescent="0.2">
      <c r="A28" s="9">
        <v>43965</v>
      </c>
      <c r="B28" s="4" t="s">
        <v>224</v>
      </c>
      <c r="C28" s="8">
        <v>43952</v>
      </c>
      <c r="D28" s="4" t="s">
        <v>173</v>
      </c>
      <c r="E28" s="14">
        <v>6.0900000000000003E-2</v>
      </c>
      <c r="F28" s="7">
        <v>78</v>
      </c>
      <c r="G28" s="14">
        <v>0</v>
      </c>
      <c r="H28" s="7">
        <v>0</v>
      </c>
      <c r="I28" s="14">
        <v>6.0900000000000003E-2</v>
      </c>
      <c r="J28" s="7">
        <v>78</v>
      </c>
    </row>
    <row r="29" spans="1:10" x14ac:dyDescent="0.2">
      <c r="A29" s="9">
        <v>43966</v>
      </c>
      <c r="B29" s="4" t="s">
        <v>222</v>
      </c>
      <c r="C29" s="8">
        <v>43952</v>
      </c>
      <c r="D29" s="4" t="s">
        <v>173</v>
      </c>
      <c r="E29" s="14">
        <v>4.5600000000000002E-2</v>
      </c>
      <c r="F29" s="7">
        <v>59</v>
      </c>
      <c r="G29" s="14">
        <v>0</v>
      </c>
      <c r="H29" s="7">
        <v>0</v>
      </c>
      <c r="I29" s="14">
        <v>4.5600000000000002E-2</v>
      </c>
      <c r="J29" s="7">
        <v>59</v>
      </c>
    </row>
    <row r="30" spans="1:10" x14ac:dyDescent="0.2">
      <c r="A30" s="9">
        <v>43969</v>
      </c>
      <c r="B30" s="4" t="s">
        <v>225</v>
      </c>
      <c r="C30" s="8">
        <v>43952</v>
      </c>
      <c r="D30" s="4" t="s">
        <v>173</v>
      </c>
      <c r="E30" s="14">
        <v>0.13300000000000001</v>
      </c>
      <c r="F30" s="7">
        <v>176</v>
      </c>
      <c r="G30" s="14">
        <v>0</v>
      </c>
      <c r="H30" s="7">
        <v>0</v>
      </c>
      <c r="I30" s="14">
        <v>0.13300000000000001</v>
      </c>
      <c r="J30" s="7">
        <v>176</v>
      </c>
    </row>
    <row r="31" spans="1:10" x14ac:dyDescent="0.2">
      <c r="A31" s="9">
        <v>43970</v>
      </c>
      <c r="B31" s="4" t="s">
        <v>223</v>
      </c>
      <c r="C31" s="8">
        <v>43952</v>
      </c>
      <c r="D31" s="4" t="s">
        <v>173</v>
      </c>
      <c r="E31" s="14">
        <v>0.18509999999999999</v>
      </c>
      <c r="F31" s="7">
        <v>245</v>
      </c>
      <c r="G31" s="14">
        <v>0</v>
      </c>
      <c r="H31" s="7">
        <v>0</v>
      </c>
      <c r="I31" s="14">
        <v>0.18509999999999999</v>
      </c>
      <c r="J31" s="7">
        <v>245</v>
      </c>
    </row>
    <row r="32" spans="1:10" x14ac:dyDescent="0.2">
      <c r="A32" s="9">
        <v>43971</v>
      </c>
      <c r="B32" s="4" t="s">
        <v>221</v>
      </c>
      <c r="C32" s="8">
        <v>43952</v>
      </c>
      <c r="D32" s="4" t="s">
        <v>173</v>
      </c>
      <c r="E32" s="14">
        <v>0.25850000000000001</v>
      </c>
      <c r="F32" s="7">
        <v>338</v>
      </c>
      <c r="G32" s="14">
        <v>0</v>
      </c>
      <c r="H32" s="7">
        <v>0</v>
      </c>
      <c r="I32" s="14">
        <v>0.25850000000000001</v>
      </c>
      <c r="J32" s="7">
        <v>338</v>
      </c>
    </row>
    <row r="33" spans="1:10" x14ac:dyDescent="0.2">
      <c r="A33" s="9">
        <v>43972</v>
      </c>
      <c r="B33" s="4" t="s">
        <v>224</v>
      </c>
      <c r="C33" s="8">
        <v>43952</v>
      </c>
      <c r="D33" s="4" t="s">
        <v>173</v>
      </c>
      <c r="E33" s="14">
        <v>9.2600000000000002E-2</v>
      </c>
      <c r="F33" s="7">
        <v>120</v>
      </c>
      <c r="G33" s="14">
        <v>0</v>
      </c>
      <c r="H33" s="7">
        <v>0</v>
      </c>
      <c r="I33" s="14">
        <v>9.2600000000000002E-2</v>
      </c>
      <c r="J33" s="7">
        <v>120</v>
      </c>
    </row>
    <row r="34" spans="1:10" x14ac:dyDescent="0.2">
      <c r="A34" s="9">
        <v>43973</v>
      </c>
      <c r="B34" s="4" t="s">
        <v>222</v>
      </c>
      <c r="C34" s="8">
        <v>43952</v>
      </c>
      <c r="D34" s="4" t="s">
        <v>173</v>
      </c>
      <c r="E34" s="14">
        <v>0.1273</v>
      </c>
      <c r="F34" s="7">
        <v>166</v>
      </c>
      <c r="G34" s="14">
        <v>0</v>
      </c>
      <c r="H34" s="7">
        <v>0</v>
      </c>
      <c r="I34" s="14">
        <v>0.1273</v>
      </c>
      <c r="J34" s="7">
        <v>166</v>
      </c>
    </row>
    <row r="35" spans="1:10" x14ac:dyDescent="0.2">
      <c r="A35" s="9">
        <v>43977</v>
      </c>
      <c r="B35" s="4" t="s">
        <v>223</v>
      </c>
      <c r="C35" s="8">
        <v>43952</v>
      </c>
      <c r="D35" s="4" t="s">
        <v>173</v>
      </c>
      <c r="E35" s="14">
        <v>4.8399999999999999E-2</v>
      </c>
      <c r="F35" s="7">
        <v>63</v>
      </c>
      <c r="G35" s="14">
        <v>0</v>
      </c>
      <c r="H35" s="7">
        <v>0</v>
      </c>
      <c r="I35" s="14">
        <v>4.8399999999999999E-2</v>
      </c>
      <c r="J35" s="7">
        <v>63</v>
      </c>
    </row>
    <row r="36" spans="1:10" x14ac:dyDescent="0.2">
      <c r="A36" s="9">
        <v>43978</v>
      </c>
      <c r="B36" s="4" t="s">
        <v>221</v>
      </c>
      <c r="C36" s="8">
        <v>43952</v>
      </c>
      <c r="D36" s="4" t="s">
        <v>173</v>
      </c>
      <c r="E36" s="14">
        <v>5.6899999999999999E-2</v>
      </c>
      <c r="F36" s="7">
        <v>74</v>
      </c>
      <c r="G36" s="14">
        <v>0</v>
      </c>
      <c r="H36" s="7">
        <v>0</v>
      </c>
      <c r="I36" s="14">
        <v>5.6899999999999999E-2</v>
      </c>
      <c r="J36" s="7">
        <v>74</v>
      </c>
    </row>
    <row r="37" spans="1:10" x14ac:dyDescent="0.2">
      <c r="A37" s="9">
        <v>43979</v>
      </c>
      <c r="B37" s="4" t="s">
        <v>224</v>
      </c>
      <c r="C37" s="8">
        <v>43952</v>
      </c>
      <c r="D37" s="4" t="s">
        <v>173</v>
      </c>
      <c r="E37" s="14">
        <v>1.4125000000000001</v>
      </c>
      <c r="F37" s="7">
        <v>1766</v>
      </c>
      <c r="G37" s="14">
        <v>0</v>
      </c>
      <c r="H37" s="7">
        <v>0</v>
      </c>
      <c r="I37" s="14">
        <v>1.4125000000000001</v>
      </c>
      <c r="J37" s="7">
        <v>1766</v>
      </c>
    </row>
    <row r="38" spans="1:10" x14ac:dyDescent="0.2">
      <c r="A38" s="9">
        <v>43980</v>
      </c>
      <c r="B38" s="4" t="s">
        <v>222</v>
      </c>
      <c r="C38" s="8">
        <v>43952</v>
      </c>
      <c r="D38" s="4" t="s">
        <v>173</v>
      </c>
      <c r="E38" s="14">
        <v>0.1014</v>
      </c>
      <c r="F38" s="7">
        <v>127</v>
      </c>
      <c r="G38" s="14">
        <v>0</v>
      </c>
      <c r="H38" s="7">
        <v>0</v>
      </c>
      <c r="I38" s="14">
        <v>0.1014</v>
      </c>
      <c r="J38" s="7">
        <v>127</v>
      </c>
    </row>
    <row r="39" spans="1:10" x14ac:dyDescent="0.2">
      <c r="A39" s="9">
        <v>43983</v>
      </c>
      <c r="B39" s="4" t="s">
        <v>225</v>
      </c>
      <c r="C39" s="8">
        <v>43983</v>
      </c>
      <c r="D39" s="4" t="s">
        <v>173</v>
      </c>
      <c r="E39" s="14">
        <v>5.6399999999999999E-2</v>
      </c>
      <c r="F39" s="7">
        <v>68</v>
      </c>
      <c r="G39" s="14">
        <v>0</v>
      </c>
      <c r="H39" s="7">
        <v>0</v>
      </c>
      <c r="I39" s="14">
        <v>5.6399999999999999E-2</v>
      </c>
      <c r="J39" s="7">
        <v>68</v>
      </c>
    </row>
    <row r="40" spans="1:10" x14ac:dyDescent="0.2">
      <c r="A40" s="9">
        <v>43984</v>
      </c>
      <c r="B40" s="4" t="s">
        <v>223</v>
      </c>
      <c r="C40" s="8">
        <v>43983</v>
      </c>
      <c r="D40" s="4" t="s">
        <v>173</v>
      </c>
      <c r="E40" s="14">
        <v>0.1106</v>
      </c>
      <c r="F40" s="7">
        <v>132</v>
      </c>
      <c r="G40" s="14">
        <v>0</v>
      </c>
      <c r="H40" s="7">
        <v>0</v>
      </c>
      <c r="I40" s="14">
        <v>0.1106</v>
      </c>
      <c r="J40" s="7">
        <v>132</v>
      </c>
    </row>
    <row r="41" spans="1:10" x14ac:dyDescent="0.2">
      <c r="A41" s="9">
        <v>43985</v>
      </c>
      <c r="B41" s="4" t="s">
        <v>221</v>
      </c>
      <c r="C41" s="8">
        <v>43983</v>
      </c>
      <c r="D41" s="4" t="s">
        <v>173</v>
      </c>
      <c r="E41" s="14">
        <v>6.2399999999999997E-2</v>
      </c>
      <c r="F41" s="7">
        <v>73</v>
      </c>
      <c r="G41" s="14">
        <v>0</v>
      </c>
      <c r="H41" s="7">
        <v>0</v>
      </c>
      <c r="I41" s="14">
        <v>6.2399999999999997E-2</v>
      </c>
      <c r="J41" s="7">
        <v>73</v>
      </c>
    </row>
    <row r="42" spans="1:10" x14ac:dyDescent="0.2">
      <c r="A42" s="9">
        <v>43986</v>
      </c>
      <c r="B42" s="4" t="s">
        <v>224</v>
      </c>
      <c r="C42" s="8">
        <v>43983</v>
      </c>
      <c r="D42" s="4" t="s">
        <v>173</v>
      </c>
      <c r="E42" s="14">
        <v>6.6199999999999995E-2</v>
      </c>
      <c r="F42" s="7">
        <v>78</v>
      </c>
      <c r="G42" s="14">
        <v>0</v>
      </c>
      <c r="H42" s="7">
        <v>0</v>
      </c>
      <c r="I42" s="14">
        <v>6.6199999999999995E-2</v>
      </c>
      <c r="J42" s="7">
        <v>78</v>
      </c>
    </row>
    <row r="43" spans="1:10" x14ac:dyDescent="0.2">
      <c r="A43" s="9">
        <v>43987</v>
      </c>
      <c r="B43" s="4" t="s">
        <v>222</v>
      </c>
      <c r="C43" s="8">
        <v>43983</v>
      </c>
      <c r="D43" s="4" t="s">
        <v>173</v>
      </c>
      <c r="E43" s="14">
        <v>6.8400000000000002E-2</v>
      </c>
      <c r="F43" s="7">
        <v>80</v>
      </c>
      <c r="G43" s="14">
        <v>0</v>
      </c>
      <c r="H43" s="7">
        <v>0</v>
      </c>
      <c r="I43" s="14">
        <v>6.8400000000000002E-2</v>
      </c>
      <c r="J43" s="7">
        <v>80</v>
      </c>
    </row>
    <row r="44" spans="1:10" x14ac:dyDescent="0.2">
      <c r="A44" s="9">
        <v>43990</v>
      </c>
      <c r="B44" s="4" t="s">
        <v>225</v>
      </c>
      <c r="C44" s="8">
        <v>43983</v>
      </c>
      <c r="D44" s="4" t="s">
        <v>173</v>
      </c>
      <c r="E44" s="14">
        <v>1.03E-2</v>
      </c>
      <c r="F44" s="7">
        <v>12</v>
      </c>
      <c r="G44" s="14">
        <v>0</v>
      </c>
      <c r="H44" s="7">
        <v>0</v>
      </c>
      <c r="I44" s="14">
        <v>1.03E-2</v>
      </c>
      <c r="J44" s="7">
        <v>12</v>
      </c>
    </row>
    <row r="45" spans="1:10" x14ac:dyDescent="0.2">
      <c r="A45" s="9">
        <v>43991</v>
      </c>
      <c r="B45" s="4" t="s">
        <v>223</v>
      </c>
      <c r="C45" s="8">
        <v>43983</v>
      </c>
      <c r="D45" s="4" t="s">
        <v>173</v>
      </c>
      <c r="E45" s="14">
        <v>9.3299999999999994E-2</v>
      </c>
      <c r="F45" s="7">
        <v>108</v>
      </c>
      <c r="G45" s="14">
        <v>0</v>
      </c>
      <c r="H45" s="7">
        <v>0</v>
      </c>
      <c r="I45" s="14">
        <v>9.3299999999999994E-2</v>
      </c>
      <c r="J45" s="7">
        <v>108</v>
      </c>
    </row>
    <row r="46" spans="1:10" x14ac:dyDescent="0.2">
      <c r="A46" s="9">
        <v>43992</v>
      </c>
      <c r="B46" s="4" t="s">
        <v>221</v>
      </c>
      <c r="C46" s="8">
        <v>43983</v>
      </c>
      <c r="D46" s="4" t="s">
        <v>173</v>
      </c>
      <c r="E46" s="14">
        <v>1.6999999999999999E-3</v>
      </c>
      <c r="F46" s="7">
        <v>2</v>
      </c>
      <c r="G46" s="14">
        <v>0</v>
      </c>
      <c r="H46" s="7">
        <v>0</v>
      </c>
      <c r="I46" s="14">
        <v>1.6999999999999999E-3</v>
      </c>
      <c r="J46" s="7">
        <v>2</v>
      </c>
    </row>
    <row r="47" spans="1:10" x14ac:dyDescent="0.2">
      <c r="A47" s="9">
        <v>43993</v>
      </c>
      <c r="B47" s="4" t="s">
        <v>224</v>
      </c>
      <c r="C47" s="8">
        <v>43983</v>
      </c>
      <c r="D47" s="4" t="s">
        <v>173</v>
      </c>
      <c r="E47" s="14">
        <v>5.1000000000000004E-3</v>
      </c>
      <c r="F47" s="7">
        <v>6</v>
      </c>
      <c r="G47" s="14">
        <v>0</v>
      </c>
      <c r="H47" s="7">
        <v>0</v>
      </c>
      <c r="I47" s="14">
        <v>5.1000000000000004E-3</v>
      </c>
      <c r="J47" s="7">
        <v>6</v>
      </c>
    </row>
    <row r="48" spans="1:10" x14ac:dyDescent="0.2">
      <c r="A48" s="9">
        <v>43994</v>
      </c>
      <c r="B48" s="4" t="s">
        <v>222</v>
      </c>
      <c r="C48" s="8">
        <v>43983</v>
      </c>
      <c r="D48" s="4" t="s">
        <v>173</v>
      </c>
      <c r="E48" s="14">
        <v>0</v>
      </c>
      <c r="F48" s="7">
        <v>0</v>
      </c>
      <c r="G48" s="14">
        <v>0</v>
      </c>
      <c r="H48" s="7">
        <v>0</v>
      </c>
      <c r="I48" s="14">
        <v>0</v>
      </c>
      <c r="J48" s="7">
        <v>0</v>
      </c>
    </row>
    <row r="49" spans="1:10" x14ac:dyDescent="0.2">
      <c r="A49" s="9">
        <v>43997</v>
      </c>
      <c r="B49" s="4" t="s">
        <v>225</v>
      </c>
      <c r="C49" s="8">
        <v>43983</v>
      </c>
      <c r="D49" s="4" t="s">
        <v>173</v>
      </c>
      <c r="E49" s="14">
        <v>1.6999999999999999E-3</v>
      </c>
      <c r="F49" s="7">
        <v>2</v>
      </c>
      <c r="G49" s="14">
        <v>0</v>
      </c>
      <c r="H49" s="7">
        <v>0</v>
      </c>
      <c r="I49" s="14">
        <v>1.6999999999999999E-3</v>
      </c>
      <c r="J49" s="7">
        <v>2</v>
      </c>
    </row>
    <row r="50" spans="1:10" x14ac:dyDescent="0.2">
      <c r="A50" s="9">
        <v>43998</v>
      </c>
      <c r="B50" s="4" t="s">
        <v>223</v>
      </c>
      <c r="C50" s="8">
        <v>43983</v>
      </c>
      <c r="D50" s="4" t="s">
        <v>173</v>
      </c>
      <c r="E50" s="14">
        <v>8.0000000000000004E-4</v>
      </c>
      <c r="F50" s="7">
        <v>1</v>
      </c>
      <c r="G50" s="14">
        <v>0</v>
      </c>
      <c r="H50" s="7">
        <v>0</v>
      </c>
      <c r="I50" s="14">
        <v>8.0000000000000004E-4</v>
      </c>
      <c r="J50" s="7">
        <v>1</v>
      </c>
    </row>
    <row r="51" spans="1:10" x14ac:dyDescent="0.2">
      <c r="A51" s="9">
        <v>43999</v>
      </c>
      <c r="B51" s="4" t="s">
        <v>221</v>
      </c>
      <c r="C51" s="8">
        <v>43983</v>
      </c>
      <c r="D51" s="4" t="s">
        <v>173</v>
      </c>
      <c r="E51" s="14">
        <v>0.80130000000000001</v>
      </c>
      <c r="F51" s="7">
        <v>960</v>
      </c>
      <c r="G51" s="14">
        <v>0</v>
      </c>
      <c r="H51" s="7">
        <v>0</v>
      </c>
      <c r="I51" s="14">
        <v>0.80130000000000001</v>
      </c>
      <c r="J51" s="7">
        <v>960</v>
      </c>
    </row>
    <row r="52" spans="1:10" x14ac:dyDescent="0.2">
      <c r="A52" s="9">
        <v>44000</v>
      </c>
      <c r="B52" s="4" t="s">
        <v>224</v>
      </c>
      <c r="C52" s="8">
        <v>43983</v>
      </c>
      <c r="D52" s="4" t="s">
        <v>173</v>
      </c>
      <c r="E52" s="14">
        <v>0</v>
      </c>
      <c r="F52" s="7">
        <v>0</v>
      </c>
      <c r="G52" s="14">
        <v>0</v>
      </c>
      <c r="H52" s="7">
        <v>0</v>
      </c>
      <c r="I52" s="14">
        <v>0</v>
      </c>
      <c r="J52" s="7">
        <v>0</v>
      </c>
    </row>
    <row r="53" spans="1:10" x14ac:dyDescent="0.2">
      <c r="A53" s="9">
        <v>44001</v>
      </c>
      <c r="B53" s="4" t="s">
        <v>222</v>
      </c>
      <c r="C53" s="8">
        <v>43983</v>
      </c>
      <c r="D53" s="4" t="s">
        <v>173</v>
      </c>
      <c r="E53" s="14">
        <v>0.1323</v>
      </c>
      <c r="F53" s="7">
        <v>166</v>
      </c>
      <c r="G53" s="14">
        <v>0</v>
      </c>
      <c r="H53" s="7">
        <v>0</v>
      </c>
      <c r="I53" s="14">
        <v>0.1323</v>
      </c>
      <c r="J53" s="7">
        <v>166</v>
      </c>
    </row>
    <row r="54" spans="1:10" x14ac:dyDescent="0.2">
      <c r="A54" s="9">
        <v>44004</v>
      </c>
      <c r="B54" s="4" t="s">
        <v>225</v>
      </c>
      <c r="C54" s="8">
        <v>43983</v>
      </c>
      <c r="D54" s="4" t="s">
        <v>173</v>
      </c>
      <c r="E54" s="14">
        <v>0</v>
      </c>
      <c r="F54" s="7">
        <v>0</v>
      </c>
      <c r="G54" s="14">
        <v>0</v>
      </c>
      <c r="H54" s="7">
        <v>0</v>
      </c>
      <c r="I54" s="14">
        <v>0</v>
      </c>
      <c r="J54" s="7">
        <v>0</v>
      </c>
    </row>
    <row r="55" spans="1:10" x14ac:dyDescent="0.2">
      <c r="A55" s="9">
        <v>44005</v>
      </c>
      <c r="B55" s="4" t="s">
        <v>223</v>
      </c>
      <c r="C55" s="8">
        <v>43983</v>
      </c>
      <c r="D55" s="4" t="s">
        <v>173</v>
      </c>
      <c r="E55" s="14">
        <v>8.9999999999999998E-4</v>
      </c>
      <c r="F55" s="7">
        <v>1</v>
      </c>
      <c r="G55" s="14">
        <v>0</v>
      </c>
      <c r="H55" s="7">
        <v>0</v>
      </c>
      <c r="I55" s="14">
        <v>8.9999999999999998E-4</v>
      </c>
      <c r="J55" s="7">
        <v>1</v>
      </c>
    </row>
    <row r="56" spans="1:10" x14ac:dyDescent="0.2">
      <c r="A56" s="9">
        <v>44006</v>
      </c>
      <c r="B56" s="4" t="s">
        <v>221</v>
      </c>
      <c r="C56" s="8">
        <v>43983</v>
      </c>
      <c r="D56" s="4" t="s">
        <v>173</v>
      </c>
      <c r="E56" s="14">
        <v>2.53E-2</v>
      </c>
      <c r="F56" s="7">
        <v>31</v>
      </c>
      <c r="G56" s="14">
        <v>0</v>
      </c>
      <c r="H56" s="7">
        <v>0</v>
      </c>
      <c r="I56" s="14">
        <v>2.53E-2</v>
      </c>
      <c r="J56" s="7">
        <v>31</v>
      </c>
    </row>
    <row r="57" spans="1:10" x14ac:dyDescent="0.2">
      <c r="A57" s="9">
        <v>44007</v>
      </c>
      <c r="B57" s="4" t="s">
        <v>224</v>
      </c>
      <c r="C57" s="8">
        <v>43983</v>
      </c>
      <c r="D57" s="4" t="s">
        <v>173</v>
      </c>
      <c r="E57" s="14">
        <v>1.6199999999999999E-2</v>
      </c>
      <c r="F57" s="7">
        <v>20</v>
      </c>
      <c r="G57" s="14">
        <v>0</v>
      </c>
      <c r="H57" s="7">
        <v>0</v>
      </c>
      <c r="I57" s="14">
        <v>1.6199999999999999E-2</v>
      </c>
      <c r="J57" s="7">
        <v>20</v>
      </c>
    </row>
    <row r="58" spans="1:10" x14ac:dyDescent="0.2">
      <c r="A58" s="9">
        <v>44012</v>
      </c>
      <c r="B58" s="4" t="s">
        <v>223</v>
      </c>
      <c r="C58" s="8">
        <v>43983</v>
      </c>
      <c r="D58" s="4" t="s">
        <v>173</v>
      </c>
      <c r="E58" s="14">
        <v>5.7000000000000002E-3</v>
      </c>
      <c r="F58" s="7">
        <v>7</v>
      </c>
      <c r="G58" s="14">
        <v>0</v>
      </c>
      <c r="H58" s="7">
        <v>0</v>
      </c>
      <c r="I58" s="14">
        <v>5.7000000000000002E-3</v>
      </c>
      <c r="J58" s="7">
        <v>7</v>
      </c>
    </row>
    <row r="59" spans="1:10" x14ac:dyDescent="0.2">
      <c r="A59" s="9">
        <v>44013</v>
      </c>
      <c r="B59" s="4" t="s">
        <v>221</v>
      </c>
      <c r="C59" s="8">
        <v>44013</v>
      </c>
      <c r="D59" s="4" t="s">
        <v>174</v>
      </c>
      <c r="E59" s="14">
        <v>0.16139999999999999</v>
      </c>
      <c r="F59" s="7">
        <v>198</v>
      </c>
      <c r="G59" s="14">
        <v>0</v>
      </c>
      <c r="H59" s="7">
        <v>0</v>
      </c>
      <c r="I59" s="14">
        <v>0.16139999999999999</v>
      </c>
      <c r="J59" s="7">
        <v>198</v>
      </c>
    </row>
    <row r="60" spans="1:10" x14ac:dyDescent="0.2">
      <c r="A60" s="9">
        <v>44014</v>
      </c>
      <c r="B60" s="4" t="s">
        <v>224</v>
      </c>
      <c r="C60" s="8">
        <v>44013</v>
      </c>
      <c r="D60" s="4" t="s">
        <v>174</v>
      </c>
      <c r="E60" s="14">
        <v>0.1033</v>
      </c>
      <c r="F60" s="7">
        <v>125</v>
      </c>
      <c r="G60" s="14">
        <v>0</v>
      </c>
      <c r="H60" s="7">
        <v>0</v>
      </c>
      <c r="I60" s="14">
        <v>0.1033</v>
      </c>
      <c r="J60" s="7">
        <v>125</v>
      </c>
    </row>
    <row r="61" spans="1:10" x14ac:dyDescent="0.2">
      <c r="A61" s="9">
        <v>44015</v>
      </c>
      <c r="B61" s="4" t="s">
        <v>222</v>
      </c>
      <c r="C61" s="8">
        <v>44013</v>
      </c>
      <c r="D61" s="4" t="s">
        <v>174</v>
      </c>
      <c r="E61" s="14">
        <v>0.29389999999999999</v>
      </c>
      <c r="F61" s="7">
        <v>354</v>
      </c>
      <c r="G61" s="14">
        <v>0</v>
      </c>
      <c r="H61" s="7">
        <v>0</v>
      </c>
      <c r="I61" s="14">
        <v>0.29389999999999999</v>
      </c>
      <c r="J61" s="7">
        <v>354</v>
      </c>
    </row>
    <row r="62" spans="1:10" x14ac:dyDescent="0.2">
      <c r="A62" s="9">
        <v>44018</v>
      </c>
      <c r="B62" s="4" t="s">
        <v>225</v>
      </c>
      <c r="C62" s="8">
        <v>44013</v>
      </c>
      <c r="D62" s="4" t="s">
        <v>174</v>
      </c>
      <c r="E62" s="14">
        <v>0.19769999999999999</v>
      </c>
      <c r="F62" s="7">
        <v>235</v>
      </c>
      <c r="G62" s="14">
        <v>0</v>
      </c>
      <c r="H62" s="7">
        <v>0</v>
      </c>
      <c r="I62" s="14">
        <v>0.19769999999999999</v>
      </c>
      <c r="J62" s="7">
        <v>235</v>
      </c>
    </row>
    <row r="63" spans="1:10" x14ac:dyDescent="0.2">
      <c r="A63" s="9">
        <v>44019</v>
      </c>
      <c r="B63" s="4" t="s">
        <v>223</v>
      </c>
      <c r="C63" s="8">
        <v>44013</v>
      </c>
      <c r="D63" s="4" t="s">
        <v>174</v>
      </c>
      <c r="E63" s="14">
        <v>0.15629999999999999</v>
      </c>
      <c r="F63" s="7">
        <v>186</v>
      </c>
      <c r="G63" s="14">
        <v>0</v>
      </c>
      <c r="H63" s="7">
        <v>0</v>
      </c>
      <c r="I63" s="14">
        <v>0.15629999999999999</v>
      </c>
      <c r="J63" s="7">
        <v>186</v>
      </c>
    </row>
    <row r="64" spans="1:10" x14ac:dyDescent="0.2">
      <c r="A64" s="9">
        <v>44020</v>
      </c>
      <c r="B64" s="4" t="s">
        <v>221</v>
      </c>
      <c r="C64" s="8">
        <v>44013</v>
      </c>
      <c r="D64" s="4" t="s">
        <v>174</v>
      </c>
      <c r="E64" s="14">
        <v>9.7100000000000006E-2</v>
      </c>
      <c r="F64" s="7">
        <v>115</v>
      </c>
      <c r="G64" s="14">
        <v>0</v>
      </c>
      <c r="H64" s="7">
        <v>0</v>
      </c>
      <c r="I64" s="14">
        <v>9.7100000000000006E-2</v>
      </c>
      <c r="J64" s="7">
        <v>115</v>
      </c>
    </row>
    <row r="65" spans="1:10" x14ac:dyDescent="0.2">
      <c r="A65" s="9">
        <v>44021</v>
      </c>
      <c r="B65" s="4" t="s">
        <v>224</v>
      </c>
      <c r="C65" s="8">
        <v>44013</v>
      </c>
      <c r="D65" s="4" t="s">
        <v>174</v>
      </c>
      <c r="E65" s="14">
        <v>0.17219999999999999</v>
      </c>
      <c r="F65" s="7">
        <v>204</v>
      </c>
      <c r="G65" s="14">
        <v>0</v>
      </c>
      <c r="H65" s="7">
        <v>0</v>
      </c>
      <c r="I65" s="14">
        <v>0.17219999999999999</v>
      </c>
      <c r="J65" s="7">
        <v>204</v>
      </c>
    </row>
    <row r="66" spans="1:10" x14ac:dyDescent="0.2">
      <c r="A66" s="9">
        <v>44022</v>
      </c>
      <c r="B66" s="4" t="s">
        <v>222</v>
      </c>
      <c r="C66" s="8">
        <v>44013</v>
      </c>
      <c r="D66" s="4" t="s">
        <v>174</v>
      </c>
      <c r="E66" s="14">
        <v>0.27260000000000001</v>
      </c>
      <c r="F66" s="7">
        <v>323</v>
      </c>
      <c r="G66" s="14">
        <v>0</v>
      </c>
      <c r="H66" s="7">
        <v>0</v>
      </c>
      <c r="I66" s="14">
        <v>0.27260000000000001</v>
      </c>
      <c r="J66" s="7">
        <v>323</v>
      </c>
    </row>
    <row r="67" spans="1:10" x14ac:dyDescent="0.2">
      <c r="A67" s="9">
        <v>44025</v>
      </c>
      <c r="B67" s="4" t="s">
        <v>225</v>
      </c>
      <c r="C67" s="8">
        <v>44013</v>
      </c>
      <c r="D67" s="4" t="s">
        <v>174</v>
      </c>
      <c r="E67" s="14">
        <v>0.45419999999999999</v>
      </c>
      <c r="F67" s="7">
        <v>535</v>
      </c>
      <c r="G67" s="14">
        <v>0</v>
      </c>
      <c r="H67" s="7">
        <v>0</v>
      </c>
      <c r="I67" s="14">
        <v>0.45419999999999999</v>
      </c>
      <c r="J67" s="7">
        <v>535</v>
      </c>
    </row>
    <row r="68" spans="1:10" x14ac:dyDescent="0.2">
      <c r="A68" s="9">
        <v>44026</v>
      </c>
      <c r="B68" s="4" t="s">
        <v>223</v>
      </c>
      <c r="C68" s="8">
        <v>44013</v>
      </c>
      <c r="D68" s="4" t="s">
        <v>174</v>
      </c>
      <c r="E68" s="14">
        <v>0.1105</v>
      </c>
      <c r="F68" s="7">
        <v>132</v>
      </c>
      <c r="G68" s="14">
        <v>0</v>
      </c>
      <c r="H68" s="7">
        <v>0</v>
      </c>
      <c r="I68" s="14">
        <v>0.1105</v>
      </c>
      <c r="J68" s="7">
        <v>132</v>
      </c>
    </row>
    <row r="69" spans="1:10" x14ac:dyDescent="0.2">
      <c r="A69" s="9">
        <v>44027</v>
      </c>
      <c r="B69" s="4" t="s">
        <v>221</v>
      </c>
      <c r="C69" s="8">
        <v>44013</v>
      </c>
      <c r="D69" s="4" t="s">
        <v>174</v>
      </c>
      <c r="E69" s="14">
        <v>0.33310000000000001</v>
      </c>
      <c r="F69" s="7">
        <v>395</v>
      </c>
      <c r="G69" s="14">
        <v>0</v>
      </c>
      <c r="H69" s="7">
        <v>0</v>
      </c>
      <c r="I69" s="14">
        <v>0.33310000000000001</v>
      </c>
      <c r="J69" s="7">
        <v>395</v>
      </c>
    </row>
    <row r="70" spans="1:10" x14ac:dyDescent="0.2">
      <c r="A70" s="9">
        <v>44028</v>
      </c>
      <c r="B70" s="4" t="s">
        <v>224</v>
      </c>
      <c r="C70" s="8">
        <v>44013</v>
      </c>
      <c r="D70" s="4" t="s">
        <v>174</v>
      </c>
      <c r="E70" s="14">
        <v>0.3029</v>
      </c>
      <c r="F70" s="7">
        <v>362</v>
      </c>
      <c r="G70" s="14">
        <v>0</v>
      </c>
      <c r="H70" s="7">
        <v>0</v>
      </c>
      <c r="I70" s="14">
        <v>0.3029</v>
      </c>
      <c r="J70" s="7">
        <v>362</v>
      </c>
    </row>
    <row r="71" spans="1:10" x14ac:dyDescent="0.2">
      <c r="A71" s="9">
        <v>44029</v>
      </c>
      <c r="B71" s="4" t="s">
        <v>222</v>
      </c>
      <c r="C71" s="8">
        <v>44013</v>
      </c>
      <c r="D71" s="4" t="s">
        <v>174</v>
      </c>
      <c r="E71" s="14">
        <v>0.30580000000000002</v>
      </c>
      <c r="F71" s="7">
        <v>360</v>
      </c>
      <c r="G71" s="14">
        <v>0</v>
      </c>
      <c r="H71" s="7">
        <v>0</v>
      </c>
      <c r="I71" s="14">
        <v>0.30580000000000002</v>
      </c>
      <c r="J71" s="7">
        <v>360</v>
      </c>
    </row>
    <row r="72" spans="1:10" x14ac:dyDescent="0.2">
      <c r="A72" s="9">
        <v>44032</v>
      </c>
      <c r="B72" s="4" t="s">
        <v>225</v>
      </c>
      <c r="C72" s="8">
        <v>44013</v>
      </c>
      <c r="D72" s="4" t="s">
        <v>174</v>
      </c>
      <c r="E72" s="14">
        <v>0.91320000000000001</v>
      </c>
      <c r="F72" s="7">
        <v>1058</v>
      </c>
      <c r="G72" s="14">
        <v>0</v>
      </c>
      <c r="H72" s="7">
        <v>0</v>
      </c>
      <c r="I72" s="14">
        <v>0.91320000000000001</v>
      </c>
      <c r="J72" s="7">
        <v>1058</v>
      </c>
    </row>
    <row r="73" spans="1:10" x14ac:dyDescent="0.2">
      <c r="A73" s="9">
        <v>44033</v>
      </c>
      <c r="B73" s="4" t="s">
        <v>223</v>
      </c>
      <c r="C73" s="8">
        <v>44013</v>
      </c>
      <c r="D73" s="4" t="s">
        <v>174</v>
      </c>
      <c r="E73" s="14">
        <v>0.24660000000000001</v>
      </c>
      <c r="F73" s="7">
        <v>282</v>
      </c>
      <c r="G73" s="14">
        <v>0</v>
      </c>
      <c r="H73" s="7">
        <v>0</v>
      </c>
      <c r="I73" s="14">
        <v>0.24660000000000001</v>
      </c>
      <c r="J73" s="7">
        <v>282</v>
      </c>
    </row>
    <row r="74" spans="1:10" x14ac:dyDescent="0.2">
      <c r="A74" s="9">
        <v>44034</v>
      </c>
      <c r="B74" s="4" t="s">
        <v>221</v>
      </c>
      <c r="C74" s="8">
        <v>44013</v>
      </c>
      <c r="D74" s="4" t="s">
        <v>174</v>
      </c>
      <c r="E74" s="14">
        <v>0.25669999999999998</v>
      </c>
      <c r="F74" s="7">
        <v>294</v>
      </c>
      <c r="G74" s="14">
        <v>0</v>
      </c>
      <c r="H74" s="7">
        <v>0</v>
      </c>
      <c r="I74" s="14">
        <v>0.25669999999999998</v>
      </c>
      <c r="J74" s="7">
        <v>294</v>
      </c>
    </row>
    <row r="75" spans="1:10" x14ac:dyDescent="0.2">
      <c r="A75" s="9">
        <v>44035</v>
      </c>
      <c r="B75" s="4" t="s">
        <v>224</v>
      </c>
      <c r="C75" s="8">
        <v>44013</v>
      </c>
      <c r="D75" s="4" t="s">
        <v>174</v>
      </c>
      <c r="E75" s="14">
        <v>0.19389999999999999</v>
      </c>
      <c r="F75" s="7">
        <v>221</v>
      </c>
      <c r="G75" s="14">
        <v>0</v>
      </c>
      <c r="H75" s="7">
        <v>0</v>
      </c>
      <c r="I75" s="14">
        <v>0.19389999999999999</v>
      </c>
      <c r="J75" s="7">
        <v>221</v>
      </c>
    </row>
    <row r="76" spans="1:10" x14ac:dyDescent="0.2">
      <c r="A76" s="9">
        <v>44036</v>
      </c>
      <c r="B76" s="4" t="s">
        <v>222</v>
      </c>
      <c r="C76" s="8">
        <v>44013</v>
      </c>
      <c r="D76" s="4" t="s">
        <v>174</v>
      </c>
      <c r="E76" s="14">
        <v>0.41599999999999998</v>
      </c>
      <c r="F76" s="7">
        <v>476</v>
      </c>
      <c r="G76" s="14">
        <v>0</v>
      </c>
      <c r="H76" s="7">
        <v>0</v>
      </c>
      <c r="I76" s="14">
        <v>0.41599999999999998</v>
      </c>
      <c r="J76" s="7">
        <v>476</v>
      </c>
    </row>
    <row r="77" spans="1:10" x14ac:dyDescent="0.2">
      <c r="A77" s="9">
        <v>44039</v>
      </c>
      <c r="B77" s="4" t="s">
        <v>225</v>
      </c>
      <c r="C77" s="8">
        <v>44013</v>
      </c>
      <c r="D77" s="4" t="s">
        <v>174</v>
      </c>
      <c r="E77" s="14">
        <v>0.60289999999999999</v>
      </c>
      <c r="F77" s="7">
        <v>689</v>
      </c>
      <c r="G77" s="14">
        <v>0</v>
      </c>
      <c r="H77" s="7">
        <v>0</v>
      </c>
      <c r="I77" s="14">
        <v>0.60289999999999999</v>
      </c>
      <c r="J77" s="7">
        <v>689</v>
      </c>
    </row>
    <row r="78" spans="1:10" x14ac:dyDescent="0.2">
      <c r="A78" s="9">
        <v>44040</v>
      </c>
      <c r="B78" s="4" t="s">
        <v>223</v>
      </c>
      <c r="C78" s="8">
        <v>44013</v>
      </c>
      <c r="D78" s="4" t="s">
        <v>174</v>
      </c>
      <c r="E78" s="14">
        <v>0.14180000000000001</v>
      </c>
      <c r="F78" s="7">
        <v>161</v>
      </c>
      <c r="G78" s="14">
        <v>0</v>
      </c>
      <c r="H78" s="7">
        <v>0</v>
      </c>
      <c r="I78" s="14">
        <v>0.14180000000000001</v>
      </c>
      <c r="J78" s="7">
        <v>161</v>
      </c>
    </row>
    <row r="79" spans="1:10" x14ac:dyDescent="0.2">
      <c r="A79" s="9">
        <v>44041</v>
      </c>
      <c r="B79" s="4" t="s">
        <v>221</v>
      </c>
      <c r="C79" s="8">
        <v>44013</v>
      </c>
      <c r="D79" s="4" t="s">
        <v>174</v>
      </c>
      <c r="E79" s="14">
        <v>0.17430000000000001</v>
      </c>
      <c r="F79" s="7">
        <v>197</v>
      </c>
      <c r="G79" s="14">
        <v>0</v>
      </c>
      <c r="H79" s="7">
        <v>0</v>
      </c>
      <c r="I79" s="14">
        <v>0.17430000000000001</v>
      </c>
      <c r="J79" s="7">
        <v>197</v>
      </c>
    </row>
    <row r="80" spans="1:10" x14ac:dyDescent="0.2">
      <c r="A80" s="9">
        <v>44042</v>
      </c>
      <c r="B80" s="4" t="s">
        <v>224</v>
      </c>
      <c r="C80" s="8">
        <v>44013</v>
      </c>
      <c r="D80" s="4" t="s">
        <v>174</v>
      </c>
      <c r="E80" s="14">
        <v>0.48830000000000001</v>
      </c>
      <c r="F80" s="7">
        <v>553</v>
      </c>
      <c r="G80" s="14">
        <v>0</v>
      </c>
      <c r="H80" s="7">
        <v>0</v>
      </c>
      <c r="I80" s="14">
        <v>0.48830000000000001</v>
      </c>
      <c r="J80" s="7">
        <v>553</v>
      </c>
    </row>
    <row r="81" spans="1:10" x14ac:dyDescent="0.2">
      <c r="A81" s="9">
        <v>44043</v>
      </c>
      <c r="B81" s="4" t="s">
        <v>222</v>
      </c>
      <c r="C81" s="8">
        <v>44013</v>
      </c>
      <c r="D81" s="4" t="s">
        <v>174</v>
      </c>
      <c r="E81" s="14">
        <v>0.24429999999999999</v>
      </c>
      <c r="F81" s="7">
        <v>280</v>
      </c>
      <c r="G81" s="14">
        <v>0</v>
      </c>
      <c r="H81" s="7">
        <v>0</v>
      </c>
      <c r="I81" s="14">
        <v>0.24429999999999999</v>
      </c>
      <c r="J81" s="7">
        <v>280</v>
      </c>
    </row>
    <row r="82" spans="1:10" x14ac:dyDescent="0.2">
      <c r="A82" s="9">
        <v>44046</v>
      </c>
      <c r="B82" s="4" t="s">
        <v>225</v>
      </c>
      <c r="C82" s="8">
        <v>44044</v>
      </c>
      <c r="D82" s="4" t="s">
        <v>174</v>
      </c>
      <c r="E82" s="14">
        <v>0.26939999999999997</v>
      </c>
      <c r="F82" s="7">
        <v>313</v>
      </c>
      <c r="G82" s="14">
        <v>0</v>
      </c>
      <c r="H82" s="7">
        <v>0</v>
      </c>
      <c r="I82" s="14">
        <v>0.26939999999999997</v>
      </c>
      <c r="J82" s="7">
        <v>313</v>
      </c>
    </row>
    <row r="83" spans="1:10" x14ac:dyDescent="0.2">
      <c r="A83" s="9">
        <v>44047</v>
      </c>
      <c r="B83" s="4" t="s">
        <v>223</v>
      </c>
      <c r="C83" s="8">
        <v>44044</v>
      </c>
      <c r="D83" s="4" t="s">
        <v>174</v>
      </c>
      <c r="E83" s="14">
        <v>0.1598</v>
      </c>
      <c r="F83" s="7">
        <v>184</v>
      </c>
      <c r="G83" s="14">
        <v>0</v>
      </c>
      <c r="H83" s="7">
        <v>0</v>
      </c>
      <c r="I83" s="14">
        <v>0.1598</v>
      </c>
      <c r="J83" s="7">
        <v>184</v>
      </c>
    </row>
    <row r="84" spans="1:10" x14ac:dyDescent="0.2">
      <c r="A84" s="9">
        <v>44048</v>
      </c>
      <c r="B84" s="4" t="s">
        <v>221</v>
      </c>
      <c r="C84" s="8">
        <v>44044</v>
      </c>
      <c r="D84" s="4" t="s">
        <v>174</v>
      </c>
      <c r="E84" s="14">
        <v>0.2291</v>
      </c>
      <c r="F84" s="7">
        <v>261</v>
      </c>
      <c r="G84" s="14">
        <v>0</v>
      </c>
      <c r="H84" s="7">
        <v>0</v>
      </c>
      <c r="I84" s="14">
        <v>0.2291</v>
      </c>
      <c r="J84" s="7">
        <v>261</v>
      </c>
    </row>
    <row r="85" spans="1:10" x14ac:dyDescent="0.2">
      <c r="A85" s="9">
        <v>44049</v>
      </c>
      <c r="B85" s="4" t="s">
        <v>224</v>
      </c>
      <c r="C85" s="8">
        <v>44044</v>
      </c>
      <c r="D85" s="4" t="s">
        <v>174</v>
      </c>
      <c r="E85" s="14">
        <v>0.16539999999999999</v>
      </c>
      <c r="F85" s="7">
        <v>188</v>
      </c>
      <c r="G85" s="14">
        <v>0</v>
      </c>
      <c r="H85" s="7">
        <v>0</v>
      </c>
      <c r="I85" s="14">
        <v>0.16539999999999999</v>
      </c>
      <c r="J85" s="7">
        <v>188</v>
      </c>
    </row>
    <row r="86" spans="1:10" x14ac:dyDescent="0.2">
      <c r="A86" s="9">
        <v>44050</v>
      </c>
      <c r="B86" s="4" t="s">
        <v>222</v>
      </c>
      <c r="C86" s="8">
        <v>44044</v>
      </c>
      <c r="D86" s="4" t="s">
        <v>174</v>
      </c>
      <c r="E86" s="14">
        <v>0.27679999999999999</v>
      </c>
      <c r="F86" s="7">
        <v>314</v>
      </c>
      <c r="G86" s="14">
        <v>0</v>
      </c>
      <c r="H86" s="7">
        <v>0</v>
      </c>
      <c r="I86" s="14">
        <v>0.27679999999999999</v>
      </c>
      <c r="J86" s="7">
        <v>314</v>
      </c>
    </row>
    <row r="87" spans="1:10" x14ac:dyDescent="0.2">
      <c r="A87" s="9">
        <v>44053</v>
      </c>
      <c r="B87" s="4" t="s">
        <v>225</v>
      </c>
      <c r="C87" s="8">
        <v>44044</v>
      </c>
      <c r="D87" s="4" t="s">
        <v>174</v>
      </c>
      <c r="E87" s="14">
        <v>0.32869999999999999</v>
      </c>
      <c r="F87" s="7">
        <v>370</v>
      </c>
      <c r="G87" s="14">
        <v>0</v>
      </c>
      <c r="H87" s="7">
        <v>0</v>
      </c>
      <c r="I87" s="14">
        <v>0.32869999999999999</v>
      </c>
      <c r="J87" s="7">
        <v>370</v>
      </c>
    </row>
    <row r="88" spans="1:10" x14ac:dyDescent="0.2">
      <c r="A88" s="9">
        <v>44054</v>
      </c>
      <c r="B88" s="4" t="s">
        <v>223</v>
      </c>
      <c r="C88" s="8">
        <v>44044</v>
      </c>
      <c r="D88" s="4" t="s">
        <v>174</v>
      </c>
      <c r="E88" s="14">
        <v>0.107</v>
      </c>
      <c r="F88" s="7">
        <v>120</v>
      </c>
      <c r="G88" s="14">
        <v>0</v>
      </c>
      <c r="H88" s="7">
        <v>0</v>
      </c>
      <c r="I88" s="14">
        <v>0.107</v>
      </c>
      <c r="J88" s="7">
        <v>120</v>
      </c>
    </row>
    <row r="89" spans="1:10" x14ac:dyDescent="0.2">
      <c r="A89" s="9">
        <v>44055</v>
      </c>
      <c r="B89" s="4" t="s">
        <v>221</v>
      </c>
      <c r="C89" s="8">
        <v>44044</v>
      </c>
      <c r="D89" s="4" t="s">
        <v>174</v>
      </c>
      <c r="E89" s="14">
        <v>0.12609999999999999</v>
      </c>
      <c r="F89" s="7">
        <v>142</v>
      </c>
      <c r="G89" s="14">
        <v>0</v>
      </c>
      <c r="H89" s="7">
        <v>0</v>
      </c>
      <c r="I89" s="14">
        <v>0.12609999999999999</v>
      </c>
      <c r="J89" s="7">
        <v>142</v>
      </c>
    </row>
    <row r="90" spans="1:10" x14ac:dyDescent="0.2">
      <c r="A90" s="9">
        <v>44056</v>
      </c>
      <c r="B90" s="4" t="s">
        <v>224</v>
      </c>
      <c r="C90" s="8">
        <v>44044</v>
      </c>
      <c r="D90" s="4" t="s">
        <v>174</v>
      </c>
      <c r="E90" s="14">
        <v>0.1042</v>
      </c>
      <c r="F90" s="7">
        <v>117</v>
      </c>
      <c r="G90" s="14">
        <v>0</v>
      </c>
      <c r="H90" s="7">
        <v>0</v>
      </c>
      <c r="I90" s="14">
        <v>0.1042</v>
      </c>
      <c r="J90" s="7">
        <v>117</v>
      </c>
    </row>
    <row r="91" spans="1:10" x14ac:dyDescent="0.2">
      <c r="A91" s="9">
        <v>44057</v>
      </c>
      <c r="B91" s="4" t="s">
        <v>222</v>
      </c>
      <c r="C91" s="8">
        <v>44044</v>
      </c>
      <c r="D91" s="4" t="s">
        <v>174</v>
      </c>
      <c r="E91" s="14">
        <v>0.3674</v>
      </c>
      <c r="F91" s="7">
        <v>415</v>
      </c>
      <c r="G91" s="14">
        <v>0</v>
      </c>
      <c r="H91" s="7">
        <v>0</v>
      </c>
      <c r="I91" s="14">
        <v>0.3674</v>
      </c>
      <c r="J91" s="7">
        <v>415</v>
      </c>
    </row>
    <row r="92" spans="1:10" x14ac:dyDescent="0.2">
      <c r="A92" s="9">
        <v>44060</v>
      </c>
      <c r="B92" s="4" t="s">
        <v>225</v>
      </c>
      <c r="C92" s="8">
        <v>44044</v>
      </c>
      <c r="D92" s="4" t="s">
        <v>174</v>
      </c>
      <c r="E92" s="14">
        <v>0.55449999999999999</v>
      </c>
      <c r="F92" s="7">
        <v>629</v>
      </c>
      <c r="G92" s="14">
        <v>0</v>
      </c>
      <c r="H92" s="7">
        <v>0</v>
      </c>
      <c r="I92" s="14">
        <v>0.55449999999999999</v>
      </c>
      <c r="J92" s="7">
        <v>629</v>
      </c>
    </row>
    <row r="93" spans="1:10" x14ac:dyDescent="0.2">
      <c r="A93" s="9">
        <v>44061</v>
      </c>
      <c r="B93" s="4" t="s">
        <v>223</v>
      </c>
      <c r="C93" s="8">
        <v>44044</v>
      </c>
      <c r="D93" s="4" t="s">
        <v>174</v>
      </c>
      <c r="E93" s="14">
        <v>0.2175</v>
      </c>
      <c r="F93" s="7">
        <v>244</v>
      </c>
      <c r="G93" s="14">
        <v>0</v>
      </c>
      <c r="H93" s="7">
        <v>0</v>
      </c>
      <c r="I93" s="14">
        <v>0.2175</v>
      </c>
      <c r="J93" s="7">
        <v>244</v>
      </c>
    </row>
    <row r="94" spans="1:10" x14ac:dyDescent="0.2">
      <c r="A94" s="9">
        <v>44062</v>
      </c>
      <c r="B94" s="4" t="s">
        <v>221</v>
      </c>
      <c r="C94" s="8">
        <v>44044</v>
      </c>
      <c r="D94" s="4" t="s">
        <v>174</v>
      </c>
      <c r="E94" s="14">
        <v>0.1401</v>
      </c>
      <c r="F94" s="7">
        <v>156</v>
      </c>
      <c r="G94" s="14">
        <v>0</v>
      </c>
      <c r="H94" s="7">
        <v>0</v>
      </c>
      <c r="I94" s="14">
        <v>0.1401</v>
      </c>
      <c r="J94" s="7">
        <v>156</v>
      </c>
    </row>
    <row r="95" spans="1:10" x14ac:dyDescent="0.2">
      <c r="A95" s="9">
        <v>44063</v>
      </c>
      <c r="B95" s="4" t="s">
        <v>224</v>
      </c>
      <c r="C95" s="8">
        <v>44044</v>
      </c>
      <c r="D95" s="4" t="s">
        <v>174</v>
      </c>
      <c r="E95" s="14">
        <v>0.35289999999999999</v>
      </c>
      <c r="F95" s="7">
        <v>397</v>
      </c>
      <c r="G95" s="14">
        <v>0</v>
      </c>
      <c r="H95" s="7">
        <v>0</v>
      </c>
      <c r="I95" s="14">
        <v>0.35289999999999999</v>
      </c>
      <c r="J95" s="7">
        <v>397</v>
      </c>
    </row>
    <row r="96" spans="1:10" x14ac:dyDescent="0.2">
      <c r="A96" s="9">
        <v>44064</v>
      </c>
      <c r="B96" s="4" t="s">
        <v>222</v>
      </c>
      <c r="C96" s="8">
        <v>44044</v>
      </c>
      <c r="D96" s="4" t="s">
        <v>174</v>
      </c>
      <c r="E96" s="14">
        <v>0.1396</v>
      </c>
      <c r="F96" s="7">
        <v>156</v>
      </c>
      <c r="G96" s="14">
        <v>0</v>
      </c>
      <c r="H96" s="7">
        <v>0</v>
      </c>
      <c r="I96" s="14">
        <v>0.1396</v>
      </c>
      <c r="J96" s="7">
        <v>156</v>
      </c>
    </row>
    <row r="97" spans="1:10" x14ac:dyDescent="0.2">
      <c r="A97" s="9">
        <v>44067</v>
      </c>
      <c r="B97" s="4" t="s">
        <v>225</v>
      </c>
      <c r="C97" s="8">
        <v>44044</v>
      </c>
      <c r="D97" s="4" t="s">
        <v>174</v>
      </c>
      <c r="E97" s="14">
        <v>0.22140000000000001</v>
      </c>
      <c r="F97" s="7">
        <v>248</v>
      </c>
      <c r="G97" s="14">
        <v>0</v>
      </c>
      <c r="H97" s="7">
        <v>0</v>
      </c>
      <c r="I97" s="14">
        <v>0.22140000000000001</v>
      </c>
      <c r="J97" s="7">
        <v>248</v>
      </c>
    </row>
    <row r="98" spans="1:10" x14ac:dyDescent="0.2">
      <c r="A98" s="9">
        <v>44068</v>
      </c>
      <c r="B98" s="4" t="s">
        <v>223</v>
      </c>
      <c r="C98" s="8">
        <v>44044</v>
      </c>
      <c r="D98" s="4" t="s">
        <v>174</v>
      </c>
      <c r="E98" s="14">
        <v>0.11070000000000001</v>
      </c>
      <c r="F98" s="7">
        <v>123</v>
      </c>
      <c r="G98" s="14">
        <v>0</v>
      </c>
      <c r="H98" s="7">
        <v>0</v>
      </c>
      <c r="I98" s="14">
        <v>0.11070000000000001</v>
      </c>
      <c r="J98" s="7">
        <v>123</v>
      </c>
    </row>
    <row r="99" spans="1:10" x14ac:dyDescent="0.2">
      <c r="A99" s="9">
        <v>44069</v>
      </c>
      <c r="B99" s="4" t="s">
        <v>221</v>
      </c>
      <c r="C99" s="8">
        <v>44044</v>
      </c>
      <c r="D99" s="4" t="s">
        <v>174</v>
      </c>
      <c r="E99" s="14">
        <v>0.1714</v>
      </c>
      <c r="F99" s="7">
        <v>190</v>
      </c>
      <c r="G99" s="14">
        <v>0</v>
      </c>
      <c r="H99" s="7">
        <v>0</v>
      </c>
      <c r="I99" s="14">
        <v>0.1714</v>
      </c>
      <c r="J99" s="7">
        <v>190</v>
      </c>
    </row>
    <row r="100" spans="1:10" x14ac:dyDescent="0.2">
      <c r="A100" s="9">
        <v>44070</v>
      </c>
      <c r="B100" s="4" t="s">
        <v>224</v>
      </c>
      <c r="C100" s="8">
        <v>44044</v>
      </c>
      <c r="D100" s="4" t="s">
        <v>174</v>
      </c>
      <c r="E100" s="14">
        <v>0.2747</v>
      </c>
      <c r="F100" s="7">
        <v>302</v>
      </c>
      <c r="G100" s="14">
        <v>0</v>
      </c>
      <c r="H100" s="7">
        <v>0</v>
      </c>
      <c r="I100" s="14">
        <v>0.2747</v>
      </c>
      <c r="J100" s="7">
        <v>302</v>
      </c>
    </row>
    <row r="101" spans="1:10" x14ac:dyDescent="0.2">
      <c r="A101" s="9">
        <v>44071</v>
      </c>
      <c r="B101" s="4" t="s">
        <v>222</v>
      </c>
      <c r="C101" s="8">
        <v>44044</v>
      </c>
      <c r="D101" s="4" t="s">
        <v>174</v>
      </c>
      <c r="E101" s="14">
        <v>0.29330000000000001</v>
      </c>
      <c r="F101" s="7">
        <v>321</v>
      </c>
      <c r="G101" s="14">
        <v>0</v>
      </c>
      <c r="H101" s="7">
        <v>0</v>
      </c>
      <c r="I101" s="14">
        <v>0.29330000000000001</v>
      </c>
      <c r="J101" s="7">
        <v>321</v>
      </c>
    </row>
    <row r="102" spans="1:10" x14ac:dyDescent="0.2">
      <c r="A102" s="9">
        <v>44074</v>
      </c>
      <c r="B102" s="4" t="s">
        <v>225</v>
      </c>
      <c r="C102" s="8">
        <v>44044</v>
      </c>
      <c r="D102" s="4" t="s">
        <v>174</v>
      </c>
      <c r="E102" s="14">
        <v>0.75519999999999998</v>
      </c>
      <c r="F102" s="7">
        <v>835</v>
      </c>
      <c r="G102" s="14">
        <v>0</v>
      </c>
      <c r="H102" s="7">
        <v>0</v>
      </c>
      <c r="I102" s="14">
        <v>0.75519999999999998</v>
      </c>
      <c r="J102" s="7">
        <v>835</v>
      </c>
    </row>
    <row r="103" spans="1:10" x14ac:dyDescent="0.2">
      <c r="A103" s="9">
        <v>44075</v>
      </c>
      <c r="B103" s="4" t="s">
        <v>223</v>
      </c>
      <c r="C103" s="8">
        <v>44075</v>
      </c>
      <c r="D103" s="4" t="s">
        <v>174</v>
      </c>
      <c r="E103" s="14">
        <v>0.2346</v>
      </c>
      <c r="F103" s="7">
        <v>260</v>
      </c>
      <c r="G103" s="14">
        <v>0</v>
      </c>
      <c r="H103" s="7">
        <v>0</v>
      </c>
      <c r="I103" s="14">
        <v>0.2346</v>
      </c>
      <c r="J103" s="7">
        <v>260</v>
      </c>
    </row>
    <row r="104" spans="1:10" x14ac:dyDescent="0.2">
      <c r="A104" s="9">
        <v>44076</v>
      </c>
      <c r="B104" s="4" t="s">
        <v>221</v>
      </c>
      <c r="C104" s="8">
        <v>44075</v>
      </c>
      <c r="D104" s="4" t="s">
        <v>174</v>
      </c>
      <c r="E104" s="14">
        <v>0.2324</v>
      </c>
      <c r="F104" s="7">
        <v>257</v>
      </c>
      <c r="G104" s="14">
        <v>0</v>
      </c>
      <c r="H104" s="7">
        <v>0</v>
      </c>
      <c r="I104" s="14">
        <v>0.2324</v>
      </c>
      <c r="J104" s="7">
        <v>257</v>
      </c>
    </row>
    <row r="105" spans="1:10" x14ac:dyDescent="0.2">
      <c r="A105" s="9">
        <v>44077</v>
      </c>
      <c r="B105" s="4" t="s">
        <v>224</v>
      </c>
      <c r="C105" s="8">
        <v>44075</v>
      </c>
      <c r="D105" s="4" t="s">
        <v>174</v>
      </c>
      <c r="E105" s="14">
        <v>0.246</v>
      </c>
      <c r="F105" s="7">
        <v>271</v>
      </c>
      <c r="G105" s="14">
        <v>0</v>
      </c>
      <c r="H105" s="7">
        <v>0</v>
      </c>
      <c r="I105" s="14">
        <v>0.246</v>
      </c>
      <c r="J105" s="7">
        <v>271</v>
      </c>
    </row>
    <row r="106" spans="1:10" x14ac:dyDescent="0.2">
      <c r="A106" s="9">
        <v>44078</v>
      </c>
      <c r="B106" s="4" t="s">
        <v>222</v>
      </c>
      <c r="C106" s="8">
        <v>44075</v>
      </c>
      <c r="D106" s="4" t="s">
        <v>174</v>
      </c>
      <c r="E106" s="14">
        <v>0.32190000000000002</v>
      </c>
      <c r="F106" s="7">
        <v>360</v>
      </c>
      <c r="G106" s="14">
        <v>0</v>
      </c>
      <c r="H106" s="7">
        <v>0</v>
      </c>
      <c r="I106" s="14">
        <v>0.32190000000000002</v>
      </c>
      <c r="J106" s="7">
        <v>360</v>
      </c>
    </row>
    <row r="107" spans="1:10" x14ac:dyDescent="0.2">
      <c r="A107" s="9">
        <v>44081</v>
      </c>
      <c r="B107" s="4" t="s">
        <v>225</v>
      </c>
      <c r="C107" s="8">
        <v>44075</v>
      </c>
      <c r="D107" s="4" t="s">
        <v>174</v>
      </c>
      <c r="E107" s="14">
        <v>0.47220000000000001</v>
      </c>
      <c r="F107" s="7">
        <v>531</v>
      </c>
      <c r="G107" s="14">
        <v>0</v>
      </c>
      <c r="H107" s="7">
        <v>0</v>
      </c>
      <c r="I107" s="14">
        <v>0.47220000000000001</v>
      </c>
      <c r="J107" s="7">
        <v>531</v>
      </c>
    </row>
    <row r="108" spans="1:10" x14ac:dyDescent="0.2">
      <c r="A108" s="9">
        <v>44082</v>
      </c>
      <c r="B108" s="4" t="s">
        <v>223</v>
      </c>
      <c r="C108" s="8">
        <v>44075</v>
      </c>
      <c r="D108" s="4" t="s">
        <v>174</v>
      </c>
      <c r="E108" s="14">
        <v>0.23499999999999999</v>
      </c>
      <c r="F108" s="7">
        <v>263</v>
      </c>
      <c r="G108" s="14">
        <v>0</v>
      </c>
      <c r="H108" s="7">
        <v>0</v>
      </c>
      <c r="I108" s="14">
        <v>0.23499999999999999</v>
      </c>
      <c r="J108" s="7">
        <v>263</v>
      </c>
    </row>
    <row r="109" spans="1:10" x14ac:dyDescent="0.2">
      <c r="A109" s="9">
        <v>44083</v>
      </c>
      <c r="B109" s="4" t="s">
        <v>221</v>
      </c>
      <c r="C109" s="8">
        <v>44075</v>
      </c>
      <c r="D109" s="4" t="s">
        <v>174</v>
      </c>
      <c r="E109" s="14">
        <v>0.22900000000000001</v>
      </c>
      <c r="F109" s="7">
        <v>259</v>
      </c>
      <c r="G109" s="14">
        <v>0</v>
      </c>
      <c r="H109" s="7">
        <v>0</v>
      </c>
      <c r="I109" s="14">
        <v>0.22900000000000001</v>
      </c>
      <c r="J109" s="7">
        <v>259</v>
      </c>
    </row>
    <row r="110" spans="1:10" x14ac:dyDescent="0.2">
      <c r="A110" s="9">
        <v>44084</v>
      </c>
      <c r="B110" s="4" t="s">
        <v>224</v>
      </c>
      <c r="C110" s="8">
        <v>44075</v>
      </c>
      <c r="D110" s="4" t="s">
        <v>174</v>
      </c>
      <c r="E110" s="14">
        <v>0.27389999999999998</v>
      </c>
      <c r="F110" s="7">
        <v>306</v>
      </c>
      <c r="G110" s="14">
        <v>0</v>
      </c>
      <c r="H110" s="7">
        <v>0</v>
      </c>
      <c r="I110" s="14">
        <v>0.27389999999999998</v>
      </c>
      <c r="J110" s="7">
        <v>306</v>
      </c>
    </row>
    <row r="111" spans="1:10" x14ac:dyDescent="0.2">
      <c r="A111" s="9">
        <v>44085</v>
      </c>
      <c r="B111" s="4" t="s">
        <v>222</v>
      </c>
      <c r="C111" s="8">
        <v>44075</v>
      </c>
      <c r="D111" s="4" t="s">
        <v>174</v>
      </c>
      <c r="E111" s="14">
        <v>0.1918</v>
      </c>
      <c r="F111" s="7">
        <v>213</v>
      </c>
      <c r="G111" s="14">
        <v>0</v>
      </c>
      <c r="H111" s="7">
        <v>0</v>
      </c>
      <c r="I111" s="14">
        <v>0.1918</v>
      </c>
      <c r="J111" s="7">
        <v>213</v>
      </c>
    </row>
    <row r="112" spans="1:10" x14ac:dyDescent="0.2">
      <c r="A112" s="9">
        <v>44088</v>
      </c>
      <c r="B112" s="4" t="s">
        <v>225</v>
      </c>
      <c r="C112" s="8">
        <v>44075</v>
      </c>
      <c r="D112" s="4" t="s">
        <v>174</v>
      </c>
      <c r="E112" s="14">
        <v>0.68730000000000002</v>
      </c>
      <c r="F112" s="7">
        <v>761</v>
      </c>
      <c r="G112" s="14">
        <v>0</v>
      </c>
      <c r="H112" s="7">
        <v>0</v>
      </c>
      <c r="I112" s="14">
        <v>0.68730000000000002</v>
      </c>
      <c r="J112" s="7">
        <v>761</v>
      </c>
    </row>
    <row r="113" spans="1:10" x14ac:dyDescent="0.2">
      <c r="A113" s="9">
        <v>44089</v>
      </c>
      <c r="B113" s="4" t="s">
        <v>223</v>
      </c>
      <c r="C113" s="8">
        <v>44075</v>
      </c>
      <c r="D113" s="4" t="s">
        <v>174</v>
      </c>
      <c r="E113" s="14">
        <v>0.34470000000000001</v>
      </c>
      <c r="F113" s="7">
        <v>381</v>
      </c>
      <c r="G113" s="14">
        <v>0</v>
      </c>
      <c r="H113" s="7">
        <v>0</v>
      </c>
      <c r="I113" s="14">
        <v>0.34470000000000001</v>
      </c>
      <c r="J113" s="7">
        <v>381</v>
      </c>
    </row>
    <row r="114" spans="1:10" x14ac:dyDescent="0.2">
      <c r="A114" s="9">
        <v>44090</v>
      </c>
      <c r="B114" s="4" t="s">
        <v>221</v>
      </c>
      <c r="C114" s="8">
        <v>44075</v>
      </c>
      <c r="D114" s="4" t="s">
        <v>174</v>
      </c>
      <c r="E114" s="14">
        <v>0.2339</v>
      </c>
      <c r="F114" s="7">
        <v>257</v>
      </c>
      <c r="G114" s="14">
        <v>0</v>
      </c>
      <c r="H114" s="7">
        <v>0</v>
      </c>
      <c r="I114" s="14">
        <v>0.2339</v>
      </c>
      <c r="J114" s="7">
        <v>257</v>
      </c>
    </row>
    <row r="115" spans="1:10" x14ac:dyDescent="0.2">
      <c r="A115" s="9">
        <v>44091</v>
      </c>
      <c r="B115" s="4" t="s">
        <v>224</v>
      </c>
      <c r="C115" s="8">
        <v>44075</v>
      </c>
      <c r="D115" s="4" t="s">
        <v>174</v>
      </c>
      <c r="E115" s="14">
        <v>0.2777</v>
      </c>
      <c r="F115" s="7">
        <v>306</v>
      </c>
      <c r="G115" s="14">
        <v>0</v>
      </c>
      <c r="H115" s="7">
        <v>0</v>
      </c>
      <c r="I115" s="14">
        <v>0.2777</v>
      </c>
      <c r="J115" s="7">
        <v>306</v>
      </c>
    </row>
    <row r="116" spans="1:10" x14ac:dyDescent="0.2">
      <c r="A116" s="9">
        <v>44092</v>
      </c>
      <c r="B116" s="4" t="s">
        <v>222</v>
      </c>
      <c r="C116" s="8">
        <v>44075</v>
      </c>
      <c r="D116" s="4" t="s">
        <v>174</v>
      </c>
      <c r="E116" s="14">
        <v>0.40379999999999999</v>
      </c>
      <c r="F116" s="7">
        <v>445</v>
      </c>
      <c r="G116" s="14">
        <v>0</v>
      </c>
      <c r="H116" s="7">
        <v>0</v>
      </c>
      <c r="I116" s="14">
        <v>0.40379999999999999</v>
      </c>
      <c r="J116" s="7">
        <v>445</v>
      </c>
    </row>
    <row r="117" spans="1:10" x14ac:dyDescent="0.2">
      <c r="A117" s="9">
        <v>44095</v>
      </c>
      <c r="B117" s="4" t="s">
        <v>225</v>
      </c>
      <c r="C117" s="8">
        <v>44075</v>
      </c>
      <c r="D117" s="4" t="s">
        <v>174</v>
      </c>
      <c r="E117" s="14">
        <v>0.48259999999999997</v>
      </c>
      <c r="F117" s="7">
        <v>537</v>
      </c>
      <c r="G117" s="14">
        <v>0</v>
      </c>
      <c r="H117" s="7">
        <v>0</v>
      </c>
      <c r="I117" s="14">
        <v>0.48259999999999997</v>
      </c>
      <c r="J117" s="7">
        <v>537</v>
      </c>
    </row>
    <row r="118" spans="1:10" x14ac:dyDescent="0.2">
      <c r="A118" s="9">
        <v>44096</v>
      </c>
      <c r="B118" s="4" t="s">
        <v>223</v>
      </c>
      <c r="C118" s="8">
        <v>44075</v>
      </c>
      <c r="D118" s="4" t="s">
        <v>174</v>
      </c>
      <c r="E118" s="14">
        <v>0.77639999999999998</v>
      </c>
      <c r="F118" s="7">
        <v>882</v>
      </c>
      <c r="G118" s="14">
        <v>0</v>
      </c>
      <c r="H118" s="7">
        <v>0</v>
      </c>
      <c r="I118" s="14">
        <v>0.77639999999999998</v>
      </c>
      <c r="J118" s="7">
        <v>882</v>
      </c>
    </row>
    <row r="119" spans="1:10" x14ac:dyDescent="0.2">
      <c r="A119" s="9">
        <v>44097</v>
      </c>
      <c r="B119" s="4" t="s">
        <v>221</v>
      </c>
      <c r="C119" s="8">
        <v>44075</v>
      </c>
      <c r="D119" s="4" t="s">
        <v>174</v>
      </c>
      <c r="E119" s="14">
        <v>0.23899999999999999</v>
      </c>
      <c r="F119" s="7">
        <v>272</v>
      </c>
      <c r="G119" s="14">
        <v>0</v>
      </c>
      <c r="H119" s="7">
        <v>0</v>
      </c>
      <c r="I119" s="14">
        <v>0.23899999999999999</v>
      </c>
      <c r="J119" s="7">
        <v>272</v>
      </c>
    </row>
    <row r="120" spans="1:10" x14ac:dyDescent="0.2">
      <c r="A120" s="9">
        <v>44098</v>
      </c>
      <c r="B120" s="4" t="s">
        <v>224</v>
      </c>
      <c r="C120" s="8">
        <v>44075</v>
      </c>
      <c r="D120" s="4" t="s">
        <v>174</v>
      </c>
      <c r="E120" s="14">
        <v>0.30059999999999998</v>
      </c>
      <c r="F120" s="7">
        <v>350</v>
      </c>
      <c r="G120" s="14">
        <v>0</v>
      </c>
      <c r="H120" s="7">
        <v>0</v>
      </c>
      <c r="I120" s="14">
        <v>0.30059999999999998</v>
      </c>
      <c r="J120" s="7">
        <v>350</v>
      </c>
    </row>
    <row r="121" spans="1:10" x14ac:dyDescent="0.2">
      <c r="A121" s="9">
        <v>44099</v>
      </c>
      <c r="B121" s="4" t="s">
        <v>222</v>
      </c>
      <c r="C121" s="8">
        <v>44075</v>
      </c>
      <c r="D121" s="4" t="s">
        <v>174</v>
      </c>
      <c r="E121" s="14">
        <v>0.57899999999999996</v>
      </c>
      <c r="F121" s="7">
        <v>670</v>
      </c>
      <c r="G121" s="14">
        <v>0</v>
      </c>
      <c r="H121" s="7">
        <v>0</v>
      </c>
      <c r="I121" s="14">
        <v>0.57899999999999996</v>
      </c>
      <c r="J121" s="7">
        <v>670</v>
      </c>
    </row>
    <row r="122" spans="1:10" x14ac:dyDescent="0.2">
      <c r="A122" s="9">
        <v>44102</v>
      </c>
      <c r="B122" s="4" t="s">
        <v>225</v>
      </c>
      <c r="C122" s="8">
        <v>44075</v>
      </c>
      <c r="D122" s="4" t="s">
        <v>174</v>
      </c>
      <c r="E122" s="14">
        <v>0.6704</v>
      </c>
      <c r="F122" s="7">
        <v>761</v>
      </c>
      <c r="G122" s="14">
        <v>0</v>
      </c>
      <c r="H122" s="7">
        <v>0</v>
      </c>
      <c r="I122" s="14">
        <v>0.6704</v>
      </c>
      <c r="J122" s="7">
        <v>761</v>
      </c>
    </row>
    <row r="123" spans="1:10" x14ac:dyDescent="0.2">
      <c r="A123" s="9">
        <v>44103</v>
      </c>
      <c r="B123" s="4" t="s">
        <v>223</v>
      </c>
      <c r="C123" s="8">
        <v>44075</v>
      </c>
      <c r="D123" s="4" t="s">
        <v>174</v>
      </c>
      <c r="E123" s="14">
        <v>0.21179999999999999</v>
      </c>
      <c r="F123" s="7">
        <v>239</v>
      </c>
      <c r="G123" s="14">
        <v>0</v>
      </c>
      <c r="H123" s="7">
        <v>0</v>
      </c>
      <c r="I123" s="14">
        <v>0.21179999999999999</v>
      </c>
      <c r="J123" s="7">
        <v>239</v>
      </c>
    </row>
    <row r="124" spans="1:10" x14ac:dyDescent="0.2">
      <c r="A124" s="9">
        <v>44104</v>
      </c>
      <c r="B124" s="4" t="s">
        <v>221</v>
      </c>
      <c r="C124" s="8">
        <v>44075</v>
      </c>
      <c r="D124" s="4" t="s">
        <v>174</v>
      </c>
      <c r="E124" s="14">
        <v>0.22239999999999999</v>
      </c>
      <c r="F124" s="7">
        <v>251</v>
      </c>
      <c r="G124" s="14">
        <v>0</v>
      </c>
      <c r="H124" s="7">
        <v>0</v>
      </c>
      <c r="I124" s="14">
        <v>0.22239999999999999</v>
      </c>
      <c r="J124" s="7">
        <v>251</v>
      </c>
    </row>
    <row r="125" spans="1:10" x14ac:dyDescent="0.2">
      <c r="A125" s="9">
        <v>44105</v>
      </c>
      <c r="B125" s="4" t="s">
        <v>224</v>
      </c>
      <c r="C125" s="8">
        <v>44105</v>
      </c>
      <c r="D125" s="4" t="s">
        <v>175</v>
      </c>
      <c r="E125" s="14">
        <v>0.13289999999999999</v>
      </c>
      <c r="F125" s="7">
        <v>148</v>
      </c>
      <c r="G125" s="14">
        <v>0</v>
      </c>
      <c r="H125" s="7">
        <v>0</v>
      </c>
      <c r="I125" s="14">
        <v>0.13289999999999999</v>
      </c>
      <c r="J125" s="7">
        <v>148</v>
      </c>
    </row>
    <row r="126" spans="1:10" x14ac:dyDescent="0.2">
      <c r="A126" s="9">
        <v>44109</v>
      </c>
      <c r="B126" s="4" t="s">
        <v>225</v>
      </c>
      <c r="C126" s="8">
        <v>44105</v>
      </c>
      <c r="D126" s="4" t="s">
        <v>175</v>
      </c>
      <c r="E126" s="14">
        <v>0.54010000000000002</v>
      </c>
      <c r="F126" s="7">
        <v>595</v>
      </c>
      <c r="G126" s="14">
        <v>0</v>
      </c>
      <c r="H126" s="7">
        <v>0</v>
      </c>
      <c r="I126" s="14">
        <v>0.54010000000000002</v>
      </c>
      <c r="J126" s="7">
        <v>595</v>
      </c>
    </row>
    <row r="127" spans="1:10" x14ac:dyDescent="0.2">
      <c r="A127" s="9">
        <v>44110</v>
      </c>
      <c r="B127" s="4" t="s">
        <v>223</v>
      </c>
      <c r="C127" s="8">
        <v>44105</v>
      </c>
      <c r="D127" s="4" t="s">
        <v>175</v>
      </c>
      <c r="E127" s="14">
        <v>0.15459999999999999</v>
      </c>
      <c r="F127" s="7">
        <v>169</v>
      </c>
      <c r="G127" s="14">
        <v>0</v>
      </c>
      <c r="H127" s="7">
        <v>0</v>
      </c>
      <c r="I127" s="14">
        <v>0.15459999999999999</v>
      </c>
      <c r="J127" s="7">
        <v>169</v>
      </c>
    </row>
    <row r="128" spans="1:10" x14ac:dyDescent="0.2">
      <c r="A128" s="9">
        <v>44111</v>
      </c>
      <c r="B128" s="4" t="s">
        <v>221</v>
      </c>
      <c r="C128" s="8">
        <v>44105</v>
      </c>
      <c r="D128" s="4" t="s">
        <v>175</v>
      </c>
      <c r="E128" s="14">
        <v>0.15509999999999999</v>
      </c>
      <c r="F128" s="7">
        <v>168</v>
      </c>
      <c r="G128" s="14">
        <v>0</v>
      </c>
      <c r="H128" s="7">
        <v>0</v>
      </c>
      <c r="I128" s="14">
        <v>0.15509999999999999</v>
      </c>
      <c r="J128" s="7">
        <v>168</v>
      </c>
    </row>
    <row r="129" spans="1:10" x14ac:dyDescent="0.2">
      <c r="A129" s="9">
        <v>44112</v>
      </c>
      <c r="B129" s="4" t="s">
        <v>224</v>
      </c>
      <c r="C129" s="8">
        <v>44105</v>
      </c>
      <c r="D129" s="4" t="s">
        <v>175</v>
      </c>
      <c r="E129" s="14">
        <v>0.15310000000000001</v>
      </c>
      <c r="F129" s="7">
        <v>164</v>
      </c>
      <c r="G129" s="14">
        <v>0</v>
      </c>
      <c r="H129" s="7">
        <v>0</v>
      </c>
      <c r="I129" s="14">
        <v>0.15310000000000001</v>
      </c>
      <c r="J129" s="7">
        <v>164</v>
      </c>
    </row>
    <row r="130" spans="1:10" x14ac:dyDescent="0.2">
      <c r="A130" s="9">
        <v>44113</v>
      </c>
      <c r="B130" s="4" t="s">
        <v>222</v>
      </c>
      <c r="C130" s="8">
        <v>44105</v>
      </c>
      <c r="D130" s="4" t="s">
        <v>175</v>
      </c>
      <c r="E130" s="14">
        <v>0.23860000000000001</v>
      </c>
      <c r="F130" s="7">
        <v>255</v>
      </c>
      <c r="G130" s="14">
        <v>0</v>
      </c>
      <c r="H130" s="7">
        <v>0</v>
      </c>
      <c r="I130" s="14">
        <v>0.23860000000000001</v>
      </c>
      <c r="J130" s="7">
        <v>255</v>
      </c>
    </row>
    <row r="131" spans="1:10" x14ac:dyDescent="0.2">
      <c r="A131" s="9">
        <v>44116</v>
      </c>
      <c r="B131" s="4" t="s">
        <v>225</v>
      </c>
      <c r="C131" s="8">
        <v>44105</v>
      </c>
      <c r="D131" s="4" t="s">
        <v>175</v>
      </c>
      <c r="E131" s="14">
        <v>0.40139999999999998</v>
      </c>
      <c r="F131" s="7">
        <v>428</v>
      </c>
      <c r="G131" s="14">
        <v>0</v>
      </c>
      <c r="H131" s="7">
        <v>0</v>
      </c>
      <c r="I131" s="14">
        <v>0.40139999999999998</v>
      </c>
      <c r="J131" s="7">
        <v>428</v>
      </c>
    </row>
    <row r="132" spans="1:10" x14ac:dyDescent="0.2">
      <c r="A132" s="9">
        <v>44117</v>
      </c>
      <c r="B132" s="4" t="s">
        <v>223</v>
      </c>
      <c r="C132" s="8">
        <v>44105</v>
      </c>
      <c r="D132" s="4" t="s">
        <v>175</v>
      </c>
      <c r="E132" s="14">
        <v>0.16539999999999999</v>
      </c>
      <c r="F132" s="7">
        <v>176</v>
      </c>
      <c r="G132" s="14">
        <v>0</v>
      </c>
      <c r="H132" s="7">
        <v>0</v>
      </c>
      <c r="I132" s="14">
        <v>0.16539999999999999</v>
      </c>
      <c r="J132" s="7">
        <v>176</v>
      </c>
    </row>
    <row r="133" spans="1:10" x14ac:dyDescent="0.2">
      <c r="A133" s="9">
        <v>44118</v>
      </c>
      <c r="B133" s="4" t="s">
        <v>221</v>
      </c>
      <c r="C133" s="8">
        <v>44105</v>
      </c>
      <c r="D133" s="4" t="s">
        <v>175</v>
      </c>
      <c r="E133" s="14">
        <v>0.2122</v>
      </c>
      <c r="F133" s="7">
        <v>227</v>
      </c>
      <c r="G133" s="14">
        <v>0</v>
      </c>
      <c r="H133" s="7">
        <v>0</v>
      </c>
      <c r="I133" s="14">
        <v>0.2122</v>
      </c>
      <c r="J133" s="7">
        <v>227</v>
      </c>
    </row>
    <row r="134" spans="1:10" x14ac:dyDescent="0.2">
      <c r="A134" s="9">
        <v>44119</v>
      </c>
      <c r="B134" s="4" t="s">
        <v>224</v>
      </c>
      <c r="C134" s="8">
        <v>44105</v>
      </c>
      <c r="D134" s="4" t="s">
        <v>175</v>
      </c>
      <c r="E134" s="14">
        <v>0.2394</v>
      </c>
      <c r="F134" s="7">
        <v>257</v>
      </c>
      <c r="G134" s="14">
        <v>0</v>
      </c>
      <c r="H134" s="7">
        <v>0</v>
      </c>
      <c r="I134" s="14">
        <v>0.2394</v>
      </c>
      <c r="J134" s="7">
        <v>257</v>
      </c>
    </row>
    <row r="135" spans="1:10" x14ac:dyDescent="0.2">
      <c r="A135" s="9">
        <v>44120</v>
      </c>
      <c r="B135" s="4" t="s">
        <v>222</v>
      </c>
      <c r="C135" s="8">
        <v>44105</v>
      </c>
      <c r="D135" s="4" t="s">
        <v>175</v>
      </c>
      <c r="E135" s="14">
        <v>0.37969999999999998</v>
      </c>
      <c r="F135" s="7">
        <v>411</v>
      </c>
      <c r="G135" s="14">
        <v>0</v>
      </c>
      <c r="H135" s="7">
        <v>0</v>
      </c>
      <c r="I135" s="14">
        <v>0.37969999999999998</v>
      </c>
      <c r="J135" s="7">
        <v>411</v>
      </c>
    </row>
    <row r="136" spans="1:10" x14ac:dyDescent="0.2">
      <c r="A136" s="9">
        <v>44123</v>
      </c>
      <c r="B136" s="4" t="s">
        <v>225</v>
      </c>
      <c r="C136" s="8">
        <v>44105</v>
      </c>
      <c r="D136" s="4" t="s">
        <v>175</v>
      </c>
      <c r="E136" s="14">
        <v>0.41749999999999998</v>
      </c>
      <c r="F136" s="7">
        <v>448</v>
      </c>
      <c r="G136" s="14">
        <v>0</v>
      </c>
      <c r="H136" s="7">
        <v>0</v>
      </c>
      <c r="I136" s="14">
        <v>0.41749999999999998</v>
      </c>
      <c r="J136" s="7">
        <v>448</v>
      </c>
    </row>
    <row r="137" spans="1:10" x14ac:dyDescent="0.2">
      <c r="A137" s="9">
        <v>44124</v>
      </c>
      <c r="B137" s="4" t="s">
        <v>223</v>
      </c>
      <c r="C137" s="8">
        <v>44105</v>
      </c>
      <c r="D137" s="4" t="s">
        <v>175</v>
      </c>
      <c r="E137" s="14">
        <v>0.34620000000000001</v>
      </c>
      <c r="F137" s="7">
        <v>370</v>
      </c>
      <c r="G137" s="14">
        <v>0</v>
      </c>
      <c r="H137" s="7">
        <v>0</v>
      </c>
      <c r="I137" s="14">
        <v>0.34620000000000001</v>
      </c>
      <c r="J137" s="7">
        <v>370</v>
      </c>
    </row>
    <row r="138" spans="1:10" x14ac:dyDescent="0.2">
      <c r="A138" s="9">
        <v>44125</v>
      </c>
      <c r="B138" s="4" t="s">
        <v>221</v>
      </c>
      <c r="C138" s="8">
        <v>44105</v>
      </c>
      <c r="D138" s="4" t="s">
        <v>175</v>
      </c>
      <c r="E138" s="14">
        <v>0.57410000000000005</v>
      </c>
      <c r="F138" s="7">
        <v>614</v>
      </c>
      <c r="G138" s="14">
        <v>0</v>
      </c>
      <c r="H138" s="7">
        <v>0</v>
      </c>
      <c r="I138" s="14">
        <v>0.57410000000000005</v>
      </c>
      <c r="J138" s="7">
        <v>614</v>
      </c>
    </row>
    <row r="139" spans="1:10" x14ac:dyDescent="0.2">
      <c r="A139" s="9">
        <v>44126</v>
      </c>
      <c r="B139" s="4" t="s">
        <v>224</v>
      </c>
      <c r="C139" s="8">
        <v>44105</v>
      </c>
      <c r="D139" s="4" t="s">
        <v>175</v>
      </c>
      <c r="E139" s="14">
        <v>0.68959999999999999</v>
      </c>
      <c r="F139" s="7">
        <v>738</v>
      </c>
      <c r="G139" s="14">
        <v>0</v>
      </c>
      <c r="H139" s="7">
        <v>0</v>
      </c>
      <c r="I139" s="14">
        <v>0.68959999999999999</v>
      </c>
      <c r="J139" s="7">
        <v>738</v>
      </c>
    </row>
    <row r="140" spans="1:10" x14ac:dyDescent="0.2">
      <c r="A140" s="9">
        <v>44127</v>
      </c>
      <c r="B140" s="4" t="s">
        <v>222</v>
      </c>
      <c r="C140" s="8">
        <v>44105</v>
      </c>
      <c r="D140" s="4" t="s">
        <v>175</v>
      </c>
      <c r="E140" s="14">
        <v>0.39550000000000002</v>
      </c>
      <c r="F140" s="7">
        <v>421</v>
      </c>
      <c r="G140" s="14">
        <v>0</v>
      </c>
      <c r="H140" s="7">
        <v>0</v>
      </c>
      <c r="I140" s="14">
        <v>0.39550000000000002</v>
      </c>
      <c r="J140" s="7">
        <v>421</v>
      </c>
    </row>
    <row r="141" spans="1:10" x14ac:dyDescent="0.2">
      <c r="A141" s="9">
        <v>44130</v>
      </c>
      <c r="B141" s="4" t="s">
        <v>225</v>
      </c>
      <c r="C141" s="8">
        <v>44105</v>
      </c>
      <c r="D141" s="4" t="s">
        <v>175</v>
      </c>
      <c r="E141" s="14">
        <v>0.52180000000000004</v>
      </c>
      <c r="F141" s="7">
        <v>562</v>
      </c>
      <c r="G141" s="14">
        <v>0</v>
      </c>
      <c r="H141" s="7">
        <v>0</v>
      </c>
      <c r="I141" s="14">
        <v>0.52180000000000004</v>
      </c>
      <c r="J141" s="7">
        <v>562</v>
      </c>
    </row>
    <row r="142" spans="1:10" x14ac:dyDescent="0.2">
      <c r="A142" s="9">
        <v>44131</v>
      </c>
      <c r="B142" s="4" t="s">
        <v>223</v>
      </c>
      <c r="C142" s="8">
        <v>44105</v>
      </c>
      <c r="D142" s="4" t="s">
        <v>175</v>
      </c>
      <c r="E142" s="14">
        <v>0.16819999999999999</v>
      </c>
      <c r="F142" s="7">
        <v>181</v>
      </c>
      <c r="G142" s="14">
        <v>0</v>
      </c>
      <c r="H142" s="7">
        <v>0</v>
      </c>
      <c r="I142" s="14">
        <v>0.16819999999999999</v>
      </c>
      <c r="J142" s="7">
        <v>181</v>
      </c>
    </row>
    <row r="143" spans="1:10" x14ac:dyDescent="0.2">
      <c r="A143" s="9">
        <v>44132</v>
      </c>
      <c r="B143" s="4" t="s">
        <v>221</v>
      </c>
      <c r="C143" s="8">
        <v>44105</v>
      </c>
      <c r="D143" s="4" t="s">
        <v>175</v>
      </c>
      <c r="E143" s="14">
        <v>0.2346</v>
      </c>
      <c r="F143" s="7">
        <v>253</v>
      </c>
      <c r="G143" s="14">
        <v>0</v>
      </c>
      <c r="H143" s="7">
        <v>0</v>
      </c>
      <c r="I143" s="14">
        <v>0.2346</v>
      </c>
      <c r="J143" s="7">
        <v>253</v>
      </c>
    </row>
    <row r="144" spans="1:10" x14ac:dyDescent="0.2">
      <c r="A144" s="9">
        <v>44133</v>
      </c>
      <c r="B144" s="4" t="s">
        <v>224</v>
      </c>
      <c r="C144" s="8">
        <v>44105</v>
      </c>
      <c r="D144" s="4" t="s">
        <v>175</v>
      </c>
      <c r="E144" s="14">
        <v>0.2301</v>
      </c>
      <c r="F144" s="7">
        <v>251</v>
      </c>
      <c r="G144" s="14">
        <v>0</v>
      </c>
      <c r="H144" s="7">
        <v>0</v>
      </c>
      <c r="I144" s="14">
        <v>0.2301</v>
      </c>
      <c r="J144" s="7">
        <v>251</v>
      </c>
    </row>
    <row r="145" spans="1:10" x14ac:dyDescent="0.2">
      <c r="A145" s="9">
        <v>44134</v>
      </c>
      <c r="B145" s="4" t="s">
        <v>222</v>
      </c>
      <c r="C145" s="8">
        <v>44105</v>
      </c>
      <c r="D145" s="4" t="s">
        <v>175</v>
      </c>
      <c r="E145" s="14">
        <v>0.64610000000000001</v>
      </c>
      <c r="F145" s="7">
        <v>707</v>
      </c>
      <c r="G145" s="14">
        <v>0</v>
      </c>
      <c r="H145" s="7">
        <v>0</v>
      </c>
      <c r="I145" s="14">
        <v>0.64610000000000001</v>
      </c>
      <c r="J145" s="7">
        <v>707</v>
      </c>
    </row>
    <row r="146" spans="1:10" x14ac:dyDescent="0.2">
      <c r="A146" s="9">
        <v>44137</v>
      </c>
      <c r="B146" s="4" t="s">
        <v>225</v>
      </c>
      <c r="C146" s="8">
        <v>44136</v>
      </c>
      <c r="D146" s="4" t="s">
        <v>175</v>
      </c>
      <c r="E146" s="14">
        <v>0.70250000000000001</v>
      </c>
      <c r="F146" s="7">
        <v>769</v>
      </c>
      <c r="G146" s="14">
        <v>0</v>
      </c>
      <c r="H146" s="7">
        <v>0</v>
      </c>
      <c r="I146" s="14">
        <v>0.70250000000000001</v>
      </c>
      <c r="J146" s="7">
        <v>769</v>
      </c>
    </row>
    <row r="147" spans="1:10" x14ac:dyDescent="0.2">
      <c r="A147" s="9">
        <v>44138</v>
      </c>
      <c r="B147" s="4" t="s">
        <v>223</v>
      </c>
      <c r="C147" s="8">
        <v>44136</v>
      </c>
      <c r="D147" s="4" t="s">
        <v>175</v>
      </c>
      <c r="E147" s="14">
        <v>0.18440000000000001</v>
      </c>
      <c r="F147" s="7">
        <v>199</v>
      </c>
      <c r="G147" s="14">
        <v>0</v>
      </c>
      <c r="H147" s="7">
        <v>0</v>
      </c>
      <c r="I147" s="14">
        <v>0.18440000000000001</v>
      </c>
      <c r="J147" s="7">
        <v>199</v>
      </c>
    </row>
    <row r="148" spans="1:10" x14ac:dyDescent="0.2">
      <c r="A148" s="9">
        <v>44139</v>
      </c>
      <c r="B148" s="4" t="s">
        <v>221</v>
      </c>
      <c r="C148" s="8">
        <v>44136</v>
      </c>
      <c r="D148" s="4" t="s">
        <v>175</v>
      </c>
      <c r="E148" s="14">
        <v>0.29620000000000002</v>
      </c>
      <c r="F148" s="7">
        <v>318</v>
      </c>
      <c r="G148" s="14">
        <v>0</v>
      </c>
      <c r="H148" s="7">
        <v>0</v>
      </c>
      <c r="I148" s="14">
        <v>0.29620000000000002</v>
      </c>
      <c r="J148" s="7">
        <v>318</v>
      </c>
    </row>
    <row r="149" spans="1:10" x14ac:dyDescent="0.2">
      <c r="A149" s="9">
        <v>44140</v>
      </c>
      <c r="B149" s="4" t="s">
        <v>224</v>
      </c>
      <c r="C149" s="8">
        <v>44136</v>
      </c>
      <c r="D149" s="4" t="s">
        <v>175</v>
      </c>
      <c r="E149" s="14">
        <v>0.1111</v>
      </c>
      <c r="F149" s="7">
        <v>117</v>
      </c>
      <c r="G149" s="14">
        <v>0</v>
      </c>
      <c r="H149" s="7">
        <v>0</v>
      </c>
      <c r="I149" s="14">
        <v>0.1111</v>
      </c>
      <c r="J149" s="7">
        <v>117</v>
      </c>
    </row>
    <row r="150" spans="1:10" x14ac:dyDescent="0.2">
      <c r="A150" s="9">
        <v>44141</v>
      </c>
      <c r="B150" s="4" t="s">
        <v>222</v>
      </c>
      <c r="C150" s="8">
        <v>44136</v>
      </c>
      <c r="D150" s="4" t="s">
        <v>175</v>
      </c>
      <c r="E150" s="14">
        <v>0.2263</v>
      </c>
      <c r="F150" s="7">
        <v>236</v>
      </c>
      <c r="G150" s="14">
        <v>0</v>
      </c>
      <c r="H150" s="7">
        <v>0</v>
      </c>
      <c r="I150" s="14">
        <v>0.2263</v>
      </c>
      <c r="J150" s="7">
        <v>236</v>
      </c>
    </row>
    <row r="151" spans="1:10" x14ac:dyDescent="0.2">
      <c r="A151" s="9">
        <v>44144</v>
      </c>
      <c r="B151" s="4" t="s">
        <v>225</v>
      </c>
      <c r="C151" s="8">
        <v>44136</v>
      </c>
      <c r="D151" s="4" t="s">
        <v>175</v>
      </c>
      <c r="E151" s="14">
        <v>0.1598</v>
      </c>
      <c r="F151" s="7">
        <v>164</v>
      </c>
      <c r="G151" s="14">
        <v>0</v>
      </c>
      <c r="H151" s="7">
        <v>0</v>
      </c>
      <c r="I151" s="14">
        <v>0.1598</v>
      </c>
      <c r="J151" s="7">
        <v>164</v>
      </c>
    </row>
    <row r="152" spans="1:10" x14ac:dyDescent="0.2">
      <c r="A152" s="9">
        <v>44145</v>
      </c>
      <c r="B152" s="4" t="s">
        <v>223</v>
      </c>
      <c r="C152" s="8">
        <v>44136</v>
      </c>
      <c r="D152" s="4" t="s">
        <v>175</v>
      </c>
      <c r="E152" s="14">
        <v>0.15790000000000001</v>
      </c>
      <c r="F152" s="7">
        <v>160</v>
      </c>
      <c r="G152" s="14">
        <v>0</v>
      </c>
      <c r="H152" s="7">
        <v>0</v>
      </c>
      <c r="I152" s="14">
        <v>0.15790000000000001</v>
      </c>
      <c r="J152" s="7">
        <v>160</v>
      </c>
    </row>
    <row r="153" spans="1:10" x14ac:dyDescent="0.2">
      <c r="A153" s="9">
        <v>44146</v>
      </c>
      <c r="B153" s="4" t="s">
        <v>221</v>
      </c>
      <c r="C153" s="8">
        <v>44136</v>
      </c>
      <c r="D153" s="4" t="s">
        <v>175</v>
      </c>
      <c r="E153" s="14">
        <v>0.24379999999999999</v>
      </c>
      <c r="F153" s="7">
        <v>245</v>
      </c>
      <c r="G153" s="14">
        <v>0</v>
      </c>
      <c r="H153" s="7">
        <v>0</v>
      </c>
      <c r="I153" s="14">
        <v>0.24379999999999999</v>
      </c>
      <c r="J153" s="7">
        <v>245</v>
      </c>
    </row>
    <row r="154" spans="1:10" x14ac:dyDescent="0.2">
      <c r="A154" s="9">
        <v>44147</v>
      </c>
      <c r="B154" s="4" t="s">
        <v>224</v>
      </c>
      <c r="C154" s="8">
        <v>44136</v>
      </c>
      <c r="D154" s="4" t="s">
        <v>175</v>
      </c>
      <c r="E154" s="14">
        <v>0.29370000000000002</v>
      </c>
      <c r="F154" s="7">
        <v>295</v>
      </c>
      <c r="G154" s="14">
        <v>0</v>
      </c>
      <c r="H154" s="7">
        <v>0</v>
      </c>
      <c r="I154" s="14">
        <v>0.29370000000000002</v>
      </c>
      <c r="J154" s="7">
        <v>295</v>
      </c>
    </row>
    <row r="155" spans="1:10" x14ac:dyDescent="0.2">
      <c r="A155" s="9">
        <v>44148</v>
      </c>
      <c r="B155" s="4" t="s">
        <v>222</v>
      </c>
      <c r="C155" s="8">
        <v>44136</v>
      </c>
      <c r="D155" s="4" t="s">
        <v>175</v>
      </c>
      <c r="E155" s="14">
        <v>0.37440000000000001</v>
      </c>
      <c r="F155" s="7">
        <v>376</v>
      </c>
      <c r="G155" s="14">
        <v>0</v>
      </c>
      <c r="H155" s="7">
        <v>0</v>
      </c>
      <c r="I155" s="14">
        <v>0.37440000000000001</v>
      </c>
      <c r="J155" s="7">
        <v>376</v>
      </c>
    </row>
    <row r="156" spans="1:10" x14ac:dyDescent="0.2">
      <c r="A156" s="9">
        <v>44149</v>
      </c>
      <c r="B156" s="4" t="s">
        <v>226</v>
      </c>
      <c r="C156" s="8">
        <v>44136</v>
      </c>
      <c r="D156" s="4" t="s">
        <v>175</v>
      </c>
      <c r="E156" s="14">
        <v>0</v>
      </c>
      <c r="F156" s="7">
        <v>0</v>
      </c>
      <c r="G156" s="14">
        <v>0</v>
      </c>
      <c r="H156" s="7">
        <v>0</v>
      </c>
      <c r="I156" s="14">
        <v>0</v>
      </c>
      <c r="J156" s="7">
        <v>0</v>
      </c>
    </row>
    <row r="157" spans="1:10" x14ac:dyDescent="0.2">
      <c r="A157" s="9">
        <v>44152</v>
      </c>
      <c r="B157" s="4" t="s">
        <v>223</v>
      </c>
      <c r="C157" s="8">
        <v>44136</v>
      </c>
      <c r="D157" s="4" t="s">
        <v>175</v>
      </c>
      <c r="E157" s="14">
        <v>0.1633</v>
      </c>
      <c r="F157" s="7">
        <v>162</v>
      </c>
      <c r="G157" s="14">
        <v>0</v>
      </c>
      <c r="H157" s="7">
        <v>0</v>
      </c>
      <c r="I157" s="14">
        <v>0.1633</v>
      </c>
      <c r="J157" s="7">
        <v>162</v>
      </c>
    </row>
    <row r="158" spans="1:10" x14ac:dyDescent="0.2">
      <c r="A158" s="9">
        <v>44153</v>
      </c>
      <c r="B158" s="4" t="s">
        <v>221</v>
      </c>
      <c r="C158" s="8">
        <v>44136</v>
      </c>
      <c r="D158" s="4" t="s">
        <v>175</v>
      </c>
      <c r="E158" s="14">
        <v>0.2296</v>
      </c>
      <c r="F158" s="7">
        <v>227</v>
      </c>
      <c r="G158" s="14">
        <v>0</v>
      </c>
      <c r="H158" s="7">
        <v>0</v>
      </c>
      <c r="I158" s="14">
        <v>0.2296</v>
      </c>
      <c r="J158" s="7">
        <v>227</v>
      </c>
    </row>
    <row r="159" spans="1:10" x14ac:dyDescent="0.2">
      <c r="A159" s="9">
        <v>44154</v>
      </c>
      <c r="B159" s="4" t="s">
        <v>224</v>
      </c>
      <c r="C159" s="8">
        <v>44136</v>
      </c>
      <c r="D159" s="4" t="s">
        <v>175</v>
      </c>
      <c r="E159" s="14">
        <v>0.39879999999999999</v>
      </c>
      <c r="F159" s="7">
        <v>395</v>
      </c>
      <c r="G159" s="14">
        <v>0</v>
      </c>
      <c r="H159" s="7">
        <v>0</v>
      </c>
      <c r="I159" s="14">
        <v>0.39879999999999999</v>
      </c>
      <c r="J159" s="7">
        <v>395</v>
      </c>
    </row>
    <row r="160" spans="1:10" x14ac:dyDescent="0.2">
      <c r="A160" s="9">
        <v>44155</v>
      </c>
      <c r="B160" s="4" t="s">
        <v>222</v>
      </c>
      <c r="C160" s="8">
        <v>44136</v>
      </c>
      <c r="D160" s="4" t="s">
        <v>175</v>
      </c>
      <c r="E160" s="14">
        <v>0.54920000000000002</v>
      </c>
      <c r="F160" s="7">
        <v>546</v>
      </c>
      <c r="G160" s="14">
        <v>0</v>
      </c>
      <c r="H160" s="7">
        <v>0</v>
      </c>
      <c r="I160" s="14">
        <v>0.54920000000000002</v>
      </c>
      <c r="J160" s="7">
        <v>546</v>
      </c>
    </row>
    <row r="161" spans="1:10" x14ac:dyDescent="0.2">
      <c r="A161" s="9">
        <v>44158</v>
      </c>
      <c r="B161" s="4" t="s">
        <v>225</v>
      </c>
      <c r="C161" s="8">
        <v>44136</v>
      </c>
      <c r="D161" s="4" t="s">
        <v>175</v>
      </c>
      <c r="E161" s="14">
        <v>0.44640000000000002</v>
      </c>
      <c r="F161" s="7">
        <v>441</v>
      </c>
      <c r="G161" s="14">
        <v>0</v>
      </c>
      <c r="H161" s="7">
        <v>0</v>
      </c>
      <c r="I161" s="14">
        <v>0.44640000000000002</v>
      </c>
      <c r="J161" s="7">
        <v>441</v>
      </c>
    </row>
    <row r="162" spans="1:10" x14ac:dyDescent="0.2">
      <c r="A162" s="9">
        <v>44159</v>
      </c>
      <c r="B162" s="4" t="s">
        <v>223</v>
      </c>
      <c r="C162" s="8">
        <v>44136</v>
      </c>
      <c r="D162" s="4" t="s">
        <v>175</v>
      </c>
      <c r="E162" s="14">
        <v>8.9899999999999994E-2</v>
      </c>
      <c r="F162" s="7">
        <v>88</v>
      </c>
      <c r="G162" s="14">
        <v>0</v>
      </c>
      <c r="H162" s="7">
        <v>0</v>
      </c>
      <c r="I162" s="14">
        <v>8.9899999999999994E-2</v>
      </c>
      <c r="J162" s="7">
        <v>88</v>
      </c>
    </row>
    <row r="163" spans="1:10" x14ac:dyDescent="0.2">
      <c r="A163" s="9">
        <v>44160</v>
      </c>
      <c r="B163" s="4" t="s">
        <v>221</v>
      </c>
      <c r="C163" s="8">
        <v>44136</v>
      </c>
      <c r="D163" s="4" t="s">
        <v>175</v>
      </c>
      <c r="E163" s="14">
        <v>0.2596</v>
      </c>
      <c r="F163" s="7">
        <v>255</v>
      </c>
      <c r="G163" s="14">
        <v>0</v>
      </c>
      <c r="H163" s="7">
        <v>0</v>
      </c>
      <c r="I163" s="14">
        <v>0.2596</v>
      </c>
      <c r="J163" s="7">
        <v>255</v>
      </c>
    </row>
    <row r="164" spans="1:10" x14ac:dyDescent="0.2">
      <c r="A164" s="9">
        <v>44161</v>
      </c>
      <c r="B164" s="4" t="s">
        <v>224</v>
      </c>
      <c r="C164" s="8">
        <v>44136</v>
      </c>
      <c r="D164" s="4" t="s">
        <v>175</v>
      </c>
      <c r="E164" s="14">
        <v>0.4012</v>
      </c>
      <c r="F164" s="7">
        <v>397</v>
      </c>
      <c r="G164" s="14">
        <v>0</v>
      </c>
      <c r="H164" s="7">
        <v>0</v>
      </c>
      <c r="I164" s="14">
        <v>0.4012</v>
      </c>
      <c r="J164" s="7">
        <v>397</v>
      </c>
    </row>
    <row r="165" spans="1:10" x14ac:dyDescent="0.2">
      <c r="A165" s="9">
        <v>44162</v>
      </c>
      <c r="B165" s="4" t="s">
        <v>222</v>
      </c>
      <c r="C165" s="8">
        <v>44136</v>
      </c>
      <c r="D165" s="4" t="s">
        <v>175</v>
      </c>
      <c r="E165" s="14">
        <v>0.3644</v>
      </c>
      <c r="F165" s="7">
        <v>358</v>
      </c>
      <c r="G165" s="14">
        <v>0</v>
      </c>
      <c r="H165" s="7">
        <v>0</v>
      </c>
      <c r="I165" s="14">
        <v>0.3644</v>
      </c>
      <c r="J165" s="7">
        <v>358</v>
      </c>
    </row>
    <row r="166" spans="1:10" x14ac:dyDescent="0.2">
      <c r="A166" s="9">
        <v>44166</v>
      </c>
      <c r="B166" s="4" t="s">
        <v>223</v>
      </c>
      <c r="C166" s="8">
        <v>44166</v>
      </c>
      <c r="D166" s="4" t="s">
        <v>175</v>
      </c>
      <c r="E166" s="14">
        <v>0.10150000000000001</v>
      </c>
      <c r="F166" s="7">
        <v>99</v>
      </c>
      <c r="G166" s="14">
        <v>0</v>
      </c>
      <c r="H166" s="7">
        <v>0</v>
      </c>
      <c r="I166" s="14">
        <v>0.10150000000000001</v>
      </c>
      <c r="J166" s="7">
        <v>99</v>
      </c>
    </row>
    <row r="167" spans="1:10" x14ac:dyDescent="0.2">
      <c r="A167" s="9">
        <v>44167</v>
      </c>
      <c r="B167" s="4" t="s">
        <v>221</v>
      </c>
      <c r="C167" s="8">
        <v>44166</v>
      </c>
      <c r="D167" s="4" t="s">
        <v>175</v>
      </c>
      <c r="E167" s="14">
        <v>0.27650000000000002</v>
      </c>
      <c r="F167" s="7">
        <v>269</v>
      </c>
      <c r="G167" s="14">
        <v>0</v>
      </c>
      <c r="H167" s="7">
        <v>0</v>
      </c>
      <c r="I167" s="14">
        <v>0.27650000000000002</v>
      </c>
      <c r="J167" s="7">
        <v>269</v>
      </c>
    </row>
    <row r="168" spans="1:10" x14ac:dyDescent="0.2">
      <c r="A168" s="9">
        <v>44168</v>
      </c>
      <c r="B168" s="4" t="s">
        <v>224</v>
      </c>
      <c r="C168" s="8">
        <v>44166</v>
      </c>
      <c r="D168" s="4" t="s">
        <v>175</v>
      </c>
      <c r="E168" s="14">
        <v>0.158</v>
      </c>
      <c r="F168" s="7">
        <v>153</v>
      </c>
      <c r="G168" s="14">
        <v>0</v>
      </c>
      <c r="H168" s="7">
        <v>0</v>
      </c>
      <c r="I168" s="14">
        <v>0.158</v>
      </c>
      <c r="J168" s="7">
        <v>153</v>
      </c>
    </row>
    <row r="169" spans="1:10" x14ac:dyDescent="0.2">
      <c r="A169" s="9">
        <v>44169</v>
      </c>
      <c r="B169" s="4" t="s">
        <v>222</v>
      </c>
      <c r="C169" s="8">
        <v>44166</v>
      </c>
      <c r="D169" s="4" t="s">
        <v>175</v>
      </c>
      <c r="E169" s="14">
        <v>0.1671</v>
      </c>
      <c r="F169" s="7">
        <v>161</v>
      </c>
      <c r="G169" s="14">
        <v>0</v>
      </c>
      <c r="H169" s="7">
        <v>0</v>
      </c>
      <c r="I169" s="14">
        <v>0.1671</v>
      </c>
      <c r="J169" s="7">
        <v>161</v>
      </c>
    </row>
    <row r="170" spans="1:10" x14ac:dyDescent="0.2">
      <c r="A170" s="9">
        <v>44172</v>
      </c>
      <c r="B170" s="4" t="s">
        <v>225</v>
      </c>
      <c r="C170" s="8">
        <v>44166</v>
      </c>
      <c r="D170" s="4" t="s">
        <v>175</v>
      </c>
      <c r="E170" s="14">
        <v>0.30409999999999998</v>
      </c>
      <c r="F170" s="7">
        <v>291</v>
      </c>
      <c r="G170" s="14">
        <v>0</v>
      </c>
      <c r="H170" s="7">
        <v>0</v>
      </c>
      <c r="I170" s="14">
        <v>0.30409999999999998</v>
      </c>
      <c r="J170" s="7">
        <v>291</v>
      </c>
    </row>
    <row r="171" spans="1:10" x14ac:dyDescent="0.2">
      <c r="A171" s="9">
        <v>44173</v>
      </c>
      <c r="B171" s="4" t="s">
        <v>223</v>
      </c>
      <c r="C171" s="8">
        <v>44166</v>
      </c>
      <c r="D171" s="4" t="s">
        <v>175</v>
      </c>
      <c r="E171" s="14">
        <v>0.2271</v>
      </c>
      <c r="F171" s="7">
        <v>216</v>
      </c>
      <c r="G171" s="14">
        <v>0</v>
      </c>
      <c r="H171" s="7">
        <v>0</v>
      </c>
      <c r="I171" s="14">
        <v>0.2271</v>
      </c>
      <c r="J171" s="7">
        <v>216</v>
      </c>
    </row>
    <row r="172" spans="1:10" x14ac:dyDescent="0.2">
      <c r="A172" s="9">
        <v>44174</v>
      </c>
      <c r="B172" s="4" t="s">
        <v>221</v>
      </c>
      <c r="C172" s="8">
        <v>44166</v>
      </c>
      <c r="D172" s="4" t="s">
        <v>175</v>
      </c>
      <c r="E172" s="14">
        <v>0.13039999999999999</v>
      </c>
      <c r="F172" s="7">
        <v>123</v>
      </c>
      <c r="G172" s="14">
        <v>0</v>
      </c>
      <c r="H172" s="7">
        <v>0</v>
      </c>
      <c r="I172" s="14">
        <v>0.13039999999999999</v>
      </c>
      <c r="J172" s="7">
        <v>123</v>
      </c>
    </row>
    <row r="173" spans="1:10" x14ac:dyDescent="0.2">
      <c r="A173" s="9">
        <v>44175</v>
      </c>
      <c r="B173" s="4" t="s">
        <v>224</v>
      </c>
      <c r="C173" s="8">
        <v>44166</v>
      </c>
      <c r="D173" s="4" t="s">
        <v>175</v>
      </c>
      <c r="E173" s="14">
        <v>0.20050000000000001</v>
      </c>
      <c r="F173" s="7">
        <v>190</v>
      </c>
      <c r="G173" s="14">
        <v>0</v>
      </c>
      <c r="H173" s="7">
        <v>0</v>
      </c>
      <c r="I173" s="14">
        <v>0.20050000000000001</v>
      </c>
      <c r="J173" s="7">
        <v>190</v>
      </c>
    </row>
    <row r="174" spans="1:10" x14ac:dyDescent="0.2">
      <c r="A174" s="9">
        <v>44176</v>
      </c>
      <c r="B174" s="4" t="s">
        <v>222</v>
      </c>
      <c r="C174" s="8">
        <v>44166</v>
      </c>
      <c r="D174" s="4" t="s">
        <v>175</v>
      </c>
      <c r="E174" s="14">
        <v>0.31309999999999999</v>
      </c>
      <c r="F174" s="7">
        <v>295</v>
      </c>
      <c r="G174" s="14">
        <v>0</v>
      </c>
      <c r="H174" s="7">
        <v>0</v>
      </c>
      <c r="I174" s="14">
        <v>0.31309999999999999</v>
      </c>
      <c r="J174" s="7">
        <v>295</v>
      </c>
    </row>
    <row r="175" spans="1:10" x14ac:dyDescent="0.2">
      <c r="A175" s="9">
        <v>44179</v>
      </c>
      <c r="B175" s="4" t="s">
        <v>225</v>
      </c>
      <c r="C175" s="8">
        <v>44166</v>
      </c>
      <c r="D175" s="4" t="s">
        <v>175</v>
      </c>
      <c r="E175" s="14">
        <v>0.3826</v>
      </c>
      <c r="F175" s="7">
        <v>360</v>
      </c>
      <c r="G175" s="14">
        <v>0</v>
      </c>
      <c r="H175" s="7">
        <v>0</v>
      </c>
      <c r="I175" s="14">
        <v>0.3826</v>
      </c>
      <c r="J175" s="7">
        <v>360</v>
      </c>
    </row>
    <row r="176" spans="1:10" x14ac:dyDescent="0.2">
      <c r="A176" s="9">
        <v>44180</v>
      </c>
      <c r="B176" s="4" t="s">
        <v>223</v>
      </c>
      <c r="C176" s="8">
        <v>44166</v>
      </c>
      <c r="D176" s="4" t="s">
        <v>175</v>
      </c>
      <c r="E176" s="14">
        <v>0.15379999999999999</v>
      </c>
      <c r="F176" s="7">
        <v>145</v>
      </c>
      <c r="G176" s="14">
        <v>0</v>
      </c>
      <c r="H176" s="7">
        <v>0</v>
      </c>
      <c r="I176" s="14">
        <v>0.15379999999999999</v>
      </c>
      <c r="J176" s="7">
        <v>145</v>
      </c>
    </row>
    <row r="177" spans="1:10" x14ac:dyDescent="0.2">
      <c r="A177" s="9">
        <v>44181</v>
      </c>
      <c r="B177" s="4" t="s">
        <v>221</v>
      </c>
      <c r="C177" s="8">
        <v>44166</v>
      </c>
      <c r="D177" s="4" t="s">
        <v>175</v>
      </c>
      <c r="E177" s="14">
        <v>0.12659999999999999</v>
      </c>
      <c r="F177" s="7">
        <v>118</v>
      </c>
      <c r="G177" s="14">
        <v>0</v>
      </c>
      <c r="H177" s="7">
        <v>0</v>
      </c>
      <c r="I177" s="14">
        <v>0.12659999999999999</v>
      </c>
      <c r="J177" s="7">
        <v>118</v>
      </c>
    </row>
    <row r="178" spans="1:10" x14ac:dyDescent="0.2">
      <c r="A178" s="9">
        <v>44182</v>
      </c>
      <c r="B178" s="4" t="s">
        <v>224</v>
      </c>
      <c r="C178" s="8">
        <v>44166</v>
      </c>
      <c r="D178" s="4" t="s">
        <v>175</v>
      </c>
      <c r="E178" s="14">
        <v>7.1099999999999997E-2</v>
      </c>
      <c r="F178" s="7">
        <v>66</v>
      </c>
      <c r="G178" s="14">
        <v>0</v>
      </c>
      <c r="H178" s="7">
        <v>0</v>
      </c>
      <c r="I178" s="14">
        <v>7.1099999999999997E-2</v>
      </c>
      <c r="J178" s="7">
        <v>66</v>
      </c>
    </row>
    <row r="179" spans="1:10" x14ac:dyDescent="0.2">
      <c r="A179" s="9">
        <v>44183</v>
      </c>
      <c r="B179" s="4" t="s">
        <v>222</v>
      </c>
      <c r="C179" s="8">
        <v>44166</v>
      </c>
      <c r="D179" s="4" t="s">
        <v>175</v>
      </c>
      <c r="E179" s="14">
        <v>0.15620000000000001</v>
      </c>
      <c r="F179" s="7">
        <v>145</v>
      </c>
      <c r="G179" s="14">
        <v>0</v>
      </c>
      <c r="H179" s="7">
        <v>0</v>
      </c>
      <c r="I179" s="14">
        <v>0.15620000000000001</v>
      </c>
      <c r="J179" s="7">
        <v>145</v>
      </c>
    </row>
    <row r="180" spans="1:10" x14ac:dyDescent="0.2">
      <c r="A180" s="9">
        <v>44186</v>
      </c>
      <c r="B180" s="4" t="s">
        <v>225</v>
      </c>
      <c r="C180" s="8">
        <v>44166</v>
      </c>
      <c r="D180" s="4" t="s">
        <v>175</v>
      </c>
      <c r="E180" s="14">
        <v>0.4486</v>
      </c>
      <c r="F180" s="7">
        <v>423</v>
      </c>
      <c r="G180" s="14">
        <v>0</v>
      </c>
      <c r="H180" s="7">
        <v>0</v>
      </c>
      <c r="I180" s="14">
        <v>0.4486</v>
      </c>
      <c r="J180" s="7">
        <v>423</v>
      </c>
    </row>
    <row r="181" spans="1:10" x14ac:dyDescent="0.2">
      <c r="A181" s="9">
        <v>44187</v>
      </c>
      <c r="B181" s="4" t="s">
        <v>223</v>
      </c>
      <c r="C181" s="8">
        <v>44166</v>
      </c>
      <c r="D181" s="4" t="s">
        <v>175</v>
      </c>
      <c r="E181" s="14">
        <v>0.75870000000000004</v>
      </c>
      <c r="F181" s="7">
        <v>726</v>
      </c>
      <c r="G181" s="14">
        <v>0</v>
      </c>
      <c r="H181" s="7">
        <v>0</v>
      </c>
      <c r="I181" s="14">
        <v>0.75870000000000004</v>
      </c>
      <c r="J181" s="7">
        <v>726</v>
      </c>
    </row>
    <row r="182" spans="1:10" x14ac:dyDescent="0.2">
      <c r="A182" s="9">
        <v>44188</v>
      </c>
      <c r="B182" s="4" t="s">
        <v>221</v>
      </c>
      <c r="C182" s="8">
        <v>44166</v>
      </c>
      <c r="D182" s="4" t="s">
        <v>175</v>
      </c>
      <c r="E182" s="14">
        <v>0.1787</v>
      </c>
      <c r="F182" s="7">
        <v>168</v>
      </c>
      <c r="G182" s="14">
        <v>0</v>
      </c>
      <c r="H182" s="7">
        <v>0</v>
      </c>
      <c r="I182" s="14">
        <v>0.1787</v>
      </c>
      <c r="J182" s="7">
        <v>168</v>
      </c>
    </row>
    <row r="183" spans="1:10" x14ac:dyDescent="0.2">
      <c r="A183" s="9">
        <v>44189</v>
      </c>
      <c r="B183" s="4" t="s">
        <v>224</v>
      </c>
      <c r="C183" s="8">
        <v>44166</v>
      </c>
      <c r="D183" s="4" t="s">
        <v>175</v>
      </c>
      <c r="E183" s="14">
        <v>0.15809999999999999</v>
      </c>
      <c r="F183" s="7">
        <v>147</v>
      </c>
      <c r="G183" s="14">
        <v>0</v>
      </c>
      <c r="H183" s="7">
        <v>0</v>
      </c>
      <c r="I183" s="14">
        <v>0.15809999999999999</v>
      </c>
      <c r="J183" s="7">
        <v>147</v>
      </c>
    </row>
    <row r="184" spans="1:10" x14ac:dyDescent="0.2">
      <c r="A184" s="9">
        <v>44193</v>
      </c>
      <c r="B184" s="4" t="s">
        <v>225</v>
      </c>
      <c r="C184" s="8">
        <v>44166</v>
      </c>
      <c r="D184" s="4" t="s">
        <v>175</v>
      </c>
      <c r="E184" s="14">
        <v>9.9000000000000005E-2</v>
      </c>
      <c r="F184" s="7">
        <v>91</v>
      </c>
      <c r="G184" s="14">
        <v>0</v>
      </c>
      <c r="H184" s="7">
        <v>0</v>
      </c>
      <c r="I184" s="14">
        <v>9.9000000000000005E-2</v>
      </c>
      <c r="J184" s="7">
        <v>91</v>
      </c>
    </row>
    <row r="185" spans="1:10" x14ac:dyDescent="0.2">
      <c r="A185" s="9">
        <v>44194</v>
      </c>
      <c r="B185" s="4" t="s">
        <v>223</v>
      </c>
      <c r="C185" s="8">
        <v>44166</v>
      </c>
      <c r="D185" s="4" t="s">
        <v>175</v>
      </c>
      <c r="E185" s="14">
        <v>4.48E-2</v>
      </c>
      <c r="F185" s="7">
        <v>41</v>
      </c>
      <c r="G185" s="14">
        <v>0</v>
      </c>
      <c r="H185" s="7">
        <v>0</v>
      </c>
      <c r="I185" s="14">
        <v>4.48E-2</v>
      </c>
      <c r="J185" s="7">
        <v>41</v>
      </c>
    </row>
    <row r="186" spans="1:10" x14ac:dyDescent="0.2">
      <c r="A186" s="9">
        <v>44195</v>
      </c>
      <c r="B186" s="4" t="s">
        <v>221</v>
      </c>
      <c r="C186" s="8">
        <v>44166</v>
      </c>
      <c r="D186" s="4" t="s">
        <v>175</v>
      </c>
      <c r="E186" s="14">
        <v>0.18959999999999999</v>
      </c>
      <c r="F186" s="7">
        <v>173</v>
      </c>
      <c r="G186" s="14">
        <v>0</v>
      </c>
      <c r="H186" s="7">
        <v>0</v>
      </c>
      <c r="I186" s="14">
        <v>0.18959999999999999</v>
      </c>
      <c r="J186" s="7">
        <v>173</v>
      </c>
    </row>
    <row r="187" spans="1:10" x14ac:dyDescent="0.2">
      <c r="A187" s="9">
        <v>44196</v>
      </c>
      <c r="B187" s="4" t="s">
        <v>224</v>
      </c>
      <c r="C187" s="8">
        <v>44166</v>
      </c>
      <c r="D187" s="4" t="s">
        <v>175</v>
      </c>
      <c r="E187" s="14">
        <v>0.1923</v>
      </c>
      <c r="F187" s="7">
        <v>175</v>
      </c>
      <c r="G187" s="14">
        <v>0</v>
      </c>
      <c r="H187" s="7">
        <v>0</v>
      </c>
      <c r="I187" s="14">
        <v>0.1923</v>
      </c>
      <c r="J187" s="7">
        <v>175</v>
      </c>
    </row>
    <row r="188" spans="1:10" x14ac:dyDescent="0.2">
      <c r="A188" s="9">
        <v>44197</v>
      </c>
      <c r="B188" s="4" t="s">
        <v>222</v>
      </c>
      <c r="C188" s="8">
        <v>44197</v>
      </c>
      <c r="D188" s="4" t="s">
        <v>176</v>
      </c>
      <c r="E188" s="14">
        <v>0.18840000000000001</v>
      </c>
      <c r="F188" s="7">
        <v>171</v>
      </c>
      <c r="G188" s="14">
        <v>0</v>
      </c>
      <c r="H188" s="7">
        <v>0</v>
      </c>
      <c r="I188" s="14">
        <v>0.18840000000000001</v>
      </c>
      <c r="J188" s="7">
        <v>171</v>
      </c>
    </row>
    <row r="189" spans="1:10" x14ac:dyDescent="0.2">
      <c r="A189" s="9">
        <v>44200</v>
      </c>
      <c r="B189" s="4" t="s">
        <v>225</v>
      </c>
      <c r="C189" s="8">
        <v>44197</v>
      </c>
      <c r="D189" s="4" t="s">
        <v>176</v>
      </c>
      <c r="E189" s="14">
        <v>0.48299999999999998</v>
      </c>
      <c r="F189" s="7">
        <v>437</v>
      </c>
      <c r="G189" s="14">
        <v>0</v>
      </c>
      <c r="H189" s="7">
        <v>0</v>
      </c>
      <c r="I189" s="14">
        <v>0.48299999999999998</v>
      </c>
      <c r="J189" s="7">
        <v>437</v>
      </c>
    </row>
    <row r="190" spans="1:10" x14ac:dyDescent="0.2">
      <c r="A190" s="9">
        <v>44201</v>
      </c>
      <c r="B190" s="4" t="s">
        <v>223</v>
      </c>
      <c r="C190" s="8">
        <v>44197</v>
      </c>
      <c r="D190" s="4" t="s">
        <v>176</v>
      </c>
      <c r="E190" s="14">
        <v>0.1376</v>
      </c>
      <c r="F190" s="7">
        <v>124</v>
      </c>
      <c r="G190" s="14">
        <v>0</v>
      </c>
      <c r="H190" s="7">
        <v>0</v>
      </c>
      <c r="I190" s="14">
        <v>0.1376</v>
      </c>
      <c r="J190" s="7">
        <v>124</v>
      </c>
    </row>
    <row r="191" spans="1:10" x14ac:dyDescent="0.2">
      <c r="A191" s="9">
        <v>44202</v>
      </c>
      <c r="B191" s="4" t="s">
        <v>221</v>
      </c>
      <c r="C191" s="8">
        <v>44197</v>
      </c>
      <c r="D191" s="4" t="s">
        <v>176</v>
      </c>
      <c r="E191" s="14">
        <v>0.1011</v>
      </c>
      <c r="F191" s="7">
        <v>91</v>
      </c>
      <c r="G191" s="14">
        <v>0</v>
      </c>
      <c r="H191" s="7">
        <v>0</v>
      </c>
      <c r="I191" s="14">
        <v>0.1011</v>
      </c>
      <c r="J191" s="7">
        <v>91</v>
      </c>
    </row>
    <row r="192" spans="1:10" x14ac:dyDescent="0.2">
      <c r="A192" s="9">
        <v>44203</v>
      </c>
      <c r="B192" s="4" t="s">
        <v>224</v>
      </c>
      <c r="C192" s="8">
        <v>44197</v>
      </c>
      <c r="D192" s="4" t="s">
        <v>176</v>
      </c>
      <c r="E192" s="14">
        <v>7.6999999999999999E-2</v>
      </c>
      <c r="F192" s="7">
        <v>69</v>
      </c>
      <c r="G192" s="14">
        <v>0</v>
      </c>
      <c r="H192" s="7">
        <v>0</v>
      </c>
      <c r="I192" s="14">
        <v>7.6999999999999999E-2</v>
      </c>
      <c r="J192" s="7">
        <v>69</v>
      </c>
    </row>
    <row r="193" spans="1:10" x14ac:dyDescent="0.2">
      <c r="A193" s="9">
        <v>44204</v>
      </c>
      <c r="B193" s="4" t="s">
        <v>222</v>
      </c>
      <c r="C193" s="8">
        <v>44197</v>
      </c>
      <c r="D193" s="4" t="s">
        <v>176</v>
      </c>
      <c r="E193" s="14">
        <v>0.1135</v>
      </c>
      <c r="F193" s="7">
        <v>101</v>
      </c>
      <c r="G193" s="14">
        <v>0</v>
      </c>
      <c r="H193" s="7">
        <v>0</v>
      </c>
      <c r="I193" s="14">
        <v>0.1135</v>
      </c>
      <c r="J193" s="7">
        <v>101</v>
      </c>
    </row>
    <row r="194" spans="1:10" x14ac:dyDescent="0.2">
      <c r="A194" s="9">
        <v>44207</v>
      </c>
      <c r="B194" s="4" t="s">
        <v>225</v>
      </c>
      <c r="C194" s="8">
        <v>44197</v>
      </c>
      <c r="D194" s="4" t="s">
        <v>176</v>
      </c>
      <c r="E194" s="14">
        <v>0.1091</v>
      </c>
      <c r="F194" s="7">
        <v>96</v>
      </c>
      <c r="G194" s="14">
        <v>0</v>
      </c>
      <c r="H194" s="7">
        <v>0</v>
      </c>
      <c r="I194" s="14">
        <v>0.1091</v>
      </c>
      <c r="J194" s="7">
        <v>96</v>
      </c>
    </row>
    <row r="195" spans="1:10" x14ac:dyDescent="0.2">
      <c r="A195" s="9">
        <v>44208</v>
      </c>
      <c r="B195" s="4" t="s">
        <v>223</v>
      </c>
      <c r="C195" s="8">
        <v>44197</v>
      </c>
      <c r="D195" s="4" t="s">
        <v>176</v>
      </c>
      <c r="E195" s="14">
        <v>0.26769999999999999</v>
      </c>
      <c r="F195" s="7">
        <v>235</v>
      </c>
      <c r="G195" s="14">
        <v>0</v>
      </c>
      <c r="H195" s="7">
        <v>0</v>
      </c>
      <c r="I195" s="14">
        <v>0.26769999999999999</v>
      </c>
      <c r="J195" s="7">
        <v>235</v>
      </c>
    </row>
    <row r="196" spans="1:10" x14ac:dyDescent="0.2">
      <c r="A196" s="9">
        <v>44209</v>
      </c>
      <c r="B196" s="4" t="s">
        <v>221</v>
      </c>
      <c r="C196" s="8">
        <v>44197</v>
      </c>
      <c r="D196" s="4" t="s">
        <v>176</v>
      </c>
      <c r="E196" s="14">
        <v>0.35110000000000002</v>
      </c>
      <c r="F196" s="7">
        <v>307</v>
      </c>
      <c r="G196" s="14">
        <v>0</v>
      </c>
      <c r="H196" s="7">
        <v>0</v>
      </c>
      <c r="I196" s="14">
        <v>0.35110000000000002</v>
      </c>
      <c r="J196" s="7">
        <v>307</v>
      </c>
    </row>
    <row r="197" spans="1:10" x14ac:dyDescent="0.2">
      <c r="A197" s="9">
        <v>44210</v>
      </c>
      <c r="B197" s="4" t="s">
        <v>224</v>
      </c>
      <c r="C197" s="8">
        <v>44197</v>
      </c>
      <c r="D197" s="4" t="s">
        <v>176</v>
      </c>
      <c r="E197" s="14">
        <v>2.63E-2</v>
      </c>
      <c r="F197" s="7">
        <v>23</v>
      </c>
      <c r="G197" s="14">
        <v>0</v>
      </c>
      <c r="H197" s="7">
        <v>0</v>
      </c>
      <c r="I197" s="14">
        <v>2.63E-2</v>
      </c>
      <c r="J197" s="7">
        <v>23</v>
      </c>
    </row>
    <row r="198" spans="1:10" x14ac:dyDescent="0.2">
      <c r="A198" s="9">
        <v>44211</v>
      </c>
      <c r="B198" s="4" t="s">
        <v>222</v>
      </c>
      <c r="C198" s="8">
        <v>44197</v>
      </c>
      <c r="D198" s="4" t="s">
        <v>176</v>
      </c>
      <c r="E198" s="14">
        <v>0.30130000000000001</v>
      </c>
      <c r="F198" s="7">
        <v>265</v>
      </c>
      <c r="G198" s="14">
        <v>0</v>
      </c>
      <c r="H198" s="7">
        <v>0</v>
      </c>
      <c r="I198" s="14">
        <v>0.30130000000000001</v>
      </c>
      <c r="J198" s="7">
        <v>265</v>
      </c>
    </row>
    <row r="199" spans="1:10" x14ac:dyDescent="0.2">
      <c r="A199" s="9">
        <v>44214</v>
      </c>
      <c r="B199" s="4" t="s">
        <v>225</v>
      </c>
      <c r="C199" s="8">
        <v>44197</v>
      </c>
      <c r="D199" s="4" t="s">
        <v>176</v>
      </c>
      <c r="E199" s="14">
        <v>7.5300000000000006E-2</v>
      </c>
      <c r="F199" s="7">
        <v>67</v>
      </c>
      <c r="G199" s="14">
        <v>0</v>
      </c>
      <c r="H199" s="7">
        <v>0</v>
      </c>
      <c r="I199" s="14">
        <v>7.5300000000000006E-2</v>
      </c>
      <c r="J199" s="7">
        <v>67</v>
      </c>
    </row>
    <row r="200" spans="1:10" x14ac:dyDescent="0.2">
      <c r="A200" s="9">
        <v>44215</v>
      </c>
      <c r="B200" s="4" t="s">
        <v>223</v>
      </c>
      <c r="C200" s="8">
        <v>44197</v>
      </c>
      <c r="D200" s="4" t="s">
        <v>176</v>
      </c>
      <c r="E200" s="14">
        <v>3.2000000000000001E-2</v>
      </c>
      <c r="F200" s="7">
        <v>28</v>
      </c>
      <c r="G200" s="14">
        <v>0</v>
      </c>
      <c r="H200" s="7">
        <v>0</v>
      </c>
      <c r="I200" s="14">
        <v>3.2000000000000001E-2</v>
      </c>
      <c r="J200" s="7">
        <v>28</v>
      </c>
    </row>
    <row r="201" spans="1:10" x14ac:dyDescent="0.2">
      <c r="A201" s="9">
        <v>44216</v>
      </c>
      <c r="B201" s="4" t="s">
        <v>221</v>
      </c>
      <c r="C201" s="8">
        <v>44197</v>
      </c>
      <c r="D201" s="4" t="s">
        <v>176</v>
      </c>
      <c r="E201" s="14">
        <v>0.1804</v>
      </c>
      <c r="F201" s="7">
        <v>157</v>
      </c>
      <c r="G201" s="14">
        <v>0</v>
      </c>
      <c r="H201" s="7">
        <v>0</v>
      </c>
      <c r="I201" s="14">
        <v>0.1804</v>
      </c>
      <c r="J201" s="7">
        <v>157</v>
      </c>
    </row>
    <row r="202" spans="1:10" x14ac:dyDescent="0.2">
      <c r="A202" s="9">
        <v>44217</v>
      </c>
      <c r="B202" s="4" t="s">
        <v>224</v>
      </c>
      <c r="C202" s="8">
        <v>44197</v>
      </c>
      <c r="D202" s="4" t="s">
        <v>176</v>
      </c>
      <c r="E202" s="14">
        <v>0.1608</v>
      </c>
      <c r="F202" s="7">
        <v>139</v>
      </c>
      <c r="G202" s="14">
        <v>0</v>
      </c>
      <c r="H202" s="7">
        <v>0</v>
      </c>
      <c r="I202" s="14">
        <v>0.1608</v>
      </c>
      <c r="J202" s="7">
        <v>139</v>
      </c>
    </row>
    <row r="203" spans="1:10" x14ac:dyDescent="0.2">
      <c r="A203" s="9">
        <v>44218</v>
      </c>
      <c r="B203" s="4" t="s">
        <v>222</v>
      </c>
      <c r="C203" s="8">
        <v>44197</v>
      </c>
      <c r="D203" s="4" t="s">
        <v>176</v>
      </c>
      <c r="E203" s="14">
        <v>0.2036</v>
      </c>
      <c r="F203" s="7">
        <v>179</v>
      </c>
      <c r="G203" s="14">
        <v>0</v>
      </c>
      <c r="H203" s="7">
        <v>0</v>
      </c>
      <c r="I203" s="14">
        <v>0.2036</v>
      </c>
      <c r="J203" s="7">
        <v>179</v>
      </c>
    </row>
    <row r="204" spans="1:10" x14ac:dyDescent="0.2">
      <c r="A204" s="9">
        <v>44221</v>
      </c>
      <c r="B204" s="4" t="s">
        <v>225</v>
      </c>
      <c r="C204" s="8">
        <v>44197</v>
      </c>
      <c r="D204" s="4" t="s">
        <v>176</v>
      </c>
      <c r="E204" s="14">
        <v>0.35289999999999999</v>
      </c>
      <c r="F204" s="7">
        <v>312</v>
      </c>
      <c r="G204" s="14">
        <v>0</v>
      </c>
      <c r="H204" s="7">
        <v>0</v>
      </c>
      <c r="I204" s="14">
        <v>0.35289999999999999</v>
      </c>
      <c r="J204" s="7">
        <v>312</v>
      </c>
    </row>
    <row r="205" spans="1:10" x14ac:dyDescent="0.2">
      <c r="A205" s="9">
        <v>44223</v>
      </c>
      <c r="B205" s="4" t="s">
        <v>221</v>
      </c>
      <c r="C205" s="8">
        <v>44197</v>
      </c>
      <c r="D205" s="4" t="s">
        <v>176</v>
      </c>
      <c r="E205" s="14">
        <v>2.4299999999999999E-2</v>
      </c>
      <c r="F205" s="7">
        <v>22</v>
      </c>
      <c r="G205" s="14">
        <v>0</v>
      </c>
      <c r="H205" s="7">
        <v>0</v>
      </c>
      <c r="I205" s="14">
        <v>2.4299999999999999E-2</v>
      </c>
      <c r="J205" s="7">
        <v>22</v>
      </c>
    </row>
    <row r="206" spans="1:10" x14ac:dyDescent="0.2">
      <c r="A206" s="9">
        <v>44224</v>
      </c>
      <c r="B206" s="4" t="s">
        <v>224</v>
      </c>
      <c r="C206" s="8">
        <v>44197</v>
      </c>
      <c r="D206" s="4" t="s">
        <v>176</v>
      </c>
      <c r="E206" s="14">
        <v>0.21199999999999999</v>
      </c>
      <c r="F206" s="7">
        <v>195</v>
      </c>
      <c r="G206" s="14">
        <v>0</v>
      </c>
      <c r="H206" s="7">
        <v>0</v>
      </c>
      <c r="I206" s="14">
        <v>0.21199999999999999</v>
      </c>
      <c r="J206" s="7">
        <v>195</v>
      </c>
    </row>
    <row r="207" spans="1:10" x14ac:dyDescent="0.2">
      <c r="A207" s="9">
        <v>44225</v>
      </c>
      <c r="B207" s="4" t="s">
        <v>222</v>
      </c>
      <c r="C207" s="8">
        <v>44197</v>
      </c>
      <c r="D207" s="4" t="s">
        <v>176</v>
      </c>
      <c r="E207" s="14">
        <v>7.4899999999999994E-2</v>
      </c>
      <c r="F207" s="7">
        <v>69</v>
      </c>
      <c r="G207" s="14">
        <v>0</v>
      </c>
      <c r="H207" s="7">
        <v>0</v>
      </c>
      <c r="I207" s="14">
        <v>7.4899999999999994E-2</v>
      </c>
      <c r="J207" s="7">
        <v>69</v>
      </c>
    </row>
    <row r="208" spans="1:10" x14ac:dyDescent="0.2">
      <c r="A208" s="9">
        <v>44228</v>
      </c>
      <c r="B208" s="4" t="s">
        <v>225</v>
      </c>
      <c r="C208" s="8">
        <v>44228</v>
      </c>
      <c r="D208" s="4" t="s">
        <v>176</v>
      </c>
      <c r="E208" s="14">
        <v>0.15759999999999999</v>
      </c>
      <c r="F208" s="7">
        <v>143</v>
      </c>
      <c r="G208" s="14">
        <v>0</v>
      </c>
      <c r="H208" s="7">
        <v>0</v>
      </c>
      <c r="I208" s="14">
        <v>0.15759999999999999</v>
      </c>
      <c r="J208" s="7">
        <v>143</v>
      </c>
    </row>
    <row r="209" spans="1:10" x14ac:dyDescent="0.2">
      <c r="A209" s="9">
        <v>44229</v>
      </c>
      <c r="B209" s="4" t="s">
        <v>223</v>
      </c>
      <c r="C209" s="8">
        <v>44228</v>
      </c>
      <c r="D209" s="4" t="s">
        <v>176</v>
      </c>
      <c r="E209" s="14">
        <v>0.14710000000000001</v>
      </c>
      <c r="F209" s="7">
        <v>128</v>
      </c>
      <c r="G209" s="14">
        <v>0</v>
      </c>
      <c r="H209" s="7">
        <v>0</v>
      </c>
      <c r="I209" s="14">
        <v>0.14710000000000001</v>
      </c>
      <c r="J209" s="7">
        <v>128</v>
      </c>
    </row>
    <row r="210" spans="1:10" x14ac:dyDescent="0.2">
      <c r="A210" s="9">
        <v>44230</v>
      </c>
      <c r="B210" s="4" t="s">
        <v>221</v>
      </c>
      <c r="C210" s="8">
        <v>44228</v>
      </c>
      <c r="D210" s="4" t="s">
        <v>176</v>
      </c>
      <c r="E210" s="14">
        <v>8.3799999999999999E-2</v>
      </c>
      <c r="F210" s="7">
        <v>72</v>
      </c>
      <c r="G210" s="14">
        <v>0</v>
      </c>
      <c r="H210" s="7">
        <v>0</v>
      </c>
      <c r="I210" s="14">
        <v>8.3799999999999999E-2</v>
      </c>
      <c r="J210" s="7">
        <v>72</v>
      </c>
    </row>
    <row r="211" spans="1:10" x14ac:dyDescent="0.2">
      <c r="A211" s="9">
        <v>44231</v>
      </c>
      <c r="B211" s="4" t="s">
        <v>224</v>
      </c>
      <c r="C211" s="8">
        <v>44228</v>
      </c>
      <c r="D211" s="4" t="s">
        <v>176</v>
      </c>
      <c r="E211" s="14">
        <v>5.2400000000000002E-2</v>
      </c>
      <c r="F211" s="7">
        <v>45</v>
      </c>
      <c r="G211" s="14">
        <v>0</v>
      </c>
      <c r="H211" s="7">
        <v>0</v>
      </c>
      <c r="I211" s="14">
        <v>5.2400000000000002E-2</v>
      </c>
      <c r="J211" s="7">
        <v>45</v>
      </c>
    </row>
    <row r="212" spans="1:10" x14ac:dyDescent="0.2">
      <c r="A212" s="9">
        <v>44232</v>
      </c>
      <c r="B212" s="4" t="s">
        <v>222</v>
      </c>
      <c r="C212" s="8">
        <v>44228</v>
      </c>
      <c r="D212" s="4" t="s">
        <v>176</v>
      </c>
      <c r="E212" s="14">
        <v>5.3900000000000003E-2</v>
      </c>
      <c r="F212" s="7">
        <v>46</v>
      </c>
      <c r="G212" s="14">
        <v>0</v>
      </c>
      <c r="H212" s="7">
        <v>0</v>
      </c>
      <c r="I212" s="14">
        <v>5.3900000000000003E-2</v>
      </c>
      <c r="J212" s="7">
        <v>46</v>
      </c>
    </row>
    <row r="213" spans="1:10" x14ac:dyDescent="0.2">
      <c r="A213" s="9">
        <v>44235</v>
      </c>
      <c r="B213" s="4" t="s">
        <v>225</v>
      </c>
      <c r="C213" s="8">
        <v>44228</v>
      </c>
      <c r="D213" s="4" t="s">
        <v>176</v>
      </c>
      <c r="E213" s="14">
        <v>6.7599999999999993E-2</v>
      </c>
      <c r="F213" s="7">
        <v>57</v>
      </c>
      <c r="G213" s="14">
        <v>0</v>
      </c>
      <c r="H213" s="7">
        <v>0</v>
      </c>
      <c r="I213" s="14">
        <v>6.7599999999999993E-2</v>
      </c>
      <c r="J213" s="7">
        <v>57</v>
      </c>
    </row>
    <row r="214" spans="1:10" x14ac:dyDescent="0.2">
      <c r="A214" s="9">
        <v>44236</v>
      </c>
      <c r="B214" s="4" t="s">
        <v>223</v>
      </c>
      <c r="C214" s="8">
        <v>44228</v>
      </c>
      <c r="D214" s="4" t="s">
        <v>176</v>
      </c>
      <c r="E214" s="14">
        <v>9.0399999999999994E-2</v>
      </c>
      <c r="F214" s="7">
        <v>76</v>
      </c>
      <c r="G214" s="14">
        <v>0</v>
      </c>
      <c r="H214" s="7">
        <v>0</v>
      </c>
      <c r="I214" s="14">
        <v>9.0399999999999994E-2</v>
      </c>
      <c r="J214" s="7">
        <v>76</v>
      </c>
    </row>
    <row r="215" spans="1:10" x14ac:dyDescent="0.2">
      <c r="A215" s="9">
        <v>44237</v>
      </c>
      <c r="B215" s="4" t="s">
        <v>221</v>
      </c>
      <c r="C215" s="8">
        <v>44228</v>
      </c>
      <c r="D215" s="4" t="s">
        <v>176</v>
      </c>
      <c r="E215" s="14">
        <v>0.1192</v>
      </c>
      <c r="F215" s="7">
        <v>101</v>
      </c>
      <c r="G215" s="14">
        <v>0</v>
      </c>
      <c r="H215" s="7">
        <v>0</v>
      </c>
      <c r="I215" s="14">
        <v>0.1192</v>
      </c>
      <c r="J215" s="7">
        <v>101</v>
      </c>
    </row>
    <row r="216" spans="1:10" x14ac:dyDescent="0.2">
      <c r="A216" s="9">
        <v>44238</v>
      </c>
      <c r="B216" s="4" t="s">
        <v>224</v>
      </c>
      <c r="C216" s="8">
        <v>44228</v>
      </c>
      <c r="D216" s="4" t="s">
        <v>176</v>
      </c>
      <c r="E216" s="14">
        <v>8.3099999999999993E-2</v>
      </c>
      <c r="F216" s="7">
        <v>70</v>
      </c>
      <c r="G216" s="14">
        <v>0</v>
      </c>
      <c r="H216" s="7">
        <v>0</v>
      </c>
      <c r="I216" s="14">
        <v>8.3099999999999993E-2</v>
      </c>
      <c r="J216" s="7">
        <v>70</v>
      </c>
    </row>
    <row r="217" spans="1:10" x14ac:dyDescent="0.2">
      <c r="A217" s="9">
        <v>44239</v>
      </c>
      <c r="B217" s="4" t="s">
        <v>222</v>
      </c>
      <c r="C217" s="8">
        <v>44228</v>
      </c>
      <c r="D217" s="4" t="s">
        <v>176</v>
      </c>
      <c r="E217" s="14">
        <v>5.6000000000000001E-2</v>
      </c>
      <c r="F217" s="7">
        <v>47</v>
      </c>
      <c r="G217" s="14">
        <v>0</v>
      </c>
      <c r="H217" s="7">
        <v>0</v>
      </c>
      <c r="I217" s="14">
        <v>5.6000000000000001E-2</v>
      </c>
      <c r="J217" s="7">
        <v>47</v>
      </c>
    </row>
    <row r="218" spans="1:10" x14ac:dyDescent="0.2">
      <c r="A218" s="9">
        <v>44242</v>
      </c>
      <c r="B218" s="4" t="s">
        <v>225</v>
      </c>
      <c r="C218" s="8">
        <v>44228</v>
      </c>
      <c r="D218" s="4" t="s">
        <v>176</v>
      </c>
      <c r="E218" s="14">
        <v>8.5199999999999998E-2</v>
      </c>
      <c r="F218" s="7">
        <v>71</v>
      </c>
      <c r="G218" s="14">
        <v>0</v>
      </c>
      <c r="H218" s="7">
        <v>0</v>
      </c>
      <c r="I218" s="14">
        <v>8.5199999999999998E-2</v>
      </c>
      <c r="J218" s="7">
        <v>71</v>
      </c>
    </row>
    <row r="219" spans="1:10" x14ac:dyDescent="0.2">
      <c r="A219" s="9">
        <v>44243</v>
      </c>
      <c r="B219" s="4" t="s">
        <v>223</v>
      </c>
      <c r="C219" s="8">
        <v>44228</v>
      </c>
      <c r="D219" s="4" t="s">
        <v>176</v>
      </c>
      <c r="E219" s="14">
        <v>5.8999999999999997E-2</v>
      </c>
      <c r="F219" s="7">
        <v>49</v>
      </c>
      <c r="G219" s="14">
        <v>0</v>
      </c>
      <c r="H219" s="7">
        <v>0</v>
      </c>
      <c r="I219" s="14">
        <v>5.8999999999999997E-2</v>
      </c>
      <c r="J219" s="7">
        <v>49</v>
      </c>
    </row>
    <row r="220" spans="1:10" x14ac:dyDescent="0.2">
      <c r="A220" s="9">
        <v>44244</v>
      </c>
      <c r="B220" s="4" t="s">
        <v>221</v>
      </c>
      <c r="C220" s="8">
        <v>44228</v>
      </c>
      <c r="D220" s="4" t="s">
        <v>176</v>
      </c>
      <c r="E220" s="14">
        <v>4.4200000000000003E-2</v>
      </c>
      <c r="F220" s="7">
        <v>37</v>
      </c>
      <c r="G220" s="14">
        <v>0</v>
      </c>
      <c r="H220" s="7">
        <v>0</v>
      </c>
      <c r="I220" s="14">
        <v>4.4200000000000003E-2</v>
      </c>
      <c r="J220" s="7">
        <v>37</v>
      </c>
    </row>
    <row r="221" spans="1:10" x14ac:dyDescent="0.2">
      <c r="A221" s="9">
        <v>44245</v>
      </c>
      <c r="B221" s="4" t="s">
        <v>224</v>
      </c>
      <c r="C221" s="8">
        <v>44228</v>
      </c>
      <c r="D221" s="4" t="s">
        <v>176</v>
      </c>
      <c r="E221" s="14">
        <v>0.1045</v>
      </c>
      <c r="F221" s="7">
        <v>88</v>
      </c>
      <c r="G221" s="14">
        <v>0</v>
      </c>
      <c r="H221" s="7">
        <v>0</v>
      </c>
      <c r="I221" s="14">
        <v>0.1045</v>
      </c>
      <c r="J221" s="7">
        <v>88</v>
      </c>
    </row>
    <row r="222" spans="1:10" x14ac:dyDescent="0.2">
      <c r="A222" s="9">
        <v>44246</v>
      </c>
      <c r="B222" s="4" t="s">
        <v>222</v>
      </c>
      <c r="C222" s="8">
        <v>44228</v>
      </c>
      <c r="D222" s="4" t="s">
        <v>176</v>
      </c>
      <c r="E222" s="14">
        <v>8.5999999999999993E-2</v>
      </c>
      <c r="F222" s="7">
        <v>73</v>
      </c>
      <c r="G222" s="14">
        <v>0</v>
      </c>
      <c r="H222" s="7">
        <v>0</v>
      </c>
      <c r="I222" s="14">
        <v>8.5999999999999993E-2</v>
      </c>
      <c r="J222" s="7">
        <v>73</v>
      </c>
    </row>
    <row r="223" spans="1:10" x14ac:dyDescent="0.2">
      <c r="A223" s="9">
        <v>44249</v>
      </c>
      <c r="B223" s="4" t="s">
        <v>225</v>
      </c>
      <c r="C223" s="8">
        <v>44228</v>
      </c>
      <c r="D223" s="4" t="s">
        <v>176</v>
      </c>
      <c r="E223" s="14">
        <v>0.1099</v>
      </c>
      <c r="F223" s="7">
        <v>95</v>
      </c>
      <c r="G223" s="14">
        <v>0</v>
      </c>
      <c r="H223" s="7">
        <v>0</v>
      </c>
      <c r="I223" s="14">
        <v>0.1099</v>
      </c>
      <c r="J223" s="7">
        <v>95</v>
      </c>
    </row>
    <row r="224" spans="1:10" x14ac:dyDescent="0.2">
      <c r="A224" s="9">
        <v>44250</v>
      </c>
      <c r="B224" s="4" t="s">
        <v>223</v>
      </c>
      <c r="C224" s="8">
        <v>44228</v>
      </c>
      <c r="D224" s="4" t="s">
        <v>176</v>
      </c>
      <c r="E224" s="14">
        <v>8.7900000000000006E-2</v>
      </c>
      <c r="F224" s="7">
        <v>76</v>
      </c>
      <c r="G224" s="14">
        <v>0</v>
      </c>
      <c r="H224" s="7">
        <v>0</v>
      </c>
      <c r="I224" s="14">
        <v>8.7900000000000006E-2</v>
      </c>
      <c r="J224" s="7">
        <v>76</v>
      </c>
    </row>
    <row r="225" spans="1:10" x14ac:dyDescent="0.2">
      <c r="A225" s="9">
        <v>44251</v>
      </c>
      <c r="B225" s="4" t="s">
        <v>221</v>
      </c>
      <c r="C225" s="8">
        <v>44228</v>
      </c>
      <c r="D225" s="4" t="s">
        <v>176</v>
      </c>
      <c r="E225" s="14">
        <v>8.2299999999999998E-2</v>
      </c>
      <c r="F225" s="7">
        <v>71</v>
      </c>
      <c r="G225" s="14">
        <v>0</v>
      </c>
      <c r="H225" s="7">
        <v>0</v>
      </c>
      <c r="I225" s="14">
        <v>8.2299999999999998E-2</v>
      </c>
      <c r="J225" s="7">
        <v>71</v>
      </c>
    </row>
    <row r="226" spans="1:10" x14ac:dyDescent="0.2">
      <c r="A226" s="9">
        <v>44252</v>
      </c>
      <c r="B226" s="4" t="s">
        <v>224</v>
      </c>
      <c r="C226" s="8">
        <v>44228</v>
      </c>
      <c r="D226" s="4" t="s">
        <v>176</v>
      </c>
      <c r="E226" s="14">
        <v>0.1676</v>
      </c>
      <c r="F226" s="7">
        <v>141</v>
      </c>
      <c r="G226" s="14">
        <v>0</v>
      </c>
      <c r="H226" s="7">
        <v>0</v>
      </c>
      <c r="I226" s="14">
        <v>0.1676</v>
      </c>
      <c r="J226" s="7">
        <v>141</v>
      </c>
    </row>
    <row r="227" spans="1:10" x14ac:dyDescent="0.2">
      <c r="A227" s="9">
        <v>44253</v>
      </c>
      <c r="B227" s="4" t="s">
        <v>222</v>
      </c>
      <c r="C227" s="8">
        <v>44228</v>
      </c>
      <c r="D227" s="4" t="s">
        <v>176</v>
      </c>
      <c r="E227" s="14">
        <v>0.1134</v>
      </c>
      <c r="F227" s="7">
        <v>98</v>
      </c>
      <c r="G227" s="14">
        <v>0</v>
      </c>
      <c r="H227" s="7">
        <v>0</v>
      </c>
      <c r="I227" s="14">
        <v>0.1134</v>
      </c>
      <c r="J227" s="7">
        <v>98</v>
      </c>
    </row>
    <row r="228" spans="1:10" x14ac:dyDescent="0.2">
      <c r="A228" s="9">
        <v>44256</v>
      </c>
      <c r="B228" s="4" t="s">
        <v>225</v>
      </c>
      <c r="C228" s="8">
        <v>44256</v>
      </c>
      <c r="D228" s="4" t="s">
        <v>176</v>
      </c>
      <c r="E228" s="14">
        <v>6.59E-2</v>
      </c>
      <c r="F228" s="7">
        <v>57</v>
      </c>
      <c r="G228" s="14">
        <v>0</v>
      </c>
      <c r="H228" s="7">
        <v>0</v>
      </c>
      <c r="I228" s="14">
        <v>6.59E-2</v>
      </c>
      <c r="J228" s="7">
        <v>57</v>
      </c>
    </row>
    <row r="229" spans="1:10" x14ac:dyDescent="0.2">
      <c r="A229" s="9">
        <v>44257</v>
      </c>
      <c r="B229" s="4" t="s">
        <v>223</v>
      </c>
      <c r="C229" s="8">
        <v>44256</v>
      </c>
      <c r="D229" s="4" t="s">
        <v>176</v>
      </c>
      <c r="E229" s="14">
        <v>5.4800000000000001E-2</v>
      </c>
      <c r="F229" s="7">
        <v>47</v>
      </c>
      <c r="G229" s="14">
        <v>0</v>
      </c>
      <c r="H229" s="7">
        <v>0</v>
      </c>
      <c r="I229" s="14">
        <v>5.4800000000000001E-2</v>
      </c>
      <c r="J229" s="7">
        <v>47</v>
      </c>
    </row>
    <row r="230" spans="1:10" x14ac:dyDescent="0.2">
      <c r="A230" s="9">
        <v>44258</v>
      </c>
      <c r="B230" s="4" t="s">
        <v>221</v>
      </c>
      <c r="C230" s="8">
        <v>44256</v>
      </c>
      <c r="D230" s="4" t="s">
        <v>176</v>
      </c>
      <c r="E230" s="14">
        <v>0.1109</v>
      </c>
      <c r="F230" s="7">
        <v>93</v>
      </c>
      <c r="G230" s="14">
        <v>0</v>
      </c>
      <c r="H230" s="7">
        <v>0</v>
      </c>
      <c r="I230" s="14">
        <v>0.1109</v>
      </c>
      <c r="J230" s="7">
        <v>93</v>
      </c>
    </row>
    <row r="231" spans="1:10" x14ac:dyDescent="0.2">
      <c r="A231" s="9">
        <v>44259</v>
      </c>
      <c r="B231" s="4" t="s">
        <v>224</v>
      </c>
      <c r="C231" s="8">
        <v>44256</v>
      </c>
      <c r="D231" s="4" t="s">
        <v>176</v>
      </c>
      <c r="E231" s="14">
        <v>7.9399999999999998E-2</v>
      </c>
      <c r="F231" s="7">
        <v>67</v>
      </c>
      <c r="G231" s="14">
        <v>0</v>
      </c>
      <c r="H231" s="7">
        <v>0</v>
      </c>
      <c r="I231" s="14">
        <v>7.9399999999999998E-2</v>
      </c>
      <c r="J231" s="7">
        <v>67</v>
      </c>
    </row>
    <row r="232" spans="1:10" x14ac:dyDescent="0.2">
      <c r="A232" s="9">
        <v>44260</v>
      </c>
      <c r="B232" s="4" t="s">
        <v>222</v>
      </c>
      <c r="C232" s="8">
        <v>44256</v>
      </c>
      <c r="D232" s="4" t="s">
        <v>176</v>
      </c>
      <c r="E232" s="14">
        <v>0.18290000000000001</v>
      </c>
      <c r="F232" s="7">
        <v>156</v>
      </c>
      <c r="G232" s="14">
        <v>0</v>
      </c>
      <c r="H232" s="7">
        <v>0</v>
      </c>
      <c r="I232" s="14">
        <v>0.18290000000000001</v>
      </c>
      <c r="J232" s="7">
        <v>156</v>
      </c>
    </row>
    <row r="233" spans="1:10" x14ac:dyDescent="0.2">
      <c r="A233" s="9">
        <v>44263</v>
      </c>
      <c r="B233" s="4" t="s">
        <v>225</v>
      </c>
      <c r="C233" s="8">
        <v>44256</v>
      </c>
      <c r="D233" s="4" t="s">
        <v>176</v>
      </c>
      <c r="E233" s="14">
        <v>6.3500000000000001E-2</v>
      </c>
      <c r="F233" s="7">
        <v>54</v>
      </c>
      <c r="G233" s="14">
        <v>0</v>
      </c>
      <c r="H233" s="7">
        <v>0</v>
      </c>
      <c r="I233" s="14">
        <v>6.3500000000000001E-2</v>
      </c>
      <c r="J233" s="7">
        <v>54</v>
      </c>
    </row>
    <row r="234" spans="1:10" x14ac:dyDescent="0.2">
      <c r="A234" s="9">
        <v>44264</v>
      </c>
      <c r="B234" s="4" t="s">
        <v>223</v>
      </c>
      <c r="C234" s="8">
        <v>44256</v>
      </c>
      <c r="D234" s="4" t="s">
        <v>176</v>
      </c>
      <c r="E234" s="14">
        <v>0.12429999999999999</v>
      </c>
      <c r="F234" s="7">
        <v>105</v>
      </c>
      <c r="G234" s="14">
        <v>0</v>
      </c>
      <c r="H234" s="7">
        <v>0</v>
      </c>
      <c r="I234" s="14">
        <v>0.12429999999999999</v>
      </c>
      <c r="J234" s="7">
        <v>105</v>
      </c>
    </row>
    <row r="235" spans="1:10" x14ac:dyDescent="0.2">
      <c r="A235" s="9">
        <v>44265</v>
      </c>
      <c r="B235" s="4" t="s">
        <v>221</v>
      </c>
      <c r="C235" s="8">
        <v>44256</v>
      </c>
      <c r="D235" s="4" t="s">
        <v>176</v>
      </c>
      <c r="E235" s="14">
        <v>8.9399999999999993E-2</v>
      </c>
      <c r="F235" s="7">
        <v>75</v>
      </c>
      <c r="G235" s="14">
        <v>0</v>
      </c>
      <c r="H235" s="7">
        <v>0</v>
      </c>
      <c r="I235" s="14">
        <v>8.9399999999999993E-2</v>
      </c>
      <c r="J235" s="7">
        <v>75</v>
      </c>
    </row>
    <row r="236" spans="1:10" x14ac:dyDescent="0.2">
      <c r="A236" s="9">
        <v>44267</v>
      </c>
      <c r="B236" s="4" t="s">
        <v>222</v>
      </c>
      <c r="C236" s="8">
        <v>44256</v>
      </c>
      <c r="D236" s="4" t="s">
        <v>176</v>
      </c>
      <c r="E236" s="14">
        <v>0.13450000000000001</v>
      </c>
      <c r="F236" s="7">
        <v>113</v>
      </c>
      <c r="G236" s="14">
        <v>0</v>
      </c>
      <c r="H236" s="7">
        <v>0</v>
      </c>
      <c r="I236" s="14">
        <v>0.13450000000000001</v>
      </c>
      <c r="J236" s="7">
        <v>113</v>
      </c>
    </row>
    <row r="237" spans="1:10" x14ac:dyDescent="0.2">
      <c r="A237" s="9">
        <v>44270</v>
      </c>
      <c r="B237" s="4" t="s">
        <v>225</v>
      </c>
      <c r="C237" s="8">
        <v>44256</v>
      </c>
      <c r="D237" s="4" t="s">
        <v>176</v>
      </c>
      <c r="E237" s="14">
        <v>9.35E-2</v>
      </c>
      <c r="F237" s="7">
        <v>80</v>
      </c>
      <c r="G237" s="14">
        <v>0</v>
      </c>
      <c r="H237" s="7">
        <v>0</v>
      </c>
      <c r="I237" s="14">
        <v>9.35E-2</v>
      </c>
      <c r="J237" s="7">
        <v>80</v>
      </c>
    </row>
    <row r="238" spans="1:10" x14ac:dyDescent="0.2">
      <c r="A238" s="9">
        <v>44271</v>
      </c>
      <c r="B238" s="4" t="s">
        <v>223</v>
      </c>
      <c r="C238" s="8">
        <v>44256</v>
      </c>
      <c r="D238" s="4" t="s">
        <v>176</v>
      </c>
      <c r="E238" s="14">
        <v>2.7099999999999999E-2</v>
      </c>
      <c r="F238" s="7">
        <v>23</v>
      </c>
      <c r="G238" s="14">
        <v>0</v>
      </c>
      <c r="H238" s="7">
        <v>0</v>
      </c>
      <c r="I238" s="14">
        <v>2.7099999999999999E-2</v>
      </c>
      <c r="J238" s="7">
        <v>23</v>
      </c>
    </row>
    <row r="239" spans="1:10" x14ac:dyDescent="0.2">
      <c r="A239" s="9">
        <v>44272</v>
      </c>
      <c r="B239" s="4" t="s">
        <v>221</v>
      </c>
      <c r="C239" s="8">
        <v>44256</v>
      </c>
      <c r="D239" s="4" t="s">
        <v>176</v>
      </c>
      <c r="E239" s="14">
        <v>4.0800000000000003E-2</v>
      </c>
      <c r="F239" s="7">
        <v>35</v>
      </c>
      <c r="G239" s="14">
        <v>0</v>
      </c>
      <c r="H239" s="7">
        <v>0</v>
      </c>
      <c r="I239" s="14">
        <v>4.0800000000000003E-2</v>
      </c>
      <c r="J239" s="7">
        <v>35</v>
      </c>
    </row>
    <row r="240" spans="1:10" x14ac:dyDescent="0.2">
      <c r="A240" s="9">
        <v>44273</v>
      </c>
      <c r="B240" s="4" t="s">
        <v>224</v>
      </c>
      <c r="C240" s="8">
        <v>44256</v>
      </c>
      <c r="D240" s="4" t="s">
        <v>176</v>
      </c>
      <c r="E240" s="14">
        <v>0.1046</v>
      </c>
      <c r="F240" s="7">
        <v>91</v>
      </c>
      <c r="G240" s="14">
        <v>0</v>
      </c>
      <c r="H240" s="7">
        <v>0</v>
      </c>
      <c r="I240" s="14">
        <v>0.1046</v>
      </c>
      <c r="J240" s="7">
        <v>91</v>
      </c>
    </row>
    <row r="241" spans="1:10" x14ac:dyDescent="0.2">
      <c r="A241" s="9">
        <v>44274</v>
      </c>
      <c r="B241" s="4" t="s">
        <v>222</v>
      </c>
      <c r="C241" s="8">
        <v>44256</v>
      </c>
      <c r="D241" s="4" t="s">
        <v>176</v>
      </c>
      <c r="E241" s="14">
        <v>2.1700000000000001E-2</v>
      </c>
      <c r="F241" s="7">
        <v>19</v>
      </c>
      <c r="G241" s="14">
        <v>0</v>
      </c>
      <c r="H241" s="7">
        <v>0</v>
      </c>
      <c r="I241" s="14">
        <v>2.1700000000000001E-2</v>
      </c>
      <c r="J241" s="7">
        <v>19</v>
      </c>
    </row>
    <row r="242" spans="1:10" x14ac:dyDescent="0.2">
      <c r="A242" s="9">
        <v>44277</v>
      </c>
      <c r="B242" s="4" t="s">
        <v>225</v>
      </c>
      <c r="C242" s="8">
        <v>44256</v>
      </c>
      <c r="D242" s="4" t="s">
        <v>176</v>
      </c>
      <c r="E242" s="14">
        <v>1.7299999999999999E-2</v>
      </c>
      <c r="F242" s="7">
        <v>15</v>
      </c>
      <c r="G242" s="14">
        <v>0</v>
      </c>
      <c r="H242" s="7">
        <v>0</v>
      </c>
      <c r="I242" s="14">
        <v>1.7299999999999999E-2</v>
      </c>
      <c r="J242" s="7">
        <v>15</v>
      </c>
    </row>
    <row r="243" spans="1:10" x14ac:dyDescent="0.2">
      <c r="A243" s="9">
        <v>44278</v>
      </c>
      <c r="B243" s="4" t="s">
        <v>223</v>
      </c>
      <c r="C243" s="8">
        <v>44256</v>
      </c>
      <c r="D243" s="4" t="s">
        <v>176</v>
      </c>
      <c r="E243" s="14">
        <v>2.7900000000000001E-2</v>
      </c>
      <c r="F243" s="7">
        <v>24</v>
      </c>
      <c r="G243" s="14">
        <v>0</v>
      </c>
      <c r="H243" s="7">
        <v>0</v>
      </c>
      <c r="I243" s="14">
        <v>2.7900000000000001E-2</v>
      </c>
      <c r="J243" s="7">
        <v>24</v>
      </c>
    </row>
    <row r="244" spans="1:10" x14ac:dyDescent="0.2">
      <c r="A244" s="9">
        <v>44279</v>
      </c>
      <c r="B244" s="4" t="s">
        <v>221</v>
      </c>
      <c r="C244" s="8">
        <v>44256</v>
      </c>
      <c r="D244" s="4" t="s">
        <v>176</v>
      </c>
      <c r="E244" s="14">
        <v>5.5100000000000003E-2</v>
      </c>
      <c r="F244" s="7">
        <v>48</v>
      </c>
      <c r="G244" s="14">
        <v>0</v>
      </c>
      <c r="H244" s="7">
        <v>0</v>
      </c>
      <c r="I244" s="14">
        <v>5.5100000000000003E-2</v>
      </c>
      <c r="J244" s="7">
        <v>48</v>
      </c>
    </row>
    <row r="245" spans="1:10" x14ac:dyDescent="0.2">
      <c r="A245" s="9">
        <v>44280</v>
      </c>
      <c r="B245" s="4" t="s">
        <v>224</v>
      </c>
      <c r="C245" s="8">
        <v>44256</v>
      </c>
      <c r="D245" s="4" t="s">
        <v>176</v>
      </c>
      <c r="E245" s="14">
        <v>0.2046</v>
      </c>
      <c r="F245" s="7">
        <v>180</v>
      </c>
      <c r="G245" s="14">
        <v>0</v>
      </c>
      <c r="H245" s="7">
        <v>0</v>
      </c>
      <c r="I245" s="14">
        <v>0.2046</v>
      </c>
      <c r="J245" s="7">
        <v>180</v>
      </c>
    </row>
    <row r="246" spans="1:10" x14ac:dyDescent="0.2">
      <c r="A246" s="9">
        <v>44281</v>
      </c>
      <c r="B246" s="4" t="s">
        <v>222</v>
      </c>
      <c r="C246" s="8">
        <v>44256</v>
      </c>
      <c r="D246" s="4" t="s">
        <v>176</v>
      </c>
      <c r="E246" s="14">
        <v>5.16E-2</v>
      </c>
      <c r="F246" s="7">
        <v>45</v>
      </c>
      <c r="G246" s="14">
        <v>0</v>
      </c>
      <c r="H246" s="7">
        <v>0</v>
      </c>
      <c r="I246" s="14">
        <v>5.16E-2</v>
      </c>
      <c r="J246" s="7">
        <v>45</v>
      </c>
    </row>
    <row r="247" spans="1:10" x14ac:dyDescent="0.2">
      <c r="A247" s="9">
        <v>44285</v>
      </c>
      <c r="B247" s="4" t="s">
        <v>223</v>
      </c>
      <c r="C247" s="8">
        <v>44256</v>
      </c>
      <c r="D247" s="4" t="s">
        <v>176</v>
      </c>
      <c r="E247" s="14">
        <v>0.24299999999999999</v>
      </c>
      <c r="F247" s="7">
        <v>209</v>
      </c>
      <c r="G247" s="14">
        <v>0</v>
      </c>
      <c r="H247" s="7">
        <v>0</v>
      </c>
      <c r="I247" s="14">
        <v>0.24299999999999999</v>
      </c>
      <c r="J247" s="7">
        <v>209</v>
      </c>
    </row>
    <row r="248" spans="1:10" x14ac:dyDescent="0.2">
      <c r="A248" s="9">
        <v>44286</v>
      </c>
      <c r="B248" s="4" t="s">
        <v>221</v>
      </c>
      <c r="C248" s="8">
        <v>44256</v>
      </c>
      <c r="D248" s="4" t="s">
        <v>176</v>
      </c>
      <c r="E248" s="14">
        <v>0.1288</v>
      </c>
      <c r="F248" s="7">
        <v>111</v>
      </c>
      <c r="G248" s="14">
        <v>0</v>
      </c>
      <c r="H248" s="7">
        <v>0</v>
      </c>
      <c r="I248" s="14">
        <v>0.1288</v>
      </c>
      <c r="J248" s="7">
        <v>111</v>
      </c>
    </row>
    <row r="249" spans="1:10" x14ac:dyDescent="0.2">
      <c r="A249" s="9">
        <v>44287</v>
      </c>
      <c r="B249" s="4" t="s">
        <v>224</v>
      </c>
      <c r="C249" s="8">
        <v>44287</v>
      </c>
      <c r="D249" s="4" t="s">
        <v>177</v>
      </c>
      <c r="E249" s="14">
        <v>0.1096</v>
      </c>
      <c r="F249" s="7">
        <v>94</v>
      </c>
      <c r="G249" s="14">
        <v>0</v>
      </c>
      <c r="H249" s="7">
        <v>0</v>
      </c>
      <c r="I249" s="14">
        <v>0.1096</v>
      </c>
      <c r="J249" s="7">
        <v>94</v>
      </c>
    </row>
    <row r="250" spans="1:10" x14ac:dyDescent="0.2">
      <c r="A250" s="9">
        <v>44291</v>
      </c>
      <c r="B250" s="4" t="s">
        <v>225</v>
      </c>
      <c r="C250" s="8">
        <v>44287</v>
      </c>
      <c r="D250" s="4" t="s">
        <v>177</v>
      </c>
      <c r="E250" s="14">
        <v>0.17979999999999999</v>
      </c>
      <c r="F250" s="7">
        <v>156</v>
      </c>
      <c r="G250" s="14">
        <v>0</v>
      </c>
      <c r="H250" s="7">
        <v>0</v>
      </c>
      <c r="I250" s="14">
        <v>0.17979999999999999</v>
      </c>
      <c r="J250" s="7">
        <v>156</v>
      </c>
    </row>
    <row r="251" spans="1:10" x14ac:dyDescent="0.2">
      <c r="A251" s="9">
        <v>44292</v>
      </c>
      <c r="B251" s="4" t="s">
        <v>223</v>
      </c>
      <c r="C251" s="8">
        <v>44287</v>
      </c>
      <c r="D251" s="4" t="s">
        <v>177</v>
      </c>
      <c r="E251" s="14">
        <v>7.9799999999999996E-2</v>
      </c>
      <c r="F251" s="7">
        <v>69</v>
      </c>
      <c r="G251" s="14">
        <v>0</v>
      </c>
      <c r="H251" s="7">
        <v>0</v>
      </c>
      <c r="I251" s="14">
        <v>7.9799999999999996E-2</v>
      </c>
      <c r="J251" s="7">
        <v>69</v>
      </c>
    </row>
    <row r="252" spans="1:10" x14ac:dyDescent="0.2">
      <c r="A252" s="9">
        <v>44293</v>
      </c>
      <c r="B252" s="4" t="s">
        <v>221</v>
      </c>
      <c r="C252" s="8">
        <v>44287</v>
      </c>
      <c r="D252" s="4" t="s">
        <v>177</v>
      </c>
      <c r="E252" s="14">
        <v>0.1331</v>
      </c>
      <c r="F252" s="7">
        <v>114</v>
      </c>
      <c r="G252" s="14">
        <v>0</v>
      </c>
      <c r="H252" s="7">
        <v>0</v>
      </c>
      <c r="I252" s="14">
        <v>0.1331</v>
      </c>
      <c r="J252" s="7">
        <v>114</v>
      </c>
    </row>
    <row r="253" spans="1:10" x14ac:dyDescent="0.2">
      <c r="A253" s="9">
        <v>44294</v>
      </c>
      <c r="B253" s="4" t="s">
        <v>224</v>
      </c>
      <c r="C253" s="8">
        <v>44287</v>
      </c>
      <c r="D253" s="4" t="s">
        <v>177</v>
      </c>
      <c r="E253" s="14">
        <v>9.64E-2</v>
      </c>
      <c r="F253" s="7">
        <v>82</v>
      </c>
      <c r="G253" s="14">
        <v>0</v>
      </c>
      <c r="H253" s="7">
        <v>0</v>
      </c>
      <c r="I253" s="14">
        <v>9.64E-2</v>
      </c>
      <c r="J253" s="7">
        <v>82</v>
      </c>
    </row>
    <row r="254" spans="1:10" x14ac:dyDescent="0.2">
      <c r="A254" s="9">
        <v>44295</v>
      </c>
      <c r="B254" s="4" t="s">
        <v>222</v>
      </c>
      <c r="C254" s="8">
        <v>44287</v>
      </c>
      <c r="D254" s="4" t="s">
        <v>177</v>
      </c>
      <c r="E254" s="14">
        <v>4.4499999999999998E-2</v>
      </c>
      <c r="F254" s="7">
        <v>38</v>
      </c>
      <c r="G254" s="14">
        <v>0</v>
      </c>
      <c r="H254" s="7">
        <v>0</v>
      </c>
      <c r="I254" s="14">
        <v>4.4499999999999998E-2</v>
      </c>
      <c r="J254" s="7">
        <v>38</v>
      </c>
    </row>
    <row r="255" spans="1:10" x14ac:dyDescent="0.2">
      <c r="A255" s="9">
        <v>44298</v>
      </c>
      <c r="B255" s="4" t="s">
        <v>225</v>
      </c>
      <c r="C255" s="8">
        <v>44287</v>
      </c>
      <c r="D255" s="4" t="s">
        <v>177</v>
      </c>
      <c r="E255" s="14">
        <v>6.6699999999999995E-2</v>
      </c>
      <c r="F255" s="7">
        <v>59</v>
      </c>
      <c r="G255" s="14">
        <v>0</v>
      </c>
      <c r="H255" s="7">
        <v>0</v>
      </c>
      <c r="I255" s="14">
        <v>6.6699999999999995E-2</v>
      </c>
      <c r="J255" s="7">
        <v>59</v>
      </c>
    </row>
    <row r="256" spans="1:10" x14ac:dyDescent="0.2">
      <c r="A256" s="9">
        <v>44299</v>
      </c>
      <c r="B256" s="4" t="s">
        <v>223</v>
      </c>
      <c r="C256" s="8">
        <v>44287</v>
      </c>
      <c r="D256" s="4" t="s">
        <v>177</v>
      </c>
      <c r="E256" s="14">
        <v>1.7000000000000001E-2</v>
      </c>
      <c r="F256" s="7">
        <v>15</v>
      </c>
      <c r="G256" s="14">
        <v>0</v>
      </c>
      <c r="H256" s="7">
        <v>0</v>
      </c>
      <c r="I256" s="14">
        <v>1.7000000000000001E-2</v>
      </c>
      <c r="J256" s="7">
        <v>15</v>
      </c>
    </row>
    <row r="257" spans="1:10" x14ac:dyDescent="0.2">
      <c r="A257" s="9">
        <v>44301</v>
      </c>
      <c r="B257" s="4" t="s">
        <v>224</v>
      </c>
      <c r="C257" s="8">
        <v>44287</v>
      </c>
      <c r="D257" s="4" t="s">
        <v>177</v>
      </c>
      <c r="E257" s="14">
        <v>6.9500000000000006E-2</v>
      </c>
      <c r="F257" s="7">
        <v>61</v>
      </c>
      <c r="G257" s="14">
        <v>0</v>
      </c>
      <c r="H257" s="7">
        <v>0</v>
      </c>
      <c r="I257" s="14">
        <v>6.9500000000000006E-2</v>
      </c>
      <c r="J257" s="7">
        <v>61</v>
      </c>
    </row>
    <row r="258" spans="1:10" x14ac:dyDescent="0.2">
      <c r="A258" s="9">
        <v>44302</v>
      </c>
      <c r="B258" s="4" t="s">
        <v>222</v>
      </c>
      <c r="C258" s="8">
        <v>44287</v>
      </c>
      <c r="D258" s="4" t="s">
        <v>177</v>
      </c>
      <c r="E258" s="14">
        <v>2.6499999999999999E-2</v>
      </c>
      <c r="F258" s="7">
        <v>23</v>
      </c>
      <c r="G258" s="14">
        <v>0</v>
      </c>
      <c r="H258" s="7">
        <v>0</v>
      </c>
      <c r="I258" s="14">
        <v>2.6499999999999999E-2</v>
      </c>
      <c r="J258" s="7">
        <v>23</v>
      </c>
    </row>
    <row r="259" spans="1:10" x14ac:dyDescent="0.2">
      <c r="A259" s="9">
        <v>44305</v>
      </c>
      <c r="B259" s="4" t="s">
        <v>225</v>
      </c>
      <c r="C259" s="8">
        <v>44287</v>
      </c>
      <c r="D259" s="4" t="s">
        <v>177</v>
      </c>
      <c r="E259" s="14">
        <v>2.1299999999999999E-2</v>
      </c>
      <c r="F259" s="7">
        <v>19</v>
      </c>
      <c r="G259" s="14">
        <v>0</v>
      </c>
      <c r="H259" s="7">
        <v>0</v>
      </c>
      <c r="I259" s="14">
        <v>2.1299999999999999E-2</v>
      </c>
      <c r="J259" s="7">
        <v>19</v>
      </c>
    </row>
    <row r="260" spans="1:10" x14ac:dyDescent="0.2">
      <c r="A260" s="9">
        <v>44306</v>
      </c>
      <c r="B260" s="4" t="s">
        <v>223</v>
      </c>
      <c r="C260" s="8">
        <v>44287</v>
      </c>
      <c r="D260" s="4" t="s">
        <v>177</v>
      </c>
      <c r="E260" s="14">
        <v>3.15E-2</v>
      </c>
      <c r="F260" s="7">
        <v>28</v>
      </c>
      <c r="G260" s="14">
        <v>0</v>
      </c>
      <c r="H260" s="7">
        <v>0</v>
      </c>
      <c r="I260" s="14">
        <v>3.15E-2</v>
      </c>
      <c r="J260" s="7">
        <v>28</v>
      </c>
    </row>
    <row r="261" spans="1:10" x14ac:dyDescent="0.2">
      <c r="A261" s="9">
        <v>44308</v>
      </c>
      <c r="B261" s="4" t="s">
        <v>224</v>
      </c>
      <c r="C261" s="8">
        <v>44287</v>
      </c>
      <c r="D261" s="4" t="s">
        <v>177</v>
      </c>
      <c r="E261" s="14">
        <v>1.01E-2</v>
      </c>
      <c r="F261" s="7">
        <v>9</v>
      </c>
      <c r="G261" s="14">
        <v>0</v>
      </c>
      <c r="H261" s="7">
        <v>0</v>
      </c>
      <c r="I261" s="14">
        <v>1.01E-2</v>
      </c>
      <c r="J261" s="7">
        <v>9</v>
      </c>
    </row>
    <row r="262" spans="1:10" x14ac:dyDescent="0.2">
      <c r="A262" s="9">
        <v>44309</v>
      </c>
      <c r="B262" s="4" t="s">
        <v>222</v>
      </c>
      <c r="C262" s="8">
        <v>44287</v>
      </c>
      <c r="D262" s="4" t="s">
        <v>177</v>
      </c>
      <c r="E262" s="14">
        <v>0.16400000000000001</v>
      </c>
      <c r="F262" s="7">
        <v>145</v>
      </c>
      <c r="G262" s="14">
        <v>0</v>
      </c>
      <c r="H262" s="7">
        <v>0</v>
      </c>
      <c r="I262" s="14">
        <v>0.16400000000000001</v>
      </c>
      <c r="J262" s="7">
        <v>145</v>
      </c>
    </row>
    <row r="263" spans="1:10" x14ac:dyDescent="0.2">
      <c r="A263" s="9">
        <v>44312</v>
      </c>
      <c r="B263" s="4" t="s">
        <v>225</v>
      </c>
      <c r="C263" s="8">
        <v>44287</v>
      </c>
      <c r="D263" s="4" t="s">
        <v>177</v>
      </c>
      <c r="E263" s="14">
        <v>0.27079999999999999</v>
      </c>
      <c r="F263" s="7">
        <v>238</v>
      </c>
      <c r="G263" s="14">
        <v>0</v>
      </c>
      <c r="H263" s="7">
        <v>0</v>
      </c>
      <c r="I263" s="14">
        <v>0.27079999999999999</v>
      </c>
      <c r="J263" s="7">
        <v>238</v>
      </c>
    </row>
    <row r="264" spans="1:10" x14ac:dyDescent="0.2">
      <c r="A264" s="9">
        <v>44313</v>
      </c>
      <c r="B264" s="4" t="s">
        <v>223</v>
      </c>
      <c r="C264" s="8">
        <v>44287</v>
      </c>
      <c r="D264" s="4" t="s">
        <v>177</v>
      </c>
      <c r="E264" s="14">
        <v>0.21929999999999999</v>
      </c>
      <c r="F264" s="7">
        <v>192</v>
      </c>
      <c r="G264" s="14">
        <v>0</v>
      </c>
      <c r="H264" s="7">
        <v>0</v>
      </c>
      <c r="I264" s="14">
        <v>0.21929999999999999</v>
      </c>
      <c r="J264" s="7">
        <v>192</v>
      </c>
    </row>
    <row r="265" spans="1:10" x14ac:dyDescent="0.2">
      <c r="A265" s="9">
        <v>44314</v>
      </c>
      <c r="B265" s="4" t="s">
        <v>221</v>
      </c>
      <c r="C265" s="8">
        <v>44287</v>
      </c>
      <c r="D265" s="4" t="s">
        <v>177</v>
      </c>
      <c r="E265" s="14">
        <v>2.6800000000000001E-2</v>
      </c>
      <c r="F265" s="7">
        <v>23</v>
      </c>
      <c r="G265" s="14">
        <v>0</v>
      </c>
      <c r="H265" s="7">
        <v>0</v>
      </c>
      <c r="I265" s="14">
        <v>2.6800000000000001E-2</v>
      </c>
      <c r="J265" s="7">
        <v>23</v>
      </c>
    </row>
    <row r="266" spans="1:10" x14ac:dyDescent="0.2">
      <c r="A266" s="9">
        <v>44315</v>
      </c>
      <c r="B266" s="4" t="s">
        <v>224</v>
      </c>
      <c r="C266" s="8">
        <v>44287</v>
      </c>
      <c r="D266" s="4" t="s">
        <v>177</v>
      </c>
      <c r="E266" s="14">
        <v>0.12770000000000001</v>
      </c>
      <c r="F266" s="7">
        <v>109</v>
      </c>
      <c r="G266" s="14">
        <v>0</v>
      </c>
      <c r="H266" s="7">
        <v>0</v>
      </c>
      <c r="I266" s="14">
        <v>0.12770000000000001</v>
      </c>
      <c r="J266" s="7">
        <v>109</v>
      </c>
    </row>
    <row r="267" spans="1:10" x14ac:dyDescent="0.2">
      <c r="A267" s="9">
        <v>44316</v>
      </c>
      <c r="B267" s="4" t="s">
        <v>222</v>
      </c>
      <c r="C267" s="8">
        <v>44287</v>
      </c>
      <c r="D267" s="4" t="s">
        <v>177</v>
      </c>
      <c r="E267" s="14">
        <v>7.0000000000000001E-3</v>
      </c>
      <c r="F267" s="7">
        <v>6</v>
      </c>
      <c r="G267" s="14">
        <v>0</v>
      </c>
      <c r="H267" s="7">
        <v>0</v>
      </c>
      <c r="I267" s="14">
        <v>7.0000000000000001E-3</v>
      </c>
      <c r="J267" s="7">
        <v>6</v>
      </c>
    </row>
    <row r="268" spans="1:10" x14ac:dyDescent="0.2">
      <c r="A268" s="9">
        <v>44319</v>
      </c>
      <c r="B268" s="4" t="s">
        <v>225</v>
      </c>
      <c r="C268" s="8">
        <v>44317</v>
      </c>
      <c r="D268" s="4" t="s">
        <v>177</v>
      </c>
      <c r="E268" s="14">
        <v>4.5999999999999999E-3</v>
      </c>
      <c r="F268" s="7">
        <v>4</v>
      </c>
      <c r="G268" s="14">
        <v>0</v>
      </c>
      <c r="H268" s="7">
        <v>0</v>
      </c>
      <c r="I268" s="14">
        <v>4.5999999999999999E-3</v>
      </c>
      <c r="J268" s="7">
        <v>4</v>
      </c>
    </row>
    <row r="269" spans="1:10" x14ac:dyDescent="0.2">
      <c r="A269" s="9">
        <v>44320</v>
      </c>
      <c r="B269" s="4" t="s">
        <v>223</v>
      </c>
      <c r="C269" s="8">
        <v>44317</v>
      </c>
      <c r="D269" s="4" t="s">
        <v>177</v>
      </c>
      <c r="E269" s="14">
        <v>0.51829999999999998</v>
      </c>
      <c r="F269" s="7">
        <v>449</v>
      </c>
      <c r="G269" s="14">
        <v>0</v>
      </c>
      <c r="H269" s="7">
        <v>0</v>
      </c>
      <c r="I269" s="14">
        <v>0.51829999999999998</v>
      </c>
      <c r="J269" s="7">
        <v>449</v>
      </c>
    </row>
    <row r="270" spans="1:10" x14ac:dyDescent="0.2">
      <c r="A270" s="9">
        <v>44321</v>
      </c>
      <c r="B270" s="4" t="s">
        <v>221</v>
      </c>
      <c r="C270" s="8">
        <v>44317</v>
      </c>
      <c r="D270" s="4" t="s">
        <v>177</v>
      </c>
      <c r="E270" s="14">
        <v>0.1046</v>
      </c>
      <c r="F270" s="7">
        <v>91</v>
      </c>
      <c r="G270" s="14">
        <v>0</v>
      </c>
      <c r="H270" s="7">
        <v>0</v>
      </c>
      <c r="I270" s="14">
        <v>0.1046</v>
      </c>
      <c r="J270" s="7">
        <v>91</v>
      </c>
    </row>
    <row r="271" spans="1:10" x14ac:dyDescent="0.2">
      <c r="A271" s="9">
        <v>44322</v>
      </c>
      <c r="B271" s="4" t="s">
        <v>224</v>
      </c>
      <c r="C271" s="8">
        <v>44317</v>
      </c>
      <c r="D271" s="4" t="s">
        <v>177</v>
      </c>
      <c r="E271" s="14">
        <v>9.0300000000000005E-2</v>
      </c>
      <c r="F271" s="7">
        <v>78</v>
      </c>
      <c r="G271" s="14">
        <v>0</v>
      </c>
      <c r="H271" s="7">
        <v>0</v>
      </c>
      <c r="I271" s="14">
        <v>9.0300000000000005E-2</v>
      </c>
      <c r="J271" s="7">
        <v>78</v>
      </c>
    </row>
    <row r="272" spans="1:10" x14ac:dyDescent="0.2">
      <c r="A272" s="9">
        <v>44323</v>
      </c>
      <c r="B272" s="4" t="s">
        <v>222</v>
      </c>
      <c r="C272" s="8">
        <v>44317</v>
      </c>
      <c r="D272" s="4" t="s">
        <v>177</v>
      </c>
      <c r="E272" s="14">
        <v>7.9399999999999998E-2</v>
      </c>
      <c r="F272" s="7">
        <v>68</v>
      </c>
      <c r="G272" s="14">
        <v>0</v>
      </c>
      <c r="H272" s="7">
        <v>0</v>
      </c>
      <c r="I272" s="14">
        <v>7.9399999999999998E-2</v>
      </c>
      <c r="J272" s="7">
        <v>68</v>
      </c>
    </row>
    <row r="273" spans="1:10" x14ac:dyDescent="0.2">
      <c r="A273" s="9">
        <v>44326</v>
      </c>
      <c r="B273" s="4" t="s">
        <v>225</v>
      </c>
      <c r="C273" s="8">
        <v>44317</v>
      </c>
      <c r="D273" s="4" t="s">
        <v>177</v>
      </c>
      <c r="E273" s="14">
        <v>1.29E-2</v>
      </c>
      <c r="F273" s="7">
        <v>11</v>
      </c>
      <c r="G273" s="14">
        <v>0</v>
      </c>
      <c r="H273" s="7">
        <v>0</v>
      </c>
      <c r="I273" s="14">
        <v>1.29E-2</v>
      </c>
      <c r="J273" s="7">
        <v>11</v>
      </c>
    </row>
    <row r="274" spans="1:10" x14ac:dyDescent="0.2">
      <c r="A274" s="9">
        <v>44327</v>
      </c>
      <c r="B274" s="4" t="s">
        <v>223</v>
      </c>
      <c r="C274" s="8">
        <v>44317</v>
      </c>
      <c r="D274" s="4" t="s">
        <v>177</v>
      </c>
      <c r="E274" s="14">
        <v>1.4E-2</v>
      </c>
      <c r="F274" s="7">
        <v>12</v>
      </c>
      <c r="G274" s="14">
        <v>0</v>
      </c>
      <c r="H274" s="7">
        <v>0</v>
      </c>
      <c r="I274" s="14">
        <v>1.4E-2</v>
      </c>
      <c r="J274" s="7">
        <v>12</v>
      </c>
    </row>
    <row r="275" spans="1:10" x14ac:dyDescent="0.2">
      <c r="A275" s="9">
        <v>44328</v>
      </c>
      <c r="B275" s="4" t="s">
        <v>221</v>
      </c>
      <c r="C275" s="8">
        <v>44317</v>
      </c>
      <c r="D275" s="4" t="s">
        <v>177</v>
      </c>
      <c r="E275" s="14">
        <v>1.7399999999999999E-2</v>
      </c>
      <c r="F275" s="7">
        <v>15</v>
      </c>
      <c r="G275" s="14">
        <v>0</v>
      </c>
      <c r="H275" s="7">
        <v>0</v>
      </c>
      <c r="I275" s="14">
        <v>1.7399999999999999E-2</v>
      </c>
      <c r="J275" s="7">
        <v>15</v>
      </c>
    </row>
    <row r="276" spans="1:10" x14ac:dyDescent="0.2">
      <c r="A276" s="9">
        <v>44330</v>
      </c>
      <c r="B276" s="4" t="s">
        <v>222</v>
      </c>
      <c r="C276" s="8">
        <v>44317</v>
      </c>
      <c r="D276" s="4" t="s">
        <v>177</v>
      </c>
      <c r="E276" s="14">
        <v>5.1900000000000002E-2</v>
      </c>
      <c r="F276" s="7">
        <v>45</v>
      </c>
      <c r="G276" s="14">
        <v>0</v>
      </c>
      <c r="H276" s="7">
        <v>0</v>
      </c>
      <c r="I276" s="14">
        <v>5.1900000000000002E-2</v>
      </c>
      <c r="J276" s="7">
        <v>45</v>
      </c>
    </row>
    <row r="277" spans="1:10" x14ac:dyDescent="0.2">
      <c r="A277" s="9">
        <v>44333</v>
      </c>
      <c r="B277" s="4" t="s">
        <v>225</v>
      </c>
      <c r="C277" s="8">
        <v>44317</v>
      </c>
      <c r="D277" s="4" t="s">
        <v>177</v>
      </c>
      <c r="E277" s="14">
        <v>3.1399999999999997E-2</v>
      </c>
      <c r="F277" s="7">
        <v>27</v>
      </c>
      <c r="G277" s="14">
        <v>0</v>
      </c>
      <c r="H277" s="7">
        <v>0</v>
      </c>
      <c r="I277" s="14">
        <v>3.1399999999999997E-2</v>
      </c>
      <c r="J277" s="7">
        <v>27</v>
      </c>
    </row>
    <row r="278" spans="1:10" x14ac:dyDescent="0.2">
      <c r="A278" s="9">
        <v>44334</v>
      </c>
      <c r="B278" s="4" t="s">
        <v>223</v>
      </c>
      <c r="C278" s="8">
        <v>44317</v>
      </c>
      <c r="D278" s="4" t="s">
        <v>177</v>
      </c>
      <c r="E278" s="14">
        <v>1.9E-2</v>
      </c>
      <c r="F278" s="7">
        <v>16</v>
      </c>
      <c r="G278" s="14">
        <v>0</v>
      </c>
      <c r="H278" s="7">
        <v>0</v>
      </c>
      <c r="I278" s="14">
        <v>1.9E-2</v>
      </c>
      <c r="J278" s="7">
        <v>16</v>
      </c>
    </row>
    <row r="279" spans="1:10" x14ac:dyDescent="0.2">
      <c r="A279" s="9">
        <v>44335</v>
      </c>
      <c r="B279" s="4" t="s">
        <v>221</v>
      </c>
      <c r="C279" s="8">
        <v>44317</v>
      </c>
      <c r="D279" s="4" t="s">
        <v>177</v>
      </c>
      <c r="E279" s="14">
        <v>0.12809999999999999</v>
      </c>
      <c r="F279" s="7">
        <v>108</v>
      </c>
      <c r="G279" s="14">
        <v>0</v>
      </c>
      <c r="H279" s="7">
        <v>0</v>
      </c>
      <c r="I279" s="14">
        <v>0.12809999999999999</v>
      </c>
      <c r="J279" s="7">
        <v>108</v>
      </c>
    </row>
    <row r="280" spans="1:10" x14ac:dyDescent="0.2">
      <c r="A280" s="9">
        <v>44336</v>
      </c>
      <c r="B280" s="4" t="s">
        <v>224</v>
      </c>
      <c r="C280" s="8">
        <v>44317</v>
      </c>
      <c r="D280" s="4" t="s">
        <v>177</v>
      </c>
      <c r="E280" s="14">
        <v>0.36770000000000003</v>
      </c>
      <c r="F280" s="7">
        <v>312</v>
      </c>
      <c r="G280" s="14">
        <v>0</v>
      </c>
      <c r="H280" s="7">
        <v>0</v>
      </c>
      <c r="I280" s="14">
        <v>0.36770000000000003</v>
      </c>
      <c r="J280" s="7">
        <v>312</v>
      </c>
    </row>
    <row r="281" spans="1:10" x14ac:dyDescent="0.2">
      <c r="A281" s="9">
        <v>44337</v>
      </c>
      <c r="B281" s="4" t="s">
        <v>222</v>
      </c>
      <c r="C281" s="8">
        <v>44317</v>
      </c>
      <c r="D281" s="4" t="s">
        <v>177</v>
      </c>
      <c r="E281" s="14">
        <v>1.4200000000000001E-2</v>
      </c>
      <c r="F281" s="7">
        <v>12</v>
      </c>
      <c r="G281" s="14">
        <v>0</v>
      </c>
      <c r="H281" s="7">
        <v>0</v>
      </c>
      <c r="I281" s="14">
        <v>1.4200000000000001E-2</v>
      </c>
      <c r="J281" s="7">
        <v>12</v>
      </c>
    </row>
    <row r="282" spans="1:10" x14ac:dyDescent="0.2">
      <c r="A282" s="9">
        <v>44340</v>
      </c>
      <c r="B282" s="4" t="s">
        <v>225</v>
      </c>
      <c r="C282" s="8">
        <v>44317</v>
      </c>
      <c r="D282" s="4" t="s">
        <v>177</v>
      </c>
      <c r="E282" s="14">
        <v>6.0000000000000001E-3</v>
      </c>
      <c r="F282" s="7">
        <v>5</v>
      </c>
      <c r="G282" s="14">
        <v>0</v>
      </c>
      <c r="H282" s="7">
        <v>0</v>
      </c>
      <c r="I282" s="14">
        <v>6.0000000000000001E-3</v>
      </c>
      <c r="J282" s="7">
        <v>5</v>
      </c>
    </row>
    <row r="283" spans="1:10" x14ac:dyDescent="0.2">
      <c r="A283" s="9">
        <v>44341</v>
      </c>
      <c r="B283" s="4" t="s">
        <v>223</v>
      </c>
      <c r="C283" s="8">
        <v>44317</v>
      </c>
      <c r="D283" s="4" t="s">
        <v>177</v>
      </c>
      <c r="E283" s="14">
        <v>1.9099999999999999E-2</v>
      </c>
      <c r="F283" s="7">
        <v>16</v>
      </c>
      <c r="G283" s="14">
        <v>0</v>
      </c>
      <c r="H283" s="7">
        <v>0</v>
      </c>
      <c r="I283" s="14">
        <v>1.9099999999999999E-2</v>
      </c>
      <c r="J283" s="7">
        <v>16</v>
      </c>
    </row>
    <row r="284" spans="1:10" x14ac:dyDescent="0.2">
      <c r="A284" s="9">
        <v>44342</v>
      </c>
      <c r="B284" s="4" t="s">
        <v>221</v>
      </c>
      <c r="C284" s="8">
        <v>44317</v>
      </c>
      <c r="D284" s="4" t="s">
        <v>177</v>
      </c>
      <c r="E284" s="14">
        <v>7.2099999999999997E-2</v>
      </c>
      <c r="F284" s="7">
        <v>60</v>
      </c>
      <c r="G284" s="14">
        <v>0</v>
      </c>
      <c r="H284" s="7">
        <v>0</v>
      </c>
      <c r="I284" s="14">
        <v>7.2099999999999997E-2</v>
      </c>
      <c r="J284" s="7">
        <v>60</v>
      </c>
    </row>
    <row r="285" spans="1:10" x14ac:dyDescent="0.2">
      <c r="A285" s="9">
        <v>44343</v>
      </c>
      <c r="B285" s="4" t="s">
        <v>224</v>
      </c>
      <c r="C285" s="8">
        <v>44317</v>
      </c>
      <c r="D285" s="4" t="s">
        <v>177</v>
      </c>
      <c r="E285" s="14">
        <v>0.25750000000000001</v>
      </c>
      <c r="F285" s="7">
        <v>214</v>
      </c>
      <c r="G285" s="14">
        <v>0</v>
      </c>
      <c r="H285" s="7">
        <v>0</v>
      </c>
      <c r="I285" s="14">
        <v>0.25750000000000001</v>
      </c>
      <c r="J285" s="7">
        <v>214</v>
      </c>
    </row>
    <row r="286" spans="1:10" x14ac:dyDescent="0.2">
      <c r="A286" s="9">
        <v>44344</v>
      </c>
      <c r="B286" s="4" t="s">
        <v>222</v>
      </c>
      <c r="C286" s="8">
        <v>44317</v>
      </c>
      <c r="D286" s="4" t="s">
        <v>177</v>
      </c>
      <c r="E286" s="14">
        <v>6.1000000000000004E-3</v>
      </c>
      <c r="F286" s="7">
        <v>5</v>
      </c>
      <c r="G286" s="14">
        <v>0</v>
      </c>
      <c r="H286" s="7">
        <v>0</v>
      </c>
      <c r="I286" s="14">
        <v>6.1000000000000004E-3</v>
      </c>
      <c r="J286" s="7">
        <v>5</v>
      </c>
    </row>
    <row r="287" spans="1:10" x14ac:dyDescent="0.2">
      <c r="A287" s="9">
        <v>44347</v>
      </c>
      <c r="B287" s="4" t="s">
        <v>225</v>
      </c>
      <c r="C287" s="8">
        <v>44317</v>
      </c>
      <c r="D287" s="4" t="s">
        <v>177</v>
      </c>
      <c r="E287" s="14">
        <v>0.1196</v>
      </c>
      <c r="F287" s="7">
        <v>98</v>
      </c>
      <c r="G287" s="14">
        <v>0</v>
      </c>
      <c r="H287" s="7">
        <v>0</v>
      </c>
      <c r="I287" s="14">
        <v>0.1196</v>
      </c>
      <c r="J287" s="7">
        <v>98</v>
      </c>
    </row>
    <row r="288" spans="1:10" x14ac:dyDescent="0.2">
      <c r="A288" s="9">
        <v>44348</v>
      </c>
      <c r="B288" s="4" t="s">
        <v>223</v>
      </c>
      <c r="C288" s="8">
        <v>44348</v>
      </c>
      <c r="D288" s="4" t="s">
        <v>177</v>
      </c>
      <c r="E288" s="14">
        <v>9.7999999999999997E-3</v>
      </c>
      <c r="F288" s="7">
        <v>8</v>
      </c>
      <c r="G288" s="14">
        <v>0</v>
      </c>
      <c r="H288" s="7">
        <v>0</v>
      </c>
      <c r="I288" s="14">
        <v>9.7999999999999997E-3</v>
      </c>
      <c r="J288" s="7">
        <v>8</v>
      </c>
    </row>
    <row r="289" spans="1:10" x14ac:dyDescent="0.2">
      <c r="A289" s="9">
        <v>44349</v>
      </c>
      <c r="B289" s="4" t="s">
        <v>221</v>
      </c>
      <c r="C289" s="8">
        <v>44348</v>
      </c>
      <c r="D289" s="4" t="s">
        <v>177</v>
      </c>
      <c r="E289" s="14">
        <v>9.7999999999999997E-3</v>
      </c>
      <c r="F289" s="7">
        <v>8</v>
      </c>
      <c r="G289" s="14">
        <v>0</v>
      </c>
      <c r="H289" s="7">
        <v>0</v>
      </c>
      <c r="I289" s="14">
        <v>9.7999999999999997E-3</v>
      </c>
      <c r="J289" s="7">
        <v>8</v>
      </c>
    </row>
    <row r="290" spans="1:10" x14ac:dyDescent="0.2">
      <c r="A290" s="9">
        <v>44350</v>
      </c>
      <c r="B290" s="4" t="s">
        <v>224</v>
      </c>
      <c r="C290" s="8">
        <v>44348</v>
      </c>
      <c r="D290" s="4" t="s">
        <v>177</v>
      </c>
      <c r="E290" s="14">
        <v>4.5699999999999998E-2</v>
      </c>
      <c r="F290" s="7">
        <v>37</v>
      </c>
      <c r="G290" s="14">
        <v>0</v>
      </c>
      <c r="H290" s="7">
        <v>0</v>
      </c>
      <c r="I290" s="14">
        <v>4.5699999999999998E-2</v>
      </c>
      <c r="J290" s="7">
        <v>37</v>
      </c>
    </row>
    <row r="291" spans="1:10" x14ac:dyDescent="0.2">
      <c r="A291" s="9">
        <v>44351</v>
      </c>
      <c r="B291" s="4" t="s">
        <v>222</v>
      </c>
      <c r="C291" s="8">
        <v>44348</v>
      </c>
      <c r="D291" s="4" t="s">
        <v>177</v>
      </c>
      <c r="E291" s="14">
        <v>1.6E-2</v>
      </c>
      <c r="F291" s="7">
        <v>13</v>
      </c>
      <c r="G291" s="14">
        <v>0</v>
      </c>
      <c r="H291" s="7">
        <v>0</v>
      </c>
      <c r="I291" s="14">
        <v>1.6E-2</v>
      </c>
      <c r="J291" s="7">
        <v>13</v>
      </c>
    </row>
    <row r="292" spans="1:10" x14ac:dyDescent="0.2">
      <c r="A292" s="9">
        <v>44354</v>
      </c>
      <c r="B292" s="4" t="s">
        <v>225</v>
      </c>
      <c r="C292" s="8">
        <v>44348</v>
      </c>
      <c r="D292" s="4" t="s">
        <v>177</v>
      </c>
      <c r="E292" s="14">
        <v>9.9000000000000008E-3</v>
      </c>
      <c r="F292" s="7">
        <v>8</v>
      </c>
      <c r="G292" s="14">
        <v>0</v>
      </c>
      <c r="H292" s="7">
        <v>0</v>
      </c>
      <c r="I292" s="14">
        <v>9.9000000000000008E-3</v>
      </c>
      <c r="J292" s="7">
        <v>8</v>
      </c>
    </row>
    <row r="293" spans="1:10" x14ac:dyDescent="0.2">
      <c r="A293" s="9">
        <v>44355</v>
      </c>
      <c r="B293" s="4" t="s">
        <v>223</v>
      </c>
      <c r="C293" s="8">
        <v>44348</v>
      </c>
      <c r="D293" s="4" t="s">
        <v>177</v>
      </c>
      <c r="E293" s="14">
        <v>9.9000000000000008E-3</v>
      </c>
      <c r="F293" s="7">
        <v>8</v>
      </c>
      <c r="G293" s="14">
        <v>0</v>
      </c>
      <c r="H293" s="7">
        <v>0</v>
      </c>
      <c r="I293" s="14">
        <v>9.9000000000000008E-3</v>
      </c>
      <c r="J293" s="7">
        <v>8</v>
      </c>
    </row>
    <row r="294" spans="1:10" x14ac:dyDescent="0.2">
      <c r="A294" s="9">
        <v>44356</v>
      </c>
      <c r="B294" s="4" t="s">
        <v>221</v>
      </c>
      <c r="C294" s="8">
        <v>44348</v>
      </c>
      <c r="D294" s="4" t="s">
        <v>177</v>
      </c>
      <c r="E294" s="14">
        <v>0.1011</v>
      </c>
      <c r="F294" s="7">
        <v>82</v>
      </c>
      <c r="G294" s="14">
        <v>0</v>
      </c>
      <c r="H294" s="7">
        <v>0</v>
      </c>
      <c r="I294" s="14">
        <v>0.1011</v>
      </c>
      <c r="J294" s="7">
        <v>82</v>
      </c>
    </row>
    <row r="295" spans="1:10" x14ac:dyDescent="0.2">
      <c r="A295" s="9">
        <v>44357</v>
      </c>
      <c r="B295" s="4" t="s">
        <v>224</v>
      </c>
      <c r="C295" s="8">
        <v>44348</v>
      </c>
      <c r="D295" s="4" t="s">
        <v>177</v>
      </c>
      <c r="E295" s="14">
        <v>2.5999999999999999E-2</v>
      </c>
      <c r="F295" s="7">
        <v>21</v>
      </c>
      <c r="G295" s="14">
        <v>0</v>
      </c>
      <c r="H295" s="7">
        <v>0</v>
      </c>
      <c r="I295" s="14">
        <v>2.5999999999999999E-2</v>
      </c>
      <c r="J295" s="7">
        <v>21</v>
      </c>
    </row>
    <row r="296" spans="1:10" x14ac:dyDescent="0.2">
      <c r="A296" s="9">
        <v>44358</v>
      </c>
      <c r="B296" s="4" t="s">
        <v>222</v>
      </c>
      <c r="C296" s="8">
        <v>44348</v>
      </c>
      <c r="D296" s="4" t="s">
        <v>177</v>
      </c>
      <c r="E296" s="14">
        <v>2.7300000000000001E-2</v>
      </c>
      <c r="F296" s="7">
        <v>22</v>
      </c>
      <c r="G296" s="14">
        <v>0</v>
      </c>
      <c r="H296" s="7">
        <v>0</v>
      </c>
      <c r="I296" s="14">
        <v>2.7300000000000001E-2</v>
      </c>
      <c r="J296" s="7">
        <v>22</v>
      </c>
    </row>
    <row r="297" spans="1:10" x14ac:dyDescent="0.2">
      <c r="A297" s="9">
        <v>44361</v>
      </c>
      <c r="B297" s="4" t="s">
        <v>225</v>
      </c>
      <c r="C297" s="8">
        <v>44348</v>
      </c>
      <c r="D297" s="4" t="s">
        <v>177</v>
      </c>
      <c r="E297" s="14">
        <v>2.35E-2</v>
      </c>
      <c r="F297" s="7">
        <v>19</v>
      </c>
      <c r="G297" s="14">
        <v>0</v>
      </c>
      <c r="H297" s="7">
        <v>0</v>
      </c>
      <c r="I297" s="14">
        <v>2.35E-2</v>
      </c>
      <c r="J297" s="7">
        <v>19</v>
      </c>
    </row>
    <row r="298" spans="1:10" x14ac:dyDescent="0.2">
      <c r="A298" s="9">
        <v>44362</v>
      </c>
      <c r="B298" s="4" t="s">
        <v>223</v>
      </c>
      <c r="C298" s="8">
        <v>44348</v>
      </c>
      <c r="D298" s="4" t="s">
        <v>177</v>
      </c>
      <c r="E298" s="14">
        <v>8.6999999999999994E-3</v>
      </c>
      <c r="F298" s="7">
        <v>7</v>
      </c>
      <c r="G298" s="14">
        <v>0</v>
      </c>
      <c r="H298" s="7">
        <v>0</v>
      </c>
      <c r="I298" s="14">
        <v>8.6999999999999994E-3</v>
      </c>
      <c r="J298" s="7">
        <v>7</v>
      </c>
    </row>
    <row r="299" spans="1:10" x14ac:dyDescent="0.2">
      <c r="A299" s="9">
        <v>44363</v>
      </c>
      <c r="B299" s="4" t="s">
        <v>221</v>
      </c>
      <c r="C299" s="8">
        <v>44348</v>
      </c>
      <c r="D299" s="4" t="s">
        <v>177</v>
      </c>
      <c r="E299" s="14">
        <v>1.12E-2</v>
      </c>
      <c r="F299" s="7">
        <v>9</v>
      </c>
      <c r="G299" s="14">
        <v>0</v>
      </c>
      <c r="H299" s="7">
        <v>0</v>
      </c>
      <c r="I299" s="14">
        <v>1.12E-2</v>
      </c>
      <c r="J299" s="7">
        <v>9</v>
      </c>
    </row>
    <row r="300" spans="1:10" x14ac:dyDescent="0.2">
      <c r="A300" s="9">
        <v>44364</v>
      </c>
      <c r="B300" s="4" t="s">
        <v>224</v>
      </c>
      <c r="C300" s="8">
        <v>44348</v>
      </c>
      <c r="D300" s="4" t="s">
        <v>177</v>
      </c>
      <c r="E300" s="14">
        <v>1.9699999999999999E-2</v>
      </c>
      <c r="F300" s="7">
        <v>16</v>
      </c>
      <c r="G300" s="14">
        <v>0</v>
      </c>
      <c r="H300" s="7">
        <v>0</v>
      </c>
      <c r="I300" s="14">
        <v>1.9699999999999999E-2</v>
      </c>
      <c r="J300" s="7">
        <v>16</v>
      </c>
    </row>
    <row r="301" spans="1:10" x14ac:dyDescent="0.2">
      <c r="A301" s="9">
        <v>44365</v>
      </c>
      <c r="B301" s="4" t="s">
        <v>222</v>
      </c>
      <c r="C301" s="8">
        <v>44348</v>
      </c>
      <c r="D301" s="4" t="s">
        <v>177</v>
      </c>
      <c r="E301" s="14">
        <v>1.35E-2</v>
      </c>
      <c r="F301" s="7">
        <v>11</v>
      </c>
      <c r="G301" s="14">
        <v>0</v>
      </c>
      <c r="H301" s="7">
        <v>0</v>
      </c>
      <c r="I301" s="14">
        <v>1.35E-2</v>
      </c>
      <c r="J301" s="7">
        <v>11</v>
      </c>
    </row>
    <row r="302" spans="1:10" x14ac:dyDescent="0.2">
      <c r="A302" s="9">
        <v>44368</v>
      </c>
      <c r="B302" s="4" t="s">
        <v>225</v>
      </c>
      <c r="C302" s="8">
        <v>44348</v>
      </c>
      <c r="D302" s="4" t="s">
        <v>177</v>
      </c>
      <c r="E302" s="14">
        <v>1.23E-2</v>
      </c>
      <c r="F302" s="7">
        <v>10</v>
      </c>
      <c r="G302" s="14">
        <v>0</v>
      </c>
      <c r="H302" s="7">
        <v>0</v>
      </c>
      <c r="I302" s="14">
        <v>1.23E-2</v>
      </c>
      <c r="J302" s="7">
        <v>10</v>
      </c>
    </row>
    <row r="303" spans="1:10" x14ac:dyDescent="0.2">
      <c r="A303" s="9">
        <v>44369</v>
      </c>
      <c r="B303" s="4" t="s">
        <v>223</v>
      </c>
      <c r="C303" s="8">
        <v>44348</v>
      </c>
      <c r="D303" s="4" t="s">
        <v>177</v>
      </c>
      <c r="E303" s="14">
        <v>2.98E-2</v>
      </c>
      <c r="F303" s="7">
        <v>24</v>
      </c>
      <c r="G303" s="14">
        <v>0</v>
      </c>
      <c r="H303" s="7">
        <v>0</v>
      </c>
      <c r="I303" s="14">
        <v>2.98E-2</v>
      </c>
      <c r="J303" s="7">
        <v>24</v>
      </c>
    </row>
    <row r="304" spans="1:10" x14ac:dyDescent="0.2">
      <c r="A304" s="9">
        <v>44370</v>
      </c>
      <c r="B304" s="4" t="s">
        <v>221</v>
      </c>
      <c r="C304" s="8">
        <v>44348</v>
      </c>
      <c r="D304" s="4" t="s">
        <v>177</v>
      </c>
      <c r="E304" s="14">
        <v>5.0799999999999998E-2</v>
      </c>
      <c r="F304" s="7">
        <v>41</v>
      </c>
      <c r="G304" s="14">
        <v>0</v>
      </c>
      <c r="H304" s="7">
        <v>0</v>
      </c>
      <c r="I304" s="14">
        <v>5.0799999999999998E-2</v>
      </c>
      <c r="J304" s="7">
        <v>41</v>
      </c>
    </row>
    <row r="305" spans="1:10" x14ac:dyDescent="0.2">
      <c r="A305" s="9">
        <v>44371</v>
      </c>
      <c r="B305" s="4" t="s">
        <v>224</v>
      </c>
      <c r="C305" s="8">
        <v>44348</v>
      </c>
      <c r="D305" s="4" t="s">
        <v>177</v>
      </c>
      <c r="E305" s="14">
        <v>0.1135</v>
      </c>
      <c r="F305" s="7">
        <v>99</v>
      </c>
      <c r="G305" s="14">
        <v>0</v>
      </c>
      <c r="H305" s="7">
        <v>0</v>
      </c>
      <c r="I305" s="14">
        <v>0.1135</v>
      </c>
      <c r="J305" s="7">
        <v>99</v>
      </c>
    </row>
    <row r="306" spans="1:10" x14ac:dyDescent="0.2">
      <c r="A306" s="9">
        <v>44372</v>
      </c>
      <c r="B306" s="4" t="s">
        <v>222</v>
      </c>
      <c r="C306" s="8">
        <v>44348</v>
      </c>
      <c r="D306" s="4" t="s">
        <v>177</v>
      </c>
      <c r="E306" s="14">
        <v>0.1062</v>
      </c>
      <c r="F306" s="7">
        <v>128</v>
      </c>
      <c r="G306" s="14">
        <v>0</v>
      </c>
      <c r="H306" s="7">
        <v>0</v>
      </c>
      <c r="I306" s="14">
        <v>0.1062</v>
      </c>
      <c r="J306" s="7">
        <v>128</v>
      </c>
    </row>
    <row r="307" spans="1:10" x14ac:dyDescent="0.2">
      <c r="A307" s="9">
        <v>44375</v>
      </c>
      <c r="B307" s="4" t="s">
        <v>225</v>
      </c>
      <c r="C307" s="8">
        <v>44348</v>
      </c>
      <c r="D307" s="4" t="s">
        <v>177</v>
      </c>
      <c r="E307" s="14">
        <v>9.1000000000000004E-3</v>
      </c>
      <c r="F307" s="7">
        <v>11</v>
      </c>
      <c r="G307" s="14">
        <v>0</v>
      </c>
      <c r="H307" s="7">
        <v>0</v>
      </c>
      <c r="I307" s="14">
        <v>9.1000000000000004E-3</v>
      </c>
      <c r="J307" s="7">
        <v>11</v>
      </c>
    </row>
    <row r="308" spans="1:10" x14ac:dyDescent="0.2">
      <c r="A308" s="9">
        <v>44376</v>
      </c>
      <c r="B308" s="4" t="s">
        <v>223</v>
      </c>
      <c r="C308" s="8">
        <v>44348</v>
      </c>
      <c r="D308" s="4" t="s">
        <v>177</v>
      </c>
      <c r="E308" s="14">
        <v>1.24E-2</v>
      </c>
      <c r="F308" s="7">
        <v>15</v>
      </c>
      <c r="G308" s="14">
        <v>0</v>
      </c>
      <c r="H308" s="7">
        <v>0</v>
      </c>
      <c r="I308" s="14">
        <v>1.24E-2</v>
      </c>
      <c r="J308" s="7">
        <v>15</v>
      </c>
    </row>
    <row r="309" spans="1:10" x14ac:dyDescent="0.2">
      <c r="A309" s="9">
        <v>44377</v>
      </c>
      <c r="B309" s="4" t="s">
        <v>221</v>
      </c>
      <c r="C309" s="8">
        <v>44348</v>
      </c>
      <c r="D309" s="4" t="s">
        <v>177</v>
      </c>
      <c r="E309" s="14">
        <v>8.3000000000000001E-3</v>
      </c>
      <c r="F309" s="7">
        <v>10</v>
      </c>
      <c r="G309" s="14">
        <v>0</v>
      </c>
      <c r="H309" s="7">
        <v>0</v>
      </c>
      <c r="I309" s="14">
        <v>8.3000000000000001E-3</v>
      </c>
      <c r="J309" s="7">
        <v>10</v>
      </c>
    </row>
    <row r="310" spans="1:10" x14ac:dyDescent="0.2">
      <c r="A310" s="9">
        <v>44378</v>
      </c>
      <c r="B310" s="4" t="s">
        <v>224</v>
      </c>
      <c r="C310" s="8">
        <v>44378</v>
      </c>
      <c r="D310" s="4" t="s">
        <v>178</v>
      </c>
      <c r="E310" s="14">
        <v>1.4E-2</v>
      </c>
      <c r="F310" s="7">
        <v>17</v>
      </c>
      <c r="G310" s="14">
        <v>0</v>
      </c>
      <c r="H310" s="7">
        <v>0</v>
      </c>
      <c r="I310" s="14">
        <v>1.4E-2</v>
      </c>
      <c r="J310" s="7">
        <v>17</v>
      </c>
    </row>
    <row r="311" spans="1:10" x14ac:dyDescent="0.2">
      <c r="A311" s="9">
        <v>44379</v>
      </c>
      <c r="B311" s="4" t="s">
        <v>222</v>
      </c>
      <c r="C311" s="8">
        <v>44378</v>
      </c>
      <c r="D311" s="4" t="s">
        <v>178</v>
      </c>
      <c r="E311" s="14">
        <v>2.63E-2</v>
      </c>
      <c r="F311" s="7">
        <v>32</v>
      </c>
      <c r="G311" s="14">
        <v>0</v>
      </c>
      <c r="H311" s="7">
        <v>0</v>
      </c>
      <c r="I311" s="14">
        <v>2.63E-2</v>
      </c>
      <c r="J311" s="7">
        <v>32</v>
      </c>
    </row>
    <row r="312" spans="1:10" x14ac:dyDescent="0.2">
      <c r="A312" s="9">
        <v>44382</v>
      </c>
      <c r="B312" s="4" t="s">
        <v>225</v>
      </c>
      <c r="C312" s="8">
        <v>44378</v>
      </c>
      <c r="D312" s="4" t="s">
        <v>178</v>
      </c>
      <c r="E312" s="14">
        <v>5.0000000000000001E-3</v>
      </c>
      <c r="F312" s="7">
        <v>6</v>
      </c>
      <c r="G312" s="14">
        <v>0</v>
      </c>
      <c r="H312" s="7">
        <v>0</v>
      </c>
      <c r="I312" s="14">
        <v>5.0000000000000001E-3</v>
      </c>
      <c r="J312" s="7">
        <v>6</v>
      </c>
    </row>
    <row r="313" spans="1:10" x14ac:dyDescent="0.2">
      <c r="A313" s="9">
        <v>44383</v>
      </c>
      <c r="B313" s="4" t="s">
        <v>223</v>
      </c>
      <c r="C313" s="8">
        <v>44378</v>
      </c>
      <c r="D313" s="4" t="s">
        <v>178</v>
      </c>
      <c r="E313" s="14">
        <v>1.0800000000000001E-2</v>
      </c>
      <c r="F313" s="7">
        <v>13</v>
      </c>
      <c r="G313" s="14">
        <v>0</v>
      </c>
      <c r="H313" s="7">
        <v>0</v>
      </c>
      <c r="I313" s="14">
        <v>1.0800000000000001E-2</v>
      </c>
      <c r="J313" s="7">
        <v>13</v>
      </c>
    </row>
    <row r="314" spans="1:10" x14ac:dyDescent="0.2">
      <c r="A314" s="9">
        <v>44384</v>
      </c>
      <c r="B314" s="4" t="s">
        <v>221</v>
      </c>
      <c r="C314" s="8">
        <v>44378</v>
      </c>
      <c r="D314" s="4" t="s">
        <v>178</v>
      </c>
      <c r="E314" s="14">
        <v>5.0000000000000001E-3</v>
      </c>
      <c r="F314" s="7">
        <v>6</v>
      </c>
      <c r="G314" s="14">
        <v>0</v>
      </c>
      <c r="H314" s="7">
        <v>0</v>
      </c>
      <c r="I314" s="14">
        <v>5.0000000000000001E-3</v>
      </c>
      <c r="J314" s="7">
        <v>6</v>
      </c>
    </row>
    <row r="315" spans="1:10" x14ac:dyDescent="0.2">
      <c r="A315" s="9">
        <v>44385</v>
      </c>
      <c r="B315" s="4" t="s">
        <v>224</v>
      </c>
      <c r="C315" s="8">
        <v>44378</v>
      </c>
      <c r="D315" s="4" t="s">
        <v>178</v>
      </c>
      <c r="E315" s="14">
        <v>8.3000000000000001E-3</v>
      </c>
      <c r="F315" s="7">
        <v>10</v>
      </c>
      <c r="G315" s="14">
        <v>0</v>
      </c>
      <c r="H315" s="7">
        <v>0</v>
      </c>
      <c r="I315" s="14">
        <v>8.3000000000000001E-3</v>
      </c>
      <c r="J315" s="7">
        <v>10</v>
      </c>
    </row>
    <row r="316" spans="1:10" x14ac:dyDescent="0.2">
      <c r="A316" s="9">
        <v>44386</v>
      </c>
      <c r="B316" s="4" t="s">
        <v>222</v>
      </c>
      <c r="C316" s="8">
        <v>44378</v>
      </c>
      <c r="D316" s="4" t="s">
        <v>178</v>
      </c>
      <c r="E316" s="14">
        <v>1.32E-2</v>
      </c>
      <c r="F316" s="7">
        <v>16</v>
      </c>
      <c r="G316" s="14">
        <v>0</v>
      </c>
      <c r="H316" s="7">
        <v>0</v>
      </c>
      <c r="I316" s="14">
        <v>1.32E-2</v>
      </c>
      <c r="J316" s="7">
        <v>16</v>
      </c>
    </row>
    <row r="317" spans="1:10" x14ac:dyDescent="0.2">
      <c r="A317" s="9">
        <v>44389</v>
      </c>
      <c r="B317" s="4" t="s">
        <v>225</v>
      </c>
      <c r="C317" s="8">
        <v>44378</v>
      </c>
      <c r="D317" s="4" t="s">
        <v>178</v>
      </c>
      <c r="E317" s="14">
        <v>1.0699999999999999E-2</v>
      </c>
      <c r="F317" s="7">
        <v>13</v>
      </c>
      <c r="G317" s="14">
        <v>0</v>
      </c>
      <c r="H317" s="7">
        <v>0</v>
      </c>
      <c r="I317" s="14">
        <v>1.0699999999999999E-2</v>
      </c>
      <c r="J317" s="7">
        <v>13</v>
      </c>
    </row>
    <row r="318" spans="1:10" x14ac:dyDescent="0.2">
      <c r="A318" s="9">
        <v>44390</v>
      </c>
      <c r="B318" s="4" t="s">
        <v>223</v>
      </c>
      <c r="C318" s="8">
        <v>44378</v>
      </c>
      <c r="D318" s="4" t="s">
        <v>178</v>
      </c>
      <c r="E318" s="14">
        <v>1.66E-2</v>
      </c>
      <c r="F318" s="7">
        <v>20</v>
      </c>
      <c r="G318" s="14">
        <v>0</v>
      </c>
      <c r="H318" s="7">
        <v>0</v>
      </c>
      <c r="I318" s="14">
        <v>1.66E-2</v>
      </c>
      <c r="J318" s="7">
        <v>20</v>
      </c>
    </row>
    <row r="319" spans="1:10" x14ac:dyDescent="0.2">
      <c r="A319" s="9">
        <v>44391</v>
      </c>
      <c r="B319" s="4" t="s">
        <v>221</v>
      </c>
      <c r="C319" s="8">
        <v>44378</v>
      </c>
      <c r="D319" s="4" t="s">
        <v>178</v>
      </c>
      <c r="E319" s="14">
        <v>4.1999999999999997E-3</v>
      </c>
      <c r="F319" s="7">
        <v>5</v>
      </c>
      <c r="G319" s="14">
        <v>0</v>
      </c>
      <c r="H319" s="7">
        <v>0</v>
      </c>
      <c r="I319" s="14">
        <v>4.1999999999999997E-3</v>
      </c>
      <c r="J319" s="7">
        <v>5</v>
      </c>
    </row>
    <row r="320" spans="1:10" x14ac:dyDescent="0.2">
      <c r="A320" s="9">
        <v>44392</v>
      </c>
      <c r="B320" s="4" t="s">
        <v>224</v>
      </c>
      <c r="C320" s="8">
        <v>44378</v>
      </c>
      <c r="D320" s="4" t="s">
        <v>178</v>
      </c>
      <c r="E320" s="14">
        <v>8.3000000000000001E-3</v>
      </c>
      <c r="F320" s="7">
        <v>10</v>
      </c>
      <c r="G320" s="14">
        <v>0</v>
      </c>
      <c r="H320" s="7">
        <v>0</v>
      </c>
      <c r="I320" s="14">
        <v>8.3000000000000001E-3</v>
      </c>
      <c r="J320" s="7">
        <v>10</v>
      </c>
    </row>
    <row r="321" spans="1:10" x14ac:dyDescent="0.2">
      <c r="A321" s="9">
        <v>44393</v>
      </c>
      <c r="B321" s="4" t="s">
        <v>222</v>
      </c>
      <c r="C321" s="8">
        <v>44378</v>
      </c>
      <c r="D321" s="4" t="s">
        <v>178</v>
      </c>
      <c r="E321" s="14">
        <v>3.3E-3</v>
      </c>
      <c r="F321" s="7">
        <v>4</v>
      </c>
      <c r="G321" s="14">
        <v>0</v>
      </c>
      <c r="H321" s="7">
        <v>0</v>
      </c>
      <c r="I321" s="14">
        <v>3.3E-3</v>
      </c>
      <c r="J321" s="7">
        <v>4</v>
      </c>
    </row>
    <row r="322" spans="1:10" x14ac:dyDescent="0.2">
      <c r="A322" s="9">
        <v>44396</v>
      </c>
      <c r="B322" s="4" t="s">
        <v>225</v>
      </c>
      <c r="C322" s="8">
        <v>44378</v>
      </c>
      <c r="D322" s="4" t="s">
        <v>178</v>
      </c>
      <c r="E322" s="14">
        <v>1.5699999999999999E-2</v>
      </c>
      <c r="F322" s="7">
        <v>19</v>
      </c>
      <c r="G322" s="14">
        <v>0</v>
      </c>
      <c r="H322" s="7">
        <v>0</v>
      </c>
      <c r="I322" s="14">
        <v>1.5699999999999999E-2</v>
      </c>
      <c r="J322" s="7">
        <v>19</v>
      </c>
    </row>
    <row r="323" spans="1:10" x14ac:dyDescent="0.2">
      <c r="A323" s="9">
        <v>44397</v>
      </c>
      <c r="B323" s="4" t="s">
        <v>223</v>
      </c>
      <c r="C323" s="8">
        <v>44378</v>
      </c>
      <c r="D323" s="4" t="s">
        <v>178</v>
      </c>
      <c r="E323" s="14">
        <v>1.3100000000000001E-2</v>
      </c>
      <c r="F323" s="7">
        <v>16</v>
      </c>
      <c r="G323" s="14">
        <v>0</v>
      </c>
      <c r="H323" s="7">
        <v>0</v>
      </c>
      <c r="I323" s="14">
        <v>1.3100000000000001E-2</v>
      </c>
      <c r="J323" s="7">
        <v>16</v>
      </c>
    </row>
    <row r="324" spans="1:10" x14ac:dyDescent="0.2">
      <c r="A324" s="9">
        <v>44399</v>
      </c>
      <c r="B324" s="4" t="s">
        <v>224</v>
      </c>
      <c r="C324" s="8">
        <v>44378</v>
      </c>
      <c r="D324" s="4" t="s">
        <v>178</v>
      </c>
      <c r="E324" s="14">
        <v>3.56E-2</v>
      </c>
      <c r="F324" s="7">
        <v>43</v>
      </c>
      <c r="G324" s="14">
        <v>0</v>
      </c>
      <c r="H324" s="7">
        <v>0</v>
      </c>
      <c r="I324" s="14">
        <v>3.56E-2</v>
      </c>
      <c r="J324" s="7">
        <v>43</v>
      </c>
    </row>
    <row r="325" spans="1:10" x14ac:dyDescent="0.2">
      <c r="A325" s="9">
        <v>44400</v>
      </c>
      <c r="B325" s="4" t="s">
        <v>222</v>
      </c>
      <c r="C325" s="8">
        <v>44378</v>
      </c>
      <c r="D325" s="4" t="s">
        <v>178</v>
      </c>
      <c r="E325" s="14">
        <v>4.1999999999999997E-3</v>
      </c>
      <c r="F325" s="7">
        <v>5</v>
      </c>
      <c r="G325" s="14">
        <v>0</v>
      </c>
      <c r="H325" s="7">
        <v>0</v>
      </c>
      <c r="I325" s="14">
        <v>4.1999999999999997E-3</v>
      </c>
      <c r="J325" s="7">
        <v>5</v>
      </c>
    </row>
    <row r="326" spans="1:10" x14ac:dyDescent="0.2">
      <c r="A326" s="9">
        <v>44403</v>
      </c>
      <c r="B326" s="4" t="s">
        <v>225</v>
      </c>
      <c r="C326" s="8">
        <v>44378</v>
      </c>
      <c r="D326" s="4" t="s">
        <v>178</v>
      </c>
      <c r="E326" s="14">
        <v>0.01</v>
      </c>
      <c r="F326" s="7">
        <v>12</v>
      </c>
      <c r="G326" s="14">
        <v>0</v>
      </c>
      <c r="H326" s="7">
        <v>0</v>
      </c>
      <c r="I326" s="14">
        <v>0.01</v>
      </c>
      <c r="J326" s="7">
        <v>12</v>
      </c>
    </row>
    <row r="327" spans="1:10" x14ac:dyDescent="0.2">
      <c r="A327" s="9">
        <v>44404</v>
      </c>
      <c r="B327" s="4" t="s">
        <v>223</v>
      </c>
      <c r="C327" s="8">
        <v>44378</v>
      </c>
      <c r="D327" s="4" t="s">
        <v>178</v>
      </c>
      <c r="E327" s="14">
        <v>3.3E-3</v>
      </c>
      <c r="F327" s="7">
        <v>4</v>
      </c>
      <c r="G327" s="14">
        <v>0</v>
      </c>
      <c r="H327" s="7">
        <v>0</v>
      </c>
      <c r="I327" s="14">
        <v>3.3E-3</v>
      </c>
      <c r="J327" s="7">
        <v>4</v>
      </c>
    </row>
    <row r="328" spans="1:10" x14ac:dyDescent="0.2">
      <c r="A328" s="9">
        <v>44405</v>
      </c>
      <c r="B328" s="4" t="s">
        <v>221</v>
      </c>
      <c r="C328" s="8">
        <v>44378</v>
      </c>
      <c r="D328" s="4" t="s">
        <v>178</v>
      </c>
      <c r="E328" s="14">
        <v>1.4800000000000001E-2</v>
      </c>
      <c r="F328" s="7">
        <v>18</v>
      </c>
      <c r="G328" s="14">
        <v>0</v>
      </c>
      <c r="H328" s="7">
        <v>0</v>
      </c>
      <c r="I328" s="14">
        <v>1.4800000000000001E-2</v>
      </c>
      <c r="J328" s="7">
        <v>18</v>
      </c>
    </row>
    <row r="329" spans="1:10" x14ac:dyDescent="0.2">
      <c r="A329" s="9">
        <v>44406</v>
      </c>
      <c r="B329" s="4" t="s">
        <v>224</v>
      </c>
      <c r="C329" s="8">
        <v>44378</v>
      </c>
      <c r="D329" s="4" t="s">
        <v>178</v>
      </c>
      <c r="E329" s="14">
        <v>1.9900000000000001E-2</v>
      </c>
      <c r="F329" s="7">
        <v>24</v>
      </c>
      <c r="G329" s="14">
        <v>0</v>
      </c>
      <c r="H329" s="7">
        <v>0</v>
      </c>
      <c r="I329" s="14">
        <v>1.9900000000000001E-2</v>
      </c>
      <c r="J329" s="7">
        <v>24</v>
      </c>
    </row>
    <row r="330" spans="1:10" x14ac:dyDescent="0.2">
      <c r="A330" s="9">
        <v>44407</v>
      </c>
      <c r="B330" s="4" t="s">
        <v>222</v>
      </c>
      <c r="C330" s="8">
        <v>44378</v>
      </c>
      <c r="D330" s="4" t="s">
        <v>178</v>
      </c>
      <c r="E330" s="14">
        <v>3.3E-3</v>
      </c>
      <c r="F330" s="7">
        <v>4</v>
      </c>
      <c r="G330" s="14">
        <v>0</v>
      </c>
      <c r="H330" s="7">
        <v>0</v>
      </c>
      <c r="I330" s="14">
        <v>3.3E-3</v>
      </c>
      <c r="J330" s="7">
        <v>4</v>
      </c>
    </row>
    <row r="331" spans="1:10" x14ac:dyDescent="0.2">
      <c r="A331" s="9">
        <v>44410</v>
      </c>
      <c r="B331" s="4" t="s">
        <v>225</v>
      </c>
      <c r="C331" s="8">
        <v>44409</v>
      </c>
      <c r="D331" s="4" t="s">
        <v>178</v>
      </c>
      <c r="E331" s="14">
        <v>3.3E-3</v>
      </c>
      <c r="F331" s="7">
        <v>4</v>
      </c>
      <c r="G331" s="14">
        <v>0</v>
      </c>
      <c r="H331" s="7">
        <v>0</v>
      </c>
      <c r="I331" s="14">
        <v>3.3E-3</v>
      </c>
      <c r="J331" s="7">
        <v>4</v>
      </c>
    </row>
    <row r="332" spans="1:10" x14ac:dyDescent="0.2">
      <c r="A332" s="9">
        <v>44411</v>
      </c>
      <c r="B332" s="4" t="s">
        <v>223</v>
      </c>
      <c r="C332" s="8">
        <v>44409</v>
      </c>
      <c r="D332" s="4" t="s">
        <v>178</v>
      </c>
      <c r="E332" s="14">
        <v>4.1999999999999997E-3</v>
      </c>
      <c r="F332" s="7">
        <v>5</v>
      </c>
      <c r="G332" s="14">
        <v>0</v>
      </c>
      <c r="H332" s="7">
        <v>0</v>
      </c>
      <c r="I332" s="14">
        <v>4.1999999999999997E-3</v>
      </c>
      <c r="J332" s="7">
        <v>5</v>
      </c>
    </row>
    <row r="333" spans="1:10" x14ac:dyDescent="0.2">
      <c r="A333" s="9">
        <v>44412</v>
      </c>
      <c r="B333" s="4" t="s">
        <v>221</v>
      </c>
      <c r="C333" s="8">
        <v>44409</v>
      </c>
      <c r="D333" s="4" t="s">
        <v>178</v>
      </c>
      <c r="E333" s="14">
        <v>1.1900000000000001E-2</v>
      </c>
      <c r="F333" s="7">
        <v>14</v>
      </c>
      <c r="G333" s="14">
        <v>0</v>
      </c>
      <c r="H333" s="7">
        <v>0</v>
      </c>
      <c r="I333" s="14">
        <v>1.1900000000000001E-2</v>
      </c>
      <c r="J333" s="7">
        <v>14</v>
      </c>
    </row>
    <row r="334" spans="1:10" x14ac:dyDescent="0.2">
      <c r="A334" s="9">
        <v>44413</v>
      </c>
      <c r="B334" s="4" t="s">
        <v>224</v>
      </c>
      <c r="C334" s="8">
        <v>44409</v>
      </c>
      <c r="D334" s="4" t="s">
        <v>178</v>
      </c>
      <c r="E334" s="14">
        <v>6.7999999999999996E-3</v>
      </c>
      <c r="F334" s="7">
        <v>8</v>
      </c>
      <c r="G334" s="14">
        <v>0</v>
      </c>
      <c r="H334" s="7">
        <v>0</v>
      </c>
      <c r="I334" s="14">
        <v>6.7999999999999996E-3</v>
      </c>
      <c r="J334" s="7">
        <v>8</v>
      </c>
    </row>
    <row r="335" spans="1:10" x14ac:dyDescent="0.2">
      <c r="A335" s="9">
        <v>44414</v>
      </c>
      <c r="B335" s="4" t="s">
        <v>222</v>
      </c>
      <c r="C335" s="8">
        <v>44409</v>
      </c>
      <c r="D335" s="4" t="s">
        <v>178</v>
      </c>
      <c r="E335" s="14">
        <v>6.0000000000000001E-3</v>
      </c>
      <c r="F335" s="7">
        <v>7</v>
      </c>
      <c r="G335" s="14">
        <v>0</v>
      </c>
      <c r="H335" s="7">
        <v>0</v>
      </c>
      <c r="I335" s="14">
        <v>6.0000000000000001E-3</v>
      </c>
      <c r="J335" s="7">
        <v>7</v>
      </c>
    </row>
    <row r="336" spans="1:10" x14ac:dyDescent="0.2">
      <c r="A336" s="9">
        <v>44417</v>
      </c>
      <c r="B336" s="4" t="s">
        <v>225</v>
      </c>
      <c r="C336" s="8">
        <v>44409</v>
      </c>
      <c r="D336" s="4" t="s">
        <v>178</v>
      </c>
      <c r="E336" s="14">
        <v>6.0000000000000001E-3</v>
      </c>
      <c r="F336" s="7">
        <v>7</v>
      </c>
      <c r="G336" s="14">
        <v>0</v>
      </c>
      <c r="H336" s="7">
        <v>0</v>
      </c>
      <c r="I336" s="14">
        <v>6.0000000000000001E-3</v>
      </c>
      <c r="J336" s="7">
        <v>7</v>
      </c>
    </row>
    <row r="337" spans="1:10" x14ac:dyDescent="0.2">
      <c r="A337" s="9">
        <v>44418</v>
      </c>
      <c r="B337" s="4" t="s">
        <v>223</v>
      </c>
      <c r="C337" s="8">
        <v>44409</v>
      </c>
      <c r="D337" s="4" t="s">
        <v>178</v>
      </c>
      <c r="E337" s="14">
        <v>4.3E-3</v>
      </c>
      <c r="F337" s="7">
        <v>5</v>
      </c>
      <c r="G337" s="14">
        <v>0</v>
      </c>
      <c r="H337" s="7">
        <v>0</v>
      </c>
      <c r="I337" s="14">
        <v>4.3E-3</v>
      </c>
      <c r="J337" s="7">
        <v>5</v>
      </c>
    </row>
    <row r="338" spans="1:10" x14ac:dyDescent="0.2">
      <c r="A338" s="9">
        <v>44419</v>
      </c>
      <c r="B338" s="4" t="s">
        <v>221</v>
      </c>
      <c r="C338" s="8">
        <v>44409</v>
      </c>
      <c r="D338" s="4" t="s">
        <v>178</v>
      </c>
      <c r="E338" s="14">
        <v>5.1000000000000004E-3</v>
      </c>
      <c r="F338" s="7">
        <v>6</v>
      </c>
      <c r="G338" s="14">
        <v>0</v>
      </c>
      <c r="H338" s="7">
        <v>0</v>
      </c>
      <c r="I338" s="14">
        <v>5.1000000000000004E-3</v>
      </c>
      <c r="J338" s="7">
        <v>6</v>
      </c>
    </row>
    <row r="339" spans="1:10" x14ac:dyDescent="0.2">
      <c r="A339" s="9">
        <v>44420</v>
      </c>
      <c r="B339" s="4" t="s">
        <v>224</v>
      </c>
      <c r="C339" s="8">
        <v>44409</v>
      </c>
      <c r="D339" s="4" t="s">
        <v>178</v>
      </c>
      <c r="E339" s="14">
        <v>1.6999999999999999E-3</v>
      </c>
      <c r="F339" s="7">
        <v>2</v>
      </c>
      <c r="G339" s="14">
        <v>0</v>
      </c>
      <c r="H339" s="7">
        <v>0</v>
      </c>
      <c r="I339" s="14">
        <v>1.6999999999999999E-3</v>
      </c>
      <c r="J339" s="7">
        <v>2</v>
      </c>
    </row>
    <row r="340" spans="1:10" x14ac:dyDescent="0.2">
      <c r="A340" s="9">
        <v>44421</v>
      </c>
      <c r="B340" s="4" t="s">
        <v>222</v>
      </c>
      <c r="C340" s="8">
        <v>44409</v>
      </c>
      <c r="D340" s="4" t="s">
        <v>178</v>
      </c>
      <c r="E340" s="14">
        <v>6.8999999999999999E-3</v>
      </c>
      <c r="F340" s="7">
        <v>8</v>
      </c>
      <c r="G340" s="14">
        <v>0</v>
      </c>
      <c r="H340" s="7">
        <v>0</v>
      </c>
      <c r="I340" s="14">
        <v>6.8999999999999999E-3</v>
      </c>
      <c r="J340" s="7">
        <v>8</v>
      </c>
    </row>
    <row r="341" spans="1:10" x14ac:dyDescent="0.2">
      <c r="A341" s="9">
        <v>44424</v>
      </c>
      <c r="B341" s="4" t="s">
        <v>225</v>
      </c>
      <c r="C341" s="8">
        <v>44409</v>
      </c>
      <c r="D341" s="4" t="s">
        <v>178</v>
      </c>
      <c r="E341" s="14">
        <v>8.9999999999999998E-4</v>
      </c>
      <c r="F341" s="7">
        <v>1</v>
      </c>
      <c r="G341" s="14">
        <v>0</v>
      </c>
      <c r="H341" s="7">
        <v>0</v>
      </c>
      <c r="I341" s="14">
        <v>8.9999999999999998E-4</v>
      </c>
      <c r="J341" s="7">
        <v>1</v>
      </c>
    </row>
    <row r="342" spans="1:10" x14ac:dyDescent="0.2">
      <c r="A342" s="9">
        <v>44425</v>
      </c>
      <c r="B342" s="4" t="s">
        <v>223</v>
      </c>
      <c r="C342" s="8">
        <v>44409</v>
      </c>
      <c r="D342" s="4" t="s">
        <v>178</v>
      </c>
      <c r="E342" s="14">
        <v>2.5999999999999999E-3</v>
      </c>
      <c r="F342" s="7">
        <v>3</v>
      </c>
      <c r="G342" s="14">
        <v>0</v>
      </c>
      <c r="H342" s="7">
        <v>0</v>
      </c>
      <c r="I342" s="14">
        <v>2.5999999999999999E-3</v>
      </c>
      <c r="J342" s="7">
        <v>3</v>
      </c>
    </row>
    <row r="343" spans="1:10" x14ac:dyDescent="0.2">
      <c r="A343" s="9">
        <v>44426</v>
      </c>
      <c r="B343" s="4" t="s">
        <v>221</v>
      </c>
      <c r="C343" s="8">
        <v>44409</v>
      </c>
      <c r="D343" s="4" t="s">
        <v>178</v>
      </c>
      <c r="E343" s="14">
        <v>7.0000000000000001E-3</v>
      </c>
      <c r="F343" s="7">
        <v>8</v>
      </c>
      <c r="G343" s="14">
        <v>0</v>
      </c>
      <c r="H343" s="7">
        <v>0</v>
      </c>
      <c r="I343" s="14">
        <v>7.0000000000000001E-3</v>
      </c>
      <c r="J343" s="7">
        <v>8</v>
      </c>
    </row>
    <row r="344" spans="1:10" x14ac:dyDescent="0.2">
      <c r="A344" s="9">
        <v>44428</v>
      </c>
      <c r="B344" s="4" t="s">
        <v>222</v>
      </c>
      <c r="C344" s="8">
        <v>44409</v>
      </c>
      <c r="D344" s="4" t="s">
        <v>178</v>
      </c>
      <c r="E344" s="14">
        <v>4.3E-3</v>
      </c>
      <c r="F344" s="7">
        <v>5</v>
      </c>
      <c r="G344" s="14">
        <v>0</v>
      </c>
      <c r="H344" s="7">
        <v>0</v>
      </c>
      <c r="I344" s="14">
        <v>4.3E-3</v>
      </c>
      <c r="J344" s="7">
        <v>5</v>
      </c>
    </row>
    <row r="345" spans="1:10" x14ac:dyDescent="0.2">
      <c r="A345" s="9">
        <v>44431</v>
      </c>
      <c r="B345" s="4" t="s">
        <v>225</v>
      </c>
      <c r="C345" s="8">
        <v>44409</v>
      </c>
      <c r="D345" s="4" t="s">
        <v>178</v>
      </c>
      <c r="E345" s="14">
        <v>6.1000000000000004E-3</v>
      </c>
      <c r="F345" s="7">
        <v>7</v>
      </c>
      <c r="G345" s="14">
        <v>0</v>
      </c>
      <c r="H345" s="7">
        <v>0</v>
      </c>
      <c r="I345" s="14">
        <v>6.1000000000000004E-3</v>
      </c>
      <c r="J345" s="7">
        <v>7</v>
      </c>
    </row>
    <row r="346" spans="1:10" x14ac:dyDescent="0.2">
      <c r="A346" s="9">
        <v>44432</v>
      </c>
      <c r="B346" s="4" t="s">
        <v>223</v>
      </c>
      <c r="C346" s="8">
        <v>44409</v>
      </c>
      <c r="D346" s="4" t="s">
        <v>178</v>
      </c>
      <c r="E346" s="14">
        <v>2.5999999999999999E-3</v>
      </c>
      <c r="F346" s="7">
        <v>3</v>
      </c>
      <c r="G346" s="14">
        <v>0</v>
      </c>
      <c r="H346" s="7">
        <v>0</v>
      </c>
      <c r="I346" s="14">
        <v>2.5999999999999999E-3</v>
      </c>
      <c r="J346" s="7">
        <v>3</v>
      </c>
    </row>
    <row r="347" spans="1:10" x14ac:dyDescent="0.2">
      <c r="A347" s="9">
        <v>44433</v>
      </c>
      <c r="B347" s="4" t="s">
        <v>221</v>
      </c>
      <c r="C347" s="8">
        <v>44409</v>
      </c>
      <c r="D347" s="4" t="s">
        <v>178</v>
      </c>
      <c r="E347" s="14">
        <v>7.9000000000000008E-3</v>
      </c>
      <c r="F347" s="7">
        <v>9</v>
      </c>
      <c r="G347" s="14">
        <v>0</v>
      </c>
      <c r="H347" s="7">
        <v>0</v>
      </c>
      <c r="I347" s="14">
        <v>7.9000000000000008E-3</v>
      </c>
      <c r="J347" s="7">
        <v>9</v>
      </c>
    </row>
    <row r="348" spans="1:10" x14ac:dyDescent="0.2">
      <c r="A348" s="9">
        <v>44434</v>
      </c>
      <c r="B348" s="4" t="s">
        <v>224</v>
      </c>
      <c r="C348" s="8">
        <v>44409</v>
      </c>
      <c r="D348" s="4" t="s">
        <v>178</v>
      </c>
      <c r="E348" s="14">
        <v>6.1000000000000004E-3</v>
      </c>
      <c r="F348" s="7">
        <v>7</v>
      </c>
      <c r="G348" s="14">
        <v>0</v>
      </c>
      <c r="H348" s="7">
        <v>0</v>
      </c>
      <c r="I348" s="14">
        <v>6.1000000000000004E-3</v>
      </c>
      <c r="J348" s="7">
        <v>7</v>
      </c>
    </row>
    <row r="349" spans="1:10" x14ac:dyDescent="0.2">
      <c r="A349" s="9">
        <v>44435</v>
      </c>
      <c r="B349" s="4" t="s">
        <v>222</v>
      </c>
      <c r="C349" s="8">
        <v>44409</v>
      </c>
      <c r="D349" s="4" t="s">
        <v>178</v>
      </c>
      <c r="E349" s="14">
        <v>6.1000000000000004E-3</v>
      </c>
      <c r="F349" s="7">
        <v>7</v>
      </c>
      <c r="G349" s="14">
        <v>0</v>
      </c>
      <c r="H349" s="7">
        <v>0</v>
      </c>
      <c r="I349" s="14">
        <v>6.1000000000000004E-3</v>
      </c>
      <c r="J349" s="7">
        <v>7</v>
      </c>
    </row>
    <row r="350" spans="1:10" x14ac:dyDescent="0.2">
      <c r="A350" s="9">
        <v>44438</v>
      </c>
      <c r="B350" s="4" t="s">
        <v>225</v>
      </c>
      <c r="C350" s="8">
        <v>44409</v>
      </c>
      <c r="D350" s="4" t="s">
        <v>178</v>
      </c>
      <c r="E350" s="14">
        <v>2.7000000000000001E-3</v>
      </c>
      <c r="F350" s="7">
        <v>3</v>
      </c>
      <c r="G350" s="14">
        <v>0</v>
      </c>
      <c r="H350" s="7">
        <v>0</v>
      </c>
      <c r="I350" s="14">
        <v>2.7000000000000001E-3</v>
      </c>
      <c r="J350" s="7">
        <v>3</v>
      </c>
    </row>
    <row r="351" spans="1:10" x14ac:dyDescent="0.2">
      <c r="A351" s="9">
        <v>44439</v>
      </c>
      <c r="B351" s="4" t="s">
        <v>223</v>
      </c>
      <c r="C351" s="8">
        <v>44409</v>
      </c>
      <c r="D351" s="4" t="s">
        <v>178</v>
      </c>
      <c r="E351" s="14">
        <v>3.5999999999999999E-3</v>
      </c>
      <c r="F351" s="7">
        <v>4</v>
      </c>
      <c r="G351" s="14">
        <v>0</v>
      </c>
      <c r="H351" s="7">
        <v>0</v>
      </c>
      <c r="I351" s="14">
        <v>3.5999999999999999E-3</v>
      </c>
      <c r="J351" s="7">
        <v>4</v>
      </c>
    </row>
    <row r="352" spans="1:10" x14ac:dyDescent="0.2">
      <c r="A352" s="9">
        <v>44440</v>
      </c>
      <c r="B352" s="4" t="s">
        <v>221</v>
      </c>
      <c r="C352" s="8">
        <v>44440</v>
      </c>
      <c r="D352" s="4" t="s">
        <v>178</v>
      </c>
      <c r="E352" s="14">
        <v>3.5999999999999999E-3</v>
      </c>
      <c r="F352" s="7">
        <v>4</v>
      </c>
      <c r="G352" s="14">
        <v>0</v>
      </c>
      <c r="H352" s="7">
        <v>0</v>
      </c>
      <c r="I352" s="14">
        <v>3.5999999999999999E-3</v>
      </c>
      <c r="J352" s="7">
        <v>4</v>
      </c>
    </row>
    <row r="353" spans="1:10" x14ac:dyDescent="0.2">
      <c r="A353" s="9">
        <v>44441</v>
      </c>
      <c r="B353" s="4" t="s">
        <v>224</v>
      </c>
      <c r="C353" s="8">
        <v>44440</v>
      </c>
      <c r="D353" s="4" t="s">
        <v>178</v>
      </c>
      <c r="E353" s="14">
        <v>0</v>
      </c>
      <c r="F353" s="7">
        <v>0</v>
      </c>
      <c r="G353" s="14">
        <v>0</v>
      </c>
      <c r="H353" s="7">
        <v>0</v>
      </c>
      <c r="I353" s="14">
        <v>0</v>
      </c>
      <c r="J353" s="7">
        <v>0</v>
      </c>
    </row>
    <row r="354" spans="1:10" x14ac:dyDescent="0.2">
      <c r="A354" s="9">
        <v>44442</v>
      </c>
      <c r="B354" s="4" t="s">
        <v>222</v>
      </c>
      <c r="C354" s="8">
        <v>44440</v>
      </c>
      <c r="D354" s="4" t="s">
        <v>178</v>
      </c>
      <c r="E354" s="14">
        <v>8.9999999999999998E-4</v>
      </c>
      <c r="F354" s="7">
        <v>1</v>
      </c>
      <c r="G354" s="14">
        <v>0</v>
      </c>
      <c r="H354" s="7">
        <v>0</v>
      </c>
      <c r="I354" s="14">
        <v>8.9999999999999998E-4</v>
      </c>
      <c r="J354" s="7">
        <v>1</v>
      </c>
    </row>
    <row r="355" spans="1:10" x14ac:dyDescent="0.2">
      <c r="A355" s="9">
        <v>44445</v>
      </c>
      <c r="B355" s="4" t="s">
        <v>225</v>
      </c>
      <c r="C355" s="8">
        <v>44440</v>
      </c>
      <c r="D355" s="4" t="s">
        <v>178</v>
      </c>
      <c r="E355" s="14">
        <v>0</v>
      </c>
      <c r="F355" s="7">
        <v>0</v>
      </c>
      <c r="G355" s="14">
        <v>0</v>
      </c>
      <c r="H355" s="7">
        <v>0</v>
      </c>
      <c r="I355" s="14">
        <v>0</v>
      </c>
      <c r="J355" s="7">
        <v>0</v>
      </c>
    </row>
    <row r="356" spans="1:10" x14ac:dyDescent="0.2">
      <c r="A356" s="9">
        <v>44446</v>
      </c>
      <c r="B356" s="4" t="s">
        <v>223</v>
      </c>
      <c r="C356" s="8">
        <v>44440</v>
      </c>
      <c r="D356" s="4" t="s">
        <v>178</v>
      </c>
      <c r="E356" s="14">
        <v>0</v>
      </c>
      <c r="F356" s="7">
        <v>0</v>
      </c>
      <c r="G356" s="14">
        <v>0</v>
      </c>
      <c r="H356" s="7">
        <v>0</v>
      </c>
      <c r="I356" s="14">
        <v>0</v>
      </c>
      <c r="J356" s="7">
        <v>0</v>
      </c>
    </row>
    <row r="357" spans="1:10" x14ac:dyDescent="0.2">
      <c r="A357" s="9">
        <v>44447</v>
      </c>
      <c r="B357" s="4" t="s">
        <v>221</v>
      </c>
      <c r="C357" s="8">
        <v>44440</v>
      </c>
      <c r="D357" s="4" t="s">
        <v>178</v>
      </c>
      <c r="E357" s="14">
        <v>0</v>
      </c>
      <c r="F357" s="7">
        <v>0</v>
      </c>
      <c r="G357" s="14">
        <v>0</v>
      </c>
      <c r="H357" s="7">
        <v>0</v>
      </c>
      <c r="I357" s="14">
        <v>0</v>
      </c>
      <c r="J357" s="7">
        <v>0</v>
      </c>
    </row>
    <row r="358" spans="1:10" x14ac:dyDescent="0.2">
      <c r="A358" s="9">
        <v>44448</v>
      </c>
      <c r="B358" s="4" t="s">
        <v>224</v>
      </c>
      <c r="C358" s="8">
        <v>44440</v>
      </c>
      <c r="D358" s="4" t="s">
        <v>178</v>
      </c>
      <c r="E358" s="14">
        <v>0</v>
      </c>
      <c r="F358" s="7">
        <v>0</v>
      </c>
      <c r="G358" s="14">
        <v>0</v>
      </c>
      <c r="H358" s="7">
        <v>0</v>
      </c>
      <c r="I358" s="14">
        <v>0</v>
      </c>
      <c r="J358" s="7">
        <v>0</v>
      </c>
    </row>
    <row r="359" spans="1:10" x14ac:dyDescent="0.2">
      <c r="A359" s="9">
        <v>44452</v>
      </c>
      <c r="B359" s="4" t="s">
        <v>225</v>
      </c>
      <c r="C359" s="8">
        <v>44440</v>
      </c>
      <c r="D359" s="4" t="s">
        <v>178</v>
      </c>
      <c r="E359" s="14">
        <v>0</v>
      </c>
      <c r="F359" s="7">
        <v>0</v>
      </c>
      <c r="G359" s="14">
        <v>0</v>
      </c>
      <c r="H359" s="7">
        <v>0</v>
      </c>
      <c r="I359" s="14">
        <v>0</v>
      </c>
      <c r="J359" s="7">
        <v>0</v>
      </c>
    </row>
    <row r="360" spans="1:10" x14ac:dyDescent="0.2">
      <c r="A360" s="9">
        <v>44453</v>
      </c>
      <c r="B360" s="4" t="s">
        <v>223</v>
      </c>
      <c r="C360" s="8">
        <v>44440</v>
      </c>
      <c r="D360" s="4" t="s">
        <v>178</v>
      </c>
      <c r="E360" s="14">
        <v>0</v>
      </c>
      <c r="F360" s="7">
        <v>0</v>
      </c>
      <c r="G360" s="14">
        <v>0</v>
      </c>
      <c r="H360" s="7">
        <v>0</v>
      </c>
      <c r="I360" s="14">
        <v>0</v>
      </c>
      <c r="J360" s="7">
        <v>0</v>
      </c>
    </row>
    <row r="361" spans="1:10" x14ac:dyDescent="0.2">
      <c r="A361" s="9">
        <v>44454</v>
      </c>
      <c r="B361" s="4" t="s">
        <v>221</v>
      </c>
      <c r="C361" s="8">
        <v>44440</v>
      </c>
      <c r="D361" s="4" t="s">
        <v>178</v>
      </c>
      <c r="E361" s="14">
        <v>0</v>
      </c>
      <c r="F361" s="7">
        <v>0</v>
      </c>
      <c r="G361" s="14">
        <v>0</v>
      </c>
      <c r="H361" s="7">
        <v>0</v>
      </c>
      <c r="I361" s="14">
        <v>0</v>
      </c>
      <c r="J361" s="7">
        <v>0</v>
      </c>
    </row>
    <row r="362" spans="1:10" x14ac:dyDescent="0.2">
      <c r="A362" s="9">
        <v>44455</v>
      </c>
      <c r="B362" s="4" t="s">
        <v>224</v>
      </c>
      <c r="C362" s="8">
        <v>44440</v>
      </c>
      <c r="D362" s="4" t="s">
        <v>178</v>
      </c>
      <c r="E362" s="14">
        <v>0</v>
      </c>
      <c r="F362" s="7">
        <v>0</v>
      </c>
      <c r="G362" s="14">
        <v>0</v>
      </c>
      <c r="H362" s="7">
        <v>0</v>
      </c>
      <c r="I362" s="14">
        <v>0</v>
      </c>
      <c r="J362" s="7">
        <v>0</v>
      </c>
    </row>
    <row r="363" spans="1:10" x14ac:dyDescent="0.2">
      <c r="A363" s="9">
        <v>44456</v>
      </c>
      <c r="B363" s="4" t="s">
        <v>222</v>
      </c>
      <c r="C363" s="8">
        <v>44440</v>
      </c>
      <c r="D363" s="4" t="s">
        <v>178</v>
      </c>
      <c r="E363" s="14">
        <v>0</v>
      </c>
      <c r="F363" s="7">
        <v>0</v>
      </c>
      <c r="G363" s="14">
        <v>0</v>
      </c>
      <c r="H363" s="7">
        <v>0</v>
      </c>
      <c r="I363" s="14">
        <v>0</v>
      </c>
      <c r="J363" s="7">
        <v>0</v>
      </c>
    </row>
    <row r="364" spans="1:10" x14ac:dyDescent="0.2">
      <c r="A364" s="9">
        <v>44459</v>
      </c>
      <c r="B364" s="4" t="s">
        <v>225</v>
      </c>
      <c r="C364" s="8">
        <v>44440</v>
      </c>
      <c r="D364" s="4" t="s">
        <v>178</v>
      </c>
      <c r="E364" s="14">
        <v>0</v>
      </c>
      <c r="F364" s="7">
        <v>0</v>
      </c>
      <c r="G364" s="14">
        <v>0</v>
      </c>
      <c r="H364" s="7">
        <v>0</v>
      </c>
      <c r="I364" s="14">
        <v>0</v>
      </c>
      <c r="J364" s="7">
        <v>0</v>
      </c>
    </row>
    <row r="365" spans="1:10" x14ac:dyDescent="0.2">
      <c r="A365" s="9">
        <v>44460</v>
      </c>
      <c r="B365" s="4" t="s">
        <v>223</v>
      </c>
      <c r="C365" s="8">
        <v>44440</v>
      </c>
      <c r="D365" s="4" t="s">
        <v>178</v>
      </c>
      <c r="E365" s="14">
        <v>0</v>
      </c>
      <c r="F365" s="7">
        <v>0</v>
      </c>
      <c r="G365" s="14">
        <v>0</v>
      </c>
      <c r="H365" s="7">
        <v>0</v>
      </c>
      <c r="I365" s="14">
        <v>0</v>
      </c>
      <c r="J365" s="7">
        <v>0</v>
      </c>
    </row>
    <row r="366" spans="1:10" x14ac:dyDescent="0.2">
      <c r="A366" s="9">
        <v>44461</v>
      </c>
      <c r="B366" s="4" t="s">
        <v>221</v>
      </c>
      <c r="C366" s="8">
        <v>44440</v>
      </c>
      <c r="D366" s="4" t="s">
        <v>178</v>
      </c>
      <c r="E366" s="14">
        <v>0</v>
      </c>
      <c r="F366" s="7">
        <v>0</v>
      </c>
      <c r="G366" s="14">
        <v>0</v>
      </c>
      <c r="H366" s="7">
        <v>0</v>
      </c>
      <c r="I366" s="14">
        <v>0</v>
      </c>
      <c r="J366" s="7">
        <v>0</v>
      </c>
    </row>
    <row r="367" spans="1:10" x14ac:dyDescent="0.2">
      <c r="A367" s="9">
        <v>44462</v>
      </c>
      <c r="B367" s="4" t="s">
        <v>224</v>
      </c>
      <c r="C367" s="8">
        <v>44440</v>
      </c>
      <c r="D367" s="4" t="s">
        <v>178</v>
      </c>
      <c r="E367" s="14">
        <v>0</v>
      </c>
      <c r="F367" s="7">
        <v>0</v>
      </c>
      <c r="G367" s="14">
        <v>0</v>
      </c>
      <c r="H367" s="7">
        <v>0</v>
      </c>
      <c r="I367" s="14">
        <v>0</v>
      </c>
      <c r="J367" s="7">
        <v>0</v>
      </c>
    </row>
    <row r="368" spans="1:10" x14ac:dyDescent="0.2">
      <c r="A368" s="9">
        <v>44463</v>
      </c>
      <c r="B368" s="4" t="s">
        <v>222</v>
      </c>
      <c r="C368" s="8">
        <v>44440</v>
      </c>
      <c r="D368" s="4" t="s">
        <v>178</v>
      </c>
      <c r="E368" s="14">
        <v>0</v>
      </c>
      <c r="F368" s="7">
        <v>0</v>
      </c>
      <c r="G368" s="14">
        <v>0</v>
      </c>
      <c r="H368" s="7">
        <v>0</v>
      </c>
      <c r="I368" s="14">
        <v>0</v>
      </c>
      <c r="J368" s="7">
        <v>0</v>
      </c>
    </row>
    <row r="369" spans="1:10" x14ac:dyDescent="0.2">
      <c r="A369" s="9">
        <v>44466</v>
      </c>
      <c r="B369" s="4" t="s">
        <v>225</v>
      </c>
      <c r="C369" s="8">
        <v>44440</v>
      </c>
      <c r="D369" s="4" t="s">
        <v>178</v>
      </c>
      <c r="E369" s="14">
        <v>0</v>
      </c>
      <c r="F369" s="7">
        <v>0</v>
      </c>
      <c r="G369" s="14">
        <v>0</v>
      </c>
      <c r="H369" s="7">
        <v>0</v>
      </c>
      <c r="I369" s="14">
        <v>0</v>
      </c>
      <c r="J369" s="7">
        <v>0</v>
      </c>
    </row>
    <row r="370" spans="1:10" x14ac:dyDescent="0.2">
      <c r="A370" s="9">
        <v>44467</v>
      </c>
      <c r="B370" s="4" t="s">
        <v>223</v>
      </c>
      <c r="C370" s="8">
        <v>44440</v>
      </c>
      <c r="D370" s="4" t="s">
        <v>178</v>
      </c>
      <c r="E370" s="14">
        <v>0</v>
      </c>
      <c r="F370" s="7">
        <v>0</v>
      </c>
      <c r="G370" s="14">
        <v>0</v>
      </c>
      <c r="H370" s="7">
        <v>0</v>
      </c>
      <c r="I370" s="14">
        <v>0</v>
      </c>
      <c r="J370" s="7">
        <v>0</v>
      </c>
    </row>
    <row r="371" spans="1:10" x14ac:dyDescent="0.2">
      <c r="A371" s="9">
        <v>44468</v>
      </c>
      <c r="B371" s="4" t="s">
        <v>221</v>
      </c>
      <c r="C371" s="8">
        <v>44440</v>
      </c>
      <c r="D371" s="4" t="s">
        <v>178</v>
      </c>
      <c r="E371" s="14">
        <v>0</v>
      </c>
      <c r="F371" s="7">
        <v>0</v>
      </c>
      <c r="G371" s="14">
        <v>0</v>
      </c>
      <c r="H371" s="7">
        <v>0</v>
      </c>
      <c r="I371" s="14">
        <v>0</v>
      </c>
      <c r="J371" s="7">
        <v>0</v>
      </c>
    </row>
    <row r="372" spans="1:10" x14ac:dyDescent="0.2">
      <c r="A372" s="9">
        <v>44469</v>
      </c>
      <c r="B372" s="4" t="s">
        <v>224</v>
      </c>
      <c r="C372" s="8">
        <v>44440</v>
      </c>
      <c r="D372" s="4" t="s">
        <v>178</v>
      </c>
      <c r="E372" s="14">
        <v>0</v>
      </c>
      <c r="F372" s="7">
        <v>0</v>
      </c>
      <c r="G372" s="14">
        <v>0</v>
      </c>
      <c r="H372" s="7">
        <v>0</v>
      </c>
      <c r="I372" s="14">
        <v>0</v>
      </c>
      <c r="J372" s="7">
        <v>0</v>
      </c>
    </row>
    <row r="373" spans="1:10" x14ac:dyDescent="0.2">
      <c r="A373" s="9">
        <v>44490</v>
      </c>
      <c r="B373" s="4" t="s">
        <v>224</v>
      </c>
      <c r="C373" s="8">
        <v>44470</v>
      </c>
      <c r="D373" s="4" t="s">
        <v>179</v>
      </c>
      <c r="E373" s="14">
        <v>3.8E-3</v>
      </c>
      <c r="F373" s="7">
        <v>4</v>
      </c>
      <c r="G373" s="14">
        <v>0</v>
      </c>
      <c r="H373" s="7">
        <v>0</v>
      </c>
      <c r="I373" s="14">
        <v>3.8E-3</v>
      </c>
      <c r="J373" s="7">
        <v>4</v>
      </c>
    </row>
    <row r="374" spans="1:10" x14ac:dyDescent="0.2">
      <c r="A374" s="9">
        <v>44491</v>
      </c>
      <c r="B374" s="4" t="s">
        <v>222</v>
      </c>
      <c r="C374" s="8">
        <v>44470</v>
      </c>
      <c r="D374" s="4" t="s">
        <v>179</v>
      </c>
      <c r="E374" s="14">
        <v>5.7000000000000002E-3</v>
      </c>
      <c r="F374" s="7">
        <v>6</v>
      </c>
      <c r="G374" s="14">
        <v>0</v>
      </c>
      <c r="H374" s="7">
        <v>0</v>
      </c>
      <c r="I374" s="14">
        <v>5.7000000000000002E-3</v>
      </c>
      <c r="J374" s="7">
        <v>6</v>
      </c>
    </row>
    <row r="375" spans="1:10" x14ac:dyDescent="0.2">
      <c r="A375" s="9">
        <v>44494</v>
      </c>
      <c r="B375" s="4" t="s">
        <v>225</v>
      </c>
      <c r="C375" s="8">
        <v>44470</v>
      </c>
      <c r="D375" s="4" t="s">
        <v>179</v>
      </c>
      <c r="E375" s="14">
        <v>5.7000000000000002E-3</v>
      </c>
      <c r="F375" s="7">
        <v>6</v>
      </c>
      <c r="G375" s="14">
        <v>0</v>
      </c>
      <c r="H375" s="7">
        <v>0</v>
      </c>
      <c r="I375" s="14">
        <v>5.7000000000000002E-3</v>
      </c>
      <c r="J375" s="7">
        <v>6</v>
      </c>
    </row>
    <row r="376" spans="1:10" x14ac:dyDescent="0.2">
      <c r="A376" s="9">
        <v>44495</v>
      </c>
      <c r="B376" s="4" t="s">
        <v>223</v>
      </c>
      <c r="C376" s="8">
        <v>44470</v>
      </c>
      <c r="D376" s="4" t="s">
        <v>179</v>
      </c>
      <c r="E376" s="14">
        <v>5.7000000000000002E-3</v>
      </c>
      <c r="F376" s="7">
        <v>6</v>
      </c>
      <c r="G376" s="14">
        <v>0</v>
      </c>
      <c r="H376" s="7">
        <v>0</v>
      </c>
      <c r="I376" s="14">
        <v>5.7000000000000002E-3</v>
      </c>
      <c r="J376" s="7">
        <v>6</v>
      </c>
    </row>
    <row r="377" spans="1:10" x14ac:dyDescent="0.2">
      <c r="A377" s="9">
        <v>44496</v>
      </c>
      <c r="B377" s="4" t="s">
        <v>221</v>
      </c>
      <c r="C377" s="8">
        <v>44470</v>
      </c>
      <c r="D377" s="4" t="s">
        <v>179</v>
      </c>
      <c r="E377" s="14">
        <v>1.9E-3</v>
      </c>
      <c r="F377" s="7">
        <v>2</v>
      </c>
      <c r="G377" s="14">
        <v>0</v>
      </c>
      <c r="H377" s="7">
        <v>0</v>
      </c>
      <c r="I377" s="14">
        <v>1.9E-3</v>
      </c>
      <c r="J377" s="7">
        <v>2</v>
      </c>
    </row>
    <row r="378" spans="1:10" x14ac:dyDescent="0.2">
      <c r="A378" s="9">
        <v>44508</v>
      </c>
      <c r="B378" s="4" t="s">
        <v>225</v>
      </c>
      <c r="C378" s="8">
        <v>44501</v>
      </c>
      <c r="D378" s="4" t="s">
        <v>179</v>
      </c>
      <c r="E378" s="14">
        <v>2.8E-3</v>
      </c>
      <c r="F378" s="7">
        <v>3</v>
      </c>
      <c r="G378" s="14">
        <v>0</v>
      </c>
      <c r="H378" s="7">
        <v>0</v>
      </c>
      <c r="I378" s="14">
        <v>2.8E-3</v>
      </c>
      <c r="J378" s="7">
        <v>3</v>
      </c>
    </row>
    <row r="379" spans="1:10" x14ac:dyDescent="0.2">
      <c r="A379" s="9">
        <v>44509</v>
      </c>
      <c r="B379" s="4" t="s">
        <v>223</v>
      </c>
      <c r="C379" s="8">
        <v>44501</v>
      </c>
      <c r="D379" s="4" t="s">
        <v>179</v>
      </c>
      <c r="E379" s="14">
        <v>8.9999999999999998E-4</v>
      </c>
      <c r="F379" s="7">
        <v>1</v>
      </c>
      <c r="G379" s="14">
        <v>0</v>
      </c>
      <c r="H379" s="7">
        <v>0</v>
      </c>
      <c r="I379" s="14">
        <v>8.9999999999999998E-4</v>
      </c>
      <c r="J379" s="7">
        <v>1</v>
      </c>
    </row>
    <row r="380" spans="1:10" x14ac:dyDescent="0.2">
      <c r="A380" s="9">
        <v>44510</v>
      </c>
      <c r="B380" s="4" t="s">
        <v>221</v>
      </c>
      <c r="C380" s="8">
        <v>44501</v>
      </c>
      <c r="D380" s="4" t="s">
        <v>179</v>
      </c>
      <c r="E380" s="14">
        <v>1.9E-3</v>
      </c>
      <c r="F380" s="7">
        <v>2</v>
      </c>
      <c r="G380" s="14">
        <v>0</v>
      </c>
      <c r="H380" s="7">
        <v>0</v>
      </c>
      <c r="I380" s="14">
        <v>1.9E-3</v>
      </c>
      <c r="J380" s="7">
        <v>2</v>
      </c>
    </row>
    <row r="381" spans="1:10" x14ac:dyDescent="0.2">
      <c r="A381" s="9">
        <v>44511</v>
      </c>
      <c r="B381" s="4" t="s">
        <v>224</v>
      </c>
      <c r="C381" s="8">
        <v>44501</v>
      </c>
      <c r="D381" s="4" t="s">
        <v>179</v>
      </c>
      <c r="E381" s="14">
        <v>1.9E-3</v>
      </c>
      <c r="F381" s="7">
        <v>2</v>
      </c>
      <c r="G381" s="14">
        <v>0</v>
      </c>
      <c r="H381" s="7">
        <v>0</v>
      </c>
      <c r="I381" s="14">
        <v>1.9E-3</v>
      </c>
      <c r="J381" s="7">
        <v>2</v>
      </c>
    </row>
    <row r="382" spans="1:10" x14ac:dyDescent="0.2">
      <c r="A382" s="9">
        <v>44512</v>
      </c>
      <c r="B382" s="4" t="s">
        <v>222</v>
      </c>
      <c r="C382" s="8">
        <v>44501</v>
      </c>
      <c r="D382" s="4" t="s">
        <v>179</v>
      </c>
      <c r="E382" s="14">
        <v>2.8E-3</v>
      </c>
      <c r="F382" s="7">
        <v>3</v>
      </c>
      <c r="G382" s="14">
        <v>0</v>
      </c>
      <c r="H382" s="7">
        <v>0</v>
      </c>
      <c r="I382" s="14">
        <v>2.8E-3</v>
      </c>
      <c r="J382" s="7">
        <v>3</v>
      </c>
    </row>
    <row r="383" spans="1:10" x14ac:dyDescent="0.2">
      <c r="A383" s="9">
        <v>44515</v>
      </c>
      <c r="B383" s="4" t="s">
        <v>225</v>
      </c>
      <c r="C383" s="8">
        <v>44501</v>
      </c>
      <c r="D383" s="4" t="s">
        <v>179</v>
      </c>
      <c r="E383" s="14">
        <v>3.8E-3</v>
      </c>
      <c r="F383" s="7">
        <v>4</v>
      </c>
      <c r="G383" s="14">
        <v>0</v>
      </c>
      <c r="H383" s="7">
        <v>0</v>
      </c>
      <c r="I383" s="14">
        <v>3.8E-3</v>
      </c>
      <c r="J383" s="7">
        <v>4</v>
      </c>
    </row>
    <row r="384" spans="1:10" x14ac:dyDescent="0.2">
      <c r="A384" s="9">
        <v>44516</v>
      </c>
      <c r="B384" s="4" t="s">
        <v>223</v>
      </c>
      <c r="C384" s="8">
        <v>44501</v>
      </c>
      <c r="D384" s="4" t="s">
        <v>179</v>
      </c>
      <c r="E384" s="14">
        <v>1.9E-3</v>
      </c>
      <c r="F384" s="7">
        <v>2</v>
      </c>
      <c r="G384" s="14">
        <v>0</v>
      </c>
      <c r="H384" s="7">
        <v>0</v>
      </c>
      <c r="I384" s="14">
        <v>1.9E-3</v>
      </c>
      <c r="J384" s="7">
        <v>2</v>
      </c>
    </row>
    <row r="385" spans="1:10" x14ac:dyDescent="0.2">
      <c r="A385" s="9">
        <v>44517</v>
      </c>
      <c r="B385" s="4" t="s">
        <v>221</v>
      </c>
      <c r="C385" s="8">
        <v>44501</v>
      </c>
      <c r="D385" s="4" t="s">
        <v>179</v>
      </c>
      <c r="E385" s="14">
        <v>8.9999999999999998E-4</v>
      </c>
      <c r="F385" s="7">
        <v>1</v>
      </c>
      <c r="G385" s="14">
        <v>0</v>
      </c>
      <c r="H385" s="7">
        <v>0</v>
      </c>
      <c r="I385" s="14">
        <v>8.9999999999999998E-4</v>
      </c>
      <c r="J385" s="7">
        <v>1</v>
      </c>
    </row>
    <row r="386" spans="1:10" x14ac:dyDescent="0.2">
      <c r="A386" s="9">
        <v>44518</v>
      </c>
      <c r="B386" s="4" t="s">
        <v>224</v>
      </c>
      <c r="C386" s="8">
        <v>44501</v>
      </c>
      <c r="D386" s="4" t="s">
        <v>179</v>
      </c>
      <c r="E386" s="14">
        <v>2.8E-3</v>
      </c>
      <c r="F386" s="7">
        <v>3</v>
      </c>
      <c r="G386" s="14">
        <v>0</v>
      </c>
      <c r="H386" s="7">
        <v>0</v>
      </c>
      <c r="I386" s="14">
        <v>2.8E-3</v>
      </c>
      <c r="J386" s="7">
        <v>3</v>
      </c>
    </row>
    <row r="387" spans="1:10" x14ac:dyDescent="0.2">
      <c r="A387" s="9">
        <v>44522</v>
      </c>
      <c r="B387" s="4" t="s">
        <v>225</v>
      </c>
      <c r="C387" s="8">
        <v>44501</v>
      </c>
      <c r="D387" s="4" t="s">
        <v>179</v>
      </c>
      <c r="E387" s="14">
        <v>3.7000000000000002E-3</v>
      </c>
      <c r="F387" s="7">
        <v>4</v>
      </c>
      <c r="G387" s="14">
        <v>0</v>
      </c>
      <c r="H387" s="7">
        <v>0</v>
      </c>
      <c r="I387" s="14">
        <v>3.7000000000000002E-3</v>
      </c>
      <c r="J387" s="7">
        <v>4</v>
      </c>
    </row>
    <row r="388" spans="1:10" x14ac:dyDescent="0.2">
      <c r="A388" s="9">
        <v>44523</v>
      </c>
      <c r="B388" s="4" t="s">
        <v>223</v>
      </c>
      <c r="C388" s="8">
        <v>44501</v>
      </c>
      <c r="D388" s="4" t="s">
        <v>179</v>
      </c>
      <c r="E388" s="14">
        <v>3.5999999999999999E-3</v>
      </c>
      <c r="F388" s="7">
        <v>4</v>
      </c>
      <c r="G388" s="14">
        <v>0</v>
      </c>
      <c r="H388" s="7">
        <v>0</v>
      </c>
      <c r="I388" s="14">
        <v>3.5999999999999999E-3</v>
      </c>
      <c r="J388" s="7">
        <v>4</v>
      </c>
    </row>
    <row r="389" spans="1:10" x14ac:dyDescent="0.2">
      <c r="A389" s="9">
        <v>44524</v>
      </c>
      <c r="B389" s="4" t="s">
        <v>221</v>
      </c>
      <c r="C389" s="8">
        <v>44501</v>
      </c>
      <c r="D389" s="4" t="s">
        <v>179</v>
      </c>
      <c r="E389" s="14">
        <v>1.8E-3</v>
      </c>
      <c r="F389" s="7">
        <v>2</v>
      </c>
      <c r="G389" s="14">
        <v>0</v>
      </c>
      <c r="H389" s="7">
        <v>0</v>
      </c>
      <c r="I389" s="14">
        <v>1.8E-3</v>
      </c>
      <c r="J389" s="7">
        <v>2</v>
      </c>
    </row>
    <row r="390" spans="1:10" x14ac:dyDescent="0.2">
      <c r="A390" s="9">
        <v>44525</v>
      </c>
      <c r="B390" s="4" t="s">
        <v>224</v>
      </c>
      <c r="C390" s="8">
        <v>44501</v>
      </c>
      <c r="D390" s="4" t="s">
        <v>179</v>
      </c>
      <c r="E390" s="14">
        <v>1.8E-3</v>
      </c>
      <c r="F390" s="7">
        <v>2</v>
      </c>
      <c r="G390" s="14">
        <v>0</v>
      </c>
      <c r="H390" s="7">
        <v>0</v>
      </c>
      <c r="I390" s="14">
        <v>1.8E-3</v>
      </c>
      <c r="J390" s="7">
        <v>2</v>
      </c>
    </row>
    <row r="391" spans="1:10" x14ac:dyDescent="0.2">
      <c r="A391" s="9">
        <v>44526</v>
      </c>
      <c r="B391" s="4" t="s">
        <v>222</v>
      </c>
      <c r="C391" s="8">
        <v>44501</v>
      </c>
      <c r="D391" s="4" t="s">
        <v>179</v>
      </c>
      <c r="E391" s="14">
        <v>2.7000000000000001E-3</v>
      </c>
      <c r="F391" s="7">
        <v>3</v>
      </c>
      <c r="G391" s="14">
        <v>0</v>
      </c>
      <c r="H391" s="7">
        <v>0</v>
      </c>
      <c r="I391" s="14">
        <v>2.7000000000000001E-3</v>
      </c>
      <c r="J391" s="7">
        <v>3</v>
      </c>
    </row>
    <row r="392" spans="1:10" x14ac:dyDescent="0.2">
      <c r="A392" s="9">
        <v>44529</v>
      </c>
      <c r="B392" s="4" t="s">
        <v>225</v>
      </c>
      <c r="C392" s="8">
        <v>44501</v>
      </c>
      <c r="D392" s="4" t="s">
        <v>179</v>
      </c>
      <c r="E392" s="14">
        <v>3.5999999999999999E-3</v>
      </c>
      <c r="F392" s="7">
        <v>4</v>
      </c>
      <c r="G392" s="14">
        <v>0</v>
      </c>
      <c r="H392" s="7">
        <v>0</v>
      </c>
      <c r="I392" s="14">
        <v>3.5999999999999999E-3</v>
      </c>
      <c r="J392" s="7">
        <v>4</v>
      </c>
    </row>
    <row r="393" spans="1:10" x14ac:dyDescent="0.2">
      <c r="A393" s="9">
        <v>44530</v>
      </c>
      <c r="B393" s="4" t="s">
        <v>223</v>
      </c>
      <c r="C393" s="8">
        <v>44501</v>
      </c>
      <c r="D393" s="4" t="s">
        <v>179</v>
      </c>
      <c r="E393" s="14">
        <v>7.1999999999999998E-3</v>
      </c>
      <c r="F393" s="7">
        <v>8</v>
      </c>
      <c r="G393" s="14">
        <v>0</v>
      </c>
      <c r="H393" s="7">
        <v>0</v>
      </c>
      <c r="I393" s="14">
        <v>7.1999999999999998E-3</v>
      </c>
      <c r="J393" s="7">
        <v>8</v>
      </c>
    </row>
    <row r="394" spans="1:10" x14ac:dyDescent="0.2">
      <c r="A394" s="9">
        <v>44531</v>
      </c>
      <c r="B394" s="4" t="s">
        <v>221</v>
      </c>
      <c r="C394" s="8">
        <v>44531</v>
      </c>
      <c r="D394" s="4" t="s">
        <v>179</v>
      </c>
      <c r="E394" s="14">
        <v>8.9999999999999998E-4</v>
      </c>
      <c r="F394" s="7">
        <v>1</v>
      </c>
      <c r="G394" s="14">
        <v>0</v>
      </c>
      <c r="H394" s="7">
        <v>0</v>
      </c>
      <c r="I394" s="14">
        <v>8.9999999999999998E-4</v>
      </c>
      <c r="J394" s="7">
        <v>1</v>
      </c>
    </row>
    <row r="395" spans="1:10" x14ac:dyDescent="0.2">
      <c r="A395" s="9">
        <v>44532</v>
      </c>
      <c r="B395" s="4" t="s">
        <v>224</v>
      </c>
      <c r="C395" s="8">
        <v>44531</v>
      </c>
      <c r="D395" s="4" t="s">
        <v>179</v>
      </c>
      <c r="E395" s="14">
        <v>1.8E-3</v>
      </c>
      <c r="F395" s="7">
        <v>2</v>
      </c>
      <c r="G395" s="14">
        <v>0</v>
      </c>
      <c r="H395" s="7">
        <v>0</v>
      </c>
      <c r="I395" s="14">
        <v>1.8E-3</v>
      </c>
      <c r="J395" s="7">
        <v>2</v>
      </c>
    </row>
    <row r="396" spans="1:10" x14ac:dyDescent="0.2">
      <c r="A396" s="9">
        <v>44533</v>
      </c>
      <c r="B396" s="4" t="s">
        <v>222</v>
      </c>
      <c r="C396" s="8">
        <v>44531</v>
      </c>
      <c r="D396" s="4" t="s">
        <v>179</v>
      </c>
      <c r="E396" s="14">
        <v>3.5999999999999999E-3</v>
      </c>
      <c r="F396" s="7">
        <v>4</v>
      </c>
      <c r="G396" s="14">
        <v>0</v>
      </c>
      <c r="H396" s="7">
        <v>0</v>
      </c>
      <c r="I396" s="14">
        <v>3.5999999999999999E-3</v>
      </c>
      <c r="J396" s="7">
        <v>4</v>
      </c>
    </row>
    <row r="397" spans="1:10" x14ac:dyDescent="0.2">
      <c r="A397" s="9">
        <v>44536</v>
      </c>
      <c r="B397" s="4" t="s">
        <v>225</v>
      </c>
      <c r="C397" s="8">
        <v>44531</v>
      </c>
      <c r="D397" s="4" t="s">
        <v>179</v>
      </c>
      <c r="E397" s="14">
        <v>2.7000000000000001E-3</v>
      </c>
      <c r="F397" s="7">
        <v>3</v>
      </c>
      <c r="G397" s="14">
        <v>0</v>
      </c>
      <c r="H397" s="7">
        <v>0</v>
      </c>
      <c r="I397" s="14">
        <v>2.7000000000000001E-3</v>
      </c>
      <c r="J397" s="7">
        <v>3</v>
      </c>
    </row>
    <row r="398" spans="1:10" x14ac:dyDescent="0.2">
      <c r="A398" s="9">
        <v>44537</v>
      </c>
      <c r="B398" s="4" t="s">
        <v>223</v>
      </c>
      <c r="C398" s="8">
        <v>44531</v>
      </c>
      <c r="D398" s="4" t="s">
        <v>179</v>
      </c>
      <c r="E398" s="14">
        <v>2.7000000000000001E-3</v>
      </c>
      <c r="F398" s="7">
        <v>3</v>
      </c>
      <c r="G398" s="14">
        <v>0</v>
      </c>
      <c r="H398" s="7">
        <v>0</v>
      </c>
      <c r="I398" s="14">
        <v>2.7000000000000001E-3</v>
      </c>
      <c r="J398" s="7">
        <v>3</v>
      </c>
    </row>
    <row r="399" spans="1:10" x14ac:dyDescent="0.2">
      <c r="A399" s="9">
        <v>44538</v>
      </c>
      <c r="B399" s="4" t="s">
        <v>221</v>
      </c>
      <c r="C399" s="8">
        <v>44531</v>
      </c>
      <c r="D399" s="4" t="s">
        <v>179</v>
      </c>
      <c r="E399" s="14">
        <v>1.8E-3</v>
      </c>
      <c r="F399" s="7">
        <v>2</v>
      </c>
      <c r="G399" s="14">
        <v>0</v>
      </c>
      <c r="H399" s="7">
        <v>0</v>
      </c>
      <c r="I399" s="14">
        <v>1.8E-3</v>
      </c>
      <c r="J399" s="7">
        <v>2</v>
      </c>
    </row>
    <row r="400" spans="1:10" x14ac:dyDescent="0.2">
      <c r="A400" s="9">
        <v>44539</v>
      </c>
      <c r="B400" s="4" t="s">
        <v>224</v>
      </c>
      <c r="C400" s="8">
        <v>44531</v>
      </c>
      <c r="D400" s="4" t="s">
        <v>179</v>
      </c>
      <c r="E400" s="14">
        <v>2.7000000000000001E-3</v>
      </c>
      <c r="F400" s="7">
        <v>3</v>
      </c>
      <c r="G400" s="14">
        <v>0</v>
      </c>
      <c r="H400" s="7">
        <v>0</v>
      </c>
      <c r="I400" s="14">
        <v>2.7000000000000001E-3</v>
      </c>
      <c r="J400" s="7">
        <v>3</v>
      </c>
    </row>
    <row r="401" spans="1:10" x14ac:dyDescent="0.2">
      <c r="A401" s="9">
        <v>44540</v>
      </c>
      <c r="B401" s="4" t="s">
        <v>222</v>
      </c>
      <c r="C401" s="8">
        <v>44531</v>
      </c>
      <c r="D401" s="4" t="s">
        <v>179</v>
      </c>
      <c r="E401" s="14">
        <v>8.9999999999999998E-4</v>
      </c>
      <c r="F401" s="7">
        <v>1</v>
      </c>
      <c r="G401" s="14">
        <v>0</v>
      </c>
      <c r="H401" s="7">
        <v>0</v>
      </c>
      <c r="I401" s="14">
        <v>8.9999999999999998E-4</v>
      </c>
      <c r="J401" s="7">
        <v>1</v>
      </c>
    </row>
    <row r="402" spans="1:10" x14ac:dyDescent="0.2">
      <c r="A402" s="9">
        <v>44543</v>
      </c>
      <c r="B402" s="4" t="s">
        <v>225</v>
      </c>
      <c r="C402" s="8">
        <v>44531</v>
      </c>
      <c r="D402" s="4" t="s">
        <v>179</v>
      </c>
      <c r="E402" s="14">
        <v>2.8E-3</v>
      </c>
      <c r="F402" s="7">
        <v>3</v>
      </c>
      <c r="G402" s="14">
        <v>0</v>
      </c>
      <c r="H402" s="7">
        <v>0</v>
      </c>
      <c r="I402" s="14">
        <v>2.8E-3</v>
      </c>
      <c r="J402" s="7">
        <v>3</v>
      </c>
    </row>
    <row r="403" spans="1:10" x14ac:dyDescent="0.2">
      <c r="A403" s="9">
        <v>44544</v>
      </c>
      <c r="B403" s="4" t="s">
        <v>223</v>
      </c>
      <c r="C403" s="8">
        <v>44531</v>
      </c>
      <c r="D403" s="4" t="s">
        <v>179</v>
      </c>
      <c r="E403" s="14">
        <v>2.7000000000000001E-3</v>
      </c>
      <c r="F403" s="7">
        <v>3</v>
      </c>
      <c r="G403" s="14">
        <v>0</v>
      </c>
      <c r="H403" s="7">
        <v>0</v>
      </c>
      <c r="I403" s="14">
        <v>2.7000000000000001E-3</v>
      </c>
      <c r="J403" s="7">
        <v>3</v>
      </c>
    </row>
    <row r="404" spans="1:10" x14ac:dyDescent="0.2">
      <c r="A404" s="9">
        <v>44545</v>
      </c>
      <c r="B404" s="4" t="s">
        <v>221</v>
      </c>
      <c r="C404" s="8">
        <v>44531</v>
      </c>
      <c r="D404" s="4" t="s">
        <v>179</v>
      </c>
      <c r="E404" s="14">
        <v>2.7000000000000001E-3</v>
      </c>
      <c r="F404" s="7">
        <v>3</v>
      </c>
      <c r="G404" s="14">
        <v>0</v>
      </c>
      <c r="H404" s="7">
        <v>0</v>
      </c>
      <c r="I404" s="14">
        <v>2.7000000000000001E-3</v>
      </c>
      <c r="J404" s="7">
        <v>3</v>
      </c>
    </row>
    <row r="405" spans="1:10" x14ac:dyDescent="0.2">
      <c r="A405" s="9">
        <v>44546</v>
      </c>
      <c r="B405" s="4" t="s">
        <v>224</v>
      </c>
      <c r="C405" s="8">
        <v>44531</v>
      </c>
      <c r="D405" s="4" t="s">
        <v>179</v>
      </c>
      <c r="E405" s="14">
        <v>1.8E-3</v>
      </c>
      <c r="F405" s="7">
        <v>2</v>
      </c>
      <c r="G405" s="14">
        <v>0</v>
      </c>
      <c r="H405" s="7">
        <v>0</v>
      </c>
      <c r="I405" s="14">
        <v>1.8E-3</v>
      </c>
      <c r="J405" s="7">
        <v>2</v>
      </c>
    </row>
    <row r="406" spans="1:10" x14ac:dyDescent="0.2">
      <c r="A406" s="9">
        <v>44547</v>
      </c>
      <c r="B406" s="4" t="s">
        <v>222</v>
      </c>
      <c r="C406" s="8">
        <v>44531</v>
      </c>
      <c r="D406" s="4" t="s">
        <v>179</v>
      </c>
      <c r="E406" s="14">
        <v>2.7000000000000001E-3</v>
      </c>
      <c r="F406" s="7">
        <v>3</v>
      </c>
      <c r="G406" s="14">
        <v>0</v>
      </c>
      <c r="H406" s="7">
        <v>0</v>
      </c>
      <c r="I406" s="14">
        <v>2.7000000000000001E-3</v>
      </c>
      <c r="J406" s="7">
        <v>3</v>
      </c>
    </row>
    <row r="407" spans="1:10" x14ac:dyDescent="0.2">
      <c r="A407" s="9">
        <v>44550</v>
      </c>
      <c r="B407" s="4" t="s">
        <v>225</v>
      </c>
      <c r="C407" s="8">
        <v>44531</v>
      </c>
      <c r="D407" s="4" t="s">
        <v>179</v>
      </c>
      <c r="E407" s="14">
        <v>4.4000000000000003E-3</v>
      </c>
      <c r="F407" s="7">
        <v>5</v>
      </c>
      <c r="G407" s="14">
        <v>0</v>
      </c>
      <c r="H407" s="7">
        <v>0</v>
      </c>
      <c r="I407" s="14">
        <v>4.4000000000000003E-3</v>
      </c>
      <c r="J407" s="7">
        <v>5</v>
      </c>
    </row>
    <row r="408" spans="1:10" x14ac:dyDescent="0.2">
      <c r="A408" s="9">
        <v>44551</v>
      </c>
      <c r="B408" s="4" t="s">
        <v>223</v>
      </c>
      <c r="C408" s="8">
        <v>44531</v>
      </c>
      <c r="D408" s="4" t="s">
        <v>179</v>
      </c>
      <c r="E408" s="14">
        <v>4.4000000000000003E-3</v>
      </c>
      <c r="F408" s="7">
        <v>5</v>
      </c>
      <c r="G408" s="14">
        <v>0</v>
      </c>
      <c r="H408" s="7">
        <v>0</v>
      </c>
      <c r="I408" s="14">
        <v>4.4000000000000003E-3</v>
      </c>
      <c r="J408" s="7">
        <v>5</v>
      </c>
    </row>
    <row r="409" spans="1:10" x14ac:dyDescent="0.2">
      <c r="A409" s="9">
        <v>44552</v>
      </c>
      <c r="B409" s="4" t="s">
        <v>221</v>
      </c>
      <c r="C409" s="8">
        <v>44531</v>
      </c>
      <c r="D409" s="4" t="s">
        <v>179</v>
      </c>
      <c r="E409" s="14">
        <v>8.9999999999999998E-4</v>
      </c>
      <c r="F409" s="7">
        <v>1</v>
      </c>
      <c r="G409" s="14">
        <v>0</v>
      </c>
      <c r="H409" s="7">
        <v>0</v>
      </c>
      <c r="I409" s="14">
        <v>8.9999999999999998E-4</v>
      </c>
      <c r="J409" s="7">
        <v>1</v>
      </c>
    </row>
    <row r="410" spans="1:10" x14ac:dyDescent="0.2">
      <c r="A410" s="9">
        <v>44553</v>
      </c>
      <c r="B410" s="4" t="s">
        <v>224</v>
      </c>
      <c r="C410" s="8">
        <v>44531</v>
      </c>
      <c r="D410" s="4" t="s">
        <v>179</v>
      </c>
      <c r="E410" s="14">
        <v>8.9999999999999998E-4</v>
      </c>
      <c r="F410" s="7">
        <v>1</v>
      </c>
      <c r="G410" s="14">
        <v>0</v>
      </c>
      <c r="H410" s="7">
        <v>0</v>
      </c>
      <c r="I410" s="14">
        <v>8.9999999999999998E-4</v>
      </c>
      <c r="J410" s="7">
        <v>1</v>
      </c>
    </row>
    <row r="411" spans="1:10" x14ac:dyDescent="0.2">
      <c r="A411" s="9">
        <v>44554</v>
      </c>
      <c r="B411" s="4" t="s">
        <v>222</v>
      </c>
      <c r="C411" s="8">
        <v>44531</v>
      </c>
      <c r="D411" s="4" t="s">
        <v>179</v>
      </c>
      <c r="E411" s="14">
        <v>1.8E-3</v>
      </c>
      <c r="F411" s="7">
        <v>2</v>
      </c>
      <c r="G411" s="14">
        <v>0</v>
      </c>
      <c r="H411" s="7">
        <v>0</v>
      </c>
      <c r="I411" s="14">
        <v>1.8E-3</v>
      </c>
      <c r="J411" s="7">
        <v>2</v>
      </c>
    </row>
    <row r="412" spans="1:10" x14ac:dyDescent="0.2">
      <c r="A412" s="9">
        <v>44557</v>
      </c>
      <c r="B412" s="4" t="s">
        <v>225</v>
      </c>
      <c r="C412" s="8">
        <v>44531</v>
      </c>
      <c r="D412" s="4" t="s">
        <v>179</v>
      </c>
      <c r="E412" s="14">
        <v>2.7000000000000001E-3</v>
      </c>
      <c r="F412" s="7">
        <v>3</v>
      </c>
      <c r="G412" s="14">
        <v>0</v>
      </c>
      <c r="H412" s="7">
        <v>0</v>
      </c>
      <c r="I412" s="14">
        <v>2.7000000000000001E-3</v>
      </c>
      <c r="J412" s="7">
        <v>3</v>
      </c>
    </row>
    <row r="413" spans="1:10" x14ac:dyDescent="0.2">
      <c r="A413" s="9">
        <v>44558</v>
      </c>
      <c r="B413" s="4" t="s">
        <v>223</v>
      </c>
      <c r="C413" s="8">
        <v>44531</v>
      </c>
      <c r="D413" s="4" t="s">
        <v>179</v>
      </c>
      <c r="E413" s="14">
        <v>8.9999999999999998E-4</v>
      </c>
      <c r="F413" s="7">
        <v>1</v>
      </c>
      <c r="G413" s="14">
        <v>0</v>
      </c>
      <c r="H413" s="7">
        <v>0</v>
      </c>
      <c r="I413" s="14">
        <v>8.9999999999999998E-4</v>
      </c>
      <c r="J413" s="7">
        <v>1</v>
      </c>
    </row>
    <row r="414" spans="1:10" x14ac:dyDescent="0.2">
      <c r="A414" s="9">
        <v>44559</v>
      </c>
      <c r="B414" s="4" t="s">
        <v>221</v>
      </c>
      <c r="C414" s="8">
        <v>44531</v>
      </c>
      <c r="D414" s="4" t="s">
        <v>179</v>
      </c>
      <c r="E414" s="14">
        <v>8.9999999999999998E-4</v>
      </c>
      <c r="F414" s="7">
        <v>1</v>
      </c>
      <c r="G414" s="14">
        <v>0</v>
      </c>
      <c r="H414" s="7">
        <v>0</v>
      </c>
      <c r="I414" s="14">
        <v>8.9999999999999998E-4</v>
      </c>
      <c r="J414" s="7">
        <v>1</v>
      </c>
    </row>
    <row r="415" spans="1:10" x14ac:dyDescent="0.2">
      <c r="A415" s="9">
        <v>44560</v>
      </c>
      <c r="B415" s="4" t="s">
        <v>224</v>
      </c>
      <c r="C415" s="8">
        <v>44531</v>
      </c>
      <c r="D415" s="4" t="s">
        <v>179</v>
      </c>
      <c r="E415" s="14">
        <v>8.9999999999999998E-4</v>
      </c>
      <c r="F415" s="7">
        <v>1</v>
      </c>
      <c r="G415" s="14">
        <v>0</v>
      </c>
      <c r="H415" s="7">
        <v>0</v>
      </c>
      <c r="I415" s="14">
        <v>8.9999999999999998E-4</v>
      </c>
      <c r="J415" s="7">
        <v>1</v>
      </c>
    </row>
    <row r="416" spans="1:10" x14ac:dyDescent="0.2">
      <c r="A416" s="9">
        <v>44561</v>
      </c>
      <c r="B416" s="4" t="s">
        <v>222</v>
      </c>
      <c r="C416" s="8">
        <v>44531</v>
      </c>
      <c r="D416" s="4" t="s">
        <v>179</v>
      </c>
      <c r="E416" s="14">
        <v>8.9999999999999998E-4</v>
      </c>
      <c r="F416" s="7">
        <v>1</v>
      </c>
      <c r="G416" s="14">
        <v>0</v>
      </c>
      <c r="H416" s="7">
        <v>0</v>
      </c>
      <c r="I416" s="14">
        <v>8.9999999999999998E-4</v>
      </c>
      <c r="J416" s="7">
        <v>1</v>
      </c>
    </row>
    <row r="417" spans="1:10" x14ac:dyDescent="0.2">
      <c r="A417" s="9">
        <v>44564</v>
      </c>
      <c r="B417" s="4" t="s">
        <v>225</v>
      </c>
      <c r="C417" s="8">
        <v>44562</v>
      </c>
      <c r="D417" s="4" t="s">
        <v>180</v>
      </c>
      <c r="E417" s="14">
        <v>1.8E-3</v>
      </c>
      <c r="F417" s="7">
        <v>2</v>
      </c>
      <c r="G417" s="14">
        <v>0</v>
      </c>
      <c r="H417" s="7">
        <v>0</v>
      </c>
      <c r="I417" s="14">
        <v>1.8E-3</v>
      </c>
      <c r="J417" s="7">
        <v>2</v>
      </c>
    </row>
    <row r="418" spans="1:10" x14ac:dyDescent="0.2">
      <c r="A418" s="9">
        <v>44565</v>
      </c>
      <c r="B418" s="4" t="s">
        <v>223</v>
      </c>
      <c r="C418" s="8">
        <v>44562</v>
      </c>
      <c r="D418" s="4" t="s">
        <v>180</v>
      </c>
      <c r="E418" s="14">
        <v>1.9E-3</v>
      </c>
      <c r="F418" s="7">
        <v>2</v>
      </c>
      <c r="G418" s="14">
        <v>0</v>
      </c>
      <c r="H418" s="7">
        <v>0</v>
      </c>
      <c r="I418" s="14">
        <v>1.9E-3</v>
      </c>
      <c r="J418" s="7">
        <v>2</v>
      </c>
    </row>
    <row r="419" spans="1:10" x14ac:dyDescent="0.2">
      <c r="A419" s="9">
        <v>44566</v>
      </c>
      <c r="B419" s="4" t="s">
        <v>221</v>
      </c>
      <c r="C419" s="8">
        <v>44562</v>
      </c>
      <c r="D419" s="4" t="s">
        <v>180</v>
      </c>
      <c r="E419" s="14">
        <v>1.9E-3</v>
      </c>
      <c r="F419" s="7">
        <v>2</v>
      </c>
      <c r="G419" s="14">
        <v>0</v>
      </c>
      <c r="H419" s="7">
        <v>0</v>
      </c>
      <c r="I419" s="14">
        <v>1.9E-3</v>
      </c>
      <c r="J419" s="7">
        <v>2</v>
      </c>
    </row>
    <row r="420" spans="1:10" x14ac:dyDescent="0.2">
      <c r="A420" s="9">
        <v>44567</v>
      </c>
      <c r="B420" s="4" t="s">
        <v>224</v>
      </c>
      <c r="C420" s="8">
        <v>44562</v>
      </c>
      <c r="D420" s="4" t="s">
        <v>180</v>
      </c>
      <c r="E420" s="14">
        <v>8.9999999999999998E-4</v>
      </c>
      <c r="F420" s="7">
        <v>1</v>
      </c>
      <c r="G420" s="14">
        <v>0</v>
      </c>
      <c r="H420" s="7">
        <v>0</v>
      </c>
      <c r="I420" s="14">
        <v>8.9999999999999998E-4</v>
      </c>
      <c r="J420" s="7">
        <v>1</v>
      </c>
    </row>
    <row r="421" spans="1:10" x14ac:dyDescent="0.2">
      <c r="A421" s="9">
        <v>44568</v>
      </c>
      <c r="B421" s="4" t="s">
        <v>222</v>
      </c>
      <c r="C421" s="8">
        <v>44562</v>
      </c>
      <c r="D421" s="4" t="s">
        <v>180</v>
      </c>
      <c r="E421" s="14">
        <v>1.9E-3</v>
      </c>
      <c r="F421" s="7">
        <v>2</v>
      </c>
      <c r="G421" s="14">
        <v>0</v>
      </c>
      <c r="H421" s="7">
        <v>0</v>
      </c>
      <c r="I421" s="14">
        <v>1.9E-3</v>
      </c>
      <c r="J421" s="7">
        <v>2</v>
      </c>
    </row>
    <row r="422" spans="1:10" x14ac:dyDescent="0.2">
      <c r="A422" s="9">
        <v>44571</v>
      </c>
      <c r="B422" s="4" t="s">
        <v>225</v>
      </c>
      <c r="C422" s="8">
        <v>44562</v>
      </c>
      <c r="D422" s="4" t="s">
        <v>180</v>
      </c>
      <c r="E422" s="14">
        <v>1.9E-3</v>
      </c>
      <c r="F422" s="7">
        <v>2</v>
      </c>
      <c r="G422" s="14">
        <v>0</v>
      </c>
      <c r="H422" s="7">
        <v>0</v>
      </c>
      <c r="I422" s="14">
        <v>1.9E-3</v>
      </c>
      <c r="J422" s="7">
        <v>2</v>
      </c>
    </row>
    <row r="423" spans="1:10" x14ac:dyDescent="0.2">
      <c r="A423" s="9">
        <v>44572</v>
      </c>
      <c r="B423" s="4" t="s">
        <v>223</v>
      </c>
      <c r="C423" s="8">
        <v>44562</v>
      </c>
      <c r="D423" s="4" t="s">
        <v>180</v>
      </c>
      <c r="E423" s="14">
        <v>2.8E-3</v>
      </c>
      <c r="F423" s="7">
        <v>3</v>
      </c>
      <c r="G423" s="14">
        <v>0</v>
      </c>
      <c r="H423" s="7">
        <v>0</v>
      </c>
      <c r="I423" s="14">
        <v>2.8E-3</v>
      </c>
      <c r="J423" s="7">
        <v>3</v>
      </c>
    </row>
    <row r="424" spans="1:10" x14ac:dyDescent="0.2">
      <c r="A424" s="9">
        <v>44573</v>
      </c>
      <c r="B424" s="4" t="s">
        <v>221</v>
      </c>
      <c r="C424" s="8">
        <v>44562</v>
      </c>
      <c r="D424" s="4" t="s">
        <v>180</v>
      </c>
      <c r="E424" s="14">
        <v>1E-3</v>
      </c>
      <c r="F424" s="7">
        <v>1</v>
      </c>
      <c r="G424" s="14">
        <v>0</v>
      </c>
      <c r="H424" s="7">
        <v>0</v>
      </c>
      <c r="I424" s="14">
        <v>1E-3</v>
      </c>
      <c r="J424" s="7">
        <v>1</v>
      </c>
    </row>
    <row r="425" spans="1:10" x14ac:dyDescent="0.2">
      <c r="A425" s="9">
        <v>44574</v>
      </c>
      <c r="B425" s="4" t="s">
        <v>224</v>
      </c>
      <c r="C425" s="8">
        <v>44562</v>
      </c>
      <c r="D425" s="4" t="s">
        <v>180</v>
      </c>
      <c r="E425" s="14">
        <v>1.9E-3</v>
      </c>
      <c r="F425" s="7">
        <v>2</v>
      </c>
      <c r="G425" s="14">
        <v>0</v>
      </c>
      <c r="H425" s="7">
        <v>0</v>
      </c>
      <c r="I425" s="14">
        <v>1.9E-3</v>
      </c>
      <c r="J425" s="7">
        <v>2</v>
      </c>
    </row>
    <row r="426" spans="1:10" x14ac:dyDescent="0.2">
      <c r="A426" s="9">
        <v>44575</v>
      </c>
      <c r="B426" s="4" t="s">
        <v>222</v>
      </c>
      <c r="C426" s="8">
        <v>44562</v>
      </c>
      <c r="D426" s="4" t="s">
        <v>180</v>
      </c>
      <c r="E426" s="14">
        <v>2.8999999999999998E-3</v>
      </c>
      <c r="F426" s="7">
        <v>3</v>
      </c>
      <c r="G426" s="14">
        <v>0</v>
      </c>
      <c r="H426" s="7">
        <v>0</v>
      </c>
      <c r="I426" s="14">
        <v>2.8999999999999998E-3</v>
      </c>
      <c r="J426" s="7">
        <v>3</v>
      </c>
    </row>
    <row r="427" spans="1:10" x14ac:dyDescent="0.2">
      <c r="A427" s="9">
        <v>44578</v>
      </c>
      <c r="B427" s="4" t="s">
        <v>225</v>
      </c>
      <c r="C427" s="8">
        <v>44562</v>
      </c>
      <c r="D427" s="4" t="s">
        <v>180</v>
      </c>
      <c r="E427" s="14">
        <v>1E-3</v>
      </c>
      <c r="F427" s="7">
        <v>1</v>
      </c>
      <c r="G427" s="14">
        <v>0</v>
      </c>
      <c r="H427" s="7">
        <v>0</v>
      </c>
      <c r="I427" s="14">
        <v>1E-3</v>
      </c>
      <c r="J427" s="7">
        <v>1</v>
      </c>
    </row>
    <row r="428" spans="1:10" x14ac:dyDescent="0.2">
      <c r="A428" s="9">
        <v>44579</v>
      </c>
      <c r="B428" s="4" t="s">
        <v>223</v>
      </c>
      <c r="C428" s="8">
        <v>44562</v>
      </c>
      <c r="D428" s="4" t="s">
        <v>180</v>
      </c>
      <c r="E428" s="14">
        <v>2.8999999999999998E-3</v>
      </c>
      <c r="F428" s="7">
        <v>3</v>
      </c>
      <c r="G428" s="14">
        <v>0</v>
      </c>
      <c r="H428" s="7">
        <v>0</v>
      </c>
      <c r="I428" s="14">
        <v>2.8999999999999998E-3</v>
      </c>
      <c r="J428" s="7">
        <v>3</v>
      </c>
    </row>
    <row r="429" spans="1:10" x14ac:dyDescent="0.2">
      <c r="A429" s="9">
        <v>44580</v>
      </c>
      <c r="B429" s="4" t="s">
        <v>221</v>
      </c>
      <c r="C429" s="8">
        <v>44562</v>
      </c>
      <c r="D429" s="4" t="s">
        <v>180</v>
      </c>
      <c r="E429" s="14">
        <v>3.8E-3</v>
      </c>
      <c r="F429" s="7">
        <v>4</v>
      </c>
      <c r="G429" s="14">
        <v>0</v>
      </c>
      <c r="H429" s="7">
        <v>0</v>
      </c>
      <c r="I429" s="14">
        <v>3.8E-3</v>
      </c>
      <c r="J429" s="7">
        <v>4</v>
      </c>
    </row>
    <row r="430" spans="1:10" x14ac:dyDescent="0.2">
      <c r="A430" s="9">
        <v>44581</v>
      </c>
      <c r="B430" s="4" t="s">
        <v>224</v>
      </c>
      <c r="C430" s="8">
        <v>44562</v>
      </c>
      <c r="D430" s="4" t="s">
        <v>180</v>
      </c>
      <c r="E430" s="14">
        <v>6.4999999999999997E-3</v>
      </c>
      <c r="F430" s="7">
        <v>7</v>
      </c>
      <c r="G430" s="14">
        <v>0</v>
      </c>
      <c r="H430" s="7">
        <v>0</v>
      </c>
      <c r="I430" s="14">
        <v>6.4999999999999997E-3</v>
      </c>
      <c r="J430" s="7">
        <v>7</v>
      </c>
    </row>
    <row r="431" spans="1:10" x14ac:dyDescent="0.2">
      <c r="A431" s="9">
        <v>44582</v>
      </c>
      <c r="B431" s="4" t="s">
        <v>222</v>
      </c>
      <c r="C431" s="8">
        <v>44562</v>
      </c>
      <c r="D431" s="4" t="s">
        <v>180</v>
      </c>
      <c r="E431" s="14">
        <v>4.5999999999999999E-3</v>
      </c>
      <c r="F431" s="7">
        <v>5</v>
      </c>
      <c r="G431" s="14">
        <v>0</v>
      </c>
      <c r="H431" s="7">
        <v>0</v>
      </c>
      <c r="I431" s="14">
        <v>4.5999999999999999E-3</v>
      </c>
      <c r="J431" s="7">
        <v>5</v>
      </c>
    </row>
    <row r="432" spans="1:10" x14ac:dyDescent="0.2">
      <c r="A432" s="9">
        <v>44585</v>
      </c>
      <c r="B432" s="4" t="s">
        <v>225</v>
      </c>
      <c r="C432" s="8">
        <v>44562</v>
      </c>
      <c r="D432" s="4" t="s">
        <v>180</v>
      </c>
      <c r="E432" s="14">
        <v>7.3000000000000001E-3</v>
      </c>
      <c r="F432" s="7">
        <v>8</v>
      </c>
      <c r="G432" s="14">
        <v>0</v>
      </c>
      <c r="H432" s="7">
        <v>0</v>
      </c>
      <c r="I432" s="14">
        <v>7.3000000000000001E-3</v>
      </c>
      <c r="J432" s="7">
        <v>8</v>
      </c>
    </row>
    <row r="433" spans="1:10" x14ac:dyDescent="0.2">
      <c r="A433" s="9">
        <v>44586</v>
      </c>
      <c r="B433" s="4" t="s">
        <v>223</v>
      </c>
      <c r="C433" s="8">
        <v>44562</v>
      </c>
      <c r="D433" s="4" t="s">
        <v>180</v>
      </c>
      <c r="E433" s="14">
        <v>5.4000000000000003E-3</v>
      </c>
      <c r="F433" s="7">
        <v>6</v>
      </c>
      <c r="G433" s="14">
        <v>0</v>
      </c>
      <c r="H433" s="7">
        <v>0</v>
      </c>
      <c r="I433" s="14">
        <v>5.4000000000000003E-3</v>
      </c>
      <c r="J433" s="7">
        <v>6</v>
      </c>
    </row>
    <row r="434" spans="1:10" x14ac:dyDescent="0.2">
      <c r="A434" s="9">
        <v>44588</v>
      </c>
      <c r="B434" s="4" t="s">
        <v>224</v>
      </c>
      <c r="C434" s="8">
        <v>44562</v>
      </c>
      <c r="D434" s="4" t="s">
        <v>180</v>
      </c>
      <c r="E434" s="14">
        <v>3.5999999999999999E-3</v>
      </c>
      <c r="F434" s="7">
        <v>4</v>
      </c>
      <c r="G434" s="14">
        <v>0</v>
      </c>
      <c r="H434" s="7">
        <v>0</v>
      </c>
      <c r="I434" s="14">
        <v>3.5999999999999999E-3</v>
      </c>
      <c r="J434" s="7">
        <v>4</v>
      </c>
    </row>
    <row r="435" spans="1:10" x14ac:dyDescent="0.2">
      <c r="A435" s="9">
        <v>44589</v>
      </c>
      <c r="B435" s="4" t="s">
        <v>222</v>
      </c>
      <c r="C435" s="8">
        <v>44562</v>
      </c>
      <c r="D435" s="4" t="s">
        <v>180</v>
      </c>
      <c r="E435" s="14">
        <v>3.5999999999999999E-3</v>
      </c>
      <c r="F435" s="7">
        <v>4</v>
      </c>
      <c r="G435" s="14">
        <v>0</v>
      </c>
      <c r="H435" s="7">
        <v>0</v>
      </c>
      <c r="I435" s="14">
        <v>3.5999999999999999E-3</v>
      </c>
      <c r="J435" s="7">
        <v>4</v>
      </c>
    </row>
    <row r="436" spans="1:10" x14ac:dyDescent="0.2">
      <c r="A436" s="9">
        <v>44592</v>
      </c>
      <c r="B436" s="4" t="s">
        <v>225</v>
      </c>
      <c r="C436" s="8">
        <v>44562</v>
      </c>
      <c r="D436" s="4" t="s">
        <v>180</v>
      </c>
      <c r="E436" s="14">
        <v>1.8E-3</v>
      </c>
      <c r="F436" s="7">
        <v>2</v>
      </c>
      <c r="G436" s="14">
        <v>0</v>
      </c>
      <c r="H436" s="7">
        <v>0</v>
      </c>
      <c r="I436" s="14">
        <v>1.8E-3</v>
      </c>
      <c r="J436" s="7">
        <v>2</v>
      </c>
    </row>
    <row r="437" spans="1:10" x14ac:dyDescent="0.2">
      <c r="A437" s="9">
        <v>44593</v>
      </c>
      <c r="B437" s="4" t="s">
        <v>223</v>
      </c>
      <c r="C437" s="8">
        <v>44593</v>
      </c>
      <c r="D437" s="4" t="s">
        <v>180</v>
      </c>
      <c r="E437" s="14">
        <v>8.9999999999999998E-4</v>
      </c>
      <c r="F437" s="7">
        <v>1</v>
      </c>
      <c r="G437" s="14">
        <v>0</v>
      </c>
      <c r="H437" s="7">
        <v>0</v>
      </c>
      <c r="I437" s="14">
        <v>8.9999999999999998E-4</v>
      </c>
      <c r="J437" s="7">
        <v>1</v>
      </c>
    </row>
    <row r="438" spans="1:10" x14ac:dyDescent="0.2">
      <c r="A438" s="9">
        <v>44594</v>
      </c>
      <c r="B438" s="4" t="s">
        <v>221</v>
      </c>
      <c r="C438" s="8">
        <v>44593</v>
      </c>
      <c r="D438" s="4" t="s">
        <v>180</v>
      </c>
      <c r="E438" s="14">
        <v>8.9999999999999998E-4</v>
      </c>
      <c r="F438" s="7">
        <v>1</v>
      </c>
      <c r="G438" s="14">
        <v>0</v>
      </c>
      <c r="H438" s="7">
        <v>0</v>
      </c>
      <c r="I438" s="14">
        <v>8.9999999999999998E-4</v>
      </c>
      <c r="J438" s="7">
        <v>1</v>
      </c>
    </row>
    <row r="439" spans="1:10" x14ac:dyDescent="0.2">
      <c r="A439" s="9">
        <v>44595</v>
      </c>
      <c r="B439" s="4" t="s">
        <v>224</v>
      </c>
      <c r="C439" s="8">
        <v>44593</v>
      </c>
      <c r="D439" s="4" t="s">
        <v>180</v>
      </c>
      <c r="E439" s="14">
        <v>2.8E-3</v>
      </c>
      <c r="F439" s="7">
        <v>3</v>
      </c>
      <c r="G439" s="14">
        <v>0</v>
      </c>
      <c r="H439" s="7">
        <v>0</v>
      </c>
      <c r="I439" s="14">
        <v>2.8E-3</v>
      </c>
      <c r="J439" s="7">
        <v>3</v>
      </c>
    </row>
    <row r="440" spans="1:10" x14ac:dyDescent="0.2">
      <c r="A440" s="9">
        <v>44596</v>
      </c>
      <c r="B440" s="4" t="s">
        <v>222</v>
      </c>
      <c r="C440" s="8">
        <v>44593</v>
      </c>
      <c r="D440" s="4" t="s">
        <v>180</v>
      </c>
      <c r="E440" s="14">
        <v>3.7000000000000002E-3</v>
      </c>
      <c r="F440" s="7">
        <v>4</v>
      </c>
      <c r="G440" s="14">
        <v>0</v>
      </c>
      <c r="H440" s="7">
        <v>0</v>
      </c>
      <c r="I440" s="14">
        <v>3.7000000000000002E-3</v>
      </c>
      <c r="J440" s="7">
        <v>4</v>
      </c>
    </row>
    <row r="441" spans="1:10" x14ac:dyDescent="0.2">
      <c r="A441" s="9">
        <v>44599</v>
      </c>
      <c r="B441" s="4" t="s">
        <v>225</v>
      </c>
      <c r="C441" s="8">
        <v>44593</v>
      </c>
      <c r="D441" s="4" t="s">
        <v>180</v>
      </c>
      <c r="E441" s="14">
        <v>3.5999999999999999E-3</v>
      </c>
      <c r="F441" s="7">
        <v>4</v>
      </c>
      <c r="G441" s="14">
        <v>0</v>
      </c>
      <c r="H441" s="7">
        <v>0</v>
      </c>
      <c r="I441" s="14">
        <v>3.5999999999999999E-3</v>
      </c>
      <c r="J441" s="7">
        <v>4</v>
      </c>
    </row>
    <row r="442" spans="1:10" x14ac:dyDescent="0.2">
      <c r="A442" s="9">
        <v>44600</v>
      </c>
      <c r="B442" s="4" t="s">
        <v>223</v>
      </c>
      <c r="C442" s="8">
        <v>44593</v>
      </c>
      <c r="D442" s="4" t="s">
        <v>180</v>
      </c>
      <c r="E442" s="14">
        <v>6.3E-3</v>
      </c>
      <c r="F442" s="7">
        <v>7</v>
      </c>
      <c r="G442" s="14">
        <v>0</v>
      </c>
      <c r="H442" s="7">
        <v>0</v>
      </c>
      <c r="I442" s="14">
        <v>6.3E-3</v>
      </c>
      <c r="J442" s="7">
        <v>7</v>
      </c>
    </row>
    <row r="443" spans="1:10" x14ac:dyDescent="0.2">
      <c r="A443" s="9">
        <v>44601</v>
      </c>
      <c r="B443" s="4" t="s">
        <v>221</v>
      </c>
      <c r="C443" s="8">
        <v>44593</v>
      </c>
      <c r="D443" s="4" t="s">
        <v>180</v>
      </c>
      <c r="E443" s="14">
        <v>8.9999999999999998E-4</v>
      </c>
      <c r="F443" s="7">
        <v>1</v>
      </c>
      <c r="G443" s="14">
        <v>0</v>
      </c>
      <c r="H443" s="7">
        <v>0</v>
      </c>
      <c r="I443" s="14">
        <v>8.9999999999999998E-4</v>
      </c>
      <c r="J443" s="7">
        <v>1</v>
      </c>
    </row>
    <row r="444" spans="1:10" x14ac:dyDescent="0.2">
      <c r="A444" s="9">
        <v>44602</v>
      </c>
      <c r="B444" s="4" t="s">
        <v>224</v>
      </c>
      <c r="C444" s="8">
        <v>44593</v>
      </c>
      <c r="D444" s="4" t="s">
        <v>180</v>
      </c>
      <c r="E444" s="14">
        <v>2.8E-3</v>
      </c>
      <c r="F444" s="7">
        <v>3</v>
      </c>
      <c r="G444" s="14">
        <v>0</v>
      </c>
      <c r="H444" s="7">
        <v>0</v>
      </c>
      <c r="I444" s="14">
        <v>2.8E-3</v>
      </c>
      <c r="J444" s="7">
        <v>3</v>
      </c>
    </row>
    <row r="445" spans="1:10" x14ac:dyDescent="0.2">
      <c r="A445" s="9">
        <v>44603</v>
      </c>
      <c r="B445" s="4" t="s">
        <v>222</v>
      </c>
      <c r="C445" s="8">
        <v>44593</v>
      </c>
      <c r="D445" s="4" t="s">
        <v>180</v>
      </c>
      <c r="E445" s="14">
        <v>2.7000000000000001E-3</v>
      </c>
      <c r="F445" s="7">
        <v>3</v>
      </c>
      <c r="G445" s="14">
        <v>0</v>
      </c>
      <c r="H445" s="7">
        <v>0</v>
      </c>
      <c r="I445" s="14">
        <v>2.7000000000000001E-3</v>
      </c>
      <c r="J445" s="7">
        <v>3</v>
      </c>
    </row>
    <row r="446" spans="1:10" x14ac:dyDescent="0.2">
      <c r="A446" s="9">
        <v>44606</v>
      </c>
      <c r="B446" s="4" t="s">
        <v>225</v>
      </c>
      <c r="C446" s="8">
        <v>44593</v>
      </c>
      <c r="D446" s="4" t="s">
        <v>180</v>
      </c>
      <c r="E446" s="14">
        <v>1.8E-3</v>
      </c>
      <c r="F446" s="7">
        <v>2</v>
      </c>
      <c r="G446" s="14">
        <v>0</v>
      </c>
      <c r="H446" s="7">
        <v>0</v>
      </c>
      <c r="I446" s="14">
        <v>1.8E-3</v>
      </c>
      <c r="J446" s="7">
        <v>2</v>
      </c>
    </row>
    <row r="447" spans="1:10" x14ac:dyDescent="0.2">
      <c r="A447" s="9">
        <v>44607</v>
      </c>
      <c r="B447" s="4" t="s">
        <v>223</v>
      </c>
      <c r="C447" s="8">
        <v>44593</v>
      </c>
      <c r="D447" s="4" t="s">
        <v>180</v>
      </c>
      <c r="E447" s="14">
        <v>4.4999999999999997E-3</v>
      </c>
      <c r="F447" s="7">
        <v>5</v>
      </c>
      <c r="G447" s="14">
        <v>0</v>
      </c>
      <c r="H447" s="7">
        <v>0</v>
      </c>
      <c r="I447" s="14">
        <v>4.4999999999999997E-3</v>
      </c>
      <c r="J447" s="7">
        <v>5</v>
      </c>
    </row>
    <row r="448" spans="1:10" x14ac:dyDescent="0.2">
      <c r="A448" s="9">
        <v>44608</v>
      </c>
      <c r="B448" s="4" t="s">
        <v>221</v>
      </c>
      <c r="C448" s="8">
        <v>44593</v>
      </c>
      <c r="D448" s="4" t="s">
        <v>180</v>
      </c>
      <c r="E448" s="14">
        <v>3.5999999999999999E-3</v>
      </c>
      <c r="F448" s="7">
        <v>4</v>
      </c>
      <c r="G448" s="14">
        <v>0</v>
      </c>
      <c r="H448" s="7">
        <v>0</v>
      </c>
      <c r="I448" s="14">
        <v>3.5999999999999999E-3</v>
      </c>
      <c r="J448" s="7">
        <v>4</v>
      </c>
    </row>
    <row r="449" spans="1:10" x14ac:dyDescent="0.2">
      <c r="A449" s="9">
        <v>44609</v>
      </c>
      <c r="B449" s="4" t="s">
        <v>224</v>
      </c>
      <c r="C449" s="8">
        <v>44593</v>
      </c>
      <c r="D449" s="4" t="s">
        <v>180</v>
      </c>
      <c r="E449" s="14">
        <v>0</v>
      </c>
      <c r="F449" s="7">
        <v>0</v>
      </c>
      <c r="G449" s="14">
        <v>0</v>
      </c>
      <c r="H449" s="7">
        <v>0</v>
      </c>
      <c r="I449" s="14">
        <v>0</v>
      </c>
      <c r="J449" s="7">
        <v>0</v>
      </c>
    </row>
    <row r="450" spans="1:10" x14ac:dyDescent="0.2">
      <c r="A450" s="9">
        <v>44610</v>
      </c>
      <c r="B450" s="4" t="s">
        <v>222</v>
      </c>
      <c r="C450" s="8">
        <v>44593</v>
      </c>
      <c r="D450" s="4" t="s">
        <v>180</v>
      </c>
      <c r="E450" s="14">
        <v>1.8E-3</v>
      </c>
      <c r="F450" s="7">
        <v>2</v>
      </c>
      <c r="G450" s="14">
        <v>0</v>
      </c>
      <c r="H450" s="7">
        <v>0</v>
      </c>
      <c r="I450" s="14">
        <v>1.8E-3</v>
      </c>
      <c r="J450" s="7">
        <v>2</v>
      </c>
    </row>
    <row r="451" spans="1:10" x14ac:dyDescent="0.2">
      <c r="A451" s="9">
        <v>44613</v>
      </c>
      <c r="B451" s="4" t="s">
        <v>225</v>
      </c>
      <c r="C451" s="8">
        <v>44593</v>
      </c>
      <c r="D451" s="4" t="s">
        <v>180</v>
      </c>
      <c r="E451" s="14">
        <v>3.5999999999999999E-3</v>
      </c>
      <c r="F451" s="7">
        <v>4</v>
      </c>
      <c r="G451" s="14">
        <v>0</v>
      </c>
      <c r="H451" s="7">
        <v>0</v>
      </c>
      <c r="I451" s="14">
        <v>3.5999999999999999E-3</v>
      </c>
      <c r="J451" s="7">
        <v>4</v>
      </c>
    </row>
    <row r="452" spans="1:10" x14ac:dyDescent="0.2">
      <c r="A452" s="9">
        <v>44614</v>
      </c>
      <c r="B452" s="4" t="s">
        <v>223</v>
      </c>
      <c r="C452" s="8">
        <v>44593</v>
      </c>
      <c r="D452" s="4" t="s">
        <v>180</v>
      </c>
      <c r="E452" s="14">
        <v>4.4000000000000003E-3</v>
      </c>
      <c r="F452" s="7">
        <v>5</v>
      </c>
      <c r="G452" s="14">
        <v>0</v>
      </c>
      <c r="H452" s="7">
        <v>0</v>
      </c>
      <c r="I452" s="14">
        <v>4.4000000000000003E-3</v>
      </c>
      <c r="J452" s="7">
        <v>5</v>
      </c>
    </row>
    <row r="453" spans="1:10" x14ac:dyDescent="0.2">
      <c r="A453" s="9">
        <v>44615</v>
      </c>
      <c r="B453" s="4" t="s">
        <v>221</v>
      </c>
      <c r="C453" s="8">
        <v>44593</v>
      </c>
      <c r="D453" s="4" t="s">
        <v>180</v>
      </c>
      <c r="E453" s="14">
        <v>1.8E-3</v>
      </c>
      <c r="F453" s="7">
        <v>2</v>
      </c>
      <c r="G453" s="14">
        <v>0</v>
      </c>
      <c r="H453" s="7">
        <v>0</v>
      </c>
      <c r="I453" s="14">
        <v>1.8E-3</v>
      </c>
      <c r="J453" s="7">
        <v>2</v>
      </c>
    </row>
    <row r="454" spans="1:10" x14ac:dyDescent="0.2">
      <c r="A454" s="9">
        <v>44616</v>
      </c>
      <c r="B454" s="4" t="s">
        <v>224</v>
      </c>
      <c r="C454" s="8">
        <v>44593</v>
      </c>
      <c r="D454" s="4" t="s">
        <v>180</v>
      </c>
      <c r="E454" s="14">
        <v>2.5999999999999999E-3</v>
      </c>
      <c r="F454" s="7">
        <v>3</v>
      </c>
      <c r="G454" s="14">
        <v>0</v>
      </c>
      <c r="H454" s="7">
        <v>0</v>
      </c>
      <c r="I454" s="14">
        <v>2.5999999999999999E-3</v>
      </c>
      <c r="J454" s="7">
        <v>3</v>
      </c>
    </row>
    <row r="455" spans="1:10" x14ac:dyDescent="0.2">
      <c r="A455" s="9">
        <v>44617</v>
      </c>
      <c r="B455" s="4" t="s">
        <v>222</v>
      </c>
      <c r="C455" s="8">
        <v>44593</v>
      </c>
      <c r="D455" s="4" t="s">
        <v>180</v>
      </c>
      <c r="E455" s="14">
        <v>8.9999999999999998E-4</v>
      </c>
      <c r="F455" s="7">
        <v>1</v>
      </c>
      <c r="G455" s="14">
        <v>0</v>
      </c>
      <c r="H455" s="7">
        <v>0</v>
      </c>
      <c r="I455" s="14">
        <v>8.9999999999999998E-4</v>
      </c>
      <c r="J455" s="7">
        <v>1</v>
      </c>
    </row>
    <row r="456" spans="1:10" x14ac:dyDescent="0.2">
      <c r="A456" s="9">
        <v>44620</v>
      </c>
      <c r="B456" s="4" t="s">
        <v>225</v>
      </c>
      <c r="C456" s="8">
        <v>44593</v>
      </c>
      <c r="D456" s="4" t="s">
        <v>180</v>
      </c>
      <c r="E456" s="14">
        <v>3.5000000000000001E-3</v>
      </c>
      <c r="F456" s="7">
        <v>4</v>
      </c>
      <c r="G456" s="14">
        <v>0</v>
      </c>
      <c r="H456" s="7">
        <v>0</v>
      </c>
      <c r="I456" s="14">
        <v>3.5000000000000001E-3</v>
      </c>
      <c r="J456" s="7">
        <v>4</v>
      </c>
    </row>
    <row r="457" spans="1:10" x14ac:dyDescent="0.2">
      <c r="A457" s="9">
        <v>44622</v>
      </c>
      <c r="B457" s="4" t="s">
        <v>221</v>
      </c>
      <c r="C457" s="8">
        <v>44621</v>
      </c>
      <c r="D457" s="4" t="s">
        <v>180</v>
      </c>
      <c r="E457" s="14">
        <v>1.6999999999999999E-3</v>
      </c>
      <c r="F457" s="7">
        <v>2</v>
      </c>
      <c r="G457" s="14">
        <v>0</v>
      </c>
      <c r="H457" s="7">
        <v>0</v>
      </c>
      <c r="I457" s="14">
        <v>1.6999999999999999E-3</v>
      </c>
      <c r="J457" s="7">
        <v>2</v>
      </c>
    </row>
    <row r="458" spans="1:10" x14ac:dyDescent="0.2">
      <c r="A458" s="9">
        <v>44623</v>
      </c>
      <c r="B458" s="4" t="s">
        <v>224</v>
      </c>
      <c r="C458" s="8">
        <v>44621</v>
      </c>
      <c r="D458" s="4" t="s">
        <v>180</v>
      </c>
      <c r="E458" s="14">
        <v>0</v>
      </c>
      <c r="F458" s="7">
        <v>0</v>
      </c>
      <c r="G458" s="14">
        <v>0</v>
      </c>
      <c r="H458" s="7">
        <v>0</v>
      </c>
      <c r="I458" s="14">
        <v>0</v>
      </c>
      <c r="J458" s="7">
        <v>0</v>
      </c>
    </row>
    <row r="459" spans="1:10" x14ac:dyDescent="0.2">
      <c r="A459" s="9">
        <v>44624</v>
      </c>
      <c r="B459" s="4" t="s">
        <v>222</v>
      </c>
      <c r="C459" s="8">
        <v>44621</v>
      </c>
      <c r="D459" s="4" t="s">
        <v>180</v>
      </c>
      <c r="E459" s="14">
        <v>5.1000000000000004E-3</v>
      </c>
      <c r="F459" s="7">
        <v>6</v>
      </c>
      <c r="G459" s="14">
        <v>0</v>
      </c>
      <c r="H459" s="7">
        <v>0</v>
      </c>
      <c r="I459" s="14">
        <v>5.1000000000000004E-3</v>
      </c>
      <c r="J459" s="7">
        <v>6</v>
      </c>
    </row>
    <row r="460" spans="1:10" x14ac:dyDescent="0.2">
      <c r="A460" s="9">
        <v>44627</v>
      </c>
      <c r="B460" s="4" t="s">
        <v>225</v>
      </c>
      <c r="C460" s="8">
        <v>44621</v>
      </c>
      <c r="D460" s="4" t="s">
        <v>180</v>
      </c>
      <c r="E460" s="14">
        <v>0</v>
      </c>
      <c r="F460" s="7">
        <v>0</v>
      </c>
      <c r="G460" s="14">
        <v>0</v>
      </c>
      <c r="H460" s="7">
        <v>0</v>
      </c>
      <c r="I460" s="14">
        <v>0</v>
      </c>
      <c r="J460" s="7">
        <v>0</v>
      </c>
    </row>
    <row r="461" spans="1:10" x14ac:dyDescent="0.2">
      <c r="A461" s="9">
        <v>44628</v>
      </c>
      <c r="B461" s="4" t="s">
        <v>223</v>
      </c>
      <c r="C461" s="8">
        <v>44621</v>
      </c>
      <c r="D461" s="4" t="s">
        <v>180</v>
      </c>
      <c r="E461" s="14">
        <v>3.3E-3</v>
      </c>
      <c r="F461" s="7">
        <v>4</v>
      </c>
      <c r="G461" s="14">
        <v>0</v>
      </c>
      <c r="H461" s="7">
        <v>0</v>
      </c>
      <c r="I461" s="14">
        <v>3.3E-3</v>
      </c>
      <c r="J461" s="7">
        <v>4</v>
      </c>
    </row>
    <row r="462" spans="1:10" x14ac:dyDescent="0.2">
      <c r="A462" s="9">
        <v>44629</v>
      </c>
      <c r="B462" s="4" t="s">
        <v>221</v>
      </c>
      <c r="C462" s="8">
        <v>44621</v>
      </c>
      <c r="D462" s="4" t="s">
        <v>180</v>
      </c>
      <c r="E462" s="14">
        <v>3.3999999999999998E-3</v>
      </c>
      <c r="F462" s="7">
        <v>4</v>
      </c>
      <c r="G462" s="14">
        <v>0</v>
      </c>
      <c r="H462" s="7">
        <v>0</v>
      </c>
      <c r="I462" s="14">
        <v>3.3999999999999998E-3</v>
      </c>
      <c r="J462" s="7">
        <v>4</v>
      </c>
    </row>
    <row r="463" spans="1:10" x14ac:dyDescent="0.2">
      <c r="A463" s="9">
        <v>44630</v>
      </c>
      <c r="B463" s="4" t="s">
        <v>224</v>
      </c>
      <c r="C463" s="8">
        <v>44621</v>
      </c>
      <c r="D463" s="4" t="s">
        <v>180</v>
      </c>
      <c r="E463" s="14">
        <v>1.6999999999999999E-3</v>
      </c>
      <c r="F463" s="7">
        <v>2</v>
      </c>
      <c r="G463" s="14">
        <v>0</v>
      </c>
      <c r="H463" s="7">
        <v>0</v>
      </c>
      <c r="I463" s="14">
        <v>1.6999999999999999E-3</v>
      </c>
      <c r="J463" s="7">
        <v>2</v>
      </c>
    </row>
    <row r="464" spans="1:10" x14ac:dyDescent="0.2">
      <c r="A464" s="9">
        <v>44631</v>
      </c>
      <c r="B464" s="4" t="s">
        <v>222</v>
      </c>
      <c r="C464" s="8">
        <v>44621</v>
      </c>
      <c r="D464" s="4" t="s">
        <v>180</v>
      </c>
      <c r="E464" s="14">
        <v>1.6999999999999999E-3</v>
      </c>
      <c r="F464" s="7">
        <v>2</v>
      </c>
      <c r="G464" s="14">
        <v>0</v>
      </c>
      <c r="H464" s="7">
        <v>0</v>
      </c>
      <c r="I464" s="14">
        <v>1.6999999999999999E-3</v>
      </c>
      <c r="J464" s="7">
        <v>2</v>
      </c>
    </row>
    <row r="465" spans="1:10" x14ac:dyDescent="0.2">
      <c r="A465" s="9">
        <v>44634</v>
      </c>
      <c r="B465" s="4" t="s">
        <v>225</v>
      </c>
      <c r="C465" s="8">
        <v>44621</v>
      </c>
      <c r="D465" s="4" t="s">
        <v>180</v>
      </c>
      <c r="E465" s="14">
        <v>2.5999999999999999E-3</v>
      </c>
      <c r="F465" s="7">
        <v>3</v>
      </c>
      <c r="G465" s="14">
        <v>0</v>
      </c>
      <c r="H465" s="7">
        <v>0</v>
      </c>
      <c r="I465" s="14">
        <v>2.5999999999999999E-3</v>
      </c>
      <c r="J465" s="7">
        <v>3</v>
      </c>
    </row>
    <row r="466" spans="1:10" x14ac:dyDescent="0.2">
      <c r="A466" s="9">
        <v>44635</v>
      </c>
      <c r="B466" s="4" t="s">
        <v>223</v>
      </c>
      <c r="C466" s="8">
        <v>44621</v>
      </c>
      <c r="D466" s="4" t="s">
        <v>180</v>
      </c>
      <c r="E466" s="14">
        <v>2.5999999999999999E-3</v>
      </c>
      <c r="F466" s="7">
        <v>3</v>
      </c>
      <c r="G466" s="14">
        <v>0</v>
      </c>
      <c r="H466" s="7">
        <v>0</v>
      </c>
      <c r="I466" s="14">
        <v>2.5999999999999999E-3</v>
      </c>
      <c r="J466" s="7">
        <v>3</v>
      </c>
    </row>
    <row r="467" spans="1:10" x14ac:dyDescent="0.2">
      <c r="A467" s="9">
        <v>44636</v>
      </c>
      <c r="B467" s="4" t="s">
        <v>221</v>
      </c>
      <c r="C467" s="8">
        <v>44621</v>
      </c>
      <c r="D467" s="4" t="s">
        <v>180</v>
      </c>
      <c r="E467" s="14">
        <v>8.9999999999999998E-4</v>
      </c>
      <c r="F467" s="7">
        <v>1</v>
      </c>
      <c r="G467" s="14">
        <v>0</v>
      </c>
      <c r="H467" s="7">
        <v>0</v>
      </c>
      <c r="I467" s="14">
        <v>8.9999999999999998E-4</v>
      </c>
      <c r="J467" s="7">
        <v>1</v>
      </c>
    </row>
    <row r="468" spans="1:10" x14ac:dyDescent="0.2">
      <c r="A468" s="9">
        <v>44637</v>
      </c>
      <c r="B468" s="4" t="s">
        <v>224</v>
      </c>
      <c r="C468" s="8">
        <v>44621</v>
      </c>
      <c r="D468" s="4" t="s">
        <v>180</v>
      </c>
      <c r="E468" s="14">
        <v>1.8E-3</v>
      </c>
      <c r="F468" s="7">
        <v>2</v>
      </c>
      <c r="G468" s="14">
        <v>0</v>
      </c>
      <c r="H468" s="7">
        <v>0</v>
      </c>
      <c r="I468" s="14">
        <v>1.8E-3</v>
      </c>
      <c r="J468" s="7">
        <v>2</v>
      </c>
    </row>
    <row r="469" spans="1:10" x14ac:dyDescent="0.2">
      <c r="A469" s="9">
        <v>44641</v>
      </c>
      <c r="B469" s="4" t="s">
        <v>225</v>
      </c>
      <c r="C469" s="8">
        <v>44621</v>
      </c>
      <c r="D469" s="4" t="s">
        <v>180</v>
      </c>
      <c r="E469" s="14">
        <v>0</v>
      </c>
      <c r="F469" s="7">
        <v>0</v>
      </c>
      <c r="G469" s="14">
        <v>0</v>
      </c>
      <c r="H469" s="7">
        <v>0</v>
      </c>
      <c r="I469" s="14">
        <v>0</v>
      </c>
      <c r="J469" s="7">
        <v>0</v>
      </c>
    </row>
    <row r="470" spans="1:10" x14ac:dyDescent="0.2">
      <c r="A470" s="9">
        <v>44642</v>
      </c>
      <c r="B470" s="4" t="s">
        <v>223</v>
      </c>
      <c r="C470" s="8">
        <v>44621</v>
      </c>
      <c r="D470" s="4" t="s">
        <v>180</v>
      </c>
      <c r="E470" s="14">
        <v>2.7000000000000001E-3</v>
      </c>
      <c r="F470" s="7">
        <v>3</v>
      </c>
      <c r="G470" s="14">
        <v>0</v>
      </c>
      <c r="H470" s="7">
        <v>0</v>
      </c>
      <c r="I470" s="14">
        <v>2.7000000000000001E-3</v>
      </c>
      <c r="J470" s="7">
        <v>3</v>
      </c>
    </row>
    <row r="471" spans="1:10" x14ac:dyDescent="0.2">
      <c r="A471" s="9">
        <v>44643</v>
      </c>
      <c r="B471" s="4" t="s">
        <v>221</v>
      </c>
      <c r="C471" s="8">
        <v>44621</v>
      </c>
      <c r="D471" s="4" t="s">
        <v>180</v>
      </c>
      <c r="E471" s="14">
        <v>3.5999999999999999E-3</v>
      </c>
      <c r="F471" s="7">
        <v>4</v>
      </c>
      <c r="G471" s="14">
        <v>0</v>
      </c>
      <c r="H471" s="7">
        <v>0</v>
      </c>
      <c r="I471" s="14">
        <v>3.5999999999999999E-3</v>
      </c>
      <c r="J471" s="7">
        <v>4</v>
      </c>
    </row>
    <row r="472" spans="1:10" x14ac:dyDescent="0.2">
      <c r="A472" s="9">
        <v>44644</v>
      </c>
      <c r="B472" s="4" t="s">
        <v>224</v>
      </c>
      <c r="C472" s="8">
        <v>44621</v>
      </c>
      <c r="D472" s="4" t="s">
        <v>180</v>
      </c>
      <c r="E472" s="14">
        <v>2.7000000000000001E-3</v>
      </c>
      <c r="F472" s="7">
        <v>3</v>
      </c>
      <c r="G472" s="14">
        <v>0</v>
      </c>
      <c r="H472" s="7">
        <v>0</v>
      </c>
      <c r="I472" s="14">
        <v>2.7000000000000001E-3</v>
      </c>
      <c r="J472" s="7">
        <v>3</v>
      </c>
    </row>
    <row r="473" spans="1:10" x14ac:dyDescent="0.2">
      <c r="A473" s="9">
        <v>44645</v>
      </c>
      <c r="B473" s="4" t="s">
        <v>222</v>
      </c>
      <c r="C473" s="8">
        <v>44621</v>
      </c>
      <c r="D473" s="4" t="s">
        <v>180</v>
      </c>
      <c r="E473" s="14">
        <v>1.8E-3</v>
      </c>
      <c r="F473" s="7">
        <v>2</v>
      </c>
      <c r="G473" s="14">
        <v>0</v>
      </c>
      <c r="H473" s="7">
        <v>0</v>
      </c>
      <c r="I473" s="14">
        <v>1.8E-3</v>
      </c>
      <c r="J473" s="7">
        <v>2</v>
      </c>
    </row>
    <row r="474" spans="1:10" x14ac:dyDescent="0.2">
      <c r="A474" s="9">
        <v>44648</v>
      </c>
      <c r="B474" s="4" t="s">
        <v>225</v>
      </c>
      <c r="C474" s="8">
        <v>44621</v>
      </c>
      <c r="D474" s="4" t="s">
        <v>180</v>
      </c>
      <c r="E474" s="14">
        <v>1.8E-3</v>
      </c>
      <c r="F474" s="7">
        <v>2</v>
      </c>
      <c r="G474" s="14">
        <v>0</v>
      </c>
      <c r="H474" s="7">
        <v>0</v>
      </c>
      <c r="I474" s="14">
        <v>1.8E-3</v>
      </c>
      <c r="J474" s="7">
        <v>2</v>
      </c>
    </row>
    <row r="475" spans="1:10" x14ac:dyDescent="0.2">
      <c r="A475" s="9">
        <v>44649</v>
      </c>
      <c r="B475" s="4" t="s">
        <v>223</v>
      </c>
      <c r="C475" s="8">
        <v>44621</v>
      </c>
      <c r="D475" s="4" t="s">
        <v>180</v>
      </c>
      <c r="E475" s="14">
        <v>8.9999999999999998E-4</v>
      </c>
      <c r="F475" s="7">
        <v>1</v>
      </c>
      <c r="G475" s="14">
        <v>0</v>
      </c>
      <c r="H475" s="7">
        <v>0</v>
      </c>
      <c r="I475" s="14">
        <v>8.9999999999999998E-4</v>
      </c>
      <c r="J475" s="7">
        <v>1</v>
      </c>
    </row>
    <row r="476" spans="1:10" x14ac:dyDescent="0.2">
      <c r="A476" s="9">
        <v>44650</v>
      </c>
      <c r="B476" s="4" t="s">
        <v>221</v>
      </c>
      <c r="C476" s="8">
        <v>44621</v>
      </c>
      <c r="D476" s="4" t="s">
        <v>180</v>
      </c>
      <c r="E476" s="14">
        <v>8.9999999999999998E-4</v>
      </c>
      <c r="F476" s="7">
        <v>1</v>
      </c>
      <c r="G476" s="14">
        <v>0</v>
      </c>
      <c r="H476" s="7">
        <v>0</v>
      </c>
      <c r="I476" s="14">
        <v>8.9999999999999998E-4</v>
      </c>
      <c r="J476" s="7">
        <v>1</v>
      </c>
    </row>
    <row r="477" spans="1:10" x14ac:dyDescent="0.2">
      <c r="A477" s="9">
        <v>44651</v>
      </c>
      <c r="B477" s="4" t="s">
        <v>224</v>
      </c>
      <c r="C477" s="8">
        <v>44621</v>
      </c>
      <c r="D477" s="4" t="s">
        <v>180</v>
      </c>
      <c r="E477" s="14">
        <v>1.8E-3</v>
      </c>
      <c r="F477" s="7">
        <v>2</v>
      </c>
      <c r="G477" s="14">
        <v>0</v>
      </c>
      <c r="H477" s="7">
        <v>0</v>
      </c>
      <c r="I477" s="14">
        <v>1.8E-3</v>
      </c>
      <c r="J477" s="7">
        <v>2</v>
      </c>
    </row>
    <row r="478" spans="1:10" x14ac:dyDescent="0.2">
      <c r="A478" s="9">
        <v>44656</v>
      </c>
      <c r="B478" s="4" t="s">
        <v>223</v>
      </c>
      <c r="C478" s="8">
        <v>44652</v>
      </c>
      <c r="D478" s="4" t="s">
        <v>181</v>
      </c>
      <c r="E478" s="14">
        <v>1.9E-3</v>
      </c>
      <c r="F478" s="7">
        <v>2</v>
      </c>
      <c r="G478" s="14">
        <v>0</v>
      </c>
      <c r="H478" s="7">
        <v>0</v>
      </c>
      <c r="I478" s="14">
        <v>1.9E-3</v>
      </c>
      <c r="J478" s="7">
        <v>2</v>
      </c>
    </row>
    <row r="479" spans="1:10" x14ac:dyDescent="0.2">
      <c r="A479" s="9">
        <v>44657</v>
      </c>
      <c r="B479" s="4" t="s">
        <v>221</v>
      </c>
      <c r="C479" s="8">
        <v>44652</v>
      </c>
      <c r="D479" s="4" t="s">
        <v>181</v>
      </c>
      <c r="E479" s="14">
        <v>8.9999999999999998E-4</v>
      </c>
      <c r="F479" s="7">
        <v>1</v>
      </c>
      <c r="G479" s="14">
        <v>0</v>
      </c>
      <c r="H479" s="7">
        <v>0</v>
      </c>
      <c r="I479" s="14">
        <v>8.9999999999999998E-4</v>
      </c>
      <c r="J479" s="7">
        <v>1</v>
      </c>
    </row>
    <row r="480" spans="1:10" x14ac:dyDescent="0.2">
      <c r="A480" s="9">
        <v>44658</v>
      </c>
      <c r="B480" s="4" t="s">
        <v>224</v>
      </c>
      <c r="C480" s="8">
        <v>44652</v>
      </c>
      <c r="D480" s="4" t="s">
        <v>181</v>
      </c>
      <c r="E480" s="14">
        <v>3.7000000000000002E-3</v>
      </c>
      <c r="F480" s="7">
        <v>4</v>
      </c>
      <c r="G480" s="14">
        <v>0</v>
      </c>
      <c r="H480" s="7">
        <v>0</v>
      </c>
      <c r="I480" s="14">
        <v>3.7000000000000002E-3</v>
      </c>
      <c r="J480" s="7">
        <v>4</v>
      </c>
    </row>
    <row r="481" spans="1:10" x14ac:dyDescent="0.2">
      <c r="A481" s="9">
        <v>44659</v>
      </c>
      <c r="B481" s="4" t="s">
        <v>222</v>
      </c>
      <c r="C481" s="8">
        <v>44652</v>
      </c>
      <c r="D481" s="4" t="s">
        <v>181</v>
      </c>
      <c r="E481" s="14">
        <v>2.8E-3</v>
      </c>
      <c r="F481" s="7">
        <v>3</v>
      </c>
      <c r="G481" s="14">
        <v>0</v>
      </c>
      <c r="H481" s="7">
        <v>0</v>
      </c>
      <c r="I481" s="14">
        <v>2.8E-3</v>
      </c>
      <c r="J481" s="7">
        <v>3</v>
      </c>
    </row>
    <row r="482" spans="1:10" x14ac:dyDescent="0.2">
      <c r="A482" s="9">
        <v>44662</v>
      </c>
      <c r="B482" s="4" t="s">
        <v>225</v>
      </c>
      <c r="C482" s="8">
        <v>44652</v>
      </c>
      <c r="D482" s="4" t="s">
        <v>181</v>
      </c>
      <c r="E482" s="14">
        <v>8.9999999999999998E-4</v>
      </c>
      <c r="F482" s="7">
        <v>1</v>
      </c>
      <c r="G482" s="14">
        <v>0</v>
      </c>
      <c r="H482" s="7">
        <v>0</v>
      </c>
      <c r="I482" s="14">
        <v>8.9999999999999998E-4</v>
      </c>
      <c r="J482" s="7">
        <v>1</v>
      </c>
    </row>
    <row r="483" spans="1:10" x14ac:dyDescent="0.2">
      <c r="A483" s="9">
        <v>44663</v>
      </c>
      <c r="B483" s="4" t="s">
        <v>223</v>
      </c>
      <c r="C483" s="8">
        <v>44652</v>
      </c>
      <c r="D483" s="4" t="s">
        <v>181</v>
      </c>
      <c r="E483" s="14">
        <v>8.9999999999999998E-4</v>
      </c>
      <c r="F483" s="7">
        <v>1</v>
      </c>
      <c r="G483" s="14">
        <v>0</v>
      </c>
      <c r="H483" s="7">
        <v>0</v>
      </c>
      <c r="I483" s="14">
        <v>8.9999999999999998E-4</v>
      </c>
      <c r="J483" s="7">
        <v>1</v>
      </c>
    </row>
    <row r="484" spans="1:10" x14ac:dyDescent="0.2">
      <c r="A484" s="9">
        <v>44664</v>
      </c>
      <c r="B484" s="4" t="s">
        <v>221</v>
      </c>
      <c r="C484" s="8">
        <v>44652</v>
      </c>
      <c r="D484" s="4" t="s">
        <v>181</v>
      </c>
      <c r="E484" s="14">
        <v>1.8E-3</v>
      </c>
      <c r="F484" s="7">
        <v>2</v>
      </c>
      <c r="G484" s="14">
        <v>0</v>
      </c>
      <c r="H484" s="7">
        <v>0</v>
      </c>
      <c r="I484" s="14">
        <v>1.8E-3</v>
      </c>
      <c r="J484" s="7">
        <v>2</v>
      </c>
    </row>
    <row r="485" spans="1:10" x14ac:dyDescent="0.2">
      <c r="A485" s="9">
        <v>44669</v>
      </c>
      <c r="B485" s="4" t="s">
        <v>225</v>
      </c>
      <c r="C485" s="8">
        <v>44652</v>
      </c>
      <c r="D485" s="4" t="s">
        <v>181</v>
      </c>
      <c r="E485" s="14">
        <v>1.8E-3</v>
      </c>
      <c r="F485" s="7">
        <v>2</v>
      </c>
      <c r="G485" s="14">
        <v>0</v>
      </c>
      <c r="H485" s="7">
        <v>0</v>
      </c>
      <c r="I485" s="14">
        <v>1.8E-3</v>
      </c>
      <c r="J485" s="7">
        <v>2</v>
      </c>
    </row>
    <row r="486" spans="1:10" x14ac:dyDescent="0.2">
      <c r="A486" s="9">
        <v>44670</v>
      </c>
      <c r="B486" s="4" t="s">
        <v>223</v>
      </c>
      <c r="C486" s="8">
        <v>44652</v>
      </c>
      <c r="D486" s="4" t="s">
        <v>181</v>
      </c>
      <c r="E486" s="14">
        <v>8.9999999999999998E-4</v>
      </c>
      <c r="F486" s="7">
        <v>1</v>
      </c>
      <c r="G486" s="14">
        <v>0</v>
      </c>
      <c r="H486" s="7">
        <v>0</v>
      </c>
      <c r="I486" s="14">
        <v>8.9999999999999998E-4</v>
      </c>
      <c r="J486" s="7">
        <v>1</v>
      </c>
    </row>
    <row r="487" spans="1:10" x14ac:dyDescent="0.2">
      <c r="A487" s="9">
        <v>44671</v>
      </c>
      <c r="B487" s="4" t="s">
        <v>221</v>
      </c>
      <c r="C487" s="8">
        <v>44652</v>
      </c>
      <c r="D487" s="4" t="s">
        <v>181</v>
      </c>
      <c r="E487" s="14">
        <v>8.9999999999999998E-4</v>
      </c>
      <c r="F487" s="7">
        <v>1</v>
      </c>
      <c r="G487" s="14">
        <v>0</v>
      </c>
      <c r="H487" s="7">
        <v>0</v>
      </c>
      <c r="I487" s="14">
        <v>8.9999999999999998E-4</v>
      </c>
      <c r="J487" s="7">
        <v>1</v>
      </c>
    </row>
    <row r="488" spans="1:10" x14ac:dyDescent="0.2">
      <c r="A488" s="9">
        <v>44672</v>
      </c>
      <c r="B488" s="4" t="s">
        <v>224</v>
      </c>
      <c r="C488" s="8">
        <v>44652</v>
      </c>
      <c r="D488" s="4" t="s">
        <v>181</v>
      </c>
      <c r="E488" s="14">
        <v>1.8E-3</v>
      </c>
      <c r="F488" s="7">
        <v>2</v>
      </c>
      <c r="G488" s="14">
        <v>0</v>
      </c>
      <c r="H488" s="7">
        <v>0</v>
      </c>
      <c r="I488" s="14">
        <v>1.8E-3</v>
      </c>
      <c r="J488" s="7">
        <v>2</v>
      </c>
    </row>
    <row r="489" spans="1:10" x14ac:dyDescent="0.2">
      <c r="A489" s="9">
        <v>44673</v>
      </c>
      <c r="B489" s="4" t="s">
        <v>222</v>
      </c>
      <c r="C489" s="8">
        <v>44652</v>
      </c>
      <c r="D489" s="4" t="s">
        <v>181</v>
      </c>
      <c r="E489" s="14">
        <v>8.9999999999999998E-4</v>
      </c>
      <c r="F489" s="7">
        <v>1</v>
      </c>
      <c r="G489" s="14">
        <v>0</v>
      </c>
      <c r="H489" s="7">
        <v>0</v>
      </c>
      <c r="I489" s="14">
        <v>8.9999999999999998E-4</v>
      </c>
      <c r="J489" s="7">
        <v>1</v>
      </c>
    </row>
    <row r="490" spans="1:10" x14ac:dyDescent="0.2">
      <c r="A490" s="9">
        <v>44676</v>
      </c>
      <c r="B490" s="4" t="s">
        <v>225</v>
      </c>
      <c r="C490" s="8">
        <v>44652</v>
      </c>
      <c r="D490" s="4" t="s">
        <v>181</v>
      </c>
      <c r="E490" s="14">
        <v>1.8E-3</v>
      </c>
      <c r="F490" s="7">
        <v>2</v>
      </c>
      <c r="G490" s="14">
        <v>0</v>
      </c>
      <c r="H490" s="7">
        <v>0</v>
      </c>
      <c r="I490" s="14">
        <v>1.8E-3</v>
      </c>
      <c r="J490" s="7">
        <v>2</v>
      </c>
    </row>
    <row r="491" spans="1:10" x14ac:dyDescent="0.2">
      <c r="A491" s="9">
        <v>44677</v>
      </c>
      <c r="B491" s="4" t="s">
        <v>223</v>
      </c>
      <c r="C491" s="8">
        <v>44652</v>
      </c>
      <c r="D491" s="4" t="s">
        <v>181</v>
      </c>
      <c r="E491" s="14">
        <v>8.9999999999999998E-4</v>
      </c>
      <c r="F491" s="7">
        <v>1</v>
      </c>
      <c r="G491" s="14">
        <v>0</v>
      </c>
      <c r="H491" s="7">
        <v>0</v>
      </c>
      <c r="I491" s="14">
        <v>8.9999999999999998E-4</v>
      </c>
      <c r="J491" s="7">
        <v>1</v>
      </c>
    </row>
    <row r="492" spans="1:10" x14ac:dyDescent="0.2">
      <c r="A492" s="9">
        <v>44678</v>
      </c>
      <c r="B492" s="4" t="s">
        <v>221</v>
      </c>
      <c r="C492" s="8">
        <v>44652</v>
      </c>
      <c r="D492" s="4" t="s">
        <v>181</v>
      </c>
      <c r="E492" s="14">
        <v>8.9999999999999998E-4</v>
      </c>
      <c r="F492" s="7">
        <v>1</v>
      </c>
      <c r="G492" s="14">
        <v>0</v>
      </c>
      <c r="H492" s="7">
        <v>0</v>
      </c>
      <c r="I492" s="14">
        <v>8.9999999999999998E-4</v>
      </c>
      <c r="J492" s="7">
        <v>1</v>
      </c>
    </row>
    <row r="493" spans="1:10" x14ac:dyDescent="0.2">
      <c r="A493" s="9">
        <v>44679</v>
      </c>
      <c r="B493" s="4" t="s">
        <v>224</v>
      </c>
      <c r="C493" s="8">
        <v>44652</v>
      </c>
      <c r="D493" s="4" t="s">
        <v>181</v>
      </c>
      <c r="E493" s="14">
        <v>2.7000000000000001E-3</v>
      </c>
      <c r="F493" s="7">
        <v>3</v>
      </c>
      <c r="G493" s="14">
        <v>0</v>
      </c>
      <c r="H493" s="7">
        <v>0</v>
      </c>
      <c r="I493" s="14">
        <v>2.7000000000000001E-3</v>
      </c>
      <c r="J493" s="7">
        <v>3</v>
      </c>
    </row>
    <row r="494" spans="1:10" x14ac:dyDescent="0.2">
      <c r="A494" s="9">
        <v>44680</v>
      </c>
      <c r="B494" s="4" t="s">
        <v>222</v>
      </c>
      <c r="C494" s="8">
        <v>44652</v>
      </c>
      <c r="D494" s="4" t="s">
        <v>181</v>
      </c>
      <c r="E494" s="14">
        <v>3.5999999999999999E-3</v>
      </c>
      <c r="F494" s="7">
        <v>4</v>
      </c>
      <c r="G494" s="14">
        <v>0</v>
      </c>
      <c r="H494" s="7">
        <v>0</v>
      </c>
      <c r="I494" s="14">
        <v>3.5999999999999999E-3</v>
      </c>
      <c r="J494" s="7">
        <v>4</v>
      </c>
    </row>
    <row r="495" spans="1:10" x14ac:dyDescent="0.2">
      <c r="A495" s="9">
        <v>44683</v>
      </c>
      <c r="B495" s="4" t="s">
        <v>225</v>
      </c>
      <c r="C495" s="8">
        <v>44682</v>
      </c>
      <c r="D495" s="4" t="s">
        <v>181</v>
      </c>
      <c r="E495" s="14">
        <v>0</v>
      </c>
      <c r="F495" s="7">
        <v>0</v>
      </c>
      <c r="G495" s="14">
        <v>0</v>
      </c>
      <c r="H495" s="7">
        <v>0</v>
      </c>
      <c r="I495" s="14">
        <v>0</v>
      </c>
      <c r="J495" s="7">
        <v>0</v>
      </c>
    </row>
    <row r="496" spans="1:10" x14ac:dyDescent="0.2">
      <c r="A496" s="9">
        <v>44685</v>
      </c>
      <c r="B496" s="4" t="s">
        <v>221</v>
      </c>
      <c r="C496" s="8">
        <v>44682</v>
      </c>
      <c r="D496" s="4" t="s">
        <v>181</v>
      </c>
      <c r="E496" s="14">
        <v>8.9999999999999998E-4</v>
      </c>
      <c r="F496" s="7">
        <v>1</v>
      </c>
      <c r="G496" s="14">
        <v>0</v>
      </c>
      <c r="H496" s="7">
        <v>0</v>
      </c>
      <c r="I496" s="14">
        <v>8.9999999999999998E-4</v>
      </c>
      <c r="J496" s="7">
        <v>1</v>
      </c>
    </row>
    <row r="497" spans="1:10" x14ac:dyDescent="0.2">
      <c r="A497" s="9">
        <v>44686</v>
      </c>
      <c r="B497" s="4" t="s">
        <v>224</v>
      </c>
      <c r="C497" s="8">
        <v>44682</v>
      </c>
      <c r="D497" s="4" t="s">
        <v>181</v>
      </c>
      <c r="E497" s="14">
        <v>1.8E-3</v>
      </c>
      <c r="F497" s="7">
        <v>2</v>
      </c>
      <c r="G497" s="14">
        <v>0</v>
      </c>
      <c r="H497" s="7">
        <v>0</v>
      </c>
      <c r="I497" s="14">
        <v>1.8E-3</v>
      </c>
      <c r="J497" s="7">
        <v>2</v>
      </c>
    </row>
    <row r="498" spans="1:10" x14ac:dyDescent="0.2">
      <c r="A498" s="9">
        <v>44687</v>
      </c>
      <c r="B498" s="4" t="s">
        <v>222</v>
      </c>
      <c r="C498" s="8">
        <v>44682</v>
      </c>
      <c r="D498" s="4" t="s">
        <v>181</v>
      </c>
      <c r="E498" s="14">
        <v>8.9999999999999998E-4</v>
      </c>
      <c r="F498" s="7">
        <v>1</v>
      </c>
      <c r="G498" s="14">
        <v>0</v>
      </c>
      <c r="H498" s="7">
        <v>0</v>
      </c>
      <c r="I498" s="14">
        <v>8.9999999999999998E-4</v>
      </c>
      <c r="J498" s="7">
        <v>1</v>
      </c>
    </row>
    <row r="499" spans="1:10" x14ac:dyDescent="0.2">
      <c r="A499" s="9">
        <v>44691</v>
      </c>
      <c r="B499" s="4" t="s">
        <v>223</v>
      </c>
      <c r="C499" s="8">
        <v>44682</v>
      </c>
      <c r="D499" s="4" t="s">
        <v>181</v>
      </c>
      <c r="E499" s="14">
        <v>1.4500000000000001E-2</v>
      </c>
      <c r="F499" s="7">
        <v>17</v>
      </c>
      <c r="G499" s="14">
        <v>0</v>
      </c>
      <c r="H499" s="7">
        <v>0</v>
      </c>
      <c r="I499" s="14">
        <v>1.4500000000000001E-2</v>
      </c>
      <c r="J499" s="7">
        <v>17</v>
      </c>
    </row>
    <row r="500" spans="1:10" x14ac:dyDescent="0.2">
      <c r="A500" s="9">
        <v>44692</v>
      </c>
      <c r="B500" s="4" t="s">
        <v>221</v>
      </c>
      <c r="C500" s="8">
        <v>44682</v>
      </c>
      <c r="D500" s="4" t="s">
        <v>181</v>
      </c>
      <c r="E500" s="14">
        <v>9.2999999999999992E-3</v>
      </c>
      <c r="F500" s="7">
        <v>11</v>
      </c>
      <c r="G500" s="14">
        <v>0</v>
      </c>
      <c r="H500" s="7">
        <v>0</v>
      </c>
      <c r="I500" s="14">
        <v>9.2999999999999992E-3</v>
      </c>
      <c r="J500" s="7">
        <v>11</v>
      </c>
    </row>
    <row r="501" spans="1:10" x14ac:dyDescent="0.2">
      <c r="A501" s="9">
        <v>44693</v>
      </c>
      <c r="B501" s="4" t="s">
        <v>224</v>
      </c>
      <c r="C501" s="8">
        <v>44682</v>
      </c>
      <c r="D501" s="4" t="s">
        <v>181</v>
      </c>
      <c r="E501" s="14">
        <v>3.3E-3</v>
      </c>
      <c r="F501" s="7">
        <v>4</v>
      </c>
      <c r="G501" s="14">
        <v>0</v>
      </c>
      <c r="H501" s="7">
        <v>0</v>
      </c>
      <c r="I501" s="14">
        <v>3.3E-3</v>
      </c>
      <c r="J501" s="7">
        <v>4</v>
      </c>
    </row>
    <row r="502" spans="1:10" x14ac:dyDescent="0.2">
      <c r="A502" s="9">
        <v>44694</v>
      </c>
      <c r="B502" s="4" t="s">
        <v>222</v>
      </c>
      <c r="C502" s="8">
        <v>44682</v>
      </c>
      <c r="D502" s="4" t="s">
        <v>181</v>
      </c>
      <c r="E502" s="14">
        <v>5.8999999999999999E-3</v>
      </c>
      <c r="F502" s="7">
        <v>7</v>
      </c>
      <c r="G502" s="14">
        <v>0</v>
      </c>
      <c r="H502" s="7">
        <v>0</v>
      </c>
      <c r="I502" s="14">
        <v>5.8999999999999999E-3</v>
      </c>
      <c r="J502" s="7">
        <v>7</v>
      </c>
    </row>
    <row r="503" spans="1:10" x14ac:dyDescent="0.2">
      <c r="A503" s="9">
        <v>44697</v>
      </c>
      <c r="B503" s="4" t="s">
        <v>225</v>
      </c>
      <c r="C503" s="8">
        <v>44682</v>
      </c>
      <c r="D503" s="4" t="s">
        <v>181</v>
      </c>
      <c r="E503" s="14">
        <v>2.5000000000000001E-3</v>
      </c>
      <c r="F503" s="7">
        <v>3</v>
      </c>
      <c r="G503" s="14">
        <v>0</v>
      </c>
      <c r="H503" s="7">
        <v>0</v>
      </c>
      <c r="I503" s="14">
        <v>2.5000000000000001E-3</v>
      </c>
      <c r="J503" s="7">
        <v>3</v>
      </c>
    </row>
    <row r="504" spans="1:10" x14ac:dyDescent="0.2">
      <c r="A504" s="9">
        <v>44698</v>
      </c>
      <c r="B504" s="4" t="s">
        <v>223</v>
      </c>
      <c r="C504" s="8">
        <v>44682</v>
      </c>
      <c r="D504" s="4" t="s">
        <v>181</v>
      </c>
      <c r="E504" s="14">
        <v>5.0000000000000001E-3</v>
      </c>
      <c r="F504" s="7">
        <v>6</v>
      </c>
      <c r="G504" s="14">
        <v>0</v>
      </c>
      <c r="H504" s="7">
        <v>0</v>
      </c>
      <c r="I504" s="14">
        <v>5.0000000000000001E-3</v>
      </c>
      <c r="J504" s="7">
        <v>6</v>
      </c>
    </row>
    <row r="505" spans="1:10" x14ac:dyDescent="0.2">
      <c r="A505" s="9">
        <v>44699</v>
      </c>
      <c r="B505" s="4" t="s">
        <v>221</v>
      </c>
      <c r="C505" s="8">
        <v>44682</v>
      </c>
      <c r="D505" s="4" t="s">
        <v>181</v>
      </c>
      <c r="E505" s="14">
        <v>1.6999999999999999E-3</v>
      </c>
      <c r="F505" s="7">
        <v>2</v>
      </c>
      <c r="G505" s="14">
        <v>0</v>
      </c>
      <c r="H505" s="7">
        <v>0</v>
      </c>
      <c r="I505" s="14">
        <v>1.6999999999999999E-3</v>
      </c>
      <c r="J505" s="7">
        <v>2</v>
      </c>
    </row>
    <row r="506" spans="1:10" x14ac:dyDescent="0.2">
      <c r="A506" s="9">
        <v>44700</v>
      </c>
      <c r="B506" s="4" t="s">
        <v>224</v>
      </c>
      <c r="C506" s="8">
        <v>44682</v>
      </c>
      <c r="D506" s="4" t="s">
        <v>181</v>
      </c>
      <c r="E506" s="14">
        <v>2.5000000000000001E-3</v>
      </c>
      <c r="F506" s="7">
        <v>3</v>
      </c>
      <c r="G506" s="14">
        <v>0</v>
      </c>
      <c r="H506" s="7">
        <v>0</v>
      </c>
      <c r="I506" s="14">
        <v>2.5000000000000001E-3</v>
      </c>
      <c r="J506" s="7">
        <v>3</v>
      </c>
    </row>
    <row r="507" spans="1:10" x14ac:dyDescent="0.2">
      <c r="A507" s="9">
        <v>44701</v>
      </c>
      <c r="B507" s="4" t="s">
        <v>222</v>
      </c>
      <c r="C507" s="8">
        <v>44682</v>
      </c>
      <c r="D507" s="4" t="s">
        <v>181</v>
      </c>
      <c r="E507" s="14">
        <v>2.5000000000000001E-3</v>
      </c>
      <c r="F507" s="7">
        <v>3</v>
      </c>
      <c r="G507" s="14">
        <v>0</v>
      </c>
      <c r="H507" s="7">
        <v>0</v>
      </c>
      <c r="I507" s="14">
        <v>2.5000000000000001E-3</v>
      </c>
      <c r="J507" s="7">
        <v>3</v>
      </c>
    </row>
    <row r="508" spans="1:10" x14ac:dyDescent="0.2">
      <c r="A508" s="9">
        <v>44704</v>
      </c>
      <c r="B508" s="4" t="s">
        <v>225</v>
      </c>
      <c r="C508" s="8">
        <v>44682</v>
      </c>
      <c r="D508" s="4" t="s">
        <v>181</v>
      </c>
      <c r="E508" s="14">
        <v>6.7999999999999996E-3</v>
      </c>
      <c r="F508" s="7">
        <v>8</v>
      </c>
      <c r="G508" s="14">
        <v>0</v>
      </c>
      <c r="H508" s="7">
        <v>0</v>
      </c>
      <c r="I508" s="14">
        <v>6.7999999999999996E-3</v>
      </c>
      <c r="J508" s="7">
        <v>8</v>
      </c>
    </row>
    <row r="509" spans="1:10" x14ac:dyDescent="0.2">
      <c r="A509" s="9">
        <v>44705</v>
      </c>
      <c r="B509" s="4" t="s">
        <v>223</v>
      </c>
      <c r="C509" s="8">
        <v>44682</v>
      </c>
      <c r="D509" s="4" t="s">
        <v>181</v>
      </c>
      <c r="E509" s="14">
        <v>2.5000000000000001E-3</v>
      </c>
      <c r="F509" s="7">
        <v>3</v>
      </c>
      <c r="G509" s="14">
        <v>0</v>
      </c>
      <c r="H509" s="7">
        <v>0</v>
      </c>
      <c r="I509" s="14">
        <v>2.5000000000000001E-3</v>
      </c>
      <c r="J509" s="7">
        <v>3</v>
      </c>
    </row>
    <row r="510" spans="1:10" x14ac:dyDescent="0.2">
      <c r="A510" s="9">
        <v>44706</v>
      </c>
      <c r="B510" s="4" t="s">
        <v>221</v>
      </c>
      <c r="C510" s="8">
        <v>44682</v>
      </c>
      <c r="D510" s="4" t="s">
        <v>181</v>
      </c>
      <c r="E510" s="14">
        <v>2.5000000000000001E-3</v>
      </c>
      <c r="F510" s="7">
        <v>3</v>
      </c>
      <c r="G510" s="14">
        <v>0</v>
      </c>
      <c r="H510" s="7">
        <v>0</v>
      </c>
      <c r="I510" s="14">
        <v>2.5000000000000001E-3</v>
      </c>
      <c r="J510" s="7">
        <v>3</v>
      </c>
    </row>
    <row r="511" spans="1:10" x14ac:dyDescent="0.2">
      <c r="A511" s="9">
        <v>44707</v>
      </c>
      <c r="B511" s="4" t="s">
        <v>224</v>
      </c>
      <c r="C511" s="8">
        <v>44682</v>
      </c>
      <c r="D511" s="4" t="s">
        <v>181</v>
      </c>
      <c r="E511" s="14">
        <v>3.3999999999999998E-3</v>
      </c>
      <c r="F511" s="7">
        <v>4</v>
      </c>
      <c r="G511" s="14">
        <v>0</v>
      </c>
      <c r="H511" s="7">
        <v>0</v>
      </c>
      <c r="I511" s="14">
        <v>3.3999999999999998E-3</v>
      </c>
      <c r="J511" s="7">
        <v>4</v>
      </c>
    </row>
    <row r="512" spans="1:10" x14ac:dyDescent="0.2">
      <c r="A512" s="9">
        <v>44708</v>
      </c>
      <c r="B512" s="4" t="s">
        <v>222</v>
      </c>
      <c r="C512" s="8">
        <v>44682</v>
      </c>
      <c r="D512" s="4" t="s">
        <v>181</v>
      </c>
      <c r="E512" s="14">
        <v>3.3999999999999998E-3</v>
      </c>
      <c r="F512" s="7">
        <v>4</v>
      </c>
      <c r="G512" s="14">
        <v>0</v>
      </c>
      <c r="H512" s="7">
        <v>0</v>
      </c>
      <c r="I512" s="14">
        <v>3.3999999999999998E-3</v>
      </c>
      <c r="J512" s="7">
        <v>4</v>
      </c>
    </row>
    <row r="513" spans="1:10" x14ac:dyDescent="0.2">
      <c r="A513" s="9">
        <v>44711</v>
      </c>
      <c r="B513" s="4" t="s">
        <v>225</v>
      </c>
      <c r="C513" s="8">
        <v>44682</v>
      </c>
      <c r="D513" s="4" t="s">
        <v>181</v>
      </c>
      <c r="E513" s="14">
        <v>2.5999999999999999E-3</v>
      </c>
      <c r="F513" s="7">
        <v>3</v>
      </c>
      <c r="G513" s="14">
        <v>0</v>
      </c>
      <c r="H513" s="7">
        <v>0</v>
      </c>
      <c r="I513" s="14">
        <v>2.5999999999999999E-3</v>
      </c>
      <c r="J513" s="7">
        <v>3</v>
      </c>
    </row>
    <row r="514" spans="1:10" x14ac:dyDescent="0.2">
      <c r="A514" s="9">
        <v>44712</v>
      </c>
      <c r="B514" s="4" t="s">
        <v>223</v>
      </c>
      <c r="C514" s="8">
        <v>44682</v>
      </c>
      <c r="D514" s="4" t="s">
        <v>181</v>
      </c>
      <c r="E514" s="14">
        <v>1.6999999999999999E-3</v>
      </c>
      <c r="F514" s="7">
        <v>2</v>
      </c>
      <c r="G514" s="14">
        <v>0</v>
      </c>
      <c r="H514" s="7">
        <v>0</v>
      </c>
      <c r="I514" s="14">
        <v>1.6999999999999999E-3</v>
      </c>
      <c r="J514" s="7">
        <v>2</v>
      </c>
    </row>
    <row r="515" spans="1:10" x14ac:dyDescent="0.2">
      <c r="A515" s="9">
        <v>44713</v>
      </c>
      <c r="B515" s="4" t="s">
        <v>221</v>
      </c>
      <c r="C515" s="8">
        <v>44713</v>
      </c>
      <c r="D515" s="4" t="s">
        <v>181</v>
      </c>
      <c r="E515" s="14">
        <v>1.6999999999999999E-3</v>
      </c>
      <c r="F515" s="7">
        <v>2</v>
      </c>
      <c r="G515" s="14">
        <v>0</v>
      </c>
      <c r="H515" s="7">
        <v>0</v>
      </c>
      <c r="I515" s="14">
        <v>1.6999999999999999E-3</v>
      </c>
      <c r="J515" s="7">
        <v>2</v>
      </c>
    </row>
    <row r="516" spans="1:10" x14ac:dyDescent="0.2">
      <c r="A516" s="9">
        <v>44714</v>
      </c>
      <c r="B516" s="4" t="s">
        <v>224</v>
      </c>
      <c r="C516" s="8">
        <v>44713</v>
      </c>
      <c r="D516" s="4" t="s">
        <v>181</v>
      </c>
      <c r="E516" s="14">
        <v>1.6999999999999999E-3</v>
      </c>
      <c r="F516" s="7">
        <v>2</v>
      </c>
      <c r="G516" s="14">
        <v>0</v>
      </c>
      <c r="H516" s="7">
        <v>0</v>
      </c>
      <c r="I516" s="14">
        <v>1.6999999999999999E-3</v>
      </c>
      <c r="J516" s="7">
        <v>2</v>
      </c>
    </row>
    <row r="517" spans="1:10" x14ac:dyDescent="0.2">
      <c r="A517" s="9">
        <v>44715</v>
      </c>
      <c r="B517" s="4" t="s">
        <v>222</v>
      </c>
      <c r="C517" s="8">
        <v>44713</v>
      </c>
      <c r="D517" s="4" t="s">
        <v>181</v>
      </c>
      <c r="E517" s="14">
        <v>1.41E-2</v>
      </c>
      <c r="F517" s="7">
        <v>16</v>
      </c>
      <c r="G517" s="14">
        <v>0</v>
      </c>
      <c r="H517" s="7">
        <v>0</v>
      </c>
      <c r="I517" s="14">
        <v>1.41E-2</v>
      </c>
      <c r="J517" s="7">
        <v>16</v>
      </c>
    </row>
    <row r="518" spans="1:10" x14ac:dyDescent="0.2">
      <c r="A518" s="9">
        <v>44718</v>
      </c>
      <c r="B518" s="4" t="s">
        <v>225</v>
      </c>
      <c r="C518" s="8">
        <v>44713</v>
      </c>
      <c r="D518" s="4" t="s">
        <v>181</v>
      </c>
      <c r="E518" s="14">
        <v>1.6999999999999999E-3</v>
      </c>
      <c r="F518" s="7">
        <v>2</v>
      </c>
      <c r="G518" s="14">
        <v>0</v>
      </c>
      <c r="H518" s="7">
        <v>0</v>
      </c>
      <c r="I518" s="14">
        <v>1.6999999999999999E-3</v>
      </c>
      <c r="J518" s="7">
        <v>2</v>
      </c>
    </row>
    <row r="519" spans="1:10" x14ac:dyDescent="0.2">
      <c r="A519" s="9">
        <v>44719</v>
      </c>
      <c r="B519" s="4" t="s">
        <v>223</v>
      </c>
      <c r="C519" s="8">
        <v>44713</v>
      </c>
      <c r="D519" s="4" t="s">
        <v>181</v>
      </c>
      <c r="E519" s="14">
        <v>6.0000000000000001E-3</v>
      </c>
      <c r="F519" s="7">
        <v>7</v>
      </c>
      <c r="G519" s="14">
        <v>0</v>
      </c>
      <c r="H519" s="7">
        <v>0</v>
      </c>
      <c r="I519" s="14">
        <v>6.0000000000000001E-3</v>
      </c>
      <c r="J519" s="7">
        <v>7</v>
      </c>
    </row>
    <row r="520" spans="1:10" x14ac:dyDescent="0.2">
      <c r="A520" s="9">
        <v>44720</v>
      </c>
      <c r="B520" s="4" t="s">
        <v>221</v>
      </c>
      <c r="C520" s="8">
        <v>44713</v>
      </c>
      <c r="D520" s="4" t="s">
        <v>181</v>
      </c>
      <c r="E520" s="14">
        <v>3.3999999999999998E-3</v>
      </c>
      <c r="F520" s="7">
        <v>4</v>
      </c>
      <c r="G520" s="14">
        <v>0</v>
      </c>
      <c r="H520" s="7">
        <v>0</v>
      </c>
      <c r="I520" s="14">
        <v>3.3999999999999998E-3</v>
      </c>
      <c r="J520" s="7">
        <v>4</v>
      </c>
    </row>
    <row r="521" spans="1:10" x14ac:dyDescent="0.2">
      <c r="A521" s="9">
        <v>44721</v>
      </c>
      <c r="B521" s="4" t="s">
        <v>224</v>
      </c>
      <c r="C521" s="8">
        <v>44713</v>
      </c>
      <c r="D521" s="4" t="s">
        <v>181</v>
      </c>
      <c r="E521" s="14">
        <v>1.03E-2</v>
      </c>
      <c r="F521" s="7">
        <v>12</v>
      </c>
      <c r="G521" s="14">
        <v>0</v>
      </c>
      <c r="H521" s="7">
        <v>0</v>
      </c>
      <c r="I521" s="14">
        <v>1.03E-2</v>
      </c>
      <c r="J521" s="7">
        <v>12</v>
      </c>
    </row>
    <row r="522" spans="1:10" x14ac:dyDescent="0.2">
      <c r="A522" s="9">
        <v>44722</v>
      </c>
      <c r="B522" s="4" t="s">
        <v>222</v>
      </c>
      <c r="C522" s="8">
        <v>44713</v>
      </c>
      <c r="D522" s="4" t="s">
        <v>181</v>
      </c>
      <c r="E522" s="14">
        <v>1.6999999999999999E-3</v>
      </c>
      <c r="F522" s="7">
        <v>2</v>
      </c>
      <c r="G522" s="14">
        <v>0</v>
      </c>
      <c r="H522" s="7">
        <v>0</v>
      </c>
      <c r="I522" s="14">
        <v>1.6999999999999999E-3</v>
      </c>
      <c r="J522" s="7">
        <v>2</v>
      </c>
    </row>
    <row r="523" spans="1:10" x14ac:dyDescent="0.2">
      <c r="A523" s="9">
        <v>44726</v>
      </c>
      <c r="B523" s="4" t="s">
        <v>223</v>
      </c>
      <c r="C523" s="8">
        <v>44713</v>
      </c>
      <c r="D523" s="4" t="s">
        <v>181</v>
      </c>
      <c r="E523" s="14">
        <v>3.3E-3</v>
      </c>
      <c r="F523" s="7">
        <v>4</v>
      </c>
      <c r="G523" s="14">
        <v>0</v>
      </c>
      <c r="H523" s="7">
        <v>0</v>
      </c>
      <c r="I523" s="14">
        <v>3.3E-3</v>
      </c>
      <c r="J523" s="7">
        <v>4</v>
      </c>
    </row>
    <row r="524" spans="1:10" x14ac:dyDescent="0.2">
      <c r="A524" s="9">
        <v>44727</v>
      </c>
      <c r="B524" s="4" t="s">
        <v>221</v>
      </c>
      <c r="C524" s="8">
        <v>44713</v>
      </c>
      <c r="D524" s="4" t="s">
        <v>181</v>
      </c>
      <c r="E524" s="14">
        <v>8.0000000000000004E-4</v>
      </c>
      <c r="F524" s="7">
        <v>1</v>
      </c>
      <c r="G524" s="14">
        <v>0</v>
      </c>
      <c r="H524" s="7">
        <v>0</v>
      </c>
      <c r="I524" s="14">
        <v>8.0000000000000004E-4</v>
      </c>
      <c r="J524" s="7">
        <v>1</v>
      </c>
    </row>
    <row r="525" spans="1:10" x14ac:dyDescent="0.2">
      <c r="A525" s="9">
        <v>44728</v>
      </c>
      <c r="B525" s="4" t="s">
        <v>224</v>
      </c>
      <c r="C525" s="8">
        <v>44713</v>
      </c>
      <c r="D525" s="4" t="s">
        <v>181</v>
      </c>
      <c r="E525" s="14">
        <v>4.8999999999999998E-3</v>
      </c>
      <c r="F525" s="7">
        <v>6</v>
      </c>
      <c r="G525" s="14">
        <v>0</v>
      </c>
      <c r="H525" s="7">
        <v>0</v>
      </c>
      <c r="I525" s="14">
        <v>4.8999999999999998E-3</v>
      </c>
      <c r="J525" s="7">
        <v>6</v>
      </c>
    </row>
    <row r="526" spans="1:10" x14ac:dyDescent="0.2">
      <c r="A526" s="9">
        <v>44729</v>
      </c>
      <c r="B526" s="4" t="s">
        <v>222</v>
      </c>
      <c r="C526" s="8">
        <v>44713</v>
      </c>
      <c r="D526" s="4" t="s">
        <v>181</v>
      </c>
      <c r="E526" s="14">
        <v>3.2000000000000002E-3</v>
      </c>
      <c r="F526" s="7">
        <v>4</v>
      </c>
      <c r="G526" s="14">
        <v>0</v>
      </c>
      <c r="H526" s="7">
        <v>0</v>
      </c>
      <c r="I526" s="14">
        <v>3.2000000000000002E-3</v>
      </c>
      <c r="J526" s="7">
        <v>4</v>
      </c>
    </row>
    <row r="527" spans="1:10" x14ac:dyDescent="0.2">
      <c r="A527" s="9">
        <v>44732</v>
      </c>
      <c r="B527" s="4" t="s">
        <v>225</v>
      </c>
      <c r="C527" s="8">
        <v>44713</v>
      </c>
      <c r="D527" s="4" t="s">
        <v>181</v>
      </c>
      <c r="E527" s="14">
        <v>8.0000000000000004E-4</v>
      </c>
      <c r="F527" s="7">
        <v>1</v>
      </c>
      <c r="G527" s="14">
        <v>0</v>
      </c>
      <c r="H527" s="7">
        <v>0</v>
      </c>
      <c r="I527" s="14">
        <v>8.0000000000000004E-4</v>
      </c>
      <c r="J527" s="7">
        <v>1</v>
      </c>
    </row>
    <row r="528" spans="1:10" x14ac:dyDescent="0.2">
      <c r="A528" s="9">
        <v>44733</v>
      </c>
      <c r="B528" s="4" t="s">
        <v>223</v>
      </c>
      <c r="C528" s="8">
        <v>44713</v>
      </c>
      <c r="D528" s="4" t="s">
        <v>181</v>
      </c>
      <c r="E528" s="14">
        <v>3.3E-3</v>
      </c>
      <c r="F528" s="7">
        <v>4</v>
      </c>
      <c r="G528" s="14">
        <v>0</v>
      </c>
      <c r="H528" s="7">
        <v>0</v>
      </c>
      <c r="I528" s="14">
        <v>3.3E-3</v>
      </c>
      <c r="J528" s="7">
        <v>4</v>
      </c>
    </row>
    <row r="529" spans="1:10" x14ac:dyDescent="0.2">
      <c r="A529" s="9">
        <v>44734</v>
      </c>
      <c r="B529" s="4" t="s">
        <v>221</v>
      </c>
      <c r="C529" s="8">
        <v>44713</v>
      </c>
      <c r="D529" s="4" t="s">
        <v>181</v>
      </c>
      <c r="E529" s="14">
        <v>1.6000000000000001E-3</v>
      </c>
      <c r="F529" s="7">
        <v>2</v>
      </c>
      <c r="G529" s="14">
        <v>0</v>
      </c>
      <c r="H529" s="7">
        <v>0</v>
      </c>
      <c r="I529" s="14">
        <v>1.6000000000000001E-3</v>
      </c>
      <c r="J529" s="7">
        <v>2</v>
      </c>
    </row>
    <row r="530" spans="1:10" x14ac:dyDescent="0.2">
      <c r="A530" s="9">
        <v>44735</v>
      </c>
      <c r="B530" s="4" t="s">
        <v>224</v>
      </c>
      <c r="C530" s="8">
        <v>44713</v>
      </c>
      <c r="D530" s="4" t="s">
        <v>181</v>
      </c>
      <c r="E530" s="14">
        <v>7.3000000000000001E-3</v>
      </c>
      <c r="F530" s="7">
        <v>9</v>
      </c>
      <c r="G530" s="14">
        <v>0</v>
      </c>
      <c r="H530" s="7">
        <v>0</v>
      </c>
      <c r="I530" s="14">
        <v>7.3000000000000001E-3</v>
      </c>
      <c r="J530" s="7">
        <v>9</v>
      </c>
    </row>
    <row r="531" spans="1:10" x14ac:dyDescent="0.2">
      <c r="A531" s="9">
        <v>44736</v>
      </c>
      <c r="B531" s="4" t="s">
        <v>222</v>
      </c>
      <c r="C531" s="8">
        <v>44713</v>
      </c>
      <c r="D531" s="4" t="s">
        <v>181</v>
      </c>
      <c r="E531" s="14">
        <v>1.6000000000000001E-3</v>
      </c>
      <c r="F531" s="7">
        <v>2</v>
      </c>
      <c r="G531" s="14">
        <v>0</v>
      </c>
      <c r="H531" s="7">
        <v>0</v>
      </c>
      <c r="I531" s="14">
        <v>1.6000000000000001E-3</v>
      </c>
      <c r="J531" s="7">
        <v>2</v>
      </c>
    </row>
    <row r="532" spans="1:10" x14ac:dyDescent="0.2">
      <c r="A532" s="9">
        <v>44739</v>
      </c>
      <c r="B532" s="4" t="s">
        <v>225</v>
      </c>
      <c r="C532" s="8">
        <v>44713</v>
      </c>
      <c r="D532" s="4" t="s">
        <v>181</v>
      </c>
      <c r="E532" s="14">
        <v>8.0000000000000004E-4</v>
      </c>
      <c r="F532" s="7">
        <v>1</v>
      </c>
      <c r="G532" s="14">
        <v>0</v>
      </c>
      <c r="H532" s="7">
        <v>0</v>
      </c>
      <c r="I532" s="14">
        <v>8.0000000000000004E-4</v>
      </c>
      <c r="J532" s="7">
        <v>1</v>
      </c>
    </row>
    <row r="533" spans="1:10" x14ac:dyDescent="0.2">
      <c r="A533" s="9">
        <v>44740</v>
      </c>
      <c r="B533" s="4" t="s">
        <v>223</v>
      </c>
      <c r="C533" s="8">
        <v>44713</v>
      </c>
      <c r="D533" s="4" t="s">
        <v>181</v>
      </c>
      <c r="E533" s="14">
        <v>8.0000000000000004E-4</v>
      </c>
      <c r="F533" s="7">
        <v>1</v>
      </c>
      <c r="G533" s="14">
        <v>0</v>
      </c>
      <c r="H533" s="7">
        <v>0</v>
      </c>
      <c r="I533" s="14">
        <v>8.0000000000000004E-4</v>
      </c>
      <c r="J533" s="7">
        <v>1</v>
      </c>
    </row>
    <row r="534" spans="1:10" x14ac:dyDescent="0.2">
      <c r="A534" s="9">
        <v>44741</v>
      </c>
      <c r="B534" s="4" t="s">
        <v>221</v>
      </c>
      <c r="C534" s="8">
        <v>44713</v>
      </c>
      <c r="D534" s="4" t="s">
        <v>181</v>
      </c>
      <c r="E534" s="14">
        <v>2.5000000000000001E-3</v>
      </c>
      <c r="F534" s="7">
        <v>3</v>
      </c>
      <c r="G534" s="14">
        <v>0</v>
      </c>
      <c r="H534" s="7">
        <v>0</v>
      </c>
      <c r="I534" s="14">
        <v>2.5000000000000001E-3</v>
      </c>
      <c r="J534" s="7">
        <v>3</v>
      </c>
    </row>
    <row r="535" spans="1:10" x14ac:dyDescent="0.2">
      <c r="A535" s="9">
        <v>44742</v>
      </c>
      <c r="B535" s="4" t="s">
        <v>224</v>
      </c>
      <c r="C535" s="8">
        <v>44713</v>
      </c>
      <c r="D535" s="4" t="s">
        <v>181</v>
      </c>
      <c r="E535" s="14">
        <v>4.1000000000000003E-3</v>
      </c>
      <c r="F535" s="7">
        <v>5</v>
      </c>
      <c r="G535" s="14">
        <v>0</v>
      </c>
      <c r="H535" s="7">
        <v>0</v>
      </c>
      <c r="I535" s="14">
        <v>4.1000000000000003E-3</v>
      </c>
      <c r="J535" s="7">
        <v>5</v>
      </c>
    </row>
    <row r="536" spans="1:10" x14ac:dyDescent="0.2">
      <c r="A536" s="9">
        <v>44743</v>
      </c>
      <c r="B536" s="4" t="s">
        <v>222</v>
      </c>
      <c r="C536" s="8">
        <v>44743</v>
      </c>
      <c r="D536" s="4" t="s">
        <v>182</v>
      </c>
      <c r="E536" s="14">
        <v>1.6000000000000001E-3</v>
      </c>
      <c r="F536" s="7">
        <v>2</v>
      </c>
      <c r="G536" s="14">
        <v>0</v>
      </c>
      <c r="H536" s="7">
        <v>0</v>
      </c>
      <c r="I536" s="14">
        <v>1.6000000000000001E-3</v>
      </c>
      <c r="J536" s="7">
        <v>2</v>
      </c>
    </row>
    <row r="537" spans="1:10" x14ac:dyDescent="0.2">
      <c r="A537" s="9">
        <v>44746</v>
      </c>
      <c r="B537" s="4" t="s">
        <v>225</v>
      </c>
      <c r="C537" s="8">
        <v>44743</v>
      </c>
      <c r="D537" s="4" t="s">
        <v>182</v>
      </c>
      <c r="E537" s="14">
        <v>8.0000000000000004E-4</v>
      </c>
      <c r="F537" s="7">
        <v>1</v>
      </c>
      <c r="G537" s="14">
        <v>0</v>
      </c>
      <c r="H537" s="7">
        <v>0</v>
      </c>
      <c r="I537" s="14">
        <v>8.0000000000000004E-4</v>
      </c>
      <c r="J537" s="7">
        <v>1</v>
      </c>
    </row>
    <row r="538" spans="1:10" x14ac:dyDescent="0.2">
      <c r="A538" s="9">
        <v>44747</v>
      </c>
      <c r="B538" s="4" t="s">
        <v>223</v>
      </c>
      <c r="C538" s="8">
        <v>44743</v>
      </c>
      <c r="D538" s="4" t="s">
        <v>182</v>
      </c>
      <c r="E538" s="14">
        <v>2.5000000000000001E-3</v>
      </c>
      <c r="F538" s="7">
        <v>3</v>
      </c>
      <c r="G538" s="14">
        <v>0</v>
      </c>
      <c r="H538" s="7">
        <v>0</v>
      </c>
      <c r="I538" s="14">
        <v>2.5000000000000001E-3</v>
      </c>
      <c r="J538" s="7">
        <v>3</v>
      </c>
    </row>
    <row r="539" spans="1:10" x14ac:dyDescent="0.2">
      <c r="A539" s="9">
        <v>44748</v>
      </c>
      <c r="B539" s="4" t="s">
        <v>221</v>
      </c>
      <c r="C539" s="8">
        <v>44743</v>
      </c>
      <c r="D539" s="4" t="s">
        <v>182</v>
      </c>
      <c r="E539" s="14">
        <v>2.5000000000000001E-3</v>
      </c>
      <c r="F539" s="7">
        <v>3</v>
      </c>
      <c r="G539" s="14">
        <v>0</v>
      </c>
      <c r="H539" s="7">
        <v>0</v>
      </c>
      <c r="I539" s="14">
        <v>2.5000000000000001E-3</v>
      </c>
      <c r="J539" s="7">
        <v>3</v>
      </c>
    </row>
    <row r="540" spans="1:10" x14ac:dyDescent="0.2">
      <c r="A540" s="9">
        <v>44749</v>
      </c>
      <c r="B540" s="4" t="s">
        <v>224</v>
      </c>
      <c r="C540" s="8">
        <v>44743</v>
      </c>
      <c r="D540" s="4" t="s">
        <v>182</v>
      </c>
      <c r="E540" s="14">
        <v>1.6999999999999999E-3</v>
      </c>
      <c r="F540" s="7">
        <v>2</v>
      </c>
      <c r="G540" s="14">
        <v>0</v>
      </c>
      <c r="H540" s="7">
        <v>0</v>
      </c>
      <c r="I540" s="14">
        <v>1.6999999999999999E-3</v>
      </c>
      <c r="J540" s="7">
        <v>2</v>
      </c>
    </row>
    <row r="541" spans="1:10" x14ac:dyDescent="0.2">
      <c r="A541" s="9">
        <v>44750</v>
      </c>
      <c r="B541" s="4" t="s">
        <v>222</v>
      </c>
      <c r="C541" s="8">
        <v>44743</v>
      </c>
      <c r="D541" s="4" t="s">
        <v>182</v>
      </c>
      <c r="E541" s="14">
        <v>8.9999999999999998E-4</v>
      </c>
      <c r="F541" s="7">
        <v>1</v>
      </c>
      <c r="G541" s="14">
        <v>0</v>
      </c>
      <c r="H541" s="7">
        <v>0</v>
      </c>
      <c r="I541" s="14">
        <v>8.9999999999999998E-4</v>
      </c>
      <c r="J541" s="7">
        <v>1</v>
      </c>
    </row>
    <row r="542" spans="1:10" x14ac:dyDescent="0.2">
      <c r="A542" s="9">
        <v>44753</v>
      </c>
      <c r="B542" s="4" t="s">
        <v>225</v>
      </c>
      <c r="C542" s="8">
        <v>44743</v>
      </c>
      <c r="D542" s="4" t="s">
        <v>182</v>
      </c>
      <c r="E542" s="14">
        <v>2.5000000000000001E-3</v>
      </c>
      <c r="F542" s="7">
        <v>3</v>
      </c>
      <c r="G542" s="14">
        <v>0</v>
      </c>
      <c r="H542" s="7">
        <v>0</v>
      </c>
      <c r="I542" s="14">
        <v>2.5000000000000001E-3</v>
      </c>
      <c r="J542" s="7">
        <v>3</v>
      </c>
    </row>
    <row r="543" spans="1:10" x14ac:dyDescent="0.2">
      <c r="A543" s="9">
        <v>44754</v>
      </c>
      <c r="B543" s="4" t="s">
        <v>223</v>
      </c>
      <c r="C543" s="8">
        <v>44743</v>
      </c>
      <c r="D543" s="4" t="s">
        <v>182</v>
      </c>
      <c r="E543" s="14">
        <v>1.6999999999999999E-3</v>
      </c>
      <c r="F543" s="7">
        <v>2</v>
      </c>
      <c r="G543" s="14">
        <v>0</v>
      </c>
      <c r="H543" s="7">
        <v>0</v>
      </c>
      <c r="I543" s="14">
        <v>1.6999999999999999E-3</v>
      </c>
      <c r="J543" s="7">
        <v>2</v>
      </c>
    </row>
    <row r="544" spans="1:10" x14ac:dyDescent="0.2">
      <c r="A544" s="9">
        <v>44755</v>
      </c>
      <c r="B544" s="4" t="s">
        <v>221</v>
      </c>
      <c r="C544" s="8">
        <v>44743</v>
      </c>
      <c r="D544" s="4" t="s">
        <v>182</v>
      </c>
      <c r="E544" s="14">
        <v>2.5000000000000001E-3</v>
      </c>
      <c r="F544" s="7">
        <v>3</v>
      </c>
      <c r="G544" s="14">
        <v>0</v>
      </c>
      <c r="H544" s="7">
        <v>0</v>
      </c>
      <c r="I544" s="14">
        <v>2.5000000000000001E-3</v>
      </c>
      <c r="J544" s="7">
        <v>3</v>
      </c>
    </row>
    <row r="545" spans="1:10" x14ac:dyDescent="0.2">
      <c r="A545" s="9">
        <v>44756</v>
      </c>
      <c r="B545" s="4" t="s">
        <v>224</v>
      </c>
      <c r="C545" s="8">
        <v>44743</v>
      </c>
      <c r="D545" s="4" t="s">
        <v>182</v>
      </c>
      <c r="E545" s="14">
        <v>3.3999999999999998E-3</v>
      </c>
      <c r="F545" s="7">
        <v>4</v>
      </c>
      <c r="G545" s="14">
        <v>0</v>
      </c>
      <c r="H545" s="7">
        <v>0</v>
      </c>
      <c r="I545" s="14">
        <v>3.3999999999999998E-3</v>
      </c>
      <c r="J545" s="7">
        <v>4</v>
      </c>
    </row>
    <row r="546" spans="1:10" x14ac:dyDescent="0.2">
      <c r="A546" s="9">
        <v>44757</v>
      </c>
      <c r="B546" s="4" t="s">
        <v>222</v>
      </c>
      <c r="C546" s="8">
        <v>44743</v>
      </c>
      <c r="D546" s="4" t="s">
        <v>182</v>
      </c>
      <c r="E546" s="14">
        <v>3.3999999999999998E-3</v>
      </c>
      <c r="F546" s="7">
        <v>4</v>
      </c>
      <c r="G546" s="14">
        <v>0</v>
      </c>
      <c r="H546" s="7">
        <v>0</v>
      </c>
      <c r="I546" s="14">
        <v>3.3999999999999998E-3</v>
      </c>
      <c r="J546" s="7">
        <v>4</v>
      </c>
    </row>
    <row r="547" spans="1:10" x14ac:dyDescent="0.2">
      <c r="A547" s="9">
        <v>44760</v>
      </c>
      <c r="B547" s="4" t="s">
        <v>225</v>
      </c>
      <c r="C547" s="8">
        <v>44743</v>
      </c>
      <c r="D547" s="4" t="s">
        <v>182</v>
      </c>
      <c r="E547" s="14">
        <v>1.6999999999999999E-3</v>
      </c>
      <c r="F547" s="7">
        <v>2</v>
      </c>
      <c r="G547" s="14">
        <v>0</v>
      </c>
      <c r="H547" s="7">
        <v>0</v>
      </c>
      <c r="I547" s="14">
        <v>1.6999999999999999E-3</v>
      </c>
      <c r="J547" s="7">
        <v>2</v>
      </c>
    </row>
    <row r="548" spans="1:10" x14ac:dyDescent="0.2">
      <c r="A548" s="9">
        <v>44761</v>
      </c>
      <c r="B548" s="4" t="s">
        <v>223</v>
      </c>
      <c r="C548" s="8">
        <v>44743</v>
      </c>
      <c r="D548" s="4" t="s">
        <v>182</v>
      </c>
      <c r="E548" s="14">
        <v>1.6999999999999999E-3</v>
      </c>
      <c r="F548" s="7">
        <v>2</v>
      </c>
      <c r="G548" s="14">
        <v>0</v>
      </c>
      <c r="H548" s="7">
        <v>0</v>
      </c>
      <c r="I548" s="14">
        <v>1.6999999999999999E-3</v>
      </c>
      <c r="J548" s="7">
        <v>2</v>
      </c>
    </row>
    <row r="549" spans="1:10" x14ac:dyDescent="0.2">
      <c r="A549" s="9">
        <v>44762</v>
      </c>
      <c r="B549" s="4" t="s">
        <v>221</v>
      </c>
      <c r="C549" s="8">
        <v>44743</v>
      </c>
      <c r="D549" s="4" t="s">
        <v>182</v>
      </c>
      <c r="E549" s="14">
        <v>3.5000000000000001E-3</v>
      </c>
      <c r="F549" s="7">
        <v>4</v>
      </c>
      <c r="G549" s="14">
        <v>0</v>
      </c>
      <c r="H549" s="7">
        <v>0</v>
      </c>
      <c r="I549" s="14">
        <v>3.5000000000000001E-3</v>
      </c>
      <c r="J549" s="7">
        <v>4</v>
      </c>
    </row>
    <row r="550" spans="1:10" x14ac:dyDescent="0.2">
      <c r="A550" s="9">
        <v>44763</v>
      </c>
      <c r="B550" s="4" t="s">
        <v>224</v>
      </c>
      <c r="C550" s="8">
        <v>44743</v>
      </c>
      <c r="D550" s="4" t="s">
        <v>182</v>
      </c>
      <c r="E550" s="14">
        <v>6.1000000000000004E-3</v>
      </c>
      <c r="F550" s="7">
        <v>7</v>
      </c>
      <c r="G550" s="14">
        <v>0</v>
      </c>
      <c r="H550" s="7">
        <v>0</v>
      </c>
      <c r="I550" s="14">
        <v>6.1000000000000004E-3</v>
      </c>
      <c r="J550" s="7">
        <v>7</v>
      </c>
    </row>
    <row r="551" spans="1:10" x14ac:dyDescent="0.2">
      <c r="A551" s="9">
        <v>44764</v>
      </c>
      <c r="B551" s="4" t="s">
        <v>222</v>
      </c>
      <c r="C551" s="8">
        <v>44743</v>
      </c>
      <c r="D551" s="4" t="s">
        <v>182</v>
      </c>
      <c r="E551" s="14">
        <v>4.4000000000000003E-3</v>
      </c>
      <c r="F551" s="7">
        <v>5</v>
      </c>
      <c r="G551" s="14">
        <v>0</v>
      </c>
      <c r="H551" s="7">
        <v>0</v>
      </c>
      <c r="I551" s="14">
        <v>4.4000000000000003E-3</v>
      </c>
      <c r="J551" s="7">
        <v>5</v>
      </c>
    </row>
    <row r="552" spans="1:10" x14ac:dyDescent="0.2">
      <c r="A552" s="9">
        <v>44767</v>
      </c>
      <c r="B552" s="4" t="s">
        <v>225</v>
      </c>
      <c r="C552" s="8">
        <v>44743</v>
      </c>
      <c r="D552" s="4" t="s">
        <v>182</v>
      </c>
      <c r="E552" s="14">
        <v>4.4000000000000003E-3</v>
      </c>
      <c r="F552" s="7">
        <v>5</v>
      </c>
      <c r="G552" s="14">
        <v>0</v>
      </c>
      <c r="H552" s="7">
        <v>0</v>
      </c>
      <c r="I552" s="14">
        <v>4.4000000000000003E-3</v>
      </c>
      <c r="J552" s="7">
        <v>5</v>
      </c>
    </row>
    <row r="553" spans="1:10" x14ac:dyDescent="0.2">
      <c r="A553" s="9">
        <v>44768</v>
      </c>
      <c r="B553" s="4" t="s">
        <v>223</v>
      </c>
      <c r="C553" s="8">
        <v>44743</v>
      </c>
      <c r="D553" s="4" t="s">
        <v>182</v>
      </c>
      <c r="E553" s="14">
        <v>1.6999999999999999E-3</v>
      </c>
      <c r="F553" s="7">
        <v>2</v>
      </c>
      <c r="G553" s="14">
        <v>0</v>
      </c>
      <c r="H553" s="7">
        <v>0</v>
      </c>
      <c r="I553" s="14">
        <v>1.6999999999999999E-3</v>
      </c>
      <c r="J553" s="7">
        <v>2</v>
      </c>
    </row>
    <row r="554" spans="1:10" x14ac:dyDescent="0.2">
      <c r="A554" s="9">
        <v>44769</v>
      </c>
      <c r="B554" s="4" t="s">
        <v>221</v>
      </c>
      <c r="C554" s="8">
        <v>44743</v>
      </c>
      <c r="D554" s="4" t="s">
        <v>182</v>
      </c>
      <c r="E554" s="14">
        <v>1.6999999999999999E-3</v>
      </c>
      <c r="F554" s="7">
        <v>2</v>
      </c>
      <c r="G554" s="14">
        <v>0</v>
      </c>
      <c r="H554" s="7">
        <v>0</v>
      </c>
      <c r="I554" s="14">
        <v>1.6999999999999999E-3</v>
      </c>
      <c r="J554" s="7">
        <v>2</v>
      </c>
    </row>
    <row r="555" spans="1:10" x14ac:dyDescent="0.2">
      <c r="A555" s="9">
        <v>44770</v>
      </c>
      <c r="B555" s="4" t="s">
        <v>224</v>
      </c>
      <c r="C555" s="8">
        <v>44743</v>
      </c>
      <c r="D555" s="4" t="s">
        <v>182</v>
      </c>
      <c r="E555" s="14">
        <v>3.5000000000000001E-3</v>
      </c>
      <c r="F555" s="7">
        <v>4</v>
      </c>
      <c r="G555" s="14">
        <v>0</v>
      </c>
      <c r="H555" s="7">
        <v>0</v>
      </c>
      <c r="I555" s="14">
        <v>3.5000000000000001E-3</v>
      </c>
      <c r="J555" s="7">
        <v>4</v>
      </c>
    </row>
    <row r="556" spans="1:10" x14ac:dyDescent="0.2">
      <c r="A556" s="9">
        <v>44771</v>
      </c>
      <c r="B556" s="4" t="s">
        <v>222</v>
      </c>
      <c r="C556" s="8">
        <v>44743</v>
      </c>
      <c r="D556" s="4" t="s">
        <v>182</v>
      </c>
      <c r="E556" s="14">
        <v>1.8E-3</v>
      </c>
      <c r="F556" s="7">
        <v>2</v>
      </c>
      <c r="G556" s="14">
        <v>0</v>
      </c>
      <c r="H556" s="7">
        <v>0</v>
      </c>
      <c r="I556" s="14">
        <v>1.8E-3</v>
      </c>
      <c r="J556" s="7">
        <v>2</v>
      </c>
    </row>
    <row r="557" spans="1:10" x14ac:dyDescent="0.2">
      <c r="A557" s="9">
        <v>44774</v>
      </c>
      <c r="B557" s="4" t="s">
        <v>225</v>
      </c>
      <c r="C557" s="8">
        <v>44774</v>
      </c>
      <c r="D557" s="4" t="s">
        <v>182</v>
      </c>
      <c r="E557" s="14">
        <v>8.9999999999999998E-4</v>
      </c>
      <c r="F557" s="7">
        <v>1</v>
      </c>
      <c r="G557" s="14">
        <v>0</v>
      </c>
      <c r="H557" s="7">
        <v>0</v>
      </c>
      <c r="I557" s="14">
        <v>8.9999999999999998E-4</v>
      </c>
      <c r="J557" s="7">
        <v>1</v>
      </c>
    </row>
    <row r="558" spans="1:10" x14ac:dyDescent="0.2">
      <c r="A558" s="9">
        <v>44775</v>
      </c>
      <c r="B558" s="4" t="s">
        <v>223</v>
      </c>
      <c r="C558" s="8">
        <v>44774</v>
      </c>
      <c r="D558" s="4" t="s">
        <v>182</v>
      </c>
      <c r="E558" s="14">
        <v>0</v>
      </c>
      <c r="F558" s="7">
        <v>0</v>
      </c>
      <c r="G558" s="14">
        <v>0</v>
      </c>
      <c r="H558" s="7">
        <v>0</v>
      </c>
      <c r="I558" s="14">
        <v>0</v>
      </c>
      <c r="J558" s="7">
        <v>0</v>
      </c>
    </row>
    <row r="559" spans="1:10" x14ac:dyDescent="0.2">
      <c r="A559" s="9">
        <v>44776</v>
      </c>
      <c r="B559" s="4" t="s">
        <v>221</v>
      </c>
      <c r="C559" s="8">
        <v>44774</v>
      </c>
      <c r="D559" s="4" t="s">
        <v>182</v>
      </c>
      <c r="E559" s="14">
        <v>8.9999999999999998E-4</v>
      </c>
      <c r="F559" s="7">
        <v>1</v>
      </c>
      <c r="G559" s="14">
        <v>0</v>
      </c>
      <c r="H559" s="7">
        <v>0</v>
      </c>
      <c r="I559" s="14">
        <v>8.9999999999999998E-4</v>
      </c>
      <c r="J559" s="7">
        <v>1</v>
      </c>
    </row>
    <row r="560" spans="1:10" x14ac:dyDescent="0.2">
      <c r="A560" s="9">
        <v>44777</v>
      </c>
      <c r="B560" s="4" t="s">
        <v>224</v>
      </c>
      <c r="C560" s="8">
        <v>44774</v>
      </c>
      <c r="D560" s="4" t="s">
        <v>182</v>
      </c>
      <c r="E560" s="14">
        <v>2.7000000000000001E-3</v>
      </c>
      <c r="F560" s="7">
        <v>3</v>
      </c>
      <c r="G560" s="14">
        <v>0</v>
      </c>
      <c r="H560" s="7">
        <v>0</v>
      </c>
      <c r="I560" s="14">
        <v>2.7000000000000001E-3</v>
      </c>
      <c r="J560" s="7">
        <v>3</v>
      </c>
    </row>
    <row r="561" spans="1:10" x14ac:dyDescent="0.2">
      <c r="A561" s="9">
        <v>44778</v>
      </c>
      <c r="B561" s="4" t="s">
        <v>222</v>
      </c>
      <c r="C561" s="8">
        <v>44774</v>
      </c>
      <c r="D561" s="4" t="s">
        <v>182</v>
      </c>
      <c r="E561" s="14">
        <v>1.8E-3</v>
      </c>
      <c r="F561" s="7">
        <v>2</v>
      </c>
      <c r="G561" s="14">
        <v>0</v>
      </c>
      <c r="H561" s="7">
        <v>0</v>
      </c>
      <c r="I561" s="14">
        <v>1.8E-3</v>
      </c>
      <c r="J561" s="7">
        <v>2</v>
      </c>
    </row>
    <row r="562" spans="1:10" x14ac:dyDescent="0.2">
      <c r="A562" s="9">
        <v>44781</v>
      </c>
      <c r="B562" s="4" t="s">
        <v>225</v>
      </c>
      <c r="C562" s="8">
        <v>44774</v>
      </c>
      <c r="D562" s="4" t="s">
        <v>182</v>
      </c>
      <c r="E562" s="14">
        <v>1.8E-3</v>
      </c>
      <c r="F562" s="7">
        <v>2</v>
      </c>
      <c r="G562" s="14">
        <v>0</v>
      </c>
      <c r="H562" s="7">
        <v>0</v>
      </c>
      <c r="I562" s="14">
        <v>1.8E-3</v>
      </c>
      <c r="J562" s="7">
        <v>2</v>
      </c>
    </row>
    <row r="563" spans="1:10" x14ac:dyDescent="0.2">
      <c r="A563" s="9">
        <v>44783</v>
      </c>
      <c r="B563" s="4" t="s">
        <v>221</v>
      </c>
      <c r="C563" s="8">
        <v>44774</v>
      </c>
      <c r="D563" s="4" t="s">
        <v>182</v>
      </c>
      <c r="E563" s="14">
        <v>2.8E-3</v>
      </c>
      <c r="F563" s="7">
        <v>3</v>
      </c>
      <c r="G563" s="14">
        <v>0</v>
      </c>
      <c r="H563" s="7">
        <v>0</v>
      </c>
      <c r="I563" s="14">
        <v>2.8E-3</v>
      </c>
      <c r="J563" s="7">
        <v>3</v>
      </c>
    </row>
    <row r="564" spans="1:10" x14ac:dyDescent="0.2">
      <c r="A564" s="9">
        <v>44784</v>
      </c>
      <c r="B564" s="4" t="s">
        <v>224</v>
      </c>
      <c r="C564" s="8">
        <v>44774</v>
      </c>
      <c r="D564" s="4" t="s">
        <v>182</v>
      </c>
      <c r="E564" s="14">
        <v>1.9E-3</v>
      </c>
      <c r="F564" s="7">
        <v>2</v>
      </c>
      <c r="G564" s="14">
        <v>0</v>
      </c>
      <c r="H564" s="7">
        <v>0</v>
      </c>
      <c r="I564" s="14">
        <v>1.9E-3</v>
      </c>
      <c r="J564" s="7">
        <v>2</v>
      </c>
    </row>
    <row r="565" spans="1:10" x14ac:dyDescent="0.2">
      <c r="A565" s="9">
        <v>44785</v>
      </c>
      <c r="B565" s="4" t="s">
        <v>222</v>
      </c>
      <c r="C565" s="8">
        <v>44774</v>
      </c>
      <c r="D565" s="4" t="s">
        <v>182</v>
      </c>
      <c r="E565" s="14">
        <v>8.9999999999999998E-4</v>
      </c>
      <c r="F565" s="7">
        <v>1</v>
      </c>
      <c r="G565" s="14">
        <v>0</v>
      </c>
      <c r="H565" s="7">
        <v>0</v>
      </c>
      <c r="I565" s="14">
        <v>8.9999999999999998E-4</v>
      </c>
      <c r="J565" s="7">
        <v>1</v>
      </c>
    </row>
    <row r="566" spans="1:10" x14ac:dyDescent="0.2">
      <c r="A566" s="9">
        <v>44789</v>
      </c>
      <c r="B566" s="4" t="s">
        <v>223</v>
      </c>
      <c r="C566" s="8">
        <v>44774</v>
      </c>
      <c r="D566" s="4" t="s">
        <v>182</v>
      </c>
      <c r="E566" s="14">
        <v>8.9999999999999998E-4</v>
      </c>
      <c r="F566" s="7">
        <v>1</v>
      </c>
      <c r="G566" s="14">
        <v>0</v>
      </c>
      <c r="H566" s="7">
        <v>0</v>
      </c>
      <c r="I566" s="14">
        <v>8.9999999999999998E-4</v>
      </c>
      <c r="J566" s="7">
        <v>1</v>
      </c>
    </row>
    <row r="567" spans="1:10" x14ac:dyDescent="0.2">
      <c r="A567" s="9">
        <v>44790</v>
      </c>
      <c r="B567" s="4" t="s">
        <v>221</v>
      </c>
      <c r="C567" s="8">
        <v>44774</v>
      </c>
      <c r="D567" s="4" t="s">
        <v>182</v>
      </c>
      <c r="E567" s="14">
        <v>8.9999999999999998E-4</v>
      </c>
      <c r="F567" s="7">
        <v>1</v>
      </c>
      <c r="G567" s="14">
        <v>0</v>
      </c>
      <c r="H567" s="7">
        <v>0</v>
      </c>
      <c r="I567" s="14">
        <v>8.9999999999999998E-4</v>
      </c>
      <c r="J567" s="7">
        <v>1</v>
      </c>
    </row>
    <row r="568" spans="1:10" x14ac:dyDescent="0.2">
      <c r="A568" s="9">
        <v>44791</v>
      </c>
      <c r="B568" s="4" t="s">
        <v>224</v>
      </c>
      <c r="C568" s="8">
        <v>44774</v>
      </c>
      <c r="D568" s="4" t="s">
        <v>182</v>
      </c>
      <c r="E568" s="14">
        <v>0</v>
      </c>
      <c r="F568" s="7">
        <v>0</v>
      </c>
      <c r="G568" s="14">
        <v>0</v>
      </c>
      <c r="H568" s="7">
        <v>0</v>
      </c>
      <c r="I568" s="14">
        <v>0</v>
      </c>
      <c r="J568" s="7">
        <v>0</v>
      </c>
    </row>
    <row r="569" spans="1:10" x14ac:dyDescent="0.2">
      <c r="A569" s="9">
        <v>44792</v>
      </c>
      <c r="B569" s="4" t="s">
        <v>222</v>
      </c>
      <c r="C569" s="8">
        <v>44774</v>
      </c>
      <c r="D569" s="4" t="s">
        <v>182</v>
      </c>
      <c r="E569" s="14">
        <v>0</v>
      </c>
      <c r="F569" s="7">
        <v>0</v>
      </c>
      <c r="G569" s="14">
        <v>0</v>
      </c>
      <c r="H569" s="7">
        <v>0</v>
      </c>
      <c r="I569" s="14">
        <v>0</v>
      </c>
      <c r="J569" s="7">
        <v>0</v>
      </c>
    </row>
    <row r="570" spans="1:10" x14ac:dyDescent="0.2">
      <c r="A570" s="9">
        <v>44795</v>
      </c>
      <c r="B570" s="4" t="s">
        <v>225</v>
      </c>
      <c r="C570" s="8">
        <v>44774</v>
      </c>
      <c r="D570" s="4" t="s">
        <v>182</v>
      </c>
      <c r="E570" s="14">
        <v>1.9E-3</v>
      </c>
      <c r="F570" s="7">
        <v>2</v>
      </c>
      <c r="G570" s="14">
        <v>0</v>
      </c>
      <c r="H570" s="7">
        <v>0</v>
      </c>
      <c r="I570" s="14">
        <v>1.9E-3</v>
      </c>
      <c r="J570" s="7">
        <v>2</v>
      </c>
    </row>
    <row r="571" spans="1:10" x14ac:dyDescent="0.2">
      <c r="A571" s="9">
        <v>44796</v>
      </c>
      <c r="B571" s="4" t="s">
        <v>223</v>
      </c>
      <c r="C571" s="8">
        <v>44774</v>
      </c>
      <c r="D571" s="4" t="s">
        <v>182</v>
      </c>
      <c r="E571" s="14">
        <v>3.7000000000000002E-3</v>
      </c>
      <c r="F571" s="7">
        <v>4</v>
      </c>
      <c r="G571" s="14">
        <v>0</v>
      </c>
      <c r="H571" s="7">
        <v>0</v>
      </c>
      <c r="I571" s="14">
        <v>3.7000000000000002E-3</v>
      </c>
      <c r="J571" s="7">
        <v>4</v>
      </c>
    </row>
    <row r="572" spans="1:10" x14ac:dyDescent="0.2">
      <c r="A572" s="9">
        <v>44797</v>
      </c>
      <c r="B572" s="4" t="s">
        <v>221</v>
      </c>
      <c r="C572" s="8">
        <v>44774</v>
      </c>
      <c r="D572" s="4" t="s">
        <v>182</v>
      </c>
      <c r="E572" s="14">
        <v>2.8E-3</v>
      </c>
      <c r="F572" s="7">
        <v>3</v>
      </c>
      <c r="G572" s="14">
        <v>0</v>
      </c>
      <c r="H572" s="7">
        <v>0</v>
      </c>
      <c r="I572" s="14">
        <v>2.8E-3</v>
      </c>
      <c r="J572" s="7">
        <v>3</v>
      </c>
    </row>
    <row r="573" spans="1:10" x14ac:dyDescent="0.2">
      <c r="A573" s="9">
        <v>44798</v>
      </c>
      <c r="B573" s="4" t="s">
        <v>224</v>
      </c>
      <c r="C573" s="8">
        <v>44774</v>
      </c>
      <c r="D573" s="4" t="s">
        <v>182</v>
      </c>
      <c r="E573" s="14">
        <v>8.9999999999999998E-4</v>
      </c>
      <c r="F573" s="7">
        <v>1</v>
      </c>
      <c r="G573" s="14">
        <v>0</v>
      </c>
      <c r="H573" s="7">
        <v>0</v>
      </c>
      <c r="I573" s="14">
        <v>8.9999999999999998E-4</v>
      </c>
      <c r="J573" s="7">
        <v>1</v>
      </c>
    </row>
    <row r="574" spans="1:10" x14ac:dyDescent="0.2">
      <c r="A574" s="9">
        <v>44799</v>
      </c>
      <c r="B574" s="4" t="s">
        <v>222</v>
      </c>
      <c r="C574" s="8">
        <v>44774</v>
      </c>
      <c r="D574" s="4" t="s">
        <v>182</v>
      </c>
      <c r="E574" s="14">
        <v>1.9E-3</v>
      </c>
      <c r="F574" s="7">
        <v>2</v>
      </c>
      <c r="G574" s="14">
        <v>0</v>
      </c>
      <c r="H574" s="7">
        <v>0</v>
      </c>
      <c r="I574" s="14">
        <v>1.9E-3</v>
      </c>
      <c r="J574" s="7">
        <v>2</v>
      </c>
    </row>
    <row r="575" spans="1:10" x14ac:dyDescent="0.2">
      <c r="A575" s="9">
        <v>44802</v>
      </c>
      <c r="B575" s="4" t="s">
        <v>225</v>
      </c>
      <c r="C575" s="8">
        <v>44774</v>
      </c>
      <c r="D575" s="4" t="s">
        <v>182</v>
      </c>
      <c r="E575" s="14">
        <v>1.8E-3</v>
      </c>
      <c r="F575" s="7">
        <v>2</v>
      </c>
      <c r="G575" s="14">
        <v>0</v>
      </c>
      <c r="H575" s="7">
        <v>0</v>
      </c>
      <c r="I575" s="14">
        <v>1.8E-3</v>
      </c>
      <c r="J575" s="7">
        <v>2</v>
      </c>
    </row>
    <row r="576" spans="1:10" x14ac:dyDescent="0.2">
      <c r="A576" s="9">
        <v>44803</v>
      </c>
      <c r="B576" s="4" t="s">
        <v>223</v>
      </c>
      <c r="C576" s="8">
        <v>44774</v>
      </c>
      <c r="D576" s="4" t="s">
        <v>182</v>
      </c>
      <c r="E576" s="14">
        <v>3.7000000000000002E-3</v>
      </c>
      <c r="F576" s="7">
        <v>4</v>
      </c>
      <c r="G576" s="14">
        <v>0</v>
      </c>
      <c r="H576" s="7">
        <v>0</v>
      </c>
      <c r="I576" s="14">
        <v>3.7000000000000002E-3</v>
      </c>
      <c r="J576" s="7">
        <v>4</v>
      </c>
    </row>
    <row r="577" spans="1:10" x14ac:dyDescent="0.2">
      <c r="A577" s="9">
        <v>44805</v>
      </c>
      <c r="B577" s="4" t="s">
        <v>224</v>
      </c>
      <c r="C577" s="8">
        <v>44805</v>
      </c>
      <c r="D577" s="4" t="s">
        <v>182</v>
      </c>
      <c r="E577" s="14">
        <v>4.5999999999999999E-3</v>
      </c>
      <c r="F577" s="7">
        <v>5</v>
      </c>
      <c r="G577" s="14">
        <v>0</v>
      </c>
      <c r="H577" s="7">
        <v>0</v>
      </c>
      <c r="I577" s="14">
        <v>4.5999999999999999E-3</v>
      </c>
      <c r="J577" s="7">
        <v>5</v>
      </c>
    </row>
    <row r="578" spans="1:10" x14ac:dyDescent="0.2">
      <c r="A578" s="9">
        <v>44806</v>
      </c>
      <c r="B578" s="4" t="s">
        <v>222</v>
      </c>
      <c r="C578" s="8">
        <v>44805</v>
      </c>
      <c r="D578" s="4" t="s">
        <v>182</v>
      </c>
      <c r="E578" s="14">
        <v>2.8E-3</v>
      </c>
      <c r="F578" s="7">
        <v>3</v>
      </c>
      <c r="G578" s="14">
        <v>0</v>
      </c>
      <c r="H578" s="7">
        <v>0</v>
      </c>
      <c r="I578" s="14">
        <v>2.8E-3</v>
      </c>
      <c r="J578" s="7">
        <v>3</v>
      </c>
    </row>
    <row r="579" spans="1:10" x14ac:dyDescent="0.2">
      <c r="A579" s="9">
        <v>44809</v>
      </c>
      <c r="B579" s="4" t="s">
        <v>225</v>
      </c>
      <c r="C579" s="8">
        <v>44805</v>
      </c>
      <c r="D579" s="4" t="s">
        <v>182</v>
      </c>
      <c r="E579" s="14">
        <v>8.9999999999999998E-4</v>
      </c>
      <c r="F579" s="7">
        <v>1</v>
      </c>
      <c r="G579" s="14">
        <v>0</v>
      </c>
      <c r="H579" s="7">
        <v>0</v>
      </c>
      <c r="I579" s="14">
        <v>8.9999999999999998E-4</v>
      </c>
      <c r="J579" s="7">
        <v>1</v>
      </c>
    </row>
    <row r="580" spans="1:10" x14ac:dyDescent="0.2">
      <c r="A580" s="9">
        <v>44810</v>
      </c>
      <c r="B580" s="4" t="s">
        <v>223</v>
      </c>
      <c r="C580" s="8">
        <v>44805</v>
      </c>
      <c r="D580" s="4" t="s">
        <v>182</v>
      </c>
      <c r="E580" s="14">
        <v>1.9E-3</v>
      </c>
      <c r="F580" s="7">
        <v>2</v>
      </c>
      <c r="G580" s="14">
        <v>0</v>
      </c>
      <c r="H580" s="7">
        <v>0</v>
      </c>
      <c r="I580" s="14">
        <v>1.9E-3</v>
      </c>
      <c r="J580" s="7">
        <v>2</v>
      </c>
    </row>
    <row r="581" spans="1:10" x14ac:dyDescent="0.2">
      <c r="A581" s="9">
        <v>44811</v>
      </c>
      <c r="B581" s="4" t="s">
        <v>221</v>
      </c>
      <c r="C581" s="8">
        <v>44805</v>
      </c>
      <c r="D581" s="4" t="s">
        <v>182</v>
      </c>
      <c r="E581" s="14">
        <v>1.9E-3</v>
      </c>
      <c r="F581" s="7">
        <v>2</v>
      </c>
      <c r="G581" s="14">
        <v>0</v>
      </c>
      <c r="H581" s="7">
        <v>0</v>
      </c>
      <c r="I581" s="14">
        <v>1.9E-3</v>
      </c>
      <c r="J581" s="7">
        <v>2</v>
      </c>
    </row>
    <row r="582" spans="1:10" x14ac:dyDescent="0.2">
      <c r="A582" s="9">
        <v>44812</v>
      </c>
      <c r="B582" s="4" t="s">
        <v>224</v>
      </c>
      <c r="C582" s="8">
        <v>44805</v>
      </c>
      <c r="D582" s="4" t="s">
        <v>182</v>
      </c>
      <c r="E582" s="14">
        <v>1.9E-3</v>
      </c>
      <c r="F582" s="7">
        <v>2</v>
      </c>
      <c r="G582" s="14">
        <v>0</v>
      </c>
      <c r="H582" s="7">
        <v>0</v>
      </c>
      <c r="I582" s="14">
        <v>1.9E-3</v>
      </c>
      <c r="J582" s="7">
        <v>2</v>
      </c>
    </row>
    <row r="583" spans="1:10" x14ac:dyDescent="0.2">
      <c r="A583" s="9">
        <v>44813</v>
      </c>
      <c r="B583" s="4" t="s">
        <v>222</v>
      </c>
      <c r="C583" s="8">
        <v>44805</v>
      </c>
      <c r="D583" s="4" t="s">
        <v>182</v>
      </c>
      <c r="E583" s="14">
        <v>1.9E-3</v>
      </c>
      <c r="F583" s="7">
        <v>2</v>
      </c>
      <c r="G583" s="14">
        <v>0</v>
      </c>
      <c r="H583" s="7">
        <v>0</v>
      </c>
      <c r="I583" s="14">
        <v>1.9E-3</v>
      </c>
      <c r="J583" s="7">
        <v>2</v>
      </c>
    </row>
    <row r="584" spans="1:10" x14ac:dyDescent="0.2">
      <c r="A584" s="9">
        <v>44816</v>
      </c>
      <c r="B584" s="4" t="s">
        <v>225</v>
      </c>
      <c r="C584" s="8">
        <v>44805</v>
      </c>
      <c r="D584" s="4" t="s">
        <v>182</v>
      </c>
      <c r="E584" s="14">
        <v>8.9999999999999998E-4</v>
      </c>
      <c r="F584" s="7">
        <v>1</v>
      </c>
      <c r="G584" s="14">
        <v>0</v>
      </c>
      <c r="H584" s="7">
        <v>0</v>
      </c>
      <c r="I584" s="14">
        <v>8.9999999999999998E-4</v>
      </c>
      <c r="J584" s="7">
        <v>1</v>
      </c>
    </row>
    <row r="585" spans="1:10" x14ac:dyDescent="0.2">
      <c r="A585" s="9">
        <v>44817</v>
      </c>
      <c r="B585" s="4" t="s">
        <v>223</v>
      </c>
      <c r="C585" s="8">
        <v>44805</v>
      </c>
      <c r="D585" s="4" t="s">
        <v>182</v>
      </c>
      <c r="E585" s="14">
        <v>1E-3</v>
      </c>
      <c r="F585" s="7">
        <v>1</v>
      </c>
      <c r="G585" s="14">
        <v>0</v>
      </c>
      <c r="H585" s="7">
        <v>0</v>
      </c>
      <c r="I585" s="14">
        <v>1E-3</v>
      </c>
      <c r="J585" s="7">
        <v>1</v>
      </c>
    </row>
    <row r="586" spans="1:10" x14ac:dyDescent="0.2">
      <c r="A586" s="9">
        <v>44818</v>
      </c>
      <c r="B586" s="4" t="s">
        <v>221</v>
      </c>
      <c r="C586" s="8">
        <v>44805</v>
      </c>
      <c r="D586" s="4" t="s">
        <v>182</v>
      </c>
      <c r="E586" s="14">
        <v>2.8E-3</v>
      </c>
      <c r="F586" s="7">
        <v>3</v>
      </c>
      <c r="G586" s="14">
        <v>0</v>
      </c>
      <c r="H586" s="7">
        <v>0</v>
      </c>
      <c r="I586" s="14">
        <v>2.8E-3</v>
      </c>
      <c r="J586" s="7">
        <v>3</v>
      </c>
    </row>
    <row r="587" spans="1:10" x14ac:dyDescent="0.2">
      <c r="A587" s="9">
        <v>44819</v>
      </c>
      <c r="B587" s="4" t="s">
        <v>224</v>
      </c>
      <c r="C587" s="8">
        <v>44805</v>
      </c>
      <c r="D587" s="4" t="s">
        <v>182</v>
      </c>
      <c r="E587" s="14">
        <v>1.9E-3</v>
      </c>
      <c r="F587" s="7">
        <v>2</v>
      </c>
      <c r="G587" s="14">
        <v>0</v>
      </c>
      <c r="H587" s="7">
        <v>0</v>
      </c>
      <c r="I587" s="14">
        <v>1.9E-3</v>
      </c>
      <c r="J587" s="7">
        <v>2</v>
      </c>
    </row>
    <row r="588" spans="1:10" x14ac:dyDescent="0.2">
      <c r="A588" s="9">
        <v>44820</v>
      </c>
      <c r="B588" s="4" t="s">
        <v>222</v>
      </c>
      <c r="C588" s="8">
        <v>44805</v>
      </c>
      <c r="D588" s="4" t="s">
        <v>182</v>
      </c>
      <c r="E588" s="14">
        <v>6.4999999999999997E-3</v>
      </c>
      <c r="F588" s="7">
        <v>7</v>
      </c>
      <c r="G588" s="14">
        <v>0</v>
      </c>
      <c r="H588" s="7">
        <v>0</v>
      </c>
      <c r="I588" s="14">
        <v>6.4999999999999997E-3</v>
      </c>
      <c r="J588" s="7">
        <v>7</v>
      </c>
    </row>
    <row r="589" spans="1:10" x14ac:dyDescent="0.2">
      <c r="A589" s="9">
        <v>44823</v>
      </c>
      <c r="B589" s="4" t="s">
        <v>225</v>
      </c>
      <c r="C589" s="8">
        <v>44805</v>
      </c>
      <c r="D589" s="4" t="s">
        <v>182</v>
      </c>
      <c r="E589" s="14">
        <v>1.9E-3</v>
      </c>
      <c r="F589" s="7">
        <v>2</v>
      </c>
      <c r="G589" s="14">
        <v>0</v>
      </c>
      <c r="H589" s="7">
        <v>0</v>
      </c>
      <c r="I589" s="14">
        <v>1.9E-3</v>
      </c>
      <c r="J589" s="7">
        <v>2</v>
      </c>
    </row>
    <row r="590" spans="1:10" x14ac:dyDescent="0.2">
      <c r="A590" s="9">
        <v>44824</v>
      </c>
      <c r="B590" s="4" t="s">
        <v>223</v>
      </c>
      <c r="C590" s="8">
        <v>44805</v>
      </c>
      <c r="D590" s="4" t="s">
        <v>182</v>
      </c>
      <c r="E590" s="14">
        <v>5.7000000000000002E-3</v>
      </c>
      <c r="F590" s="7">
        <v>6</v>
      </c>
      <c r="G590" s="14">
        <v>0</v>
      </c>
      <c r="H590" s="7">
        <v>0</v>
      </c>
      <c r="I590" s="14">
        <v>5.7000000000000002E-3</v>
      </c>
      <c r="J590" s="7">
        <v>6</v>
      </c>
    </row>
    <row r="591" spans="1:10" x14ac:dyDescent="0.2">
      <c r="A591" s="9">
        <v>44825</v>
      </c>
      <c r="B591" s="4" t="s">
        <v>221</v>
      </c>
      <c r="C591" s="8">
        <v>44805</v>
      </c>
      <c r="D591" s="4" t="s">
        <v>182</v>
      </c>
      <c r="E591" s="14">
        <v>1.9E-3</v>
      </c>
      <c r="F591" s="7">
        <v>2</v>
      </c>
      <c r="G591" s="14">
        <v>0</v>
      </c>
      <c r="H591" s="7">
        <v>0</v>
      </c>
      <c r="I591" s="14">
        <v>1.9E-3</v>
      </c>
      <c r="J591" s="7">
        <v>2</v>
      </c>
    </row>
    <row r="592" spans="1:10" x14ac:dyDescent="0.2">
      <c r="A592" s="9">
        <v>44826</v>
      </c>
      <c r="B592" s="4" t="s">
        <v>224</v>
      </c>
      <c r="C592" s="8">
        <v>44805</v>
      </c>
      <c r="D592" s="4" t="s">
        <v>182</v>
      </c>
      <c r="E592" s="14">
        <v>2.8E-3</v>
      </c>
      <c r="F592" s="7">
        <v>3</v>
      </c>
      <c r="G592" s="14">
        <v>0</v>
      </c>
      <c r="H592" s="7">
        <v>0</v>
      </c>
      <c r="I592" s="14">
        <v>2.8E-3</v>
      </c>
      <c r="J592" s="7">
        <v>3</v>
      </c>
    </row>
    <row r="593" spans="1:10" x14ac:dyDescent="0.2">
      <c r="A593" s="9">
        <v>44827</v>
      </c>
      <c r="B593" s="4" t="s">
        <v>222</v>
      </c>
      <c r="C593" s="8">
        <v>44805</v>
      </c>
      <c r="D593" s="4" t="s">
        <v>182</v>
      </c>
      <c r="E593" s="14">
        <v>7.3000000000000001E-3</v>
      </c>
      <c r="F593" s="7">
        <v>8</v>
      </c>
      <c r="G593" s="14">
        <v>0</v>
      </c>
      <c r="H593" s="7">
        <v>0</v>
      </c>
      <c r="I593" s="14">
        <v>7.3000000000000001E-3</v>
      </c>
      <c r="J593" s="7">
        <v>8</v>
      </c>
    </row>
    <row r="594" spans="1:10" x14ac:dyDescent="0.2">
      <c r="A594" s="9">
        <v>44830</v>
      </c>
      <c r="B594" s="4" t="s">
        <v>225</v>
      </c>
      <c r="C594" s="8">
        <v>44805</v>
      </c>
      <c r="D594" s="4" t="s">
        <v>182</v>
      </c>
      <c r="E594" s="14">
        <v>3.5999999999999999E-3</v>
      </c>
      <c r="F594" s="7">
        <v>4</v>
      </c>
      <c r="G594" s="14">
        <v>0</v>
      </c>
      <c r="H594" s="7">
        <v>0</v>
      </c>
      <c r="I594" s="14">
        <v>3.5999999999999999E-3</v>
      </c>
      <c r="J594" s="7">
        <v>4</v>
      </c>
    </row>
    <row r="595" spans="1:10" x14ac:dyDescent="0.2">
      <c r="A595" s="9">
        <v>44831</v>
      </c>
      <c r="B595" s="4" t="s">
        <v>223</v>
      </c>
      <c r="C595" s="8">
        <v>44805</v>
      </c>
      <c r="D595" s="4" t="s">
        <v>182</v>
      </c>
      <c r="E595" s="14">
        <v>3.5999999999999999E-3</v>
      </c>
      <c r="F595" s="7">
        <v>4</v>
      </c>
      <c r="G595" s="14">
        <v>0</v>
      </c>
      <c r="H595" s="7">
        <v>0</v>
      </c>
      <c r="I595" s="14">
        <v>3.5999999999999999E-3</v>
      </c>
      <c r="J595" s="7">
        <v>4</v>
      </c>
    </row>
    <row r="596" spans="1:10" x14ac:dyDescent="0.2">
      <c r="A596" s="9">
        <v>44832</v>
      </c>
      <c r="B596" s="4" t="s">
        <v>221</v>
      </c>
      <c r="C596" s="8">
        <v>44805</v>
      </c>
      <c r="D596" s="4" t="s">
        <v>182</v>
      </c>
      <c r="E596" s="14">
        <v>8.8999999999999999E-3</v>
      </c>
      <c r="F596" s="7">
        <v>10</v>
      </c>
      <c r="G596" s="14">
        <v>0</v>
      </c>
      <c r="H596" s="7">
        <v>0</v>
      </c>
      <c r="I596" s="14">
        <v>8.8999999999999999E-3</v>
      </c>
      <c r="J596" s="7">
        <v>10</v>
      </c>
    </row>
    <row r="597" spans="1:10" x14ac:dyDescent="0.2">
      <c r="A597" s="9">
        <v>44833</v>
      </c>
      <c r="B597" s="4" t="s">
        <v>224</v>
      </c>
      <c r="C597" s="8">
        <v>44805</v>
      </c>
      <c r="D597" s="4" t="s">
        <v>182</v>
      </c>
      <c r="E597" s="14">
        <v>2.7000000000000001E-3</v>
      </c>
      <c r="F597" s="7">
        <v>3</v>
      </c>
      <c r="G597" s="14">
        <v>0</v>
      </c>
      <c r="H597" s="7">
        <v>0</v>
      </c>
      <c r="I597" s="14">
        <v>2.7000000000000001E-3</v>
      </c>
      <c r="J597" s="7">
        <v>3</v>
      </c>
    </row>
    <row r="598" spans="1:10" x14ac:dyDescent="0.2">
      <c r="A598" s="9">
        <v>44834</v>
      </c>
      <c r="B598" s="4" t="s">
        <v>222</v>
      </c>
      <c r="C598" s="8">
        <v>44805</v>
      </c>
      <c r="D598" s="4" t="s">
        <v>182</v>
      </c>
      <c r="E598" s="14">
        <v>4.4999999999999997E-3</v>
      </c>
      <c r="F598" s="7">
        <v>5</v>
      </c>
      <c r="G598" s="14">
        <v>0</v>
      </c>
      <c r="H598" s="7">
        <v>0</v>
      </c>
      <c r="I598" s="14">
        <v>4.4999999999999997E-3</v>
      </c>
      <c r="J598" s="7">
        <v>5</v>
      </c>
    </row>
    <row r="599" spans="1:10" x14ac:dyDescent="0.2">
      <c r="A599" s="9">
        <v>44837</v>
      </c>
      <c r="B599" s="4" t="s">
        <v>225</v>
      </c>
      <c r="C599" s="8">
        <v>44835</v>
      </c>
      <c r="D599" s="4" t="s">
        <v>183</v>
      </c>
      <c r="E599" s="14">
        <v>3.5999999999999999E-3</v>
      </c>
      <c r="F599" s="7">
        <v>4</v>
      </c>
      <c r="G599" s="14">
        <v>0</v>
      </c>
      <c r="H599" s="7">
        <v>0</v>
      </c>
      <c r="I599" s="14">
        <v>3.5999999999999999E-3</v>
      </c>
      <c r="J599" s="7">
        <v>4</v>
      </c>
    </row>
    <row r="600" spans="1:10" x14ac:dyDescent="0.2">
      <c r="A600" s="9">
        <v>44838</v>
      </c>
      <c r="B600" s="4" t="s">
        <v>223</v>
      </c>
      <c r="C600" s="8">
        <v>44835</v>
      </c>
      <c r="D600" s="4" t="s">
        <v>183</v>
      </c>
      <c r="E600" s="14">
        <v>1.8E-3</v>
      </c>
      <c r="F600" s="7">
        <v>2</v>
      </c>
      <c r="G600" s="14">
        <v>0</v>
      </c>
      <c r="H600" s="7">
        <v>0</v>
      </c>
      <c r="I600" s="14">
        <v>1.8E-3</v>
      </c>
      <c r="J600" s="7">
        <v>2</v>
      </c>
    </row>
    <row r="601" spans="1:10" x14ac:dyDescent="0.2">
      <c r="A601" s="9">
        <v>44840</v>
      </c>
      <c r="B601" s="4" t="s">
        <v>224</v>
      </c>
      <c r="C601" s="8">
        <v>44835</v>
      </c>
      <c r="D601" s="4" t="s">
        <v>183</v>
      </c>
      <c r="E601" s="14">
        <v>8.9999999999999998E-4</v>
      </c>
      <c r="F601" s="7">
        <v>1</v>
      </c>
      <c r="G601" s="14">
        <v>0</v>
      </c>
      <c r="H601" s="7">
        <v>0</v>
      </c>
      <c r="I601" s="14">
        <v>8.9999999999999998E-4</v>
      </c>
      <c r="J601" s="7">
        <v>1</v>
      </c>
    </row>
    <row r="602" spans="1:10" x14ac:dyDescent="0.2">
      <c r="A602" s="9">
        <v>44841</v>
      </c>
      <c r="B602" s="4" t="s">
        <v>222</v>
      </c>
      <c r="C602" s="8">
        <v>44835</v>
      </c>
      <c r="D602" s="4" t="s">
        <v>183</v>
      </c>
      <c r="E602" s="14">
        <v>8.9999999999999998E-4</v>
      </c>
      <c r="F602" s="7">
        <v>1</v>
      </c>
      <c r="G602" s="14">
        <v>0</v>
      </c>
      <c r="H602" s="7">
        <v>0</v>
      </c>
      <c r="I602" s="14">
        <v>8.9999999999999998E-4</v>
      </c>
      <c r="J602" s="7">
        <v>1</v>
      </c>
    </row>
    <row r="603" spans="1:10" x14ac:dyDescent="0.2">
      <c r="A603" s="9">
        <v>44844</v>
      </c>
      <c r="B603" s="4" t="s">
        <v>225</v>
      </c>
      <c r="C603" s="8">
        <v>44835</v>
      </c>
      <c r="D603" s="4" t="s">
        <v>183</v>
      </c>
      <c r="E603" s="14">
        <v>2.7000000000000001E-3</v>
      </c>
      <c r="F603" s="7">
        <v>3</v>
      </c>
      <c r="G603" s="14">
        <v>0</v>
      </c>
      <c r="H603" s="7">
        <v>0</v>
      </c>
      <c r="I603" s="14">
        <v>2.7000000000000001E-3</v>
      </c>
      <c r="J603" s="7">
        <v>3</v>
      </c>
    </row>
    <row r="604" spans="1:10" x14ac:dyDescent="0.2">
      <c r="A604" s="9">
        <v>44845</v>
      </c>
      <c r="B604" s="4" t="s">
        <v>223</v>
      </c>
      <c r="C604" s="8">
        <v>44835</v>
      </c>
      <c r="D604" s="4" t="s">
        <v>183</v>
      </c>
      <c r="E604" s="14">
        <v>2.7000000000000001E-3</v>
      </c>
      <c r="F604" s="7">
        <v>3</v>
      </c>
      <c r="G604" s="14">
        <v>0</v>
      </c>
      <c r="H604" s="7">
        <v>0</v>
      </c>
      <c r="I604" s="14">
        <v>2.7000000000000001E-3</v>
      </c>
      <c r="J604" s="7">
        <v>3</v>
      </c>
    </row>
    <row r="605" spans="1:10" x14ac:dyDescent="0.2">
      <c r="A605" s="9">
        <v>44846</v>
      </c>
      <c r="B605" s="4" t="s">
        <v>221</v>
      </c>
      <c r="C605" s="8">
        <v>44835</v>
      </c>
      <c r="D605" s="4" t="s">
        <v>183</v>
      </c>
      <c r="E605" s="14">
        <v>1.8E-3</v>
      </c>
      <c r="F605" s="7">
        <v>2</v>
      </c>
      <c r="G605" s="14">
        <v>0</v>
      </c>
      <c r="H605" s="7">
        <v>0</v>
      </c>
      <c r="I605" s="14">
        <v>1.8E-3</v>
      </c>
      <c r="J605" s="7">
        <v>2</v>
      </c>
    </row>
    <row r="606" spans="1:10" x14ac:dyDescent="0.2">
      <c r="A606" s="9">
        <v>44847</v>
      </c>
      <c r="B606" s="4" t="s">
        <v>224</v>
      </c>
      <c r="C606" s="8">
        <v>44835</v>
      </c>
      <c r="D606" s="4" t="s">
        <v>183</v>
      </c>
      <c r="E606" s="14">
        <v>2.7000000000000001E-3</v>
      </c>
      <c r="F606" s="7">
        <v>3</v>
      </c>
      <c r="G606" s="14">
        <v>0</v>
      </c>
      <c r="H606" s="7">
        <v>0</v>
      </c>
      <c r="I606" s="14">
        <v>2.7000000000000001E-3</v>
      </c>
      <c r="J606" s="7">
        <v>3</v>
      </c>
    </row>
    <row r="607" spans="1:10" x14ac:dyDescent="0.2">
      <c r="A607" s="9">
        <v>44848</v>
      </c>
      <c r="B607" s="4" t="s">
        <v>222</v>
      </c>
      <c r="C607" s="8">
        <v>44835</v>
      </c>
      <c r="D607" s="4" t="s">
        <v>183</v>
      </c>
      <c r="E607" s="14">
        <v>1.8E-3</v>
      </c>
      <c r="F607" s="7">
        <v>2</v>
      </c>
      <c r="G607" s="14">
        <v>0</v>
      </c>
      <c r="H607" s="7">
        <v>0</v>
      </c>
      <c r="I607" s="14">
        <v>1.8E-3</v>
      </c>
      <c r="J607" s="7">
        <v>2</v>
      </c>
    </row>
    <row r="608" spans="1:10" x14ac:dyDescent="0.2">
      <c r="A608" s="9">
        <v>44851</v>
      </c>
      <c r="B608" s="4" t="s">
        <v>225</v>
      </c>
      <c r="C608" s="8">
        <v>44835</v>
      </c>
      <c r="D608" s="4" t="s">
        <v>183</v>
      </c>
      <c r="E608" s="14">
        <v>8.9999999999999998E-4</v>
      </c>
      <c r="F608" s="7">
        <v>1</v>
      </c>
      <c r="G608" s="14">
        <v>0</v>
      </c>
      <c r="H608" s="7">
        <v>0</v>
      </c>
      <c r="I608" s="14">
        <v>8.9999999999999998E-4</v>
      </c>
      <c r="J608" s="7">
        <v>1</v>
      </c>
    </row>
    <row r="609" spans="1:10" x14ac:dyDescent="0.2">
      <c r="A609" s="9">
        <v>44852</v>
      </c>
      <c r="B609" s="4" t="s">
        <v>223</v>
      </c>
      <c r="C609" s="8">
        <v>44835</v>
      </c>
      <c r="D609" s="4" t="s">
        <v>183</v>
      </c>
      <c r="E609" s="14">
        <v>8.9999999999999998E-4</v>
      </c>
      <c r="F609" s="7">
        <v>1</v>
      </c>
      <c r="G609" s="14">
        <v>0</v>
      </c>
      <c r="H609" s="7">
        <v>0</v>
      </c>
      <c r="I609" s="14">
        <v>8.9999999999999998E-4</v>
      </c>
      <c r="J609" s="7">
        <v>1</v>
      </c>
    </row>
    <row r="610" spans="1:10" x14ac:dyDescent="0.2">
      <c r="A610" s="9">
        <v>44853</v>
      </c>
      <c r="B610" s="4" t="s">
        <v>221</v>
      </c>
      <c r="C610" s="8">
        <v>44835</v>
      </c>
      <c r="D610" s="4" t="s">
        <v>183</v>
      </c>
      <c r="E610" s="14">
        <v>1.8E-3</v>
      </c>
      <c r="F610" s="7">
        <v>2</v>
      </c>
      <c r="G610" s="14">
        <v>0</v>
      </c>
      <c r="H610" s="7">
        <v>0</v>
      </c>
      <c r="I610" s="14">
        <v>1.8E-3</v>
      </c>
      <c r="J610" s="7">
        <v>2</v>
      </c>
    </row>
    <row r="611" spans="1:10" x14ac:dyDescent="0.2">
      <c r="A611" s="9">
        <v>44854</v>
      </c>
      <c r="B611" s="4" t="s">
        <v>224</v>
      </c>
      <c r="C611" s="8">
        <v>44835</v>
      </c>
      <c r="D611" s="4" t="s">
        <v>183</v>
      </c>
      <c r="E611" s="14">
        <v>1.8E-3</v>
      </c>
      <c r="F611" s="7">
        <v>2</v>
      </c>
      <c r="G611" s="14">
        <v>0</v>
      </c>
      <c r="H611" s="7">
        <v>0</v>
      </c>
      <c r="I611" s="14">
        <v>1.8E-3</v>
      </c>
      <c r="J611" s="7">
        <v>2</v>
      </c>
    </row>
    <row r="612" spans="1:10" x14ac:dyDescent="0.2">
      <c r="A612" s="9">
        <v>44855</v>
      </c>
      <c r="B612" s="4" t="s">
        <v>222</v>
      </c>
      <c r="C612" s="8">
        <v>44835</v>
      </c>
      <c r="D612" s="4" t="s">
        <v>183</v>
      </c>
      <c r="E612" s="14">
        <v>8.9999999999999998E-4</v>
      </c>
      <c r="F612" s="7">
        <v>1</v>
      </c>
      <c r="G612" s="14">
        <v>0</v>
      </c>
      <c r="H612" s="7">
        <v>0</v>
      </c>
      <c r="I612" s="14">
        <v>8.9999999999999998E-4</v>
      </c>
      <c r="J612" s="7">
        <v>1</v>
      </c>
    </row>
    <row r="613" spans="1:10" x14ac:dyDescent="0.2">
      <c r="A613" s="9">
        <v>44858</v>
      </c>
      <c r="B613" s="4" t="s">
        <v>225</v>
      </c>
      <c r="C613" s="8">
        <v>44835</v>
      </c>
      <c r="D613" s="4" t="s">
        <v>183</v>
      </c>
      <c r="E613" s="14">
        <v>0</v>
      </c>
      <c r="F613" s="7">
        <v>0</v>
      </c>
      <c r="G613" s="14">
        <v>0</v>
      </c>
      <c r="H613" s="7">
        <v>0</v>
      </c>
      <c r="I613" s="14">
        <v>0</v>
      </c>
      <c r="J613" s="7">
        <v>0</v>
      </c>
    </row>
    <row r="614" spans="1:10" x14ac:dyDescent="0.2">
      <c r="A614" s="9">
        <v>44859</v>
      </c>
      <c r="B614" s="4" t="s">
        <v>223</v>
      </c>
      <c r="C614" s="8">
        <v>44835</v>
      </c>
      <c r="D614" s="4" t="s">
        <v>183</v>
      </c>
      <c r="E614" s="14">
        <v>8.9999999999999998E-4</v>
      </c>
      <c r="F614" s="7">
        <v>1</v>
      </c>
      <c r="G614" s="14">
        <v>0</v>
      </c>
      <c r="H614" s="7">
        <v>0</v>
      </c>
      <c r="I614" s="14">
        <v>8.9999999999999998E-4</v>
      </c>
      <c r="J614" s="7">
        <v>1</v>
      </c>
    </row>
    <row r="615" spans="1:10" x14ac:dyDescent="0.2">
      <c r="A615" s="9">
        <v>44861</v>
      </c>
      <c r="B615" s="4" t="s">
        <v>224</v>
      </c>
      <c r="C615" s="8">
        <v>44835</v>
      </c>
      <c r="D615" s="4" t="s">
        <v>183</v>
      </c>
      <c r="E615" s="14">
        <v>1.9E-3</v>
      </c>
      <c r="F615" s="7">
        <v>2</v>
      </c>
      <c r="G615" s="14">
        <v>0</v>
      </c>
      <c r="H615" s="7">
        <v>0</v>
      </c>
      <c r="I615" s="14">
        <v>1.9E-3</v>
      </c>
      <c r="J615" s="7">
        <v>2</v>
      </c>
    </row>
    <row r="616" spans="1:10" x14ac:dyDescent="0.2">
      <c r="A616" s="9">
        <v>44862</v>
      </c>
      <c r="B616" s="4" t="s">
        <v>222</v>
      </c>
      <c r="C616" s="8">
        <v>44835</v>
      </c>
      <c r="D616" s="4" t="s">
        <v>183</v>
      </c>
      <c r="E616" s="14">
        <v>8.9999999999999998E-4</v>
      </c>
      <c r="F616" s="7">
        <v>1</v>
      </c>
      <c r="G616" s="14">
        <v>0</v>
      </c>
      <c r="H616" s="7">
        <v>0</v>
      </c>
      <c r="I616" s="14">
        <v>8.9999999999999998E-4</v>
      </c>
      <c r="J616" s="7">
        <v>1</v>
      </c>
    </row>
    <row r="617" spans="1:10" x14ac:dyDescent="0.2">
      <c r="A617" s="9">
        <v>44865</v>
      </c>
      <c r="B617" s="4" t="s">
        <v>225</v>
      </c>
      <c r="C617" s="8">
        <v>44835</v>
      </c>
      <c r="D617" s="4" t="s">
        <v>183</v>
      </c>
      <c r="E617" s="14">
        <v>8.9999999999999998E-4</v>
      </c>
      <c r="F617" s="7">
        <v>1</v>
      </c>
      <c r="G617" s="14">
        <v>0</v>
      </c>
      <c r="H617" s="7">
        <v>0</v>
      </c>
      <c r="I617" s="14">
        <v>8.9999999999999998E-4</v>
      </c>
      <c r="J617" s="7">
        <v>1</v>
      </c>
    </row>
    <row r="618" spans="1:10" x14ac:dyDescent="0.2">
      <c r="A618" s="9">
        <v>44866</v>
      </c>
      <c r="B618" s="4" t="s">
        <v>223</v>
      </c>
      <c r="C618" s="8">
        <v>44866</v>
      </c>
      <c r="D618" s="4" t="s">
        <v>183</v>
      </c>
      <c r="E618" s="14">
        <v>1E-3</v>
      </c>
      <c r="F618" s="7">
        <v>1</v>
      </c>
      <c r="G618" s="14">
        <v>0</v>
      </c>
      <c r="H618" s="7">
        <v>0</v>
      </c>
      <c r="I618" s="14">
        <v>1E-3</v>
      </c>
      <c r="J618" s="7">
        <v>1</v>
      </c>
    </row>
    <row r="619" spans="1:10" x14ac:dyDescent="0.2">
      <c r="A619" s="9">
        <v>44867</v>
      </c>
      <c r="B619" s="4" t="s">
        <v>221</v>
      </c>
      <c r="C619" s="8">
        <v>44866</v>
      </c>
      <c r="D619" s="4" t="s">
        <v>183</v>
      </c>
      <c r="E619" s="14">
        <v>1E-3</v>
      </c>
      <c r="F619" s="7">
        <v>1</v>
      </c>
      <c r="G619" s="14">
        <v>0</v>
      </c>
      <c r="H619" s="7">
        <v>0</v>
      </c>
      <c r="I619" s="14">
        <v>1E-3</v>
      </c>
      <c r="J619" s="7">
        <v>1</v>
      </c>
    </row>
    <row r="620" spans="1:10" x14ac:dyDescent="0.2">
      <c r="A620" s="9">
        <v>44868</v>
      </c>
      <c r="B620" s="4" t="s">
        <v>224</v>
      </c>
      <c r="C620" s="8">
        <v>44866</v>
      </c>
      <c r="D620" s="4" t="s">
        <v>183</v>
      </c>
      <c r="E620" s="14">
        <v>2.8999999999999998E-3</v>
      </c>
      <c r="F620" s="7">
        <v>3</v>
      </c>
      <c r="G620" s="14">
        <v>0</v>
      </c>
      <c r="H620" s="7">
        <v>0</v>
      </c>
      <c r="I620" s="14">
        <v>2.8999999999999998E-3</v>
      </c>
      <c r="J620" s="7">
        <v>3</v>
      </c>
    </row>
    <row r="621" spans="1:10" x14ac:dyDescent="0.2">
      <c r="A621" s="9">
        <v>44869</v>
      </c>
      <c r="B621" s="4" t="s">
        <v>222</v>
      </c>
      <c r="C621" s="8">
        <v>44866</v>
      </c>
      <c r="D621" s="4" t="s">
        <v>183</v>
      </c>
      <c r="E621" s="14">
        <v>1E-3</v>
      </c>
      <c r="F621" s="7">
        <v>1</v>
      </c>
      <c r="G621" s="14">
        <v>0</v>
      </c>
      <c r="H621" s="7">
        <v>0</v>
      </c>
      <c r="I621" s="14">
        <v>1E-3</v>
      </c>
      <c r="J621" s="7">
        <v>1</v>
      </c>
    </row>
    <row r="622" spans="1:10" x14ac:dyDescent="0.2">
      <c r="A622" s="9">
        <v>44872</v>
      </c>
      <c r="B622" s="4" t="s">
        <v>225</v>
      </c>
      <c r="C622" s="8">
        <v>44866</v>
      </c>
      <c r="D622" s="4" t="s">
        <v>183</v>
      </c>
      <c r="E622" s="14">
        <v>1.9E-3</v>
      </c>
      <c r="F622" s="7">
        <v>2</v>
      </c>
      <c r="G622" s="14">
        <v>0</v>
      </c>
      <c r="H622" s="7">
        <v>0</v>
      </c>
      <c r="I622" s="14">
        <v>1.9E-3</v>
      </c>
      <c r="J622" s="7">
        <v>2</v>
      </c>
    </row>
    <row r="623" spans="1:10" x14ac:dyDescent="0.2">
      <c r="A623" s="9">
        <v>44874</v>
      </c>
      <c r="B623" s="4" t="s">
        <v>221</v>
      </c>
      <c r="C623" s="8">
        <v>44866</v>
      </c>
      <c r="D623" s="4" t="s">
        <v>183</v>
      </c>
      <c r="E623" s="14">
        <v>1.9E-3</v>
      </c>
      <c r="F623" s="7">
        <v>2</v>
      </c>
      <c r="G623" s="14">
        <v>0</v>
      </c>
      <c r="H623" s="7">
        <v>0</v>
      </c>
      <c r="I623" s="14">
        <v>1.9E-3</v>
      </c>
      <c r="J623" s="7">
        <v>2</v>
      </c>
    </row>
    <row r="624" spans="1:10" x14ac:dyDescent="0.2">
      <c r="A624" s="9">
        <v>44875</v>
      </c>
      <c r="B624" s="4" t="s">
        <v>224</v>
      </c>
      <c r="C624" s="8">
        <v>44866</v>
      </c>
      <c r="D624" s="4" t="s">
        <v>183</v>
      </c>
      <c r="E624" s="14">
        <v>1E-3</v>
      </c>
      <c r="F624" s="7">
        <v>1</v>
      </c>
      <c r="G624" s="14">
        <v>0</v>
      </c>
      <c r="H624" s="7">
        <v>0</v>
      </c>
      <c r="I624" s="14">
        <v>1E-3</v>
      </c>
      <c r="J624" s="7">
        <v>1</v>
      </c>
    </row>
    <row r="625" spans="1:10" x14ac:dyDescent="0.2">
      <c r="A625" s="9">
        <v>44876</v>
      </c>
      <c r="B625" s="4" t="s">
        <v>222</v>
      </c>
      <c r="C625" s="8">
        <v>44866</v>
      </c>
      <c r="D625" s="4" t="s">
        <v>183</v>
      </c>
      <c r="E625" s="14">
        <v>1E-3</v>
      </c>
      <c r="F625" s="7">
        <v>1</v>
      </c>
      <c r="G625" s="14">
        <v>0</v>
      </c>
      <c r="H625" s="7">
        <v>0</v>
      </c>
      <c r="I625" s="14">
        <v>1E-3</v>
      </c>
      <c r="J625" s="7">
        <v>1</v>
      </c>
    </row>
    <row r="626" spans="1:10" x14ac:dyDescent="0.2">
      <c r="A626" s="9">
        <v>44879</v>
      </c>
      <c r="B626" s="4" t="s">
        <v>225</v>
      </c>
      <c r="C626" s="8">
        <v>44866</v>
      </c>
      <c r="D626" s="4" t="s">
        <v>183</v>
      </c>
      <c r="E626" s="14">
        <v>1E-3</v>
      </c>
      <c r="F626" s="7">
        <v>1</v>
      </c>
      <c r="G626" s="14">
        <v>0</v>
      </c>
      <c r="H626" s="7">
        <v>0</v>
      </c>
      <c r="I626" s="14">
        <v>1E-3</v>
      </c>
      <c r="J626" s="7">
        <v>1</v>
      </c>
    </row>
    <row r="627" spans="1:10" x14ac:dyDescent="0.2">
      <c r="A627" s="9">
        <v>44880</v>
      </c>
      <c r="B627" s="4" t="s">
        <v>223</v>
      </c>
      <c r="C627" s="8">
        <v>44866</v>
      </c>
      <c r="D627" s="4" t="s">
        <v>183</v>
      </c>
      <c r="E627" s="14">
        <v>1E-3</v>
      </c>
      <c r="F627" s="7">
        <v>1</v>
      </c>
      <c r="G627" s="14">
        <v>0</v>
      </c>
      <c r="H627" s="7">
        <v>0</v>
      </c>
      <c r="I627" s="14">
        <v>1E-3</v>
      </c>
      <c r="J627" s="7">
        <v>1</v>
      </c>
    </row>
    <row r="628" spans="1:10" x14ac:dyDescent="0.2">
      <c r="A628" s="9">
        <v>44881</v>
      </c>
      <c r="B628" s="4" t="s">
        <v>221</v>
      </c>
      <c r="C628" s="8">
        <v>44866</v>
      </c>
      <c r="D628" s="4" t="s">
        <v>183</v>
      </c>
      <c r="E628" s="14">
        <v>1E-3</v>
      </c>
      <c r="F628" s="7">
        <v>1</v>
      </c>
      <c r="G628" s="14">
        <v>0</v>
      </c>
      <c r="H628" s="7">
        <v>0</v>
      </c>
      <c r="I628" s="14">
        <v>1E-3</v>
      </c>
      <c r="J628" s="7">
        <v>1</v>
      </c>
    </row>
    <row r="629" spans="1:10" x14ac:dyDescent="0.2">
      <c r="A629" s="9">
        <v>44882</v>
      </c>
      <c r="B629" s="4" t="s">
        <v>224</v>
      </c>
      <c r="C629" s="8">
        <v>44866</v>
      </c>
      <c r="D629" s="4" t="s">
        <v>183</v>
      </c>
      <c r="E629" s="14">
        <v>1E-3</v>
      </c>
      <c r="F629" s="7">
        <v>1</v>
      </c>
      <c r="G629" s="14">
        <v>0</v>
      </c>
      <c r="H629" s="7">
        <v>0</v>
      </c>
      <c r="I629" s="14">
        <v>1E-3</v>
      </c>
      <c r="J629" s="7">
        <v>1</v>
      </c>
    </row>
    <row r="630" spans="1:10" x14ac:dyDescent="0.2">
      <c r="A630" s="9">
        <v>44883</v>
      </c>
      <c r="B630" s="4" t="s">
        <v>222</v>
      </c>
      <c r="C630" s="8">
        <v>44866</v>
      </c>
      <c r="D630" s="4" t="s">
        <v>183</v>
      </c>
      <c r="E630" s="14">
        <v>1.9E-3</v>
      </c>
      <c r="F630" s="7">
        <v>2</v>
      </c>
      <c r="G630" s="14">
        <v>0</v>
      </c>
      <c r="H630" s="7">
        <v>0</v>
      </c>
      <c r="I630" s="14">
        <v>1.9E-3</v>
      </c>
      <c r="J630" s="7">
        <v>2</v>
      </c>
    </row>
    <row r="631" spans="1:10" x14ac:dyDescent="0.2">
      <c r="A631" s="9">
        <v>44886</v>
      </c>
      <c r="B631" s="4" t="s">
        <v>225</v>
      </c>
      <c r="C631" s="8">
        <v>44866</v>
      </c>
      <c r="D631" s="4" t="s">
        <v>183</v>
      </c>
      <c r="E631" s="14">
        <v>1.9E-3</v>
      </c>
      <c r="F631" s="7">
        <v>2</v>
      </c>
      <c r="G631" s="14">
        <v>0</v>
      </c>
      <c r="H631" s="7">
        <v>0</v>
      </c>
      <c r="I631" s="14">
        <v>1.9E-3</v>
      </c>
      <c r="J631" s="7">
        <v>2</v>
      </c>
    </row>
    <row r="632" spans="1:10" x14ac:dyDescent="0.2">
      <c r="A632" s="9">
        <v>44887</v>
      </c>
      <c r="B632" s="4" t="s">
        <v>223</v>
      </c>
      <c r="C632" s="8">
        <v>44866</v>
      </c>
      <c r="D632" s="4" t="s">
        <v>183</v>
      </c>
      <c r="E632" s="14">
        <v>1E-3</v>
      </c>
      <c r="F632" s="7">
        <v>1</v>
      </c>
      <c r="G632" s="14">
        <v>0</v>
      </c>
      <c r="H632" s="7">
        <v>0</v>
      </c>
      <c r="I632" s="14">
        <v>1E-3</v>
      </c>
      <c r="J632" s="7">
        <v>1</v>
      </c>
    </row>
    <row r="633" spans="1:10" x14ac:dyDescent="0.2">
      <c r="A633" s="9">
        <v>44888</v>
      </c>
      <c r="B633" s="4" t="s">
        <v>221</v>
      </c>
      <c r="C633" s="8">
        <v>44866</v>
      </c>
      <c r="D633" s="4" t="s">
        <v>183</v>
      </c>
      <c r="E633" s="14">
        <v>1.9E-3</v>
      </c>
      <c r="F633" s="7">
        <v>2</v>
      </c>
      <c r="G633" s="14">
        <v>0</v>
      </c>
      <c r="H633" s="7">
        <v>0</v>
      </c>
      <c r="I633" s="14">
        <v>1.9E-3</v>
      </c>
      <c r="J633" s="7">
        <v>2</v>
      </c>
    </row>
    <row r="634" spans="1:10" x14ac:dyDescent="0.2">
      <c r="A634" s="9">
        <v>44889</v>
      </c>
      <c r="B634" s="4" t="s">
        <v>224</v>
      </c>
      <c r="C634" s="8">
        <v>44866</v>
      </c>
      <c r="D634" s="4" t="s">
        <v>183</v>
      </c>
      <c r="E634" s="14">
        <v>1.9E-3</v>
      </c>
      <c r="F634" s="7">
        <v>2</v>
      </c>
      <c r="G634" s="14">
        <v>0</v>
      </c>
      <c r="H634" s="7">
        <v>0</v>
      </c>
      <c r="I634" s="14">
        <v>1.9E-3</v>
      </c>
      <c r="J634" s="7">
        <v>2</v>
      </c>
    </row>
    <row r="635" spans="1:10" x14ac:dyDescent="0.2">
      <c r="A635" s="9">
        <v>44890</v>
      </c>
      <c r="B635" s="4" t="s">
        <v>222</v>
      </c>
      <c r="C635" s="8">
        <v>44866</v>
      </c>
      <c r="D635" s="4" t="s">
        <v>183</v>
      </c>
      <c r="E635" s="14">
        <v>1E-3</v>
      </c>
      <c r="F635" s="7">
        <v>1</v>
      </c>
      <c r="G635" s="14">
        <v>0</v>
      </c>
      <c r="H635" s="7">
        <v>0</v>
      </c>
      <c r="I635" s="14">
        <v>1E-3</v>
      </c>
      <c r="J635" s="7">
        <v>1</v>
      </c>
    </row>
    <row r="636" spans="1:10" x14ac:dyDescent="0.2">
      <c r="A636" s="9">
        <v>44893</v>
      </c>
      <c r="B636" s="4" t="s">
        <v>225</v>
      </c>
      <c r="C636" s="8">
        <v>44866</v>
      </c>
      <c r="D636" s="4" t="s">
        <v>183</v>
      </c>
      <c r="E636" s="14">
        <v>2E-3</v>
      </c>
      <c r="F636" s="7">
        <v>2</v>
      </c>
      <c r="G636" s="14">
        <v>0</v>
      </c>
      <c r="H636" s="7">
        <v>0</v>
      </c>
      <c r="I636" s="14">
        <v>2E-3</v>
      </c>
      <c r="J636" s="7">
        <v>2</v>
      </c>
    </row>
    <row r="637" spans="1:10" x14ac:dyDescent="0.2">
      <c r="A637" s="9">
        <v>44894</v>
      </c>
      <c r="B637" s="4" t="s">
        <v>223</v>
      </c>
      <c r="C637" s="8">
        <v>44866</v>
      </c>
      <c r="D637" s="4" t="s">
        <v>183</v>
      </c>
      <c r="E637" s="14">
        <v>1E-3</v>
      </c>
      <c r="F637" s="7">
        <v>1</v>
      </c>
      <c r="G637" s="14">
        <v>0</v>
      </c>
      <c r="H637" s="7">
        <v>0</v>
      </c>
      <c r="I637" s="14">
        <v>1E-3</v>
      </c>
      <c r="J637" s="7">
        <v>1</v>
      </c>
    </row>
    <row r="638" spans="1:10" x14ac:dyDescent="0.2">
      <c r="A638" s="9">
        <v>44895</v>
      </c>
      <c r="B638" s="4" t="s">
        <v>221</v>
      </c>
      <c r="C638" s="8">
        <v>44866</v>
      </c>
      <c r="D638" s="4" t="s">
        <v>183</v>
      </c>
      <c r="E638" s="14">
        <v>1E-3</v>
      </c>
      <c r="F638" s="7">
        <v>1</v>
      </c>
      <c r="G638" s="14">
        <v>0</v>
      </c>
      <c r="H638" s="7">
        <v>0</v>
      </c>
      <c r="I638" s="14">
        <v>1E-3</v>
      </c>
      <c r="J638" s="7">
        <v>1</v>
      </c>
    </row>
    <row r="639" spans="1:10" x14ac:dyDescent="0.2">
      <c r="A639" s="9">
        <v>44896</v>
      </c>
      <c r="B639" s="4" t="s">
        <v>224</v>
      </c>
      <c r="C639" s="8">
        <v>44896</v>
      </c>
      <c r="D639" s="4" t="s">
        <v>183</v>
      </c>
      <c r="E639" s="14">
        <v>1E-3</v>
      </c>
      <c r="F639" s="7">
        <v>1</v>
      </c>
      <c r="G639" s="14">
        <v>0</v>
      </c>
      <c r="H639" s="7">
        <v>0</v>
      </c>
      <c r="I639" s="14">
        <v>1E-3</v>
      </c>
      <c r="J639" s="7">
        <v>1</v>
      </c>
    </row>
    <row r="640" spans="1:10" x14ac:dyDescent="0.2">
      <c r="A640" s="9">
        <v>44897</v>
      </c>
      <c r="B640" s="4" t="s">
        <v>222</v>
      </c>
      <c r="C640" s="8">
        <v>44896</v>
      </c>
      <c r="D640" s="4" t="s">
        <v>183</v>
      </c>
      <c r="E640" s="14">
        <v>2E-3</v>
      </c>
      <c r="F640" s="7">
        <v>2</v>
      </c>
      <c r="G640" s="14">
        <v>0</v>
      </c>
      <c r="H640" s="7">
        <v>0</v>
      </c>
      <c r="I640" s="14">
        <v>2E-3</v>
      </c>
      <c r="J640" s="7">
        <v>2</v>
      </c>
    </row>
    <row r="641" spans="1:10" x14ac:dyDescent="0.2">
      <c r="A641" s="9">
        <v>44900</v>
      </c>
      <c r="B641" s="4" t="s">
        <v>225</v>
      </c>
      <c r="C641" s="8">
        <v>44896</v>
      </c>
      <c r="D641" s="4" t="s">
        <v>183</v>
      </c>
      <c r="E641" s="14">
        <v>1E-3</v>
      </c>
      <c r="F641" s="7">
        <v>1</v>
      </c>
      <c r="G641" s="14">
        <v>0</v>
      </c>
      <c r="H641" s="7">
        <v>0</v>
      </c>
      <c r="I641" s="14">
        <v>1E-3</v>
      </c>
      <c r="J641" s="7">
        <v>1</v>
      </c>
    </row>
    <row r="642" spans="1:10" x14ac:dyDescent="0.2">
      <c r="A642" s="9">
        <v>44901</v>
      </c>
      <c r="B642" s="4" t="s">
        <v>223</v>
      </c>
      <c r="C642" s="8">
        <v>44896</v>
      </c>
      <c r="D642" s="4" t="s">
        <v>183</v>
      </c>
      <c r="E642" s="14">
        <v>1E-3</v>
      </c>
      <c r="F642" s="7">
        <v>1</v>
      </c>
      <c r="G642" s="14">
        <v>0</v>
      </c>
      <c r="H642" s="7">
        <v>0</v>
      </c>
      <c r="I642" s="14">
        <v>1E-3</v>
      </c>
      <c r="J642" s="7">
        <v>1</v>
      </c>
    </row>
    <row r="643" spans="1:10" x14ac:dyDescent="0.2">
      <c r="A643" s="9">
        <v>44902</v>
      </c>
      <c r="B643" s="4" t="s">
        <v>221</v>
      </c>
      <c r="C643" s="8">
        <v>44896</v>
      </c>
      <c r="D643" s="4" t="s">
        <v>183</v>
      </c>
      <c r="E643" s="14">
        <v>1E-3</v>
      </c>
      <c r="F643" s="7">
        <v>1</v>
      </c>
      <c r="G643" s="14">
        <v>0</v>
      </c>
      <c r="H643" s="7">
        <v>0</v>
      </c>
      <c r="I643" s="14">
        <v>1E-3</v>
      </c>
      <c r="J643" s="7">
        <v>1</v>
      </c>
    </row>
    <row r="644" spans="1:10" x14ac:dyDescent="0.2">
      <c r="A644" s="9">
        <v>44903</v>
      </c>
      <c r="B644" s="4" t="s">
        <v>224</v>
      </c>
      <c r="C644" s="8">
        <v>44896</v>
      </c>
      <c r="D644" s="4" t="s">
        <v>183</v>
      </c>
      <c r="E644" s="14">
        <v>1E-3</v>
      </c>
      <c r="F644" s="7">
        <v>1</v>
      </c>
      <c r="G644" s="14">
        <v>0</v>
      </c>
      <c r="H644" s="7">
        <v>0</v>
      </c>
      <c r="I644" s="14">
        <v>1E-3</v>
      </c>
      <c r="J644" s="7">
        <v>1</v>
      </c>
    </row>
    <row r="645" spans="1:10" x14ac:dyDescent="0.2">
      <c r="A645" s="9">
        <v>44904</v>
      </c>
      <c r="B645" s="4" t="s">
        <v>222</v>
      </c>
      <c r="C645" s="8">
        <v>44896</v>
      </c>
      <c r="D645" s="4" t="s">
        <v>183</v>
      </c>
      <c r="E645" s="14">
        <v>2.8999999999999998E-3</v>
      </c>
      <c r="F645" s="7">
        <v>3</v>
      </c>
      <c r="G645" s="14">
        <v>0</v>
      </c>
      <c r="H645" s="7">
        <v>0</v>
      </c>
      <c r="I645" s="14">
        <v>2.8999999999999998E-3</v>
      </c>
      <c r="J645" s="7">
        <v>3</v>
      </c>
    </row>
    <row r="646" spans="1:10" x14ac:dyDescent="0.2">
      <c r="A646" s="9">
        <v>44907</v>
      </c>
      <c r="B646" s="4" t="s">
        <v>225</v>
      </c>
      <c r="C646" s="8">
        <v>44896</v>
      </c>
      <c r="D646" s="4" t="s">
        <v>183</v>
      </c>
      <c r="E646" s="14">
        <v>2E-3</v>
      </c>
      <c r="F646" s="7">
        <v>2</v>
      </c>
      <c r="G646" s="14">
        <v>0</v>
      </c>
      <c r="H646" s="7">
        <v>0</v>
      </c>
      <c r="I646" s="14">
        <v>2E-3</v>
      </c>
      <c r="J646" s="7">
        <v>2</v>
      </c>
    </row>
    <row r="647" spans="1:10" x14ac:dyDescent="0.2">
      <c r="A647" s="9">
        <v>44908</v>
      </c>
      <c r="B647" s="4" t="s">
        <v>223</v>
      </c>
      <c r="C647" s="8">
        <v>44896</v>
      </c>
      <c r="D647" s="4" t="s">
        <v>183</v>
      </c>
      <c r="E647" s="14">
        <v>1E-3</v>
      </c>
      <c r="F647" s="7">
        <v>1</v>
      </c>
      <c r="G647" s="14">
        <v>0</v>
      </c>
      <c r="H647" s="7">
        <v>0</v>
      </c>
      <c r="I647" s="14">
        <v>1E-3</v>
      </c>
      <c r="J647" s="7">
        <v>1</v>
      </c>
    </row>
    <row r="648" spans="1:10" x14ac:dyDescent="0.2">
      <c r="A648" s="9">
        <v>44909</v>
      </c>
      <c r="B648" s="4" t="s">
        <v>221</v>
      </c>
      <c r="C648" s="8">
        <v>44896</v>
      </c>
      <c r="D648" s="4" t="s">
        <v>183</v>
      </c>
      <c r="E648" s="14">
        <v>1E-3</v>
      </c>
      <c r="F648" s="7">
        <v>1</v>
      </c>
      <c r="G648" s="14">
        <v>0</v>
      </c>
      <c r="H648" s="7">
        <v>0</v>
      </c>
      <c r="I648" s="14">
        <v>1E-3</v>
      </c>
      <c r="J648" s="7">
        <v>1</v>
      </c>
    </row>
    <row r="649" spans="1:10" x14ac:dyDescent="0.2">
      <c r="A649" s="9">
        <v>44910</v>
      </c>
      <c r="B649" s="4" t="s">
        <v>224</v>
      </c>
      <c r="C649" s="8">
        <v>44896</v>
      </c>
      <c r="D649" s="4" t="s">
        <v>183</v>
      </c>
      <c r="E649" s="14">
        <v>2E-3</v>
      </c>
      <c r="F649" s="7">
        <v>2</v>
      </c>
      <c r="G649" s="14">
        <v>0</v>
      </c>
      <c r="H649" s="7">
        <v>0</v>
      </c>
      <c r="I649" s="14">
        <v>2E-3</v>
      </c>
      <c r="J649" s="7">
        <v>2</v>
      </c>
    </row>
    <row r="650" spans="1:10" x14ac:dyDescent="0.2">
      <c r="A650" s="9">
        <v>44911</v>
      </c>
      <c r="B650" s="4" t="s">
        <v>222</v>
      </c>
      <c r="C650" s="8">
        <v>44896</v>
      </c>
      <c r="D650" s="4" t="s">
        <v>183</v>
      </c>
      <c r="E650" s="14">
        <v>7.7000000000000002E-3</v>
      </c>
      <c r="F650" s="7">
        <v>8</v>
      </c>
      <c r="G650" s="14">
        <v>0</v>
      </c>
      <c r="H650" s="7">
        <v>0</v>
      </c>
      <c r="I650" s="14">
        <v>7.7000000000000002E-3</v>
      </c>
      <c r="J650" s="7">
        <v>8</v>
      </c>
    </row>
    <row r="651" spans="1:10" x14ac:dyDescent="0.2">
      <c r="A651" s="9">
        <v>44914</v>
      </c>
      <c r="B651" s="4" t="s">
        <v>225</v>
      </c>
      <c r="C651" s="8">
        <v>44896</v>
      </c>
      <c r="D651" s="4" t="s">
        <v>183</v>
      </c>
      <c r="E651" s="14">
        <v>4.7999999999999996E-3</v>
      </c>
      <c r="F651" s="7">
        <v>5</v>
      </c>
      <c r="G651" s="14">
        <v>0</v>
      </c>
      <c r="H651" s="7">
        <v>0</v>
      </c>
      <c r="I651" s="14">
        <v>4.7999999999999996E-3</v>
      </c>
      <c r="J651" s="7">
        <v>5</v>
      </c>
    </row>
    <row r="652" spans="1:10" x14ac:dyDescent="0.2">
      <c r="A652" s="9">
        <v>44915</v>
      </c>
      <c r="B652" s="4" t="s">
        <v>223</v>
      </c>
      <c r="C652" s="8">
        <v>44896</v>
      </c>
      <c r="D652" s="4" t="s">
        <v>183</v>
      </c>
      <c r="E652" s="14">
        <v>2.8999999999999998E-3</v>
      </c>
      <c r="F652" s="7">
        <v>3</v>
      </c>
      <c r="G652" s="14">
        <v>0</v>
      </c>
      <c r="H652" s="7">
        <v>0</v>
      </c>
      <c r="I652" s="14">
        <v>2.8999999999999998E-3</v>
      </c>
      <c r="J652" s="7">
        <v>3</v>
      </c>
    </row>
    <row r="653" spans="1:10" x14ac:dyDescent="0.2">
      <c r="A653" s="9">
        <v>44916</v>
      </c>
      <c r="B653" s="4" t="s">
        <v>221</v>
      </c>
      <c r="C653" s="8">
        <v>44896</v>
      </c>
      <c r="D653" s="4" t="s">
        <v>183</v>
      </c>
      <c r="E653" s="14">
        <v>2.8999999999999998E-3</v>
      </c>
      <c r="F653" s="7">
        <v>3</v>
      </c>
      <c r="G653" s="14">
        <v>0</v>
      </c>
      <c r="H653" s="7">
        <v>0</v>
      </c>
      <c r="I653" s="14">
        <v>2.8999999999999998E-3</v>
      </c>
      <c r="J653" s="7">
        <v>3</v>
      </c>
    </row>
    <row r="654" spans="1:10" x14ac:dyDescent="0.2">
      <c r="A654" s="9">
        <v>44917</v>
      </c>
      <c r="B654" s="4" t="s">
        <v>224</v>
      </c>
      <c r="C654" s="8">
        <v>44896</v>
      </c>
      <c r="D654" s="4" t="s">
        <v>183</v>
      </c>
      <c r="E654" s="14">
        <v>1.9E-3</v>
      </c>
      <c r="F654" s="7">
        <v>2</v>
      </c>
      <c r="G654" s="14">
        <v>0</v>
      </c>
      <c r="H654" s="7">
        <v>0</v>
      </c>
      <c r="I654" s="14">
        <v>1.9E-3</v>
      </c>
      <c r="J654" s="7">
        <v>2</v>
      </c>
    </row>
    <row r="655" spans="1:10" x14ac:dyDescent="0.2">
      <c r="A655" s="9">
        <v>44918</v>
      </c>
      <c r="B655" s="4" t="s">
        <v>222</v>
      </c>
      <c r="C655" s="8">
        <v>44896</v>
      </c>
      <c r="D655" s="4" t="s">
        <v>183</v>
      </c>
      <c r="E655" s="14">
        <v>2.8E-3</v>
      </c>
      <c r="F655" s="7">
        <v>3</v>
      </c>
      <c r="G655" s="14">
        <v>0</v>
      </c>
      <c r="H655" s="7">
        <v>0</v>
      </c>
      <c r="I655" s="14">
        <v>2.8E-3</v>
      </c>
      <c r="J655" s="7">
        <v>3</v>
      </c>
    </row>
    <row r="656" spans="1:10" x14ac:dyDescent="0.2">
      <c r="A656" s="9">
        <v>44921</v>
      </c>
      <c r="B656" s="4" t="s">
        <v>225</v>
      </c>
      <c r="C656" s="8">
        <v>44896</v>
      </c>
      <c r="D656" s="4" t="s">
        <v>183</v>
      </c>
      <c r="E656" s="14">
        <v>1.9E-3</v>
      </c>
      <c r="F656" s="7">
        <v>2</v>
      </c>
      <c r="G656" s="14">
        <v>0</v>
      </c>
      <c r="H656" s="7">
        <v>0</v>
      </c>
      <c r="I656" s="14">
        <v>1.9E-3</v>
      </c>
      <c r="J656" s="7">
        <v>2</v>
      </c>
    </row>
    <row r="657" spans="1:10" x14ac:dyDescent="0.2">
      <c r="A657" s="9">
        <v>44922</v>
      </c>
      <c r="B657" s="4" t="s">
        <v>223</v>
      </c>
      <c r="C657" s="8">
        <v>44896</v>
      </c>
      <c r="D657" s="4" t="s">
        <v>183</v>
      </c>
      <c r="E657" s="14">
        <v>2.8E-3</v>
      </c>
      <c r="F657" s="7">
        <v>3</v>
      </c>
      <c r="G657" s="14">
        <v>0</v>
      </c>
      <c r="H657" s="7">
        <v>0</v>
      </c>
      <c r="I657" s="14">
        <v>2.8E-3</v>
      </c>
      <c r="J657" s="7">
        <v>3</v>
      </c>
    </row>
    <row r="658" spans="1:10" x14ac:dyDescent="0.2">
      <c r="A658" s="9">
        <v>44923</v>
      </c>
      <c r="B658" s="4" t="s">
        <v>221</v>
      </c>
      <c r="C658" s="8">
        <v>44896</v>
      </c>
      <c r="D658" s="4" t="s">
        <v>183</v>
      </c>
      <c r="E658" s="14">
        <v>1E-3</v>
      </c>
      <c r="F658" s="7">
        <v>1</v>
      </c>
      <c r="G658" s="14">
        <v>0</v>
      </c>
      <c r="H658" s="7">
        <v>0</v>
      </c>
      <c r="I658" s="14">
        <v>1E-3</v>
      </c>
      <c r="J658" s="7">
        <v>1</v>
      </c>
    </row>
    <row r="659" spans="1:10" x14ac:dyDescent="0.2">
      <c r="A659" s="9">
        <v>44924</v>
      </c>
      <c r="B659" s="4" t="s">
        <v>224</v>
      </c>
      <c r="C659" s="8">
        <v>44896</v>
      </c>
      <c r="D659" s="4" t="s">
        <v>183</v>
      </c>
      <c r="E659" s="14">
        <v>1.7999999999999999E-2</v>
      </c>
      <c r="F659" s="7">
        <v>19</v>
      </c>
      <c r="G659" s="14">
        <v>0</v>
      </c>
      <c r="H659" s="7">
        <v>0</v>
      </c>
      <c r="I659" s="14">
        <v>1.7999999999999999E-2</v>
      </c>
      <c r="J659" s="7">
        <v>19</v>
      </c>
    </row>
    <row r="660" spans="1:10" x14ac:dyDescent="0.2">
      <c r="A660" s="9">
        <v>44925</v>
      </c>
      <c r="B660" s="4" t="s">
        <v>222</v>
      </c>
      <c r="C660" s="8">
        <v>44896</v>
      </c>
      <c r="D660" s="4" t="s">
        <v>183</v>
      </c>
      <c r="E660" s="14">
        <v>1.9E-3</v>
      </c>
      <c r="F660" s="7">
        <v>2</v>
      </c>
      <c r="G660" s="14">
        <v>0</v>
      </c>
      <c r="H660" s="7">
        <v>0</v>
      </c>
      <c r="I660" s="14">
        <v>1.9E-3</v>
      </c>
      <c r="J660" s="7">
        <v>2</v>
      </c>
    </row>
    <row r="661" spans="1:10" x14ac:dyDescent="0.2">
      <c r="A661" s="9">
        <v>44928</v>
      </c>
      <c r="B661" s="4" t="s">
        <v>225</v>
      </c>
      <c r="C661" s="8">
        <v>44927</v>
      </c>
      <c r="D661" s="4" t="s">
        <v>184</v>
      </c>
      <c r="E661" s="14">
        <v>1.9E-3</v>
      </c>
      <c r="F661" s="7">
        <v>2</v>
      </c>
      <c r="G661" s="14">
        <v>0</v>
      </c>
      <c r="H661" s="7">
        <v>0</v>
      </c>
      <c r="I661" s="14">
        <v>1.9E-3</v>
      </c>
      <c r="J661" s="7">
        <v>2</v>
      </c>
    </row>
    <row r="662" spans="1:10" x14ac:dyDescent="0.2">
      <c r="A662" s="9">
        <v>44929</v>
      </c>
      <c r="B662" s="4" t="s">
        <v>223</v>
      </c>
      <c r="C662" s="8">
        <v>44927</v>
      </c>
      <c r="D662" s="4" t="s">
        <v>184</v>
      </c>
      <c r="E662" s="14">
        <v>1.9E-3</v>
      </c>
      <c r="F662" s="7">
        <v>2</v>
      </c>
      <c r="G662" s="14">
        <v>0</v>
      </c>
      <c r="H662" s="7">
        <v>0</v>
      </c>
      <c r="I662" s="14">
        <v>1.9E-3</v>
      </c>
      <c r="J662" s="7">
        <v>2</v>
      </c>
    </row>
    <row r="663" spans="1:10" x14ac:dyDescent="0.2">
      <c r="A663" s="9">
        <v>44930</v>
      </c>
      <c r="B663" s="4" t="s">
        <v>221</v>
      </c>
      <c r="C663" s="8">
        <v>44927</v>
      </c>
      <c r="D663" s="4" t="s">
        <v>184</v>
      </c>
      <c r="E663" s="14">
        <v>1.9E-3</v>
      </c>
      <c r="F663" s="7">
        <v>2</v>
      </c>
      <c r="G663" s="14">
        <v>0</v>
      </c>
      <c r="H663" s="7">
        <v>0</v>
      </c>
      <c r="I663" s="14">
        <v>1.9E-3</v>
      </c>
      <c r="J663" s="7">
        <v>2</v>
      </c>
    </row>
    <row r="664" spans="1:10" x14ac:dyDescent="0.2">
      <c r="A664" s="9">
        <v>44931</v>
      </c>
      <c r="B664" s="4" t="s">
        <v>224</v>
      </c>
      <c r="C664" s="8">
        <v>44927</v>
      </c>
      <c r="D664" s="4" t="s">
        <v>184</v>
      </c>
      <c r="E664" s="14">
        <v>2.8999999999999998E-3</v>
      </c>
      <c r="F664" s="7">
        <v>3</v>
      </c>
      <c r="G664" s="14">
        <v>0</v>
      </c>
      <c r="H664" s="7">
        <v>0</v>
      </c>
      <c r="I664" s="14">
        <v>2.8999999999999998E-3</v>
      </c>
      <c r="J664" s="7">
        <v>3</v>
      </c>
    </row>
    <row r="665" spans="1:10" x14ac:dyDescent="0.2">
      <c r="A665" s="9">
        <v>44932</v>
      </c>
      <c r="B665" s="4" t="s">
        <v>222</v>
      </c>
      <c r="C665" s="8">
        <v>44927</v>
      </c>
      <c r="D665" s="4" t="s">
        <v>184</v>
      </c>
      <c r="E665" s="14">
        <v>1.9E-3</v>
      </c>
      <c r="F665" s="7">
        <v>2</v>
      </c>
      <c r="G665" s="14">
        <v>0</v>
      </c>
      <c r="H665" s="7">
        <v>0</v>
      </c>
      <c r="I665" s="14">
        <v>1.9E-3</v>
      </c>
      <c r="J665" s="7">
        <v>2</v>
      </c>
    </row>
    <row r="666" spans="1:10" x14ac:dyDescent="0.2">
      <c r="A666" s="9">
        <v>44935</v>
      </c>
      <c r="B666" s="4" t="s">
        <v>225</v>
      </c>
      <c r="C666" s="8">
        <v>44927</v>
      </c>
      <c r="D666" s="4" t="s">
        <v>184</v>
      </c>
      <c r="E666" s="14">
        <v>1.9E-3</v>
      </c>
      <c r="F666" s="7">
        <v>2</v>
      </c>
      <c r="G666" s="14">
        <v>0</v>
      </c>
      <c r="H666" s="7">
        <v>0</v>
      </c>
      <c r="I666" s="14">
        <v>1.9E-3</v>
      </c>
      <c r="J666" s="7">
        <v>2</v>
      </c>
    </row>
    <row r="667" spans="1:10" x14ac:dyDescent="0.2">
      <c r="A667" s="9">
        <v>44936</v>
      </c>
      <c r="B667" s="4" t="s">
        <v>223</v>
      </c>
      <c r="C667" s="8">
        <v>44927</v>
      </c>
      <c r="D667" s="4" t="s">
        <v>184</v>
      </c>
      <c r="E667" s="14">
        <v>2.8E-3</v>
      </c>
      <c r="F667" s="7">
        <v>3</v>
      </c>
      <c r="G667" s="14">
        <v>0</v>
      </c>
      <c r="H667" s="7">
        <v>0</v>
      </c>
      <c r="I667" s="14">
        <v>2.8E-3</v>
      </c>
      <c r="J667" s="7">
        <v>3</v>
      </c>
    </row>
    <row r="668" spans="1:10" x14ac:dyDescent="0.2">
      <c r="A668" s="9">
        <v>44937</v>
      </c>
      <c r="B668" s="4" t="s">
        <v>221</v>
      </c>
      <c r="C668" s="8">
        <v>44927</v>
      </c>
      <c r="D668" s="4" t="s">
        <v>184</v>
      </c>
      <c r="E668" s="14">
        <v>1.9E-3</v>
      </c>
      <c r="F668" s="7">
        <v>2</v>
      </c>
      <c r="G668" s="14">
        <v>0</v>
      </c>
      <c r="H668" s="7">
        <v>0</v>
      </c>
      <c r="I668" s="14">
        <v>1.9E-3</v>
      </c>
      <c r="J668" s="7">
        <v>2</v>
      </c>
    </row>
    <row r="669" spans="1:10" x14ac:dyDescent="0.2">
      <c r="A669" s="9">
        <v>44938</v>
      </c>
      <c r="B669" s="4" t="s">
        <v>224</v>
      </c>
      <c r="C669" s="8">
        <v>44927</v>
      </c>
      <c r="D669" s="4" t="s">
        <v>184</v>
      </c>
      <c r="E669" s="14">
        <v>1.9E-3</v>
      </c>
      <c r="F669" s="7">
        <v>2</v>
      </c>
      <c r="G669" s="14">
        <v>0</v>
      </c>
      <c r="H669" s="7">
        <v>0</v>
      </c>
      <c r="I669" s="14">
        <v>1.9E-3</v>
      </c>
      <c r="J669" s="7">
        <v>2</v>
      </c>
    </row>
    <row r="670" spans="1:10" x14ac:dyDescent="0.2">
      <c r="A670" s="9">
        <v>44939</v>
      </c>
      <c r="B670" s="4" t="s">
        <v>222</v>
      </c>
      <c r="C670" s="8">
        <v>44927</v>
      </c>
      <c r="D670" s="4" t="s">
        <v>184</v>
      </c>
      <c r="E670" s="14">
        <v>2.8E-3</v>
      </c>
      <c r="F670" s="7">
        <v>3</v>
      </c>
      <c r="G670" s="14">
        <v>0</v>
      </c>
      <c r="H670" s="7">
        <v>0</v>
      </c>
      <c r="I670" s="14">
        <v>2.8E-3</v>
      </c>
      <c r="J670" s="7">
        <v>3</v>
      </c>
    </row>
    <row r="671" spans="1:10" x14ac:dyDescent="0.2">
      <c r="A671" s="9">
        <v>44942</v>
      </c>
      <c r="B671" s="4" t="s">
        <v>225</v>
      </c>
      <c r="C671" s="8">
        <v>44927</v>
      </c>
      <c r="D671" s="4" t="s">
        <v>184</v>
      </c>
      <c r="E671" s="14">
        <v>2.8E-3</v>
      </c>
      <c r="F671" s="7">
        <v>3</v>
      </c>
      <c r="G671" s="14">
        <v>0</v>
      </c>
      <c r="H671" s="7">
        <v>0</v>
      </c>
      <c r="I671" s="14">
        <v>2.8E-3</v>
      </c>
      <c r="J671" s="7">
        <v>3</v>
      </c>
    </row>
    <row r="672" spans="1:10" x14ac:dyDescent="0.2">
      <c r="A672" s="9">
        <v>44943</v>
      </c>
      <c r="B672" s="4" t="s">
        <v>223</v>
      </c>
      <c r="C672" s="8">
        <v>44927</v>
      </c>
      <c r="D672" s="4" t="s">
        <v>184</v>
      </c>
      <c r="E672" s="14">
        <v>2.8E-3</v>
      </c>
      <c r="F672" s="7">
        <v>3</v>
      </c>
      <c r="G672" s="14">
        <v>0</v>
      </c>
      <c r="H672" s="7">
        <v>0</v>
      </c>
      <c r="I672" s="14">
        <v>2.8E-3</v>
      </c>
      <c r="J672" s="7">
        <v>3</v>
      </c>
    </row>
    <row r="673" spans="1:10" x14ac:dyDescent="0.2">
      <c r="A673" s="9">
        <v>44944</v>
      </c>
      <c r="B673" s="4" t="s">
        <v>221</v>
      </c>
      <c r="C673" s="8">
        <v>44927</v>
      </c>
      <c r="D673" s="4" t="s">
        <v>184</v>
      </c>
      <c r="E673" s="14">
        <v>2.8999999999999998E-3</v>
      </c>
      <c r="F673" s="7">
        <v>3</v>
      </c>
      <c r="G673" s="14">
        <v>0</v>
      </c>
      <c r="H673" s="7">
        <v>0</v>
      </c>
      <c r="I673" s="14">
        <v>2.8999999999999998E-3</v>
      </c>
      <c r="J673" s="7">
        <v>3</v>
      </c>
    </row>
    <row r="674" spans="1:10" x14ac:dyDescent="0.2">
      <c r="A674" s="9">
        <v>44945</v>
      </c>
      <c r="B674" s="4" t="s">
        <v>224</v>
      </c>
      <c r="C674" s="8">
        <v>44927</v>
      </c>
      <c r="D674" s="4" t="s">
        <v>184</v>
      </c>
      <c r="E674" s="14">
        <v>1E-3</v>
      </c>
      <c r="F674" s="7">
        <v>1</v>
      </c>
      <c r="G674" s="14">
        <v>0</v>
      </c>
      <c r="H674" s="7">
        <v>0</v>
      </c>
      <c r="I674" s="14">
        <v>1E-3</v>
      </c>
      <c r="J674" s="7">
        <v>1</v>
      </c>
    </row>
    <row r="675" spans="1:10" x14ac:dyDescent="0.2">
      <c r="A675" s="9">
        <v>44946</v>
      </c>
      <c r="B675" s="4" t="s">
        <v>222</v>
      </c>
      <c r="C675" s="8">
        <v>44927</v>
      </c>
      <c r="D675" s="4" t="s">
        <v>184</v>
      </c>
      <c r="E675" s="14">
        <v>1E-3</v>
      </c>
      <c r="F675" s="7">
        <v>1</v>
      </c>
      <c r="G675" s="14">
        <v>0</v>
      </c>
      <c r="H675" s="7">
        <v>0</v>
      </c>
      <c r="I675" s="14">
        <v>1E-3</v>
      </c>
      <c r="J675" s="7">
        <v>1</v>
      </c>
    </row>
    <row r="676" spans="1:10" x14ac:dyDescent="0.2">
      <c r="A676" s="9">
        <v>44949</v>
      </c>
      <c r="B676" s="4" t="s">
        <v>225</v>
      </c>
      <c r="C676" s="8">
        <v>44927</v>
      </c>
      <c r="D676" s="4" t="s">
        <v>184</v>
      </c>
      <c r="E676" s="14">
        <v>1E-3</v>
      </c>
      <c r="F676" s="7">
        <v>1</v>
      </c>
      <c r="G676" s="14">
        <v>0</v>
      </c>
      <c r="H676" s="7">
        <v>0</v>
      </c>
      <c r="I676" s="14">
        <v>1E-3</v>
      </c>
      <c r="J676" s="7">
        <v>1</v>
      </c>
    </row>
    <row r="677" spans="1:10" x14ac:dyDescent="0.2">
      <c r="A677" s="9">
        <v>44950</v>
      </c>
      <c r="B677" s="4" t="s">
        <v>223</v>
      </c>
      <c r="C677" s="8">
        <v>44927</v>
      </c>
      <c r="D677" s="4" t="s">
        <v>184</v>
      </c>
      <c r="E677" s="14">
        <v>1.9E-3</v>
      </c>
      <c r="F677" s="7">
        <v>2</v>
      </c>
      <c r="G677" s="14">
        <v>0</v>
      </c>
      <c r="H677" s="7">
        <v>0</v>
      </c>
      <c r="I677" s="14">
        <v>1.9E-3</v>
      </c>
      <c r="J677" s="7">
        <v>2</v>
      </c>
    </row>
    <row r="678" spans="1:10" x14ac:dyDescent="0.2">
      <c r="A678" s="9">
        <v>44951</v>
      </c>
      <c r="B678" s="4" t="s">
        <v>221</v>
      </c>
      <c r="C678" s="8">
        <v>44927</v>
      </c>
      <c r="D678" s="4" t="s">
        <v>184</v>
      </c>
      <c r="E678" s="14">
        <v>4.7000000000000002E-3</v>
      </c>
      <c r="F678" s="7">
        <v>5</v>
      </c>
      <c r="G678" s="14">
        <v>0</v>
      </c>
      <c r="H678" s="7">
        <v>0</v>
      </c>
      <c r="I678" s="14">
        <v>4.7000000000000002E-3</v>
      </c>
      <c r="J678" s="7">
        <v>5</v>
      </c>
    </row>
    <row r="679" spans="1:10" x14ac:dyDescent="0.2">
      <c r="A679" s="9">
        <v>44953</v>
      </c>
      <c r="B679" s="4" t="s">
        <v>222</v>
      </c>
      <c r="C679" s="8">
        <v>44927</v>
      </c>
      <c r="D679" s="4" t="s">
        <v>184</v>
      </c>
      <c r="E679" s="14">
        <v>2.8E-3</v>
      </c>
      <c r="F679" s="7">
        <v>3</v>
      </c>
      <c r="G679" s="14">
        <v>0</v>
      </c>
      <c r="H679" s="7">
        <v>0</v>
      </c>
      <c r="I679" s="14">
        <v>2.8E-3</v>
      </c>
      <c r="J679" s="7">
        <v>3</v>
      </c>
    </row>
    <row r="680" spans="1:10" x14ac:dyDescent="0.2">
      <c r="A680" s="9">
        <v>44956</v>
      </c>
      <c r="B680" s="4" t="s">
        <v>225</v>
      </c>
      <c r="C680" s="8">
        <v>44927</v>
      </c>
      <c r="D680" s="4" t="s">
        <v>184</v>
      </c>
      <c r="E680" s="14">
        <v>3.7000000000000002E-3</v>
      </c>
      <c r="F680" s="7">
        <v>4</v>
      </c>
      <c r="G680" s="14">
        <v>0</v>
      </c>
      <c r="H680" s="7">
        <v>0</v>
      </c>
      <c r="I680" s="14">
        <v>3.7000000000000002E-3</v>
      </c>
      <c r="J680" s="7">
        <v>4</v>
      </c>
    </row>
    <row r="681" spans="1:10" x14ac:dyDescent="0.2">
      <c r="A681" s="9">
        <v>44957</v>
      </c>
      <c r="B681" s="4" t="s">
        <v>223</v>
      </c>
      <c r="C681" s="8">
        <v>44927</v>
      </c>
      <c r="D681" s="4" t="s">
        <v>184</v>
      </c>
      <c r="E681" s="14">
        <v>1.9E-3</v>
      </c>
      <c r="F681" s="7">
        <v>2</v>
      </c>
      <c r="G681" s="14">
        <v>0</v>
      </c>
      <c r="H681" s="7">
        <v>0</v>
      </c>
      <c r="I681" s="14">
        <v>1.9E-3</v>
      </c>
      <c r="J681" s="7">
        <v>2</v>
      </c>
    </row>
    <row r="682" spans="1:10" x14ac:dyDescent="0.2">
      <c r="A682" s="9">
        <v>44958</v>
      </c>
      <c r="B682" s="4" t="s">
        <v>221</v>
      </c>
      <c r="C682" s="8">
        <v>44958</v>
      </c>
      <c r="D682" s="4" t="s">
        <v>184</v>
      </c>
      <c r="E682" s="14">
        <v>8.9999999999999998E-4</v>
      </c>
      <c r="F682" s="7">
        <v>1</v>
      </c>
      <c r="G682" s="14">
        <v>0</v>
      </c>
      <c r="H682" s="7">
        <v>0</v>
      </c>
      <c r="I682" s="14">
        <v>8.9999999999999998E-4</v>
      </c>
      <c r="J682" s="7">
        <v>1</v>
      </c>
    </row>
    <row r="683" spans="1:10" x14ac:dyDescent="0.2">
      <c r="A683" s="9">
        <v>44959</v>
      </c>
      <c r="B683" s="4" t="s">
        <v>224</v>
      </c>
      <c r="C683" s="8">
        <v>44958</v>
      </c>
      <c r="D683" s="4" t="s">
        <v>184</v>
      </c>
      <c r="E683" s="14">
        <v>3.7000000000000002E-3</v>
      </c>
      <c r="F683" s="7">
        <v>4</v>
      </c>
      <c r="G683" s="14">
        <v>0</v>
      </c>
      <c r="H683" s="7">
        <v>0</v>
      </c>
      <c r="I683" s="14">
        <v>3.7000000000000002E-3</v>
      </c>
      <c r="J683" s="7">
        <v>4</v>
      </c>
    </row>
    <row r="684" spans="1:10" x14ac:dyDescent="0.2">
      <c r="A684" s="9">
        <v>44960</v>
      </c>
      <c r="B684" s="4" t="s">
        <v>222</v>
      </c>
      <c r="C684" s="8">
        <v>44958</v>
      </c>
      <c r="D684" s="4" t="s">
        <v>184</v>
      </c>
      <c r="E684" s="14">
        <v>4.7000000000000002E-3</v>
      </c>
      <c r="F684" s="7">
        <v>5</v>
      </c>
      <c r="G684" s="14">
        <v>0</v>
      </c>
      <c r="H684" s="7">
        <v>0</v>
      </c>
      <c r="I684" s="14">
        <v>4.7000000000000002E-3</v>
      </c>
      <c r="J684" s="7">
        <v>5</v>
      </c>
    </row>
    <row r="685" spans="1:10" x14ac:dyDescent="0.2">
      <c r="A685" s="9">
        <v>44963</v>
      </c>
      <c r="B685" s="4" t="s">
        <v>225</v>
      </c>
      <c r="C685" s="8">
        <v>44958</v>
      </c>
      <c r="D685" s="4" t="s">
        <v>184</v>
      </c>
      <c r="E685" s="14">
        <v>1.9E-3</v>
      </c>
      <c r="F685" s="7">
        <v>2</v>
      </c>
      <c r="G685" s="14">
        <v>0</v>
      </c>
      <c r="H685" s="7">
        <v>0</v>
      </c>
      <c r="I685" s="14">
        <v>1.9E-3</v>
      </c>
      <c r="J685" s="7">
        <v>2</v>
      </c>
    </row>
    <row r="686" spans="1:10" x14ac:dyDescent="0.2">
      <c r="A686" s="9">
        <v>44964</v>
      </c>
      <c r="B686" s="4" t="s">
        <v>223</v>
      </c>
      <c r="C686" s="8">
        <v>44958</v>
      </c>
      <c r="D686" s="4" t="s">
        <v>184</v>
      </c>
      <c r="E686" s="14">
        <v>1.9E-3</v>
      </c>
      <c r="F686" s="7">
        <v>2</v>
      </c>
      <c r="G686" s="14">
        <v>0</v>
      </c>
      <c r="H686" s="7">
        <v>0</v>
      </c>
      <c r="I686" s="14">
        <v>1.9E-3</v>
      </c>
      <c r="J686" s="7">
        <v>2</v>
      </c>
    </row>
    <row r="687" spans="1:10" x14ac:dyDescent="0.2">
      <c r="A687" s="9">
        <v>44965</v>
      </c>
      <c r="B687" s="4" t="s">
        <v>221</v>
      </c>
      <c r="C687" s="8">
        <v>44958</v>
      </c>
      <c r="D687" s="4" t="s">
        <v>184</v>
      </c>
      <c r="E687" s="14">
        <v>1.9E-3</v>
      </c>
      <c r="F687" s="7">
        <v>2</v>
      </c>
      <c r="G687" s="14">
        <v>0</v>
      </c>
      <c r="H687" s="7">
        <v>0</v>
      </c>
      <c r="I687" s="14">
        <v>1.9E-3</v>
      </c>
      <c r="J687" s="7">
        <v>2</v>
      </c>
    </row>
    <row r="688" spans="1:10" x14ac:dyDescent="0.2">
      <c r="A688" s="9">
        <v>44966</v>
      </c>
      <c r="B688" s="4" t="s">
        <v>224</v>
      </c>
      <c r="C688" s="8">
        <v>44958</v>
      </c>
      <c r="D688" s="4" t="s">
        <v>184</v>
      </c>
      <c r="E688" s="14">
        <v>1.9E-3</v>
      </c>
      <c r="F688" s="7">
        <v>2</v>
      </c>
      <c r="G688" s="14">
        <v>0</v>
      </c>
      <c r="H688" s="7">
        <v>0</v>
      </c>
      <c r="I688" s="14">
        <v>1.9E-3</v>
      </c>
      <c r="J688" s="7">
        <v>2</v>
      </c>
    </row>
    <row r="689" spans="1:10" x14ac:dyDescent="0.2">
      <c r="A689" s="9">
        <v>44967</v>
      </c>
      <c r="B689" s="4" t="s">
        <v>222</v>
      </c>
      <c r="C689" s="8">
        <v>44958</v>
      </c>
      <c r="D689" s="4" t="s">
        <v>184</v>
      </c>
      <c r="E689" s="14">
        <v>8.9999999999999998E-4</v>
      </c>
      <c r="F689" s="7">
        <v>1</v>
      </c>
      <c r="G689" s="14">
        <v>0</v>
      </c>
      <c r="H689" s="7">
        <v>0</v>
      </c>
      <c r="I689" s="14">
        <v>8.9999999999999998E-4</v>
      </c>
      <c r="J689" s="7">
        <v>1</v>
      </c>
    </row>
    <row r="690" spans="1:10" x14ac:dyDescent="0.2">
      <c r="A690" s="9">
        <v>44970</v>
      </c>
      <c r="B690" s="4" t="s">
        <v>225</v>
      </c>
      <c r="C690" s="8">
        <v>44958</v>
      </c>
      <c r="D690" s="4" t="s">
        <v>184</v>
      </c>
      <c r="E690" s="14">
        <v>1.9E-3</v>
      </c>
      <c r="F690" s="7">
        <v>2</v>
      </c>
      <c r="G690" s="14">
        <v>0</v>
      </c>
      <c r="H690" s="7">
        <v>0</v>
      </c>
      <c r="I690" s="14">
        <v>1.9E-3</v>
      </c>
      <c r="J690" s="7">
        <v>2</v>
      </c>
    </row>
    <row r="691" spans="1:10" x14ac:dyDescent="0.2">
      <c r="A691" s="9">
        <v>44971</v>
      </c>
      <c r="B691" s="4" t="s">
        <v>223</v>
      </c>
      <c r="C691" s="8">
        <v>44958</v>
      </c>
      <c r="D691" s="4" t="s">
        <v>184</v>
      </c>
      <c r="E691" s="14">
        <v>1.9E-3</v>
      </c>
      <c r="F691" s="7">
        <v>2</v>
      </c>
      <c r="G691" s="14">
        <v>0</v>
      </c>
      <c r="H691" s="7">
        <v>0</v>
      </c>
      <c r="I691" s="14">
        <v>1.9E-3</v>
      </c>
      <c r="J691" s="7">
        <v>2</v>
      </c>
    </row>
    <row r="692" spans="1:10" x14ac:dyDescent="0.2">
      <c r="A692" s="9">
        <v>44972</v>
      </c>
      <c r="B692" s="4" t="s">
        <v>221</v>
      </c>
      <c r="C692" s="8">
        <v>44958</v>
      </c>
      <c r="D692" s="4" t="s">
        <v>184</v>
      </c>
      <c r="E692" s="14">
        <v>1.9E-3</v>
      </c>
      <c r="F692" s="7">
        <v>2</v>
      </c>
      <c r="G692" s="14">
        <v>0</v>
      </c>
      <c r="H692" s="7">
        <v>0</v>
      </c>
      <c r="I692" s="14">
        <v>1.9E-3</v>
      </c>
      <c r="J692" s="7">
        <v>2</v>
      </c>
    </row>
    <row r="693" spans="1:10" x14ac:dyDescent="0.2">
      <c r="A693" s="9">
        <v>44973</v>
      </c>
      <c r="B693" s="4" t="s">
        <v>224</v>
      </c>
      <c r="C693" s="8">
        <v>44958</v>
      </c>
      <c r="D693" s="4" t="s">
        <v>184</v>
      </c>
      <c r="E693" s="14">
        <v>1E-3</v>
      </c>
      <c r="F693" s="7">
        <v>1</v>
      </c>
      <c r="G693" s="14">
        <v>0</v>
      </c>
      <c r="H693" s="7">
        <v>0</v>
      </c>
      <c r="I693" s="14">
        <v>1E-3</v>
      </c>
      <c r="J693" s="7">
        <v>1</v>
      </c>
    </row>
    <row r="694" spans="1:10" x14ac:dyDescent="0.2">
      <c r="A694" s="9">
        <v>44974</v>
      </c>
      <c r="B694" s="4" t="s">
        <v>222</v>
      </c>
      <c r="C694" s="8">
        <v>44958</v>
      </c>
      <c r="D694" s="4" t="s">
        <v>184</v>
      </c>
      <c r="E694" s="14">
        <v>8.9999999999999998E-4</v>
      </c>
      <c r="F694" s="7">
        <v>1</v>
      </c>
      <c r="G694" s="14">
        <v>0</v>
      </c>
      <c r="H694" s="7">
        <v>0</v>
      </c>
      <c r="I694" s="14">
        <v>8.9999999999999998E-4</v>
      </c>
      <c r="J694" s="7">
        <v>1</v>
      </c>
    </row>
    <row r="695" spans="1:10" x14ac:dyDescent="0.2">
      <c r="A695" s="9">
        <v>44977</v>
      </c>
      <c r="B695" s="4" t="s">
        <v>225</v>
      </c>
      <c r="C695" s="8">
        <v>44958</v>
      </c>
      <c r="D695" s="4" t="s">
        <v>184</v>
      </c>
      <c r="E695" s="14">
        <v>1.9E-3</v>
      </c>
      <c r="F695" s="7">
        <v>2</v>
      </c>
      <c r="G695" s="14">
        <v>0</v>
      </c>
      <c r="H695" s="7">
        <v>0</v>
      </c>
      <c r="I695" s="14">
        <v>1.9E-3</v>
      </c>
      <c r="J695" s="7">
        <v>2</v>
      </c>
    </row>
    <row r="696" spans="1:10" x14ac:dyDescent="0.2">
      <c r="A696" s="9">
        <v>44978</v>
      </c>
      <c r="B696" s="4" t="s">
        <v>223</v>
      </c>
      <c r="C696" s="8">
        <v>44958</v>
      </c>
      <c r="D696" s="4" t="s">
        <v>184</v>
      </c>
      <c r="E696" s="14">
        <v>8.9999999999999998E-4</v>
      </c>
      <c r="F696" s="7">
        <v>1</v>
      </c>
      <c r="G696" s="14">
        <v>0</v>
      </c>
      <c r="H696" s="7">
        <v>0</v>
      </c>
      <c r="I696" s="14">
        <v>8.9999999999999998E-4</v>
      </c>
      <c r="J696" s="7">
        <v>1</v>
      </c>
    </row>
    <row r="697" spans="1:10" x14ac:dyDescent="0.2">
      <c r="A697" s="9">
        <v>44979</v>
      </c>
      <c r="B697" s="4" t="s">
        <v>221</v>
      </c>
      <c r="C697" s="8">
        <v>44958</v>
      </c>
      <c r="D697" s="4" t="s">
        <v>184</v>
      </c>
      <c r="E697" s="14">
        <v>2.8E-3</v>
      </c>
      <c r="F697" s="7">
        <v>3</v>
      </c>
      <c r="G697" s="14">
        <v>0</v>
      </c>
      <c r="H697" s="7">
        <v>0</v>
      </c>
      <c r="I697" s="14">
        <v>2.8E-3</v>
      </c>
      <c r="J697" s="7">
        <v>3</v>
      </c>
    </row>
    <row r="698" spans="1:10" x14ac:dyDescent="0.2">
      <c r="A698" s="9">
        <v>44980</v>
      </c>
      <c r="B698" s="4" t="s">
        <v>224</v>
      </c>
      <c r="C698" s="8">
        <v>44958</v>
      </c>
      <c r="D698" s="4" t="s">
        <v>184</v>
      </c>
      <c r="E698" s="14">
        <v>1.8E-3</v>
      </c>
      <c r="F698" s="7">
        <v>2</v>
      </c>
      <c r="G698" s="14">
        <v>0</v>
      </c>
      <c r="H698" s="7">
        <v>0</v>
      </c>
      <c r="I698" s="14">
        <v>1.8E-3</v>
      </c>
      <c r="J698" s="7">
        <v>2</v>
      </c>
    </row>
    <row r="699" spans="1:10" x14ac:dyDescent="0.2">
      <c r="A699" s="9">
        <v>44981</v>
      </c>
      <c r="B699" s="4" t="s">
        <v>222</v>
      </c>
      <c r="C699" s="8">
        <v>44958</v>
      </c>
      <c r="D699" s="4" t="s">
        <v>184</v>
      </c>
      <c r="E699" s="14">
        <v>1.9E-3</v>
      </c>
      <c r="F699" s="7">
        <v>2</v>
      </c>
      <c r="G699" s="14">
        <v>0</v>
      </c>
      <c r="H699" s="7">
        <v>0</v>
      </c>
      <c r="I699" s="14">
        <v>1.9E-3</v>
      </c>
      <c r="J699" s="7">
        <v>2</v>
      </c>
    </row>
    <row r="700" spans="1:10" x14ac:dyDescent="0.2">
      <c r="A700" s="9">
        <v>44984</v>
      </c>
      <c r="B700" s="4" t="s">
        <v>225</v>
      </c>
      <c r="C700" s="8">
        <v>44958</v>
      </c>
      <c r="D700" s="4" t="s">
        <v>184</v>
      </c>
      <c r="E700" s="14">
        <v>8.9999999999999998E-4</v>
      </c>
      <c r="F700" s="7">
        <v>1</v>
      </c>
      <c r="G700" s="14">
        <v>0</v>
      </c>
      <c r="H700" s="7">
        <v>0</v>
      </c>
      <c r="I700" s="14">
        <v>8.9999999999999998E-4</v>
      </c>
      <c r="J700" s="7">
        <v>1</v>
      </c>
    </row>
    <row r="701" spans="1:10" x14ac:dyDescent="0.2">
      <c r="A701" s="9">
        <v>44985</v>
      </c>
      <c r="B701" s="4" t="s">
        <v>223</v>
      </c>
      <c r="C701" s="8">
        <v>44958</v>
      </c>
      <c r="D701" s="4" t="s">
        <v>184</v>
      </c>
      <c r="E701" s="14">
        <v>1.8E-3</v>
      </c>
      <c r="F701" s="7">
        <v>2</v>
      </c>
      <c r="G701" s="14">
        <v>0</v>
      </c>
      <c r="H701" s="7">
        <v>0</v>
      </c>
      <c r="I701" s="14">
        <v>1.8E-3</v>
      </c>
      <c r="J701" s="7">
        <v>2</v>
      </c>
    </row>
    <row r="702" spans="1:10" x14ac:dyDescent="0.2">
      <c r="A702" s="9">
        <v>44986</v>
      </c>
      <c r="B702" s="4" t="s">
        <v>221</v>
      </c>
      <c r="C702" s="8">
        <v>44986</v>
      </c>
      <c r="D702" s="4" t="s">
        <v>184</v>
      </c>
      <c r="E702" s="14">
        <v>8.9999999999999998E-4</v>
      </c>
      <c r="F702" s="7">
        <v>1</v>
      </c>
      <c r="G702" s="14">
        <v>0</v>
      </c>
      <c r="H702" s="7">
        <v>0</v>
      </c>
      <c r="I702" s="14">
        <v>8.9999999999999998E-4</v>
      </c>
      <c r="J702" s="7">
        <v>1</v>
      </c>
    </row>
    <row r="703" spans="1:10" x14ac:dyDescent="0.2">
      <c r="A703" s="9">
        <v>44987</v>
      </c>
      <c r="B703" s="4" t="s">
        <v>224</v>
      </c>
      <c r="C703" s="8">
        <v>44986</v>
      </c>
      <c r="D703" s="4" t="s">
        <v>184</v>
      </c>
      <c r="E703" s="14">
        <v>1.8E-3</v>
      </c>
      <c r="F703" s="7">
        <v>2</v>
      </c>
      <c r="G703" s="14">
        <v>0</v>
      </c>
      <c r="H703" s="7">
        <v>0</v>
      </c>
      <c r="I703" s="14">
        <v>1.8E-3</v>
      </c>
      <c r="J703" s="7">
        <v>2</v>
      </c>
    </row>
    <row r="704" spans="1:10" x14ac:dyDescent="0.2">
      <c r="A704" s="9">
        <v>44988</v>
      </c>
      <c r="B704" s="4" t="s">
        <v>222</v>
      </c>
      <c r="C704" s="8">
        <v>44986</v>
      </c>
      <c r="D704" s="4" t="s">
        <v>184</v>
      </c>
      <c r="E704" s="14">
        <v>0</v>
      </c>
      <c r="F704" s="7">
        <v>0</v>
      </c>
      <c r="G704" s="14">
        <v>0</v>
      </c>
      <c r="H704" s="7">
        <v>0</v>
      </c>
      <c r="I704" s="14">
        <v>0</v>
      </c>
      <c r="J704" s="7">
        <v>0</v>
      </c>
    </row>
    <row r="705" spans="1:10" x14ac:dyDescent="0.2">
      <c r="A705" s="9">
        <v>44991</v>
      </c>
      <c r="B705" s="4" t="s">
        <v>225</v>
      </c>
      <c r="C705" s="8">
        <v>44986</v>
      </c>
      <c r="D705" s="4" t="s">
        <v>184</v>
      </c>
      <c r="E705" s="14">
        <v>8.9999999999999998E-4</v>
      </c>
      <c r="F705" s="7">
        <v>1</v>
      </c>
      <c r="G705" s="14">
        <v>0</v>
      </c>
      <c r="H705" s="7">
        <v>0</v>
      </c>
      <c r="I705" s="14">
        <v>8.9999999999999998E-4</v>
      </c>
      <c r="J705" s="7">
        <v>1</v>
      </c>
    </row>
    <row r="706" spans="1:10" x14ac:dyDescent="0.2">
      <c r="A706" s="9">
        <v>44993</v>
      </c>
      <c r="B706" s="4" t="s">
        <v>221</v>
      </c>
      <c r="C706" s="8">
        <v>44986</v>
      </c>
      <c r="D706" s="4" t="s">
        <v>184</v>
      </c>
      <c r="E706" s="14">
        <v>8.9999999999999998E-4</v>
      </c>
      <c r="F706" s="7">
        <v>1</v>
      </c>
      <c r="G706" s="14">
        <v>0</v>
      </c>
      <c r="H706" s="7">
        <v>0</v>
      </c>
      <c r="I706" s="14">
        <v>8.9999999999999998E-4</v>
      </c>
      <c r="J706" s="7">
        <v>1</v>
      </c>
    </row>
    <row r="707" spans="1:10" x14ac:dyDescent="0.2">
      <c r="A707" s="9">
        <v>44994</v>
      </c>
      <c r="B707" s="4" t="s">
        <v>224</v>
      </c>
      <c r="C707" s="8">
        <v>44986</v>
      </c>
      <c r="D707" s="4" t="s">
        <v>184</v>
      </c>
      <c r="E707" s="14">
        <v>1.9E-3</v>
      </c>
      <c r="F707" s="7">
        <v>2</v>
      </c>
      <c r="G707" s="14">
        <v>0</v>
      </c>
      <c r="H707" s="7">
        <v>0</v>
      </c>
      <c r="I707" s="14">
        <v>1.9E-3</v>
      </c>
      <c r="J707" s="7">
        <v>2</v>
      </c>
    </row>
    <row r="708" spans="1:10" x14ac:dyDescent="0.2">
      <c r="A708" s="9">
        <v>44995</v>
      </c>
      <c r="B708" s="4" t="s">
        <v>222</v>
      </c>
      <c r="C708" s="8">
        <v>44986</v>
      </c>
      <c r="D708" s="4" t="s">
        <v>184</v>
      </c>
      <c r="E708" s="14">
        <v>8.9999999999999998E-4</v>
      </c>
      <c r="F708" s="7">
        <v>1</v>
      </c>
      <c r="G708" s="14">
        <v>0</v>
      </c>
      <c r="H708" s="7">
        <v>0</v>
      </c>
      <c r="I708" s="14">
        <v>8.9999999999999998E-4</v>
      </c>
      <c r="J708" s="7">
        <v>1</v>
      </c>
    </row>
    <row r="709" spans="1:10" x14ac:dyDescent="0.2">
      <c r="A709" s="9">
        <v>44998</v>
      </c>
      <c r="B709" s="4" t="s">
        <v>225</v>
      </c>
      <c r="C709" s="8">
        <v>44986</v>
      </c>
      <c r="D709" s="4" t="s">
        <v>184</v>
      </c>
      <c r="E709" s="14">
        <v>4.5999999999999999E-3</v>
      </c>
      <c r="F709" s="7">
        <v>5</v>
      </c>
      <c r="G709" s="14">
        <v>0</v>
      </c>
      <c r="H709" s="7">
        <v>0</v>
      </c>
      <c r="I709" s="14">
        <v>4.5999999999999999E-3</v>
      </c>
      <c r="J709" s="7">
        <v>5</v>
      </c>
    </row>
    <row r="710" spans="1:10" x14ac:dyDescent="0.2">
      <c r="A710" s="9">
        <v>44999</v>
      </c>
      <c r="B710" s="4" t="s">
        <v>223</v>
      </c>
      <c r="C710" s="8">
        <v>44986</v>
      </c>
      <c r="D710" s="4" t="s">
        <v>184</v>
      </c>
      <c r="E710" s="14">
        <v>4.4999999999999997E-3</v>
      </c>
      <c r="F710" s="7">
        <v>5</v>
      </c>
      <c r="G710" s="14">
        <v>0</v>
      </c>
      <c r="H710" s="7">
        <v>0</v>
      </c>
      <c r="I710" s="14">
        <v>4.4999999999999997E-3</v>
      </c>
      <c r="J710" s="7">
        <v>5</v>
      </c>
    </row>
    <row r="711" spans="1:10" x14ac:dyDescent="0.2">
      <c r="A711" s="9">
        <v>45000</v>
      </c>
      <c r="B711" s="4" t="s">
        <v>221</v>
      </c>
      <c r="C711" s="8">
        <v>44986</v>
      </c>
      <c r="D711" s="4" t="s">
        <v>184</v>
      </c>
      <c r="E711" s="14">
        <v>1.8E-3</v>
      </c>
      <c r="F711" s="7">
        <v>2</v>
      </c>
      <c r="G711" s="14">
        <v>0</v>
      </c>
      <c r="H711" s="7">
        <v>0</v>
      </c>
      <c r="I711" s="14">
        <v>1.8E-3</v>
      </c>
      <c r="J711" s="7">
        <v>2</v>
      </c>
    </row>
    <row r="712" spans="1:10" x14ac:dyDescent="0.2">
      <c r="A712" s="9">
        <v>45001</v>
      </c>
      <c r="B712" s="4" t="s">
        <v>224</v>
      </c>
      <c r="C712" s="8">
        <v>44986</v>
      </c>
      <c r="D712" s="4" t="s">
        <v>184</v>
      </c>
      <c r="E712" s="14">
        <v>3.5999999999999999E-3</v>
      </c>
      <c r="F712" s="7">
        <v>4</v>
      </c>
      <c r="G712" s="14">
        <v>0</v>
      </c>
      <c r="H712" s="7">
        <v>0</v>
      </c>
      <c r="I712" s="14">
        <v>3.5999999999999999E-3</v>
      </c>
      <c r="J712" s="7">
        <v>4</v>
      </c>
    </row>
    <row r="713" spans="1:10" x14ac:dyDescent="0.2">
      <c r="A713" s="9">
        <v>45002</v>
      </c>
      <c r="B713" s="4" t="s">
        <v>222</v>
      </c>
      <c r="C713" s="8">
        <v>44986</v>
      </c>
      <c r="D713" s="4" t="s">
        <v>184</v>
      </c>
      <c r="E713" s="14">
        <v>2.7000000000000001E-3</v>
      </c>
      <c r="F713" s="7">
        <v>3</v>
      </c>
      <c r="G713" s="14">
        <v>0</v>
      </c>
      <c r="H713" s="7">
        <v>0</v>
      </c>
      <c r="I713" s="14">
        <v>2.7000000000000001E-3</v>
      </c>
      <c r="J713" s="7">
        <v>3</v>
      </c>
    </row>
    <row r="714" spans="1:10" x14ac:dyDescent="0.2">
      <c r="A714" s="9">
        <v>45005</v>
      </c>
      <c r="B714" s="4" t="s">
        <v>225</v>
      </c>
      <c r="C714" s="8">
        <v>44986</v>
      </c>
      <c r="D714" s="4" t="s">
        <v>184</v>
      </c>
      <c r="E714" s="14">
        <v>2.7000000000000001E-3</v>
      </c>
      <c r="F714" s="7">
        <v>3</v>
      </c>
      <c r="G714" s="14">
        <v>0</v>
      </c>
      <c r="H714" s="7">
        <v>0</v>
      </c>
      <c r="I714" s="14">
        <v>2.7000000000000001E-3</v>
      </c>
      <c r="J714" s="7">
        <v>3</v>
      </c>
    </row>
    <row r="715" spans="1:10" x14ac:dyDescent="0.2">
      <c r="A715" s="9">
        <v>45006</v>
      </c>
      <c r="B715" s="4" t="s">
        <v>223</v>
      </c>
      <c r="C715" s="8">
        <v>44986</v>
      </c>
      <c r="D715" s="4" t="s">
        <v>184</v>
      </c>
      <c r="E715" s="14">
        <v>1.8E-3</v>
      </c>
      <c r="F715" s="7">
        <v>2</v>
      </c>
      <c r="G715" s="14">
        <v>0</v>
      </c>
      <c r="H715" s="7">
        <v>0</v>
      </c>
      <c r="I715" s="14">
        <v>1.8E-3</v>
      </c>
      <c r="J715" s="7">
        <v>2</v>
      </c>
    </row>
    <row r="716" spans="1:10" x14ac:dyDescent="0.2">
      <c r="A716" s="9">
        <v>45007</v>
      </c>
      <c r="B716" s="4" t="s">
        <v>221</v>
      </c>
      <c r="C716" s="8">
        <v>44986</v>
      </c>
      <c r="D716" s="4" t="s">
        <v>184</v>
      </c>
      <c r="E716" s="14">
        <v>8.9999999999999998E-4</v>
      </c>
      <c r="F716" s="7">
        <v>1</v>
      </c>
      <c r="G716" s="14">
        <v>0</v>
      </c>
      <c r="H716" s="7">
        <v>0</v>
      </c>
      <c r="I716" s="14">
        <v>8.9999999999999998E-4</v>
      </c>
      <c r="J716" s="7">
        <v>1</v>
      </c>
    </row>
    <row r="717" spans="1:10" x14ac:dyDescent="0.2">
      <c r="A717" s="9">
        <v>45008</v>
      </c>
      <c r="B717" s="4" t="s">
        <v>224</v>
      </c>
      <c r="C717" s="8">
        <v>44986</v>
      </c>
      <c r="D717" s="4" t="s">
        <v>184</v>
      </c>
      <c r="E717" s="14">
        <v>1.8E-3</v>
      </c>
      <c r="F717" s="7">
        <v>2</v>
      </c>
      <c r="G717" s="14">
        <v>0</v>
      </c>
      <c r="H717" s="7">
        <v>0</v>
      </c>
      <c r="I717" s="14">
        <v>1.8E-3</v>
      </c>
      <c r="J717" s="7">
        <v>2</v>
      </c>
    </row>
    <row r="718" spans="1:10" x14ac:dyDescent="0.2">
      <c r="A718" s="9">
        <v>45009</v>
      </c>
      <c r="B718" s="4" t="s">
        <v>222</v>
      </c>
      <c r="C718" s="8">
        <v>44986</v>
      </c>
      <c r="D718" s="4" t="s">
        <v>184</v>
      </c>
      <c r="E718" s="14">
        <v>1.8E-3</v>
      </c>
      <c r="F718" s="7">
        <v>2</v>
      </c>
      <c r="G718" s="14">
        <v>0</v>
      </c>
      <c r="H718" s="7">
        <v>0</v>
      </c>
      <c r="I718" s="14">
        <v>1.8E-3</v>
      </c>
      <c r="J718" s="7">
        <v>2</v>
      </c>
    </row>
    <row r="719" spans="1:10" x14ac:dyDescent="0.2">
      <c r="A719" s="9">
        <v>45012</v>
      </c>
      <c r="B719" s="4" t="s">
        <v>225</v>
      </c>
      <c r="C719" s="8">
        <v>44986</v>
      </c>
      <c r="D719" s="4" t="s">
        <v>184</v>
      </c>
      <c r="E719" s="14">
        <v>1.8E-3</v>
      </c>
      <c r="F719" s="7">
        <v>2</v>
      </c>
      <c r="G719" s="14">
        <v>0</v>
      </c>
      <c r="H719" s="7">
        <v>0</v>
      </c>
      <c r="I719" s="14">
        <v>1.8E-3</v>
      </c>
      <c r="J719" s="7">
        <v>2</v>
      </c>
    </row>
    <row r="720" spans="1:10" x14ac:dyDescent="0.2">
      <c r="A720" s="9">
        <v>45013</v>
      </c>
      <c r="B720" s="4" t="s">
        <v>223</v>
      </c>
      <c r="C720" s="8">
        <v>44986</v>
      </c>
      <c r="D720" s="4" t="s">
        <v>184</v>
      </c>
      <c r="E720" s="14">
        <v>3.5999999999999999E-3</v>
      </c>
      <c r="F720" s="7">
        <v>4</v>
      </c>
      <c r="G720" s="14">
        <v>0</v>
      </c>
      <c r="H720" s="7">
        <v>0</v>
      </c>
      <c r="I720" s="14">
        <v>3.5999999999999999E-3</v>
      </c>
      <c r="J720" s="7">
        <v>4</v>
      </c>
    </row>
    <row r="721" spans="1:10" x14ac:dyDescent="0.2">
      <c r="A721" s="9">
        <v>45014</v>
      </c>
      <c r="B721" s="4" t="s">
        <v>221</v>
      </c>
      <c r="C721" s="8">
        <v>44986</v>
      </c>
      <c r="D721" s="4" t="s">
        <v>184</v>
      </c>
      <c r="E721" s="14">
        <v>1.8E-3</v>
      </c>
      <c r="F721" s="7">
        <v>2</v>
      </c>
      <c r="G721" s="14">
        <v>0</v>
      </c>
      <c r="H721" s="7">
        <v>0</v>
      </c>
      <c r="I721" s="14">
        <v>1.8E-3</v>
      </c>
      <c r="J721" s="7">
        <v>2</v>
      </c>
    </row>
    <row r="722" spans="1:10" x14ac:dyDescent="0.2">
      <c r="A722" s="9">
        <v>45042</v>
      </c>
      <c r="B722" s="4" t="s">
        <v>221</v>
      </c>
      <c r="C722" s="8">
        <v>45017</v>
      </c>
      <c r="D722" s="4" t="s">
        <v>185</v>
      </c>
      <c r="E722" s="14">
        <v>1.9E-3</v>
      </c>
      <c r="F722" s="7">
        <v>2</v>
      </c>
      <c r="G722" s="14">
        <v>0</v>
      </c>
      <c r="H722" s="7">
        <v>0</v>
      </c>
      <c r="I722" s="14">
        <v>1.9E-3</v>
      </c>
      <c r="J722" s="7">
        <v>2</v>
      </c>
    </row>
    <row r="723" spans="1:10" x14ac:dyDescent="0.2">
      <c r="A723" s="9">
        <v>45043</v>
      </c>
      <c r="B723" s="4" t="s">
        <v>224</v>
      </c>
      <c r="C723" s="8">
        <v>45017</v>
      </c>
      <c r="D723" s="4" t="s">
        <v>185</v>
      </c>
      <c r="E723" s="14">
        <v>1.9E-3</v>
      </c>
      <c r="F723" s="7">
        <v>2</v>
      </c>
      <c r="G723" s="14">
        <v>0</v>
      </c>
      <c r="H723" s="7">
        <v>0</v>
      </c>
      <c r="I723" s="14">
        <v>1.9E-3</v>
      </c>
      <c r="J723" s="7">
        <v>2</v>
      </c>
    </row>
    <row r="724" spans="1:10" x14ac:dyDescent="0.2">
      <c r="A724" s="9">
        <v>45051</v>
      </c>
      <c r="B724" s="4" t="s">
        <v>222</v>
      </c>
      <c r="C724" s="8">
        <v>45047</v>
      </c>
      <c r="D724" s="4" t="s">
        <v>185</v>
      </c>
      <c r="E724" s="14">
        <v>1.9E-3</v>
      </c>
      <c r="F724" s="7">
        <v>2</v>
      </c>
      <c r="G724" s="14">
        <v>0</v>
      </c>
      <c r="H724" s="7">
        <v>0</v>
      </c>
      <c r="I724" s="14">
        <v>1.9E-3</v>
      </c>
      <c r="J724" s="7">
        <v>2</v>
      </c>
    </row>
    <row r="725" spans="1:10" x14ac:dyDescent="0.2">
      <c r="A725" s="9">
        <v>45054</v>
      </c>
      <c r="B725" s="4" t="s">
        <v>225</v>
      </c>
      <c r="C725" s="8">
        <v>45047</v>
      </c>
      <c r="D725" s="4" t="s">
        <v>185</v>
      </c>
      <c r="E725" s="14">
        <v>0</v>
      </c>
      <c r="F725" s="7">
        <v>0</v>
      </c>
      <c r="G725" s="14">
        <v>0</v>
      </c>
      <c r="H725" s="7">
        <v>0</v>
      </c>
      <c r="I725" s="14">
        <v>0</v>
      </c>
      <c r="J725" s="7">
        <v>0</v>
      </c>
    </row>
    <row r="726" spans="1:10" x14ac:dyDescent="0.2">
      <c r="A726" s="9">
        <v>45055</v>
      </c>
      <c r="B726" s="4" t="s">
        <v>223</v>
      </c>
      <c r="C726" s="8">
        <v>45047</v>
      </c>
      <c r="D726" s="4" t="s">
        <v>185</v>
      </c>
      <c r="E726" s="14">
        <v>1.9E-3</v>
      </c>
      <c r="F726" s="7">
        <v>2</v>
      </c>
      <c r="G726" s="14">
        <v>0</v>
      </c>
      <c r="H726" s="7">
        <v>0</v>
      </c>
      <c r="I726" s="14">
        <v>1.9E-3</v>
      </c>
      <c r="J726" s="7">
        <v>2</v>
      </c>
    </row>
    <row r="727" spans="1:10" x14ac:dyDescent="0.2">
      <c r="A727" s="9">
        <v>45056</v>
      </c>
      <c r="B727" s="4" t="s">
        <v>221</v>
      </c>
      <c r="C727" s="8">
        <v>45047</v>
      </c>
      <c r="D727" s="4" t="s">
        <v>185</v>
      </c>
      <c r="E727" s="14">
        <v>1.9E-3</v>
      </c>
      <c r="F727" s="7">
        <v>2</v>
      </c>
      <c r="G727" s="14">
        <v>0</v>
      </c>
      <c r="H727" s="7">
        <v>0</v>
      </c>
      <c r="I727" s="14">
        <v>1.9E-3</v>
      </c>
      <c r="J727" s="7">
        <v>2</v>
      </c>
    </row>
    <row r="728" spans="1:10" x14ac:dyDescent="0.2">
      <c r="A728" s="9">
        <v>45057</v>
      </c>
      <c r="B728" s="4" t="s">
        <v>224</v>
      </c>
      <c r="C728" s="8">
        <v>45047</v>
      </c>
      <c r="D728" s="4" t="s">
        <v>185</v>
      </c>
      <c r="E728" s="14">
        <v>0</v>
      </c>
      <c r="F728" s="7">
        <v>0</v>
      </c>
      <c r="G728" s="14">
        <v>0</v>
      </c>
      <c r="H728" s="7">
        <v>0</v>
      </c>
      <c r="I728" s="14">
        <v>0</v>
      </c>
      <c r="J728" s="7">
        <v>0</v>
      </c>
    </row>
    <row r="729" spans="1:10" x14ac:dyDescent="0.2">
      <c r="A729" s="9">
        <v>45058</v>
      </c>
      <c r="B729" s="4" t="s">
        <v>222</v>
      </c>
      <c r="C729" s="8">
        <v>45047</v>
      </c>
      <c r="D729" s="4" t="s">
        <v>185</v>
      </c>
      <c r="E729" s="14">
        <v>0</v>
      </c>
      <c r="F729" s="7">
        <v>0</v>
      </c>
      <c r="G729" s="14">
        <v>0</v>
      </c>
      <c r="H729" s="7">
        <v>0</v>
      </c>
      <c r="I729" s="14">
        <v>0</v>
      </c>
      <c r="J729" s="7">
        <v>0</v>
      </c>
    </row>
    <row r="730" spans="1:10" x14ac:dyDescent="0.2">
      <c r="A730" s="9">
        <v>45061</v>
      </c>
      <c r="B730" s="4" t="s">
        <v>225</v>
      </c>
      <c r="C730" s="8">
        <v>45047</v>
      </c>
      <c r="D730" s="4" t="s">
        <v>185</v>
      </c>
      <c r="E730" s="14">
        <v>0.30330000000000001</v>
      </c>
      <c r="F730" s="7">
        <v>481</v>
      </c>
      <c r="G730" s="14">
        <v>0</v>
      </c>
      <c r="H730" s="7">
        <v>0</v>
      </c>
      <c r="I730" s="14">
        <v>0.30330000000000001</v>
      </c>
      <c r="J730" s="7">
        <v>481</v>
      </c>
    </row>
    <row r="731" spans="1:10" x14ac:dyDescent="0.2">
      <c r="A731" s="9">
        <v>45062</v>
      </c>
      <c r="B731" s="4" t="s">
        <v>223</v>
      </c>
      <c r="C731" s="8">
        <v>45047</v>
      </c>
      <c r="D731" s="4" t="s">
        <v>185</v>
      </c>
      <c r="E731" s="14">
        <v>0.24940000000000001</v>
      </c>
      <c r="F731" s="7">
        <v>390</v>
      </c>
      <c r="G731" s="14">
        <v>0</v>
      </c>
      <c r="H731" s="7">
        <v>0</v>
      </c>
      <c r="I731" s="14">
        <v>0.24940000000000001</v>
      </c>
      <c r="J731" s="7">
        <v>390</v>
      </c>
    </row>
    <row r="732" spans="1:10" x14ac:dyDescent="0.2">
      <c r="A732" s="9">
        <v>45063</v>
      </c>
      <c r="B732" s="4" t="s">
        <v>221</v>
      </c>
      <c r="C732" s="8">
        <v>45047</v>
      </c>
      <c r="D732" s="4" t="s">
        <v>185</v>
      </c>
      <c r="E732" s="14">
        <v>0.17080000000000001</v>
      </c>
      <c r="F732" s="7">
        <v>274</v>
      </c>
      <c r="G732" s="14">
        <v>0</v>
      </c>
      <c r="H732" s="7">
        <v>0</v>
      </c>
      <c r="I732" s="14">
        <v>0.17080000000000001</v>
      </c>
      <c r="J732" s="7">
        <v>274</v>
      </c>
    </row>
    <row r="733" spans="1:10" x14ac:dyDescent="0.2">
      <c r="A733" s="9">
        <v>45064</v>
      </c>
      <c r="B733" s="4" t="s">
        <v>224</v>
      </c>
      <c r="C733" s="8">
        <v>45047</v>
      </c>
      <c r="D733" s="4" t="s">
        <v>185</v>
      </c>
      <c r="E733" s="14">
        <v>0.18779999999999999</v>
      </c>
      <c r="F733" s="7">
        <v>302</v>
      </c>
      <c r="G733" s="14">
        <v>0</v>
      </c>
      <c r="H733" s="7">
        <v>0</v>
      </c>
      <c r="I733" s="14">
        <v>0.18779999999999999</v>
      </c>
      <c r="J733" s="7">
        <v>302</v>
      </c>
    </row>
    <row r="734" spans="1:10" x14ac:dyDescent="0.2">
      <c r="A734" s="9">
        <v>45065</v>
      </c>
      <c r="B734" s="4" t="s">
        <v>222</v>
      </c>
      <c r="C734" s="8">
        <v>45047</v>
      </c>
      <c r="D734" s="4" t="s">
        <v>185</v>
      </c>
      <c r="E734" s="14">
        <v>0.34649999999999997</v>
      </c>
      <c r="F734" s="7">
        <v>562</v>
      </c>
      <c r="G734" s="14">
        <v>0</v>
      </c>
      <c r="H734" s="7">
        <v>0</v>
      </c>
      <c r="I734" s="14">
        <v>0.34649999999999997</v>
      </c>
      <c r="J734" s="7">
        <v>562</v>
      </c>
    </row>
    <row r="735" spans="1:10" x14ac:dyDescent="0.2">
      <c r="A735" s="9">
        <v>45068</v>
      </c>
      <c r="B735" s="4" t="s">
        <v>225</v>
      </c>
      <c r="C735" s="8">
        <v>45047</v>
      </c>
      <c r="D735" s="4" t="s">
        <v>185</v>
      </c>
      <c r="E735" s="14">
        <v>0.1787</v>
      </c>
      <c r="F735" s="7">
        <v>285</v>
      </c>
      <c r="G735" s="14">
        <v>0</v>
      </c>
      <c r="H735" s="7">
        <v>0</v>
      </c>
      <c r="I735" s="14">
        <v>0.1787</v>
      </c>
      <c r="J735" s="7">
        <v>285</v>
      </c>
    </row>
    <row r="736" spans="1:10" x14ac:dyDescent="0.2">
      <c r="A736" s="9">
        <v>45069</v>
      </c>
      <c r="B736" s="4" t="s">
        <v>223</v>
      </c>
      <c r="C736" s="8">
        <v>45047</v>
      </c>
      <c r="D736" s="4" t="s">
        <v>185</v>
      </c>
      <c r="E736" s="14">
        <v>0.20230000000000001</v>
      </c>
      <c r="F736" s="7">
        <v>323</v>
      </c>
      <c r="G736" s="14">
        <v>0</v>
      </c>
      <c r="H736" s="7">
        <v>0</v>
      </c>
      <c r="I736" s="14">
        <v>0.20230000000000001</v>
      </c>
      <c r="J736" s="7">
        <v>323</v>
      </c>
    </row>
    <row r="737" spans="1:10" x14ac:dyDescent="0.2">
      <c r="A737" s="9">
        <v>45070</v>
      </c>
      <c r="B737" s="4" t="s">
        <v>221</v>
      </c>
      <c r="C737" s="8">
        <v>45047</v>
      </c>
      <c r="D737" s="4" t="s">
        <v>185</v>
      </c>
      <c r="E737" s="14">
        <v>0.1263</v>
      </c>
      <c r="F737" s="7">
        <v>202</v>
      </c>
      <c r="G737" s="14">
        <v>0</v>
      </c>
      <c r="H737" s="7">
        <v>0</v>
      </c>
      <c r="I737" s="14">
        <v>0.1263</v>
      </c>
      <c r="J737" s="7">
        <v>202</v>
      </c>
    </row>
    <row r="738" spans="1:10" x14ac:dyDescent="0.2">
      <c r="A738" s="9">
        <v>45071</v>
      </c>
      <c r="B738" s="4" t="s">
        <v>224</v>
      </c>
      <c r="C738" s="8">
        <v>45047</v>
      </c>
      <c r="D738" s="4" t="s">
        <v>185</v>
      </c>
      <c r="E738" s="14">
        <v>0.24510000000000001</v>
      </c>
      <c r="F738" s="7">
        <v>396</v>
      </c>
      <c r="G738" s="14">
        <v>0</v>
      </c>
      <c r="H738" s="7">
        <v>0</v>
      </c>
      <c r="I738" s="14">
        <v>0.24510000000000001</v>
      </c>
      <c r="J738" s="7">
        <v>396</v>
      </c>
    </row>
    <row r="739" spans="1:10" x14ac:dyDescent="0.2">
      <c r="A739" s="9">
        <v>45072</v>
      </c>
      <c r="B739" s="4" t="s">
        <v>222</v>
      </c>
      <c r="C739" s="8">
        <v>45047</v>
      </c>
      <c r="D739" s="4" t="s">
        <v>185</v>
      </c>
      <c r="E739" s="14">
        <v>0.2858</v>
      </c>
      <c r="F739" s="7">
        <v>458</v>
      </c>
      <c r="G739" s="14">
        <v>0</v>
      </c>
      <c r="H739" s="7">
        <v>0</v>
      </c>
      <c r="I739" s="14">
        <v>0.2858</v>
      </c>
      <c r="J739" s="7">
        <v>458</v>
      </c>
    </row>
    <row r="740" spans="1:10" x14ac:dyDescent="0.2">
      <c r="A740" s="9">
        <v>45075</v>
      </c>
      <c r="B740" s="4" t="s">
        <v>225</v>
      </c>
      <c r="C740" s="8">
        <v>45047</v>
      </c>
      <c r="D740" s="4" t="s">
        <v>185</v>
      </c>
      <c r="E740" s="14">
        <v>0.1152</v>
      </c>
      <c r="F740" s="7">
        <v>183</v>
      </c>
      <c r="G740" s="14">
        <v>0</v>
      </c>
      <c r="H740" s="7">
        <v>0</v>
      </c>
      <c r="I740" s="14">
        <v>0.1152</v>
      </c>
      <c r="J740" s="7">
        <v>183</v>
      </c>
    </row>
    <row r="741" spans="1:10" x14ac:dyDescent="0.2">
      <c r="A741" s="9">
        <v>45076</v>
      </c>
      <c r="B741" s="4" t="s">
        <v>223</v>
      </c>
      <c r="C741" s="8">
        <v>45047</v>
      </c>
      <c r="D741" s="4" t="s">
        <v>185</v>
      </c>
      <c r="E741" s="14">
        <v>7.8100000000000003E-2</v>
      </c>
      <c r="F741" s="7">
        <v>124</v>
      </c>
      <c r="G741" s="14">
        <v>0</v>
      </c>
      <c r="H741" s="7">
        <v>0</v>
      </c>
      <c r="I741" s="14">
        <v>7.8100000000000003E-2</v>
      </c>
      <c r="J741" s="7">
        <v>124</v>
      </c>
    </row>
    <row r="742" spans="1:10" x14ac:dyDescent="0.2">
      <c r="A742" s="9">
        <v>45077</v>
      </c>
      <c r="B742" s="4" t="s">
        <v>221</v>
      </c>
      <c r="C742" s="8">
        <v>45047</v>
      </c>
      <c r="D742" s="4" t="s">
        <v>185</v>
      </c>
      <c r="E742" s="14">
        <v>8.7099999999999997E-2</v>
      </c>
      <c r="F742" s="7">
        <v>139</v>
      </c>
      <c r="G742" s="14">
        <v>0</v>
      </c>
      <c r="H742" s="7">
        <v>0</v>
      </c>
      <c r="I742" s="14">
        <v>8.7099999999999997E-2</v>
      </c>
      <c r="J742" s="7">
        <v>139</v>
      </c>
    </row>
    <row r="743" spans="1:10" x14ac:dyDescent="0.2">
      <c r="A743" s="9">
        <v>45078</v>
      </c>
      <c r="B743" s="4" t="s">
        <v>224</v>
      </c>
      <c r="C743" s="8">
        <v>45078</v>
      </c>
      <c r="D743" s="4" t="s">
        <v>185</v>
      </c>
      <c r="E743" s="14">
        <v>0.24859999999999999</v>
      </c>
      <c r="F743" s="7">
        <v>397</v>
      </c>
      <c r="G743" s="14">
        <v>0</v>
      </c>
      <c r="H743" s="7">
        <v>0</v>
      </c>
      <c r="I743" s="14">
        <v>0.24859999999999999</v>
      </c>
      <c r="J743" s="7">
        <v>397</v>
      </c>
    </row>
    <row r="744" spans="1:10" x14ac:dyDescent="0.2">
      <c r="A744" s="9">
        <v>45079</v>
      </c>
      <c r="B744" s="4" t="s">
        <v>222</v>
      </c>
      <c r="C744" s="8">
        <v>45078</v>
      </c>
      <c r="D744" s="4" t="s">
        <v>185</v>
      </c>
      <c r="E744" s="14">
        <v>1.3520000000000001</v>
      </c>
      <c r="F744" s="7">
        <v>2161</v>
      </c>
      <c r="G744" s="14">
        <v>0</v>
      </c>
      <c r="H744" s="7">
        <v>0</v>
      </c>
      <c r="I744" s="14">
        <v>1.3520000000000001</v>
      </c>
      <c r="J744" s="7">
        <v>2161</v>
      </c>
    </row>
    <row r="745" spans="1:10" x14ac:dyDescent="0.2">
      <c r="A745" s="9">
        <v>45082</v>
      </c>
      <c r="B745" s="4" t="s">
        <v>225</v>
      </c>
      <c r="C745" s="8">
        <v>45078</v>
      </c>
      <c r="D745" s="4" t="s">
        <v>185</v>
      </c>
      <c r="E745" s="14">
        <v>4.5900000000000003E-2</v>
      </c>
      <c r="F745" s="7">
        <v>73</v>
      </c>
      <c r="G745" s="14">
        <v>0</v>
      </c>
      <c r="H745" s="7">
        <v>0</v>
      </c>
      <c r="I745" s="14">
        <v>4.5900000000000003E-2</v>
      </c>
      <c r="J745" s="7">
        <v>73</v>
      </c>
    </row>
    <row r="746" spans="1:10" x14ac:dyDescent="0.2">
      <c r="A746" s="9">
        <v>45083</v>
      </c>
      <c r="B746" s="4" t="s">
        <v>223</v>
      </c>
      <c r="C746" s="8">
        <v>45078</v>
      </c>
      <c r="D746" s="4" t="s">
        <v>185</v>
      </c>
      <c r="E746" s="14">
        <v>4.2599999999999999E-2</v>
      </c>
      <c r="F746" s="7">
        <v>68</v>
      </c>
      <c r="G746" s="14">
        <v>0</v>
      </c>
      <c r="H746" s="7">
        <v>0</v>
      </c>
      <c r="I746" s="14">
        <v>4.2599999999999999E-2</v>
      </c>
      <c r="J746" s="7">
        <v>68</v>
      </c>
    </row>
    <row r="747" spans="1:10" x14ac:dyDescent="0.2">
      <c r="A747" s="9">
        <v>45084</v>
      </c>
      <c r="B747" s="4" t="s">
        <v>221</v>
      </c>
      <c r="C747" s="8">
        <v>45078</v>
      </c>
      <c r="D747" s="4" t="s">
        <v>185</v>
      </c>
      <c r="E747" s="14">
        <v>6.7400000000000002E-2</v>
      </c>
      <c r="F747" s="7">
        <v>107</v>
      </c>
      <c r="G747" s="14">
        <v>0</v>
      </c>
      <c r="H747" s="7">
        <v>0</v>
      </c>
      <c r="I747" s="14">
        <v>6.7400000000000002E-2</v>
      </c>
      <c r="J747" s="7">
        <v>107</v>
      </c>
    </row>
    <row r="748" spans="1:10" x14ac:dyDescent="0.2">
      <c r="A748" s="9">
        <v>45085</v>
      </c>
      <c r="B748" s="4" t="s">
        <v>224</v>
      </c>
      <c r="C748" s="8">
        <v>45078</v>
      </c>
      <c r="D748" s="4" t="s">
        <v>185</v>
      </c>
      <c r="E748" s="14">
        <v>0.10539999999999999</v>
      </c>
      <c r="F748" s="7">
        <v>167</v>
      </c>
      <c r="G748" s="14">
        <v>0</v>
      </c>
      <c r="H748" s="7">
        <v>0</v>
      </c>
      <c r="I748" s="14">
        <v>0.10539999999999999</v>
      </c>
      <c r="J748" s="7">
        <v>167</v>
      </c>
    </row>
    <row r="749" spans="1:10" x14ac:dyDescent="0.2">
      <c r="A749" s="9">
        <v>45086</v>
      </c>
      <c r="B749" s="4" t="s">
        <v>222</v>
      </c>
      <c r="C749" s="8">
        <v>45078</v>
      </c>
      <c r="D749" s="4" t="s">
        <v>185</v>
      </c>
      <c r="E749" s="14">
        <v>0.42980000000000002</v>
      </c>
      <c r="F749" s="7">
        <v>684</v>
      </c>
      <c r="G749" s="14">
        <v>0</v>
      </c>
      <c r="H749" s="7">
        <v>0</v>
      </c>
      <c r="I749" s="14">
        <v>0.42980000000000002</v>
      </c>
      <c r="J749" s="7">
        <v>684</v>
      </c>
    </row>
    <row r="750" spans="1:10" x14ac:dyDescent="0.2">
      <c r="A750" s="9">
        <v>45089</v>
      </c>
      <c r="B750" s="4" t="s">
        <v>225</v>
      </c>
      <c r="C750" s="8">
        <v>45078</v>
      </c>
      <c r="D750" s="4" t="s">
        <v>185</v>
      </c>
      <c r="E750" s="14">
        <v>4.3999999999999997E-2</v>
      </c>
      <c r="F750" s="7">
        <v>70</v>
      </c>
      <c r="G750" s="14">
        <v>0</v>
      </c>
      <c r="H750" s="7">
        <v>0</v>
      </c>
      <c r="I750" s="14">
        <v>4.3999999999999997E-2</v>
      </c>
      <c r="J750" s="7">
        <v>70</v>
      </c>
    </row>
    <row r="751" spans="1:10" x14ac:dyDescent="0.2">
      <c r="A751" s="9">
        <v>45090</v>
      </c>
      <c r="B751" s="4" t="s">
        <v>223</v>
      </c>
      <c r="C751" s="8">
        <v>45078</v>
      </c>
      <c r="D751" s="4" t="s">
        <v>185</v>
      </c>
      <c r="E751" s="14">
        <v>6.3700000000000007E-2</v>
      </c>
      <c r="F751" s="7">
        <v>101</v>
      </c>
      <c r="G751" s="14">
        <v>0</v>
      </c>
      <c r="H751" s="7">
        <v>0</v>
      </c>
      <c r="I751" s="14">
        <v>6.3700000000000007E-2</v>
      </c>
      <c r="J751" s="7">
        <v>101</v>
      </c>
    </row>
    <row r="752" spans="1:10" x14ac:dyDescent="0.2">
      <c r="A752" s="9">
        <v>45091</v>
      </c>
      <c r="B752" s="4" t="s">
        <v>221</v>
      </c>
      <c r="C752" s="8">
        <v>45078</v>
      </c>
      <c r="D752" s="4" t="s">
        <v>185</v>
      </c>
      <c r="E752" s="14">
        <v>0.06</v>
      </c>
      <c r="F752" s="7">
        <v>95</v>
      </c>
      <c r="G752" s="14">
        <v>0</v>
      </c>
      <c r="H752" s="7">
        <v>0</v>
      </c>
      <c r="I752" s="14">
        <v>0.06</v>
      </c>
      <c r="J752" s="7">
        <v>95</v>
      </c>
    </row>
    <row r="753" spans="1:10" x14ac:dyDescent="0.2">
      <c r="A753" s="9">
        <v>45092</v>
      </c>
      <c r="B753" s="4" t="s">
        <v>224</v>
      </c>
      <c r="C753" s="8">
        <v>45078</v>
      </c>
      <c r="D753" s="4" t="s">
        <v>185</v>
      </c>
      <c r="E753" s="14">
        <v>0.34489999999999998</v>
      </c>
      <c r="F753" s="7">
        <v>547</v>
      </c>
      <c r="G753" s="14">
        <v>0</v>
      </c>
      <c r="H753" s="7">
        <v>0</v>
      </c>
      <c r="I753" s="14">
        <v>0.34489999999999998</v>
      </c>
      <c r="J753" s="7">
        <v>547</v>
      </c>
    </row>
    <row r="754" spans="1:10" x14ac:dyDescent="0.2">
      <c r="A754" s="9">
        <v>45093</v>
      </c>
      <c r="B754" s="4" t="s">
        <v>222</v>
      </c>
      <c r="C754" s="8">
        <v>45078</v>
      </c>
      <c r="D754" s="4" t="s">
        <v>185</v>
      </c>
      <c r="E754" s="14">
        <v>2.1097999999999999</v>
      </c>
      <c r="F754" s="7">
        <v>3339</v>
      </c>
      <c r="G754" s="14">
        <v>0</v>
      </c>
      <c r="H754" s="7">
        <v>0</v>
      </c>
      <c r="I754" s="14">
        <v>2.1097999999999999</v>
      </c>
      <c r="J754" s="7">
        <v>3339</v>
      </c>
    </row>
    <row r="755" spans="1:10" x14ac:dyDescent="0.2">
      <c r="A755" s="9">
        <v>45096</v>
      </c>
      <c r="B755" s="4" t="s">
        <v>225</v>
      </c>
      <c r="C755" s="8">
        <v>45078</v>
      </c>
      <c r="D755" s="4" t="s">
        <v>185</v>
      </c>
      <c r="E755" s="14">
        <v>0.40560000000000002</v>
      </c>
      <c r="F755" s="7">
        <v>640</v>
      </c>
      <c r="G755" s="14">
        <v>0</v>
      </c>
      <c r="H755" s="7">
        <v>0</v>
      </c>
      <c r="I755" s="14">
        <v>0.40560000000000002</v>
      </c>
      <c r="J755" s="7">
        <v>640</v>
      </c>
    </row>
    <row r="756" spans="1:10" x14ac:dyDescent="0.2">
      <c r="A756" s="9">
        <v>45097</v>
      </c>
      <c r="B756" s="4" t="s">
        <v>223</v>
      </c>
      <c r="C756" s="8">
        <v>45078</v>
      </c>
      <c r="D756" s="4" t="s">
        <v>185</v>
      </c>
      <c r="E756" s="14">
        <v>9.0999999999999998E-2</v>
      </c>
      <c r="F756" s="7">
        <v>144</v>
      </c>
      <c r="G756" s="14">
        <v>0</v>
      </c>
      <c r="H756" s="7">
        <v>0</v>
      </c>
      <c r="I756" s="14">
        <v>9.0999999999999998E-2</v>
      </c>
      <c r="J756" s="7">
        <v>144</v>
      </c>
    </row>
    <row r="757" spans="1:10" x14ac:dyDescent="0.2">
      <c r="A757" s="9">
        <v>45098</v>
      </c>
      <c r="B757" s="4" t="s">
        <v>221</v>
      </c>
      <c r="C757" s="8">
        <v>45078</v>
      </c>
      <c r="D757" s="4" t="s">
        <v>185</v>
      </c>
      <c r="E757" s="14">
        <v>0.15740000000000001</v>
      </c>
      <c r="F757" s="7">
        <v>248</v>
      </c>
      <c r="G757" s="14">
        <v>0</v>
      </c>
      <c r="H757" s="7">
        <v>0</v>
      </c>
      <c r="I757" s="14">
        <v>0.15740000000000001</v>
      </c>
      <c r="J757" s="7">
        <v>248</v>
      </c>
    </row>
    <row r="758" spans="1:10" x14ac:dyDescent="0.2">
      <c r="A758" s="9">
        <v>45099</v>
      </c>
      <c r="B758" s="4" t="s">
        <v>224</v>
      </c>
      <c r="C758" s="8">
        <v>45078</v>
      </c>
      <c r="D758" s="4" t="s">
        <v>185</v>
      </c>
      <c r="E758" s="14">
        <v>0.1605</v>
      </c>
      <c r="F758" s="7">
        <v>253</v>
      </c>
      <c r="G758" s="14">
        <v>0</v>
      </c>
      <c r="H758" s="7">
        <v>0</v>
      </c>
      <c r="I758" s="14">
        <v>0.1605</v>
      </c>
      <c r="J758" s="7">
        <v>253</v>
      </c>
    </row>
    <row r="759" spans="1:10" x14ac:dyDescent="0.2">
      <c r="A759" s="9">
        <v>45100</v>
      </c>
      <c r="B759" s="4" t="s">
        <v>222</v>
      </c>
      <c r="C759" s="8">
        <v>45078</v>
      </c>
      <c r="D759" s="4" t="s">
        <v>185</v>
      </c>
      <c r="E759" s="14">
        <v>0.60670000000000002</v>
      </c>
      <c r="F759" s="7">
        <v>962</v>
      </c>
      <c r="G759" s="14">
        <v>0</v>
      </c>
      <c r="H759" s="7">
        <v>0</v>
      </c>
      <c r="I759" s="14">
        <v>0.60670000000000002</v>
      </c>
      <c r="J759" s="7">
        <v>962</v>
      </c>
    </row>
    <row r="760" spans="1:10" x14ac:dyDescent="0.2">
      <c r="A760" s="9">
        <v>45103</v>
      </c>
      <c r="B760" s="4" t="s">
        <v>225</v>
      </c>
      <c r="C760" s="8">
        <v>45078</v>
      </c>
      <c r="D760" s="4" t="s">
        <v>185</v>
      </c>
      <c r="E760" s="14">
        <v>0.12039999999999999</v>
      </c>
      <c r="F760" s="7">
        <v>191</v>
      </c>
      <c r="G760" s="14">
        <v>0</v>
      </c>
      <c r="H760" s="7">
        <v>0</v>
      </c>
      <c r="I760" s="14">
        <v>0.12039999999999999</v>
      </c>
      <c r="J760" s="7">
        <v>191</v>
      </c>
    </row>
    <row r="761" spans="1:10" x14ac:dyDescent="0.2">
      <c r="A761" s="9">
        <v>45104</v>
      </c>
      <c r="B761" s="4" t="s">
        <v>223</v>
      </c>
      <c r="C761" s="8">
        <v>45078</v>
      </c>
      <c r="D761" s="4" t="s">
        <v>185</v>
      </c>
      <c r="E761" s="14">
        <v>0.13339999999999999</v>
      </c>
      <c r="F761" s="7">
        <v>211</v>
      </c>
      <c r="G761" s="14">
        <v>0</v>
      </c>
      <c r="H761" s="7">
        <v>0</v>
      </c>
      <c r="I761" s="14">
        <v>0.13339999999999999</v>
      </c>
      <c r="J761" s="7">
        <v>211</v>
      </c>
    </row>
    <row r="762" spans="1:10" x14ac:dyDescent="0.2">
      <c r="A762" s="9">
        <v>45105</v>
      </c>
      <c r="B762" s="4" t="s">
        <v>221</v>
      </c>
      <c r="C762" s="8">
        <v>45078</v>
      </c>
      <c r="D762" s="4" t="s">
        <v>185</v>
      </c>
      <c r="E762" s="14">
        <v>0.1226</v>
      </c>
      <c r="F762" s="7">
        <v>192</v>
      </c>
      <c r="G762" s="14">
        <v>0</v>
      </c>
      <c r="H762" s="7">
        <v>0</v>
      </c>
      <c r="I762" s="14">
        <v>0.1226</v>
      </c>
      <c r="J762" s="7">
        <v>192</v>
      </c>
    </row>
    <row r="763" spans="1:10" x14ac:dyDescent="0.2">
      <c r="A763" s="9">
        <v>45107</v>
      </c>
      <c r="B763" s="4" t="s">
        <v>222</v>
      </c>
      <c r="C763" s="8">
        <v>45078</v>
      </c>
      <c r="D763" s="4" t="s">
        <v>185</v>
      </c>
      <c r="E763" s="14">
        <v>0.99660000000000004</v>
      </c>
      <c r="F763" s="7">
        <v>1547</v>
      </c>
      <c r="G763" s="14">
        <v>0</v>
      </c>
      <c r="H763" s="7">
        <v>0</v>
      </c>
      <c r="I763" s="14">
        <v>0.99660000000000004</v>
      </c>
      <c r="J763" s="7">
        <v>1547</v>
      </c>
    </row>
    <row r="764" spans="1:10" x14ac:dyDescent="0.2">
      <c r="A764" s="9">
        <v>45110</v>
      </c>
      <c r="B764" s="4" t="s">
        <v>225</v>
      </c>
      <c r="C764" s="8">
        <v>45108</v>
      </c>
      <c r="D764" s="4" t="s">
        <v>186</v>
      </c>
      <c r="E764" s="14">
        <v>8.3000000000000004E-2</v>
      </c>
      <c r="F764" s="7">
        <v>127</v>
      </c>
      <c r="G764" s="14">
        <v>0</v>
      </c>
      <c r="H764" s="7">
        <v>0</v>
      </c>
      <c r="I764" s="14">
        <v>8.3000000000000004E-2</v>
      </c>
      <c r="J764" s="7">
        <v>127</v>
      </c>
    </row>
    <row r="765" spans="1:10" x14ac:dyDescent="0.2">
      <c r="A765" s="9">
        <v>45111</v>
      </c>
      <c r="B765" s="4" t="s">
        <v>223</v>
      </c>
      <c r="C765" s="8">
        <v>45108</v>
      </c>
      <c r="D765" s="4" t="s">
        <v>186</v>
      </c>
      <c r="E765" s="14">
        <v>6.9400000000000003E-2</v>
      </c>
      <c r="F765" s="7">
        <v>106</v>
      </c>
      <c r="G765" s="14">
        <v>0</v>
      </c>
      <c r="H765" s="7">
        <v>0</v>
      </c>
      <c r="I765" s="14">
        <v>6.9400000000000003E-2</v>
      </c>
      <c r="J765" s="7">
        <v>106</v>
      </c>
    </row>
    <row r="766" spans="1:10" x14ac:dyDescent="0.2">
      <c r="A766" s="9">
        <v>45112</v>
      </c>
      <c r="B766" s="4" t="s">
        <v>221</v>
      </c>
      <c r="C766" s="8">
        <v>45108</v>
      </c>
      <c r="D766" s="4" t="s">
        <v>186</v>
      </c>
      <c r="E766" s="14">
        <v>8.1100000000000005E-2</v>
      </c>
      <c r="F766" s="7">
        <v>124</v>
      </c>
      <c r="G766" s="14">
        <v>0</v>
      </c>
      <c r="H766" s="7">
        <v>0</v>
      </c>
      <c r="I766" s="14">
        <v>8.1100000000000005E-2</v>
      </c>
      <c r="J766" s="7">
        <v>124</v>
      </c>
    </row>
    <row r="767" spans="1:10" x14ac:dyDescent="0.2">
      <c r="A767" s="9">
        <v>45113</v>
      </c>
      <c r="B767" s="4" t="s">
        <v>224</v>
      </c>
      <c r="C767" s="8">
        <v>45108</v>
      </c>
      <c r="D767" s="4" t="s">
        <v>186</v>
      </c>
      <c r="E767" s="14">
        <v>0.21129999999999999</v>
      </c>
      <c r="F767" s="7">
        <v>322</v>
      </c>
      <c r="G767" s="14">
        <v>0</v>
      </c>
      <c r="H767" s="7">
        <v>0</v>
      </c>
      <c r="I767" s="14">
        <v>0.21129999999999999</v>
      </c>
      <c r="J767" s="7">
        <v>322</v>
      </c>
    </row>
    <row r="768" spans="1:10" x14ac:dyDescent="0.2">
      <c r="A768" s="9">
        <v>45114</v>
      </c>
      <c r="B768" s="4" t="s">
        <v>222</v>
      </c>
      <c r="C768" s="8">
        <v>45108</v>
      </c>
      <c r="D768" s="4" t="s">
        <v>186</v>
      </c>
      <c r="E768" s="14">
        <v>0.69910000000000005</v>
      </c>
      <c r="F768" s="7">
        <v>1067</v>
      </c>
      <c r="G768" s="14">
        <v>0</v>
      </c>
      <c r="H768" s="7">
        <v>0</v>
      </c>
      <c r="I768" s="14">
        <v>0.69910000000000005</v>
      </c>
      <c r="J768" s="7">
        <v>1067</v>
      </c>
    </row>
    <row r="769" spans="1:10" x14ac:dyDescent="0.2">
      <c r="A769" s="9">
        <v>45117</v>
      </c>
      <c r="B769" s="4" t="s">
        <v>225</v>
      </c>
      <c r="C769" s="8">
        <v>45108</v>
      </c>
      <c r="D769" s="4" t="s">
        <v>186</v>
      </c>
      <c r="E769" s="14">
        <v>0.11840000000000001</v>
      </c>
      <c r="F769" s="7">
        <v>181</v>
      </c>
      <c r="G769" s="14">
        <v>0</v>
      </c>
      <c r="H769" s="7">
        <v>0</v>
      </c>
      <c r="I769" s="14">
        <v>0.11840000000000001</v>
      </c>
      <c r="J769" s="7">
        <v>181</v>
      </c>
    </row>
    <row r="770" spans="1:10" x14ac:dyDescent="0.2">
      <c r="A770" s="9">
        <v>45118</v>
      </c>
      <c r="B770" s="4" t="s">
        <v>223</v>
      </c>
      <c r="C770" s="8">
        <v>45108</v>
      </c>
      <c r="D770" s="4" t="s">
        <v>186</v>
      </c>
      <c r="E770" s="14">
        <v>0.13730000000000001</v>
      </c>
      <c r="F770" s="7">
        <v>209</v>
      </c>
      <c r="G770" s="14">
        <v>0</v>
      </c>
      <c r="H770" s="7">
        <v>0</v>
      </c>
      <c r="I770" s="14">
        <v>0.13730000000000001</v>
      </c>
      <c r="J770" s="7">
        <v>209</v>
      </c>
    </row>
    <row r="771" spans="1:10" x14ac:dyDescent="0.2">
      <c r="A771" s="9">
        <v>45119</v>
      </c>
      <c r="B771" s="4" t="s">
        <v>221</v>
      </c>
      <c r="C771" s="8">
        <v>45108</v>
      </c>
      <c r="D771" s="4" t="s">
        <v>186</v>
      </c>
      <c r="E771" s="14">
        <v>0.1096</v>
      </c>
      <c r="F771" s="7">
        <v>167</v>
      </c>
      <c r="G771" s="14">
        <v>0</v>
      </c>
      <c r="H771" s="7">
        <v>0</v>
      </c>
      <c r="I771" s="14">
        <v>0.1096</v>
      </c>
      <c r="J771" s="7">
        <v>167</v>
      </c>
    </row>
    <row r="772" spans="1:10" x14ac:dyDescent="0.2">
      <c r="A772" s="9">
        <v>45120</v>
      </c>
      <c r="B772" s="4" t="s">
        <v>224</v>
      </c>
      <c r="C772" s="8">
        <v>45108</v>
      </c>
      <c r="D772" s="4" t="s">
        <v>186</v>
      </c>
      <c r="E772" s="14">
        <v>0.45179999999999998</v>
      </c>
      <c r="F772" s="7">
        <v>687</v>
      </c>
      <c r="G772" s="14">
        <v>0</v>
      </c>
      <c r="H772" s="7">
        <v>0</v>
      </c>
      <c r="I772" s="14">
        <v>0.45179999999999998</v>
      </c>
      <c r="J772" s="7">
        <v>687</v>
      </c>
    </row>
    <row r="773" spans="1:10" x14ac:dyDescent="0.2">
      <c r="A773" s="9">
        <v>45121</v>
      </c>
      <c r="B773" s="4" t="s">
        <v>222</v>
      </c>
      <c r="C773" s="8">
        <v>45108</v>
      </c>
      <c r="D773" s="4" t="s">
        <v>186</v>
      </c>
      <c r="E773" s="14">
        <v>1.0222</v>
      </c>
      <c r="F773" s="7">
        <v>1553</v>
      </c>
      <c r="G773" s="14">
        <v>0</v>
      </c>
      <c r="H773" s="7">
        <v>0</v>
      </c>
      <c r="I773" s="14">
        <v>1.0222</v>
      </c>
      <c r="J773" s="7">
        <v>1553</v>
      </c>
    </row>
    <row r="774" spans="1:10" x14ac:dyDescent="0.2">
      <c r="A774" s="9">
        <v>45124</v>
      </c>
      <c r="B774" s="4" t="s">
        <v>225</v>
      </c>
      <c r="C774" s="8">
        <v>45108</v>
      </c>
      <c r="D774" s="4" t="s">
        <v>186</v>
      </c>
      <c r="E774" s="14">
        <v>0.39539999999999997</v>
      </c>
      <c r="F774" s="7">
        <v>597</v>
      </c>
      <c r="G774" s="14">
        <v>0</v>
      </c>
      <c r="H774" s="7">
        <v>0</v>
      </c>
      <c r="I774" s="14">
        <v>0.39539999999999997</v>
      </c>
      <c r="J774" s="7">
        <v>597</v>
      </c>
    </row>
    <row r="775" spans="1:10" x14ac:dyDescent="0.2">
      <c r="A775" s="9">
        <v>45125</v>
      </c>
      <c r="B775" s="4" t="s">
        <v>223</v>
      </c>
      <c r="C775" s="8">
        <v>45108</v>
      </c>
      <c r="D775" s="4" t="s">
        <v>186</v>
      </c>
      <c r="E775" s="14">
        <v>0.44</v>
      </c>
      <c r="F775" s="7">
        <v>660</v>
      </c>
      <c r="G775" s="14">
        <v>0</v>
      </c>
      <c r="H775" s="7">
        <v>0</v>
      </c>
      <c r="I775" s="14">
        <v>0.44</v>
      </c>
      <c r="J775" s="7">
        <v>660</v>
      </c>
    </row>
    <row r="776" spans="1:10" x14ac:dyDescent="0.2">
      <c r="A776" s="9">
        <v>45126</v>
      </c>
      <c r="B776" s="4" t="s">
        <v>221</v>
      </c>
      <c r="C776" s="8">
        <v>45108</v>
      </c>
      <c r="D776" s="4" t="s">
        <v>186</v>
      </c>
      <c r="E776" s="14">
        <v>0.2447</v>
      </c>
      <c r="F776" s="7">
        <v>366</v>
      </c>
      <c r="G776" s="14">
        <v>0</v>
      </c>
      <c r="H776" s="7">
        <v>0</v>
      </c>
      <c r="I776" s="14">
        <v>0.2447</v>
      </c>
      <c r="J776" s="7">
        <v>366</v>
      </c>
    </row>
    <row r="777" spans="1:10" x14ac:dyDescent="0.2">
      <c r="A777" s="9">
        <v>45127</v>
      </c>
      <c r="B777" s="4" t="s">
        <v>224</v>
      </c>
      <c r="C777" s="8">
        <v>45108</v>
      </c>
      <c r="D777" s="4" t="s">
        <v>186</v>
      </c>
      <c r="E777" s="14">
        <v>0.70740000000000003</v>
      </c>
      <c r="F777" s="7">
        <v>1054</v>
      </c>
      <c r="G777" s="14">
        <v>0</v>
      </c>
      <c r="H777" s="7">
        <v>0</v>
      </c>
      <c r="I777" s="14">
        <v>0.70740000000000003</v>
      </c>
      <c r="J777" s="7">
        <v>1054</v>
      </c>
    </row>
    <row r="778" spans="1:10" x14ac:dyDescent="0.2">
      <c r="A778" s="9">
        <v>45128</v>
      </c>
      <c r="B778" s="4" t="s">
        <v>222</v>
      </c>
      <c r="C778" s="8">
        <v>45108</v>
      </c>
      <c r="D778" s="4" t="s">
        <v>186</v>
      </c>
      <c r="E778" s="14">
        <v>2.3163</v>
      </c>
      <c r="F778" s="7">
        <v>3457</v>
      </c>
      <c r="G778" s="14">
        <v>0</v>
      </c>
      <c r="H778" s="7">
        <v>0</v>
      </c>
      <c r="I778" s="14">
        <v>2.3163</v>
      </c>
      <c r="J778" s="7">
        <v>3457</v>
      </c>
    </row>
    <row r="779" spans="1:10" x14ac:dyDescent="0.2">
      <c r="A779" s="9">
        <v>45131</v>
      </c>
      <c r="B779" s="4" t="s">
        <v>225</v>
      </c>
      <c r="C779" s="8">
        <v>45108</v>
      </c>
      <c r="D779" s="4" t="s">
        <v>186</v>
      </c>
      <c r="E779" s="14">
        <v>0.31059999999999999</v>
      </c>
      <c r="F779" s="7">
        <v>466</v>
      </c>
      <c r="G779" s="14">
        <v>0</v>
      </c>
      <c r="H779" s="7">
        <v>0</v>
      </c>
      <c r="I779" s="14">
        <v>0.31059999999999999</v>
      </c>
      <c r="J779" s="7">
        <v>466</v>
      </c>
    </row>
    <row r="780" spans="1:10" x14ac:dyDescent="0.2">
      <c r="A780" s="9">
        <v>45132</v>
      </c>
      <c r="B780" s="4" t="s">
        <v>223</v>
      </c>
      <c r="C780" s="8">
        <v>45108</v>
      </c>
      <c r="D780" s="4" t="s">
        <v>186</v>
      </c>
      <c r="E780" s="14">
        <v>0.28520000000000001</v>
      </c>
      <c r="F780" s="7">
        <v>429</v>
      </c>
      <c r="G780" s="14">
        <v>0</v>
      </c>
      <c r="H780" s="7">
        <v>0</v>
      </c>
      <c r="I780" s="14">
        <v>0.28520000000000001</v>
      </c>
      <c r="J780" s="7">
        <v>429</v>
      </c>
    </row>
    <row r="781" spans="1:10" x14ac:dyDescent="0.2">
      <c r="A781" s="9">
        <v>45133</v>
      </c>
      <c r="B781" s="4" t="s">
        <v>221</v>
      </c>
      <c r="C781" s="8">
        <v>45108</v>
      </c>
      <c r="D781" s="4" t="s">
        <v>186</v>
      </c>
      <c r="E781" s="14">
        <v>0.28770000000000001</v>
      </c>
      <c r="F781" s="7">
        <v>431</v>
      </c>
      <c r="G781" s="14">
        <v>0</v>
      </c>
      <c r="H781" s="7">
        <v>0</v>
      </c>
      <c r="I781" s="14">
        <v>0.28770000000000001</v>
      </c>
      <c r="J781" s="7">
        <v>431</v>
      </c>
    </row>
    <row r="782" spans="1:10" x14ac:dyDescent="0.2">
      <c r="A782" s="9">
        <v>45134</v>
      </c>
      <c r="B782" s="4" t="s">
        <v>224</v>
      </c>
      <c r="C782" s="8">
        <v>45108</v>
      </c>
      <c r="D782" s="4" t="s">
        <v>186</v>
      </c>
      <c r="E782" s="14">
        <v>0.67479999999999996</v>
      </c>
      <c r="F782" s="7">
        <v>1014</v>
      </c>
      <c r="G782" s="14">
        <v>0</v>
      </c>
      <c r="H782" s="7">
        <v>0</v>
      </c>
      <c r="I782" s="14">
        <v>0.67479999999999996</v>
      </c>
      <c r="J782" s="7">
        <v>1014</v>
      </c>
    </row>
    <row r="783" spans="1:10" x14ac:dyDescent="0.2">
      <c r="A783" s="9">
        <v>45135</v>
      </c>
      <c r="B783" s="4" t="s">
        <v>222</v>
      </c>
      <c r="C783" s="8">
        <v>45108</v>
      </c>
      <c r="D783" s="4" t="s">
        <v>186</v>
      </c>
      <c r="E783" s="14">
        <v>1.4558</v>
      </c>
      <c r="F783" s="7">
        <v>2203</v>
      </c>
      <c r="G783" s="14">
        <v>0</v>
      </c>
      <c r="H783" s="7">
        <v>0</v>
      </c>
      <c r="I783" s="14">
        <v>1.4558</v>
      </c>
      <c r="J783" s="7">
        <v>2203</v>
      </c>
    </row>
    <row r="784" spans="1:10" x14ac:dyDescent="0.2">
      <c r="A784" s="9">
        <v>45138</v>
      </c>
      <c r="B784" s="4" t="s">
        <v>225</v>
      </c>
      <c r="C784" s="8">
        <v>45108</v>
      </c>
      <c r="D784" s="4" t="s">
        <v>186</v>
      </c>
      <c r="E784" s="14">
        <v>0.19400000000000001</v>
      </c>
      <c r="F784" s="7">
        <v>292</v>
      </c>
      <c r="G784" s="14">
        <v>0</v>
      </c>
      <c r="H784" s="7">
        <v>0</v>
      </c>
      <c r="I784" s="14">
        <v>0.19400000000000001</v>
      </c>
      <c r="J784" s="7">
        <v>292</v>
      </c>
    </row>
    <row r="785" spans="1:10" x14ac:dyDescent="0.2">
      <c r="A785" s="9">
        <v>45139</v>
      </c>
      <c r="B785" s="4" t="s">
        <v>223</v>
      </c>
      <c r="C785" s="8">
        <v>45139</v>
      </c>
      <c r="D785" s="4" t="s">
        <v>186</v>
      </c>
      <c r="E785" s="14">
        <v>0.1045</v>
      </c>
      <c r="F785" s="7">
        <v>157</v>
      </c>
      <c r="G785" s="14">
        <v>0</v>
      </c>
      <c r="H785" s="7">
        <v>0</v>
      </c>
      <c r="I785" s="14">
        <v>0.1045</v>
      </c>
      <c r="J785" s="7">
        <v>157</v>
      </c>
    </row>
    <row r="786" spans="1:10" x14ac:dyDescent="0.2">
      <c r="A786" s="9">
        <v>45140</v>
      </c>
      <c r="B786" s="4" t="s">
        <v>221</v>
      </c>
      <c r="C786" s="8">
        <v>45139</v>
      </c>
      <c r="D786" s="4" t="s">
        <v>186</v>
      </c>
      <c r="E786" s="14">
        <v>0.50590000000000002</v>
      </c>
      <c r="F786" s="7">
        <v>768</v>
      </c>
      <c r="G786" s="14">
        <v>0</v>
      </c>
      <c r="H786" s="7">
        <v>0</v>
      </c>
      <c r="I786" s="14">
        <v>0.50590000000000002</v>
      </c>
      <c r="J786" s="7">
        <v>768</v>
      </c>
    </row>
    <row r="787" spans="1:10" x14ac:dyDescent="0.2">
      <c r="A787" s="9">
        <v>45141</v>
      </c>
      <c r="B787" s="4" t="s">
        <v>224</v>
      </c>
      <c r="C787" s="8">
        <v>45139</v>
      </c>
      <c r="D787" s="4" t="s">
        <v>186</v>
      </c>
      <c r="E787" s="14">
        <v>0.87409999999999999</v>
      </c>
      <c r="F787" s="7">
        <v>1335</v>
      </c>
      <c r="G787" s="14">
        <v>0</v>
      </c>
      <c r="H787" s="7">
        <v>0</v>
      </c>
      <c r="I787" s="14">
        <v>0.87409999999999999</v>
      </c>
      <c r="J787" s="7">
        <v>1335</v>
      </c>
    </row>
    <row r="788" spans="1:10" x14ac:dyDescent="0.2">
      <c r="A788" s="9">
        <v>45142</v>
      </c>
      <c r="B788" s="4" t="s">
        <v>222</v>
      </c>
      <c r="C788" s="8">
        <v>45139</v>
      </c>
      <c r="D788" s="4" t="s">
        <v>186</v>
      </c>
      <c r="E788" s="14">
        <v>1.5541</v>
      </c>
      <c r="F788" s="7">
        <v>2369</v>
      </c>
      <c r="G788" s="14">
        <v>0</v>
      </c>
      <c r="H788" s="7">
        <v>0</v>
      </c>
      <c r="I788" s="14">
        <v>1.5541</v>
      </c>
      <c r="J788" s="7">
        <v>2369</v>
      </c>
    </row>
    <row r="789" spans="1:10" x14ac:dyDescent="0.2">
      <c r="A789" s="9">
        <v>45145</v>
      </c>
      <c r="B789" s="4" t="s">
        <v>225</v>
      </c>
      <c r="C789" s="8">
        <v>45139</v>
      </c>
      <c r="D789" s="4" t="s">
        <v>186</v>
      </c>
      <c r="E789" s="14">
        <v>0.1075</v>
      </c>
      <c r="F789" s="7">
        <v>163</v>
      </c>
      <c r="G789" s="14">
        <v>0</v>
      </c>
      <c r="H789" s="7">
        <v>0</v>
      </c>
      <c r="I789" s="14">
        <v>0.1075</v>
      </c>
      <c r="J789" s="7">
        <v>163</v>
      </c>
    </row>
    <row r="790" spans="1:10" x14ac:dyDescent="0.2">
      <c r="A790" s="9">
        <v>45146</v>
      </c>
      <c r="B790" s="4" t="s">
        <v>223</v>
      </c>
      <c r="C790" s="8">
        <v>45139</v>
      </c>
      <c r="D790" s="4" t="s">
        <v>186</v>
      </c>
      <c r="E790" s="14">
        <v>0.1497</v>
      </c>
      <c r="F790" s="7">
        <v>227</v>
      </c>
      <c r="G790" s="14">
        <v>0</v>
      </c>
      <c r="H790" s="7">
        <v>0</v>
      </c>
      <c r="I790" s="14">
        <v>0.1497</v>
      </c>
      <c r="J790" s="7">
        <v>227</v>
      </c>
    </row>
    <row r="791" spans="1:10" x14ac:dyDescent="0.2">
      <c r="A791" s="9">
        <v>45147</v>
      </c>
      <c r="B791" s="4" t="s">
        <v>221</v>
      </c>
      <c r="C791" s="8">
        <v>45139</v>
      </c>
      <c r="D791" s="4" t="s">
        <v>186</v>
      </c>
      <c r="E791" s="14">
        <v>0.21379999999999999</v>
      </c>
      <c r="F791" s="7">
        <v>325</v>
      </c>
      <c r="G791" s="14">
        <v>0</v>
      </c>
      <c r="H791" s="7">
        <v>0</v>
      </c>
      <c r="I791" s="14">
        <v>0.21379999999999999</v>
      </c>
      <c r="J791" s="7">
        <v>325</v>
      </c>
    </row>
    <row r="792" spans="1:10" x14ac:dyDescent="0.2">
      <c r="A792" s="9">
        <v>45148</v>
      </c>
      <c r="B792" s="4" t="s">
        <v>224</v>
      </c>
      <c r="C792" s="8">
        <v>45139</v>
      </c>
      <c r="D792" s="4" t="s">
        <v>186</v>
      </c>
      <c r="E792" s="14">
        <v>1.0333000000000001</v>
      </c>
      <c r="F792" s="7">
        <v>1571</v>
      </c>
      <c r="G792" s="14">
        <v>0</v>
      </c>
      <c r="H792" s="7">
        <v>0</v>
      </c>
      <c r="I792" s="14">
        <v>1.0333000000000001</v>
      </c>
      <c r="J792" s="7">
        <v>1571</v>
      </c>
    </row>
    <row r="793" spans="1:10" x14ac:dyDescent="0.2">
      <c r="A793" s="9">
        <v>45149</v>
      </c>
      <c r="B793" s="4" t="s">
        <v>222</v>
      </c>
      <c r="C793" s="8">
        <v>45139</v>
      </c>
      <c r="D793" s="4" t="s">
        <v>186</v>
      </c>
      <c r="E793" s="14">
        <v>0.94350000000000001</v>
      </c>
      <c r="F793" s="7">
        <v>1441</v>
      </c>
      <c r="G793" s="14">
        <v>0</v>
      </c>
      <c r="H793" s="7">
        <v>0</v>
      </c>
      <c r="I793" s="14">
        <v>0.94350000000000001</v>
      </c>
      <c r="J793" s="7">
        <v>1441</v>
      </c>
    </row>
    <row r="794" spans="1:10" x14ac:dyDescent="0.2">
      <c r="A794" s="9">
        <v>45152</v>
      </c>
      <c r="B794" s="4" t="s">
        <v>225</v>
      </c>
      <c r="C794" s="8">
        <v>45139</v>
      </c>
      <c r="D794" s="4" t="s">
        <v>186</v>
      </c>
      <c r="E794" s="14">
        <v>0.17230000000000001</v>
      </c>
      <c r="F794" s="7">
        <v>264</v>
      </c>
      <c r="G794" s="14">
        <v>0</v>
      </c>
      <c r="H794" s="7">
        <v>0</v>
      </c>
      <c r="I794" s="14">
        <v>0.17230000000000001</v>
      </c>
      <c r="J794" s="7">
        <v>264</v>
      </c>
    </row>
    <row r="795" spans="1:10" x14ac:dyDescent="0.2">
      <c r="A795" s="9">
        <v>45154</v>
      </c>
      <c r="B795" s="4" t="s">
        <v>221</v>
      </c>
      <c r="C795" s="8">
        <v>45139</v>
      </c>
      <c r="D795" s="4" t="s">
        <v>186</v>
      </c>
      <c r="E795" s="14">
        <v>0.14499999999999999</v>
      </c>
      <c r="F795" s="7">
        <v>222</v>
      </c>
      <c r="G795" s="14">
        <v>0</v>
      </c>
      <c r="H795" s="7">
        <v>0</v>
      </c>
      <c r="I795" s="14">
        <v>0.14499999999999999</v>
      </c>
      <c r="J795" s="7">
        <v>222</v>
      </c>
    </row>
    <row r="796" spans="1:10" x14ac:dyDescent="0.2">
      <c r="A796" s="9">
        <v>45155</v>
      </c>
      <c r="B796" s="4" t="s">
        <v>224</v>
      </c>
      <c r="C796" s="8">
        <v>45139</v>
      </c>
      <c r="D796" s="4" t="s">
        <v>186</v>
      </c>
      <c r="E796" s="14">
        <v>0.35049999999999998</v>
      </c>
      <c r="F796" s="7">
        <v>537</v>
      </c>
      <c r="G796" s="14">
        <v>0</v>
      </c>
      <c r="H796" s="7">
        <v>0</v>
      </c>
      <c r="I796" s="14">
        <v>0.35049999999999998</v>
      </c>
      <c r="J796" s="7">
        <v>537</v>
      </c>
    </row>
    <row r="797" spans="1:10" x14ac:dyDescent="0.2">
      <c r="A797" s="9">
        <v>45156</v>
      </c>
      <c r="B797" s="4" t="s">
        <v>222</v>
      </c>
      <c r="C797" s="8">
        <v>45139</v>
      </c>
      <c r="D797" s="4" t="s">
        <v>186</v>
      </c>
      <c r="E797" s="14">
        <v>1.3471</v>
      </c>
      <c r="F797" s="7">
        <v>2074</v>
      </c>
      <c r="G797" s="14">
        <v>0</v>
      </c>
      <c r="H797" s="7">
        <v>0</v>
      </c>
      <c r="I797" s="14">
        <v>1.3471</v>
      </c>
      <c r="J797" s="7">
        <v>2074</v>
      </c>
    </row>
    <row r="798" spans="1:10" x14ac:dyDescent="0.2">
      <c r="A798" s="9">
        <v>45159</v>
      </c>
      <c r="B798" s="4" t="s">
        <v>225</v>
      </c>
      <c r="C798" s="8">
        <v>45139</v>
      </c>
      <c r="D798" s="4" t="s">
        <v>186</v>
      </c>
      <c r="E798" s="14">
        <v>0.30359999999999998</v>
      </c>
      <c r="F798" s="7">
        <v>466</v>
      </c>
      <c r="G798" s="14">
        <v>0</v>
      </c>
      <c r="H798" s="7">
        <v>0</v>
      </c>
      <c r="I798" s="14">
        <v>0.30359999999999998</v>
      </c>
      <c r="J798" s="7">
        <v>466</v>
      </c>
    </row>
    <row r="799" spans="1:10" x14ac:dyDescent="0.2">
      <c r="A799" s="9">
        <v>45160</v>
      </c>
      <c r="B799" s="4" t="s">
        <v>223</v>
      </c>
      <c r="C799" s="8">
        <v>45139</v>
      </c>
      <c r="D799" s="4" t="s">
        <v>186</v>
      </c>
      <c r="E799" s="14">
        <v>0.1331</v>
      </c>
      <c r="F799" s="7">
        <v>204</v>
      </c>
      <c r="G799" s="14">
        <v>0</v>
      </c>
      <c r="H799" s="7">
        <v>0</v>
      </c>
      <c r="I799" s="14">
        <v>0.1331</v>
      </c>
      <c r="J799" s="7">
        <v>204</v>
      </c>
    </row>
    <row r="800" spans="1:10" x14ac:dyDescent="0.2">
      <c r="A800" s="9">
        <v>45161</v>
      </c>
      <c r="B800" s="4" t="s">
        <v>221</v>
      </c>
      <c r="C800" s="8">
        <v>45139</v>
      </c>
      <c r="D800" s="4" t="s">
        <v>186</v>
      </c>
      <c r="E800" s="14">
        <v>0.27810000000000001</v>
      </c>
      <c r="F800" s="7">
        <v>426</v>
      </c>
      <c r="G800" s="14">
        <v>0</v>
      </c>
      <c r="H800" s="7">
        <v>0</v>
      </c>
      <c r="I800" s="14">
        <v>0.27810000000000001</v>
      </c>
      <c r="J800" s="7">
        <v>426</v>
      </c>
    </row>
    <row r="801" spans="1:10" x14ac:dyDescent="0.2">
      <c r="A801" s="9">
        <v>45162</v>
      </c>
      <c r="B801" s="4" t="s">
        <v>224</v>
      </c>
      <c r="C801" s="8">
        <v>45139</v>
      </c>
      <c r="D801" s="4" t="s">
        <v>186</v>
      </c>
      <c r="E801" s="14">
        <v>0.64949999999999997</v>
      </c>
      <c r="F801" s="7">
        <v>991</v>
      </c>
      <c r="G801" s="14">
        <v>0</v>
      </c>
      <c r="H801" s="7">
        <v>0</v>
      </c>
      <c r="I801" s="14">
        <v>0.64949999999999997</v>
      </c>
      <c r="J801" s="7">
        <v>991</v>
      </c>
    </row>
    <row r="802" spans="1:10" x14ac:dyDescent="0.2">
      <c r="A802" s="9">
        <v>45163</v>
      </c>
      <c r="B802" s="4" t="s">
        <v>222</v>
      </c>
      <c r="C802" s="8">
        <v>45139</v>
      </c>
      <c r="D802" s="4" t="s">
        <v>186</v>
      </c>
      <c r="E802" s="14">
        <v>1.8357000000000001</v>
      </c>
      <c r="F802" s="7">
        <v>2827</v>
      </c>
      <c r="G802" s="14">
        <v>0</v>
      </c>
      <c r="H802" s="7">
        <v>0</v>
      </c>
      <c r="I802" s="14">
        <v>1.8357000000000001</v>
      </c>
      <c r="J802" s="7">
        <v>2827</v>
      </c>
    </row>
    <row r="803" spans="1:10" x14ac:dyDescent="0.2">
      <c r="A803" s="9">
        <v>45166</v>
      </c>
      <c r="B803" s="4" t="s">
        <v>225</v>
      </c>
      <c r="C803" s="8">
        <v>45139</v>
      </c>
      <c r="D803" s="4" t="s">
        <v>186</v>
      </c>
      <c r="E803" s="14">
        <v>0.12759999999999999</v>
      </c>
      <c r="F803" s="7">
        <v>196</v>
      </c>
      <c r="G803" s="14">
        <v>0</v>
      </c>
      <c r="H803" s="7">
        <v>0</v>
      </c>
      <c r="I803" s="14">
        <v>0.12759999999999999</v>
      </c>
      <c r="J803" s="7">
        <v>196</v>
      </c>
    </row>
    <row r="804" spans="1:10" x14ac:dyDescent="0.2">
      <c r="A804" s="9">
        <v>45167</v>
      </c>
      <c r="B804" s="4" t="s">
        <v>223</v>
      </c>
      <c r="C804" s="8">
        <v>45139</v>
      </c>
      <c r="D804" s="4" t="s">
        <v>186</v>
      </c>
      <c r="E804" s="14">
        <v>0.15559999999999999</v>
      </c>
      <c r="F804" s="7">
        <v>239</v>
      </c>
      <c r="G804" s="14">
        <v>0</v>
      </c>
      <c r="H804" s="7">
        <v>0</v>
      </c>
      <c r="I804" s="14">
        <v>0.15559999999999999</v>
      </c>
      <c r="J804" s="7">
        <v>239</v>
      </c>
    </row>
    <row r="805" spans="1:10" x14ac:dyDescent="0.2">
      <c r="A805" s="9">
        <v>45168</v>
      </c>
      <c r="B805" s="4" t="s">
        <v>221</v>
      </c>
      <c r="C805" s="8">
        <v>45139</v>
      </c>
      <c r="D805" s="4" t="s">
        <v>186</v>
      </c>
      <c r="E805" s="14">
        <v>0.30809999999999998</v>
      </c>
      <c r="F805" s="7">
        <v>472</v>
      </c>
      <c r="G805" s="14">
        <v>0</v>
      </c>
      <c r="H805" s="7">
        <v>0</v>
      </c>
      <c r="I805" s="14">
        <v>0.30809999999999998</v>
      </c>
      <c r="J805" s="7">
        <v>472</v>
      </c>
    </row>
    <row r="806" spans="1:10" x14ac:dyDescent="0.2">
      <c r="A806" s="9">
        <v>45169</v>
      </c>
      <c r="B806" s="4" t="s">
        <v>224</v>
      </c>
      <c r="C806" s="8">
        <v>45139</v>
      </c>
      <c r="D806" s="4" t="s">
        <v>186</v>
      </c>
      <c r="E806" s="14">
        <v>0.3735</v>
      </c>
      <c r="F806" s="7">
        <v>574</v>
      </c>
      <c r="G806" s="14">
        <v>0</v>
      </c>
      <c r="H806" s="7">
        <v>0</v>
      </c>
      <c r="I806" s="14">
        <v>0.3735</v>
      </c>
      <c r="J806" s="7">
        <v>574</v>
      </c>
    </row>
    <row r="807" spans="1:10" x14ac:dyDescent="0.2">
      <c r="A807" s="9">
        <v>45170</v>
      </c>
      <c r="B807" s="4" t="s">
        <v>222</v>
      </c>
      <c r="C807" s="8">
        <v>45170</v>
      </c>
      <c r="D807" s="4" t="s">
        <v>186</v>
      </c>
      <c r="E807" s="14">
        <v>1.4957</v>
      </c>
      <c r="F807" s="7">
        <v>2295</v>
      </c>
      <c r="G807" s="14">
        <v>0</v>
      </c>
      <c r="H807" s="7">
        <v>0</v>
      </c>
      <c r="I807" s="14">
        <v>1.4957</v>
      </c>
      <c r="J807" s="7">
        <v>2295</v>
      </c>
    </row>
    <row r="808" spans="1:10" x14ac:dyDescent="0.2">
      <c r="A808" s="9">
        <v>45173</v>
      </c>
      <c r="B808" s="4" t="s">
        <v>225</v>
      </c>
      <c r="C808" s="8">
        <v>45170</v>
      </c>
      <c r="D808" s="4" t="s">
        <v>186</v>
      </c>
      <c r="E808" s="14">
        <v>0.1908</v>
      </c>
      <c r="F808" s="7">
        <v>291</v>
      </c>
      <c r="G808" s="14">
        <v>0</v>
      </c>
      <c r="H808" s="7">
        <v>0</v>
      </c>
      <c r="I808" s="14">
        <v>0.1908</v>
      </c>
      <c r="J808" s="7">
        <v>291</v>
      </c>
    </row>
    <row r="809" spans="1:10" x14ac:dyDescent="0.2">
      <c r="A809" s="9">
        <v>45174</v>
      </c>
      <c r="B809" s="4" t="s">
        <v>223</v>
      </c>
      <c r="C809" s="8">
        <v>45170</v>
      </c>
      <c r="D809" s="4" t="s">
        <v>186</v>
      </c>
      <c r="E809" s="14">
        <v>0.1236</v>
      </c>
      <c r="F809" s="7">
        <v>188</v>
      </c>
      <c r="G809" s="14">
        <v>0</v>
      </c>
      <c r="H809" s="7">
        <v>0</v>
      </c>
      <c r="I809" s="14">
        <v>0.1236</v>
      </c>
      <c r="J809" s="7">
        <v>188</v>
      </c>
    </row>
    <row r="810" spans="1:10" x14ac:dyDescent="0.2">
      <c r="A810" s="9">
        <v>45175</v>
      </c>
      <c r="B810" s="4" t="s">
        <v>221</v>
      </c>
      <c r="C810" s="8">
        <v>45170</v>
      </c>
      <c r="D810" s="4" t="s">
        <v>186</v>
      </c>
      <c r="E810" s="14">
        <v>0.28849999999999998</v>
      </c>
      <c r="F810" s="7">
        <v>439</v>
      </c>
      <c r="G810" s="14">
        <v>0</v>
      </c>
      <c r="H810" s="7">
        <v>0</v>
      </c>
      <c r="I810" s="14">
        <v>0.28849999999999998</v>
      </c>
      <c r="J810" s="7">
        <v>439</v>
      </c>
    </row>
    <row r="811" spans="1:10" x14ac:dyDescent="0.2">
      <c r="A811" s="9">
        <v>45176</v>
      </c>
      <c r="B811" s="4" t="s">
        <v>224</v>
      </c>
      <c r="C811" s="8">
        <v>45170</v>
      </c>
      <c r="D811" s="4" t="s">
        <v>186</v>
      </c>
      <c r="E811" s="14">
        <v>0.43490000000000001</v>
      </c>
      <c r="F811" s="7">
        <v>659</v>
      </c>
      <c r="G811" s="14">
        <v>0</v>
      </c>
      <c r="H811" s="7">
        <v>0</v>
      </c>
      <c r="I811" s="14">
        <v>0.43490000000000001</v>
      </c>
      <c r="J811" s="7">
        <v>659</v>
      </c>
    </row>
    <row r="812" spans="1:10" x14ac:dyDescent="0.2">
      <c r="A812" s="9">
        <v>45177</v>
      </c>
      <c r="B812" s="4" t="s">
        <v>222</v>
      </c>
      <c r="C812" s="8">
        <v>45170</v>
      </c>
      <c r="D812" s="4" t="s">
        <v>186</v>
      </c>
      <c r="E812" s="14">
        <v>2.7189999999999999</v>
      </c>
      <c r="F812" s="7">
        <v>4096</v>
      </c>
      <c r="G812" s="14">
        <v>0</v>
      </c>
      <c r="H812" s="7">
        <v>0</v>
      </c>
      <c r="I812" s="14">
        <v>2.7189999999999999</v>
      </c>
      <c r="J812" s="7">
        <v>4096</v>
      </c>
    </row>
    <row r="813" spans="1:10" x14ac:dyDescent="0.2">
      <c r="A813" s="9">
        <v>45180</v>
      </c>
      <c r="B813" s="4" t="s">
        <v>225</v>
      </c>
      <c r="C813" s="8">
        <v>45170</v>
      </c>
      <c r="D813" s="4" t="s">
        <v>186</v>
      </c>
      <c r="E813" s="14">
        <v>0.16600000000000001</v>
      </c>
      <c r="F813" s="7">
        <v>248</v>
      </c>
      <c r="G813" s="14">
        <v>0</v>
      </c>
      <c r="H813" s="7">
        <v>0</v>
      </c>
      <c r="I813" s="14">
        <v>0.16600000000000001</v>
      </c>
      <c r="J813" s="7">
        <v>248</v>
      </c>
    </row>
    <row r="814" spans="1:10" x14ac:dyDescent="0.2">
      <c r="A814" s="9">
        <v>45181</v>
      </c>
      <c r="B814" s="4" t="s">
        <v>223</v>
      </c>
      <c r="C814" s="8">
        <v>45170</v>
      </c>
      <c r="D814" s="4" t="s">
        <v>186</v>
      </c>
      <c r="E814" s="14">
        <v>0.29380000000000001</v>
      </c>
      <c r="F814" s="7">
        <v>437</v>
      </c>
      <c r="G814" s="14">
        <v>0</v>
      </c>
      <c r="H814" s="7">
        <v>0</v>
      </c>
      <c r="I814" s="14">
        <v>0.29380000000000001</v>
      </c>
      <c r="J814" s="7">
        <v>437</v>
      </c>
    </row>
    <row r="815" spans="1:10" x14ac:dyDescent="0.2">
      <c r="A815" s="9">
        <v>45182</v>
      </c>
      <c r="B815" s="4" t="s">
        <v>221</v>
      </c>
      <c r="C815" s="8">
        <v>45170</v>
      </c>
      <c r="D815" s="4" t="s">
        <v>186</v>
      </c>
      <c r="E815" s="14">
        <v>0.17249999999999999</v>
      </c>
      <c r="F815" s="7">
        <v>256</v>
      </c>
      <c r="G815" s="14">
        <v>0</v>
      </c>
      <c r="H815" s="7">
        <v>0</v>
      </c>
      <c r="I815" s="14">
        <v>0.17249999999999999</v>
      </c>
      <c r="J815" s="7">
        <v>256</v>
      </c>
    </row>
    <row r="816" spans="1:10" x14ac:dyDescent="0.2">
      <c r="A816" s="9">
        <v>45183</v>
      </c>
      <c r="B816" s="4" t="s">
        <v>224</v>
      </c>
      <c r="C816" s="8">
        <v>45170</v>
      </c>
      <c r="D816" s="4" t="s">
        <v>186</v>
      </c>
      <c r="E816" s="14">
        <v>0.37369999999999998</v>
      </c>
      <c r="F816" s="7">
        <v>553</v>
      </c>
      <c r="G816" s="14">
        <v>0</v>
      </c>
      <c r="H816" s="7">
        <v>0</v>
      </c>
      <c r="I816" s="14">
        <v>0.37369999999999998</v>
      </c>
      <c r="J816" s="7">
        <v>553</v>
      </c>
    </row>
    <row r="817" spans="1:10" x14ac:dyDescent="0.2">
      <c r="A817" s="9">
        <v>45184</v>
      </c>
      <c r="B817" s="4" t="s">
        <v>222</v>
      </c>
      <c r="C817" s="8">
        <v>45170</v>
      </c>
      <c r="D817" s="4" t="s">
        <v>186</v>
      </c>
      <c r="E817" s="14">
        <v>0.78859999999999997</v>
      </c>
      <c r="F817" s="7">
        <v>1163</v>
      </c>
      <c r="G817" s="14">
        <v>0</v>
      </c>
      <c r="H817" s="7">
        <v>0</v>
      </c>
      <c r="I817" s="14">
        <v>0.78859999999999997</v>
      </c>
      <c r="J817" s="7">
        <v>1163</v>
      </c>
    </row>
    <row r="818" spans="1:10" x14ac:dyDescent="0.2">
      <c r="A818" s="9">
        <v>45187</v>
      </c>
      <c r="B818" s="4" t="s">
        <v>225</v>
      </c>
      <c r="C818" s="8">
        <v>45170</v>
      </c>
      <c r="D818" s="4" t="s">
        <v>186</v>
      </c>
      <c r="E818" s="14">
        <v>0.1051</v>
      </c>
      <c r="F818" s="7">
        <v>155</v>
      </c>
      <c r="G818" s="14">
        <v>0</v>
      </c>
      <c r="H818" s="7">
        <v>0</v>
      </c>
      <c r="I818" s="14">
        <v>0.1051</v>
      </c>
      <c r="J818" s="7">
        <v>155</v>
      </c>
    </row>
    <row r="819" spans="1:10" x14ac:dyDescent="0.2">
      <c r="A819" s="9">
        <v>45189</v>
      </c>
      <c r="B819" s="4" t="s">
        <v>221</v>
      </c>
      <c r="C819" s="8">
        <v>45170</v>
      </c>
      <c r="D819" s="4" t="s">
        <v>186</v>
      </c>
      <c r="E819" s="14">
        <v>0.41539999999999999</v>
      </c>
      <c r="F819" s="7">
        <v>619</v>
      </c>
      <c r="G819" s="14">
        <v>0</v>
      </c>
      <c r="H819" s="7">
        <v>0</v>
      </c>
      <c r="I819" s="14">
        <v>0.41539999999999999</v>
      </c>
      <c r="J819" s="7">
        <v>619</v>
      </c>
    </row>
    <row r="820" spans="1:10" x14ac:dyDescent="0.2">
      <c r="A820" s="9">
        <v>45190</v>
      </c>
      <c r="B820" s="4" t="s">
        <v>224</v>
      </c>
      <c r="C820" s="8">
        <v>45170</v>
      </c>
      <c r="D820" s="4" t="s">
        <v>186</v>
      </c>
      <c r="E820" s="14">
        <v>0.65029999999999999</v>
      </c>
      <c r="F820" s="7">
        <v>980</v>
      </c>
      <c r="G820" s="14">
        <v>0</v>
      </c>
      <c r="H820" s="7">
        <v>0</v>
      </c>
      <c r="I820" s="14">
        <v>0.65029999999999999</v>
      </c>
      <c r="J820" s="7">
        <v>980</v>
      </c>
    </row>
    <row r="821" spans="1:10" x14ac:dyDescent="0.2">
      <c r="A821" s="9">
        <v>45191</v>
      </c>
      <c r="B821" s="4" t="s">
        <v>222</v>
      </c>
      <c r="C821" s="8">
        <v>45170</v>
      </c>
      <c r="D821" s="4" t="s">
        <v>186</v>
      </c>
      <c r="E821" s="14">
        <v>1.5411999999999999</v>
      </c>
      <c r="F821" s="7">
        <v>2330</v>
      </c>
      <c r="G821" s="14">
        <v>0</v>
      </c>
      <c r="H821" s="7">
        <v>0</v>
      </c>
      <c r="I821" s="14">
        <v>1.5411999999999999</v>
      </c>
      <c r="J821" s="7">
        <v>2330</v>
      </c>
    </row>
    <row r="822" spans="1:10" x14ac:dyDescent="0.2">
      <c r="A822" s="9">
        <v>45194</v>
      </c>
      <c r="B822" s="4" t="s">
        <v>225</v>
      </c>
      <c r="C822" s="8">
        <v>45170</v>
      </c>
      <c r="D822" s="4" t="s">
        <v>186</v>
      </c>
      <c r="E822" s="14">
        <v>0.32050000000000001</v>
      </c>
      <c r="F822" s="7">
        <v>485</v>
      </c>
      <c r="G822" s="14">
        <v>0</v>
      </c>
      <c r="H822" s="7">
        <v>0</v>
      </c>
      <c r="I822" s="14">
        <v>0.32050000000000001</v>
      </c>
      <c r="J822" s="7">
        <v>485</v>
      </c>
    </row>
    <row r="823" spans="1:10" x14ac:dyDescent="0.2">
      <c r="A823" s="9">
        <v>45195</v>
      </c>
      <c r="B823" s="4" t="s">
        <v>223</v>
      </c>
      <c r="C823" s="8">
        <v>45170</v>
      </c>
      <c r="D823" s="4" t="s">
        <v>186</v>
      </c>
      <c r="E823" s="14">
        <v>0.27739999999999998</v>
      </c>
      <c r="F823" s="7">
        <v>420</v>
      </c>
      <c r="G823" s="14">
        <v>0</v>
      </c>
      <c r="H823" s="7">
        <v>0</v>
      </c>
      <c r="I823" s="14">
        <v>0.27739999999999998</v>
      </c>
      <c r="J823" s="7">
        <v>420</v>
      </c>
    </row>
    <row r="824" spans="1:10" x14ac:dyDescent="0.2">
      <c r="A824" s="9">
        <v>45196</v>
      </c>
      <c r="B824" s="4" t="s">
        <v>221</v>
      </c>
      <c r="C824" s="8">
        <v>45170</v>
      </c>
      <c r="D824" s="4" t="s">
        <v>186</v>
      </c>
      <c r="E824" s="14">
        <v>0.41689999999999999</v>
      </c>
      <c r="F824" s="7">
        <v>633</v>
      </c>
      <c r="G824" s="14">
        <v>0</v>
      </c>
      <c r="H824" s="7">
        <v>0</v>
      </c>
      <c r="I824" s="14">
        <v>0.41689999999999999</v>
      </c>
      <c r="J824" s="7">
        <v>633</v>
      </c>
    </row>
    <row r="825" spans="1:10" x14ac:dyDescent="0.2">
      <c r="A825" s="9">
        <v>45197</v>
      </c>
      <c r="B825" s="4" t="s">
        <v>224</v>
      </c>
      <c r="C825" s="8">
        <v>45170</v>
      </c>
      <c r="D825" s="4" t="s">
        <v>186</v>
      </c>
      <c r="E825" s="14">
        <v>0.76049999999999995</v>
      </c>
      <c r="F825" s="7">
        <v>1154</v>
      </c>
      <c r="G825" s="14">
        <v>0</v>
      </c>
      <c r="H825" s="7">
        <v>0</v>
      </c>
      <c r="I825" s="14">
        <v>0.76049999999999995</v>
      </c>
      <c r="J825" s="7">
        <v>1154</v>
      </c>
    </row>
    <row r="826" spans="1:10" x14ac:dyDescent="0.2">
      <c r="A826" s="9">
        <v>45198</v>
      </c>
      <c r="B826" s="4" t="s">
        <v>222</v>
      </c>
      <c r="C826" s="8">
        <v>45170</v>
      </c>
      <c r="D826" s="4" t="s">
        <v>186</v>
      </c>
      <c r="E826" s="14">
        <v>0.6552</v>
      </c>
      <c r="F826" s="7">
        <v>995</v>
      </c>
      <c r="G826" s="14">
        <v>0</v>
      </c>
      <c r="H826" s="7">
        <v>0</v>
      </c>
      <c r="I826" s="14">
        <v>0.6552</v>
      </c>
      <c r="J826" s="7">
        <v>995</v>
      </c>
    </row>
    <row r="827" spans="1:10" x14ac:dyDescent="0.2">
      <c r="A827" s="9">
        <v>45202</v>
      </c>
      <c r="B827" s="4" t="s">
        <v>223</v>
      </c>
      <c r="C827" s="8">
        <v>45200</v>
      </c>
      <c r="D827" s="4" t="s">
        <v>187</v>
      </c>
      <c r="E827" s="14">
        <v>0.1206</v>
      </c>
      <c r="F827" s="7">
        <v>184</v>
      </c>
      <c r="G827" s="14">
        <v>0</v>
      </c>
      <c r="H827" s="7">
        <v>0</v>
      </c>
      <c r="I827" s="14">
        <v>0.1206</v>
      </c>
      <c r="J827" s="7">
        <v>184</v>
      </c>
    </row>
    <row r="828" spans="1:10" x14ac:dyDescent="0.2">
      <c r="A828" s="9">
        <v>45203</v>
      </c>
      <c r="B828" s="4" t="s">
        <v>221</v>
      </c>
      <c r="C828" s="8">
        <v>45200</v>
      </c>
      <c r="D828" s="4" t="s">
        <v>187</v>
      </c>
      <c r="E828" s="14">
        <v>0.15229999999999999</v>
      </c>
      <c r="F828" s="7">
        <v>234</v>
      </c>
      <c r="G828" s="14">
        <v>0</v>
      </c>
      <c r="H828" s="7">
        <v>0</v>
      </c>
      <c r="I828" s="14">
        <v>0.15229999999999999</v>
      </c>
      <c r="J828" s="7">
        <v>234</v>
      </c>
    </row>
    <row r="829" spans="1:10" x14ac:dyDescent="0.2">
      <c r="A829" s="9">
        <v>45204</v>
      </c>
      <c r="B829" s="4" t="s">
        <v>224</v>
      </c>
      <c r="C829" s="8">
        <v>45200</v>
      </c>
      <c r="D829" s="4" t="s">
        <v>187</v>
      </c>
      <c r="E829" s="14">
        <v>0.30830000000000002</v>
      </c>
      <c r="F829" s="7">
        <v>470</v>
      </c>
      <c r="G829" s="14">
        <v>0</v>
      </c>
      <c r="H829" s="7">
        <v>0</v>
      </c>
      <c r="I829" s="14">
        <v>0.30830000000000002</v>
      </c>
      <c r="J829" s="7">
        <v>470</v>
      </c>
    </row>
    <row r="830" spans="1:10" x14ac:dyDescent="0.2">
      <c r="A830" s="9">
        <v>45205</v>
      </c>
      <c r="B830" s="4" t="s">
        <v>222</v>
      </c>
      <c r="C830" s="8">
        <v>45200</v>
      </c>
      <c r="D830" s="4" t="s">
        <v>187</v>
      </c>
      <c r="E830" s="14">
        <v>1.1728000000000001</v>
      </c>
      <c r="F830" s="7">
        <v>1778</v>
      </c>
      <c r="G830" s="14">
        <v>0</v>
      </c>
      <c r="H830" s="7">
        <v>0</v>
      </c>
      <c r="I830" s="14">
        <v>1.1728000000000001</v>
      </c>
      <c r="J830" s="7">
        <v>1778</v>
      </c>
    </row>
    <row r="831" spans="1:10" x14ac:dyDescent="0.2">
      <c r="A831" s="9">
        <v>45208</v>
      </c>
      <c r="B831" s="4" t="s">
        <v>225</v>
      </c>
      <c r="C831" s="8">
        <v>45200</v>
      </c>
      <c r="D831" s="4" t="s">
        <v>187</v>
      </c>
      <c r="E831" s="14">
        <v>7.4099999999999999E-2</v>
      </c>
      <c r="F831" s="7">
        <v>113</v>
      </c>
      <c r="G831" s="14">
        <v>0</v>
      </c>
      <c r="H831" s="7">
        <v>0</v>
      </c>
      <c r="I831" s="14">
        <v>7.4099999999999999E-2</v>
      </c>
      <c r="J831" s="7">
        <v>113</v>
      </c>
    </row>
    <row r="832" spans="1:10" x14ac:dyDescent="0.2">
      <c r="A832" s="9">
        <v>45209</v>
      </c>
      <c r="B832" s="4" t="s">
        <v>223</v>
      </c>
      <c r="C832" s="8">
        <v>45200</v>
      </c>
      <c r="D832" s="4" t="s">
        <v>187</v>
      </c>
      <c r="E832" s="14">
        <v>0.1346</v>
      </c>
      <c r="F832" s="7">
        <v>204</v>
      </c>
      <c r="G832" s="14">
        <v>0</v>
      </c>
      <c r="H832" s="7">
        <v>0</v>
      </c>
      <c r="I832" s="14">
        <v>0.1346</v>
      </c>
      <c r="J832" s="7">
        <v>204</v>
      </c>
    </row>
    <row r="833" spans="1:10" x14ac:dyDescent="0.2">
      <c r="A833" s="9">
        <v>45210</v>
      </c>
      <c r="B833" s="4" t="s">
        <v>221</v>
      </c>
      <c r="C833" s="8">
        <v>45200</v>
      </c>
      <c r="D833" s="4" t="s">
        <v>187</v>
      </c>
      <c r="E833" s="14">
        <v>8.3400000000000002E-2</v>
      </c>
      <c r="F833" s="7">
        <v>125</v>
      </c>
      <c r="G833" s="14">
        <v>0</v>
      </c>
      <c r="H833" s="7">
        <v>0</v>
      </c>
      <c r="I833" s="14">
        <v>8.3400000000000002E-2</v>
      </c>
      <c r="J833" s="7">
        <v>125</v>
      </c>
    </row>
    <row r="834" spans="1:10" x14ac:dyDescent="0.2">
      <c r="A834" s="9">
        <v>45211</v>
      </c>
      <c r="B834" s="4" t="s">
        <v>224</v>
      </c>
      <c r="C834" s="8">
        <v>45200</v>
      </c>
      <c r="D834" s="4" t="s">
        <v>187</v>
      </c>
      <c r="E834" s="14">
        <v>0.2157</v>
      </c>
      <c r="F834" s="7">
        <v>324</v>
      </c>
      <c r="G834" s="14">
        <v>0</v>
      </c>
      <c r="H834" s="7">
        <v>0</v>
      </c>
      <c r="I834" s="14">
        <v>0.2157</v>
      </c>
      <c r="J834" s="7">
        <v>324</v>
      </c>
    </row>
    <row r="835" spans="1:10" x14ac:dyDescent="0.2">
      <c r="A835" s="9">
        <v>45212</v>
      </c>
      <c r="B835" s="4" t="s">
        <v>222</v>
      </c>
      <c r="C835" s="8">
        <v>45200</v>
      </c>
      <c r="D835" s="4" t="s">
        <v>187</v>
      </c>
      <c r="E835" s="14">
        <v>1.5216000000000001</v>
      </c>
      <c r="F835" s="7">
        <v>2298</v>
      </c>
      <c r="G835" s="14">
        <v>0</v>
      </c>
      <c r="H835" s="7">
        <v>0</v>
      </c>
      <c r="I835" s="14">
        <v>1.5216000000000001</v>
      </c>
      <c r="J835" s="7">
        <v>2298</v>
      </c>
    </row>
    <row r="836" spans="1:10" x14ac:dyDescent="0.2">
      <c r="A836" s="9">
        <v>45215</v>
      </c>
      <c r="B836" s="4" t="s">
        <v>225</v>
      </c>
      <c r="C836" s="8">
        <v>45200</v>
      </c>
      <c r="D836" s="4" t="s">
        <v>187</v>
      </c>
      <c r="E836" s="14">
        <v>0.14910000000000001</v>
      </c>
      <c r="F836" s="7">
        <v>225</v>
      </c>
      <c r="G836" s="14">
        <v>0</v>
      </c>
      <c r="H836" s="7">
        <v>0</v>
      </c>
      <c r="I836" s="14">
        <v>0.14910000000000001</v>
      </c>
      <c r="J836" s="7">
        <v>225</v>
      </c>
    </row>
    <row r="837" spans="1:10" x14ac:dyDescent="0.2">
      <c r="A837" s="9">
        <v>45216</v>
      </c>
      <c r="B837" s="4" t="s">
        <v>223</v>
      </c>
      <c r="C837" s="8">
        <v>45200</v>
      </c>
      <c r="D837" s="4" t="s">
        <v>187</v>
      </c>
      <c r="E837" s="14">
        <v>0.32700000000000001</v>
      </c>
      <c r="F837" s="7">
        <v>493</v>
      </c>
      <c r="G837" s="14">
        <v>0</v>
      </c>
      <c r="H837" s="7">
        <v>0</v>
      </c>
      <c r="I837" s="14">
        <v>0.32700000000000001</v>
      </c>
      <c r="J837" s="7">
        <v>493</v>
      </c>
    </row>
    <row r="838" spans="1:10" x14ac:dyDescent="0.2">
      <c r="A838" s="9">
        <v>45217</v>
      </c>
      <c r="B838" s="4" t="s">
        <v>221</v>
      </c>
      <c r="C838" s="8">
        <v>45200</v>
      </c>
      <c r="D838" s="4" t="s">
        <v>187</v>
      </c>
      <c r="E838" s="14">
        <v>0.14019999999999999</v>
      </c>
      <c r="F838" s="7">
        <v>212</v>
      </c>
      <c r="G838" s="14">
        <v>0</v>
      </c>
      <c r="H838" s="7">
        <v>0</v>
      </c>
      <c r="I838" s="14">
        <v>0.14019999999999999</v>
      </c>
      <c r="J838" s="7">
        <v>212</v>
      </c>
    </row>
    <row r="839" spans="1:10" x14ac:dyDescent="0.2">
      <c r="A839" s="9">
        <v>45218</v>
      </c>
      <c r="B839" s="4" t="s">
        <v>224</v>
      </c>
      <c r="C839" s="8">
        <v>45200</v>
      </c>
      <c r="D839" s="4" t="s">
        <v>187</v>
      </c>
      <c r="E839" s="14">
        <v>0.64480000000000004</v>
      </c>
      <c r="F839" s="7">
        <v>982</v>
      </c>
      <c r="G839" s="14">
        <v>0</v>
      </c>
      <c r="H839" s="7">
        <v>0</v>
      </c>
      <c r="I839" s="14">
        <v>0.64480000000000004</v>
      </c>
      <c r="J839" s="7">
        <v>982</v>
      </c>
    </row>
    <row r="840" spans="1:10" x14ac:dyDescent="0.2">
      <c r="A840" s="9">
        <v>45219</v>
      </c>
      <c r="B840" s="4" t="s">
        <v>222</v>
      </c>
      <c r="C840" s="8">
        <v>45200</v>
      </c>
      <c r="D840" s="4" t="s">
        <v>187</v>
      </c>
      <c r="E840" s="14">
        <v>2.2115999999999998</v>
      </c>
      <c r="F840" s="7">
        <v>3381</v>
      </c>
      <c r="G840" s="14">
        <v>0</v>
      </c>
      <c r="H840" s="7">
        <v>0</v>
      </c>
      <c r="I840" s="14">
        <v>2.2115999999999998</v>
      </c>
      <c r="J840" s="7">
        <v>3381</v>
      </c>
    </row>
    <row r="841" spans="1:10" x14ac:dyDescent="0.2">
      <c r="A841" s="9">
        <v>45222</v>
      </c>
      <c r="B841" s="4" t="s">
        <v>225</v>
      </c>
      <c r="C841" s="8">
        <v>45200</v>
      </c>
      <c r="D841" s="4" t="s">
        <v>187</v>
      </c>
      <c r="E841" s="14">
        <v>0.32590000000000002</v>
      </c>
      <c r="F841" s="7">
        <v>501</v>
      </c>
      <c r="G841" s="14">
        <v>0</v>
      </c>
      <c r="H841" s="7">
        <v>0</v>
      </c>
      <c r="I841" s="14">
        <v>0.32590000000000002</v>
      </c>
      <c r="J841" s="7">
        <v>501</v>
      </c>
    </row>
    <row r="842" spans="1:10" x14ac:dyDescent="0.2">
      <c r="A842" s="9">
        <v>45224</v>
      </c>
      <c r="B842" s="4" t="s">
        <v>221</v>
      </c>
      <c r="C842" s="8">
        <v>45200</v>
      </c>
      <c r="D842" s="4" t="s">
        <v>187</v>
      </c>
      <c r="E842" s="14">
        <v>0.83120000000000005</v>
      </c>
      <c r="F842" s="7">
        <v>1294</v>
      </c>
      <c r="G842" s="14">
        <v>0</v>
      </c>
      <c r="H842" s="7">
        <v>0</v>
      </c>
      <c r="I842" s="14">
        <v>0.83120000000000005</v>
      </c>
      <c r="J842" s="7">
        <v>1294</v>
      </c>
    </row>
    <row r="843" spans="1:10" x14ac:dyDescent="0.2">
      <c r="A843" s="9">
        <v>45225</v>
      </c>
      <c r="B843" s="4" t="s">
        <v>224</v>
      </c>
      <c r="C843" s="8">
        <v>45200</v>
      </c>
      <c r="D843" s="4" t="s">
        <v>187</v>
      </c>
      <c r="E843" s="14">
        <v>0.95009999999999994</v>
      </c>
      <c r="F843" s="7">
        <v>1500</v>
      </c>
      <c r="G843" s="14">
        <v>0</v>
      </c>
      <c r="H843" s="7">
        <v>0</v>
      </c>
      <c r="I843" s="14">
        <v>0.95009999999999994</v>
      </c>
      <c r="J843" s="7">
        <v>1500</v>
      </c>
    </row>
    <row r="844" spans="1:10" x14ac:dyDescent="0.2">
      <c r="A844" s="9">
        <v>45226</v>
      </c>
      <c r="B844" s="4" t="s">
        <v>222</v>
      </c>
      <c r="C844" s="8">
        <v>45200</v>
      </c>
      <c r="D844" s="4" t="s">
        <v>187</v>
      </c>
      <c r="E844" s="14">
        <v>1.4759</v>
      </c>
      <c r="F844" s="7">
        <v>2290</v>
      </c>
      <c r="G844" s="14">
        <v>0</v>
      </c>
      <c r="H844" s="7">
        <v>0</v>
      </c>
      <c r="I844" s="14">
        <v>1.4759</v>
      </c>
      <c r="J844" s="7">
        <v>2290</v>
      </c>
    </row>
    <row r="845" spans="1:10" x14ac:dyDescent="0.2">
      <c r="A845" s="9">
        <v>45229</v>
      </c>
      <c r="B845" s="4" t="s">
        <v>225</v>
      </c>
      <c r="C845" s="8">
        <v>45200</v>
      </c>
      <c r="D845" s="4" t="s">
        <v>187</v>
      </c>
      <c r="E845" s="14">
        <v>0.34560000000000002</v>
      </c>
      <c r="F845" s="7">
        <v>507</v>
      </c>
      <c r="G845" s="14">
        <v>0</v>
      </c>
      <c r="H845" s="7">
        <v>0</v>
      </c>
      <c r="I845" s="14">
        <v>0.34560000000000002</v>
      </c>
      <c r="J845" s="7">
        <v>507</v>
      </c>
    </row>
    <row r="846" spans="1:10" x14ac:dyDescent="0.2">
      <c r="A846" s="9">
        <v>45230</v>
      </c>
      <c r="B846" s="4" t="s">
        <v>223</v>
      </c>
      <c r="C846" s="8">
        <v>45200</v>
      </c>
      <c r="D846" s="4" t="s">
        <v>187</v>
      </c>
      <c r="E846" s="14">
        <v>0.18010000000000001</v>
      </c>
      <c r="F846" s="7">
        <v>281</v>
      </c>
      <c r="G846" s="14">
        <v>0</v>
      </c>
      <c r="H846" s="7">
        <v>0</v>
      </c>
      <c r="I846" s="14">
        <v>0.18010000000000001</v>
      </c>
      <c r="J846" s="7">
        <v>281</v>
      </c>
    </row>
    <row r="847" spans="1:10" x14ac:dyDescent="0.2">
      <c r="A847" s="9">
        <v>45231</v>
      </c>
      <c r="B847" s="4" t="s">
        <v>221</v>
      </c>
      <c r="C847" s="8">
        <v>45231</v>
      </c>
      <c r="D847" s="4" t="s">
        <v>187</v>
      </c>
      <c r="E847" s="14">
        <v>0.25119999999999998</v>
      </c>
      <c r="F847" s="7">
        <v>394</v>
      </c>
      <c r="G847" s="14">
        <v>0</v>
      </c>
      <c r="H847" s="7">
        <v>0</v>
      </c>
      <c r="I847" s="14">
        <v>0.25119999999999998</v>
      </c>
      <c r="J847" s="7">
        <v>394</v>
      </c>
    </row>
    <row r="848" spans="1:10" x14ac:dyDescent="0.2">
      <c r="A848" s="9">
        <v>45232</v>
      </c>
      <c r="B848" s="4" t="s">
        <v>224</v>
      </c>
      <c r="C848" s="8">
        <v>45231</v>
      </c>
      <c r="D848" s="4" t="s">
        <v>187</v>
      </c>
      <c r="E848" s="14">
        <v>0.34410000000000002</v>
      </c>
      <c r="F848" s="7">
        <v>537</v>
      </c>
      <c r="G848" s="14">
        <v>0</v>
      </c>
      <c r="H848" s="7">
        <v>0</v>
      </c>
      <c r="I848" s="14">
        <v>0.34410000000000002</v>
      </c>
      <c r="J848" s="7">
        <v>537</v>
      </c>
    </row>
    <row r="849" spans="1:10" x14ac:dyDescent="0.2">
      <c r="A849" s="9">
        <v>45233</v>
      </c>
      <c r="B849" s="4" t="s">
        <v>222</v>
      </c>
      <c r="C849" s="8">
        <v>45231</v>
      </c>
      <c r="D849" s="4" t="s">
        <v>187</v>
      </c>
      <c r="E849" s="14">
        <v>0.87649999999999995</v>
      </c>
      <c r="F849" s="7">
        <v>1360</v>
      </c>
      <c r="G849" s="14">
        <v>0</v>
      </c>
      <c r="H849" s="7">
        <v>0</v>
      </c>
      <c r="I849" s="14">
        <v>0.87649999999999995</v>
      </c>
      <c r="J849" s="7">
        <v>1360</v>
      </c>
    </row>
    <row r="850" spans="1:10" x14ac:dyDescent="0.2">
      <c r="A850" s="9">
        <v>45236</v>
      </c>
      <c r="B850" s="4" t="s">
        <v>225</v>
      </c>
      <c r="C850" s="8">
        <v>45231</v>
      </c>
      <c r="D850" s="4" t="s">
        <v>187</v>
      </c>
      <c r="E850" s="14">
        <v>0.24390000000000001</v>
      </c>
      <c r="F850" s="7">
        <v>368</v>
      </c>
      <c r="G850" s="14">
        <v>0</v>
      </c>
      <c r="H850" s="7">
        <v>0</v>
      </c>
      <c r="I850" s="14">
        <v>0.24390000000000001</v>
      </c>
      <c r="J850" s="7">
        <v>368</v>
      </c>
    </row>
    <row r="851" spans="1:10" x14ac:dyDescent="0.2">
      <c r="A851" s="9">
        <v>45237</v>
      </c>
      <c r="B851" s="4" t="s">
        <v>223</v>
      </c>
      <c r="C851" s="8">
        <v>45231</v>
      </c>
      <c r="D851" s="4" t="s">
        <v>187</v>
      </c>
      <c r="E851" s="14">
        <v>0.1348</v>
      </c>
      <c r="F851" s="7">
        <v>207</v>
      </c>
      <c r="G851" s="14">
        <v>0</v>
      </c>
      <c r="H851" s="7">
        <v>0</v>
      </c>
      <c r="I851" s="14">
        <v>0.1348</v>
      </c>
      <c r="J851" s="7">
        <v>207</v>
      </c>
    </row>
    <row r="852" spans="1:10" x14ac:dyDescent="0.2">
      <c r="A852" s="9">
        <v>45238</v>
      </c>
      <c r="B852" s="4" t="s">
        <v>221</v>
      </c>
      <c r="C852" s="8">
        <v>45231</v>
      </c>
      <c r="D852" s="4" t="s">
        <v>187</v>
      </c>
      <c r="E852" s="14">
        <v>8.0100000000000005E-2</v>
      </c>
      <c r="F852" s="7">
        <v>122</v>
      </c>
      <c r="G852" s="14">
        <v>0</v>
      </c>
      <c r="H852" s="7">
        <v>0</v>
      </c>
      <c r="I852" s="14">
        <v>8.0100000000000005E-2</v>
      </c>
      <c r="J852" s="7">
        <v>122</v>
      </c>
    </row>
    <row r="853" spans="1:10" x14ac:dyDescent="0.2">
      <c r="A853" s="9">
        <v>45239</v>
      </c>
      <c r="B853" s="4" t="s">
        <v>224</v>
      </c>
      <c r="C853" s="8">
        <v>45231</v>
      </c>
      <c r="D853" s="4" t="s">
        <v>187</v>
      </c>
      <c r="E853" s="14">
        <v>0.47539999999999999</v>
      </c>
      <c r="F853" s="7">
        <v>731</v>
      </c>
      <c r="G853" s="14">
        <v>0</v>
      </c>
      <c r="H853" s="7">
        <v>0</v>
      </c>
      <c r="I853" s="14">
        <v>0.47539999999999999</v>
      </c>
      <c r="J853" s="7">
        <v>731</v>
      </c>
    </row>
    <row r="854" spans="1:10" x14ac:dyDescent="0.2">
      <c r="A854" s="9">
        <v>45240</v>
      </c>
      <c r="B854" s="4" t="s">
        <v>222</v>
      </c>
      <c r="C854" s="8">
        <v>45231</v>
      </c>
      <c r="D854" s="4" t="s">
        <v>187</v>
      </c>
      <c r="E854" s="14">
        <v>1.0426</v>
      </c>
      <c r="F854" s="7">
        <v>1608</v>
      </c>
      <c r="G854" s="14">
        <v>0</v>
      </c>
      <c r="H854" s="7">
        <v>0</v>
      </c>
      <c r="I854" s="14">
        <v>1.0426</v>
      </c>
      <c r="J854" s="7">
        <v>1608</v>
      </c>
    </row>
    <row r="855" spans="1:10" x14ac:dyDescent="0.2">
      <c r="A855" s="9">
        <v>45242</v>
      </c>
      <c r="B855" s="4" t="s">
        <v>227</v>
      </c>
      <c r="C855" s="8">
        <v>45231</v>
      </c>
      <c r="D855" s="4" t="s">
        <v>187</v>
      </c>
      <c r="E855" s="14">
        <v>9.3299999999999994E-2</v>
      </c>
      <c r="F855" s="7">
        <v>142</v>
      </c>
      <c r="G855" s="14">
        <v>0</v>
      </c>
      <c r="H855" s="7">
        <v>0</v>
      </c>
      <c r="I855" s="14">
        <v>9.3299999999999994E-2</v>
      </c>
      <c r="J855" s="7">
        <v>142</v>
      </c>
    </row>
    <row r="856" spans="1:10" x14ac:dyDescent="0.2">
      <c r="A856" s="9">
        <v>45243</v>
      </c>
      <c r="B856" s="4" t="s">
        <v>225</v>
      </c>
      <c r="C856" s="8">
        <v>45231</v>
      </c>
      <c r="D856" s="4" t="s">
        <v>187</v>
      </c>
      <c r="E856" s="14">
        <v>0.12709999999999999</v>
      </c>
      <c r="F856" s="7">
        <v>184</v>
      </c>
      <c r="G856" s="14">
        <v>0</v>
      </c>
      <c r="H856" s="7">
        <v>0</v>
      </c>
      <c r="I856" s="14">
        <v>0.12709999999999999</v>
      </c>
      <c r="J856" s="7">
        <v>184</v>
      </c>
    </row>
    <row r="857" spans="1:10" x14ac:dyDescent="0.2">
      <c r="A857" s="9">
        <v>45245</v>
      </c>
      <c r="B857" s="4" t="s">
        <v>221</v>
      </c>
      <c r="C857" s="8">
        <v>45231</v>
      </c>
      <c r="D857" s="4" t="s">
        <v>187</v>
      </c>
      <c r="E857" s="14">
        <v>0.19209999999999999</v>
      </c>
      <c r="F857" s="7">
        <v>293</v>
      </c>
      <c r="G857" s="14">
        <v>0</v>
      </c>
      <c r="H857" s="7">
        <v>0</v>
      </c>
      <c r="I857" s="14">
        <v>0.19209999999999999</v>
      </c>
      <c r="J857" s="7">
        <v>293</v>
      </c>
    </row>
    <row r="858" spans="1:10" x14ac:dyDescent="0.2">
      <c r="A858" s="9">
        <v>45246</v>
      </c>
      <c r="B858" s="4" t="s">
        <v>224</v>
      </c>
      <c r="C858" s="8">
        <v>45231</v>
      </c>
      <c r="D858" s="4" t="s">
        <v>187</v>
      </c>
      <c r="E858" s="14">
        <v>0.50249999999999995</v>
      </c>
      <c r="F858" s="7">
        <v>760</v>
      </c>
      <c r="G858" s="14">
        <v>0</v>
      </c>
      <c r="H858" s="7">
        <v>0</v>
      </c>
      <c r="I858" s="14">
        <v>0.50249999999999995</v>
      </c>
      <c r="J858" s="7">
        <v>760</v>
      </c>
    </row>
    <row r="859" spans="1:10" x14ac:dyDescent="0.2">
      <c r="A859" s="9">
        <v>45247</v>
      </c>
      <c r="B859" s="4" t="s">
        <v>222</v>
      </c>
      <c r="C859" s="8">
        <v>45231</v>
      </c>
      <c r="D859" s="4" t="s">
        <v>187</v>
      </c>
      <c r="E859" s="14">
        <v>1.5485</v>
      </c>
      <c r="F859" s="7">
        <v>2241</v>
      </c>
      <c r="G859" s="14">
        <v>0</v>
      </c>
      <c r="H859" s="7">
        <v>0</v>
      </c>
      <c r="I859" s="14">
        <v>1.5485</v>
      </c>
      <c r="J859" s="7">
        <v>2241</v>
      </c>
    </row>
    <row r="860" spans="1:10" x14ac:dyDescent="0.2">
      <c r="A860" s="9">
        <v>45250</v>
      </c>
      <c r="B860" s="4" t="s">
        <v>225</v>
      </c>
      <c r="C860" s="8">
        <v>45231</v>
      </c>
      <c r="D860" s="4" t="s">
        <v>187</v>
      </c>
      <c r="E860" s="14">
        <v>1.181</v>
      </c>
      <c r="F860" s="7">
        <v>1613</v>
      </c>
      <c r="G860" s="14">
        <v>0</v>
      </c>
      <c r="H860" s="7">
        <v>0</v>
      </c>
      <c r="I860" s="14">
        <v>1.181</v>
      </c>
      <c r="J860" s="7">
        <v>1613</v>
      </c>
    </row>
    <row r="861" spans="1:10" x14ac:dyDescent="0.2">
      <c r="A861" s="9">
        <v>45251</v>
      </c>
      <c r="B861" s="4" t="s">
        <v>223</v>
      </c>
      <c r="C861" s="8">
        <v>45231</v>
      </c>
      <c r="D861" s="4" t="s">
        <v>187</v>
      </c>
      <c r="E861" s="14">
        <v>8.3500000000000005E-2</v>
      </c>
      <c r="F861" s="7">
        <v>126</v>
      </c>
      <c r="G861" s="14">
        <v>0</v>
      </c>
      <c r="H861" s="7">
        <v>0</v>
      </c>
      <c r="I861" s="14">
        <v>8.3500000000000005E-2</v>
      </c>
      <c r="J861" s="7">
        <v>126</v>
      </c>
    </row>
    <row r="862" spans="1:10" x14ac:dyDescent="0.2">
      <c r="A862" s="9">
        <v>45252</v>
      </c>
      <c r="B862" s="4" t="s">
        <v>221</v>
      </c>
      <c r="C862" s="8">
        <v>45231</v>
      </c>
      <c r="D862" s="4" t="s">
        <v>187</v>
      </c>
      <c r="E862" s="14">
        <v>0.27339999999999998</v>
      </c>
      <c r="F862" s="7">
        <v>405</v>
      </c>
      <c r="G862" s="14">
        <v>0</v>
      </c>
      <c r="H862" s="7">
        <v>0</v>
      </c>
      <c r="I862" s="14">
        <v>0.27339999999999998</v>
      </c>
      <c r="J862" s="7">
        <v>405</v>
      </c>
    </row>
    <row r="863" spans="1:10" x14ac:dyDescent="0.2">
      <c r="A863" s="9">
        <v>45253</v>
      </c>
      <c r="B863" s="4" t="s">
        <v>224</v>
      </c>
      <c r="C863" s="8">
        <v>45231</v>
      </c>
      <c r="D863" s="4" t="s">
        <v>187</v>
      </c>
      <c r="E863" s="14">
        <v>0.40889999999999999</v>
      </c>
      <c r="F863" s="7">
        <v>582</v>
      </c>
      <c r="G863" s="14">
        <v>0</v>
      </c>
      <c r="H863" s="7">
        <v>0</v>
      </c>
      <c r="I863" s="14">
        <v>0.40889999999999999</v>
      </c>
      <c r="J863" s="7">
        <v>582</v>
      </c>
    </row>
    <row r="864" spans="1:10" x14ac:dyDescent="0.2">
      <c r="A864" s="9">
        <v>45254</v>
      </c>
      <c r="B864" s="4" t="s">
        <v>222</v>
      </c>
      <c r="C864" s="8">
        <v>45231</v>
      </c>
      <c r="D864" s="4" t="s">
        <v>187</v>
      </c>
      <c r="E864" s="14">
        <v>1.6392</v>
      </c>
      <c r="F864" s="7">
        <v>2438</v>
      </c>
      <c r="G864" s="14">
        <v>0</v>
      </c>
      <c r="H864" s="7">
        <v>0</v>
      </c>
      <c r="I864" s="14">
        <v>1.6392</v>
      </c>
      <c r="J864" s="7">
        <v>2438</v>
      </c>
    </row>
    <row r="865" spans="1:10" x14ac:dyDescent="0.2">
      <c r="A865" s="9">
        <v>45258</v>
      </c>
      <c r="B865" s="4" t="s">
        <v>223</v>
      </c>
      <c r="C865" s="8">
        <v>45231</v>
      </c>
      <c r="D865" s="4" t="s">
        <v>187</v>
      </c>
      <c r="E865" s="14">
        <v>8.8999999999999996E-2</v>
      </c>
      <c r="F865" s="7">
        <v>134</v>
      </c>
      <c r="G865" s="14">
        <v>0</v>
      </c>
      <c r="H865" s="7">
        <v>0</v>
      </c>
      <c r="I865" s="14">
        <v>8.8999999999999996E-2</v>
      </c>
      <c r="J865" s="7">
        <v>134</v>
      </c>
    </row>
    <row r="866" spans="1:10" x14ac:dyDescent="0.2">
      <c r="A866" s="9">
        <v>45259</v>
      </c>
      <c r="B866" s="4" t="s">
        <v>221</v>
      </c>
      <c r="C866" s="8">
        <v>45231</v>
      </c>
      <c r="D866" s="4" t="s">
        <v>187</v>
      </c>
      <c r="E866" s="14">
        <v>0.2747</v>
      </c>
      <c r="F866" s="7">
        <v>392</v>
      </c>
      <c r="G866" s="14">
        <v>0</v>
      </c>
      <c r="H866" s="7">
        <v>0</v>
      </c>
      <c r="I866" s="14">
        <v>0.2747</v>
      </c>
      <c r="J866" s="7">
        <v>392</v>
      </c>
    </row>
    <row r="867" spans="1:10" x14ac:dyDescent="0.2">
      <c r="A867" s="9">
        <v>45260</v>
      </c>
      <c r="B867" s="4" t="s">
        <v>224</v>
      </c>
      <c r="C867" s="8">
        <v>45231</v>
      </c>
      <c r="D867" s="4" t="s">
        <v>187</v>
      </c>
      <c r="E867" s="14">
        <v>0.58530000000000004</v>
      </c>
      <c r="F867" s="7">
        <v>851</v>
      </c>
      <c r="G867" s="14">
        <v>0</v>
      </c>
      <c r="H867" s="7">
        <v>0</v>
      </c>
      <c r="I867" s="14">
        <v>0.58530000000000004</v>
      </c>
      <c r="J867" s="7">
        <v>851</v>
      </c>
    </row>
    <row r="868" spans="1:10" x14ac:dyDescent="0.2">
      <c r="A868" s="9">
        <v>45261</v>
      </c>
      <c r="B868" s="4" t="s">
        <v>222</v>
      </c>
      <c r="C868" s="8">
        <v>45261</v>
      </c>
      <c r="D868" s="4" t="s">
        <v>187</v>
      </c>
      <c r="E868" s="14">
        <v>1.4306000000000001</v>
      </c>
      <c r="F868" s="7">
        <v>2082</v>
      </c>
      <c r="G868" s="14">
        <v>0</v>
      </c>
      <c r="H868" s="7">
        <v>0</v>
      </c>
      <c r="I868" s="14">
        <v>1.4306000000000001</v>
      </c>
      <c r="J868" s="7">
        <v>2082</v>
      </c>
    </row>
    <row r="869" spans="1:10" x14ac:dyDescent="0.2">
      <c r="A869" s="9">
        <v>45264</v>
      </c>
      <c r="B869" s="4" t="s">
        <v>225</v>
      </c>
      <c r="C869" s="8">
        <v>45261</v>
      </c>
      <c r="D869" s="4" t="s">
        <v>187</v>
      </c>
      <c r="E869" s="14">
        <v>0.56220000000000003</v>
      </c>
      <c r="F869" s="7">
        <v>750</v>
      </c>
      <c r="G869" s="14">
        <v>0</v>
      </c>
      <c r="H869" s="7">
        <v>0</v>
      </c>
      <c r="I869" s="14">
        <v>0.56220000000000003</v>
      </c>
      <c r="J869" s="7">
        <v>750</v>
      </c>
    </row>
    <row r="870" spans="1:10" x14ac:dyDescent="0.2">
      <c r="A870" s="9">
        <v>45265</v>
      </c>
      <c r="B870" s="4" t="s">
        <v>223</v>
      </c>
      <c r="C870" s="8">
        <v>45261</v>
      </c>
      <c r="D870" s="4" t="s">
        <v>187</v>
      </c>
      <c r="E870" s="14">
        <v>0.1181</v>
      </c>
      <c r="F870" s="7">
        <v>168</v>
      </c>
      <c r="G870" s="14">
        <v>0</v>
      </c>
      <c r="H870" s="7">
        <v>0</v>
      </c>
      <c r="I870" s="14">
        <v>0.1181</v>
      </c>
      <c r="J870" s="7">
        <v>168</v>
      </c>
    </row>
    <row r="871" spans="1:10" x14ac:dyDescent="0.2">
      <c r="A871" s="9">
        <v>45266</v>
      </c>
      <c r="B871" s="4" t="s">
        <v>221</v>
      </c>
      <c r="C871" s="8">
        <v>45261</v>
      </c>
      <c r="D871" s="4" t="s">
        <v>187</v>
      </c>
      <c r="E871" s="14">
        <v>0.18260000000000001</v>
      </c>
      <c r="F871" s="7">
        <v>251</v>
      </c>
      <c r="G871" s="14">
        <v>0</v>
      </c>
      <c r="H871" s="7">
        <v>0</v>
      </c>
      <c r="I871" s="14">
        <v>0.18260000000000001</v>
      </c>
      <c r="J871" s="7">
        <v>251</v>
      </c>
    </row>
    <row r="872" spans="1:10" x14ac:dyDescent="0.2">
      <c r="A872" s="9">
        <v>45267</v>
      </c>
      <c r="B872" s="4" t="s">
        <v>224</v>
      </c>
      <c r="C872" s="8">
        <v>45261</v>
      </c>
      <c r="D872" s="4" t="s">
        <v>187</v>
      </c>
      <c r="E872" s="14">
        <v>0.55300000000000005</v>
      </c>
      <c r="F872" s="7">
        <v>784</v>
      </c>
      <c r="G872" s="14">
        <v>0</v>
      </c>
      <c r="H872" s="7">
        <v>0</v>
      </c>
      <c r="I872" s="14">
        <v>0.55300000000000005</v>
      </c>
      <c r="J872" s="7">
        <v>784</v>
      </c>
    </row>
    <row r="873" spans="1:10" x14ac:dyDescent="0.2">
      <c r="A873" s="9">
        <v>45268</v>
      </c>
      <c r="B873" s="4" t="s">
        <v>222</v>
      </c>
      <c r="C873" s="8">
        <v>45261</v>
      </c>
      <c r="D873" s="4" t="s">
        <v>187</v>
      </c>
      <c r="E873" s="14">
        <v>4.0122999999999998</v>
      </c>
      <c r="F873" s="7">
        <v>5417</v>
      </c>
      <c r="G873" s="14">
        <v>0</v>
      </c>
      <c r="H873" s="7">
        <v>0</v>
      </c>
      <c r="I873" s="14">
        <v>4.0122999999999998</v>
      </c>
      <c r="J873" s="7">
        <v>5417</v>
      </c>
    </row>
    <row r="874" spans="1:10" x14ac:dyDescent="0.2">
      <c r="A874" s="9">
        <v>45271</v>
      </c>
      <c r="B874" s="4" t="s">
        <v>225</v>
      </c>
      <c r="C874" s="8">
        <v>45261</v>
      </c>
      <c r="D874" s="4" t="s">
        <v>187</v>
      </c>
      <c r="E874" s="14">
        <v>1.1001000000000001</v>
      </c>
      <c r="F874" s="7">
        <v>1415</v>
      </c>
      <c r="G874" s="14">
        <v>0</v>
      </c>
      <c r="H874" s="7">
        <v>0</v>
      </c>
      <c r="I874" s="14">
        <v>1.1001000000000001</v>
      </c>
      <c r="J874" s="7">
        <v>1415</v>
      </c>
    </row>
    <row r="875" spans="1:10" x14ac:dyDescent="0.2">
      <c r="A875" s="9">
        <v>45272</v>
      </c>
      <c r="B875" s="4" t="s">
        <v>223</v>
      </c>
      <c r="C875" s="8">
        <v>45261</v>
      </c>
      <c r="D875" s="4" t="s">
        <v>187</v>
      </c>
      <c r="E875" s="14">
        <v>0.40389999999999998</v>
      </c>
      <c r="F875" s="7">
        <v>552</v>
      </c>
      <c r="G875" s="14">
        <v>0</v>
      </c>
      <c r="H875" s="7">
        <v>0</v>
      </c>
      <c r="I875" s="14">
        <v>0.40389999999999998</v>
      </c>
      <c r="J875" s="7">
        <v>552</v>
      </c>
    </row>
    <row r="876" spans="1:10" x14ac:dyDescent="0.2">
      <c r="A876" s="9">
        <v>45273</v>
      </c>
      <c r="B876" s="4" t="s">
        <v>221</v>
      </c>
      <c r="C876" s="8">
        <v>45261</v>
      </c>
      <c r="D876" s="4" t="s">
        <v>187</v>
      </c>
      <c r="E876" s="14">
        <v>0.73329999999999995</v>
      </c>
      <c r="F876" s="7">
        <v>994</v>
      </c>
      <c r="G876" s="14">
        <v>0</v>
      </c>
      <c r="H876" s="7">
        <v>0</v>
      </c>
      <c r="I876" s="14">
        <v>0.73329999999999995</v>
      </c>
      <c r="J876" s="7">
        <v>994</v>
      </c>
    </row>
    <row r="877" spans="1:10" x14ac:dyDescent="0.2">
      <c r="A877" s="9">
        <v>45274</v>
      </c>
      <c r="B877" s="4" t="s">
        <v>224</v>
      </c>
      <c r="C877" s="8">
        <v>45261</v>
      </c>
      <c r="D877" s="4" t="s">
        <v>187</v>
      </c>
      <c r="E877" s="14">
        <v>2.0642999999999998</v>
      </c>
      <c r="F877" s="7">
        <v>2779</v>
      </c>
      <c r="G877" s="14">
        <v>0</v>
      </c>
      <c r="H877" s="7">
        <v>0</v>
      </c>
      <c r="I877" s="14">
        <v>2.0642999999999998</v>
      </c>
      <c r="J877" s="7">
        <v>2779</v>
      </c>
    </row>
    <row r="878" spans="1:10" x14ac:dyDescent="0.2">
      <c r="A878" s="9">
        <v>45275</v>
      </c>
      <c r="B878" s="4" t="s">
        <v>222</v>
      </c>
      <c r="C878" s="8">
        <v>45261</v>
      </c>
      <c r="D878" s="4" t="s">
        <v>187</v>
      </c>
      <c r="E878" s="14">
        <v>3.7008999999999999</v>
      </c>
      <c r="F878" s="7">
        <v>4943</v>
      </c>
      <c r="G878" s="14">
        <v>0</v>
      </c>
      <c r="H878" s="7">
        <v>0</v>
      </c>
      <c r="I878" s="14">
        <v>3.7008999999999999</v>
      </c>
      <c r="J878" s="7">
        <v>4943</v>
      </c>
    </row>
    <row r="879" spans="1:10" x14ac:dyDescent="0.2">
      <c r="A879" s="9">
        <v>45278</v>
      </c>
      <c r="B879" s="4" t="s">
        <v>225</v>
      </c>
      <c r="C879" s="8">
        <v>45261</v>
      </c>
      <c r="D879" s="4" t="s">
        <v>187</v>
      </c>
      <c r="E879" s="14">
        <v>1.2858000000000001</v>
      </c>
      <c r="F879" s="7">
        <v>1703</v>
      </c>
      <c r="G879" s="14">
        <v>0</v>
      </c>
      <c r="H879" s="7">
        <v>0</v>
      </c>
      <c r="I879" s="14">
        <v>1.2858000000000001</v>
      </c>
      <c r="J879" s="7">
        <v>1703</v>
      </c>
    </row>
    <row r="880" spans="1:10" x14ac:dyDescent="0.2">
      <c r="A880" s="9">
        <v>45279</v>
      </c>
      <c r="B880" s="4" t="s">
        <v>223</v>
      </c>
      <c r="C880" s="8">
        <v>45261</v>
      </c>
      <c r="D880" s="4" t="s">
        <v>187</v>
      </c>
      <c r="E880" s="14">
        <v>0.3407</v>
      </c>
      <c r="F880" s="7">
        <v>472</v>
      </c>
      <c r="G880" s="14">
        <v>0</v>
      </c>
      <c r="H880" s="7">
        <v>0</v>
      </c>
      <c r="I880" s="14">
        <v>0.3407</v>
      </c>
      <c r="J880" s="7">
        <v>472</v>
      </c>
    </row>
    <row r="881" spans="1:10" x14ac:dyDescent="0.2">
      <c r="A881" s="9">
        <v>45280</v>
      </c>
      <c r="B881" s="4" t="s">
        <v>221</v>
      </c>
      <c r="C881" s="8">
        <v>45261</v>
      </c>
      <c r="D881" s="4" t="s">
        <v>187</v>
      </c>
      <c r="E881" s="14">
        <v>1.1294999999999999</v>
      </c>
      <c r="F881" s="7">
        <v>1549</v>
      </c>
      <c r="G881" s="14">
        <v>0</v>
      </c>
      <c r="H881" s="7">
        <v>0</v>
      </c>
      <c r="I881" s="14">
        <v>1.1294999999999999</v>
      </c>
      <c r="J881" s="7">
        <v>1549</v>
      </c>
    </row>
    <row r="882" spans="1:10" x14ac:dyDescent="0.2">
      <c r="A882" s="9">
        <v>45281</v>
      </c>
      <c r="B882" s="4" t="s">
        <v>224</v>
      </c>
      <c r="C882" s="8">
        <v>45261</v>
      </c>
      <c r="D882" s="4" t="s">
        <v>187</v>
      </c>
      <c r="E882" s="14">
        <v>1.6311</v>
      </c>
      <c r="F882" s="7">
        <v>2279</v>
      </c>
      <c r="G882" s="14">
        <v>0</v>
      </c>
      <c r="H882" s="7">
        <v>0</v>
      </c>
      <c r="I882" s="14">
        <v>1.6311</v>
      </c>
      <c r="J882" s="7">
        <v>2279</v>
      </c>
    </row>
    <row r="883" spans="1:10" x14ac:dyDescent="0.2">
      <c r="A883" s="9">
        <v>45282</v>
      </c>
      <c r="B883" s="4" t="s">
        <v>222</v>
      </c>
      <c r="C883" s="8">
        <v>45261</v>
      </c>
      <c r="D883" s="4" t="s">
        <v>187</v>
      </c>
      <c r="E883" s="14">
        <v>2.7932000000000001</v>
      </c>
      <c r="F883" s="7">
        <v>3891</v>
      </c>
      <c r="G883" s="14">
        <v>0</v>
      </c>
      <c r="H883" s="7">
        <v>0</v>
      </c>
      <c r="I883" s="14">
        <v>2.7932000000000001</v>
      </c>
      <c r="J883" s="7">
        <v>3891</v>
      </c>
    </row>
    <row r="884" spans="1:10" x14ac:dyDescent="0.2">
      <c r="A884" s="9">
        <v>45286</v>
      </c>
      <c r="B884" s="4" t="s">
        <v>223</v>
      </c>
      <c r="C884" s="8">
        <v>45261</v>
      </c>
      <c r="D884" s="4" t="s">
        <v>187</v>
      </c>
      <c r="E884" s="14">
        <v>0.68840000000000001</v>
      </c>
      <c r="F884" s="7">
        <v>931</v>
      </c>
      <c r="G884" s="14">
        <v>0</v>
      </c>
      <c r="H884" s="7">
        <v>0</v>
      </c>
      <c r="I884" s="14">
        <v>0.68840000000000001</v>
      </c>
      <c r="J884" s="7">
        <v>931</v>
      </c>
    </row>
    <row r="885" spans="1:10" x14ac:dyDescent="0.2">
      <c r="A885" s="9">
        <v>45287</v>
      </c>
      <c r="B885" s="4" t="s">
        <v>221</v>
      </c>
      <c r="C885" s="8">
        <v>45261</v>
      </c>
      <c r="D885" s="4" t="s">
        <v>187</v>
      </c>
      <c r="E885" s="14">
        <v>2.0827</v>
      </c>
      <c r="F885" s="7">
        <v>2631</v>
      </c>
      <c r="G885" s="14">
        <v>0</v>
      </c>
      <c r="H885" s="7">
        <v>0</v>
      </c>
      <c r="I885" s="14">
        <v>2.0827</v>
      </c>
      <c r="J885" s="7">
        <v>2631</v>
      </c>
    </row>
    <row r="886" spans="1:10" x14ac:dyDescent="0.2">
      <c r="A886" s="9">
        <v>45288</v>
      </c>
      <c r="B886" s="4" t="s">
        <v>224</v>
      </c>
      <c r="C886" s="8">
        <v>45261</v>
      </c>
      <c r="D886" s="4" t="s">
        <v>187</v>
      </c>
      <c r="E886" s="14">
        <v>2.2343999999999999</v>
      </c>
      <c r="F886" s="7">
        <v>2799</v>
      </c>
      <c r="G886" s="14">
        <v>0</v>
      </c>
      <c r="H886" s="7">
        <v>0</v>
      </c>
      <c r="I886" s="14">
        <v>2.2343999999999999</v>
      </c>
      <c r="J886" s="7">
        <v>2799</v>
      </c>
    </row>
    <row r="887" spans="1:10" x14ac:dyDescent="0.2">
      <c r="A887" s="9">
        <v>45289</v>
      </c>
      <c r="B887" s="4" t="s">
        <v>222</v>
      </c>
      <c r="C887" s="8">
        <v>45261</v>
      </c>
      <c r="D887" s="4" t="s">
        <v>187</v>
      </c>
      <c r="E887" s="14">
        <v>3.9346999999999999</v>
      </c>
      <c r="F887" s="7">
        <v>5096</v>
      </c>
      <c r="G887" s="14">
        <v>0</v>
      </c>
      <c r="H887" s="7">
        <v>0</v>
      </c>
      <c r="I887" s="14">
        <v>3.9346999999999999</v>
      </c>
      <c r="J887" s="7">
        <v>5096</v>
      </c>
    </row>
    <row r="888" spans="1:10" x14ac:dyDescent="0.2">
      <c r="A888" s="9">
        <v>45292</v>
      </c>
      <c r="B888" s="4" t="s">
        <v>225</v>
      </c>
      <c r="C888" s="8">
        <v>45292</v>
      </c>
      <c r="D888" s="4" t="s">
        <v>188</v>
      </c>
      <c r="E888" s="14">
        <v>0.4723</v>
      </c>
      <c r="F888" s="7">
        <v>638</v>
      </c>
      <c r="G888" s="14">
        <v>0</v>
      </c>
      <c r="H888" s="7">
        <v>0</v>
      </c>
      <c r="I888" s="14">
        <v>0.4723</v>
      </c>
      <c r="J888" s="7">
        <v>638</v>
      </c>
    </row>
    <row r="889" spans="1:10" x14ac:dyDescent="0.2">
      <c r="A889" s="9">
        <v>45293</v>
      </c>
      <c r="B889" s="4" t="s">
        <v>223</v>
      </c>
      <c r="C889" s="8">
        <v>45292</v>
      </c>
      <c r="D889" s="4" t="s">
        <v>188</v>
      </c>
      <c r="E889" s="14">
        <v>1.0163</v>
      </c>
      <c r="F889" s="7">
        <v>1304</v>
      </c>
      <c r="G889" s="14">
        <v>0</v>
      </c>
      <c r="H889" s="7">
        <v>0</v>
      </c>
      <c r="I889" s="14">
        <v>1.0163</v>
      </c>
      <c r="J889" s="7">
        <v>1304</v>
      </c>
    </row>
    <row r="890" spans="1:10" x14ac:dyDescent="0.2">
      <c r="A890" s="9">
        <v>45294</v>
      </c>
      <c r="B890" s="4" t="s">
        <v>221</v>
      </c>
      <c r="C890" s="8">
        <v>45292</v>
      </c>
      <c r="D890" s="4" t="s">
        <v>188</v>
      </c>
      <c r="E890" s="14">
        <v>1.2259</v>
      </c>
      <c r="F890" s="7">
        <v>1569</v>
      </c>
      <c r="G890" s="14">
        <v>0</v>
      </c>
      <c r="H890" s="7">
        <v>0</v>
      </c>
      <c r="I890" s="14">
        <v>1.2259</v>
      </c>
      <c r="J890" s="7">
        <v>1569</v>
      </c>
    </row>
    <row r="891" spans="1:10" x14ac:dyDescent="0.2">
      <c r="A891" s="9">
        <v>45295</v>
      </c>
      <c r="B891" s="4" t="s">
        <v>224</v>
      </c>
      <c r="C891" s="8">
        <v>45292</v>
      </c>
      <c r="D891" s="4" t="s">
        <v>188</v>
      </c>
      <c r="E891" s="14">
        <v>0.73760000000000003</v>
      </c>
      <c r="F891" s="7">
        <v>969</v>
      </c>
      <c r="G891" s="14">
        <v>0</v>
      </c>
      <c r="H891" s="7">
        <v>0</v>
      </c>
      <c r="I891" s="14">
        <v>0.73760000000000003</v>
      </c>
      <c r="J891" s="7">
        <v>969</v>
      </c>
    </row>
    <row r="892" spans="1:10" x14ac:dyDescent="0.2">
      <c r="A892" s="9">
        <v>45296</v>
      </c>
      <c r="B892" s="4" t="s">
        <v>222</v>
      </c>
      <c r="C892" s="8">
        <v>45292</v>
      </c>
      <c r="D892" s="4" t="s">
        <v>188</v>
      </c>
      <c r="E892" s="14">
        <v>4.7988999999999997</v>
      </c>
      <c r="F892" s="7">
        <v>6197</v>
      </c>
      <c r="G892" s="14">
        <v>0</v>
      </c>
      <c r="H892" s="7">
        <v>0</v>
      </c>
      <c r="I892" s="14">
        <v>4.7988999999999997</v>
      </c>
      <c r="J892" s="7">
        <v>6197</v>
      </c>
    </row>
    <row r="893" spans="1:10" x14ac:dyDescent="0.2">
      <c r="A893" s="9">
        <v>45299</v>
      </c>
      <c r="B893" s="4" t="s">
        <v>225</v>
      </c>
      <c r="C893" s="8">
        <v>45292</v>
      </c>
      <c r="D893" s="4" t="s">
        <v>188</v>
      </c>
      <c r="E893" s="14">
        <v>1.2351000000000001</v>
      </c>
      <c r="F893" s="7">
        <v>1565</v>
      </c>
      <c r="G893" s="14">
        <v>0</v>
      </c>
      <c r="H893" s="7">
        <v>0</v>
      </c>
      <c r="I893" s="14">
        <v>1.2351000000000001</v>
      </c>
      <c r="J893" s="7">
        <v>1565</v>
      </c>
    </row>
    <row r="894" spans="1:10" x14ac:dyDescent="0.2">
      <c r="A894" s="9">
        <v>45300</v>
      </c>
      <c r="B894" s="4" t="s">
        <v>223</v>
      </c>
      <c r="C894" s="8">
        <v>45292</v>
      </c>
      <c r="D894" s="4" t="s">
        <v>188</v>
      </c>
      <c r="E894" s="14">
        <v>0.92230000000000001</v>
      </c>
      <c r="F894" s="7">
        <v>1189</v>
      </c>
      <c r="G894" s="14">
        <v>0</v>
      </c>
      <c r="H894" s="7">
        <v>0</v>
      </c>
      <c r="I894" s="14">
        <v>0.92230000000000001</v>
      </c>
      <c r="J894" s="7">
        <v>1189</v>
      </c>
    </row>
    <row r="895" spans="1:10" x14ac:dyDescent="0.2">
      <c r="A895" s="9">
        <v>45301</v>
      </c>
      <c r="B895" s="4" t="s">
        <v>221</v>
      </c>
      <c r="C895" s="8">
        <v>45292</v>
      </c>
      <c r="D895" s="4" t="s">
        <v>188</v>
      </c>
      <c r="E895" s="14">
        <v>0.71840000000000004</v>
      </c>
      <c r="F895" s="7">
        <v>941</v>
      </c>
      <c r="G895" s="14">
        <v>0</v>
      </c>
      <c r="H895" s="7">
        <v>0</v>
      </c>
      <c r="I895" s="14">
        <v>0.71840000000000004</v>
      </c>
      <c r="J895" s="7">
        <v>941</v>
      </c>
    </row>
    <row r="896" spans="1:10" x14ac:dyDescent="0.2">
      <c r="A896" s="9">
        <v>45302</v>
      </c>
      <c r="B896" s="4" t="s">
        <v>224</v>
      </c>
      <c r="C896" s="8">
        <v>45292</v>
      </c>
      <c r="D896" s="4" t="s">
        <v>188</v>
      </c>
      <c r="E896" s="14">
        <v>1.3796999999999999</v>
      </c>
      <c r="F896" s="7">
        <v>1811</v>
      </c>
      <c r="G896" s="14">
        <v>0</v>
      </c>
      <c r="H896" s="7">
        <v>0</v>
      </c>
      <c r="I896" s="14">
        <v>1.3796999999999999</v>
      </c>
      <c r="J896" s="7">
        <v>1811</v>
      </c>
    </row>
    <row r="897" spans="1:10" x14ac:dyDescent="0.2">
      <c r="A897" s="9">
        <v>45303</v>
      </c>
      <c r="B897" s="4" t="s">
        <v>222</v>
      </c>
      <c r="C897" s="8">
        <v>45292</v>
      </c>
      <c r="D897" s="4" t="s">
        <v>188</v>
      </c>
      <c r="E897" s="14">
        <v>3.4055</v>
      </c>
      <c r="F897" s="7">
        <v>4576</v>
      </c>
      <c r="G897" s="14">
        <v>0</v>
      </c>
      <c r="H897" s="7">
        <v>0</v>
      </c>
      <c r="I897" s="14">
        <v>3.4055</v>
      </c>
      <c r="J897" s="7">
        <v>4576</v>
      </c>
    </row>
    <row r="898" spans="1:10" x14ac:dyDescent="0.2">
      <c r="A898" s="9">
        <v>45306</v>
      </c>
      <c r="B898" s="4" t="s">
        <v>225</v>
      </c>
      <c r="C898" s="8">
        <v>45292</v>
      </c>
      <c r="D898" s="4" t="s">
        <v>188</v>
      </c>
      <c r="E898" s="14">
        <v>1.4594</v>
      </c>
      <c r="F898" s="7">
        <v>1826</v>
      </c>
      <c r="G898" s="14">
        <v>0</v>
      </c>
      <c r="H898" s="7">
        <v>0</v>
      </c>
      <c r="I898" s="14">
        <v>1.4594</v>
      </c>
      <c r="J898" s="7">
        <v>1826</v>
      </c>
    </row>
    <row r="899" spans="1:10" x14ac:dyDescent="0.2">
      <c r="A899" s="9">
        <v>45307</v>
      </c>
      <c r="B899" s="4" t="s">
        <v>223</v>
      </c>
      <c r="C899" s="8">
        <v>45292</v>
      </c>
      <c r="D899" s="4" t="s">
        <v>188</v>
      </c>
      <c r="E899" s="14">
        <v>0.28449999999999998</v>
      </c>
      <c r="F899" s="7">
        <v>386</v>
      </c>
      <c r="G899" s="14">
        <v>0</v>
      </c>
      <c r="H899" s="7">
        <v>0</v>
      </c>
      <c r="I899" s="14">
        <v>0.28449999999999998</v>
      </c>
      <c r="J899" s="7">
        <v>386</v>
      </c>
    </row>
    <row r="900" spans="1:10" x14ac:dyDescent="0.2">
      <c r="A900" s="9">
        <v>45308</v>
      </c>
      <c r="B900" s="4" t="s">
        <v>221</v>
      </c>
      <c r="C900" s="8">
        <v>45292</v>
      </c>
      <c r="D900" s="4" t="s">
        <v>188</v>
      </c>
      <c r="E900" s="14">
        <v>2.0026999999999999</v>
      </c>
      <c r="F900" s="7">
        <v>2623</v>
      </c>
      <c r="G900" s="14">
        <v>0</v>
      </c>
      <c r="H900" s="7">
        <v>0</v>
      </c>
      <c r="I900" s="14">
        <v>2.0026999999999999</v>
      </c>
      <c r="J900" s="7">
        <v>2623</v>
      </c>
    </row>
    <row r="901" spans="1:10" x14ac:dyDescent="0.2">
      <c r="A901" s="9">
        <v>45309</v>
      </c>
      <c r="B901" s="4" t="s">
        <v>224</v>
      </c>
      <c r="C901" s="8">
        <v>45292</v>
      </c>
      <c r="D901" s="4" t="s">
        <v>188</v>
      </c>
      <c r="E901" s="14">
        <v>1.3391999999999999</v>
      </c>
      <c r="F901" s="7">
        <v>1865</v>
      </c>
      <c r="G901" s="14">
        <v>0</v>
      </c>
      <c r="H901" s="7">
        <v>0</v>
      </c>
      <c r="I901" s="14">
        <v>1.3391999999999999</v>
      </c>
      <c r="J901" s="7">
        <v>1865</v>
      </c>
    </row>
    <row r="902" spans="1:10" x14ac:dyDescent="0.2">
      <c r="A902" s="9">
        <v>45310</v>
      </c>
      <c r="B902" s="4" t="s">
        <v>222</v>
      </c>
      <c r="C902" s="8">
        <v>45292</v>
      </c>
      <c r="D902" s="4" t="s">
        <v>188</v>
      </c>
      <c r="E902" s="14">
        <v>1.9952000000000001</v>
      </c>
      <c r="F902" s="7">
        <v>2752</v>
      </c>
      <c r="G902" s="14">
        <v>0</v>
      </c>
      <c r="H902" s="7">
        <v>0</v>
      </c>
      <c r="I902" s="14">
        <v>1.9952000000000001</v>
      </c>
      <c r="J902" s="7">
        <v>2752</v>
      </c>
    </row>
    <row r="903" spans="1:10" x14ac:dyDescent="0.2">
      <c r="A903" s="9">
        <v>45311</v>
      </c>
      <c r="B903" s="4" t="s">
        <v>226</v>
      </c>
      <c r="C903" s="8">
        <v>45292</v>
      </c>
      <c r="D903" s="4" t="s">
        <v>188</v>
      </c>
      <c r="E903" s="14">
        <v>1.5947</v>
      </c>
      <c r="F903" s="7">
        <v>2083</v>
      </c>
      <c r="G903" s="14">
        <v>0</v>
      </c>
      <c r="H903" s="7">
        <v>0</v>
      </c>
      <c r="I903" s="14">
        <v>1.5947</v>
      </c>
      <c r="J903" s="7">
        <v>2083</v>
      </c>
    </row>
    <row r="904" spans="1:10" x14ac:dyDescent="0.2">
      <c r="A904" s="9">
        <v>45314</v>
      </c>
      <c r="B904" s="4" t="s">
        <v>223</v>
      </c>
      <c r="C904" s="8">
        <v>45292</v>
      </c>
      <c r="D904" s="4" t="s">
        <v>188</v>
      </c>
      <c r="E904" s="14">
        <v>1.0270999999999999</v>
      </c>
      <c r="F904" s="7">
        <v>1393</v>
      </c>
      <c r="G904" s="14">
        <v>0</v>
      </c>
      <c r="H904" s="7">
        <v>0</v>
      </c>
      <c r="I904" s="14">
        <v>1.0270999999999999</v>
      </c>
      <c r="J904" s="7">
        <v>1393</v>
      </c>
    </row>
    <row r="905" spans="1:10" x14ac:dyDescent="0.2">
      <c r="A905" s="9">
        <v>45315</v>
      </c>
      <c r="B905" s="4" t="s">
        <v>221</v>
      </c>
      <c r="C905" s="8">
        <v>45292</v>
      </c>
      <c r="D905" s="4" t="s">
        <v>188</v>
      </c>
      <c r="E905" s="14">
        <v>1.5948</v>
      </c>
      <c r="F905" s="7">
        <v>2141</v>
      </c>
      <c r="G905" s="14">
        <v>0</v>
      </c>
      <c r="H905" s="7">
        <v>0</v>
      </c>
      <c r="I905" s="14">
        <v>1.5948</v>
      </c>
      <c r="J905" s="7">
        <v>2141</v>
      </c>
    </row>
    <row r="906" spans="1:10" x14ac:dyDescent="0.2">
      <c r="A906" s="9">
        <v>45316</v>
      </c>
      <c r="B906" s="4" t="s">
        <v>224</v>
      </c>
      <c r="C906" s="8">
        <v>45292</v>
      </c>
      <c r="D906" s="4" t="s">
        <v>188</v>
      </c>
      <c r="E906" s="14">
        <v>2.4735999999999998</v>
      </c>
      <c r="F906" s="7">
        <v>3347</v>
      </c>
      <c r="G906" s="14">
        <v>0</v>
      </c>
      <c r="H906" s="7">
        <v>0</v>
      </c>
      <c r="I906" s="14">
        <v>2.4735999999999998</v>
      </c>
      <c r="J906" s="7">
        <v>3347</v>
      </c>
    </row>
    <row r="907" spans="1:10" x14ac:dyDescent="0.2">
      <c r="A907" s="9">
        <v>45320</v>
      </c>
      <c r="B907" s="4" t="s">
        <v>225</v>
      </c>
      <c r="C907" s="8">
        <v>45292</v>
      </c>
      <c r="D907" s="4" t="s">
        <v>188</v>
      </c>
      <c r="E907" s="14">
        <v>1.339</v>
      </c>
      <c r="F907" s="7">
        <v>1778</v>
      </c>
      <c r="G907" s="14">
        <v>0</v>
      </c>
      <c r="H907" s="7">
        <v>0</v>
      </c>
      <c r="I907" s="14">
        <v>1.339</v>
      </c>
      <c r="J907" s="7">
        <v>1778</v>
      </c>
    </row>
    <row r="908" spans="1:10" x14ac:dyDescent="0.2">
      <c r="A908" s="9">
        <v>45321</v>
      </c>
      <c r="B908" s="4" t="s">
        <v>223</v>
      </c>
      <c r="C908" s="8">
        <v>45292</v>
      </c>
      <c r="D908" s="4" t="s">
        <v>188</v>
      </c>
      <c r="E908" s="14">
        <v>0.57709999999999995</v>
      </c>
      <c r="F908" s="7">
        <v>797</v>
      </c>
      <c r="G908" s="14">
        <v>0</v>
      </c>
      <c r="H908" s="7">
        <v>0</v>
      </c>
      <c r="I908" s="14">
        <v>0.57709999999999995</v>
      </c>
      <c r="J908" s="7">
        <v>797</v>
      </c>
    </row>
    <row r="909" spans="1:10" x14ac:dyDescent="0.2">
      <c r="A909" s="9">
        <v>45322</v>
      </c>
      <c r="B909" s="4" t="s">
        <v>221</v>
      </c>
      <c r="C909" s="8">
        <v>45292</v>
      </c>
      <c r="D909" s="4" t="s">
        <v>188</v>
      </c>
      <c r="E909" s="14">
        <v>0.75580000000000003</v>
      </c>
      <c r="F909" s="7">
        <v>1049</v>
      </c>
      <c r="G909" s="14">
        <v>0</v>
      </c>
      <c r="H909" s="7">
        <v>0</v>
      </c>
      <c r="I909" s="14">
        <v>0.75580000000000003</v>
      </c>
      <c r="J909" s="7">
        <v>1049</v>
      </c>
    </row>
    <row r="910" spans="1:10" x14ac:dyDescent="0.2">
      <c r="A910" s="9">
        <v>45323</v>
      </c>
      <c r="B910" s="4" t="s">
        <v>224</v>
      </c>
      <c r="C910" s="8">
        <v>45323</v>
      </c>
      <c r="D910" s="4" t="s">
        <v>188</v>
      </c>
      <c r="E910" s="14">
        <v>1.3407</v>
      </c>
      <c r="F910" s="7">
        <v>1852</v>
      </c>
      <c r="G910" s="14">
        <v>0</v>
      </c>
      <c r="H910" s="7">
        <v>0</v>
      </c>
      <c r="I910" s="14">
        <v>1.3407</v>
      </c>
      <c r="J910" s="7">
        <v>1852</v>
      </c>
    </row>
    <row r="911" spans="1:10" x14ac:dyDescent="0.2">
      <c r="A911" s="9">
        <v>45324</v>
      </c>
      <c r="B911" s="4" t="s">
        <v>222</v>
      </c>
      <c r="C911" s="8">
        <v>45323</v>
      </c>
      <c r="D911" s="4" t="s">
        <v>188</v>
      </c>
      <c r="E911" s="14">
        <v>8.7166999999999994</v>
      </c>
      <c r="F911" s="7">
        <v>11806</v>
      </c>
      <c r="G911" s="14">
        <v>0</v>
      </c>
      <c r="H911" s="7">
        <v>0</v>
      </c>
      <c r="I911" s="14">
        <v>8.7166999999999994</v>
      </c>
      <c r="J911" s="7">
        <v>11806</v>
      </c>
    </row>
    <row r="912" spans="1:10" x14ac:dyDescent="0.2">
      <c r="A912" s="9">
        <v>45327</v>
      </c>
      <c r="B912" s="4" t="s">
        <v>225</v>
      </c>
      <c r="C912" s="8">
        <v>45323</v>
      </c>
      <c r="D912" s="4" t="s">
        <v>188</v>
      </c>
      <c r="E912" s="14">
        <v>1.7108000000000001</v>
      </c>
      <c r="F912" s="7">
        <v>2256</v>
      </c>
      <c r="G912" s="14">
        <v>0</v>
      </c>
      <c r="H912" s="7">
        <v>0</v>
      </c>
      <c r="I912" s="14">
        <v>1.7108000000000001</v>
      </c>
      <c r="J912" s="7">
        <v>2256</v>
      </c>
    </row>
    <row r="913" spans="1:10" x14ac:dyDescent="0.2">
      <c r="A913" s="9">
        <v>45328</v>
      </c>
      <c r="B913" s="4" t="s">
        <v>223</v>
      </c>
      <c r="C913" s="8">
        <v>45323</v>
      </c>
      <c r="D913" s="4" t="s">
        <v>188</v>
      </c>
      <c r="E913" s="14">
        <v>1.1512</v>
      </c>
      <c r="F913" s="7">
        <v>1517</v>
      </c>
      <c r="G913" s="14">
        <v>0</v>
      </c>
      <c r="H913" s="7">
        <v>0</v>
      </c>
      <c r="I913" s="14">
        <v>1.1512</v>
      </c>
      <c r="J913" s="7">
        <v>1517</v>
      </c>
    </row>
    <row r="914" spans="1:10" x14ac:dyDescent="0.2">
      <c r="A914" s="9">
        <v>45329</v>
      </c>
      <c r="B914" s="4" t="s">
        <v>221</v>
      </c>
      <c r="C914" s="8">
        <v>45323</v>
      </c>
      <c r="D914" s="4" t="s">
        <v>188</v>
      </c>
      <c r="E914" s="14">
        <v>0.74060000000000004</v>
      </c>
      <c r="F914" s="7">
        <v>993</v>
      </c>
      <c r="G914" s="14">
        <v>0</v>
      </c>
      <c r="H914" s="7">
        <v>0</v>
      </c>
      <c r="I914" s="14">
        <v>0.74060000000000004</v>
      </c>
      <c r="J914" s="7">
        <v>993</v>
      </c>
    </row>
    <row r="915" spans="1:10" x14ac:dyDescent="0.2">
      <c r="A915" s="9">
        <v>45330</v>
      </c>
      <c r="B915" s="4" t="s">
        <v>224</v>
      </c>
      <c r="C915" s="8">
        <v>45323</v>
      </c>
      <c r="D915" s="4" t="s">
        <v>188</v>
      </c>
      <c r="E915" s="14">
        <v>2.3645999999999998</v>
      </c>
      <c r="F915" s="7">
        <v>3163</v>
      </c>
      <c r="G915" s="14">
        <v>0</v>
      </c>
      <c r="H915" s="7">
        <v>0</v>
      </c>
      <c r="I915" s="14">
        <v>2.3645999999999998</v>
      </c>
      <c r="J915" s="7">
        <v>3163</v>
      </c>
    </row>
    <row r="916" spans="1:10" x14ac:dyDescent="0.2">
      <c r="A916" s="9">
        <v>45331</v>
      </c>
      <c r="B916" s="4" t="s">
        <v>222</v>
      </c>
      <c r="C916" s="8">
        <v>45323</v>
      </c>
      <c r="D916" s="4" t="s">
        <v>188</v>
      </c>
      <c r="E916" s="14">
        <v>4.3193999999999999</v>
      </c>
      <c r="F916" s="7">
        <v>5845</v>
      </c>
      <c r="G916" s="14">
        <v>0</v>
      </c>
      <c r="H916" s="7">
        <v>0</v>
      </c>
      <c r="I916" s="14">
        <v>4.3193999999999999</v>
      </c>
      <c r="J916" s="7">
        <v>5845</v>
      </c>
    </row>
    <row r="917" spans="1:10" x14ac:dyDescent="0.2">
      <c r="A917" s="9">
        <v>45334</v>
      </c>
      <c r="B917" s="4" t="s">
        <v>225</v>
      </c>
      <c r="C917" s="8">
        <v>45323</v>
      </c>
      <c r="D917" s="4" t="s">
        <v>188</v>
      </c>
      <c r="E917" s="14">
        <v>0.67169999999999996</v>
      </c>
      <c r="F917" s="7">
        <v>901</v>
      </c>
      <c r="G917" s="14">
        <v>0</v>
      </c>
      <c r="H917" s="7">
        <v>0</v>
      </c>
      <c r="I917" s="14">
        <v>0.67169999999999996</v>
      </c>
      <c r="J917" s="7">
        <v>901</v>
      </c>
    </row>
    <row r="918" spans="1:10" x14ac:dyDescent="0.2">
      <c r="A918" s="9">
        <v>45335</v>
      </c>
      <c r="B918" s="4" t="s">
        <v>223</v>
      </c>
      <c r="C918" s="8">
        <v>45323</v>
      </c>
      <c r="D918" s="4" t="s">
        <v>188</v>
      </c>
      <c r="E918" s="14">
        <v>1.0269999999999999</v>
      </c>
      <c r="F918" s="7">
        <v>1351</v>
      </c>
      <c r="G918" s="14">
        <v>0</v>
      </c>
      <c r="H918" s="7">
        <v>0</v>
      </c>
      <c r="I918" s="14">
        <v>1.0269999999999999</v>
      </c>
      <c r="J918" s="7">
        <v>1351</v>
      </c>
    </row>
    <row r="919" spans="1:10" x14ac:dyDescent="0.2">
      <c r="A919" s="9">
        <v>45336</v>
      </c>
      <c r="B919" s="4" t="s">
        <v>221</v>
      </c>
      <c r="C919" s="8">
        <v>45323</v>
      </c>
      <c r="D919" s="4" t="s">
        <v>188</v>
      </c>
      <c r="E919" s="14">
        <v>1.9653</v>
      </c>
      <c r="F919" s="7">
        <v>2614</v>
      </c>
      <c r="G919" s="14">
        <v>0</v>
      </c>
      <c r="H919" s="7">
        <v>0</v>
      </c>
      <c r="I919" s="14">
        <v>1.9653</v>
      </c>
      <c r="J919" s="7">
        <v>2614</v>
      </c>
    </row>
    <row r="920" spans="1:10" x14ac:dyDescent="0.2">
      <c r="A920" s="9">
        <v>45337</v>
      </c>
      <c r="B920" s="4" t="s">
        <v>224</v>
      </c>
      <c r="C920" s="8">
        <v>45323</v>
      </c>
      <c r="D920" s="4" t="s">
        <v>188</v>
      </c>
      <c r="E920" s="14">
        <v>1.5053000000000001</v>
      </c>
      <c r="F920" s="7">
        <v>1998</v>
      </c>
      <c r="G920" s="14">
        <v>0</v>
      </c>
      <c r="H920" s="7">
        <v>0</v>
      </c>
      <c r="I920" s="14">
        <v>1.5053000000000001</v>
      </c>
      <c r="J920" s="7">
        <v>1998</v>
      </c>
    </row>
    <row r="921" spans="1:10" x14ac:dyDescent="0.2">
      <c r="A921" s="9">
        <v>45338</v>
      </c>
      <c r="B921" s="4" t="s">
        <v>222</v>
      </c>
      <c r="C921" s="8">
        <v>45323</v>
      </c>
      <c r="D921" s="4" t="s">
        <v>188</v>
      </c>
      <c r="E921" s="14">
        <v>3.2987000000000002</v>
      </c>
      <c r="F921" s="7">
        <v>4352</v>
      </c>
      <c r="G921" s="14">
        <v>0</v>
      </c>
      <c r="H921" s="7">
        <v>0</v>
      </c>
      <c r="I921" s="14">
        <v>3.2987000000000002</v>
      </c>
      <c r="J921" s="7">
        <v>4352</v>
      </c>
    </row>
    <row r="922" spans="1:10" x14ac:dyDescent="0.2">
      <c r="A922" s="9">
        <v>45341</v>
      </c>
      <c r="B922" s="4" t="s">
        <v>225</v>
      </c>
      <c r="C922" s="8">
        <v>45323</v>
      </c>
      <c r="D922" s="4" t="s">
        <v>188</v>
      </c>
      <c r="E922" s="14">
        <v>2.1806999999999999</v>
      </c>
      <c r="F922" s="7">
        <v>2794</v>
      </c>
      <c r="G922" s="14">
        <v>0</v>
      </c>
      <c r="H922" s="7">
        <v>0</v>
      </c>
      <c r="I922" s="14">
        <v>2.1806999999999999</v>
      </c>
      <c r="J922" s="7">
        <v>2794</v>
      </c>
    </row>
    <row r="923" spans="1:10" x14ac:dyDescent="0.2">
      <c r="A923" s="9">
        <v>45342</v>
      </c>
      <c r="B923" s="4" t="s">
        <v>223</v>
      </c>
      <c r="C923" s="8">
        <v>45323</v>
      </c>
      <c r="D923" s="4" t="s">
        <v>188</v>
      </c>
      <c r="E923" s="14">
        <v>0.94689999999999996</v>
      </c>
      <c r="F923" s="7">
        <v>1228</v>
      </c>
      <c r="G923" s="14">
        <v>0</v>
      </c>
      <c r="H923" s="7">
        <v>0</v>
      </c>
      <c r="I923" s="14">
        <v>0.94689999999999996</v>
      </c>
      <c r="J923" s="7">
        <v>1228</v>
      </c>
    </row>
    <row r="924" spans="1:10" x14ac:dyDescent="0.2">
      <c r="A924" s="9">
        <v>45343</v>
      </c>
      <c r="B924" s="4" t="s">
        <v>221</v>
      </c>
      <c r="C924" s="8">
        <v>45323</v>
      </c>
      <c r="D924" s="4" t="s">
        <v>188</v>
      </c>
      <c r="E924" s="14">
        <v>0.97419999999999995</v>
      </c>
      <c r="F924" s="7">
        <v>1280</v>
      </c>
      <c r="G924" s="14">
        <v>0</v>
      </c>
      <c r="H924" s="7">
        <v>0</v>
      </c>
      <c r="I924" s="14">
        <v>0.97419999999999995</v>
      </c>
      <c r="J924" s="7">
        <v>1280</v>
      </c>
    </row>
    <row r="925" spans="1:10" x14ac:dyDescent="0.2">
      <c r="A925" s="9">
        <v>45344</v>
      </c>
      <c r="B925" s="4" t="s">
        <v>224</v>
      </c>
      <c r="C925" s="8">
        <v>45323</v>
      </c>
      <c r="D925" s="4" t="s">
        <v>188</v>
      </c>
      <c r="E925" s="14">
        <v>1.8628</v>
      </c>
      <c r="F925" s="7">
        <v>2466</v>
      </c>
      <c r="G925" s="14">
        <v>0</v>
      </c>
      <c r="H925" s="7">
        <v>0</v>
      </c>
      <c r="I925" s="14">
        <v>1.8628</v>
      </c>
      <c r="J925" s="7">
        <v>2466</v>
      </c>
    </row>
    <row r="926" spans="1:10" x14ac:dyDescent="0.2">
      <c r="A926" s="9">
        <v>45345</v>
      </c>
      <c r="B926" s="4" t="s">
        <v>222</v>
      </c>
      <c r="C926" s="8">
        <v>45323</v>
      </c>
      <c r="D926" s="4" t="s">
        <v>188</v>
      </c>
      <c r="E926" s="14">
        <v>3.5998999999999999</v>
      </c>
      <c r="F926" s="7">
        <v>4673</v>
      </c>
      <c r="G926" s="14">
        <v>0</v>
      </c>
      <c r="H926" s="7">
        <v>0</v>
      </c>
      <c r="I926" s="14">
        <v>3.5998999999999999</v>
      </c>
      <c r="J926" s="7">
        <v>4673</v>
      </c>
    </row>
    <row r="927" spans="1:10" x14ac:dyDescent="0.2">
      <c r="A927" s="9">
        <v>45348</v>
      </c>
      <c r="B927" s="4" t="s">
        <v>225</v>
      </c>
      <c r="C927" s="8">
        <v>45323</v>
      </c>
      <c r="D927" s="4" t="s">
        <v>188</v>
      </c>
      <c r="E927" s="14">
        <v>1.5742</v>
      </c>
      <c r="F927" s="7">
        <v>2015</v>
      </c>
      <c r="G927" s="14">
        <v>0</v>
      </c>
      <c r="H927" s="7">
        <v>0</v>
      </c>
      <c r="I927" s="14">
        <v>1.5742</v>
      </c>
      <c r="J927" s="7">
        <v>2015</v>
      </c>
    </row>
    <row r="928" spans="1:10" x14ac:dyDescent="0.2">
      <c r="A928" s="9">
        <v>45349</v>
      </c>
      <c r="B928" s="4" t="s">
        <v>223</v>
      </c>
      <c r="C928" s="8">
        <v>45323</v>
      </c>
      <c r="D928" s="4" t="s">
        <v>188</v>
      </c>
      <c r="E928" s="14">
        <v>0.31069999999999998</v>
      </c>
      <c r="F928" s="7">
        <v>423</v>
      </c>
      <c r="G928" s="14">
        <v>0</v>
      </c>
      <c r="H928" s="7">
        <v>0</v>
      </c>
      <c r="I928" s="14">
        <v>0.31069999999999998</v>
      </c>
      <c r="J928" s="7">
        <v>423</v>
      </c>
    </row>
    <row r="929" spans="1:10" x14ac:dyDescent="0.2">
      <c r="A929" s="9">
        <v>45350</v>
      </c>
      <c r="B929" s="4" t="s">
        <v>221</v>
      </c>
      <c r="C929" s="8">
        <v>45323</v>
      </c>
      <c r="D929" s="4" t="s">
        <v>188</v>
      </c>
      <c r="E929" s="14">
        <v>1.0016</v>
      </c>
      <c r="F929" s="7">
        <v>1351</v>
      </c>
      <c r="G929" s="14">
        <v>0</v>
      </c>
      <c r="H929" s="7">
        <v>0</v>
      </c>
      <c r="I929" s="14">
        <v>1.0016</v>
      </c>
      <c r="J929" s="7">
        <v>1351</v>
      </c>
    </row>
    <row r="930" spans="1:10" x14ac:dyDescent="0.2">
      <c r="A930" s="9">
        <v>45351</v>
      </c>
      <c r="B930" s="4" t="s">
        <v>224</v>
      </c>
      <c r="C930" s="8">
        <v>45323</v>
      </c>
      <c r="D930" s="4" t="s">
        <v>188</v>
      </c>
      <c r="E930" s="14">
        <v>2.19</v>
      </c>
      <c r="F930" s="7">
        <v>2892</v>
      </c>
      <c r="G930" s="14">
        <v>0</v>
      </c>
      <c r="H930" s="7">
        <v>0</v>
      </c>
      <c r="I930" s="14">
        <v>2.19</v>
      </c>
      <c r="J930" s="7">
        <v>2892</v>
      </c>
    </row>
    <row r="931" spans="1:10" x14ac:dyDescent="0.2">
      <c r="A931" s="9">
        <v>45352</v>
      </c>
      <c r="B931" s="4" t="s">
        <v>222</v>
      </c>
      <c r="C931" s="8">
        <v>45352</v>
      </c>
      <c r="D931" s="4" t="s">
        <v>188</v>
      </c>
      <c r="E931" s="14">
        <v>4.6116999999999999</v>
      </c>
      <c r="F931" s="7">
        <v>6152</v>
      </c>
      <c r="G931" s="14">
        <v>0</v>
      </c>
      <c r="H931" s="7">
        <v>0</v>
      </c>
      <c r="I931" s="14">
        <v>4.6116999999999999</v>
      </c>
      <c r="J931" s="7">
        <v>6152</v>
      </c>
    </row>
    <row r="932" spans="1:10" x14ac:dyDescent="0.2">
      <c r="A932" s="9">
        <v>45353</v>
      </c>
      <c r="B932" s="4" t="s">
        <v>226</v>
      </c>
      <c r="C932" s="8">
        <v>45352</v>
      </c>
      <c r="D932" s="4" t="s">
        <v>188</v>
      </c>
      <c r="E932" s="14">
        <v>0.1812</v>
      </c>
      <c r="F932" s="7">
        <v>242</v>
      </c>
      <c r="G932" s="14">
        <v>0</v>
      </c>
      <c r="H932" s="7">
        <v>0</v>
      </c>
      <c r="I932" s="14">
        <v>0.1812</v>
      </c>
      <c r="J932" s="7">
        <v>242</v>
      </c>
    </row>
    <row r="933" spans="1:10" x14ac:dyDescent="0.2">
      <c r="A933" s="9">
        <v>45355</v>
      </c>
      <c r="B933" s="4" t="s">
        <v>225</v>
      </c>
      <c r="C933" s="8">
        <v>45352</v>
      </c>
      <c r="D933" s="4" t="s">
        <v>188</v>
      </c>
      <c r="E933" s="14">
        <v>0.71730000000000005</v>
      </c>
      <c r="F933" s="7">
        <v>905</v>
      </c>
      <c r="G933" s="14">
        <v>0</v>
      </c>
      <c r="H933" s="7">
        <v>0</v>
      </c>
      <c r="I933" s="14">
        <v>0.71730000000000005</v>
      </c>
      <c r="J933" s="7">
        <v>905</v>
      </c>
    </row>
    <row r="934" spans="1:10" x14ac:dyDescent="0.2">
      <c r="A934" s="9">
        <v>45356</v>
      </c>
      <c r="B934" s="4" t="s">
        <v>223</v>
      </c>
      <c r="C934" s="8">
        <v>45352</v>
      </c>
      <c r="D934" s="4" t="s">
        <v>188</v>
      </c>
      <c r="E934" s="14">
        <v>0.61580000000000001</v>
      </c>
      <c r="F934" s="7">
        <v>797</v>
      </c>
      <c r="G934" s="14">
        <v>0</v>
      </c>
      <c r="H934" s="7">
        <v>0</v>
      </c>
      <c r="I934" s="14">
        <v>0.61580000000000001</v>
      </c>
      <c r="J934" s="7">
        <v>797</v>
      </c>
    </row>
    <row r="935" spans="1:10" x14ac:dyDescent="0.2">
      <c r="A935" s="9">
        <v>45357</v>
      </c>
      <c r="B935" s="4" t="s">
        <v>221</v>
      </c>
      <c r="C935" s="8">
        <v>45352</v>
      </c>
      <c r="D935" s="4" t="s">
        <v>188</v>
      </c>
      <c r="E935" s="14">
        <v>1.7395</v>
      </c>
      <c r="F935" s="7">
        <v>2181</v>
      </c>
      <c r="G935" s="14">
        <v>0</v>
      </c>
      <c r="H935" s="7">
        <v>0</v>
      </c>
      <c r="I935" s="14">
        <v>1.7395</v>
      </c>
      <c r="J935" s="7">
        <v>2181</v>
      </c>
    </row>
    <row r="936" spans="1:10" x14ac:dyDescent="0.2">
      <c r="A936" s="9">
        <v>45358</v>
      </c>
      <c r="B936" s="4" t="s">
        <v>224</v>
      </c>
      <c r="C936" s="8">
        <v>45352</v>
      </c>
      <c r="D936" s="4" t="s">
        <v>188</v>
      </c>
      <c r="E936" s="14">
        <v>2.278</v>
      </c>
      <c r="F936" s="7">
        <v>2920</v>
      </c>
      <c r="G936" s="14">
        <v>0</v>
      </c>
      <c r="H936" s="7">
        <v>0</v>
      </c>
      <c r="I936" s="14">
        <v>2.278</v>
      </c>
      <c r="J936" s="7">
        <v>2920</v>
      </c>
    </row>
    <row r="937" spans="1:10" x14ac:dyDescent="0.2">
      <c r="A937" s="9">
        <v>45362</v>
      </c>
      <c r="B937" s="4" t="s">
        <v>225</v>
      </c>
      <c r="C937" s="8">
        <v>45352</v>
      </c>
      <c r="D937" s="4" t="s">
        <v>188</v>
      </c>
      <c r="E937" s="14">
        <v>0.64190000000000003</v>
      </c>
      <c r="F937" s="7">
        <v>814</v>
      </c>
      <c r="G937" s="14">
        <v>0</v>
      </c>
      <c r="H937" s="7">
        <v>0</v>
      </c>
      <c r="I937" s="14">
        <v>0.64190000000000003</v>
      </c>
      <c r="J937" s="7">
        <v>814</v>
      </c>
    </row>
    <row r="938" spans="1:10" x14ac:dyDescent="0.2">
      <c r="A938" s="9">
        <v>45363</v>
      </c>
      <c r="B938" s="4" t="s">
        <v>223</v>
      </c>
      <c r="C938" s="8">
        <v>45352</v>
      </c>
      <c r="D938" s="4" t="s">
        <v>188</v>
      </c>
      <c r="E938" s="14">
        <v>1.7414000000000001</v>
      </c>
      <c r="F938" s="7">
        <v>2215</v>
      </c>
      <c r="G938" s="14">
        <v>0</v>
      </c>
      <c r="H938" s="7">
        <v>0</v>
      </c>
      <c r="I938" s="14">
        <v>1.7414000000000001</v>
      </c>
      <c r="J938" s="7">
        <v>2215</v>
      </c>
    </row>
    <row r="939" spans="1:10" x14ac:dyDescent="0.2">
      <c r="A939" s="9">
        <v>45364</v>
      </c>
      <c r="B939" s="4" t="s">
        <v>221</v>
      </c>
      <c r="C939" s="8">
        <v>45352</v>
      </c>
      <c r="D939" s="4" t="s">
        <v>188</v>
      </c>
      <c r="E939" s="14">
        <v>1.6388</v>
      </c>
      <c r="F939" s="7">
        <v>2100</v>
      </c>
      <c r="G939" s="14">
        <v>0</v>
      </c>
      <c r="H939" s="7">
        <v>0</v>
      </c>
      <c r="I939" s="14">
        <v>1.6388</v>
      </c>
      <c r="J939" s="7">
        <v>2100</v>
      </c>
    </row>
    <row r="940" spans="1:10" x14ac:dyDescent="0.2">
      <c r="A940" s="9">
        <v>45365</v>
      </c>
      <c r="B940" s="4" t="s">
        <v>224</v>
      </c>
      <c r="C940" s="8">
        <v>45352</v>
      </c>
      <c r="D940" s="4" t="s">
        <v>188</v>
      </c>
      <c r="E940" s="14">
        <v>0.81120000000000003</v>
      </c>
      <c r="F940" s="7">
        <v>1071</v>
      </c>
      <c r="G940" s="14">
        <v>0</v>
      </c>
      <c r="H940" s="7">
        <v>0</v>
      </c>
      <c r="I940" s="14">
        <v>0.81120000000000003</v>
      </c>
      <c r="J940" s="7">
        <v>1071</v>
      </c>
    </row>
    <row r="941" spans="1:10" x14ac:dyDescent="0.2">
      <c r="A941" s="9">
        <v>45366</v>
      </c>
      <c r="B941" s="4" t="s">
        <v>222</v>
      </c>
      <c r="C941" s="8">
        <v>45352</v>
      </c>
      <c r="D941" s="4" t="s">
        <v>188</v>
      </c>
      <c r="E941" s="14">
        <v>3.8839999999999999</v>
      </c>
      <c r="F941" s="7">
        <v>5152</v>
      </c>
      <c r="G941" s="14">
        <v>0</v>
      </c>
      <c r="H941" s="7">
        <v>0</v>
      </c>
      <c r="I941" s="14">
        <v>3.8839999999999999</v>
      </c>
      <c r="J941" s="7">
        <v>5152</v>
      </c>
    </row>
    <row r="942" spans="1:10" x14ac:dyDescent="0.2">
      <c r="A942" s="9">
        <v>45369</v>
      </c>
      <c r="B942" s="4" t="s">
        <v>225</v>
      </c>
      <c r="C942" s="8">
        <v>45352</v>
      </c>
      <c r="D942" s="4" t="s">
        <v>188</v>
      </c>
      <c r="E942" s="14">
        <v>3.4733000000000001</v>
      </c>
      <c r="F942" s="7">
        <v>4417</v>
      </c>
      <c r="G942" s="14">
        <v>0</v>
      </c>
      <c r="H942" s="7">
        <v>0</v>
      </c>
      <c r="I942" s="14">
        <v>3.4733000000000001</v>
      </c>
      <c r="J942" s="7">
        <v>4417</v>
      </c>
    </row>
    <row r="943" spans="1:10" x14ac:dyDescent="0.2">
      <c r="A943" s="9">
        <v>45370</v>
      </c>
      <c r="B943" s="4" t="s">
        <v>223</v>
      </c>
      <c r="C943" s="8">
        <v>45352</v>
      </c>
      <c r="D943" s="4" t="s">
        <v>188</v>
      </c>
      <c r="E943" s="14">
        <v>0.81320000000000003</v>
      </c>
      <c r="F943" s="7">
        <v>1080</v>
      </c>
      <c r="G943" s="14">
        <v>0</v>
      </c>
      <c r="H943" s="7">
        <v>0</v>
      </c>
      <c r="I943" s="14">
        <v>0.81320000000000003</v>
      </c>
      <c r="J943" s="7">
        <v>1080</v>
      </c>
    </row>
    <row r="944" spans="1:10" x14ac:dyDescent="0.2">
      <c r="A944" s="9">
        <v>45371</v>
      </c>
      <c r="B944" s="4" t="s">
        <v>221</v>
      </c>
      <c r="C944" s="8">
        <v>45352</v>
      </c>
      <c r="D944" s="4" t="s">
        <v>188</v>
      </c>
      <c r="E944" s="14">
        <v>0.53320000000000001</v>
      </c>
      <c r="F944" s="7">
        <v>717</v>
      </c>
      <c r="G944" s="14">
        <v>0</v>
      </c>
      <c r="H944" s="7">
        <v>0</v>
      </c>
      <c r="I944" s="14">
        <v>0.53320000000000001</v>
      </c>
      <c r="J944" s="7">
        <v>717</v>
      </c>
    </row>
    <row r="945" spans="1:10" x14ac:dyDescent="0.2">
      <c r="A945" s="9">
        <v>45372</v>
      </c>
      <c r="B945" s="4" t="s">
        <v>224</v>
      </c>
      <c r="C945" s="8">
        <v>45352</v>
      </c>
      <c r="D945" s="4" t="s">
        <v>188</v>
      </c>
      <c r="E945" s="14">
        <v>0.60150000000000003</v>
      </c>
      <c r="F945" s="7">
        <v>810</v>
      </c>
      <c r="G945" s="14">
        <v>0</v>
      </c>
      <c r="H945" s="7">
        <v>0</v>
      </c>
      <c r="I945" s="14">
        <v>0.60150000000000003</v>
      </c>
      <c r="J945" s="7">
        <v>810</v>
      </c>
    </row>
    <row r="946" spans="1:10" x14ac:dyDescent="0.2">
      <c r="A946" s="9">
        <v>45373</v>
      </c>
      <c r="B946" s="4" t="s">
        <v>222</v>
      </c>
      <c r="C946" s="8">
        <v>45352</v>
      </c>
      <c r="D946" s="4" t="s">
        <v>188</v>
      </c>
      <c r="E946" s="14">
        <v>2.2625000000000002</v>
      </c>
      <c r="F946" s="7">
        <v>3048</v>
      </c>
      <c r="G946" s="14">
        <v>8.9999999999999998E-4</v>
      </c>
      <c r="H946" s="7">
        <v>1</v>
      </c>
      <c r="I946" s="14">
        <v>2.2633999999999999</v>
      </c>
      <c r="J946" s="7">
        <v>3049</v>
      </c>
    </row>
    <row r="947" spans="1:10" x14ac:dyDescent="0.2">
      <c r="A947" s="9">
        <v>45377</v>
      </c>
      <c r="B947" s="4" t="s">
        <v>223</v>
      </c>
      <c r="C947" s="8">
        <v>45352</v>
      </c>
      <c r="D947" s="4" t="s">
        <v>188</v>
      </c>
      <c r="E947" s="14">
        <v>0.3629</v>
      </c>
      <c r="F947" s="7">
        <v>495</v>
      </c>
      <c r="G947" s="14">
        <v>0</v>
      </c>
      <c r="H947" s="7">
        <v>0</v>
      </c>
      <c r="I947" s="14">
        <v>0.3629</v>
      </c>
      <c r="J947" s="7">
        <v>495</v>
      </c>
    </row>
    <row r="948" spans="1:10" x14ac:dyDescent="0.2">
      <c r="A948" s="9">
        <v>45378</v>
      </c>
      <c r="B948" s="4" t="s">
        <v>221</v>
      </c>
      <c r="C948" s="8">
        <v>45352</v>
      </c>
      <c r="D948" s="4" t="s">
        <v>188</v>
      </c>
      <c r="E948" s="14">
        <v>0.49170000000000003</v>
      </c>
      <c r="F948" s="7">
        <v>668</v>
      </c>
      <c r="G948" s="14">
        <v>0</v>
      </c>
      <c r="H948" s="7">
        <v>0</v>
      </c>
      <c r="I948" s="14">
        <v>0.49170000000000003</v>
      </c>
      <c r="J948" s="7">
        <v>668</v>
      </c>
    </row>
    <row r="949" spans="1:10" x14ac:dyDescent="0.2">
      <c r="A949" s="9">
        <v>45379</v>
      </c>
      <c r="B949" s="4" t="s">
        <v>224</v>
      </c>
      <c r="C949" s="8">
        <v>45352</v>
      </c>
      <c r="D949" s="4" t="s">
        <v>188</v>
      </c>
      <c r="E949" s="14">
        <v>2.0253000000000001</v>
      </c>
      <c r="F949" s="7">
        <v>2727</v>
      </c>
      <c r="G949" s="14">
        <v>0</v>
      </c>
      <c r="H949" s="7">
        <v>0</v>
      </c>
      <c r="I949" s="14">
        <v>2.0253000000000001</v>
      </c>
      <c r="J949" s="7">
        <v>2727</v>
      </c>
    </row>
    <row r="950" spans="1:10" x14ac:dyDescent="0.2">
      <c r="A950" s="9">
        <v>45383</v>
      </c>
      <c r="B950" s="4" t="s">
        <v>225</v>
      </c>
      <c r="C950" s="8">
        <v>45383</v>
      </c>
      <c r="D950" s="4" t="s">
        <v>189</v>
      </c>
      <c r="E950" s="14">
        <v>0.47549999999999998</v>
      </c>
      <c r="F950" s="7">
        <v>618</v>
      </c>
      <c r="G950" s="14">
        <v>0</v>
      </c>
      <c r="H950" s="7">
        <v>0</v>
      </c>
      <c r="I950" s="14">
        <v>0.47549999999999998</v>
      </c>
      <c r="J950" s="7">
        <v>618</v>
      </c>
    </row>
    <row r="951" spans="1:10" x14ac:dyDescent="0.2">
      <c r="A951" s="9">
        <v>45384</v>
      </c>
      <c r="B951" s="4" t="s">
        <v>223</v>
      </c>
      <c r="C951" s="8">
        <v>45383</v>
      </c>
      <c r="D951" s="4" t="s">
        <v>189</v>
      </c>
      <c r="E951" s="14">
        <v>0.29270000000000002</v>
      </c>
      <c r="F951" s="7">
        <v>389</v>
      </c>
      <c r="G951" s="14">
        <v>0</v>
      </c>
      <c r="H951" s="7">
        <v>0</v>
      </c>
      <c r="I951" s="14">
        <v>0.29270000000000002</v>
      </c>
      <c r="J951" s="7">
        <v>389</v>
      </c>
    </row>
    <row r="952" spans="1:10" x14ac:dyDescent="0.2">
      <c r="A952" s="9">
        <v>45385</v>
      </c>
      <c r="B952" s="4" t="s">
        <v>221</v>
      </c>
      <c r="C952" s="8">
        <v>45383</v>
      </c>
      <c r="D952" s="4" t="s">
        <v>189</v>
      </c>
      <c r="E952" s="14">
        <v>0.54900000000000004</v>
      </c>
      <c r="F952" s="7">
        <v>729</v>
      </c>
      <c r="G952" s="14">
        <v>0</v>
      </c>
      <c r="H952" s="7">
        <v>0</v>
      </c>
      <c r="I952" s="14">
        <v>0.54900000000000004</v>
      </c>
      <c r="J952" s="7">
        <v>729</v>
      </c>
    </row>
    <row r="953" spans="1:10" x14ac:dyDescent="0.2">
      <c r="A953" s="9">
        <v>45386</v>
      </c>
      <c r="B953" s="4" t="s">
        <v>224</v>
      </c>
      <c r="C953" s="8">
        <v>45383</v>
      </c>
      <c r="D953" s="4" t="s">
        <v>189</v>
      </c>
      <c r="E953" s="14">
        <v>2.8525999999999998</v>
      </c>
      <c r="F953" s="7">
        <v>3641</v>
      </c>
      <c r="G953" s="14">
        <v>0</v>
      </c>
      <c r="H953" s="7">
        <v>0</v>
      </c>
      <c r="I953" s="14">
        <v>2.8525999999999998</v>
      </c>
      <c r="J953" s="7">
        <v>3641</v>
      </c>
    </row>
    <row r="954" spans="1:10" x14ac:dyDescent="0.2">
      <c r="A954" s="9">
        <v>45387</v>
      </c>
      <c r="B954" s="4" t="s">
        <v>222</v>
      </c>
      <c r="C954" s="8">
        <v>45383</v>
      </c>
      <c r="D954" s="4" t="s">
        <v>189</v>
      </c>
      <c r="E954" s="14">
        <v>3.1072000000000002</v>
      </c>
      <c r="F954" s="7">
        <v>4036</v>
      </c>
      <c r="G954" s="14">
        <v>0</v>
      </c>
      <c r="H954" s="7">
        <v>0</v>
      </c>
      <c r="I954" s="14">
        <v>3.1072000000000002</v>
      </c>
      <c r="J954" s="7">
        <v>4036</v>
      </c>
    </row>
    <row r="955" spans="1:10" x14ac:dyDescent="0.2">
      <c r="A955" s="9">
        <v>45390</v>
      </c>
      <c r="B955" s="4" t="s">
        <v>225</v>
      </c>
      <c r="C955" s="8">
        <v>45383</v>
      </c>
      <c r="D955" s="4" t="s">
        <v>189</v>
      </c>
      <c r="E955" s="14">
        <v>0.74370000000000003</v>
      </c>
      <c r="F955" s="7">
        <v>938</v>
      </c>
      <c r="G955" s="14">
        <v>0</v>
      </c>
      <c r="H955" s="7">
        <v>0</v>
      </c>
      <c r="I955" s="14">
        <v>0.74370000000000003</v>
      </c>
      <c r="J955" s="7">
        <v>938</v>
      </c>
    </row>
    <row r="956" spans="1:10" x14ac:dyDescent="0.2">
      <c r="A956" s="9">
        <v>45391</v>
      </c>
      <c r="B956" s="4" t="s">
        <v>223</v>
      </c>
      <c r="C956" s="8">
        <v>45383</v>
      </c>
      <c r="D956" s="4" t="s">
        <v>189</v>
      </c>
      <c r="E956" s="14">
        <v>0.3861</v>
      </c>
      <c r="F956" s="7">
        <v>512</v>
      </c>
      <c r="G956" s="14">
        <v>0</v>
      </c>
      <c r="H956" s="7">
        <v>0</v>
      </c>
      <c r="I956" s="14">
        <v>0.3861</v>
      </c>
      <c r="J956" s="7">
        <v>512</v>
      </c>
    </row>
    <row r="957" spans="1:10" x14ac:dyDescent="0.2">
      <c r="A957" s="9">
        <v>45392</v>
      </c>
      <c r="B957" s="4" t="s">
        <v>221</v>
      </c>
      <c r="C957" s="8">
        <v>45383</v>
      </c>
      <c r="D957" s="4" t="s">
        <v>189</v>
      </c>
      <c r="E957" s="14">
        <v>0.34279999999999999</v>
      </c>
      <c r="F957" s="7">
        <v>450</v>
      </c>
      <c r="G957" s="14">
        <v>0</v>
      </c>
      <c r="H957" s="7">
        <v>0</v>
      </c>
      <c r="I957" s="14">
        <v>0.34279999999999999</v>
      </c>
      <c r="J957" s="7">
        <v>450</v>
      </c>
    </row>
    <row r="958" spans="1:10" x14ac:dyDescent="0.2">
      <c r="A958" s="9">
        <v>45394</v>
      </c>
      <c r="B958" s="4" t="s">
        <v>222</v>
      </c>
      <c r="C958" s="8">
        <v>45383</v>
      </c>
      <c r="D958" s="4" t="s">
        <v>189</v>
      </c>
      <c r="E958" s="14">
        <v>4.5716000000000001</v>
      </c>
      <c r="F958" s="7">
        <v>6142</v>
      </c>
      <c r="G958" s="14">
        <v>0</v>
      </c>
      <c r="H958" s="7">
        <v>0</v>
      </c>
      <c r="I958" s="14">
        <v>4.5716000000000001</v>
      </c>
      <c r="J958" s="7">
        <v>6142</v>
      </c>
    </row>
    <row r="959" spans="1:10" x14ac:dyDescent="0.2">
      <c r="A959" s="9">
        <v>45397</v>
      </c>
      <c r="B959" s="4" t="s">
        <v>225</v>
      </c>
      <c r="C959" s="8">
        <v>45383</v>
      </c>
      <c r="D959" s="4" t="s">
        <v>189</v>
      </c>
      <c r="E959" s="14">
        <v>0.76659999999999995</v>
      </c>
      <c r="F959" s="7">
        <v>1002</v>
      </c>
      <c r="G959" s="14">
        <v>0</v>
      </c>
      <c r="H959" s="7">
        <v>0</v>
      </c>
      <c r="I959" s="14">
        <v>0.76659999999999995</v>
      </c>
      <c r="J959" s="7">
        <v>1002</v>
      </c>
    </row>
    <row r="960" spans="1:10" x14ac:dyDescent="0.2">
      <c r="A960" s="9">
        <v>45398</v>
      </c>
      <c r="B960" s="4" t="s">
        <v>223</v>
      </c>
      <c r="C960" s="8">
        <v>45383</v>
      </c>
      <c r="D960" s="4" t="s">
        <v>189</v>
      </c>
      <c r="E960" s="14">
        <v>0.83779999999999999</v>
      </c>
      <c r="F960" s="7">
        <v>1108</v>
      </c>
      <c r="G960" s="14">
        <v>0</v>
      </c>
      <c r="H960" s="7">
        <v>0</v>
      </c>
      <c r="I960" s="14">
        <v>0.83779999999999999</v>
      </c>
      <c r="J960" s="7">
        <v>1108</v>
      </c>
    </row>
    <row r="961" spans="1:10" x14ac:dyDescent="0.2">
      <c r="A961" s="9">
        <v>45400</v>
      </c>
      <c r="B961" s="4" t="s">
        <v>224</v>
      </c>
      <c r="C961" s="8">
        <v>45383</v>
      </c>
      <c r="D961" s="4" t="s">
        <v>189</v>
      </c>
      <c r="E961" s="14">
        <v>1.9779</v>
      </c>
      <c r="F961" s="7">
        <v>2627</v>
      </c>
      <c r="G961" s="14">
        <v>0</v>
      </c>
      <c r="H961" s="7">
        <v>0</v>
      </c>
      <c r="I961" s="14">
        <v>1.9779</v>
      </c>
      <c r="J961" s="7">
        <v>2627</v>
      </c>
    </row>
    <row r="962" spans="1:10" x14ac:dyDescent="0.2">
      <c r="A962" s="9">
        <v>45401</v>
      </c>
      <c r="B962" s="4" t="s">
        <v>222</v>
      </c>
      <c r="C962" s="8">
        <v>45383</v>
      </c>
      <c r="D962" s="4" t="s">
        <v>189</v>
      </c>
      <c r="E962" s="14">
        <v>5.6413000000000002</v>
      </c>
      <c r="F962" s="7">
        <v>7700</v>
      </c>
      <c r="G962" s="14">
        <v>0</v>
      </c>
      <c r="H962" s="7">
        <v>0</v>
      </c>
      <c r="I962" s="14">
        <v>5.6413000000000002</v>
      </c>
      <c r="J962" s="7">
        <v>7700</v>
      </c>
    </row>
    <row r="963" spans="1:10" x14ac:dyDescent="0.2">
      <c r="A963" s="9">
        <v>45404</v>
      </c>
      <c r="B963" s="4" t="s">
        <v>225</v>
      </c>
      <c r="C963" s="8">
        <v>45383</v>
      </c>
      <c r="D963" s="4" t="s">
        <v>189</v>
      </c>
      <c r="E963" s="14">
        <v>0.99450000000000005</v>
      </c>
      <c r="F963" s="7">
        <v>1292</v>
      </c>
      <c r="G963" s="14">
        <v>0</v>
      </c>
      <c r="H963" s="7">
        <v>0</v>
      </c>
      <c r="I963" s="14">
        <v>0.99450000000000005</v>
      </c>
      <c r="J963" s="7">
        <v>1292</v>
      </c>
    </row>
    <row r="964" spans="1:10" x14ac:dyDescent="0.2">
      <c r="A964" s="9">
        <v>45405</v>
      </c>
      <c r="B964" s="4" t="s">
        <v>223</v>
      </c>
      <c r="C964" s="8">
        <v>45383</v>
      </c>
      <c r="D964" s="4" t="s">
        <v>189</v>
      </c>
      <c r="E964" s="14">
        <v>0.27889999999999998</v>
      </c>
      <c r="F964" s="7">
        <v>375</v>
      </c>
      <c r="G964" s="14">
        <v>0</v>
      </c>
      <c r="H964" s="7">
        <v>0</v>
      </c>
      <c r="I964" s="14">
        <v>0.27889999999999998</v>
      </c>
      <c r="J964" s="7">
        <v>375</v>
      </c>
    </row>
    <row r="965" spans="1:10" x14ac:dyDescent="0.2">
      <c r="A965" s="9">
        <v>45406</v>
      </c>
      <c r="B965" s="4" t="s">
        <v>221</v>
      </c>
      <c r="C965" s="8">
        <v>45383</v>
      </c>
      <c r="D965" s="4" t="s">
        <v>189</v>
      </c>
      <c r="E965" s="14">
        <v>0.38300000000000001</v>
      </c>
      <c r="F965" s="7">
        <v>514</v>
      </c>
      <c r="G965" s="14">
        <v>0</v>
      </c>
      <c r="H965" s="7">
        <v>0</v>
      </c>
      <c r="I965" s="14">
        <v>0.38300000000000001</v>
      </c>
      <c r="J965" s="7">
        <v>514</v>
      </c>
    </row>
    <row r="966" spans="1:10" x14ac:dyDescent="0.2">
      <c r="A966" s="9">
        <v>45407</v>
      </c>
      <c r="B966" s="4" t="s">
        <v>224</v>
      </c>
      <c r="C966" s="8">
        <v>45383</v>
      </c>
      <c r="D966" s="4" t="s">
        <v>189</v>
      </c>
      <c r="E966" s="14">
        <v>0.81230000000000002</v>
      </c>
      <c r="F966" s="7">
        <v>1078</v>
      </c>
      <c r="G966" s="14">
        <v>0</v>
      </c>
      <c r="H966" s="7">
        <v>0</v>
      </c>
      <c r="I966" s="14">
        <v>0.81230000000000002</v>
      </c>
      <c r="J966" s="7">
        <v>1078</v>
      </c>
    </row>
    <row r="967" spans="1:10" x14ac:dyDescent="0.2">
      <c r="A967" s="9">
        <v>45408</v>
      </c>
      <c r="B967" s="4" t="s">
        <v>222</v>
      </c>
      <c r="C967" s="8">
        <v>45383</v>
      </c>
      <c r="D967" s="4" t="s">
        <v>189</v>
      </c>
      <c r="E967" s="14">
        <v>2.5280999999999998</v>
      </c>
      <c r="F967" s="7">
        <v>3371</v>
      </c>
      <c r="G967" s="14">
        <v>0</v>
      </c>
      <c r="H967" s="7">
        <v>0</v>
      </c>
      <c r="I967" s="14">
        <v>2.5280999999999998</v>
      </c>
      <c r="J967" s="7">
        <v>3371</v>
      </c>
    </row>
    <row r="968" spans="1:10" x14ac:dyDescent="0.2">
      <c r="A968" s="9">
        <v>45411</v>
      </c>
      <c r="B968" s="4" t="s">
        <v>225</v>
      </c>
      <c r="C968" s="8">
        <v>45383</v>
      </c>
      <c r="D968" s="4" t="s">
        <v>189</v>
      </c>
      <c r="E968" s="14">
        <v>5.2035</v>
      </c>
      <c r="F968" s="7">
        <v>6273</v>
      </c>
      <c r="G968" s="14">
        <v>0</v>
      </c>
      <c r="H968" s="7">
        <v>0</v>
      </c>
      <c r="I968" s="14">
        <v>5.2035</v>
      </c>
      <c r="J968" s="7">
        <v>6273</v>
      </c>
    </row>
    <row r="969" spans="1:10" x14ac:dyDescent="0.2">
      <c r="A969" s="9">
        <v>45412</v>
      </c>
      <c r="B969" s="4" t="s">
        <v>223</v>
      </c>
      <c r="C969" s="8">
        <v>45383</v>
      </c>
      <c r="D969" s="4" t="s">
        <v>189</v>
      </c>
      <c r="E969" s="14">
        <v>0.62160000000000004</v>
      </c>
      <c r="F969" s="7">
        <v>789</v>
      </c>
      <c r="G969" s="14">
        <v>0</v>
      </c>
      <c r="H969" s="7">
        <v>0</v>
      </c>
      <c r="I969" s="14">
        <v>0.62160000000000004</v>
      </c>
      <c r="J969" s="7">
        <v>789</v>
      </c>
    </row>
    <row r="970" spans="1:10" x14ac:dyDescent="0.2">
      <c r="A970" s="9">
        <v>45414</v>
      </c>
      <c r="B970" s="4" t="s">
        <v>224</v>
      </c>
      <c r="C970" s="8">
        <v>45413</v>
      </c>
      <c r="D970" s="4" t="s">
        <v>189</v>
      </c>
      <c r="E970" s="14">
        <v>0.76580000000000004</v>
      </c>
      <c r="F970" s="7">
        <v>1004</v>
      </c>
      <c r="G970" s="14">
        <v>0</v>
      </c>
      <c r="H970" s="7">
        <v>0</v>
      </c>
      <c r="I970" s="14">
        <v>0.76580000000000004</v>
      </c>
      <c r="J970" s="7">
        <v>1004</v>
      </c>
    </row>
    <row r="971" spans="1:10" x14ac:dyDescent="0.2">
      <c r="A971" s="9">
        <v>45415</v>
      </c>
      <c r="B971" s="4" t="s">
        <v>222</v>
      </c>
      <c r="C971" s="8">
        <v>45413</v>
      </c>
      <c r="D971" s="4" t="s">
        <v>189</v>
      </c>
      <c r="E971" s="14">
        <v>4.5669000000000004</v>
      </c>
      <c r="F971" s="7">
        <v>6121</v>
      </c>
      <c r="G971" s="14">
        <v>0</v>
      </c>
      <c r="H971" s="7">
        <v>0</v>
      </c>
      <c r="I971" s="14">
        <v>4.5669000000000004</v>
      </c>
      <c r="J971" s="7">
        <v>6121</v>
      </c>
    </row>
    <row r="972" spans="1:10" x14ac:dyDescent="0.2">
      <c r="A972" s="9">
        <v>45418</v>
      </c>
      <c r="B972" s="4" t="s">
        <v>225</v>
      </c>
      <c r="C972" s="8">
        <v>45413</v>
      </c>
      <c r="D972" s="4" t="s">
        <v>189</v>
      </c>
      <c r="E972" s="14">
        <v>0.999</v>
      </c>
      <c r="F972" s="7">
        <v>1283</v>
      </c>
      <c r="G972" s="14">
        <v>0</v>
      </c>
      <c r="H972" s="7">
        <v>0</v>
      </c>
      <c r="I972" s="14">
        <v>0.999</v>
      </c>
      <c r="J972" s="7">
        <v>1283</v>
      </c>
    </row>
    <row r="973" spans="1:10" x14ac:dyDescent="0.2">
      <c r="A973" s="9">
        <v>45419</v>
      </c>
      <c r="B973" s="4" t="s">
        <v>223</v>
      </c>
      <c r="C973" s="8">
        <v>45413</v>
      </c>
      <c r="D973" s="4" t="s">
        <v>189</v>
      </c>
      <c r="E973" s="14">
        <v>0.56510000000000005</v>
      </c>
      <c r="F973" s="7">
        <v>762</v>
      </c>
      <c r="G973" s="14">
        <v>0</v>
      </c>
      <c r="H973" s="7">
        <v>0</v>
      </c>
      <c r="I973" s="14">
        <v>0.56510000000000005</v>
      </c>
      <c r="J973" s="7">
        <v>762</v>
      </c>
    </row>
    <row r="974" spans="1:10" x14ac:dyDescent="0.2">
      <c r="A974" s="9">
        <v>45420</v>
      </c>
      <c r="B974" s="4" t="s">
        <v>221</v>
      </c>
      <c r="C974" s="8">
        <v>45413</v>
      </c>
      <c r="D974" s="4" t="s">
        <v>189</v>
      </c>
      <c r="E974" s="14">
        <v>0.42559999999999998</v>
      </c>
      <c r="F974" s="7">
        <v>567</v>
      </c>
      <c r="G974" s="14">
        <v>0</v>
      </c>
      <c r="H974" s="7">
        <v>0</v>
      </c>
      <c r="I974" s="14">
        <v>0.42559999999999998</v>
      </c>
      <c r="J974" s="7">
        <v>567</v>
      </c>
    </row>
    <row r="975" spans="1:10" x14ac:dyDescent="0.2">
      <c r="A975" s="9">
        <v>45421</v>
      </c>
      <c r="B975" s="4" t="s">
        <v>224</v>
      </c>
      <c r="C975" s="8">
        <v>45413</v>
      </c>
      <c r="D975" s="4" t="s">
        <v>189</v>
      </c>
      <c r="E975" s="14">
        <v>0.98040000000000005</v>
      </c>
      <c r="F975" s="7">
        <v>1326</v>
      </c>
      <c r="G975" s="14">
        <v>0</v>
      </c>
      <c r="H975" s="7">
        <v>0</v>
      </c>
      <c r="I975" s="14">
        <v>0.98040000000000005</v>
      </c>
      <c r="J975" s="7">
        <v>1326</v>
      </c>
    </row>
    <row r="976" spans="1:10" x14ac:dyDescent="0.2">
      <c r="A976" s="9">
        <v>45422</v>
      </c>
      <c r="B976" s="4" t="s">
        <v>222</v>
      </c>
      <c r="C976" s="8">
        <v>45413</v>
      </c>
      <c r="D976" s="4" t="s">
        <v>189</v>
      </c>
      <c r="E976" s="14">
        <v>2.3767</v>
      </c>
      <c r="F976" s="7">
        <v>3259</v>
      </c>
      <c r="G976" s="14">
        <v>0</v>
      </c>
      <c r="H976" s="7">
        <v>0</v>
      </c>
      <c r="I976" s="14">
        <v>2.3767</v>
      </c>
      <c r="J976" s="7">
        <v>3259</v>
      </c>
    </row>
    <row r="977" spans="1:10" x14ac:dyDescent="0.2">
      <c r="A977" s="9">
        <v>45425</v>
      </c>
      <c r="B977" s="4" t="s">
        <v>225</v>
      </c>
      <c r="C977" s="8">
        <v>45413</v>
      </c>
      <c r="D977" s="4" t="s">
        <v>189</v>
      </c>
      <c r="E977" s="14">
        <v>0.87780000000000002</v>
      </c>
      <c r="F977" s="7">
        <v>1141</v>
      </c>
      <c r="G977" s="14">
        <v>0</v>
      </c>
      <c r="H977" s="7">
        <v>0</v>
      </c>
      <c r="I977" s="14">
        <v>0.87780000000000002</v>
      </c>
      <c r="J977" s="7">
        <v>1141</v>
      </c>
    </row>
    <row r="978" spans="1:10" x14ac:dyDescent="0.2">
      <c r="A978" s="9">
        <v>45426</v>
      </c>
      <c r="B978" s="4" t="s">
        <v>223</v>
      </c>
      <c r="C978" s="8">
        <v>45413</v>
      </c>
      <c r="D978" s="4" t="s">
        <v>189</v>
      </c>
      <c r="E978" s="14">
        <v>0.29870000000000002</v>
      </c>
      <c r="F978" s="7">
        <v>402</v>
      </c>
      <c r="G978" s="14">
        <v>0</v>
      </c>
      <c r="H978" s="7">
        <v>0</v>
      </c>
      <c r="I978" s="14">
        <v>0.29870000000000002</v>
      </c>
      <c r="J978" s="7">
        <v>402</v>
      </c>
    </row>
    <row r="979" spans="1:10" x14ac:dyDescent="0.2">
      <c r="A979" s="9">
        <v>45427</v>
      </c>
      <c r="B979" s="4" t="s">
        <v>221</v>
      </c>
      <c r="C979" s="8">
        <v>45413</v>
      </c>
      <c r="D979" s="4" t="s">
        <v>189</v>
      </c>
      <c r="E979" s="14">
        <v>0.36049999999999999</v>
      </c>
      <c r="F979" s="7">
        <v>485</v>
      </c>
      <c r="G979" s="14">
        <v>0</v>
      </c>
      <c r="H979" s="7">
        <v>0</v>
      </c>
      <c r="I979" s="14">
        <v>0.36049999999999999</v>
      </c>
      <c r="J979" s="7">
        <v>485</v>
      </c>
    </row>
    <row r="980" spans="1:10" x14ac:dyDescent="0.2">
      <c r="A980" s="9">
        <v>45428</v>
      </c>
      <c r="B980" s="4" t="s">
        <v>224</v>
      </c>
      <c r="C980" s="8">
        <v>45413</v>
      </c>
      <c r="D980" s="4" t="s">
        <v>189</v>
      </c>
      <c r="E980" s="14">
        <v>1.2503</v>
      </c>
      <c r="F980" s="7">
        <v>1700</v>
      </c>
      <c r="G980" s="14">
        <v>0</v>
      </c>
      <c r="H980" s="7">
        <v>0</v>
      </c>
      <c r="I980" s="14">
        <v>1.2503</v>
      </c>
      <c r="J980" s="7">
        <v>1700</v>
      </c>
    </row>
    <row r="981" spans="1:10" x14ac:dyDescent="0.2">
      <c r="A981" s="9">
        <v>45429</v>
      </c>
      <c r="B981" s="4" t="s">
        <v>222</v>
      </c>
      <c r="C981" s="8">
        <v>45413</v>
      </c>
      <c r="D981" s="4" t="s">
        <v>189</v>
      </c>
      <c r="E981" s="14">
        <v>2.3576999999999999</v>
      </c>
      <c r="F981" s="7">
        <v>3124</v>
      </c>
      <c r="G981" s="14">
        <v>0</v>
      </c>
      <c r="H981" s="7">
        <v>0</v>
      </c>
      <c r="I981" s="14">
        <v>2.3576999999999999</v>
      </c>
      <c r="J981" s="7">
        <v>3124</v>
      </c>
    </row>
    <row r="982" spans="1:10" x14ac:dyDescent="0.2">
      <c r="A982" s="9">
        <v>45430</v>
      </c>
      <c r="B982" s="4" t="s">
        <v>226</v>
      </c>
      <c r="C982" s="8">
        <v>45413</v>
      </c>
      <c r="D982" s="4" t="s">
        <v>189</v>
      </c>
      <c r="E982" s="14">
        <v>0.1206</v>
      </c>
      <c r="F982" s="7">
        <v>158</v>
      </c>
      <c r="G982" s="14">
        <v>0</v>
      </c>
      <c r="H982" s="7">
        <v>0</v>
      </c>
      <c r="I982" s="14">
        <v>0.1206</v>
      </c>
      <c r="J982" s="7">
        <v>158</v>
      </c>
    </row>
    <row r="983" spans="1:10" x14ac:dyDescent="0.2">
      <c r="A983" s="9">
        <v>45433</v>
      </c>
      <c r="B983" s="4" t="s">
        <v>223</v>
      </c>
      <c r="C983" s="8">
        <v>45413</v>
      </c>
      <c r="D983" s="4" t="s">
        <v>189</v>
      </c>
      <c r="E983" s="14">
        <v>0.52190000000000003</v>
      </c>
      <c r="F983" s="7">
        <v>685</v>
      </c>
      <c r="G983" s="14">
        <v>0</v>
      </c>
      <c r="H983" s="7">
        <v>0</v>
      </c>
      <c r="I983" s="14">
        <v>0.52190000000000003</v>
      </c>
      <c r="J983" s="7">
        <v>685</v>
      </c>
    </row>
    <row r="984" spans="1:10" x14ac:dyDescent="0.2">
      <c r="A984" s="9">
        <v>45434</v>
      </c>
      <c r="B984" s="4" t="s">
        <v>221</v>
      </c>
      <c r="C984" s="8">
        <v>45413</v>
      </c>
      <c r="D984" s="4" t="s">
        <v>189</v>
      </c>
      <c r="E984" s="14">
        <v>0.53669999999999995</v>
      </c>
      <c r="F984" s="7">
        <v>678</v>
      </c>
      <c r="G984" s="14">
        <v>0</v>
      </c>
      <c r="H984" s="7">
        <v>0</v>
      </c>
      <c r="I984" s="14">
        <v>0.53669999999999995</v>
      </c>
      <c r="J984" s="7">
        <v>678</v>
      </c>
    </row>
    <row r="985" spans="1:10" x14ac:dyDescent="0.2">
      <c r="A985" s="9">
        <v>45435</v>
      </c>
      <c r="B985" s="4" t="s">
        <v>224</v>
      </c>
      <c r="C985" s="8">
        <v>45413</v>
      </c>
      <c r="D985" s="4" t="s">
        <v>189</v>
      </c>
      <c r="E985" s="14">
        <v>0.87260000000000004</v>
      </c>
      <c r="F985" s="7">
        <v>1148</v>
      </c>
      <c r="G985" s="14">
        <v>0</v>
      </c>
      <c r="H985" s="7">
        <v>0</v>
      </c>
      <c r="I985" s="14">
        <v>0.87260000000000004</v>
      </c>
      <c r="J985" s="7">
        <v>1148</v>
      </c>
    </row>
    <row r="986" spans="1:10" x14ac:dyDescent="0.2">
      <c r="A986" s="9">
        <v>45436</v>
      </c>
      <c r="B986" s="4" t="s">
        <v>222</v>
      </c>
      <c r="C986" s="8">
        <v>45413</v>
      </c>
      <c r="D986" s="4" t="s">
        <v>189</v>
      </c>
      <c r="E986" s="14">
        <v>1.6476</v>
      </c>
      <c r="F986" s="7">
        <v>2167</v>
      </c>
      <c r="G986" s="14">
        <v>0</v>
      </c>
      <c r="H986" s="7">
        <v>0</v>
      </c>
      <c r="I986" s="14">
        <v>1.6476</v>
      </c>
      <c r="J986" s="7">
        <v>2167</v>
      </c>
    </row>
    <row r="987" spans="1:10" x14ac:dyDescent="0.2">
      <c r="A987" s="9">
        <v>45439</v>
      </c>
      <c r="B987" s="4" t="s">
        <v>225</v>
      </c>
      <c r="C987" s="8">
        <v>45413</v>
      </c>
      <c r="D987" s="4" t="s">
        <v>189</v>
      </c>
      <c r="E987" s="14">
        <v>0.84079999999999999</v>
      </c>
      <c r="F987" s="7">
        <v>1059</v>
      </c>
      <c r="G987" s="14">
        <v>0</v>
      </c>
      <c r="H987" s="7">
        <v>0</v>
      </c>
      <c r="I987" s="14">
        <v>0.84079999999999999</v>
      </c>
      <c r="J987" s="7">
        <v>1059</v>
      </c>
    </row>
    <row r="988" spans="1:10" x14ac:dyDescent="0.2">
      <c r="A988" s="9">
        <v>45440</v>
      </c>
      <c r="B988" s="4" t="s">
        <v>223</v>
      </c>
      <c r="C988" s="8">
        <v>45413</v>
      </c>
      <c r="D988" s="4" t="s">
        <v>189</v>
      </c>
      <c r="E988" s="14">
        <v>0.30070000000000002</v>
      </c>
      <c r="F988" s="7">
        <v>398</v>
      </c>
      <c r="G988" s="14">
        <v>0</v>
      </c>
      <c r="H988" s="7">
        <v>0</v>
      </c>
      <c r="I988" s="14">
        <v>0.30070000000000002</v>
      </c>
      <c r="J988" s="7">
        <v>398</v>
      </c>
    </row>
    <row r="989" spans="1:10" x14ac:dyDescent="0.2">
      <c r="A989" s="9">
        <v>45441</v>
      </c>
      <c r="B989" s="4" t="s">
        <v>221</v>
      </c>
      <c r="C989" s="8">
        <v>45413</v>
      </c>
      <c r="D989" s="4" t="s">
        <v>189</v>
      </c>
      <c r="E989" s="14">
        <v>0.72919999999999996</v>
      </c>
      <c r="F989" s="7">
        <v>967</v>
      </c>
      <c r="G989" s="14">
        <v>0</v>
      </c>
      <c r="H989" s="7">
        <v>0</v>
      </c>
      <c r="I989" s="14">
        <v>0.72919999999999996</v>
      </c>
      <c r="J989" s="7">
        <v>967</v>
      </c>
    </row>
    <row r="990" spans="1:10" x14ac:dyDescent="0.2">
      <c r="A990" s="9">
        <v>45442</v>
      </c>
      <c r="B990" s="4" t="s">
        <v>224</v>
      </c>
      <c r="C990" s="8">
        <v>45413</v>
      </c>
      <c r="D990" s="4" t="s">
        <v>189</v>
      </c>
      <c r="E990" s="14">
        <v>1.2848999999999999</v>
      </c>
      <c r="F990" s="7">
        <v>1713</v>
      </c>
      <c r="G990" s="14">
        <v>0</v>
      </c>
      <c r="H990" s="7">
        <v>0</v>
      </c>
      <c r="I990" s="14">
        <v>1.2848999999999999</v>
      </c>
      <c r="J990" s="7">
        <v>1713</v>
      </c>
    </row>
    <row r="991" spans="1:10" x14ac:dyDescent="0.2">
      <c r="A991" s="9">
        <v>45443</v>
      </c>
      <c r="B991" s="4" t="s">
        <v>222</v>
      </c>
      <c r="C991" s="8">
        <v>45413</v>
      </c>
      <c r="D991" s="4" t="s">
        <v>189</v>
      </c>
      <c r="E991" s="14">
        <v>2.8418999999999999</v>
      </c>
      <c r="F991" s="7">
        <v>3828</v>
      </c>
      <c r="G991" s="14">
        <v>0</v>
      </c>
      <c r="H991" s="7">
        <v>0</v>
      </c>
      <c r="I991" s="14">
        <v>2.8418999999999999</v>
      </c>
      <c r="J991" s="7">
        <v>3828</v>
      </c>
    </row>
    <row r="992" spans="1:10" x14ac:dyDescent="0.2">
      <c r="A992" s="9">
        <v>45446</v>
      </c>
      <c r="B992" s="4" t="s">
        <v>225</v>
      </c>
      <c r="C992" s="8">
        <v>45444</v>
      </c>
      <c r="D992" s="4" t="s">
        <v>189</v>
      </c>
      <c r="E992" s="14">
        <v>2.0116999999999998</v>
      </c>
      <c r="F992" s="7">
        <v>2459</v>
      </c>
      <c r="G992" s="14">
        <v>0</v>
      </c>
      <c r="H992" s="7">
        <v>0</v>
      </c>
      <c r="I992" s="14">
        <v>2.0116999999999998</v>
      </c>
      <c r="J992" s="7">
        <v>2459</v>
      </c>
    </row>
    <row r="993" spans="1:10" x14ac:dyDescent="0.2">
      <c r="A993" s="9">
        <v>45447</v>
      </c>
      <c r="B993" s="4" t="s">
        <v>223</v>
      </c>
      <c r="C993" s="8">
        <v>45444</v>
      </c>
      <c r="D993" s="4" t="s">
        <v>189</v>
      </c>
      <c r="E993" s="14">
        <v>1.2830999999999999</v>
      </c>
      <c r="F993" s="7">
        <v>1758</v>
      </c>
      <c r="G993" s="14">
        <v>0</v>
      </c>
      <c r="H993" s="7">
        <v>0</v>
      </c>
      <c r="I993" s="14">
        <v>1.2830999999999999</v>
      </c>
      <c r="J993" s="7">
        <v>1758</v>
      </c>
    </row>
    <row r="994" spans="1:10" x14ac:dyDescent="0.2">
      <c r="A994" s="9">
        <v>45448</v>
      </c>
      <c r="B994" s="4" t="s">
        <v>221</v>
      </c>
      <c r="C994" s="8">
        <v>45444</v>
      </c>
      <c r="D994" s="4" t="s">
        <v>189</v>
      </c>
      <c r="E994" s="14">
        <v>1.0470999999999999</v>
      </c>
      <c r="F994" s="7">
        <v>1418</v>
      </c>
      <c r="G994" s="14">
        <v>0</v>
      </c>
      <c r="H994" s="7">
        <v>0</v>
      </c>
      <c r="I994" s="14">
        <v>1.0470999999999999</v>
      </c>
      <c r="J994" s="7">
        <v>1418</v>
      </c>
    </row>
    <row r="995" spans="1:10" x14ac:dyDescent="0.2">
      <c r="A995" s="9">
        <v>45449</v>
      </c>
      <c r="B995" s="4" t="s">
        <v>224</v>
      </c>
      <c r="C995" s="8">
        <v>45444</v>
      </c>
      <c r="D995" s="4" t="s">
        <v>189</v>
      </c>
      <c r="E995" s="14">
        <v>0.97440000000000004</v>
      </c>
      <c r="F995" s="7">
        <v>1281</v>
      </c>
      <c r="G995" s="14">
        <v>0</v>
      </c>
      <c r="H995" s="7">
        <v>0</v>
      </c>
      <c r="I995" s="14">
        <v>0.97440000000000004</v>
      </c>
      <c r="J995" s="7">
        <v>1281</v>
      </c>
    </row>
    <row r="996" spans="1:10" x14ac:dyDescent="0.2">
      <c r="A996" s="9">
        <v>45450</v>
      </c>
      <c r="B996" s="4" t="s">
        <v>222</v>
      </c>
      <c r="C996" s="8">
        <v>45444</v>
      </c>
      <c r="D996" s="4" t="s">
        <v>189</v>
      </c>
      <c r="E996" s="14">
        <v>4.9676</v>
      </c>
      <c r="F996" s="7">
        <v>6500</v>
      </c>
      <c r="G996" s="14">
        <v>0</v>
      </c>
      <c r="H996" s="7">
        <v>0</v>
      </c>
      <c r="I996" s="14">
        <v>4.9676</v>
      </c>
      <c r="J996" s="7">
        <v>6500</v>
      </c>
    </row>
    <row r="997" spans="1:10" x14ac:dyDescent="0.2">
      <c r="A997" s="9">
        <v>45453</v>
      </c>
      <c r="B997" s="4" t="s">
        <v>225</v>
      </c>
      <c r="C997" s="8">
        <v>45444</v>
      </c>
      <c r="D997" s="4" t="s">
        <v>189</v>
      </c>
      <c r="E997" s="14">
        <v>1.0499000000000001</v>
      </c>
      <c r="F997" s="7">
        <v>1324</v>
      </c>
      <c r="G997" s="14">
        <v>0</v>
      </c>
      <c r="H997" s="7">
        <v>0</v>
      </c>
      <c r="I997" s="14">
        <v>1.0499000000000001</v>
      </c>
      <c r="J997" s="7">
        <v>1324</v>
      </c>
    </row>
    <row r="998" spans="1:10" x14ac:dyDescent="0.2">
      <c r="A998" s="9">
        <v>45454</v>
      </c>
      <c r="B998" s="4" t="s">
        <v>223</v>
      </c>
      <c r="C998" s="8">
        <v>45444</v>
      </c>
      <c r="D998" s="4" t="s">
        <v>189</v>
      </c>
      <c r="E998" s="14">
        <v>0.57550000000000001</v>
      </c>
      <c r="F998" s="7">
        <v>744</v>
      </c>
      <c r="G998" s="14">
        <v>0</v>
      </c>
      <c r="H998" s="7">
        <v>0</v>
      </c>
      <c r="I998" s="14">
        <v>0.57550000000000001</v>
      </c>
      <c r="J998" s="7">
        <v>744</v>
      </c>
    </row>
    <row r="999" spans="1:10" x14ac:dyDescent="0.2">
      <c r="A999" s="9">
        <v>45455</v>
      </c>
      <c r="B999" s="4" t="s">
        <v>221</v>
      </c>
      <c r="C999" s="8">
        <v>45444</v>
      </c>
      <c r="D999" s="4" t="s">
        <v>189</v>
      </c>
      <c r="E999" s="14">
        <v>0.75749999999999995</v>
      </c>
      <c r="F999" s="7">
        <v>978</v>
      </c>
      <c r="G999" s="14">
        <v>0</v>
      </c>
      <c r="H999" s="7">
        <v>0</v>
      </c>
      <c r="I999" s="14">
        <v>0.75749999999999995</v>
      </c>
      <c r="J999" s="7">
        <v>978</v>
      </c>
    </row>
    <row r="1000" spans="1:10" x14ac:dyDescent="0.2">
      <c r="A1000" s="9">
        <v>45456</v>
      </c>
      <c r="B1000" s="4" t="s">
        <v>224</v>
      </c>
      <c r="C1000" s="8">
        <v>45444</v>
      </c>
      <c r="D1000" s="4" t="s">
        <v>189</v>
      </c>
      <c r="E1000" s="14">
        <v>0.70299999999999996</v>
      </c>
      <c r="F1000" s="7">
        <v>900</v>
      </c>
      <c r="G1000" s="14">
        <v>0</v>
      </c>
      <c r="H1000" s="7">
        <v>0</v>
      </c>
      <c r="I1000" s="14">
        <v>0.70299999999999996</v>
      </c>
      <c r="J1000" s="7">
        <v>900</v>
      </c>
    </row>
    <row r="1001" spans="1:10" x14ac:dyDescent="0.2">
      <c r="A1001" s="9">
        <v>45457</v>
      </c>
      <c r="B1001" s="4" t="s">
        <v>222</v>
      </c>
      <c r="C1001" s="8">
        <v>45444</v>
      </c>
      <c r="D1001" s="4" t="s">
        <v>189</v>
      </c>
      <c r="E1001" s="14">
        <v>1.6234999999999999</v>
      </c>
      <c r="F1001" s="7">
        <v>2075</v>
      </c>
      <c r="G1001" s="14">
        <v>0</v>
      </c>
      <c r="H1001" s="7">
        <v>0</v>
      </c>
      <c r="I1001" s="14">
        <v>1.6234999999999999</v>
      </c>
      <c r="J1001" s="7">
        <v>2075</v>
      </c>
    </row>
    <row r="1002" spans="1:10" x14ac:dyDescent="0.2">
      <c r="A1002" s="9">
        <v>45461</v>
      </c>
      <c r="B1002" s="4" t="s">
        <v>223</v>
      </c>
      <c r="C1002" s="8">
        <v>45444</v>
      </c>
      <c r="D1002" s="4" t="s">
        <v>189</v>
      </c>
      <c r="E1002" s="14">
        <v>0.2024</v>
      </c>
      <c r="F1002" s="7">
        <v>261</v>
      </c>
      <c r="G1002" s="14">
        <v>0</v>
      </c>
      <c r="H1002" s="7">
        <v>0</v>
      </c>
      <c r="I1002" s="14">
        <v>0.2024</v>
      </c>
      <c r="J1002" s="7">
        <v>261</v>
      </c>
    </row>
    <row r="1003" spans="1:10" x14ac:dyDescent="0.2">
      <c r="A1003" s="9">
        <v>45462</v>
      </c>
      <c r="B1003" s="4" t="s">
        <v>221</v>
      </c>
      <c r="C1003" s="8">
        <v>45444</v>
      </c>
      <c r="D1003" s="4" t="s">
        <v>189</v>
      </c>
      <c r="E1003" s="14">
        <v>0.60819999999999996</v>
      </c>
      <c r="F1003" s="7">
        <v>784</v>
      </c>
      <c r="G1003" s="14">
        <v>0</v>
      </c>
      <c r="H1003" s="7">
        <v>0</v>
      </c>
      <c r="I1003" s="14">
        <v>0.60819999999999996</v>
      </c>
      <c r="J1003" s="7">
        <v>784</v>
      </c>
    </row>
    <row r="1004" spans="1:10" x14ac:dyDescent="0.2">
      <c r="A1004" s="9">
        <v>45463</v>
      </c>
      <c r="B1004" s="4" t="s">
        <v>224</v>
      </c>
      <c r="C1004" s="8">
        <v>45444</v>
      </c>
      <c r="D1004" s="4" t="s">
        <v>189</v>
      </c>
      <c r="E1004" s="14">
        <v>0.69269999999999998</v>
      </c>
      <c r="F1004" s="7">
        <v>877</v>
      </c>
      <c r="G1004" s="14">
        <v>0</v>
      </c>
      <c r="H1004" s="7">
        <v>0</v>
      </c>
      <c r="I1004" s="14">
        <v>0.69269999999999998</v>
      </c>
      <c r="J1004" s="7">
        <v>877</v>
      </c>
    </row>
    <row r="1005" spans="1:10" x14ac:dyDescent="0.2">
      <c r="A1005" s="9">
        <v>45464</v>
      </c>
      <c r="B1005" s="4" t="s">
        <v>222</v>
      </c>
      <c r="C1005" s="8">
        <v>45444</v>
      </c>
      <c r="D1005" s="4" t="s">
        <v>189</v>
      </c>
      <c r="E1005" s="14">
        <v>4.0972</v>
      </c>
      <c r="F1005" s="7">
        <v>5298</v>
      </c>
      <c r="G1005" s="14">
        <v>0</v>
      </c>
      <c r="H1005" s="7">
        <v>0</v>
      </c>
      <c r="I1005" s="14">
        <v>4.0972</v>
      </c>
      <c r="J1005" s="7">
        <v>5298</v>
      </c>
    </row>
    <row r="1006" spans="1:10" x14ac:dyDescent="0.2">
      <c r="A1006" s="9">
        <v>45467</v>
      </c>
      <c r="B1006" s="4" t="s">
        <v>225</v>
      </c>
      <c r="C1006" s="8">
        <v>45444</v>
      </c>
      <c r="D1006" s="4" t="s">
        <v>189</v>
      </c>
      <c r="E1006" s="14">
        <v>1.0205</v>
      </c>
      <c r="F1006" s="7">
        <v>1222</v>
      </c>
      <c r="G1006" s="14">
        <v>0</v>
      </c>
      <c r="H1006" s="7">
        <v>0</v>
      </c>
      <c r="I1006" s="14">
        <v>1.0205</v>
      </c>
      <c r="J1006" s="7">
        <v>1222</v>
      </c>
    </row>
    <row r="1007" spans="1:10" x14ac:dyDescent="0.2">
      <c r="A1007" s="9">
        <v>45468</v>
      </c>
      <c r="B1007" s="4" t="s">
        <v>223</v>
      </c>
      <c r="C1007" s="8">
        <v>45444</v>
      </c>
      <c r="D1007" s="4" t="s">
        <v>189</v>
      </c>
      <c r="E1007" s="14">
        <v>0.74080000000000001</v>
      </c>
      <c r="F1007" s="7">
        <v>948</v>
      </c>
      <c r="G1007" s="14">
        <v>0</v>
      </c>
      <c r="H1007" s="7">
        <v>0</v>
      </c>
      <c r="I1007" s="14">
        <v>0.74080000000000001</v>
      </c>
      <c r="J1007" s="7">
        <v>948</v>
      </c>
    </row>
    <row r="1008" spans="1:10" x14ac:dyDescent="0.2">
      <c r="A1008" s="9">
        <v>45469</v>
      </c>
      <c r="B1008" s="4" t="s">
        <v>221</v>
      </c>
      <c r="C1008" s="8">
        <v>45444</v>
      </c>
      <c r="D1008" s="4" t="s">
        <v>189</v>
      </c>
      <c r="E1008" s="14">
        <v>0.43430000000000002</v>
      </c>
      <c r="F1008" s="7">
        <v>553</v>
      </c>
      <c r="G1008" s="14">
        <v>0</v>
      </c>
      <c r="H1008" s="7">
        <v>0</v>
      </c>
      <c r="I1008" s="14">
        <v>0.43430000000000002</v>
      </c>
      <c r="J1008" s="7">
        <v>553</v>
      </c>
    </row>
    <row r="1009" spans="1:10" x14ac:dyDescent="0.2">
      <c r="A1009" s="9">
        <v>45470</v>
      </c>
      <c r="B1009" s="4" t="s">
        <v>224</v>
      </c>
      <c r="C1009" s="8">
        <v>45444</v>
      </c>
      <c r="D1009" s="4" t="s">
        <v>189</v>
      </c>
      <c r="E1009" s="14">
        <v>0.95230000000000004</v>
      </c>
      <c r="F1009" s="7">
        <v>1200</v>
      </c>
      <c r="G1009" s="14">
        <v>0</v>
      </c>
      <c r="H1009" s="7">
        <v>0</v>
      </c>
      <c r="I1009" s="14">
        <v>0.95230000000000004</v>
      </c>
      <c r="J1009" s="7">
        <v>1200</v>
      </c>
    </row>
    <row r="1010" spans="1:10" x14ac:dyDescent="0.2">
      <c r="A1010" s="9">
        <v>45471</v>
      </c>
      <c r="B1010" s="4" t="s">
        <v>222</v>
      </c>
      <c r="C1010" s="8">
        <v>45444</v>
      </c>
      <c r="D1010" s="4" t="s">
        <v>189</v>
      </c>
      <c r="E1010" s="14">
        <v>3.4964</v>
      </c>
      <c r="F1010" s="7">
        <v>4398</v>
      </c>
      <c r="G1010" s="14">
        <v>0</v>
      </c>
      <c r="H1010" s="7">
        <v>0</v>
      </c>
      <c r="I1010" s="14">
        <v>3.4964</v>
      </c>
      <c r="J1010" s="7">
        <v>4398</v>
      </c>
    </row>
    <row r="1011" spans="1:10" x14ac:dyDescent="0.2">
      <c r="A1011" s="9">
        <v>45474</v>
      </c>
      <c r="B1011" s="4" t="s">
        <v>225</v>
      </c>
      <c r="C1011" s="8">
        <v>45474</v>
      </c>
      <c r="D1011" s="4" t="s">
        <v>190</v>
      </c>
      <c r="E1011" s="14">
        <v>2.0573999999999999</v>
      </c>
      <c r="F1011" s="7">
        <v>2373</v>
      </c>
      <c r="G1011" s="14">
        <v>0.15870000000000001</v>
      </c>
      <c r="H1011" s="7">
        <v>207</v>
      </c>
      <c r="I1011" s="14">
        <v>2.2161</v>
      </c>
      <c r="J1011" s="7">
        <v>2580</v>
      </c>
    </row>
    <row r="1012" spans="1:10" x14ac:dyDescent="0.2">
      <c r="A1012" s="9">
        <v>45475</v>
      </c>
      <c r="B1012" s="4" t="s">
        <v>223</v>
      </c>
      <c r="C1012" s="8">
        <v>45474</v>
      </c>
      <c r="D1012" s="4" t="s">
        <v>190</v>
      </c>
      <c r="E1012" s="14">
        <v>0.44729999999999998</v>
      </c>
      <c r="F1012" s="7">
        <v>557</v>
      </c>
      <c r="G1012" s="14">
        <v>0.1804</v>
      </c>
      <c r="H1012" s="7">
        <v>226</v>
      </c>
      <c r="I1012" s="14">
        <v>0.62770000000000004</v>
      </c>
      <c r="J1012" s="7">
        <v>783</v>
      </c>
    </row>
    <row r="1013" spans="1:10" x14ac:dyDescent="0.2">
      <c r="A1013" s="9">
        <v>45476</v>
      </c>
      <c r="B1013" s="4" t="s">
        <v>221</v>
      </c>
      <c r="C1013" s="8">
        <v>45474</v>
      </c>
      <c r="D1013" s="4" t="s">
        <v>190</v>
      </c>
      <c r="E1013" s="14">
        <v>0.56489999999999996</v>
      </c>
      <c r="F1013" s="7">
        <v>699</v>
      </c>
      <c r="G1013" s="14">
        <v>0.18410000000000001</v>
      </c>
      <c r="H1013" s="7">
        <v>227</v>
      </c>
      <c r="I1013" s="14">
        <v>0.749</v>
      </c>
      <c r="J1013" s="7">
        <v>926</v>
      </c>
    </row>
    <row r="1014" spans="1:10" x14ac:dyDescent="0.2">
      <c r="A1014" s="9">
        <v>45477</v>
      </c>
      <c r="B1014" s="4" t="s">
        <v>224</v>
      </c>
      <c r="C1014" s="8">
        <v>45474</v>
      </c>
      <c r="D1014" s="4" t="s">
        <v>190</v>
      </c>
      <c r="E1014" s="14">
        <v>0.43880000000000002</v>
      </c>
      <c r="F1014" s="7">
        <v>543</v>
      </c>
      <c r="G1014" s="14">
        <v>0.15229999999999999</v>
      </c>
      <c r="H1014" s="7">
        <v>203</v>
      </c>
      <c r="I1014" s="14">
        <v>0.59109999999999996</v>
      </c>
      <c r="J1014" s="7">
        <v>746</v>
      </c>
    </row>
    <row r="1015" spans="1:10" x14ac:dyDescent="0.2">
      <c r="A1015" s="9">
        <v>45478</v>
      </c>
      <c r="B1015" s="4" t="s">
        <v>222</v>
      </c>
      <c r="C1015" s="8">
        <v>45474</v>
      </c>
      <c r="D1015" s="4" t="s">
        <v>190</v>
      </c>
      <c r="E1015" s="14">
        <v>2.1406000000000001</v>
      </c>
      <c r="F1015" s="7">
        <v>2677</v>
      </c>
      <c r="G1015" s="14">
        <v>0.16889999999999999</v>
      </c>
      <c r="H1015" s="7">
        <v>221</v>
      </c>
      <c r="I1015" s="14">
        <v>2.3094999999999999</v>
      </c>
      <c r="J1015" s="7">
        <v>2898</v>
      </c>
    </row>
    <row r="1016" spans="1:10" x14ac:dyDescent="0.2">
      <c r="A1016" s="9">
        <v>45481</v>
      </c>
      <c r="B1016" s="4" t="s">
        <v>225</v>
      </c>
      <c r="C1016" s="8">
        <v>45474</v>
      </c>
      <c r="D1016" s="4" t="s">
        <v>190</v>
      </c>
      <c r="E1016" s="14">
        <v>0.48060000000000003</v>
      </c>
      <c r="F1016" s="7">
        <v>563</v>
      </c>
      <c r="G1016" s="14">
        <v>0.16830000000000001</v>
      </c>
      <c r="H1016" s="7">
        <v>224</v>
      </c>
      <c r="I1016" s="14">
        <v>0.64890000000000003</v>
      </c>
      <c r="J1016" s="7">
        <v>787</v>
      </c>
    </row>
    <row r="1017" spans="1:10" x14ac:dyDescent="0.2">
      <c r="A1017" s="9">
        <v>45482</v>
      </c>
      <c r="B1017" s="4" t="s">
        <v>223</v>
      </c>
      <c r="C1017" s="8">
        <v>45474</v>
      </c>
      <c r="D1017" s="4" t="s">
        <v>190</v>
      </c>
      <c r="E1017" s="14">
        <v>0.31909999999999999</v>
      </c>
      <c r="F1017" s="7">
        <v>393</v>
      </c>
      <c r="G1017" s="14">
        <v>0.28149999999999997</v>
      </c>
      <c r="H1017" s="7">
        <v>386</v>
      </c>
      <c r="I1017" s="14">
        <v>0.60060000000000002</v>
      </c>
      <c r="J1017" s="7">
        <v>779</v>
      </c>
    </row>
    <row r="1018" spans="1:10" x14ac:dyDescent="0.2">
      <c r="A1018" s="9">
        <v>45483</v>
      </c>
      <c r="B1018" s="4" t="s">
        <v>221</v>
      </c>
      <c r="C1018" s="8">
        <v>45474</v>
      </c>
      <c r="D1018" s="4" t="s">
        <v>190</v>
      </c>
      <c r="E1018" s="14">
        <v>0.8196</v>
      </c>
      <c r="F1018" s="7">
        <v>1025</v>
      </c>
      <c r="G1018" s="14">
        <v>0.1991</v>
      </c>
      <c r="H1018" s="7">
        <v>261</v>
      </c>
      <c r="I1018" s="14">
        <v>1.0186999999999999</v>
      </c>
      <c r="J1018" s="7">
        <v>1286</v>
      </c>
    </row>
    <row r="1019" spans="1:10" x14ac:dyDescent="0.2">
      <c r="A1019" s="9">
        <v>45484</v>
      </c>
      <c r="B1019" s="4" t="s">
        <v>224</v>
      </c>
      <c r="C1019" s="8">
        <v>45474</v>
      </c>
      <c r="D1019" s="4" t="s">
        <v>190</v>
      </c>
      <c r="E1019" s="14">
        <v>1.0646</v>
      </c>
      <c r="F1019" s="7">
        <v>1333</v>
      </c>
      <c r="G1019" s="14">
        <v>0.25459999999999999</v>
      </c>
      <c r="H1019" s="7">
        <v>321</v>
      </c>
      <c r="I1019" s="14">
        <v>1.3191999999999999</v>
      </c>
      <c r="J1019" s="7">
        <v>1654</v>
      </c>
    </row>
    <row r="1020" spans="1:10" x14ac:dyDescent="0.2">
      <c r="A1020" s="9">
        <v>45485</v>
      </c>
      <c r="B1020" s="4" t="s">
        <v>222</v>
      </c>
      <c r="C1020" s="8">
        <v>45474</v>
      </c>
      <c r="D1020" s="4" t="s">
        <v>190</v>
      </c>
      <c r="E1020" s="14">
        <v>6.3151000000000002</v>
      </c>
      <c r="F1020" s="7">
        <v>7843</v>
      </c>
      <c r="G1020" s="14">
        <v>0.10589999999999999</v>
      </c>
      <c r="H1020" s="7">
        <v>140</v>
      </c>
      <c r="I1020" s="14">
        <v>6.4210000000000003</v>
      </c>
      <c r="J1020" s="7">
        <v>7983</v>
      </c>
    </row>
    <row r="1021" spans="1:10" x14ac:dyDescent="0.2">
      <c r="A1021" s="9">
        <v>45488</v>
      </c>
      <c r="B1021" s="4" t="s">
        <v>225</v>
      </c>
      <c r="C1021" s="8">
        <v>45474</v>
      </c>
      <c r="D1021" s="4" t="s">
        <v>190</v>
      </c>
      <c r="E1021" s="14">
        <v>2.6225000000000001</v>
      </c>
      <c r="F1021" s="7">
        <v>2931</v>
      </c>
      <c r="G1021" s="14">
        <v>6.5799999999999997E-2</v>
      </c>
      <c r="H1021" s="7">
        <v>86</v>
      </c>
      <c r="I1021" s="14">
        <v>2.6882999999999999</v>
      </c>
      <c r="J1021" s="7">
        <v>3017</v>
      </c>
    </row>
    <row r="1022" spans="1:10" x14ac:dyDescent="0.2">
      <c r="A1022" s="9">
        <v>45489</v>
      </c>
      <c r="B1022" s="4" t="s">
        <v>223</v>
      </c>
      <c r="C1022" s="8">
        <v>45474</v>
      </c>
      <c r="D1022" s="4" t="s">
        <v>190</v>
      </c>
      <c r="E1022" s="14">
        <v>0.55479999999999996</v>
      </c>
      <c r="F1022" s="7">
        <v>663</v>
      </c>
      <c r="G1022" s="14">
        <v>0.1154</v>
      </c>
      <c r="H1022" s="7">
        <v>151</v>
      </c>
      <c r="I1022" s="14">
        <v>0.67020000000000002</v>
      </c>
      <c r="J1022" s="7">
        <v>814</v>
      </c>
    </row>
    <row r="1023" spans="1:10" x14ac:dyDescent="0.2">
      <c r="A1023" s="9">
        <v>45491</v>
      </c>
      <c r="B1023" s="4" t="s">
        <v>224</v>
      </c>
      <c r="C1023" s="8">
        <v>45474</v>
      </c>
      <c r="D1023" s="4" t="s">
        <v>190</v>
      </c>
      <c r="E1023" s="14">
        <v>1.7410000000000001</v>
      </c>
      <c r="F1023" s="7">
        <v>2107</v>
      </c>
      <c r="G1023" s="14">
        <v>0.1207</v>
      </c>
      <c r="H1023" s="7">
        <v>161</v>
      </c>
      <c r="I1023" s="14">
        <v>1.8616999999999999</v>
      </c>
      <c r="J1023" s="7">
        <v>2268</v>
      </c>
    </row>
    <row r="1024" spans="1:10" x14ac:dyDescent="0.2">
      <c r="A1024" s="9">
        <v>45492</v>
      </c>
      <c r="B1024" s="4" t="s">
        <v>222</v>
      </c>
      <c r="C1024" s="8">
        <v>45474</v>
      </c>
      <c r="D1024" s="4" t="s">
        <v>190</v>
      </c>
      <c r="E1024" s="14">
        <v>4.9116</v>
      </c>
      <c r="F1024" s="7">
        <v>6049</v>
      </c>
      <c r="G1024" s="14">
        <v>0.1646</v>
      </c>
      <c r="H1024" s="7">
        <v>218</v>
      </c>
      <c r="I1024" s="14">
        <v>5.0762</v>
      </c>
      <c r="J1024" s="7">
        <v>6267</v>
      </c>
    </row>
    <row r="1025" spans="1:10" x14ac:dyDescent="0.2">
      <c r="A1025" s="9">
        <v>45495</v>
      </c>
      <c r="B1025" s="4" t="s">
        <v>225</v>
      </c>
      <c r="C1025" s="8">
        <v>45474</v>
      </c>
      <c r="D1025" s="4" t="s">
        <v>190</v>
      </c>
      <c r="E1025" s="14">
        <v>6.8612000000000002</v>
      </c>
      <c r="F1025" s="7">
        <v>7707</v>
      </c>
      <c r="G1025" s="14">
        <v>0.14960000000000001</v>
      </c>
      <c r="H1025" s="7">
        <v>198</v>
      </c>
      <c r="I1025" s="14">
        <v>7.0107999999999997</v>
      </c>
      <c r="J1025" s="7">
        <v>7905</v>
      </c>
    </row>
    <row r="1026" spans="1:10" x14ac:dyDescent="0.2">
      <c r="A1026" s="9">
        <v>45496</v>
      </c>
      <c r="B1026" s="4" t="s">
        <v>223</v>
      </c>
      <c r="C1026" s="8">
        <v>45474</v>
      </c>
      <c r="D1026" s="4" t="s">
        <v>190</v>
      </c>
      <c r="E1026" s="14">
        <v>2.0053000000000001</v>
      </c>
      <c r="F1026" s="7">
        <v>2462</v>
      </c>
      <c r="G1026" s="14">
        <v>0.14949999999999999</v>
      </c>
      <c r="H1026" s="7">
        <v>200</v>
      </c>
      <c r="I1026" s="14">
        <v>2.1547999999999998</v>
      </c>
      <c r="J1026" s="7">
        <v>2662</v>
      </c>
    </row>
    <row r="1027" spans="1:10" x14ac:dyDescent="0.2">
      <c r="A1027" s="9">
        <v>45497</v>
      </c>
      <c r="B1027" s="4" t="s">
        <v>221</v>
      </c>
      <c r="C1027" s="8">
        <v>45474</v>
      </c>
      <c r="D1027" s="4" t="s">
        <v>190</v>
      </c>
      <c r="E1027" s="14">
        <v>0.61070000000000002</v>
      </c>
      <c r="F1027" s="7">
        <v>760</v>
      </c>
      <c r="G1027" s="14">
        <v>7.3099999999999998E-2</v>
      </c>
      <c r="H1027" s="7">
        <v>99</v>
      </c>
      <c r="I1027" s="14">
        <v>0.68379999999999996</v>
      </c>
      <c r="J1027" s="7">
        <v>859</v>
      </c>
    </row>
    <row r="1028" spans="1:10" x14ac:dyDescent="0.2">
      <c r="A1028" s="9">
        <v>45498</v>
      </c>
      <c r="B1028" s="4" t="s">
        <v>224</v>
      </c>
      <c r="C1028" s="8">
        <v>45474</v>
      </c>
      <c r="D1028" s="4" t="s">
        <v>190</v>
      </c>
      <c r="E1028" s="14">
        <v>1.0310999999999999</v>
      </c>
      <c r="F1028" s="7">
        <v>1288</v>
      </c>
      <c r="G1028" s="14">
        <v>0.1236</v>
      </c>
      <c r="H1028" s="7">
        <v>163</v>
      </c>
      <c r="I1028" s="14">
        <v>1.1547000000000001</v>
      </c>
      <c r="J1028" s="7">
        <v>1451</v>
      </c>
    </row>
    <row r="1029" spans="1:10" x14ac:dyDescent="0.2">
      <c r="A1029" s="9">
        <v>45499</v>
      </c>
      <c r="B1029" s="4" t="s">
        <v>222</v>
      </c>
      <c r="C1029" s="8">
        <v>45474</v>
      </c>
      <c r="D1029" s="4" t="s">
        <v>190</v>
      </c>
      <c r="E1029" s="14">
        <v>7.4924999999999997</v>
      </c>
      <c r="F1029" s="7">
        <v>9237</v>
      </c>
      <c r="G1029" s="14">
        <v>0.12820000000000001</v>
      </c>
      <c r="H1029" s="7">
        <v>165</v>
      </c>
      <c r="I1029" s="14">
        <v>7.6207000000000003</v>
      </c>
      <c r="J1029" s="7">
        <v>9402</v>
      </c>
    </row>
    <row r="1030" spans="1:10" x14ac:dyDescent="0.2">
      <c r="A1030" s="9">
        <v>45502</v>
      </c>
      <c r="B1030" s="4" t="s">
        <v>225</v>
      </c>
      <c r="C1030" s="8">
        <v>45474</v>
      </c>
      <c r="D1030" s="4" t="s">
        <v>190</v>
      </c>
      <c r="E1030" s="14">
        <v>4.7210000000000001</v>
      </c>
      <c r="F1030" s="7">
        <v>5454</v>
      </c>
      <c r="G1030" s="14">
        <v>9.4399999999999998E-2</v>
      </c>
      <c r="H1030" s="7">
        <v>127</v>
      </c>
      <c r="I1030" s="14">
        <v>4.8154000000000003</v>
      </c>
      <c r="J1030" s="7">
        <v>5581</v>
      </c>
    </row>
    <row r="1031" spans="1:10" x14ac:dyDescent="0.2">
      <c r="A1031" s="9">
        <v>45503</v>
      </c>
      <c r="B1031" s="4" t="s">
        <v>223</v>
      </c>
      <c r="C1031" s="8">
        <v>45474</v>
      </c>
      <c r="D1031" s="4" t="s">
        <v>190</v>
      </c>
      <c r="E1031" s="14">
        <v>0.4511</v>
      </c>
      <c r="F1031" s="7">
        <v>550</v>
      </c>
      <c r="G1031" s="14">
        <v>6.2399999999999997E-2</v>
      </c>
      <c r="H1031" s="7">
        <v>83</v>
      </c>
      <c r="I1031" s="14">
        <v>0.51349999999999996</v>
      </c>
      <c r="J1031" s="7">
        <v>633</v>
      </c>
    </row>
    <row r="1032" spans="1:10" x14ac:dyDescent="0.2">
      <c r="A1032" s="9">
        <v>45504</v>
      </c>
      <c r="B1032" s="4" t="s">
        <v>221</v>
      </c>
      <c r="C1032" s="8">
        <v>45474</v>
      </c>
      <c r="D1032" s="4" t="s">
        <v>190</v>
      </c>
      <c r="E1032" s="14">
        <v>1.5841000000000001</v>
      </c>
      <c r="F1032" s="7">
        <v>1940</v>
      </c>
      <c r="G1032" s="14">
        <v>6.0299999999999999E-2</v>
      </c>
      <c r="H1032" s="7">
        <v>81</v>
      </c>
      <c r="I1032" s="14">
        <v>1.6444000000000001</v>
      </c>
      <c r="J1032" s="7">
        <v>2021</v>
      </c>
    </row>
    <row r="1033" spans="1:10" x14ac:dyDescent="0.2">
      <c r="A1033" s="9">
        <v>45505</v>
      </c>
      <c r="B1033" s="4" t="s">
        <v>224</v>
      </c>
      <c r="C1033" s="8">
        <v>45505</v>
      </c>
      <c r="D1033" s="4" t="s">
        <v>190</v>
      </c>
      <c r="E1033" s="14">
        <v>2.0790000000000002</v>
      </c>
      <c r="F1033" s="7">
        <v>2537</v>
      </c>
      <c r="G1033" s="14">
        <v>7.0999999999999994E-2</v>
      </c>
      <c r="H1033" s="7">
        <v>94</v>
      </c>
      <c r="I1033" s="14">
        <v>2.15</v>
      </c>
      <c r="J1033" s="7">
        <v>2631</v>
      </c>
    </row>
    <row r="1034" spans="1:10" x14ac:dyDescent="0.2">
      <c r="A1034" s="9">
        <v>45506</v>
      </c>
      <c r="B1034" s="4" t="s">
        <v>222</v>
      </c>
      <c r="C1034" s="8">
        <v>45505</v>
      </c>
      <c r="D1034" s="4" t="s">
        <v>190</v>
      </c>
      <c r="E1034" s="14">
        <v>3.9201999999999999</v>
      </c>
      <c r="F1034" s="7">
        <v>4831</v>
      </c>
      <c r="G1034" s="14">
        <v>5.8700000000000002E-2</v>
      </c>
      <c r="H1034" s="7">
        <v>79</v>
      </c>
      <c r="I1034" s="14">
        <v>3.9788999999999999</v>
      </c>
      <c r="J1034" s="7">
        <v>4910</v>
      </c>
    </row>
    <row r="1035" spans="1:10" x14ac:dyDescent="0.2">
      <c r="A1035" s="9">
        <v>45509</v>
      </c>
      <c r="B1035" s="4" t="s">
        <v>225</v>
      </c>
      <c r="C1035" s="8">
        <v>45505</v>
      </c>
      <c r="D1035" s="4" t="s">
        <v>190</v>
      </c>
      <c r="E1035" s="14">
        <v>3.1844000000000001</v>
      </c>
      <c r="F1035" s="7">
        <v>3828</v>
      </c>
      <c r="G1035" s="14">
        <v>8.43E-2</v>
      </c>
      <c r="H1035" s="7">
        <v>114</v>
      </c>
      <c r="I1035" s="14">
        <v>3.2686999999999999</v>
      </c>
      <c r="J1035" s="7">
        <v>3942</v>
      </c>
    </row>
    <row r="1036" spans="1:10" x14ac:dyDescent="0.2">
      <c r="A1036" s="9">
        <v>45510</v>
      </c>
      <c r="B1036" s="4" t="s">
        <v>223</v>
      </c>
      <c r="C1036" s="8">
        <v>45505</v>
      </c>
      <c r="D1036" s="4" t="s">
        <v>190</v>
      </c>
      <c r="E1036" s="14">
        <v>0.58630000000000004</v>
      </c>
      <c r="F1036" s="7">
        <v>733</v>
      </c>
      <c r="G1036" s="14">
        <v>7.6300000000000007E-2</v>
      </c>
      <c r="H1036" s="7">
        <v>108</v>
      </c>
      <c r="I1036" s="14">
        <v>0.66259999999999997</v>
      </c>
      <c r="J1036" s="7">
        <v>841</v>
      </c>
    </row>
    <row r="1037" spans="1:10" x14ac:dyDescent="0.2">
      <c r="A1037" s="9">
        <v>45511</v>
      </c>
      <c r="B1037" s="4" t="s">
        <v>221</v>
      </c>
      <c r="C1037" s="8">
        <v>45505</v>
      </c>
      <c r="D1037" s="4" t="s">
        <v>190</v>
      </c>
      <c r="E1037" s="14">
        <v>0.58750000000000002</v>
      </c>
      <c r="F1037" s="7">
        <v>731</v>
      </c>
      <c r="G1037" s="14">
        <v>7.1900000000000006E-2</v>
      </c>
      <c r="H1037" s="7">
        <v>104</v>
      </c>
      <c r="I1037" s="14">
        <v>0.65939999999999999</v>
      </c>
      <c r="J1037" s="7">
        <v>835</v>
      </c>
    </row>
    <row r="1038" spans="1:10" x14ac:dyDescent="0.2">
      <c r="A1038" s="9">
        <v>45512</v>
      </c>
      <c r="B1038" s="4" t="s">
        <v>224</v>
      </c>
      <c r="C1038" s="8">
        <v>45505</v>
      </c>
      <c r="D1038" s="4" t="s">
        <v>190</v>
      </c>
      <c r="E1038" s="14">
        <v>1.0898000000000001</v>
      </c>
      <c r="F1038" s="7">
        <v>1374</v>
      </c>
      <c r="G1038" s="14">
        <v>6.8000000000000005E-2</v>
      </c>
      <c r="H1038" s="7">
        <v>96</v>
      </c>
      <c r="I1038" s="14">
        <v>1.1577999999999999</v>
      </c>
      <c r="J1038" s="7">
        <v>1470</v>
      </c>
    </row>
    <row r="1039" spans="1:10" x14ac:dyDescent="0.2">
      <c r="A1039" s="9">
        <v>45513</v>
      </c>
      <c r="B1039" s="4" t="s">
        <v>222</v>
      </c>
      <c r="C1039" s="8">
        <v>45505</v>
      </c>
      <c r="D1039" s="4" t="s">
        <v>190</v>
      </c>
      <c r="E1039" s="14">
        <v>4.9325000000000001</v>
      </c>
      <c r="F1039" s="7">
        <v>6185</v>
      </c>
      <c r="G1039" s="14">
        <v>1.7500000000000002E-2</v>
      </c>
      <c r="H1039" s="7">
        <v>26</v>
      </c>
      <c r="I1039" s="14">
        <v>4.95</v>
      </c>
      <c r="J1039" s="7">
        <v>6211</v>
      </c>
    </row>
    <row r="1040" spans="1:10" x14ac:dyDescent="0.2">
      <c r="A1040" s="9">
        <v>45516</v>
      </c>
      <c r="B1040" s="4" t="s">
        <v>225</v>
      </c>
      <c r="C1040" s="8">
        <v>45505</v>
      </c>
      <c r="D1040" s="4" t="s">
        <v>190</v>
      </c>
      <c r="E1040" s="14">
        <v>3.2078000000000002</v>
      </c>
      <c r="F1040" s="7">
        <v>3778</v>
      </c>
      <c r="G1040" s="14">
        <v>4.87E-2</v>
      </c>
      <c r="H1040" s="7">
        <v>67</v>
      </c>
      <c r="I1040" s="14">
        <v>3.2565</v>
      </c>
      <c r="J1040" s="7">
        <v>3845</v>
      </c>
    </row>
    <row r="1041" spans="1:10" x14ac:dyDescent="0.2">
      <c r="A1041" s="9">
        <v>45517</v>
      </c>
      <c r="B1041" s="4" t="s">
        <v>223</v>
      </c>
      <c r="C1041" s="8">
        <v>45505</v>
      </c>
      <c r="D1041" s="4" t="s">
        <v>190</v>
      </c>
      <c r="E1041" s="14">
        <v>0.5756</v>
      </c>
      <c r="F1041" s="7">
        <v>720</v>
      </c>
      <c r="G1041" s="14">
        <v>4.2700000000000002E-2</v>
      </c>
      <c r="H1041" s="7">
        <v>57</v>
      </c>
      <c r="I1041" s="14">
        <v>0.61829999999999996</v>
      </c>
      <c r="J1041" s="7">
        <v>777</v>
      </c>
    </row>
    <row r="1042" spans="1:10" x14ac:dyDescent="0.2">
      <c r="A1042" s="9">
        <v>45518</v>
      </c>
      <c r="B1042" s="4" t="s">
        <v>221</v>
      </c>
      <c r="C1042" s="8">
        <v>45505</v>
      </c>
      <c r="D1042" s="4" t="s">
        <v>190</v>
      </c>
      <c r="E1042" s="14">
        <v>0.505</v>
      </c>
      <c r="F1042" s="7">
        <v>638</v>
      </c>
      <c r="G1042" s="14">
        <v>2.69E-2</v>
      </c>
      <c r="H1042" s="7">
        <v>35</v>
      </c>
      <c r="I1042" s="14">
        <v>0.53190000000000004</v>
      </c>
      <c r="J1042" s="7">
        <v>673</v>
      </c>
    </row>
    <row r="1043" spans="1:10" x14ac:dyDescent="0.2">
      <c r="A1043" s="9">
        <v>45520</v>
      </c>
      <c r="B1043" s="4" t="s">
        <v>222</v>
      </c>
      <c r="C1043" s="8">
        <v>45505</v>
      </c>
      <c r="D1043" s="4" t="s">
        <v>190</v>
      </c>
      <c r="E1043" s="14">
        <v>5.5609999999999999</v>
      </c>
      <c r="F1043" s="7">
        <v>6938</v>
      </c>
      <c r="G1043" s="14">
        <v>4.2299999999999997E-2</v>
      </c>
      <c r="H1043" s="7">
        <v>56</v>
      </c>
      <c r="I1043" s="14">
        <v>5.6032999999999999</v>
      </c>
      <c r="J1043" s="7">
        <v>6994</v>
      </c>
    </row>
    <row r="1044" spans="1:10" x14ac:dyDescent="0.2">
      <c r="A1044" s="9">
        <v>45523</v>
      </c>
      <c r="B1044" s="4" t="s">
        <v>225</v>
      </c>
      <c r="C1044" s="8">
        <v>45505</v>
      </c>
      <c r="D1044" s="4" t="s">
        <v>190</v>
      </c>
      <c r="E1044" s="14">
        <v>0.98340000000000005</v>
      </c>
      <c r="F1044" s="7">
        <v>1181</v>
      </c>
      <c r="G1044" s="14">
        <v>2.76E-2</v>
      </c>
      <c r="H1044" s="7">
        <v>37</v>
      </c>
      <c r="I1044" s="14">
        <v>1.0109999999999999</v>
      </c>
      <c r="J1044" s="7">
        <v>1218</v>
      </c>
    </row>
    <row r="1045" spans="1:10" x14ac:dyDescent="0.2">
      <c r="A1045" s="9">
        <v>45524</v>
      </c>
      <c r="B1045" s="4" t="s">
        <v>223</v>
      </c>
      <c r="C1045" s="8">
        <v>45505</v>
      </c>
      <c r="D1045" s="4" t="s">
        <v>190</v>
      </c>
      <c r="E1045" s="14">
        <v>0.52580000000000005</v>
      </c>
      <c r="F1045" s="7">
        <v>647</v>
      </c>
      <c r="G1045" s="14">
        <v>2.87E-2</v>
      </c>
      <c r="H1045" s="7">
        <v>40</v>
      </c>
      <c r="I1045" s="14">
        <v>0.55449999999999999</v>
      </c>
      <c r="J1045" s="7">
        <v>687</v>
      </c>
    </row>
    <row r="1046" spans="1:10" x14ac:dyDescent="0.2">
      <c r="A1046" s="9">
        <v>45525</v>
      </c>
      <c r="B1046" s="4" t="s">
        <v>221</v>
      </c>
      <c r="C1046" s="8">
        <v>45505</v>
      </c>
      <c r="D1046" s="4" t="s">
        <v>190</v>
      </c>
      <c r="E1046" s="14">
        <v>0.3216</v>
      </c>
      <c r="F1046" s="7">
        <v>396</v>
      </c>
      <c r="G1046" s="14">
        <v>5.21E-2</v>
      </c>
      <c r="H1046" s="7">
        <v>69</v>
      </c>
      <c r="I1046" s="14">
        <v>0.37369999999999998</v>
      </c>
      <c r="J1046" s="7">
        <v>465</v>
      </c>
    </row>
    <row r="1047" spans="1:10" x14ac:dyDescent="0.2">
      <c r="A1047" s="9">
        <v>45526</v>
      </c>
      <c r="B1047" s="4" t="s">
        <v>224</v>
      </c>
      <c r="C1047" s="8">
        <v>45505</v>
      </c>
      <c r="D1047" s="4" t="s">
        <v>190</v>
      </c>
      <c r="E1047" s="14">
        <v>0.76290000000000002</v>
      </c>
      <c r="F1047" s="7">
        <v>937</v>
      </c>
      <c r="G1047" s="14">
        <v>4.3200000000000002E-2</v>
      </c>
      <c r="H1047" s="7">
        <v>58</v>
      </c>
      <c r="I1047" s="14">
        <v>0.80610000000000004</v>
      </c>
      <c r="J1047" s="7">
        <v>995</v>
      </c>
    </row>
    <row r="1048" spans="1:10" x14ac:dyDescent="0.2">
      <c r="A1048" s="9">
        <v>45527</v>
      </c>
      <c r="B1048" s="4" t="s">
        <v>222</v>
      </c>
      <c r="C1048" s="8">
        <v>45505</v>
      </c>
      <c r="D1048" s="4" t="s">
        <v>190</v>
      </c>
      <c r="E1048" s="14">
        <v>2.5287999999999999</v>
      </c>
      <c r="F1048" s="7">
        <v>3115</v>
      </c>
      <c r="G1048" s="14">
        <v>4.3200000000000002E-2</v>
      </c>
      <c r="H1048" s="7">
        <v>54</v>
      </c>
      <c r="I1048" s="14">
        <v>2.5720000000000001</v>
      </c>
      <c r="J1048" s="7">
        <v>3169</v>
      </c>
    </row>
    <row r="1049" spans="1:10" x14ac:dyDescent="0.2">
      <c r="A1049" s="9">
        <v>45530</v>
      </c>
      <c r="B1049" s="4" t="s">
        <v>225</v>
      </c>
      <c r="C1049" s="8">
        <v>45505</v>
      </c>
      <c r="D1049" s="4" t="s">
        <v>190</v>
      </c>
      <c r="E1049" s="14">
        <v>2.1715</v>
      </c>
      <c r="F1049" s="7">
        <v>2522</v>
      </c>
      <c r="G1049" s="14">
        <v>4.8399999999999999E-2</v>
      </c>
      <c r="H1049" s="7">
        <v>60</v>
      </c>
      <c r="I1049" s="14">
        <v>2.2199</v>
      </c>
      <c r="J1049" s="7">
        <v>2582</v>
      </c>
    </row>
    <row r="1050" spans="1:10" x14ac:dyDescent="0.2">
      <c r="A1050" s="9">
        <v>45531</v>
      </c>
      <c r="B1050" s="4" t="s">
        <v>223</v>
      </c>
      <c r="C1050" s="8">
        <v>45505</v>
      </c>
      <c r="D1050" s="4" t="s">
        <v>190</v>
      </c>
      <c r="E1050" s="14">
        <v>0.84279999999999999</v>
      </c>
      <c r="F1050" s="7">
        <v>1029</v>
      </c>
      <c r="G1050" s="14">
        <v>4.7199999999999999E-2</v>
      </c>
      <c r="H1050" s="7">
        <v>62</v>
      </c>
      <c r="I1050" s="14">
        <v>0.89</v>
      </c>
      <c r="J1050" s="7">
        <v>1091</v>
      </c>
    </row>
    <row r="1051" spans="1:10" x14ac:dyDescent="0.2">
      <c r="A1051" s="9">
        <v>45532</v>
      </c>
      <c r="B1051" s="4" t="s">
        <v>221</v>
      </c>
      <c r="C1051" s="8">
        <v>45505</v>
      </c>
      <c r="D1051" s="4" t="s">
        <v>190</v>
      </c>
      <c r="E1051" s="14">
        <v>1.3771</v>
      </c>
      <c r="F1051" s="7">
        <v>1680</v>
      </c>
      <c r="G1051" s="14">
        <v>4.2299999999999997E-2</v>
      </c>
      <c r="H1051" s="7">
        <v>54</v>
      </c>
      <c r="I1051" s="14">
        <v>1.4194</v>
      </c>
      <c r="J1051" s="7">
        <v>1734</v>
      </c>
    </row>
    <row r="1052" spans="1:10" x14ac:dyDescent="0.2">
      <c r="A1052" s="9">
        <v>45533</v>
      </c>
      <c r="B1052" s="4" t="s">
        <v>224</v>
      </c>
      <c r="C1052" s="8">
        <v>45505</v>
      </c>
      <c r="D1052" s="4" t="s">
        <v>190</v>
      </c>
      <c r="E1052" s="14">
        <v>1.8677999999999999</v>
      </c>
      <c r="F1052" s="7">
        <v>2275</v>
      </c>
      <c r="G1052" s="14">
        <v>4.3099999999999999E-2</v>
      </c>
      <c r="H1052" s="7">
        <v>55</v>
      </c>
      <c r="I1052" s="14">
        <v>1.9109</v>
      </c>
      <c r="J1052" s="7">
        <v>2330</v>
      </c>
    </row>
    <row r="1053" spans="1:10" x14ac:dyDescent="0.2">
      <c r="A1053" s="9">
        <v>45534</v>
      </c>
      <c r="B1053" s="4" t="s">
        <v>222</v>
      </c>
      <c r="C1053" s="8">
        <v>45505</v>
      </c>
      <c r="D1053" s="4" t="s">
        <v>190</v>
      </c>
      <c r="E1053" s="14">
        <v>7.3068</v>
      </c>
      <c r="F1053" s="7">
        <v>8862</v>
      </c>
      <c r="G1053" s="14">
        <v>2.3E-2</v>
      </c>
      <c r="H1053" s="7">
        <v>29</v>
      </c>
      <c r="I1053" s="14">
        <v>7.3297999999999996</v>
      </c>
      <c r="J1053" s="7">
        <v>8891</v>
      </c>
    </row>
    <row r="1054" spans="1:10" x14ac:dyDescent="0.2">
      <c r="A1054" s="9">
        <v>45537</v>
      </c>
      <c r="B1054" s="4" t="s">
        <v>225</v>
      </c>
      <c r="C1054" s="8">
        <v>45536</v>
      </c>
      <c r="D1054" s="4" t="s">
        <v>190</v>
      </c>
      <c r="E1054" s="14">
        <v>1.595</v>
      </c>
      <c r="F1054" s="7">
        <v>1859</v>
      </c>
      <c r="G1054" s="14">
        <v>6.3200000000000006E-2</v>
      </c>
      <c r="H1054" s="7">
        <v>78</v>
      </c>
      <c r="I1054" s="14">
        <v>1.6581999999999999</v>
      </c>
      <c r="J1054" s="7">
        <v>1937</v>
      </c>
    </row>
    <row r="1055" spans="1:10" x14ac:dyDescent="0.2">
      <c r="A1055" s="9">
        <v>45538</v>
      </c>
      <c r="B1055" s="4" t="s">
        <v>223</v>
      </c>
      <c r="C1055" s="8">
        <v>45536</v>
      </c>
      <c r="D1055" s="4" t="s">
        <v>190</v>
      </c>
      <c r="E1055" s="14">
        <v>0.28889999999999999</v>
      </c>
      <c r="F1055" s="7">
        <v>347</v>
      </c>
      <c r="G1055" s="14">
        <v>3.5999999999999997E-2</v>
      </c>
      <c r="H1055" s="7">
        <v>44</v>
      </c>
      <c r="I1055" s="14">
        <v>0.32490000000000002</v>
      </c>
      <c r="J1055" s="7">
        <v>391</v>
      </c>
    </row>
    <row r="1056" spans="1:10" x14ac:dyDescent="0.2">
      <c r="A1056" s="9">
        <v>45539</v>
      </c>
      <c r="B1056" s="4" t="s">
        <v>221</v>
      </c>
      <c r="C1056" s="8">
        <v>45536</v>
      </c>
      <c r="D1056" s="4" t="s">
        <v>190</v>
      </c>
      <c r="E1056" s="14">
        <v>0.65300000000000002</v>
      </c>
      <c r="F1056" s="7">
        <v>794</v>
      </c>
      <c r="G1056" s="14">
        <v>3.8300000000000001E-2</v>
      </c>
      <c r="H1056" s="7">
        <v>50</v>
      </c>
      <c r="I1056" s="14">
        <v>0.69130000000000003</v>
      </c>
      <c r="J1056" s="7">
        <v>844</v>
      </c>
    </row>
    <row r="1057" spans="1:10" x14ac:dyDescent="0.2">
      <c r="A1057" s="9">
        <v>45540</v>
      </c>
      <c r="B1057" s="4" t="s">
        <v>224</v>
      </c>
      <c r="C1057" s="8">
        <v>45536</v>
      </c>
      <c r="D1057" s="4" t="s">
        <v>190</v>
      </c>
      <c r="E1057" s="14">
        <v>0.60899999999999999</v>
      </c>
      <c r="F1057" s="7">
        <v>739</v>
      </c>
      <c r="G1057" s="14">
        <v>5.0700000000000002E-2</v>
      </c>
      <c r="H1057" s="7">
        <v>66</v>
      </c>
      <c r="I1057" s="14">
        <v>0.65969999999999995</v>
      </c>
      <c r="J1057" s="7">
        <v>805</v>
      </c>
    </row>
    <row r="1058" spans="1:10" x14ac:dyDescent="0.2">
      <c r="A1058" s="9">
        <v>45541</v>
      </c>
      <c r="B1058" s="4" t="s">
        <v>222</v>
      </c>
      <c r="C1058" s="8">
        <v>45536</v>
      </c>
      <c r="D1058" s="4" t="s">
        <v>190</v>
      </c>
      <c r="E1058" s="14">
        <v>6.9497</v>
      </c>
      <c r="F1058" s="7">
        <v>8519</v>
      </c>
      <c r="G1058" s="14">
        <v>6.3600000000000004E-2</v>
      </c>
      <c r="H1058" s="7">
        <v>85</v>
      </c>
      <c r="I1058" s="14">
        <v>7.0133000000000001</v>
      </c>
      <c r="J1058" s="7">
        <v>8604</v>
      </c>
    </row>
    <row r="1059" spans="1:10" x14ac:dyDescent="0.2">
      <c r="A1059" s="9">
        <v>45544</v>
      </c>
      <c r="B1059" s="4" t="s">
        <v>225</v>
      </c>
      <c r="C1059" s="8">
        <v>45536</v>
      </c>
      <c r="D1059" s="4" t="s">
        <v>190</v>
      </c>
      <c r="E1059" s="14">
        <v>2.0604</v>
      </c>
      <c r="F1059" s="7">
        <v>2422</v>
      </c>
      <c r="G1059" s="14">
        <v>5.04E-2</v>
      </c>
      <c r="H1059" s="7">
        <v>70</v>
      </c>
      <c r="I1059" s="14">
        <v>2.1107999999999998</v>
      </c>
      <c r="J1059" s="7">
        <v>2492</v>
      </c>
    </row>
    <row r="1060" spans="1:10" x14ac:dyDescent="0.2">
      <c r="A1060" s="9">
        <v>45545</v>
      </c>
      <c r="B1060" s="4" t="s">
        <v>223</v>
      </c>
      <c r="C1060" s="8">
        <v>45536</v>
      </c>
      <c r="D1060" s="4" t="s">
        <v>190</v>
      </c>
      <c r="E1060" s="14">
        <v>0.90580000000000005</v>
      </c>
      <c r="F1060" s="7">
        <v>1103</v>
      </c>
      <c r="G1060" s="14">
        <v>8.3799999999999999E-2</v>
      </c>
      <c r="H1060" s="7">
        <v>107</v>
      </c>
      <c r="I1060" s="14">
        <v>0.98960000000000004</v>
      </c>
      <c r="J1060" s="7">
        <v>1210</v>
      </c>
    </row>
    <row r="1061" spans="1:10" x14ac:dyDescent="0.2">
      <c r="A1061" s="9">
        <v>45546</v>
      </c>
      <c r="B1061" s="4" t="s">
        <v>221</v>
      </c>
      <c r="C1061" s="8">
        <v>45536</v>
      </c>
      <c r="D1061" s="4" t="s">
        <v>190</v>
      </c>
      <c r="E1061" s="14">
        <v>0.81299999999999994</v>
      </c>
      <c r="F1061" s="7">
        <v>993</v>
      </c>
      <c r="G1061" s="14">
        <v>5.0700000000000002E-2</v>
      </c>
      <c r="H1061" s="7">
        <v>75</v>
      </c>
      <c r="I1061" s="14">
        <v>0.86370000000000002</v>
      </c>
      <c r="J1061" s="7">
        <v>1068</v>
      </c>
    </row>
    <row r="1062" spans="1:10" x14ac:dyDescent="0.2">
      <c r="A1062" s="9">
        <v>45547</v>
      </c>
      <c r="B1062" s="4" t="s">
        <v>224</v>
      </c>
      <c r="C1062" s="8">
        <v>45536</v>
      </c>
      <c r="D1062" s="4" t="s">
        <v>190</v>
      </c>
      <c r="E1062" s="14">
        <v>2.5285000000000002</v>
      </c>
      <c r="F1062" s="7">
        <v>3072</v>
      </c>
      <c r="G1062" s="14">
        <v>7.4700000000000003E-2</v>
      </c>
      <c r="H1062" s="7">
        <v>97</v>
      </c>
      <c r="I1062" s="14">
        <v>2.6032000000000002</v>
      </c>
      <c r="J1062" s="7">
        <v>3169</v>
      </c>
    </row>
    <row r="1063" spans="1:10" x14ac:dyDescent="0.2">
      <c r="A1063" s="9">
        <v>45548</v>
      </c>
      <c r="B1063" s="4" t="s">
        <v>222</v>
      </c>
      <c r="C1063" s="8">
        <v>45536</v>
      </c>
      <c r="D1063" s="4" t="s">
        <v>190</v>
      </c>
      <c r="E1063" s="14">
        <v>4.1422999999999996</v>
      </c>
      <c r="F1063" s="7">
        <v>4980</v>
      </c>
      <c r="G1063" s="14">
        <v>8.6999999999999994E-3</v>
      </c>
      <c r="H1063" s="7">
        <v>10</v>
      </c>
      <c r="I1063" s="14">
        <v>4.1509999999999998</v>
      </c>
      <c r="J1063" s="7">
        <v>4990</v>
      </c>
    </row>
    <row r="1064" spans="1:10" x14ac:dyDescent="0.2">
      <c r="A1064" s="9">
        <v>45551</v>
      </c>
      <c r="B1064" s="4" t="s">
        <v>225</v>
      </c>
      <c r="C1064" s="8">
        <v>45536</v>
      </c>
      <c r="D1064" s="4" t="s">
        <v>190</v>
      </c>
      <c r="E1064" s="14">
        <v>2.1067999999999998</v>
      </c>
      <c r="F1064" s="7">
        <v>2435</v>
      </c>
      <c r="G1064" s="14">
        <v>8.8999999999999999E-3</v>
      </c>
      <c r="H1064" s="7">
        <v>11</v>
      </c>
      <c r="I1064" s="14">
        <v>2.1156999999999999</v>
      </c>
      <c r="J1064" s="7">
        <v>2446</v>
      </c>
    </row>
    <row r="1065" spans="1:10" x14ac:dyDescent="0.2">
      <c r="A1065" s="9">
        <v>45552</v>
      </c>
      <c r="B1065" s="4" t="s">
        <v>223</v>
      </c>
      <c r="C1065" s="8">
        <v>45536</v>
      </c>
      <c r="D1065" s="4" t="s">
        <v>190</v>
      </c>
      <c r="E1065" s="14">
        <v>0.5524</v>
      </c>
      <c r="F1065" s="7">
        <v>664</v>
      </c>
      <c r="G1065" s="14">
        <v>6.1999999999999998E-3</v>
      </c>
      <c r="H1065" s="7">
        <v>7</v>
      </c>
      <c r="I1065" s="14">
        <v>0.55859999999999999</v>
      </c>
      <c r="J1065" s="7">
        <v>671</v>
      </c>
    </row>
    <row r="1066" spans="1:10" x14ac:dyDescent="0.2">
      <c r="A1066" s="9">
        <v>45553</v>
      </c>
      <c r="B1066" s="4" t="s">
        <v>221</v>
      </c>
      <c r="C1066" s="8">
        <v>45536</v>
      </c>
      <c r="D1066" s="4" t="s">
        <v>190</v>
      </c>
      <c r="E1066" s="14">
        <v>0.73619999999999997</v>
      </c>
      <c r="F1066" s="7">
        <v>884</v>
      </c>
      <c r="G1066" s="14">
        <v>8.5000000000000006E-3</v>
      </c>
      <c r="H1066" s="7">
        <v>10</v>
      </c>
      <c r="I1066" s="14">
        <v>0.74470000000000003</v>
      </c>
      <c r="J1066" s="7">
        <v>894</v>
      </c>
    </row>
    <row r="1067" spans="1:10" x14ac:dyDescent="0.2">
      <c r="A1067" s="9">
        <v>45554</v>
      </c>
      <c r="B1067" s="4" t="s">
        <v>224</v>
      </c>
      <c r="C1067" s="8">
        <v>45536</v>
      </c>
      <c r="D1067" s="4" t="s">
        <v>190</v>
      </c>
      <c r="E1067" s="14">
        <v>1.845</v>
      </c>
      <c r="F1067" s="7">
        <v>2206</v>
      </c>
      <c r="G1067" s="14">
        <v>5.7000000000000002E-3</v>
      </c>
      <c r="H1067" s="7">
        <v>6</v>
      </c>
      <c r="I1067" s="14">
        <v>1.8507</v>
      </c>
      <c r="J1067" s="7">
        <v>2212</v>
      </c>
    </row>
    <row r="1068" spans="1:10" x14ac:dyDescent="0.2">
      <c r="A1068" s="9">
        <v>45555</v>
      </c>
      <c r="B1068" s="4" t="s">
        <v>222</v>
      </c>
      <c r="C1068" s="8">
        <v>45536</v>
      </c>
      <c r="D1068" s="4" t="s">
        <v>190</v>
      </c>
      <c r="E1068" s="14">
        <v>16.478400000000001</v>
      </c>
      <c r="F1068" s="7">
        <v>19607</v>
      </c>
      <c r="G1068" s="14">
        <v>8.2000000000000007E-3</v>
      </c>
      <c r="H1068" s="7">
        <v>9</v>
      </c>
      <c r="I1068" s="14">
        <v>16.486599999999999</v>
      </c>
      <c r="J1068" s="7">
        <v>19616</v>
      </c>
    </row>
    <row r="1069" spans="1:10" x14ac:dyDescent="0.2">
      <c r="A1069" s="9">
        <v>45558</v>
      </c>
      <c r="B1069" s="4" t="s">
        <v>225</v>
      </c>
      <c r="C1069" s="8">
        <v>45536</v>
      </c>
      <c r="D1069" s="4" t="s">
        <v>190</v>
      </c>
      <c r="E1069" s="14">
        <v>2.5221</v>
      </c>
      <c r="F1069" s="7">
        <v>2844</v>
      </c>
      <c r="G1069" s="14">
        <v>1.4800000000000001E-2</v>
      </c>
      <c r="H1069" s="7">
        <v>18</v>
      </c>
      <c r="I1069" s="14">
        <v>2.5369000000000002</v>
      </c>
      <c r="J1069" s="7">
        <v>2862</v>
      </c>
    </row>
    <row r="1070" spans="1:10" x14ac:dyDescent="0.2">
      <c r="A1070" s="9">
        <v>45559</v>
      </c>
      <c r="B1070" s="4" t="s">
        <v>223</v>
      </c>
      <c r="C1070" s="8">
        <v>45536</v>
      </c>
      <c r="D1070" s="4" t="s">
        <v>190</v>
      </c>
      <c r="E1070" s="14">
        <v>1.6195999999999999</v>
      </c>
      <c r="F1070" s="7">
        <v>1906</v>
      </c>
      <c r="G1070" s="14">
        <v>8.8000000000000005E-3</v>
      </c>
      <c r="H1070" s="7">
        <v>11</v>
      </c>
      <c r="I1070" s="14">
        <v>1.6284000000000001</v>
      </c>
      <c r="J1070" s="7">
        <v>1917</v>
      </c>
    </row>
    <row r="1071" spans="1:10" x14ac:dyDescent="0.2">
      <c r="A1071" s="9">
        <v>45560</v>
      </c>
      <c r="B1071" s="4" t="s">
        <v>221</v>
      </c>
      <c r="C1071" s="8">
        <v>45536</v>
      </c>
      <c r="D1071" s="4" t="s">
        <v>190</v>
      </c>
      <c r="E1071" s="14">
        <v>0.72799999999999998</v>
      </c>
      <c r="F1071" s="7">
        <v>852</v>
      </c>
      <c r="G1071" s="14">
        <v>8.0999999999999996E-3</v>
      </c>
      <c r="H1071" s="7">
        <v>12</v>
      </c>
      <c r="I1071" s="14">
        <v>0.73609999999999998</v>
      </c>
      <c r="J1071" s="7">
        <v>864</v>
      </c>
    </row>
    <row r="1072" spans="1:10" x14ac:dyDescent="0.2">
      <c r="A1072" s="9">
        <v>45561</v>
      </c>
      <c r="B1072" s="4" t="s">
        <v>224</v>
      </c>
      <c r="C1072" s="8">
        <v>45536</v>
      </c>
      <c r="D1072" s="4" t="s">
        <v>190</v>
      </c>
      <c r="E1072" s="14">
        <v>2.6753999999999998</v>
      </c>
      <c r="F1072" s="7">
        <v>3127</v>
      </c>
      <c r="G1072" s="14">
        <v>9.2999999999999992E-3</v>
      </c>
      <c r="H1072" s="7">
        <v>12</v>
      </c>
      <c r="I1072" s="14">
        <v>2.6846999999999999</v>
      </c>
      <c r="J1072" s="7">
        <v>3139</v>
      </c>
    </row>
    <row r="1073" spans="1:10" x14ac:dyDescent="0.2">
      <c r="A1073" s="9">
        <v>45562</v>
      </c>
      <c r="B1073" s="4" t="s">
        <v>222</v>
      </c>
      <c r="C1073" s="8">
        <v>45536</v>
      </c>
      <c r="D1073" s="4" t="s">
        <v>190</v>
      </c>
      <c r="E1073" s="14">
        <v>5.4318</v>
      </c>
      <c r="F1073" s="7">
        <v>6326</v>
      </c>
      <c r="G1073" s="14">
        <v>1.66E-2</v>
      </c>
      <c r="H1073" s="7">
        <v>23</v>
      </c>
      <c r="I1073" s="14">
        <v>5.4484000000000004</v>
      </c>
      <c r="J1073" s="7">
        <v>6349</v>
      </c>
    </row>
    <row r="1074" spans="1:10" x14ac:dyDescent="0.2">
      <c r="A1074" s="9">
        <v>45565</v>
      </c>
      <c r="B1074" s="4" t="s">
        <v>225</v>
      </c>
      <c r="C1074" s="8">
        <v>45536</v>
      </c>
      <c r="D1074" s="4" t="s">
        <v>190</v>
      </c>
      <c r="E1074" s="14">
        <v>2.5047000000000001</v>
      </c>
      <c r="F1074" s="7">
        <v>2887</v>
      </c>
      <c r="G1074" s="14">
        <v>1.49E-2</v>
      </c>
      <c r="H1074" s="7">
        <v>19</v>
      </c>
      <c r="I1074" s="14">
        <v>2.5196000000000001</v>
      </c>
      <c r="J1074" s="7">
        <v>2906</v>
      </c>
    </row>
    <row r="1075" spans="1:10" x14ac:dyDescent="0.2">
      <c r="A1075" s="9">
        <v>45566</v>
      </c>
      <c r="B1075" s="4" t="s">
        <v>223</v>
      </c>
      <c r="C1075" s="8">
        <v>45566</v>
      </c>
      <c r="D1075" s="4" t="s">
        <v>191</v>
      </c>
      <c r="E1075" s="14">
        <v>0.84150000000000003</v>
      </c>
      <c r="F1075" s="7">
        <v>993</v>
      </c>
      <c r="G1075" s="14">
        <v>1.32E-2</v>
      </c>
      <c r="H1075" s="7">
        <v>17</v>
      </c>
      <c r="I1075" s="14">
        <v>0.85470000000000002</v>
      </c>
      <c r="J1075" s="7">
        <v>1010</v>
      </c>
    </row>
    <row r="1076" spans="1:10" x14ac:dyDescent="0.2">
      <c r="A1076" s="9">
        <v>45568</v>
      </c>
      <c r="B1076" s="4" t="s">
        <v>224</v>
      </c>
      <c r="C1076" s="8">
        <v>45566</v>
      </c>
      <c r="D1076" s="4" t="s">
        <v>191</v>
      </c>
      <c r="E1076" s="14">
        <v>2.0707</v>
      </c>
      <c r="F1076" s="7">
        <v>2481</v>
      </c>
      <c r="G1076" s="14">
        <v>3.5700000000000003E-2</v>
      </c>
      <c r="H1076" s="7">
        <v>49</v>
      </c>
      <c r="I1076" s="14">
        <v>2.1063999999999998</v>
      </c>
      <c r="J1076" s="7">
        <v>2530</v>
      </c>
    </row>
    <row r="1077" spans="1:10" x14ac:dyDescent="0.2">
      <c r="A1077" s="9">
        <v>45569</v>
      </c>
      <c r="B1077" s="4" t="s">
        <v>222</v>
      </c>
      <c r="C1077" s="8">
        <v>45566</v>
      </c>
      <c r="D1077" s="4" t="s">
        <v>191</v>
      </c>
      <c r="E1077" s="14">
        <v>9.5803999999999991</v>
      </c>
      <c r="F1077" s="7">
        <v>11588</v>
      </c>
      <c r="G1077" s="14">
        <v>7.4999999999999997E-3</v>
      </c>
      <c r="H1077" s="7">
        <v>10</v>
      </c>
      <c r="I1077" s="14">
        <v>9.5878999999999994</v>
      </c>
      <c r="J1077" s="7">
        <v>11598</v>
      </c>
    </row>
    <row r="1078" spans="1:10" x14ac:dyDescent="0.2">
      <c r="A1078" s="9">
        <v>45572</v>
      </c>
      <c r="B1078" s="4" t="s">
        <v>225</v>
      </c>
      <c r="C1078" s="8">
        <v>45566</v>
      </c>
      <c r="D1078" s="4" t="s">
        <v>191</v>
      </c>
      <c r="E1078" s="14">
        <v>4.5689000000000002</v>
      </c>
      <c r="F1078" s="7">
        <v>5372</v>
      </c>
      <c r="G1078" s="14">
        <v>8.5000000000000006E-3</v>
      </c>
      <c r="H1078" s="7">
        <v>12</v>
      </c>
      <c r="I1078" s="14">
        <v>4.5773999999999999</v>
      </c>
      <c r="J1078" s="7">
        <v>5384</v>
      </c>
    </row>
    <row r="1079" spans="1:10" x14ac:dyDescent="0.2">
      <c r="A1079" s="9">
        <v>45573</v>
      </c>
      <c r="B1079" s="4" t="s">
        <v>223</v>
      </c>
      <c r="C1079" s="8">
        <v>45566</v>
      </c>
      <c r="D1079" s="4" t="s">
        <v>191</v>
      </c>
      <c r="E1079" s="14">
        <v>0.81850000000000001</v>
      </c>
      <c r="F1079" s="7">
        <v>1000</v>
      </c>
      <c r="G1079" s="14">
        <v>1.47E-2</v>
      </c>
      <c r="H1079" s="7">
        <v>20</v>
      </c>
      <c r="I1079" s="14">
        <v>0.83320000000000005</v>
      </c>
      <c r="J1079" s="7">
        <v>1020</v>
      </c>
    </row>
    <row r="1080" spans="1:10" x14ac:dyDescent="0.2">
      <c r="A1080" s="9">
        <v>45574</v>
      </c>
      <c r="B1080" s="4" t="s">
        <v>221</v>
      </c>
      <c r="C1080" s="8">
        <v>45566</v>
      </c>
      <c r="D1080" s="4" t="s">
        <v>191</v>
      </c>
      <c r="E1080" s="14">
        <v>0.91110000000000002</v>
      </c>
      <c r="F1080" s="7">
        <v>1104</v>
      </c>
      <c r="G1080" s="14">
        <v>1.7000000000000001E-2</v>
      </c>
      <c r="H1080" s="7">
        <v>21</v>
      </c>
      <c r="I1080" s="14">
        <v>0.92810000000000004</v>
      </c>
      <c r="J1080" s="7">
        <v>1125</v>
      </c>
    </row>
    <row r="1081" spans="1:10" x14ac:dyDescent="0.2">
      <c r="A1081" s="9">
        <v>45575</v>
      </c>
      <c r="B1081" s="4" t="s">
        <v>224</v>
      </c>
      <c r="C1081" s="8">
        <v>45566</v>
      </c>
      <c r="D1081" s="4" t="s">
        <v>191</v>
      </c>
      <c r="E1081" s="14">
        <v>0.84330000000000005</v>
      </c>
      <c r="F1081" s="7">
        <v>1025</v>
      </c>
      <c r="G1081" s="14">
        <v>4.8000000000000001E-2</v>
      </c>
      <c r="H1081" s="7">
        <v>70</v>
      </c>
      <c r="I1081" s="14">
        <v>0.89129999999999998</v>
      </c>
      <c r="J1081" s="7">
        <v>1095</v>
      </c>
    </row>
    <row r="1082" spans="1:10" x14ac:dyDescent="0.2">
      <c r="A1082" s="9">
        <v>45576</v>
      </c>
      <c r="B1082" s="4" t="s">
        <v>222</v>
      </c>
      <c r="C1082" s="8">
        <v>45566</v>
      </c>
      <c r="D1082" s="4" t="s">
        <v>191</v>
      </c>
      <c r="E1082" s="14">
        <v>2.8755000000000002</v>
      </c>
      <c r="F1082" s="7">
        <v>3526</v>
      </c>
      <c r="G1082" s="14">
        <v>6.9999999999999999E-4</v>
      </c>
      <c r="H1082" s="7">
        <v>1</v>
      </c>
      <c r="I1082" s="14">
        <v>2.8761999999999999</v>
      </c>
      <c r="J1082" s="7">
        <v>3527</v>
      </c>
    </row>
    <row r="1083" spans="1:10" x14ac:dyDescent="0.2">
      <c r="A1083" s="9">
        <v>45579</v>
      </c>
      <c r="B1083" s="4" t="s">
        <v>225</v>
      </c>
      <c r="C1083" s="8">
        <v>45566</v>
      </c>
      <c r="D1083" s="4" t="s">
        <v>191</v>
      </c>
      <c r="E1083" s="14">
        <v>1.2456</v>
      </c>
      <c r="F1083" s="7">
        <v>1463</v>
      </c>
      <c r="G1083" s="14">
        <v>1.38E-2</v>
      </c>
      <c r="H1083" s="7">
        <v>19</v>
      </c>
      <c r="I1083" s="14">
        <v>1.2594000000000001</v>
      </c>
      <c r="J1083" s="7">
        <v>1482</v>
      </c>
    </row>
    <row r="1084" spans="1:10" x14ac:dyDescent="0.2">
      <c r="A1084" s="9">
        <v>45580</v>
      </c>
      <c r="B1084" s="4" t="s">
        <v>223</v>
      </c>
      <c r="C1084" s="8">
        <v>45566</v>
      </c>
      <c r="D1084" s="4" t="s">
        <v>191</v>
      </c>
      <c r="E1084" s="14">
        <v>0.37640000000000001</v>
      </c>
      <c r="F1084" s="7">
        <v>459</v>
      </c>
      <c r="G1084" s="14">
        <v>5.7999999999999996E-3</v>
      </c>
      <c r="H1084" s="7">
        <v>7</v>
      </c>
      <c r="I1084" s="14">
        <v>0.38219999999999998</v>
      </c>
      <c r="J1084" s="7">
        <v>466</v>
      </c>
    </row>
    <row r="1085" spans="1:10" x14ac:dyDescent="0.2">
      <c r="A1085" s="9">
        <v>45581</v>
      </c>
      <c r="B1085" s="4" t="s">
        <v>221</v>
      </c>
      <c r="C1085" s="8">
        <v>45566</v>
      </c>
      <c r="D1085" s="4" t="s">
        <v>191</v>
      </c>
      <c r="E1085" s="14">
        <v>0.46360000000000001</v>
      </c>
      <c r="F1085" s="7">
        <v>567</v>
      </c>
      <c r="G1085" s="14">
        <v>5.1000000000000004E-3</v>
      </c>
      <c r="H1085" s="7">
        <v>6</v>
      </c>
      <c r="I1085" s="14">
        <v>0.46870000000000001</v>
      </c>
      <c r="J1085" s="7">
        <v>573</v>
      </c>
    </row>
    <row r="1086" spans="1:10" x14ac:dyDescent="0.2">
      <c r="A1086" s="9">
        <v>45582</v>
      </c>
      <c r="B1086" s="4" t="s">
        <v>224</v>
      </c>
      <c r="C1086" s="8">
        <v>45566</v>
      </c>
      <c r="D1086" s="4" t="s">
        <v>191</v>
      </c>
      <c r="E1086" s="14">
        <v>1.1659999999999999</v>
      </c>
      <c r="F1086" s="7">
        <v>1432</v>
      </c>
      <c r="G1086" s="14">
        <v>2.7099999999999999E-2</v>
      </c>
      <c r="H1086" s="7">
        <v>31</v>
      </c>
      <c r="I1086" s="14">
        <v>1.1931</v>
      </c>
      <c r="J1086" s="7">
        <v>1463</v>
      </c>
    </row>
    <row r="1087" spans="1:10" x14ac:dyDescent="0.2">
      <c r="A1087" s="9">
        <v>45583</v>
      </c>
      <c r="B1087" s="4" t="s">
        <v>222</v>
      </c>
      <c r="C1087" s="8">
        <v>45566</v>
      </c>
      <c r="D1087" s="4" t="s">
        <v>191</v>
      </c>
      <c r="E1087" s="14">
        <v>3.2738</v>
      </c>
      <c r="F1087" s="7">
        <v>4035</v>
      </c>
      <c r="G1087" s="14">
        <v>1.26E-2</v>
      </c>
      <c r="H1087" s="7">
        <v>16</v>
      </c>
      <c r="I1087" s="14">
        <v>3.2864</v>
      </c>
      <c r="J1087" s="7">
        <v>4051</v>
      </c>
    </row>
    <row r="1088" spans="1:10" x14ac:dyDescent="0.2">
      <c r="A1088" s="9">
        <v>45586</v>
      </c>
      <c r="B1088" s="4" t="s">
        <v>225</v>
      </c>
      <c r="C1088" s="8">
        <v>45566</v>
      </c>
      <c r="D1088" s="4" t="s">
        <v>191</v>
      </c>
      <c r="E1088" s="14">
        <v>1.4144000000000001</v>
      </c>
      <c r="F1088" s="7">
        <v>1676</v>
      </c>
      <c r="G1088" s="14">
        <v>4.7000000000000002E-3</v>
      </c>
      <c r="H1088" s="7">
        <v>6</v>
      </c>
      <c r="I1088" s="14">
        <v>1.4191</v>
      </c>
      <c r="J1088" s="7">
        <v>1682</v>
      </c>
    </row>
    <row r="1089" spans="1:10" x14ac:dyDescent="0.2">
      <c r="A1089" s="9">
        <v>45587</v>
      </c>
      <c r="B1089" s="4" t="s">
        <v>223</v>
      </c>
      <c r="C1089" s="8">
        <v>45566</v>
      </c>
      <c r="D1089" s="4" t="s">
        <v>191</v>
      </c>
      <c r="E1089" s="14">
        <v>0.35809999999999997</v>
      </c>
      <c r="F1089" s="7">
        <v>441</v>
      </c>
      <c r="G1089" s="14">
        <v>1.49E-2</v>
      </c>
      <c r="H1089" s="7">
        <v>18</v>
      </c>
      <c r="I1089" s="14">
        <v>0.373</v>
      </c>
      <c r="J1089" s="7">
        <v>459</v>
      </c>
    </row>
    <row r="1090" spans="1:10" x14ac:dyDescent="0.2">
      <c r="A1090" s="9">
        <v>45588</v>
      </c>
      <c r="B1090" s="4" t="s">
        <v>221</v>
      </c>
      <c r="C1090" s="8">
        <v>45566</v>
      </c>
      <c r="D1090" s="4" t="s">
        <v>191</v>
      </c>
      <c r="E1090" s="14">
        <v>0.38109999999999999</v>
      </c>
      <c r="F1090" s="7">
        <v>471</v>
      </c>
      <c r="G1090" s="14">
        <v>1.5699999999999999E-2</v>
      </c>
      <c r="H1090" s="7">
        <v>20</v>
      </c>
      <c r="I1090" s="14">
        <v>0.39679999999999999</v>
      </c>
      <c r="J1090" s="7">
        <v>491</v>
      </c>
    </row>
    <row r="1091" spans="1:10" x14ac:dyDescent="0.2">
      <c r="A1091" s="9">
        <v>45589</v>
      </c>
      <c r="B1091" s="4" t="s">
        <v>224</v>
      </c>
      <c r="C1091" s="8">
        <v>45566</v>
      </c>
      <c r="D1091" s="4" t="s">
        <v>191</v>
      </c>
      <c r="E1091" s="14">
        <v>0.65559999999999996</v>
      </c>
      <c r="F1091" s="7">
        <v>818</v>
      </c>
      <c r="G1091" s="14">
        <v>1.8800000000000001E-2</v>
      </c>
      <c r="H1091" s="7">
        <v>25</v>
      </c>
      <c r="I1091" s="14">
        <v>0.6744</v>
      </c>
      <c r="J1091" s="7">
        <v>843</v>
      </c>
    </row>
    <row r="1092" spans="1:10" x14ac:dyDescent="0.2">
      <c r="A1092" s="9">
        <v>45590</v>
      </c>
      <c r="B1092" s="4" t="s">
        <v>222</v>
      </c>
      <c r="C1092" s="8">
        <v>45566</v>
      </c>
      <c r="D1092" s="4" t="s">
        <v>191</v>
      </c>
      <c r="E1092" s="14">
        <v>2.9851000000000001</v>
      </c>
      <c r="F1092" s="7">
        <v>3752</v>
      </c>
      <c r="G1092" s="14">
        <v>1.2699999999999999E-2</v>
      </c>
      <c r="H1092" s="7">
        <v>19</v>
      </c>
      <c r="I1092" s="14">
        <v>2.9977999999999998</v>
      </c>
      <c r="J1092" s="7">
        <v>3771</v>
      </c>
    </row>
    <row r="1093" spans="1:10" x14ac:dyDescent="0.2">
      <c r="A1093" s="9">
        <v>45593</v>
      </c>
      <c r="B1093" s="4" t="s">
        <v>225</v>
      </c>
      <c r="C1093" s="8">
        <v>45566</v>
      </c>
      <c r="D1093" s="4" t="s">
        <v>191</v>
      </c>
      <c r="E1093" s="14">
        <v>1.5960000000000001</v>
      </c>
      <c r="F1093" s="7">
        <v>1890</v>
      </c>
      <c r="G1093" s="14">
        <v>6.1000000000000004E-3</v>
      </c>
      <c r="H1093" s="7">
        <v>8</v>
      </c>
      <c r="I1093" s="14">
        <v>1.6021000000000001</v>
      </c>
      <c r="J1093" s="7">
        <v>1898</v>
      </c>
    </row>
    <row r="1094" spans="1:10" x14ac:dyDescent="0.2">
      <c r="A1094" s="9">
        <v>45594</v>
      </c>
      <c r="B1094" s="4" t="s">
        <v>223</v>
      </c>
      <c r="C1094" s="8">
        <v>45566</v>
      </c>
      <c r="D1094" s="4" t="s">
        <v>191</v>
      </c>
      <c r="E1094" s="14">
        <v>0.78500000000000003</v>
      </c>
      <c r="F1094" s="7">
        <v>969</v>
      </c>
      <c r="G1094" s="14">
        <v>6.1999999999999998E-3</v>
      </c>
      <c r="H1094" s="7">
        <v>8</v>
      </c>
      <c r="I1094" s="14">
        <v>0.79120000000000001</v>
      </c>
      <c r="J1094" s="7">
        <v>977</v>
      </c>
    </row>
    <row r="1095" spans="1:10" x14ac:dyDescent="0.2">
      <c r="A1095" s="9">
        <v>45595</v>
      </c>
      <c r="B1095" s="4" t="s">
        <v>221</v>
      </c>
      <c r="C1095" s="8">
        <v>45566</v>
      </c>
      <c r="D1095" s="4" t="s">
        <v>191</v>
      </c>
      <c r="E1095" s="14">
        <v>0.45889999999999997</v>
      </c>
      <c r="F1095" s="7">
        <v>552</v>
      </c>
      <c r="G1095" s="14">
        <v>1.0699999999999999E-2</v>
      </c>
      <c r="H1095" s="7">
        <v>18</v>
      </c>
      <c r="I1095" s="14">
        <v>0.46960000000000002</v>
      </c>
      <c r="J1095" s="7">
        <v>570</v>
      </c>
    </row>
    <row r="1096" spans="1:10" x14ac:dyDescent="0.2">
      <c r="A1096" s="9">
        <v>45596</v>
      </c>
      <c r="B1096" s="4" t="s">
        <v>224</v>
      </c>
      <c r="C1096" s="8">
        <v>45566</v>
      </c>
      <c r="D1096" s="4" t="s">
        <v>191</v>
      </c>
      <c r="E1096" s="14">
        <v>1.4776</v>
      </c>
      <c r="F1096" s="7">
        <v>1849</v>
      </c>
      <c r="G1096" s="14">
        <v>7.1000000000000004E-3</v>
      </c>
      <c r="H1096" s="7">
        <v>9</v>
      </c>
      <c r="I1096" s="14">
        <v>1.4846999999999999</v>
      </c>
      <c r="J1096" s="7">
        <v>1858</v>
      </c>
    </row>
    <row r="1097" spans="1:10" x14ac:dyDescent="0.2">
      <c r="A1097" s="9">
        <v>45597</v>
      </c>
      <c r="B1097" s="4" t="s">
        <v>222</v>
      </c>
      <c r="C1097" s="8">
        <v>45597</v>
      </c>
      <c r="D1097" s="4" t="s">
        <v>191</v>
      </c>
      <c r="E1097" s="14">
        <v>0.2535</v>
      </c>
      <c r="F1097" s="7">
        <v>310</v>
      </c>
      <c r="G1097" s="14">
        <v>0</v>
      </c>
      <c r="H1097" s="7">
        <v>0</v>
      </c>
      <c r="I1097" s="14">
        <v>0.2535</v>
      </c>
      <c r="J1097" s="7">
        <v>310</v>
      </c>
    </row>
    <row r="1098" spans="1:10" x14ac:dyDescent="0.2">
      <c r="A1098" s="9">
        <v>45600</v>
      </c>
      <c r="B1098" s="4" t="s">
        <v>225</v>
      </c>
      <c r="C1098" s="8">
        <v>45597</v>
      </c>
      <c r="D1098" s="4" t="s">
        <v>191</v>
      </c>
      <c r="E1098" s="14">
        <v>1.5541</v>
      </c>
      <c r="F1098" s="7">
        <v>1929</v>
      </c>
      <c r="G1098" s="14">
        <v>7.4999999999999997E-3</v>
      </c>
      <c r="H1098" s="7">
        <v>10</v>
      </c>
      <c r="I1098" s="14">
        <v>1.5616000000000001</v>
      </c>
      <c r="J1098" s="7">
        <v>1939</v>
      </c>
    </row>
    <row r="1099" spans="1:10" x14ac:dyDescent="0.2">
      <c r="A1099" s="9">
        <v>45601</v>
      </c>
      <c r="B1099" s="4" t="s">
        <v>223</v>
      </c>
      <c r="C1099" s="8">
        <v>45597</v>
      </c>
      <c r="D1099" s="4" t="s">
        <v>191</v>
      </c>
      <c r="E1099" s="14">
        <v>0.73480000000000001</v>
      </c>
      <c r="F1099" s="7">
        <v>916</v>
      </c>
      <c r="G1099" s="14">
        <v>2.0199999999999999E-2</v>
      </c>
      <c r="H1099" s="7">
        <v>26</v>
      </c>
      <c r="I1099" s="14">
        <v>0.755</v>
      </c>
      <c r="J1099" s="7">
        <v>942</v>
      </c>
    </row>
    <row r="1100" spans="1:10" x14ac:dyDescent="0.2">
      <c r="A1100" s="9">
        <v>45602</v>
      </c>
      <c r="B1100" s="4" t="s">
        <v>221</v>
      </c>
      <c r="C1100" s="8">
        <v>45597</v>
      </c>
      <c r="D1100" s="4" t="s">
        <v>191</v>
      </c>
      <c r="E1100" s="14">
        <v>1.1351</v>
      </c>
      <c r="F1100" s="7">
        <v>1415</v>
      </c>
      <c r="G1100" s="14">
        <v>3.0499999999999999E-2</v>
      </c>
      <c r="H1100" s="7">
        <v>40</v>
      </c>
      <c r="I1100" s="14">
        <v>1.1656</v>
      </c>
      <c r="J1100" s="7">
        <v>1455</v>
      </c>
    </row>
    <row r="1101" spans="1:10" x14ac:dyDescent="0.2">
      <c r="A1101" s="9">
        <v>45603</v>
      </c>
      <c r="B1101" s="4" t="s">
        <v>224</v>
      </c>
      <c r="C1101" s="8">
        <v>45597</v>
      </c>
      <c r="D1101" s="4" t="s">
        <v>191</v>
      </c>
      <c r="E1101" s="14">
        <v>1.4541999999999999</v>
      </c>
      <c r="F1101" s="7">
        <v>1825</v>
      </c>
      <c r="G1101" s="14">
        <v>0.02</v>
      </c>
      <c r="H1101" s="7">
        <v>26</v>
      </c>
      <c r="I1101" s="14">
        <v>1.4742</v>
      </c>
      <c r="J1101" s="7">
        <v>1851</v>
      </c>
    </row>
    <row r="1102" spans="1:10" x14ac:dyDescent="0.2">
      <c r="A1102" s="9">
        <v>45604</v>
      </c>
      <c r="B1102" s="4" t="s">
        <v>222</v>
      </c>
      <c r="C1102" s="8">
        <v>45597</v>
      </c>
      <c r="D1102" s="4" t="s">
        <v>191</v>
      </c>
      <c r="E1102" s="14">
        <v>2.5817999999999999</v>
      </c>
      <c r="F1102" s="7">
        <v>3210</v>
      </c>
      <c r="G1102" s="14">
        <v>2.2200000000000001E-2</v>
      </c>
      <c r="H1102" s="7">
        <v>31</v>
      </c>
      <c r="I1102" s="14">
        <v>2.6040000000000001</v>
      </c>
      <c r="J1102" s="7">
        <v>3241</v>
      </c>
    </row>
    <row r="1103" spans="1:10" x14ac:dyDescent="0.2">
      <c r="A1103" s="9">
        <v>45607</v>
      </c>
      <c r="B1103" s="4" t="s">
        <v>225</v>
      </c>
      <c r="C1103" s="8">
        <v>45597</v>
      </c>
      <c r="D1103" s="4" t="s">
        <v>191</v>
      </c>
      <c r="E1103" s="14">
        <v>5.2291999999999996</v>
      </c>
      <c r="F1103" s="7">
        <v>5996</v>
      </c>
      <c r="G1103" s="14">
        <v>1.95E-2</v>
      </c>
      <c r="H1103" s="7">
        <v>28</v>
      </c>
      <c r="I1103" s="14">
        <v>5.2487000000000004</v>
      </c>
      <c r="J1103" s="7">
        <v>6024</v>
      </c>
    </row>
    <row r="1104" spans="1:10" x14ac:dyDescent="0.2">
      <c r="A1104" s="9">
        <v>45608</v>
      </c>
      <c r="B1104" s="4" t="s">
        <v>223</v>
      </c>
      <c r="C1104" s="8">
        <v>45597</v>
      </c>
      <c r="D1104" s="4" t="s">
        <v>191</v>
      </c>
      <c r="E1104" s="14">
        <v>0.69599999999999995</v>
      </c>
      <c r="F1104" s="7">
        <v>873</v>
      </c>
      <c r="G1104" s="14">
        <v>1.77E-2</v>
      </c>
      <c r="H1104" s="7">
        <v>25</v>
      </c>
      <c r="I1104" s="14">
        <v>0.7137</v>
      </c>
      <c r="J1104" s="7">
        <v>898</v>
      </c>
    </row>
    <row r="1105" spans="1:10" x14ac:dyDescent="0.2">
      <c r="A1105" s="9">
        <v>45609</v>
      </c>
      <c r="B1105" s="4" t="s">
        <v>221</v>
      </c>
      <c r="C1105" s="8">
        <v>45597</v>
      </c>
      <c r="D1105" s="4" t="s">
        <v>191</v>
      </c>
      <c r="E1105" s="14">
        <v>0.84260000000000002</v>
      </c>
      <c r="F1105" s="7">
        <v>1072</v>
      </c>
      <c r="G1105" s="14">
        <v>3.3300000000000003E-2</v>
      </c>
      <c r="H1105" s="7">
        <v>50</v>
      </c>
      <c r="I1105" s="14">
        <v>0.87590000000000001</v>
      </c>
      <c r="J1105" s="7">
        <v>1122</v>
      </c>
    </row>
    <row r="1106" spans="1:10" x14ac:dyDescent="0.2">
      <c r="A1106" s="9">
        <v>45610</v>
      </c>
      <c r="B1106" s="4" t="s">
        <v>224</v>
      </c>
      <c r="C1106" s="8">
        <v>45597</v>
      </c>
      <c r="D1106" s="4" t="s">
        <v>191</v>
      </c>
      <c r="E1106" s="14">
        <v>2.0057999999999998</v>
      </c>
      <c r="F1106" s="7">
        <v>2578</v>
      </c>
      <c r="G1106" s="14">
        <v>9.5000000000000001E-2</v>
      </c>
      <c r="H1106" s="7">
        <v>142</v>
      </c>
      <c r="I1106" s="14">
        <v>2.1008</v>
      </c>
      <c r="J1106" s="7">
        <v>2720</v>
      </c>
    </row>
    <row r="1107" spans="1:10" x14ac:dyDescent="0.2">
      <c r="A1107" s="9">
        <v>45614</v>
      </c>
      <c r="B1107" s="4" t="s">
        <v>225</v>
      </c>
      <c r="C1107" s="8">
        <v>45597</v>
      </c>
      <c r="D1107" s="4" t="s">
        <v>191</v>
      </c>
      <c r="E1107" s="14">
        <v>0.98529999999999995</v>
      </c>
      <c r="F1107" s="7">
        <v>1223</v>
      </c>
      <c r="G1107" s="14">
        <v>4.4999999999999997E-3</v>
      </c>
      <c r="H1107" s="7">
        <v>6</v>
      </c>
      <c r="I1107" s="14">
        <v>0.98980000000000001</v>
      </c>
      <c r="J1107" s="7">
        <v>1229</v>
      </c>
    </row>
    <row r="1108" spans="1:10" x14ac:dyDescent="0.2">
      <c r="A1108" s="9">
        <v>45615</v>
      </c>
      <c r="B1108" s="4" t="s">
        <v>223</v>
      </c>
      <c r="C1108" s="8">
        <v>45597</v>
      </c>
      <c r="D1108" s="4" t="s">
        <v>191</v>
      </c>
      <c r="E1108" s="14">
        <v>0.82420000000000004</v>
      </c>
      <c r="F1108" s="7">
        <v>1050</v>
      </c>
      <c r="G1108" s="14">
        <v>1.1999999999999999E-3</v>
      </c>
      <c r="H1108" s="7">
        <v>2</v>
      </c>
      <c r="I1108" s="14">
        <v>0.82540000000000002</v>
      </c>
      <c r="J1108" s="7">
        <v>1052</v>
      </c>
    </row>
    <row r="1109" spans="1:10" x14ac:dyDescent="0.2">
      <c r="A1109" s="9">
        <v>45617</v>
      </c>
      <c r="B1109" s="4" t="s">
        <v>224</v>
      </c>
      <c r="C1109" s="8">
        <v>45597</v>
      </c>
      <c r="D1109" s="4" t="s">
        <v>191</v>
      </c>
      <c r="E1109" s="14">
        <v>1.1615</v>
      </c>
      <c r="F1109" s="7">
        <v>1498</v>
      </c>
      <c r="G1109" s="14">
        <v>4.4999999999999997E-3</v>
      </c>
      <c r="H1109" s="7">
        <v>6</v>
      </c>
      <c r="I1109" s="14">
        <v>1.1659999999999999</v>
      </c>
      <c r="J1109" s="7">
        <v>1504</v>
      </c>
    </row>
    <row r="1110" spans="1:10" x14ac:dyDescent="0.2">
      <c r="A1110" s="9">
        <v>45618</v>
      </c>
      <c r="B1110" s="4" t="s">
        <v>222</v>
      </c>
      <c r="C1110" s="8">
        <v>45597</v>
      </c>
      <c r="D1110" s="4" t="s">
        <v>191</v>
      </c>
      <c r="E1110" s="14">
        <v>5.3083999999999998</v>
      </c>
      <c r="F1110" s="7">
        <v>6759</v>
      </c>
      <c r="G1110" s="14">
        <v>2.8999999999999998E-3</v>
      </c>
      <c r="H1110" s="7">
        <v>3</v>
      </c>
      <c r="I1110" s="14">
        <v>5.3113000000000001</v>
      </c>
      <c r="J1110" s="7">
        <v>6762</v>
      </c>
    </row>
    <row r="1111" spans="1:10" x14ac:dyDescent="0.2">
      <c r="A1111" s="9">
        <v>45621</v>
      </c>
      <c r="B1111" s="4" t="s">
        <v>225</v>
      </c>
      <c r="C1111" s="8">
        <v>45597</v>
      </c>
      <c r="D1111" s="4" t="s">
        <v>191</v>
      </c>
      <c r="E1111" s="14">
        <v>1.3894</v>
      </c>
      <c r="F1111" s="7">
        <v>1677</v>
      </c>
      <c r="G1111" s="14">
        <v>1.5299999999999999E-2</v>
      </c>
      <c r="H1111" s="7">
        <v>21</v>
      </c>
      <c r="I1111" s="14">
        <v>1.4047000000000001</v>
      </c>
      <c r="J1111" s="7">
        <v>1698</v>
      </c>
    </row>
    <row r="1112" spans="1:10" x14ac:dyDescent="0.2">
      <c r="A1112" s="9">
        <v>45622</v>
      </c>
      <c r="B1112" s="4" t="s">
        <v>223</v>
      </c>
      <c r="C1112" s="8">
        <v>45597</v>
      </c>
      <c r="D1112" s="4" t="s">
        <v>191</v>
      </c>
      <c r="E1112" s="14">
        <v>0.55279999999999996</v>
      </c>
      <c r="F1112" s="7">
        <v>687</v>
      </c>
      <c r="G1112" s="14">
        <v>4.7999999999999996E-3</v>
      </c>
      <c r="H1112" s="7">
        <v>7</v>
      </c>
      <c r="I1112" s="14">
        <v>0.55759999999999998</v>
      </c>
      <c r="J1112" s="7">
        <v>694</v>
      </c>
    </row>
    <row r="1113" spans="1:10" x14ac:dyDescent="0.2">
      <c r="A1113" s="9">
        <v>45623</v>
      </c>
      <c r="B1113" s="4" t="s">
        <v>221</v>
      </c>
      <c r="C1113" s="8">
        <v>45597</v>
      </c>
      <c r="D1113" s="4" t="s">
        <v>191</v>
      </c>
      <c r="E1113" s="14">
        <v>0.40870000000000001</v>
      </c>
      <c r="F1113" s="7">
        <v>509</v>
      </c>
      <c r="G1113" s="14">
        <v>1.24E-2</v>
      </c>
      <c r="H1113" s="7">
        <v>18</v>
      </c>
      <c r="I1113" s="14">
        <v>0.42109999999999997</v>
      </c>
      <c r="J1113" s="7">
        <v>527</v>
      </c>
    </row>
    <row r="1114" spans="1:10" x14ac:dyDescent="0.2">
      <c r="A1114" s="9">
        <v>45624</v>
      </c>
      <c r="B1114" s="4" t="s">
        <v>224</v>
      </c>
      <c r="C1114" s="8">
        <v>45597</v>
      </c>
      <c r="D1114" s="4" t="s">
        <v>191</v>
      </c>
      <c r="E1114" s="14">
        <v>1.8472999999999999</v>
      </c>
      <c r="F1114" s="7">
        <v>2315</v>
      </c>
      <c r="G1114" s="14">
        <v>1.34E-2</v>
      </c>
      <c r="H1114" s="7">
        <v>20</v>
      </c>
      <c r="I1114" s="14">
        <v>1.8607</v>
      </c>
      <c r="J1114" s="7">
        <v>2335</v>
      </c>
    </row>
    <row r="1115" spans="1:10" x14ac:dyDescent="0.2">
      <c r="A1115" s="9">
        <v>45625</v>
      </c>
      <c r="B1115" s="4" t="s">
        <v>222</v>
      </c>
      <c r="C1115" s="8">
        <v>45597</v>
      </c>
      <c r="D1115" s="4" t="s">
        <v>191</v>
      </c>
      <c r="E1115" s="14">
        <v>5.4351000000000003</v>
      </c>
      <c r="F1115" s="7">
        <v>6817</v>
      </c>
      <c r="G1115" s="14">
        <v>1.01E-2</v>
      </c>
      <c r="H1115" s="7">
        <v>14</v>
      </c>
      <c r="I1115" s="14">
        <v>5.4451999999999998</v>
      </c>
      <c r="J1115" s="7">
        <v>6831</v>
      </c>
    </row>
    <row r="1116" spans="1:10" x14ac:dyDescent="0.2">
      <c r="A1116" s="9">
        <v>45628</v>
      </c>
      <c r="B1116" s="4" t="s">
        <v>225</v>
      </c>
      <c r="C1116" s="8">
        <v>45627</v>
      </c>
      <c r="D1116" s="4" t="s">
        <v>191</v>
      </c>
      <c r="E1116" s="14">
        <v>1.0992</v>
      </c>
      <c r="F1116" s="7">
        <v>1370</v>
      </c>
      <c r="G1116" s="14">
        <v>6.4999999999999997E-3</v>
      </c>
      <c r="H1116" s="7">
        <v>11</v>
      </c>
      <c r="I1116" s="14">
        <v>1.1056999999999999</v>
      </c>
      <c r="J1116" s="7">
        <v>1381</v>
      </c>
    </row>
    <row r="1117" spans="1:10" x14ac:dyDescent="0.2">
      <c r="A1117" s="9">
        <v>45629</v>
      </c>
      <c r="B1117" s="4" t="s">
        <v>223</v>
      </c>
      <c r="C1117" s="8">
        <v>45627</v>
      </c>
      <c r="D1117" s="4" t="s">
        <v>191</v>
      </c>
      <c r="E1117" s="14">
        <v>0.94230000000000003</v>
      </c>
      <c r="F1117" s="7">
        <v>1163</v>
      </c>
      <c r="G1117" s="14">
        <v>2.1399999999999999E-2</v>
      </c>
      <c r="H1117" s="7">
        <v>30</v>
      </c>
      <c r="I1117" s="14">
        <v>0.9637</v>
      </c>
      <c r="J1117" s="7">
        <v>1193</v>
      </c>
    </row>
    <row r="1118" spans="1:10" x14ac:dyDescent="0.2">
      <c r="A1118" s="9">
        <v>45630</v>
      </c>
      <c r="B1118" s="4" t="s">
        <v>221</v>
      </c>
      <c r="C1118" s="8">
        <v>45627</v>
      </c>
      <c r="D1118" s="4" t="s">
        <v>191</v>
      </c>
      <c r="E1118" s="14">
        <v>1.1193</v>
      </c>
      <c r="F1118" s="7">
        <v>1377</v>
      </c>
      <c r="G1118" s="14">
        <v>6.3E-3</v>
      </c>
      <c r="H1118" s="7">
        <v>10</v>
      </c>
      <c r="I1118" s="14">
        <v>1.1255999999999999</v>
      </c>
      <c r="J1118" s="7">
        <v>1387</v>
      </c>
    </row>
    <row r="1119" spans="1:10" x14ac:dyDescent="0.2">
      <c r="A1119" s="9">
        <v>45631</v>
      </c>
      <c r="B1119" s="4" t="s">
        <v>224</v>
      </c>
      <c r="C1119" s="8">
        <v>45627</v>
      </c>
      <c r="D1119" s="4" t="s">
        <v>191</v>
      </c>
      <c r="E1119" s="14">
        <v>2.3029999999999999</v>
      </c>
      <c r="F1119" s="7">
        <v>2828</v>
      </c>
      <c r="G1119" s="14">
        <v>6.1999999999999998E-3</v>
      </c>
      <c r="H1119" s="7">
        <v>8</v>
      </c>
      <c r="I1119" s="14">
        <v>2.3092000000000001</v>
      </c>
      <c r="J1119" s="7">
        <v>2836</v>
      </c>
    </row>
    <row r="1120" spans="1:10" x14ac:dyDescent="0.2">
      <c r="A1120" s="9">
        <v>45632</v>
      </c>
      <c r="B1120" s="4" t="s">
        <v>222</v>
      </c>
      <c r="C1120" s="8">
        <v>45627</v>
      </c>
      <c r="D1120" s="4" t="s">
        <v>191</v>
      </c>
      <c r="E1120" s="14">
        <v>3.6884000000000001</v>
      </c>
      <c r="F1120" s="7">
        <v>4511</v>
      </c>
      <c r="G1120" s="14">
        <v>4.4999999999999997E-3</v>
      </c>
      <c r="H1120" s="7">
        <v>7</v>
      </c>
      <c r="I1120" s="14">
        <v>3.6928999999999998</v>
      </c>
      <c r="J1120" s="7">
        <v>4518</v>
      </c>
    </row>
    <row r="1121" spans="1:10" x14ac:dyDescent="0.2">
      <c r="A1121" s="9">
        <v>45635</v>
      </c>
      <c r="B1121" s="4" t="s">
        <v>225</v>
      </c>
      <c r="C1121" s="8">
        <v>45627</v>
      </c>
      <c r="D1121" s="4" t="s">
        <v>191</v>
      </c>
      <c r="E1121" s="14">
        <v>0.97699999999999998</v>
      </c>
      <c r="F1121" s="7">
        <v>1196</v>
      </c>
      <c r="G1121" s="14">
        <v>1.03E-2</v>
      </c>
      <c r="H1121" s="7">
        <v>14</v>
      </c>
      <c r="I1121" s="14">
        <v>0.98729999999999996</v>
      </c>
      <c r="J1121" s="7">
        <v>1210</v>
      </c>
    </row>
    <row r="1122" spans="1:10" x14ac:dyDescent="0.2">
      <c r="A1122" s="9">
        <v>45636</v>
      </c>
      <c r="B1122" s="4" t="s">
        <v>223</v>
      </c>
      <c r="C1122" s="8">
        <v>45627</v>
      </c>
      <c r="D1122" s="4" t="s">
        <v>191</v>
      </c>
      <c r="E1122" s="14">
        <v>0.88370000000000004</v>
      </c>
      <c r="F1122" s="7">
        <v>1081</v>
      </c>
      <c r="G1122" s="14">
        <v>1.4E-2</v>
      </c>
      <c r="H1122" s="7">
        <v>18</v>
      </c>
      <c r="I1122" s="14">
        <v>0.89770000000000005</v>
      </c>
      <c r="J1122" s="7">
        <v>1099</v>
      </c>
    </row>
    <row r="1123" spans="1:10" x14ac:dyDescent="0.2">
      <c r="A1123" s="9">
        <v>45637</v>
      </c>
      <c r="B1123" s="4" t="s">
        <v>221</v>
      </c>
      <c r="C1123" s="8">
        <v>45627</v>
      </c>
      <c r="D1123" s="4" t="s">
        <v>191</v>
      </c>
      <c r="E1123" s="14">
        <v>0.64810000000000001</v>
      </c>
      <c r="F1123" s="7">
        <v>791</v>
      </c>
      <c r="G1123" s="14">
        <v>8.0999999999999996E-3</v>
      </c>
      <c r="H1123" s="7">
        <v>10</v>
      </c>
      <c r="I1123" s="14">
        <v>0.65620000000000001</v>
      </c>
      <c r="J1123" s="7">
        <v>801</v>
      </c>
    </row>
    <row r="1124" spans="1:10" x14ac:dyDescent="0.2">
      <c r="A1124" s="9">
        <v>45638</v>
      </c>
      <c r="B1124" s="4" t="s">
        <v>224</v>
      </c>
      <c r="C1124" s="8">
        <v>45627</v>
      </c>
      <c r="D1124" s="4" t="s">
        <v>191</v>
      </c>
      <c r="E1124" s="14">
        <v>0.87219999999999998</v>
      </c>
      <c r="F1124" s="7">
        <v>1069</v>
      </c>
      <c r="G1124" s="14">
        <v>1.7999999999999999E-2</v>
      </c>
      <c r="H1124" s="7">
        <v>24</v>
      </c>
      <c r="I1124" s="14">
        <v>0.89019999999999999</v>
      </c>
      <c r="J1124" s="7">
        <v>1093</v>
      </c>
    </row>
    <row r="1125" spans="1:10" x14ac:dyDescent="0.2">
      <c r="A1125" s="9">
        <v>45639</v>
      </c>
      <c r="B1125" s="4" t="s">
        <v>222</v>
      </c>
      <c r="C1125" s="8">
        <v>45627</v>
      </c>
      <c r="D1125" s="4" t="s">
        <v>191</v>
      </c>
      <c r="E1125" s="14">
        <v>7.7888999999999999</v>
      </c>
      <c r="F1125" s="7">
        <v>9558</v>
      </c>
      <c r="G1125" s="14">
        <v>1.26E-2</v>
      </c>
      <c r="H1125" s="7">
        <v>17</v>
      </c>
      <c r="I1125" s="14">
        <v>7.8014999999999999</v>
      </c>
      <c r="J1125" s="7">
        <v>9575</v>
      </c>
    </row>
    <row r="1126" spans="1:10" x14ac:dyDescent="0.2">
      <c r="A1126" s="9">
        <v>45642</v>
      </c>
      <c r="B1126" s="4" t="s">
        <v>225</v>
      </c>
      <c r="C1126" s="8">
        <v>45627</v>
      </c>
      <c r="D1126" s="4" t="s">
        <v>191</v>
      </c>
      <c r="E1126" s="14">
        <v>1.403</v>
      </c>
      <c r="F1126" s="7">
        <v>1713</v>
      </c>
      <c r="G1126" s="14">
        <v>9.7000000000000003E-3</v>
      </c>
      <c r="H1126" s="7">
        <v>16</v>
      </c>
      <c r="I1126" s="14">
        <v>1.4127000000000001</v>
      </c>
      <c r="J1126" s="7">
        <v>1729</v>
      </c>
    </row>
    <row r="1127" spans="1:10" x14ac:dyDescent="0.2">
      <c r="A1127" s="9">
        <v>45643</v>
      </c>
      <c r="B1127" s="4" t="s">
        <v>223</v>
      </c>
      <c r="C1127" s="8">
        <v>45627</v>
      </c>
      <c r="D1127" s="4" t="s">
        <v>191</v>
      </c>
      <c r="E1127" s="14">
        <v>2.1206</v>
      </c>
      <c r="F1127" s="7">
        <v>2605</v>
      </c>
      <c r="G1127" s="14">
        <v>8.0999999999999996E-3</v>
      </c>
      <c r="H1127" s="7">
        <v>15</v>
      </c>
      <c r="I1127" s="14">
        <v>2.1286999999999998</v>
      </c>
      <c r="J1127" s="7">
        <v>2620</v>
      </c>
    </row>
    <row r="1128" spans="1:10" x14ac:dyDescent="0.2">
      <c r="A1128" s="9">
        <v>45644</v>
      </c>
      <c r="B1128" s="4" t="s">
        <v>221</v>
      </c>
      <c r="C1128" s="8">
        <v>45627</v>
      </c>
      <c r="D1128" s="4" t="s">
        <v>191</v>
      </c>
      <c r="E1128" s="14">
        <v>1.23</v>
      </c>
      <c r="F1128" s="7">
        <v>1526</v>
      </c>
      <c r="G1128" s="14">
        <v>0</v>
      </c>
      <c r="H1128" s="7">
        <v>0</v>
      </c>
      <c r="I1128" s="14">
        <v>1.23</v>
      </c>
      <c r="J1128" s="7">
        <v>1526</v>
      </c>
    </row>
    <row r="1129" spans="1:10" x14ac:dyDescent="0.2">
      <c r="A1129" s="9">
        <v>45645</v>
      </c>
      <c r="B1129" s="4" t="s">
        <v>224</v>
      </c>
      <c r="C1129" s="8">
        <v>45627</v>
      </c>
      <c r="D1129" s="4" t="s">
        <v>191</v>
      </c>
      <c r="E1129" s="14">
        <v>1.4246000000000001</v>
      </c>
      <c r="F1129" s="7">
        <v>1788</v>
      </c>
      <c r="G1129" s="14">
        <v>7.6E-3</v>
      </c>
      <c r="H1129" s="7">
        <v>10</v>
      </c>
      <c r="I1129" s="14">
        <v>1.4321999999999999</v>
      </c>
      <c r="J1129" s="7">
        <v>1798</v>
      </c>
    </row>
    <row r="1130" spans="1:10" x14ac:dyDescent="0.2">
      <c r="A1130" s="9">
        <v>45646</v>
      </c>
      <c r="B1130" s="4" t="s">
        <v>222</v>
      </c>
      <c r="C1130" s="8">
        <v>45627</v>
      </c>
      <c r="D1130" s="4" t="s">
        <v>191</v>
      </c>
      <c r="E1130" s="14">
        <v>6.8593999999999999</v>
      </c>
      <c r="F1130" s="7">
        <v>8706</v>
      </c>
      <c r="G1130" s="14">
        <v>2.0999999999999999E-3</v>
      </c>
      <c r="H1130" s="7">
        <v>3</v>
      </c>
      <c r="I1130" s="14">
        <v>6.8615000000000004</v>
      </c>
      <c r="J1130" s="7">
        <v>8709</v>
      </c>
    </row>
    <row r="1131" spans="1:10" x14ac:dyDescent="0.2">
      <c r="A1131" s="9">
        <v>45649</v>
      </c>
      <c r="B1131" s="4" t="s">
        <v>225</v>
      </c>
      <c r="C1131" s="8">
        <v>45627</v>
      </c>
      <c r="D1131" s="4" t="s">
        <v>191</v>
      </c>
      <c r="E1131" s="14">
        <v>1.6217999999999999</v>
      </c>
      <c r="F1131" s="7">
        <v>2033</v>
      </c>
      <c r="G1131" s="14">
        <v>1.52E-2</v>
      </c>
      <c r="H1131" s="7">
        <v>17</v>
      </c>
      <c r="I1131" s="14">
        <v>1.637</v>
      </c>
      <c r="J1131" s="7">
        <v>2050</v>
      </c>
    </row>
    <row r="1132" spans="1:10" x14ac:dyDescent="0.2">
      <c r="A1132" s="9">
        <v>45650</v>
      </c>
      <c r="B1132" s="4" t="s">
        <v>223</v>
      </c>
      <c r="C1132" s="8">
        <v>45627</v>
      </c>
      <c r="D1132" s="4" t="s">
        <v>191</v>
      </c>
      <c r="E1132" s="14">
        <v>1.1741999999999999</v>
      </c>
      <c r="F1132" s="7">
        <v>1479</v>
      </c>
      <c r="G1132" s="14">
        <v>1.3299999999999999E-2</v>
      </c>
      <c r="H1132" s="7">
        <v>16</v>
      </c>
      <c r="I1132" s="14">
        <v>1.1875</v>
      </c>
      <c r="J1132" s="7">
        <v>1495</v>
      </c>
    </row>
    <row r="1133" spans="1:10" x14ac:dyDescent="0.2">
      <c r="A1133" s="9">
        <v>45652</v>
      </c>
      <c r="B1133" s="4" t="s">
        <v>224</v>
      </c>
      <c r="C1133" s="8">
        <v>45627</v>
      </c>
      <c r="D1133" s="4" t="s">
        <v>191</v>
      </c>
      <c r="E1133" s="14">
        <v>2.0699999999999998</v>
      </c>
      <c r="F1133" s="7">
        <v>2622</v>
      </c>
      <c r="G1133" s="14">
        <v>1.14E-2</v>
      </c>
      <c r="H1133" s="7">
        <v>19</v>
      </c>
      <c r="I1133" s="14">
        <v>2.0813999999999999</v>
      </c>
      <c r="J1133" s="7">
        <v>2641</v>
      </c>
    </row>
    <row r="1134" spans="1:10" x14ac:dyDescent="0.2">
      <c r="A1134" s="9">
        <v>45653</v>
      </c>
      <c r="B1134" s="4" t="s">
        <v>222</v>
      </c>
      <c r="C1134" s="8">
        <v>45627</v>
      </c>
      <c r="D1134" s="4" t="s">
        <v>191</v>
      </c>
      <c r="E1134" s="14">
        <v>5.2148000000000003</v>
      </c>
      <c r="F1134" s="7">
        <v>6599</v>
      </c>
      <c r="G1134" s="14">
        <v>5.7000000000000002E-3</v>
      </c>
      <c r="H1134" s="7">
        <v>7</v>
      </c>
      <c r="I1134" s="14">
        <v>5.2205000000000004</v>
      </c>
      <c r="J1134" s="7">
        <v>6606</v>
      </c>
    </row>
    <row r="1135" spans="1:10" x14ac:dyDescent="0.2">
      <c r="A1135" s="9">
        <v>45656</v>
      </c>
      <c r="B1135" s="4" t="s">
        <v>225</v>
      </c>
      <c r="C1135" s="8">
        <v>45627</v>
      </c>
      <c r="D1135" s="4" t="s">
        <v>191</v>
      </c>
      <c r="E1135" s="14">
        <v>2.0956000000000001</v>
      </c>
      <c r="F1135" s="7">
        <v>2495</v>
      </c>
      <c r="G1135" s="14">
        <v>6.6E-3</v>
      </c>
      <c r="H1135" s="7">
        <v>8</v>
      </c>
      <c r="I1135" s="14">
        <v>2.1021999999999998</v>
      </c>
      <c r="J1135" s="7">
        <v>2503</v>
      </c>
    </row>
    <row r="1136" spans="1:10" x14ac:dyDescent="0.2">
      <c r="A1136" s="9">
        <v>45657</v>
      </c>
      <c r="B1136" s="4" t="s">
        <v>223</v>
      </c>
      <c r="C1136" s="8">
        <v>45627</v>
      </c>
      <c r="D1136" s="4" t="s">
        <v>191</v>
      </c>
      <c r="E1136" s="14">
        <v>1.1036999999999999</v>
      </c>
      <c r="F1136" s="7">
        <v>1336</v>
      </c>
      <c r="G1136" s="14">
        <v>1.32E-2</v>
      </c>
      <c r="H1136" s="7">
        <v>20</v>
      </c>
      <c r="I1136" s="14">
        <v>1.1169</v>
      </c>
      <c r="J1136" s="7">
        <v>1356</v>
      </c>
    </row>
    <row r="1137" spans="1:10" x14ac:dyDescent="0.2">
      <c r="A1137" s="9">
        <v>45658</v>
      </c>
      <c r="B1137" s="4" t="s">
        <v>221</v>
      </c>
      <c r="C1137" s="8">
        <v>45658</v>
      </c>
      <c r="D1137" s="4" t="s">
        <v>192</v>
      </c>
      <c r="E1137" s="14">
        <v>0.81799999999999995</v>
      </c>
      <c r="F1137" s="7">
        <v>1008</v>
      </c>
      <c r="G1137" s="14">
        <v>1.6899999999999998E-2</v>
      </c>
      <c r="H1137" s="7">
        <v>24</v>
      </c>
      <c r="I1137" s="14">
        <v>0.83489999999999998</v>
      </c>
      <c r="J1137" s="7">
        <v>1032</v>
      </c>
    </row>
    <row r="1138" spans="1:10" x14ac:dyDescent="0.2">
      <c r="A1138" s="9">
        <v>45659</v>
      </c>
      <c r="B1138" s="4" t="s">
        <v>224</v>
      </c>
      <c r="C1138" s="8">
        <v>45658</v>
      </c>
      <c r="D1138" s="4" t="s">
        <v>192</v>
      </c>
      <c r="E1138" s="14">
        <v>1.8606</v>
      </c>
      <c r="F1138" s="7">
        <v>2059</v>
      </c>
      <c r="G1138" s="14">
        <v>1.7999999999999999E-2</v>
      </c>
      <c r="H1138" s="7">
        <v>27</v>
      </c>
      <c r="I1138" s="14">
        <v>1.8786</v>
      </c>
      <c r="J1138" s="7">
        <v>2086</v>
      </c>
    </row>
    <row r="1139" spans="1:10" x14ac:dyDescent="0.2">
      <c r="A1139" s="9">
        <v>45660</v>
      </c>
      <c r="B1139" s="4" t="s">
        <v>222</v>
      </c>
      <c r="C1139" s="8">
        <v>45658</v>
      </c>
      <c r="D1139" s="4" t="s">
        <v>192</v>
      </c>
      <c r="E1139" s="14">
        <v>7.5242000000000004</v>
      </c>
      <c r="F1139" s="7">
        <v>8208</v>
      </c>
      <c r="G1139" s="14">
        <v>1.9E-2</v>
      </c>
      <c r="H1139" s="7">
        <v>28</v>
      </c>
      <c r="I1139" s="14">
        <v>7.5431999999999997</v>
      </c>
      <c r="J1139" s="7">
        <v>8236</v>
      </c>
    </row>
    <row r="1140" spans="1:10" x14ac:dyDescent="0.2">
      <c r="A1140" s="9">
        <v>45663</v>
      </c>
      <c r="B1140" s="4" t="s">
        <v>225</v>
      </c>
      <c r="C1140" s="8">
        <v>45658</v>
      </c>
      <c r="D1140" s="4" t="s">
        <v>192</v>
      </c>
      <c r="E1140" s="14">
        <v>3.544</v>
      </c>
      <c r="F1140" s="7">
        <v>2490</v>
      </c>
      <c r="G1140" s="14">
        <v>1.7999999999999999E-2</v>
      </c>
      <c r="H1140" s="7">
        <v>26</v>
      </c>
      <c r="I1140" s="14">
        <v>3.5619999999999998</v>
      </c>
      <c r="J1140" s="7">
        <v>2516</v>
      </c>
    </row>
    <row r="1141" spans="1:10" x14ac:dyDescent="0.2">
      <c r="A1141" s="9">
        <v>45664</v>
      </c>
      <c r="B1141" s="4" t="s">
        <v>223</v>
      </c>
      <c r="C1141" s="8">
        <v>45658</v>
      </c>
      <c r="D1141" s="4" t="s">
        <v>192</v>
      </c>
      <c r="E1141" s="14">
        <v>4.7146999999999997</v>
      </c>
      <c r="F1141" s="7">
        <v>3174</v>
      </c>
      <c r="G1141" s="14">
        <v>5.7000000000000002E-3</v>
      </c>
      <c r="H1141" s="7">
        <v>8</v>
      </c>
      <c r="I1141" s="14">
        <v>4.7203999999999997</v>
      </c>
      <c r="J1141" s="7">
        <v>3182</v>
      </c>
    </row>
    <row r="1142" spans="1:10" x14ac:dyDescent="0.2">
      <c r="A1142" s="9">
        <v>45665</v>
      </c>
      <c r="B1142" s="4" t="s">
        <v>221</v>
      </c>
      <c r="C1142" s="8">
        <v>45658</v>
      </c>
      <c r="D1142" s="4" t="s">
        <v>192</v>
      </c>
      <c r="E1142" s="14">
        <v>2.3967000000000001</v>
      </c>
      <c r="F1142" s="7">
        <v>1739</v>
      </c>
      <c r="G1142" s="14">
        <v>4.02E-2</v>
      </c>
      <c r="H1142" s="7">
        <v>56</v>
      </c>
      <c r="I1142" s="14">
        <v>2.4369000000000001</v>
      </c>
      <c r="J1142" s="7">
        <v>1795</v>
      </c>
    </row>
    <row r="1143" spans="1:10" x14ac:dyDescent="0.2">
      <c r="A1143" s="9">
        <v>45666</v>
      </c>
      <c r="B1143" s="4" t="s">
        <v>224</v>
      </c>
      <c r="C1143" s="8">
        <v>45658</v>
      </c>
      <c r="D1143" s="4" t="s">
        <v>192</v>
      </c>
      <c r="E1143" s="14">
        <v>2.0240999999999998</v>
      </c>
      <c r="F1143" s="7">
        <v>1395</v>
      </c>
      <c r="G1143" s="14">
        <v>4.2599999999999999E-2</v>
      </c>
      <c r="H1143" s="7">
        <v>62</v>
      </c>
      <c r="I1143" s="14">
        <v>2.0667</v>
      </c>
      <c r="J1143" s="7">
        <v>1457</v>
      </c>
    </row>
    <row r="1144" spans="1:10" x14ac:dyDescent="0.2">
      <c r="A1144" s="9">
        <v>45667</v>
      </c>
      <c r="B1144" s="4" t="s">
        <v>222</v>
      </c>
      <c r="C1144" s="8">
        <v>45658</v>
      </c>
      <c r="D1144" s="4" t="s">
        <v>192</v>
      </c>
      <c r="E1144" s="14">
        <v>2.1884000000000001</v>
      </c>
      <c r="F1144" s="7">
        <v>1566</v>
      </c>
      <c r="G1144" s="14">
        <v>1.4500000000000001E-2</v>
      </c>
      <c r="H1144" s="7">
        <v>20</v>
      </c>
      <c r="I1144" s="14">
        <v>2.2029000000000001</v>
      </c>
      <c r="J1144" s="7">
        <v>1586</v>
      </c>
    </row>
    <row r="1145" spans="1:10" x14ac:dyDescent="0.2">
      <c r="A1145" s="9">
        <v>45670</v>
      </c>
      <c r="B1145" s="4" t="s">
        <v>225</v>
      </c>
      <c r="C1145" s="8">
        <v>45658</v>
      </c>
      <c r="D1145" s="4" t="s">
        <v>192</v>
      </c>
      <c r="E1145" s="14">
        <v>2.1515</v>
      </c>
      <c r="F1145" s="7">
        <v>1575</v>
      </c>
      <c r="G1145" s="14">
        <v>2.5999999999999999E-2</v>
      </c>
      <c r="H1145" s="7">
        <v>39</v>
      </c>
      <c r="I1145" s="14">
        <v>2.1775000000000002</v>
      </c>
      <c r="J1145" s="7">
        <v>1614</v>
      </c>
    </row>
    <row r="1146" spans="1:10" x14ac:dyDescent="0.2">
      <c r="A1146" s="9">
        <v>45671</v>
      </c>
      <c r="B1146" s="4" t="s">
        <v>223</v>
      </c>
      <c r="C1146" s="8">
        <v>45658</v>
      </c>
      <c r="D1146" s="4" t="s">
        <v>192</v>
      </c>
      <c r="E1146" s="14">
        <v>4.3484999999999996</v>
      </c>
      <c r="F1146" s="7">
        <v>2977</v>
      </c>
      <c r="G1146" s="14">
        <v>4.1300000000000003E-2</v>
      </c>
      <c r="H1146" s="7">
        <v>61</v>
      </c>
      <c r="I1146" s="14">
        <v>4.3898000000000001</v>
      </c>
      <c r="J1146" s="7">
        <v>3038</v>
      </c>
    </row>
    <row r="1147" spans="1:10" x14ac:dyDescent="0.2">
      <c r="A1147" s="9">
        <v>45672</v>
      </c>
      <c r="B1147" s="4" t="s">
        <v>221</v>
      </c>
      <c r="C1147" s="8">
        <v>45658</v>
      </c>
      <c r="D1147" s="4" t="s">
        <v>192</v>
      </c>
      <c r="E1147" s="14">
        <v>0.74119999999999997</v>
      </c>
      <c r="F1147" s="7">
        <v>607</v>
      </c>
      <c r="G1147" s="14">
        <v>1.9900000000000001E-2</v>
      </c>
      <c r="H1147" s="7">
        <v>27</v>
      </c>
      <c r="I1147" s="14">
        <v>0.7611</v>
      </c>
      <c r="J1147" s="7">
        <v>634</v>
      </c>
    </row>
    <row r="1148" spans="1:10" x14ac:dyDescent="0.2">
      <c r="A1148" s="9">
        <v>45673</v>
      </c>
      <c r="B1148" s="4" t="s">
        <v>224</v>
      </c>
      <c r="C1148" s="8">
        <v>45658</v>
      </c>
      <c r="D1148" s="4" t="s">
        <v>192</v>
      </c>
      <c r="E1148" s="14">
        <v>0.70050000000000001</v>
      </c>
      <c r="F1148" s="7">
        <v>541</v>
      </c>
      <c r="G1148" s="14">
        <v>2.64E-2</v>
      </c>
      <c r="H1148" s="7">
        <v>39</v>
      </c>
      <c r="I1148" s="14">
        <v>0.72689999999999999</v>
      </c>
      <c r="J1148" s="7">
        <v>580</v>
      </c>
    </row>
    <row r="1149" spans="1:10" x14ac:dyDescent="0.2">
      <c r="A1149" s="9">
        <v>45674</v>
      </c>
      <c r="B1149" s="4" t="s">
        <v>222</v>
      </c>
      <c r="C1149" s="8">
        <v>45658</v>
      </c>
      <c r="D1149" s="4" t="s">
        <v>192</v>
      </c>
      <c r="E1149" s="14">
        <v>0.94599999999999995</v>
      </c>
      <c r="F1149" s="7">
        <v>792</v>
      </c>
      <c r="G1149" s="14">
        <v>2.76E-2</v>
      </c>
      <c r="H1149" s="7">
        <v>41</v>
      </c>
      <c r="I1149" s="14">
        <v>0.97360000000000002</v>
      </c>
      <c r="J1149" s="7">
        <v>833</v>
      </c>
    </row>
    <row r="1150" spans="1:10" x14ac:dyDescent="0.2">
      <c r="A1150" s="9">
        <v>45677</v>
      </c>
      <c r="B1150" s="4" t="s">
        <v>225</v>
      </c>
      <c r="C1150" s="8">
        <v>45658</v>
      </c>
      <c r="D1150" s="4" t="s">
        <v>192</v>
      </c>
      <c r="E1150" s="14">
        <v>1.6442000000000001</v>
      </c>
      <c r="F1150" s="7">
        <v>1510</v>
      </c>
      <c r="G1150" s="14">
        <v>1.84E-2</v>
      </c>
      <c r="H1150" s="7">
        <v>29</v>
      </c>
      <c r="I1150" s="14">
        <v>1.6626000000000001</v>
      </c>
      <c r="J1150" s="7">
        <v>1539</v>
      </c>
    </row>
    <row r="1151" spans="1:10" x14ac:dyDescent="0.2">
      <c r="A1151" s="9">
        <v>45678</v>
      </c>
      <c r="B1151" s="4" t="s">
        <v>223</v>
      </c>
      <c r="C1151" s="8">
        <v>45658</v>
      </c>
      <c r="D1151" s="4" t="s">
        <v>192</v>
      </c>
      <c r="E1151" s="14">
        <v>9.5789000000000009</v>
      </c>
      <c r="F1151" s="7">
        <v>7700</v>
      </c>
      <c r="G1151" s="14">
        <v>1.06E-2</v>
      </c>
      <c r="H1151" s="7">
        <v>15</v>
      </c>
      <c r="I1151" s="14">
        <v>9.5894999999999992</v>
      </c>
      <c r="J1151" s="7">
        <v>7715</v>
      </c>
    </row>
    <row r="1152" spans="1:10" x14ac:dyDescent="0.2">
      <c r="A1152" s="9">
        <v>45679</v>
      </c>
      <c r="B1152" s="4" t="s">
        <v>221</v>
      </c>
      <c r="C1152" s="8">
        <v>45658</v>
      </c>
      <c r="D1152" s="4" t="s">
        <v>192</v>
      </c>
      <c r="E1152" s="14">
        <v>1.2653000000000001</v>
      </c>
      <c r="F1152" s="7">
        <v>1647</v>
      </c>
      <c r="G1152" s="14">
        <v>1.2800000000000001E-2</v>
      </c>
      <c r="H1152" s="7">
        <v>19</v>
      </c>
      <c r="I1152" s="14">
        <v>1.2781</v>
      </c>
      <c r="J1152" s="7">
        <v>1666</v>
      </c>
    </row>
    <row r="1153" spans="1:10" x14ac:dyDescent="0.2">
      <c r="A1153" s="9">
        <v>45680</v>
      </c>
      <c r="B1153" s="4" t="s">
        <v>224</v>
      </c>
      <c r="C1153" s="8">
        <v>45658</v>
      </c>
      <c r="D1153" s="4" t="s">
        <v>192</v>
      </c>
      <c r="E1153" s="14">
        <v>0.58309999999999995</v>
      </c>
      <c r="F1153" s="7">
        <v>735</v>
      </c>
      <c r="G1153" s="14">
        <v>8.5000000000000006E-3</v>
      </c>
      <c r="H1153" s="7">
        <v>12</v>
      </c>
      <c r="I1153" s="14">
        <v>0.59160000000000001</v>
      </c>
      <c r="J1153" s="7">
        <v>747</v>
      </c>
    </row>
    <row r="1154" spans="1:10" x14ac:dyDescent="0.2">
      <c r="A1154" s="9">
        <v>45681</v>
      </c>
      <c r="B1154" s="4" t="s">
        <v>222</v>
      </c>
      <c r="C1154" s="8">
        <v>45658</v>
      </c>
      <c r="D1154" s="4" t="s">
        <v>192</v>
      </c>
      <c r="E1154" s="14">
        <v>1.1048</v>
      </c>
      <c r="F1154" s="7">
        <v>1339</v>
      </c>
      <c r="G1154" s="14">
        <v>1.0999999999999999E-2</v>
      </c>
      <c r="H1154" s="7">
        <v>15</v>
      </c>
      <c r="I1154" s="14">
        <v>1.1157999999999999</v>
      </c>
      <c r="J1154" s="7">
        <v>1354</v>
      </c>
    </row>
    <row r="1155" spans="1:10" x14ac:dyDescent="0.2">
      <c r="A1155" s="9">
        <v>45684</v>
      </c>
      <c r="B1155" s="4" t="s">
        <v>225</v>
      </c>
      <c r="C1155" s="8">
        <v>45658</v>
      </c>
      <c r="D1155" s="4" t="s">
        <v>192</v>
      </c>
      <c r="E1155" s="14">
        <v>1.8265</v>
      </c>
      <c r="F1155" s="7">
        <v>2106</v>
      </c>
      <c r="G1155" s="14">
        <v>1.1299999999999999E-2</v>
      </c>
      <c r="H1155" s="7">
        <v>17</v>
      </c>
      <c r="I1155" s="14">
        <v>1.8378000000000001</v>
      </c>
      <c r="J1155" s="7">
        <v>2123</v>
      </c>
    </row>
    <row r="1156" spans="1:10" x14ac:dyDescent="0.2">
      <c r="A1156" s="9">
        <v>45685</v>
      </c>
      <c r="B1156" s="4" t="s">
        <v>223</v>
      </c>
      <c r="C1156" s="8">
        <v>45658</v>
      </c>
      <c r="D1156" s="4" t="s">
        <v>192</v>
      </c>
      <c r="E1156" s="14">
        <v>4.3409000000000004</v>
      </c>
      <c r="F1156" s="7">
        <v>4794</v>
      </c>
      <c r="G1156" s="14">
        <v>2.18E-2</v>
      </c>
      <c r="H1156" s="7">
        <v>35</v>
      </c>
      <c r="I1156" s="14">
        <v>4.3627000000000002</v>
      </c>
      <c r="J1156" s="7">
        <v>4829</v>
      </c>
    </row>
    <row r="1157" spans="1:10" x14ac:dyDescent="0.2">
      <c r="A1157" s="9">
        <v>45686</v>
      </c>
      <c r="B1157" s="4" t="s">
        <v>221</v>
      </c>
      <c r="C1157" s="8">
        <v>45658</v>
      </c>
      <c r="D1157" s="4" t="s">
        <v>192</v>
      </c>
      <c r="E1157" s="14">
        <v>0.63729999999999998</v>
      </c>
      <c r="F1157" s="7">
        <v>416</v>
      </c>
      <c r="G1157" s="14">
        <v>2.7900000000000001E-2</v>
      </c>
      <c r="H1157" s="7">
        <v>40</v>
      </c>
      <c r="I1157" s="14">
        <v>0.66520000000000001</v>
      </c>
      <c r="J1157" s="7">
        <v>456</v>
      </c>
    </row>
    <row r="1158" spans="1:10" x14ac:dyDescent="0.2">
      <c r="A1158" s="9">
        <v>45687</v>
      </c>
      <c r="B1158" s="4" t="s">
        <v>224</v>
      </c>
      <c r="C1158" s="8">
        <v>45658</v>
      </c>
      <c r="D1158" s="4" t="s">
        <v>192</v>
      </c>
      <c r="E1158" s="14">
        <v>0.89659999999999995</v>
      </c>
      <c r="F1158" s="7">
        <v>582</v>
      </c>
      <c r="G1158" s="14">
        <v>3.0300000000000001E-2</v>
      </c>
      <c r="H1158" s="7">
        <v>48</v>
      </c>
      <c r="I1158" s="14">
        <v>0.92689999999999995</v>
      </c>
      <c r="J1158" s="7">
        <v>630</v>
      </c>
    </row>
    <row r="1159" spans="1:10" x14ac:dyDescent="0.2">
      <c r="A1159" s="9">
        <v>45688</v>
      </c>
      <c r="B1159" s="4" t="s">
        <v>222</v>
      </c>
      <c r="C1159" s="8">
        <v>45658</v>
      </c>
      <c r="D1159" s="4" t="s">
        <v>192</v>
      </c>
      <c r="E1159" s="14">
        <v>1.9389000000000001</v>
      </c>
      <c r="F1159" s="7">
        <v>1252</v>
      </c>
      <c r="G1159" s="14">
        <v>8.6999999999999994E-3</v>
      </c>
      <c r="H1159" s="7">
        <v>13</v>
      </c>
      <c r="I1159" s="14">
        <v>1.9476</v>
      </c>
      <c r="J1159" s="7">
        <v>1265</v>
      </c>
    </row>
    <row r="1160" spans="1:10" x14ac:dyDescent="0.2">
      <c r="A1160" s="9">
        <v>45689</v>
      </c>
      <c r="B1160" s="4" t="s">
        <v>226</v>
      </c>
      <c r="C1160" s="8">
        <v>45689</v>
      </c>
      <c r="D1160" s="4" t="s">
        <v>192</v>
      </c>
      <c r="E1160" s="14">
        <v>2.7734000000000001</v>
      </c>
      <c r="F1160" s="7">
        <v>1784</v>
      </c>
      <c r="G1160" s="14">
        <v>1.78E-2</v>
      </c>
      <c r="H1160" s="7">
        <v>27</v>
      </c>
      <c r="I1160" s="14">
        <v>2.7911999999999999</v>
      </c>
      <c r="J1160" s="7">
        <v>1811</v>
      </c>
    </row>
    <row r="1161" spans="1:10" x14ac:dyDescent="0.2">
      <c r="A1161" s="9">
        <v>45691</v>
      </c>
      <c r="B1161" s="4" t="s">
        <v>225</v>
      </c>
      <c r="C1161" s="8">
        <v>45689</v>
      </c>
      <c r="D1161" s="4" t="s">
        <v>192</v>
      </c>
      <c r="E1161" s="14">
        <v>2.0583999999999998</v>
      </c>
      <c r="F1161" s="7">
        <v>1333</v>
      </c>
      <c r="G1161" s="14">
        <v>1.2200000000000001E-2</v>
      </c>
      <c r="H1161" s="7">
        <v>20</v>
      </c>
      <c r="I1161" s="14">
        <v>2.0706000000000002</v>
      </c>
      <c r="J1161" s="7">
        <v>1353</v>
      </c>
    </row>
    <row r="1162" spans="1:10" x14ac:dyDescent="0.2">
      <c r="A1162" s="9">
        <v>45692</v>
      </c>
      <c r="B1162" s="4" t="s">
        <v>223</v>
      </c>
      <c r="C1162" s="8">
        <v>45689</v>
      </c>
      <c r="D1162" s="4" t="s">
        <v>192</v>
      </c>
      <c r="E1162" s="14">
        <v>6.5808999999999997</v>
      </c>
      <c r="F1162" s="7">
        <v>4214</v>
      </c>
      <c r="G1162" s="14">
        <v>2.52E-2</v>
      </c>
      <c r="H1162" s="7">
        <v>39</v>
      </c>
      <c r="I1162" s="14">
        <v>6.6060999999999996</v>
      </c>
      <c r="J1162" s="7">
        <v>4253</v>
      </c>
    </row>
    <row r="1163" spans="1:10" x14ac:dyDescent="0.2">
      <c r="A1163" s="9">
        <v>45693</v>
      </c>
      <c r="B1163" s="4" t="s">
        <v>221</v>
      </c>
      <c r="C1163" s="8">
        <v>45689</v>
      </c>
      <c r="D1163" s="4" t="s">
        <v>192</v>
      </c>
      <c r="E1163" s="14">
        <v>1.101</v>
      </c>
      <c r="F1163" s="7">
        <v>700</v>
      </c>
      <c r="G1163" s="14">
        <v>5.7000000000000002E-3</v>
      </c>
      <c r="H1163" s="7">
        <v>9</v>
      </c>
      <c r="I1163" s="14">
        <v>1.1067</v>
      </c>
      <c r="J1163" s="7">
        <v>709</v>
      </c>
    </row>
    <row r="1164" spans="1:10" x14ac:dyDescent="0.2">
      <c r="A1164" s="9">
        <v>45694</v>
      </c>
      <c r="B1164" s="4" t="s">
        <v>224</v>
      </c>
      <c r="C1164" s="8">
        <v>45689</v>
      </c>
      <c r="D1164" s="4" t="s">
        <v>192</v>
      </c>
      <c r="E1164" s="14">
        <v>0.82489999999999997</v>
      </c>
      <c r="F1164" s="7">
        <v>527</v>
      </c>
      <c r="G1164" s="14">
        <v>2.2800000000000001E-2</v>
      </c>
      <c r="H1164" s="7">
        <v>37</v>
      </c>
      <c r="I1164" s="14">
        <v>0.84770000000000001</v>
      </c>
      <c r="J1164" s="7">
        <v>564</v>
      </c>
    </row>
    <row r="1165" spans="1:10" x14ac:dyDescent="0.2">
      <c r="A1165" s="9">
        <v>45695</v>
      </c>
      <c r="B1165" s="4" t="s">
        <v>222</v>
      </c>
      <c r="C1165" s="8">
        <v>45689</v>
      </c>
      <c r="D1165" s="4" t="s">
        <v>192</v>
      </c>
      <c r="E1165" s="14">
        <v>1.8174999999999999</v>
      </c>
      <c r="F1165" s="7">
        <v>1164</v>
      </c>
      <c r="G1165" s="14">
        <v>1.4800000000000001E-2</v>
      </c>
      <c r="H1165" s="7">
        <v>22</v>
      </c>
      <c r="I1165" s="14">
        <v>1.8323</v>
      </c>
      <c r="J1165" s="7">
        <v>1186</v>
      </c>
    </row>
    <row r="1166" spans="1:10" x14ac:dyDescent="0.2">
      <c r="A1166" s="9">
        <v>45698</v>
      </c>
      <c r="B1166" s="4" t="s">
        <v>225</v>
      </c>
      <c r="C1166" s="8">
        <v>45689</v>
      </c>
      <c r="D1166" s="4" t="s">
        <v>192</v>
      </c>
      <c r="E1166" s="14">
        <v>2.2440000000000002</v>
      </c>
      <c r="F1166" s="7">
        <v>1446</v>
      </c>
      <c r="G1166" s="14">
        <v>1.8200000000000001E-2</v>
      </c>
      <c r="H1166" s="7">
        <v>28</v>
      </c>
      <c r="I1166" s="14">
        <v>2.2622</v>
      </c>
      <c r="J1166" s="7">
        <v>1474</v>
      </c>
    </row>
    <row r="1167" spans="1:10" x14ac:dyDescent="0.2">
      <c r="A1167" s="9">
        <v>45699</v>
      </c>
      <c r="B1167" s="4" t="s">
        <v>223</v>
      </c>
      <c r="C1167" s="8">
        <v>45689</v>
      </c>
      <c r="D1167" s="4" t="s">
        <v>192</v>
      </c>
      <c r="E1167" s="14">
        <v>4.9448999999999996</v>
      </c>
      <c r="F1167" s="7">
        <v>3223</v>
      </c>
      <c r="G1167" s="14">
        <v>2.07E-2</v>
      </c>
      <c r="H1167" s="7">
        <v>29</v>
      </c>
      <c r="I1167" s="14">
        <v>4.9656000000000002</v>
      </c>
      <c r="J1167" s="7">
        <v>3252</v>
      </c>
    </row>
    <row r="1168" spans="1:10" x14ac:dyDescent="0.2">
      <c r="A1168" s="9">
        <v>45700</v>
      </c>
      <c r="B1168" s="4" t="s">
        <v>221</v>
      </c>
      <c r="C1168" s="8">
        <v>45689</v>
      </c>
      <c r="D1168" s="4" t="s">
        <v>192</v>
      </c>
      <c r="E1168" s="14">
        <v>1.8229</v>
      </c>
      <c r="F1168" s="7">
        <v>1192</v>
      </c>
      <c r="G1168" s="14">
        <v>3.9399999999999998E-2</v>
      </c>
      <c r="H1168" s="7">
        <v>64</v>
      </c>
      <c r="I1168" s="14">
        <v>1.8623000000000001</v>
      </c>
      <c r="J1168" s="7">
        <v>1256</v>
      </c>
    </row>
    <row r="1169" spans="1:10" x14ac:dyDescent="0.2">
      <c r="A1169" s="9">
        <v>45701</v>
      </c>
      <c r="B1169" s="4" t="s">
        <v>224</v>
      </c>
      <c r="C1169" s="8">
        <v>45689</v>
      </c>
      <c r="D1169" s="4" t="s">
        <v>192</v>
      </c>
      <c r="E1169" s="14">
        <v>1.2890999999999999</v>
      </c>
      <c r="F1169" s="7">
        <v>838</v>
      </c>
      <c r="G1169" s="14">
        <v>8.6300000000000002E-2</v>
      </c>
      <c r="H1169" s="7">
        <v>132</v>
      </c>
      <c r="I1169" s="14">
        <v>1.3754</v>
      </c>
      <c r="J1169" s="7">
        <v>970</v>
      </c>
    </row>
    <row r="1170" spans="1:10" x14ac:dyDescent="0.2">
      <c r="A1170" s="9">
        <v>45702</v>
      </c>
      <c r="B1170" s="4" t="s">
        <v>222</v>
      </c>
      <c r="C1170" s="8">
        <v>45689</v>
      </c>
      <c r="D1170" s="4" t="s">
        <v>192</v>
      </c>
      <c r="E1170" s="14">
        <v>2.0802999999999998</v>
      </c>
      <c r="F1170" s="7">
        <v>1368</v>
      </c>
      <c r="G1170" s="14">
        <v>2.87E-2</v>
      </c>
      <c r="H1170" s="7">
        <v>49</v>
      </c>
      <c r="I1170" s="14">
        <v>2.109</v>
      </c>
      <c r="J1170" s="7">
        <v>1417</v>
      </c>
    </row>
    <row r="1171" spans="1:10" x14ac:dyDescent="0.2">
      <c r="A1171" s="9">
        <v>45705</v>
      </c>
      <c r="B1171" s="4" t="s">
        <v>225</v>
      </c>
      <c r="C1171" s="8">
        <v>45689</v>
      </c>
      <c r="D1171" s="4" t="s">
        <v>192</v>
      </c>
      <c r="E1171" s="14">
        <v>2.2174</v>
      </c>
      <c r="F1171" s="7">
        <v>1460</v>
      </c>
      <c r="G1171" s="14">
        <v>1.8599999999999998E-2</v>
      </c>
      <c r="H1171" s="7">
        <v>28</v>
      </c>
      <c r="I1171" s="14">
        <v>2.2360000000000002</v>
      </c>
      <c r="J1171" s="7">
        <v>1488</v>
      </c>
    </row>
    <row r="1172" spans="1:10" x14ac:dyDescent="0.2">
      <c r="A1172" s="9">
        <v>45706</v>
      </c>
      <c r="B1172" s="4" t="s">
        <v>223</v>
      </c>
      <c r="C1172" s="8">
        <v>45689</v>
      </c>
      <c r="D1172" s="4" t="s">
        <v>192</v>
      </c>
      <c r="E1172" s="14">
        <v>4.3932000000000002</v>
      </c>
      <c r="F1172" s="7">
        <v>2892</v>
      </c>
      <c r="G1172" s="14">
        <v>2.24E-2</v>
      </c>
      <c r="H1172" s="7">
        <v>38</v>
      </c>
      <c r="I1172" s="14">
        <v>4.4156000000000004</v>
      </c>
      <c r="J1172" s="7">
        <v>2930</v>
      </c>
    </row>
    <row r="1173" spans="1:10" x14ac:dyDescent="0.2">
      <c r="A1173" s="9">
        <v>45707</v>
      </c>
      <c r="B1173" s="4" t="s">
        <v>221</v>
      </c>
      <c r="C1173" s="8">
        <v>45689</v>
      </c>
      <c r="D1173" s="4" t="s">
        <v>192</v>
      </c>
      <c r="E1173" s="14">
        <v>1.4555</v>
      </c>
      <c r="F1173" s="7">
        <v>955</v>
      </c>
      <c r="G1173" s="14">
        <v>1.8700000000000001E-2</v>
      </c>
      <c r="H1173" s="7">
        <v>30</v>
      </c>
      <c r="I1173" s="14">
        <v>1.4742</v>
      </c>
      <c r="J1173" s="7">
        <v>985</v>
      </c>
    </row>
    <row r="1174" spans="1:10" x14ac:dyDescent="0.2">
      <c r="A1174" s="9">
        <v>45708</v>
      </c>
      <c r="B1174" s="4" t="s">
        <v>224</v>
      </c>
      <c r="C1174" s="8">
        <v>45689</v>
      </c>
      <c r="D1174" s="4" t="s">
        <v>192</v>
      </c>
      <c r="E1174" s="14">
        <v>0.87080000000000002</v>
      </c>
      <c r="F1174" s="7">
        <v>571</v>
      </c>
      <c r="G1174" s="14">
        <v>4.87E-2</v>
      </c>
      <c r="H1174" s="7">
        <v>79</v>
      </c>
      <c r="I1174" s="14">
        <v>0.91949999999999998</v>
      </c>
      <c r="J1174" s="7">
        <v>650</v>
      </c>
    </row>
    <row r="1175" spans="1:10" x14ac:dyDescent="0.2">
      <c r="A1175" s="9">
        <v>45709</v>
      </c>
      <c r="B1175" s="4" t="s">
        <v>222</v>
      </c>
      <c r="C1175" s="8">
        <v>45689</v>
      </c>
      <c r="D1175" s="4" t="s">
        <v>192</v>
      </c>
      <c r="E1175" s="14">
        <v>1.8065</v>
      </c>
      <c r="F1175" s="7">
        <v>1181</v>
      </c>
      <c r="G1175" s="14">
        <v>2.4400000000000002E-2</v>
      </c>
      <c r="H1175" s="7">
        <v>42</v>
      </c>
      <c r="I1175" s="14">
        <v>1.8309</v>
      </c>
      <c r="J1175" s="7">
        <v>1223</v>
      </c>
    </row>
    <row r="1176" spans="1:10" x14ac:dyDescent="0.2">
      <c r="A1176" s="9">
        <v>45712</v>
      </c>
      <c r="B1176" s="4" t="s">
        <v>225</v>
      </c>
      <c r="C1176" s="8">
        <v>45689</v>
      </c>
      <c r="D1176" s="4" t="s">
        <v>192</v>
      </c>
      <c r="E1176" s="14">
        <v>2.3254000000000001</v>
      </c>
      <c r="F1176" s="7">
        <v>1555</v>
      </c>
      <c r="G1176" s="14">
        <v>4.7E-2</v>
      </c>
      <c r="H1176" s="7">
        <v>79</v>
      </c>
      <c r="I1176" s="14">
        <v>2.3723999999999998</v>
      </c>
      <c r="J1176" s="7">
        <v>1634</v>
      </c>
    </row>
    <row r="1177" spans="1:10" x14ac:dyDescent="0.2">
      <c r="A1177" s="9">
        <v>45713</v>
      </c>
      <c r="B1177" s="4" t="s">
        <v>223</v>
      </c>
      <c r="C1177" s="8">
        <v>45689</v>
      </c>
      <c r="D1177" s="4" t="s">
        <v>192</v>
      </c>
      <c r="E1177" s="14">
        <v>5.1847000000000003</v>
      </c>
      <c r="F1177" s="7">
        <v>3461</v>
      </c>
      <c r="G1177" s="14">
        <v>3.4500000000000003E-2</v>
      </c>
      <c r="H1177" s="7">
        <v>57</v>
      </c>
      <c r="I1177" s="14">
        <v>5.2191999999999998</v>
      </c>
      <c r="J1177" s="7">
        <v>3518</v>
      </c>
    </row>
    <row r="1178" spans="1:10" x14ac:dyDescent="0.2">
      <c r="A1178" s="9">
        <v>45715</v>
      </c>
      <c r="B1178" s="4" t="s">
        <v>224</v>
      </c>
      <c r="C1178" s="8">
        <v>45689</v>
      </c>
      <c r="D1178" s="4" t="s">
        <v>192</v>
      </c>
      <c r="E1178" s="14">
        <v>0.61250000000000004</v>
      </c>
      <c r="F1178" s="7">
        <v>409</v>
      </c>
      <c r="G1178" s="14">
        <v>1.66E-2</v>
      </c>
      <c r="H1178" s="7">
        <v>29</v>
      </c>
      <c r="I1178" s="14">
        <v>0.62909999999999999</v>
      </c>
      <c r="J1178" s="7">
        <v>438</v>
      </c>
    </row>
    <row r="1179" spans="1:10" x14ac:dyDescent="0.2">
      <c r="A1179" s="9">
        <v>45716</v>
      </c>
      <c r="B1179" s="4" t="s">
        <v>222</v>
      </c>
      <c r="C1179" s="8">
        <v>45689</v>
      </c>
      <c r="D1179" s="4" t="s">
        <v>192</v>
      </c>
      <c r="E1179" s="14">
        <v>3.3571</v>
      </c>
      <c r="F1179" s="7">
        <v>2273</v>
      </c>
      <c r="G1179" s="14">
        <v>3.7400000000000003E-2</v>
      </c>
      <c r="H1179" s="7">
        <v>63</v>
      </c>
      <c r="I1179" s="14">
        <v>3.3944999999999999</v>
      </c>
      <c r="J1179" s="7">
        <v>2336</v>
      </c>
    </row>
    <row r="1180" spans="1:10" x14ac:dyDescent="0.2">
      <c r="A1180" s="9">
        <v>45719</v>
      </c>
      <c r="B1180" s="4" t="s">
        <v>225</v>
      </c>
      <c r="C1180" s="8">
        <v>45717</v>
      </c>
      <c r="D1180" s="4" t="s">
        <v>192</v>
      </c>
      <c r="E1180" s="14">
        <v>2.8437999999999999</v>
      </c>
      <c r="F1180" s="7">
        <v>1941</v>
      </c>
      <c r="G1180" s="14">
        <v>3.32E-2</v>
      </c>
      <c r="H1180" s="7">
        <v>53</v>
      </c>
      <c r="I1180" s="14">
        <v>2.8769999999999998</v>
      </c>
      <c r="J1180" s="7">
        <v>1994</v>
      </c>
    </row>
    <row r="1181" spans="1:10" x14ac:dyDescent="0.2">
      <c r="A1181" s="9">
        <v>45720</v>
      </c>
      <c r="B1181" s="4" t="s">
        <v>223</v>
      </c>
      <c r="C1181" s="8">
        <v>45717</v>
      </c>
      <c r="D1181" s="4" t="s">
        <v>192</v>
      </c>
      <c r="E1181" s="14">
        <v>3.7902999999999998</v>
      </c>
      <c r="F1181" s="7">
        <v>2597</v>
      </c>
      <c r="G1181" s="14">
        <v>3.8600000000000002E-2</v>
      </c>
      <c r="H1181" s="7">
        <v>73</v>
      </c>
      <c r="I1181" s="14">
        <v>3.8289</v>
      </c>
      <c r="J1181" s="7">
        <v>2670</v>
      </c>
    </row>
    <row r="1182" spans="1:10" x14ac:dyDescent="0.2">
      <c r="A1182" s="9">
        <v>45721</v>
      </c>
      <c r="B1182" s="4" t="s">
        <v>221</v>
      </c>
      <c r="C1182" s="8">
        <v>45717</v>
      </c>
      <c r="D1182" s="4" t="s">
        <v>192</v>
      </c>
      <c r="E1182" s="14">
        <v>1.377</v>
      </c>
      <c r="F1182" s="7">
        <v>932</v>
      </c>
      <c r="G1182" s="14">
        <v>1.9099999999999999E-2</v>
      </c>
      <c r="H1182" s="7">
        <v>34</v>
      </c>
      <c r="I1182" s="14">
        <v>1.3960999999999999</v>
      </c>
      <c r="J1182" s="7">
        <v>966</v>
      </c>
    </row>
    <row r="1183" spans="1:10" x14ac:dyDescent="0.2">
      <c r="A1183" s="9">
        <v>45722</v>
      </c>
      <c r="B1183" s="4" t="s">
        <v>224</v>
      </c>
      <c r="C1183" s="8">
        <v>45717</v>
      </c>
      <c r="D1183" s="4" t="s">
        <v>192</v>
      </c>
      <c r="E1183" s="14">
        <v>1.2888999999999999</v>
      </c>
      <c r="F1183" s="7">
        <v>869</v>
      </c>
      <c r="G1183" s="14">
        <v>3.3000000000000002E-2</v>
      </c>
      <c r="H1183" s="7">
        <v>52</v>
      </c>
      <c r="I1183" s="14">
        <v>1.3219000000000001</v>
      </c>
      <c r="J1183" s="7">
        <v>921</v>
      </c>
    </row>
    <row r="1184" spans="1:10" x14ac:dyDescent="0.2">
      <c r="A1184" s="9">
        <v>45723</v>
      </c>
      <c r="B1184" s="4" t="s">
        <v>222</v>
      </c>
      <c r="C1184" s="8">
        <v>45717</v>
      </c>
      <c r="D1184" s="4" t="s">
        <v>192</v>
      </c>
      <c r="E1184" s="14">
        <v>1.8001</v>
      </c>
      <c r="F1184" s="7">
        <v>1208</v>
      </c>
      <c r="G1184" s="14">
        <v>2.46E-2</v>
      </c>
      <c r="H1184" s="7">
        <v>38</v>
      </c>
      <c r="I1184" s="14">
        <v>1.8247</v>
      </c>
      <c r="J1184" s="7">
        <v>1246</v>
      </c>
    </row>
    <row r="1185" spans="1:10" x14ac:dyDescent="0.2">
      <c r="A1185" s="9">
        <v>45726</v>
      </c>
      <c r="B1185" s="4" t="s">
        <v>225</v>
      </c>
      <c r="C1185" s="8">
        <v>45717</v>
      </c>
      <c r="D1185" s="4" t="s">
        <v>192</v>
      </c>
      <c r="E1185" s="14">
        <v>1.8988</v>
      </c>
      <c r="F1185" s="7">
        <v>1273</v>
      </c>
      <c r="G1185" s="14">
        <v>2.6100000000000002E-2</v>
      </c>
      <c r="H1185" s="7">
        <v>36</v>
      </c>
      <c r="I1185" s="14">
        <v>1.9249000000000001</v>
      </c>
      <c r="J1185" s="7">
        <v>1309</v>
      </c>
    </row>
    <row r="1186" spans="1:10" x14ac:dyDescent="0.2">
      <c r="A1186" s="9">
        <v>45727</v>
      </c>
      <c r="B1186" s="4" t="s">
        <v>223</v>
      </c>
      <c r="C1186" s="8">
        <v>45717</v>
      </c>
      <c r="D1186" s="4" t="s">
        <v>192</v>
      </c>
      <c r="E1186" s="14">
        <v>3.0918999999999999</v>
      </c>
      <c r="F1186" s="7">
        <v>2088</v>
      </c>
      <c r="G1186" s="14">
        <v>2.7400000000000001E-2</v>
      </c>
      <c r="H1186" s="7">
        <v>42</v>
      </c>
      <c r="I1186" s="14">
        <v>3.1193</v>
      </c>
      <c r="J1186" s="7">
        <v>2130</v>
      </c>
    </row>
    <row r="1187" spans="1:10" x14ac:dyDescent="0.2">
      <c r="A1187" s="9">
        <v>45728</v>
      </c>
      <c r="B1187" s="4" t="s">
        <v>221</v>
      </c>
      <c r="C1187" s="8">
        <v>45717</v>
      </c>
      <c r="D1187" s="4" t="s">
        <v>192</v>
      </c>
      <c r="E1187" s="14">
        <v>1.3310999999999999</v>
      </c>
      <c r="F1187" s="7">
        <v>899</v>
      </c>
      <c r="G1187" s="14">
        <v>0.1241</v>
      </c>
      <c r="H1187" s="7">
        <v>177</v>
      </c>
      <c r="I1187" s="14">
        <v>1.4552</v>
      </c>
      <c r="J1187" s="7">
        <v>1076</v>
      </c>
    </row>
    <row r="1188" spans="1:10" x14ac:dyDescent="0.2">
      <c r="A1188" s="9">
        <v>45729</v>
      </c>
      <c r="B1188" s="4" t="s">
        <v>224</v>
      </c>
      <c r="C1188" s="8">
        <v>45717</v>
      </c>
      <c r="D1188" s="4" t="s">
        <v>192</v>
      </c>
      <c r="E1188" s="14">
        <v>0.80420000000000003</v>
      </c>
      <c r="F1188" s="7">
        <v>542</v>
      </c>
      <c r="G1188" s="14">
        <v>4.36E-2</v>
      </c>
      <c r="H1188" s="7">
        <v>70</v>
      </c>
      <c r="I1188" s="14">
        <v>0.8478</v>
      </c>
      <c r="J1188" s="7">
        <v>612</v>
      </c>
    </row>
    <row r="1189" spans="1:10" x14ac:dyDescent="0.2">
      <c r="A1189" s="9">
        <v>45733</v>
      </c>
      <c r="B1189" s="4" t="s">
        <v>225</v>
      </c>
      <c r="C1189" s="8">
        <v>45717</v>
      </c>
      <c r="D1189" s="4" t="s">
        <v>192</v>
      </c>
      <c r="E1189" s="14">
        <v>1.3843000000000001</v>
      </c>
      <c r="F1189" s="7">
        <v>925</v>
      </c>
      <c r="G1189" s="14">
        <v>1.7399999999999999E-2</v>
      </c>
      <c r="H1189" s="7">
        <v>27</v>
      </c>
      <c r="I1189" s="14">
        <v>1.4016999999999999</v>
      </c>
      <c r="J1189" s="7">
        <v>952</v>
      </c>
    </row>
    <row r="1190" spans="1:10" x14ac:dyDescent="0.2">
      <c r="A1190" s="9">
        <v>45734</v>
      </c>
      <c r="B1190" s="4" t="s">
        <v>223</v>
      </c>
      <c r="C1190" s="8">
        <v>45717</v>
      </c>
      <c r="D1190" s="4" t="s">
        <v>192</v>
      </c>
      <c r="E1190" s="14">
        <v>3.9777999999999998</v>
      </c>
      <c r="F1190" s="7">
        <v>2649</v>
      </c>
      <c r="G1190" s="14">
        <v>3.61E-2</v>
      </c>
      <c r="H1190" s="7">
        <v>55</v>
      </c>
      <c r="I1190" s="14">
        <v>4.0138999999999996</v>
      </c>
      <c r="J1190" s="7">
        <v>2704</v>
      </c>
    </row>
    <row r="1191" spans="1:10" x14ac:dyDescent="0.2">
      <c r="A1191" s="9">
        <v>45735</v>
      </c>
      <c r="B1191" s="4" t="s">
        <v>221</v>
      </c>
      <c r="C1191" s="8">
        <v>45717</v>
      </c>
      <c r="D1191" s="4" t="s">
        <v>192</v>
      </c>
      <c r="E1191" s="14">
        <v>1.1518999999999999</v>
      </c>
      <c r="F1191" s="7">
        <v>753</v>
      </c>
      <c r="G1191" s="14">
        <v>2.1600000000000001E-2</v>
      </c>
      <c r="H1191" s="7">
        <v>33</v>
      </c>
      <c r="I1191" s="14">
        <v>1.1735</v>
      </c>
      <c r="J1191" s="7">
        <v>786</v>
      </c>
    </row>
    <row r="1192" spans="1:10" x14ac:dyDescent="0.2">
      <c r="A1192" s="9">
        <v>45736</v>
      </c>
      <c r="B1192" s="4" t="s">
        <v>224</v>
      </c>
      <c r="C1192" s="8">
        <v>45717</v>
      </c>
      <c r="D1192" s="4" t="s">
        <v>192</v>
      </c>
      <c r="E1192" s="14">
        <v>1.6358999999999999</v>
      </c>
      <c r="F1192" s="7">
        <v>1072</v>
      </c>
      <c r="G1192" s="14">
        <v>2.9499999999999998E-2</v>
      </c>
      <c r="H1192" s="7">
        <v>47</v>
      </c>
      <c r="I1192" s="14">
        <v>1.6654</v>
      </c>
      <c r="J1192" s="7">
        <v>1119</v>
      </c>
    </row>
    <row r="1193" spans="1:10" x14ac:dyDescent="0.2">
      <c r="A1193" s="9">
        <v>45737</v>
      </c>
      <c r="B1193" s="4" t="s">
        <v>222</v>
      </c>
      <c r="C1193" s="8">
        <v>45717</v>
      </c>
      <c r="D1193" s="4" t="s">
        <v>192</v>
      </c>
      <c r="E1193" s="14">
        <v>1.9903</v>
      </c>
      <c r="F1193" s="7">
        <v>1288</v>
      </c>
      <c r="G1193" s="14">
        <v>4.8800000000000003E-2</v>
      </c>
      <c r="H1193" s="7">
        <v>78</v>
      </c>
      <c r="I1193" s="14">
        <v>2.0390999999999999</v>
      </c>
      <c r="J1193" s="7">
        <v>1366</v>
      </c>
    </row>
    <row r="1194" spans="1:10" x14ac:dyDescent="0.2">
      <c r="A1194" s="9">
        <v>45740</v>
      </c>
      <c r="B1194" s="4" t="s">
        <v>225</v>
      </c>
      <c r="C1194" s="8">
        <v>45717</v>
      </c>
      <c r="D1194" s="4" t="s">
        <v>192</v>
      </c>
      <c r="E1194" s="14">
        <v>4.2283999999999997</v>
      </c>
      <c r="F1194" s="7">
        <v>2697</v>
      </c>
      <c r="G1194" s="14">
        <v>6.7199999999999996E-2</v>
      </c>
      <c r="H1194" s="7">
        <v>105</v>
      </c>
      <c r="I1194" s="14">
        <v>4.2956000000000003</v>
      </c>
      <c r="J1194" s="7">
        <v>2802</v>
      </c>
    </row>
    <row r="1195" spans="1:10" x14ac:dyDescent="0.2">
      <c r="A1195" s="9">
        <v>45741</v>
      </c>
      <c r="B1195" s="4" t="s">
        <v>223</v>
      </c>
      <c r="C1195" s="8">
        <v>45717</v>
      </c>
      <c r="D1195" s="4" t="s">
        <v>192</v>
      </c>
      <c r="E1195" s="14">
        <v>5.2930999999999999</v>
      </c>
      <c r="F1195" s="7">
        <v>3363</v>
      </c>
      <c r="G1195" s="14">
        <v>4.1599999999999998E-2</v>
      </c>
      <c r="H1195" s="7">
        <v>65</v>
      </c>
      <c r="I1195" s="14">
        <v>5.3346999999999998</v>
      </c>
      <c r="J1195" s="7">
        <v>3428</v>
      </c>
    </row>
    <row r="1196" spans="1:10" x14ac:dyDescent="0.2">
      <c r="A1196" s="9">
        <v>45742</v>
      </c>
      <c r="B1196" s="4" t="s">
        <v>221</v>
      </c>
      <c r="C1196" s="8">
        <v>45717</v>
      </c>
      <c r="D1196" s="4" t="s">
        <v>192</v>
      </c>
      <c r="E1196" s="14">
        <v>2.0428999999999999</v>
      </c>
      <c r="F1196" s="7">
        <v>1306</v>
      </c>
      <c r="G1196" s="14">
        <v>5.1900000000000002E-2</v>
      </c>
      <c r="H1196" s="7">
        <v>84</v>
      </c>
      <c r="I1196" s="14">
        <v>2.0948000000000002</v>
      </c>
      <c r="J1196" s="7">
        <v>1390</v>
      </c>
    </row>
    <row r="1197" spans="1:10" x14ac:dyDescent="0.2">
      <c r="A1197" s="9">
        <v>45743</v>
      </c>
      <c r="B1197" s="4" t="s">
        <v>224</v>
      </c>
      <c r="C1197" s="8">
        <v>45717</v>
      </c>
      <c r="D1197" s="4" t="s">
        <v>192</v>
      </c>
      <c r="E1197" s="14">
        <v>0.81779999999999997</v>
      </c>
      <c r="F1197" s="7">
        <v>525</v>
      </c>
      <c r="G1197" s="14">
        <v>2.9499999999999998E-2</v>
      </c>
      <c r="H1197" s="7">
        <v>47</v>
      </c>
      <c r="I1197" s="14">
        <v>0.84730000000000005</v>
      </c>
      <c r="J1197" s="7">
        <v>572</v>
      </c>
    </row>
    <row r="1198" spans="1:10" x14ac:dyDescent="0.2">
      <c r="A1198" s="9">
        <v>45744</v>
      </c>
      <c r="B1198" s="4" t="s">
        <v>222</v>
      </c>
      <c r="C1198" s="8">
        <v>45717</v>
      </c>
      <c r="D1198" s="4" t="s">
        <v>192</v>
      </c>
      <c r="E1198" s="14">
        <v>1.8471</v>
      </c>
      <c r="F1198" s="7">
        <v>1188</v>
      </c>
      <c r="G1198" s="14">
        <v>4.82E-2</v>
      </c>
      <c r="H1198" s="7">
        <v>84</v>
      </c>
      <c r="I1198" s="14">
        <v>1.8953</v>
      </c>
      <c r="J1198" s="7">
        <v>1272</v>
      </c>
    </row>
    <row r="1199" spans="1:10" x14ac:dyDescent="0.2">
      <c r="A1199" s="9">
        <v>45748</v>
      </c>
      <c r="B1199" s="4" t="s">
        <v>223</v>
      </c>
      <c r="C1199" s="8">
        <v>45748</v>
      </c>
      <c r="D1199" s="4" t="s">
        <v>193</v>
      </c>
      <c r="E1199" s="14">
        <v>5.3436000000000003</v>
      </c>
      <c r="F1199" s="7">
        <v>3487</v>
      </c>
      <c r="G1199" s="14">
        <v>2.3199999999999998E-2</v>
      </c>
      <c r="H1199" s="7">
        <v>40</v>
      </c>
      <c r="I1199" s="14">
        <v>5.3667999999999996</v>
      </c>
      <c r="J1199" s="7">
        <v>3527</v>
      </c>
    </row>
    <row r="1200" spans="1:10" x14ac:dyDescent="0.2">
      <c r="A1200" s="9">
        <v>45749</v>
      </c>
      <c r="B1200" s="4" t="s">
        <v>221</v>
      </c>
      <c r="C1200" s="8">
        <v>45748</v>
      </c>
      <c r="D1200" s="4" t="s">
        <v>193</v>
      </c>
      <c r="E1200" s="14">
        <v>1.2562</v>
      </c>
      <c r="F1200" s="7">
        <v>820</v>
      </c>
      <c r="G1200" s="14">
        <v>2.2499999999999999E-2</v>
      </c>
      <c r="H1200" s="7">
        <v>39</v>
      </c>
      <c r="I1200" s="14">
        <v>1.2786999999999999</v>
      </c>
      <c r="J1200" s="7">
        <v>859</v>
      </c>
    </row>
    <row r="1201" spans="1:10" x14ac:dyDescent="0.2">
      <c r="A1201" s="9">
        <v>45750</v>
      </c>
      <c r="B1201" s="4" t="s">
        <v>224</v>
      </c>
      <c r="C1201" s="8">
        <v>45748</v>
      </c>
      <c r="D1201" s="4" t="s">
        <v>193</v>
      </c>
      <c r="E1201" s="14">
        <v>0.7056</v>
      </c>
      <c r="F1201" s="7">
        <v>462</v>
      </c>
      <c r="G1201" s="14">
        <v>4.99E-2</v>
      </c>
      <c r="H1201" s="7">
        <v>78</v>
      </c>
      <c r="I1201" s="14">
        <v>0.75549999999999995</v>
      </c>
      <c r="J1201" s="7">
        <v>540</v>
      </c>
    </row>
    <row r="1202" spans="1:10" x14ac:dyDescent="0.2">
      <c r="A1202" s="9">
        <v>45751</v>
      </c>
      <c r="B1202" s="4" t="s">
        <v>222</v>
      </c>
      <c r="C1202" s="8">
        <v>45748</v>
      </c>
      <c r="D1202" s="4" t="s">
        <v>193</v>
      </c>
      <c r="E1202" s="14">
        <v>2.0667</v>
      </c>
      <c r="F1202" s="7">
        <v>1363</v>
      </c>
      <c r="G1202" s="14">
        <v>2.46E-2</v>
      </c>
      <c r="H1202" s="7">
        <v>42</v>
      </c>
      <c r="I1202" s="14">
        <v>2.0912999999999999</v>
      </c>
      <c r="J1202" s="7">
        <v>1405</v>
      </c>
    </row>
    <row r="1203" spans="1:10" x14ac:dyDescent="0.2">
      <c r="A1203" s="9">
        <v>45754</v>
      </c>
      <c r="B1203" s="4" t="s">
        <v>225</v>
      </c>
      <c r="C1203" s="8">
        <v>45748</v>
      </c>
      <c r="D1203" s="4" t="s">
        <v>193</v>
      </c>
      <c r="E1203" s="14">
        <v>8.9901</v>
      </c>
      <c r="F1203" s="7">
        <v>6154</v>
      </c>
      <c r="G1203" s="14">
        <v>4.7899999999999998E-2</v>
      </c>
      <c r="H1203" s="7">
        <v>73</v>
      </c>
      <c r="I1203" s="14">
        <v>9.0380000000000003</v>
      </c>
      <c r="J1203" s="7">
        <v>6227</v>
      </c>
    </row>
    <row r="1204" spans="1:10" x14ac:dyDescent="0.2">
      <c r="A1204" s="9">
        <v>45755</v>
      </c>
      <c r="B1204" s="4" t="s">
        <v>223</v>
      </c>
      <c r="C1204" s="8">
        <v>45748</v>
      </c>
      <c r="D1204" s="4" t="s">
        <v>193</v>
      </c>
      <c r="E1204" s="14">
        <v>8.4717000000000002</v>
      </c>
      <c r="F1204" s="7">
        <v>5697</v>
      </c>
      <c r="G1204" s="14">
        <v>5.0700000000000002E-2</v>
      </c>
      <c r="H1204" s="7">
        <v>80</v>
      </c>
      <c r="I1204" s="14">
        <v>8.5223999999999993</v>
      </c>
      <c r="J1204" s="7">
        <v>5777</v>
      </c>
    </row>
    <row r="1205" spans="1:10" x14ac:dyDescent="0.2">
      <c r="A1205" s="9">
        <v>45756</v>
      </c>
      <c r="B1205" s="4" t="s">
        <v>221</v>
      </c>
      <c r="C1205" s="8">
        <v>45748</v>
      </c>
      <c r="D1205" s="4" t="s">
        <v>193</v>
      </c>
      <c r="E1205" s="14">
        <v>1.7605999999999999</v>
      </c>
      <c r="F1205" s="7">
        <v>1189</v>
      </c>
      <c r="G1205" s="14">
        <v>6.6000000000000003E-2</v>
      </c>
      <c r="H1205" s="7">
        <v>101</v>
      </c>
      <c r="I1205" s="14">
        <v>1.8266</v>
      </c>
      <c r="J1205" s="7">
        <v>1290</v>
      </c>
    </row>
    <row r="1206" spans="1:10" x14ac:dyDescent="0.2">
      <c r="A1206" s="9">
        <v>45758</v>
      </c>
      <c r="B1206" s="4" t="s">
        <v>222</v>
      </c>
      <c r="C1206" s="8">
        <v>45748</v>
      </c>
      <c r="D1206" s="4" t="s">
        <v>193</v>
      </c>
      <c r="E1206" s="14">
        <v>2.8454000000000002</v>
      </c>
      <c r="F1206" s="7">
        <v>1888</v>
      </c>
      <c r="G1206" s="14">
        <v>9.1999999999999998E-3</v>
      </c>
      <c r="H1206" s="7">
        <v>14</v>
      </c>
      <c r="I1206" s="14">
        <v>2.8546</v>
      </c>
      <c r="J1206" s="7">
        <v>1902</v>
      </c>
    </row>
    <row r="1207" spans="1:10" x14ac:dyDescent="0.2">
      <c r="A1207" s="9">
        <v>45762</v>
      </c>
      <c r="B1207" s="4" t="s">
        <v>223</v>
      </c>
      <c r="C1207" s="8">
        <v>45748</v>
      </c>
      <c r="D1207" s="4" t="s">
        <v>193</v>
      </c>
      <c r="E1207" s="14">
        <v>3.7776000000000001</v>
      </c>
      <c r="F1207" s="7">
        <v>2459</v>
      </c>
      <c r="G1207" s="14">
        <v>3.5000000000000001E-3</v>
      </c>
      <c r="H1207" s="7">
        <v>6</v>
      </c>
      <c r="I1207" s="14">
        <v>3.7810999999999999</v>
      </c>
      <c r="J1207" s="7">
        <v>2465</v>
      </c>
    </row>
    <row r="1208" spans="1:10" x14ac:dyDescent="0.2">
      <c r="A1208" s="9">
        <v>45763</v>
      </c>
      <c r="B1208" s="4" t="s">
        <v>221</v>
      </c>
      <c r="C1208" s="8">
        <v>45748</v>
      </c>
      <c r="D1208" s="4" t="s">
        <v>193</v>
      </c>
      <c r="E1208" s="14">
        <v>1.5276000000000001</v>
      </c>
      <c r="F1208" s="7">
        <v>992</v>
      </c>
      <c r="G1208" s="14">
        <v>6.1999999999999998E-3</v>
      </c>
      <c r="H1208" s="7">
        <v>10</v>
      </c>
      <c r="I1208" s="14">
        <v>1.5338000000000001</v>
      </c>
      <c r="J1208" s="7">
        <v>1002</v>
      </c>
    </row>
    <row r="1209" spans="1:10" x14ac:dyDescent="0.2">
      <c r="A1209" s="9">
        <v>45764</v>
      </c>
      <c r="B1209" s="4" t="s">
        <v>224</v>
      </c>
      <c r="C1209" s="8">
        <v>45748</v>
      </c>
      <c r="D1209" s="4" t="s">
        <v>193</v>
      </c>
      <c r="E1209" s="14">
        <v>3.1118000000000001</v>
      </c>
      <c r="F1209" s="7">
        <v>1990</v>
      </c>
      <c r="G1209" s="14">
        <v>5.8999999999999999E-3</v>
      </c>
      <c r="H1209" s="7">
        <v>9</v>
      </c>
      <c r="I1209" s="14">
        <v>3.1177000000000001</v>
      </c>
      <c r="J1209" s="7">
        <v>1999</v>
      </c>
    </row>
    <row r="1210" spans="1:10" x14ac:dyDescent="0.2">
      <c r="A1210" s="9">
        <v>45768</v>
      </c>
      <c r="B1210" s="4" t="s">
        <v>225</v>
      </c>
      <c r="C1210" s="8">
        <v>45748</v>
      </c>
      <c r="D1210" s="4" t="s">
        <v>193</v>
      </c>
      <c r="E1210" s="14">
        <v>2.9293999999999998</v>
      </c>
      <c r="F1210" s="7">
        <v>1832</v>
      </c>
      <c r="G1210" s="14">
        <v>9.5999999999999992E-3</v>
      </c>
      <c r="H1210" s="7">
        <v>16</v>
      </c>
      <c r="I1210" s="14">
        <v>2.9390000000000001</v>
      </c>
      <c r="J1210" s="7">
        <v>1848</v>
      </c>
    </row>
    <row r="1211" spans="1:10" x14ac:dyDescent="0.2">
      <c r="A1211" s="9">
        <v>45769</v>
      </c>
      <c r="B1211" s="4" t="s">
        <v>223</v>
      </c>
      <c r="C1211" s="8">
        <v>45748</v>
      </c>
      <c r="D1211" s="4" t="s">
        <v>193</v>
      </c>
      <c r="E1211" s="14">
        <v>3.1713</v>
      </c>
      <c r="F1211" s="7">
        <v>1987</v>
      </c>
      <c r="G1211" s="14">
        <v>2.3099999999999999E-2</v>
      </c>
      <c r="H1211" s="7">
        <v>37</v>
      </c>
      <c r="I1211" s="14">
        <v>3.1943999999999999</v>
      </c>
      <c r="J1211" s="7">
        <v>2024</v>
      </c>
    </row>
    <row r="1212" spans="1:10" x14ac:dyDescent="0.2">
      <c r="A1212" s="9">
        <v>45770</v>
      </c>
      <c r="B1212" s="4" t="s">
        <v>221</v>
      </c>
      <c r="C1212" s="8">
        <v>45748</v>
      </c>
      <c r="D1212" s="4" t="s">
        <v>193</v>
      </c>
      <c r="E1212" s="14">
        <v>1.9234</v>
      </c>
      <c r="F1212" s="7">
        <v>1195</v>
      </c>
      <c r="G1212" s="14">
        <v>2.69E-2</v>
      </c>
      <c r="H1212" s="7">
        <v>45</v>
      </c>
      <c r="I1212" s="14">
        <v>1.9502999999999999</v>
      </c>
      <c r="J1212" s="7">
        <v>1240</v>
      </c>
    </row>
    <row r="1213" spans="1:10" x14ac:dyDescent="0.2">
      <c r="A1213" s="9">
        <v>45771</v>
      </c>
      <c r="B1213" s="4" t="s">
        <v>224</v>
      </c>
      <c r="C1213" s="8">
        <v>45748</v>
      </c>
      <c r="D1213" s="4" t="s">
        <v>193</v>
      </c>
      <c r="E1213" s="14">
        <v>1.1211</v>
      </c>
      <c r="F1213" s="7">
        <v>692</v>
      </c>
      <c r="G1213" s="14">
        <v>2.6100000000000002E-2</v>
      </c>
      <c r="H1213" s="7">
        <v>40</v>
      </c>
      <c r="I1213" s="14">
        <v>1.1472</v>
      </c>
      <c r="J1213" s="7">
        <v>732</v>
      </c>
    </row>
    <row r="1214" spans="1:10" x14ac:dyDescent="0.2">
      <c r="A1214" s="9">
        <v>45772</v>
      </c>
      <c r="B1214" s="4" t="s">
        <v>222</v>
      </c>
      <c r="C1214" s="8">
        <v>45748</v>
      </c>
      <c r="D1214" s="4" t="s">
        <v>193</v>
      </c>
      <c r="E1214" s="14">
        <v>3.403</v>
      </c>
      <c r="F1214" s="7">
        <v>2143</v>
      </c>
      <c r="G1214" s="14">
        <v>1.7500000000000002E-2</v>
      </c>
      <c r="H1214" s="7">
        <v>29</v>
      </c>
      <c r="I1214" s="14">
        <v>3.4205000000000001</v>
      </c>
      <c r="J1214" s="7">
        <v>2172</v>
      </c>
    </row>
    <row r="1215" spans="1:10" x14ac:dyDescent="0.2">
      <c r="A1215" s="9">
        <v>45775</v>
      </c>
      <c r="B1215" s="4" t="s">
        <v>225</v>
      </c>
      <c r="C1215" s="8">
        <v>45748</v>
      </c>
      <c r="D1215" s="4" t="s">
        <v>193</v>
      </c>
      <c r="E1215" s="14">
        <v>3.1017999999999999</v>
      </c>
      <c r="F1215" s="7">
        <v>1925</v>
      </c>
      <c r="G1215" s="14">
        <v>7.2900000000000006E-2</v>
      </c>
      <c r="H1215" s="7">
        <v>107</v>
      </c>
      <c r="I1215" s="14">
        <v>3.1747000000000001</v>
      </c>
      <c r="J1215" s="7">
        <v>2032</v>
      </c>
    </row>
    <row r="1216" spans="1:10" x14ac:dyDescent="0.2">
      <c r="A1216" s="9">
        <v>45776</v>
      </c>
      <c r="B1216" s="4" t="s">
        <v>223</v>
      </c>
      <c r="C1216" s="8">
        <v>45748</v>
      </c>
      <c r="D1216" s="4" t="s">
        <v>193</v>
      </c>
      <c r="E1216" s="14">
        <v>5.2390999999999996</v>
      </c>
      <c r="F1216" s="7">
        <v>3244</v>
      </c>
      <c r="G1216" s="14">
        <v>9.1399999999999995E-2</v>
      </c>
      <c r="H1216" s="7">
        <v>123</v>
      </c>
      <c r="I1216" s="14">
        <v>5.3304999999999998</v>
      </c>
      <c r="J1216" s="7">
        <v>3367</v>
      </c>
    </row>
    <row r="1217" spans="1:10" x14ac:dyDescent="0.2">
      <c r="A1217" s="9">
        <v>45777</v>
      </c>
      <c r="B1217" s="4" t="s">
        <v>221</v>
      </c>
      <c r="C1217" s="8">
        <v>45748</v>
      </c>
      <c r="D1217" s="4" t="s">
        <v>193</v>
      </c>
      <c r="E1217" s="14">
        <v>1.2259</v>
      </c>
      <c r="F1217" s="7">
        <v>763</v>
      </c>
      <c r="G1217" s="14">
        <v>0.1326</v>
      </c>
      <c r="H1217" s="7">
        <v>185</v>
      </c>
      <c r="I1217" s="14">
        <v>1.3585</v>
      </c>
      <c r="J1217" s="7">
        <v>948</v>
      </c>
    </row>
    <row r="1218" spans="1:10" x14ac:dyDescent="0.2">
      <c r="A1218" s="9">
        <v>45779</v>
      </c>
      <c r="B1218" s="4" t="s">
        <v>222</v>
      </c>
      <c r="C1218" s="8">
        <v>45778</v>
      </c>
      <c r="D1218" s="4" t="s">
        <v>193</v>
      </c>
      <c r="E1218" s="14">
        <v>3.0276999999999998</v>
      </c>
      <c r="F1218" s="7">
        <v>1875</v>
      </c>
      <c r="G1218" s="14">
        <v>0.14630000000000001</v>
      </c>
      <c r="H1218" s="7">
        <v>204</v>
      </c>
      <c r="I1218" s="14">
        <v>3.1739999999999999</v>
      </c>
      <c r="J1218" s="7">
        <v>2079</v>
      </c>
    </row>
    <row r="1219" spans="1:10" x14ac:dyDescent="0.2">
      <c r="A1219" s="9">
        <v>45782</v>
      </c>
      <c r="B1219" s="4" t="s">
        <v>225</v>
      </c>
      <c r="C1219" s="8">
        <v>45778</v>
      </c>
      <c r="D1219" s="4" t="s">
        <v>193</v>
      </c>
      <c r="E1219" s="14">
        <v>2.0949</v>
      </c>
      <c r="F1219" s="7">
        <v>1295</v>
      </c>
      <c r="G1219" s="14">
        <v>0.15720000000000001</v>
      </c>
      <c r="H1219" s="7">
        <v>211</v>
      </c>
      <c r="I1219" s="14">
        <v>2.2521</v>
      </c>
      <c r="J1219" s="7">
        <v>1506</v>
      </c>
    </row>
    <row r="1220" spans="1:10" x14ac:dyDescent="0.2">
      <c r="A1220" s="9">
        <v>45783</v>
      </c>
      <c r="B1220" s="4" t="s">
        <v>223</v>
      </c>
      <c r="C1220" s="8">
        <v>45778</v>
      </c>
      <c r="D1220" s="4" t="s">
        <v>193</v>
      </c>
      <c r="E1220" s="14">
        <v>3.0912000000000002</v>
      </c>
      <c r="F1220" s="7">
        <v>1916</v>
      </c>
      <c r="G1220" s="14">
        <v>0.26640000000000003</v>
      </c>
      <c r="H1220" s="7">
        <v>403</v>
      </c>
      <c r="I1220" s="14">
        <v>3.3576000000000001</v>
      </c>
      <c r="J1220" s="7">
        <v>2319</v>
      </c>
    </row>
    <row r="1221" spans="1:10" x14ac:dyDescent="0.2">
      <c r="A1221" s="9">
        <v>45784</v>
      </c>
      <c r="B1221" s="4" t="s">
        <v>221</v>
      </c>
      <c r="C1221" s="8">
        <v>45778</v>
      </c>
      <c r="D1221" s="4" t="s">
        <v>193</v>
      </c>
      <c r="E1221" s="14">
        <v>1.5226</v>
      </c>
      <c r="F1221" s="7">
        <v>944</v>
      </c>
      <c r="G1221" s="14">
        <v>0.183</v>
      </c>
      <c r="H1221" s="7">
        <v>292</v>
      </c>
      <c r="I1221" s="14">
        <v>1.7056</v>
      </c>
      <c r="J1221" s="7">
        <v>1236</v>
      </c>
    </row>
    <row r="1222" spans="1:10" x14ac:dyDescent="0.2">
      <c r="A1222" s="9">
        <v>45785</v>
      </c>
      <c r="B1222" s="4" t="s">
        <v>224</v>
      </c>
      <c r="C1222" s="8">
        <v>45778</v>
      </c>
      <c r="D1222" s="4" t="s">
        <v>193</v>
      </c>
      <c r="E1222" s="14">
        <v>2.133</v>
      </c>
      <c r="F1222" s="7">
        <v>1325</v>
      </c>
      <c r="G1222" s="14">
        <v>0.18340000000000001</v>
      </c>
      <c r="H1222" s="7">
        <v>344</v>
      </c>
      <c r="I1222" s="14">
        <v>2.3163999999999998</v>
      </c>
      <c r="J1222" s="7">
        <v>1669</v>
      </c>
    </row>
    <row r="1223" spans="1:10" x14ac:dyDescent="0.2">
      <c r="A1223" s="9">
        <v>45786</v>
      </c>
      <c r="B1223" s="4" t="s">
        <v>222</v>
      </c>
      <c r="C1223" s="8">
        <v>45778</v>
      </c>
      <c r="D1223" s="4" t="s">
        <v>193</v>
      </c>
      <c r="E1223" s="14">
        <v>3.7959000000000001</v>
      </c>
      <c r="F1223" s="7">
        <v>2374</v>
      </c>
      <c r="G1223" s="14">
        <v>0.23080000000000001</v>
      </c>
      <c r="H1223" s="7">
        <v>412</v>
      </c>
      <c r="I1223" s="14">
        <v>4.0266999999999999</v>
      </c>
      <c r="J1223" s="7">
        <v>2786</v>
      </c>
    </row>
    <row r="1224" spans="1:10" x14ac:dyDescent="0.2">
      <c r="A1224" s="9">
        <v>45789</v>
      </c>
      <c r="B1224" s="4" t="s">
        <v>225</v>
      </c>
      <c r="C1224" s="8">
        <v>45778</v>
      </c>
      <c r="D1224" s="4" t="s">
        <v>193</v>
      </c>
      <c r="E1224" s="14">
        <v>5.9036999999999997</v>
      </c>
      <c r="F1224" s="7">
        <v>3611</v>
      </c>
      <c r="G1224" s="14">
        <v>0.13500000000000001</v>
      </c>
      <c r="H1224" s="7">
        <v>240</v>
      </c>
      <c r="I1224" s="14">
        <v>6.0387000000000004</v>
      </c>
      <c r="J1224" s="7">
        <v>3851</v>
      </c>
    </row>
    <row r="1225" spans="1:10" x14ac:dyDescent="0.2">
      <c r="A1225" s="9">
        <v>45790</v>
      </c>
      <c r="B1225" s="4" t="s">
        <v>223</v>
      </c>
      <c r="C1225" s="8">
        <v>45778</v>
      </c>
      <c r="D1225" s="4" t="s">
        <v>193</v>
      </c>
      <c r="E1225" s="14">
        <v>7.0582000000000003</v>
      </c>
      <c r="F1225" s="7">
        <v>4324</v>
      </c>
      <c r="G1225" s="14">
        <v>0.13009999999999999</v>
      </c>
      <c r="H1225" s="7">
        <v>214</v>
      </c>
      <c r="I1225" s="14">
        <v>7.1882999999999999</v>
      </c>
      <c r="J1225" s="7">
        <v>4538</v>
      </c>
    </row>
    <row r="1226" spans="1:10" x14ac:dyDescent="0.2">
      <c r="A1226" s="9">
        <v>45791</v>
      </c>
      <c r="B1226" s="4" t="s">
        <v>221</v>
      </c>
      <c r="C1226" s="8">
        <v>45778</v>
      </c>
      <c r="D1226" s="4" t="s">
        <v>193</v>
      </c>
      <c r="E1226" s="14">
        <v>2.7698</v>
      </c>
      <c r="F1226" s="7">
        <v>1699</v>
      </c>
      <c r="G1226" s="14">
        <v>0.1368</v>
      </c>
      <c r="H1226" s="7">
        <v>237</v>
      </c>
      <c r="I1226" s="14">
        <v>2.9066000000000001</v>
      </c>
      <c r="J1226" s="7">
        <v>1936</v>
      </c>
    </row>
    <row r="1227" spans="1:10" x14ac:dyDescent="0.2">
      <c r="A1227" s="9">
        <v>45792</v>
      </c>
      <c r="B1227" s="4" t="s">
        <v>224</v>
      </c>
      <c r="C1227" s="8">
        <v>45778</v>
      </c>
      <c r="D1227" s="4" t="s">
        <v>193</v>
      </c>
      <c r="E1227" s="14">
        <v>3.8302999999999998</v>
      </c>
      <c r="F1227" s="7">
        <v>2336</v>
      </c>
      <c r="G1227" s="14">
        <v>0.21879999999999999</v>
      </c>
      <c r="H1227" s="7">
        <v>339</v>
      </c>
      <c r="I1227" s="14">
        <v>4.0491000000000001</v>
      </c>
      <c r="J1227" s="7">
        <v>2675</v>
      </c>
    </row>
    <row r="1228" spans="1:10" x14ac:dyDescent="0.2">
      <c r="A1228" s="9">
        <v>45793</v>
      </c>
      <c r="B1228" s="4" t="s">
        <v>222</v>
      </c>
      <c r="C1228" s="8">
        <v>45778</v>
      </c>
      <c r="D1228" s="4" t="s">
        <v>193</v>
      </c>
      <c r="E1228" s="14">
        <v>2.5762</v>
      </c>
      <c r="F1228" s="7">
        <v>1563</v>
      </c>
      <c r="G1228" s="14">
        <v>0.1055</v>
      </c>
      <c r="H1228" s="7">
        <v>165</v>
      </c>
      <c r="I1228" s="14">
        <v>2.6817000000000002</v>
      </c>
      <c r="J1228" s="7">
        <v>1728</v>
      </c>
    </row>
    <row r="1229" spans="1:10" x14ac:dyDescent="0.2">
      <c r="A1229" s="9">
        <v>45796</v>
      </c>
      <c r="B1229" s="4" t="s">
        <v>225</v>
      </c>
      <c r="C1229" s="8">
        <v>45778</v>
      </c>
      <c r="D1229" s="4" t="s">
        <v>193</v>
      </c>
      <c r="E1229" s="14">
        <v>2.0375000000000001</v>
      </c>
      <c r="F1229" s="7">
        <v>1238</v>
      </c>
      <c r="G1229" s="14">
        <v>0.115</v>
      </c>
      <c r="H1229" s="7">
        <v>167</v>
      </c>
      <c r="I1229" s="14">
        <v>2.1524999999999999</v>
      </c>
      <c r="J1229" s="7">
        <v>1405</v>
      </c>
    </row>
    <row r="1230" spans="1:10" x14ac:dyDescent="0.2">
      <c r="A1230" s="9">
        <v>45797</v>
      </c>
      <c r="B1230" s="4" t="s">
        <v>223</v>
      </c>
      <c r="C1230" s="8">
        <v>45778</v>
      </c>
      <c r="D1230" s="4" t="s">
        <v>193</v>
      </c>
      <c r="E1230" s="14">
        <v>5.0221999999999998</v>
      </c>
      <c r="F1230" s="7">
        <v>3062</v>
      </c>
      <c r="G1230" s="14">
        <v>0.17299999999999999</v>
      </c>
      <c r="H1230" s="7">
        <v>257</v>
      </c>
      <c r="I1230" s="14">
        <v>5.1951999999999998</v>
      </c>
      <c r="J1230" s="7">
        <v>3319</v>
      </c>
    </row>
    <row r="1231" spans="1:10" x14ac:dyDescent="0.2">
      <c r="A1231" s="9">
        <v>45798</v>
      </c>
      <c r="B1231" s="4" t="s">
        <v>221</v>
      </c>
      <c r="C1231" s="8">
        <v>45778</v>
      </c>
      <c r="D1231" s="4" t="s">
        <v>193</v>
      </c>
      <c r="E1231" s="14">
        <v>2.7541000000000002</v>
      </c>
      <c r="F1231" s="7">
        <v>1682</v>
      </c>
      <c r="G1231" s="14">
        <v>0.17180000000000001</v>
      </c>
      <c r="H1231" s="7">
        <v>273</v>
      </c>
      <c r="I1231" s="14">
        <v>2.9258999999999999</v>
      </c>
      <c r="J1231" s="7">
        <v>1955</v>
      </c>
    </row>
    <row r="1232" spans="1:10" x14ac:dyDescent="0.2">
      <c r="A1232" s="9">
        <v>45799</v>
      </c>
      <c r="B1232" s="4" t="s">
        <v>224</v>
      </c>
      <c r="C1232" s="8">
        <v>45778</v>
      </c>
      <c r="D1232" s="4" t="s">
        <v>193</v>
      </c>
      <c r="E1232" s="14">
        <v>3.3289</v>
      </c>
      <c r="F1232" s="7">
        <v>2052</v>
      </c>
      <c r="G1232" s="14">
        <v>0.12859999999999999</v>
      </c>
      <c r="H1232" s="7">
        <v>199</v>
      </c>
      <c r="I1232" s="14">
        <v>3.4575</v>
      </c>
      <c r="J1232" s="7">
        <v>2251</v>
      </c>
    </row>
    <row r="1233" spans="1:10" x14ac:dyDescent="0.2">
      <c r="A1233" s="9">
        <v>45800</v>
      </c>
      <c r="B1233" s="4" t="s">
        <v>222</v>
      </c>
      <c r="C1233" s="8">
        <v>45778</v>
      </c>
      <c r="D1233" s="4" t="s">
        <v>193</v>
      </c>
      <c r="E1233" s="14">
        <v>3.4129999999999998</v>
      </c>
      <c r="F1233" s="7">
        <v>2057</v>
      </c>
      <c r="G1233" s="14">
        <v>0.13389999999999999</v>
      </c>
      <c r="H1233" s="7">
        <v>205</v>
      </c>
      <c r="I1233" s="14">
        <v>3.5468999999999999</v>
      </c>
      <c r="J1233" s="7">
        <v>2262</v>
      </c>
    </row>
    <row r="1234" spans="1:10" x14ac:dyDescent="0.2">
      <c r="A1234" s="9">
        <v>45803</v>
      </c>
      <c r="B1234" s="4" t="s">
        <v>225</v>
      </c>
      <c r="C1234" s="8">
        <v>45778</v>
      </c>
      <c r="D1234" s="4" t="s">
        <v>193</v>
      </c>
      <c r="E1234" s="14">
        <v>3.3940000000000001</v>
      </c>
      <c r="F1234" s="7">
        <v>2056</v>
      </c>
      <c r="G1234" s="14">
        <v>9.5500000000000002E-2</v>
      </c>
      <c r="H1234" s="7">
        <v>141</v>
      </c>
      <c r="I1234" s="14">
        <v>3.4895</v>
      </c>
      <c r="J1234" s="7">
        <v>2197</v>
      </c>
    </row>
    <row r="1235" spans="1:10" x14ac:dyDescent="0.2">
      <c r="A1235" s="9">
        <v>45804</v>
      </c>
      <c r="B1235" s="4" t="s">
        <v>223</v>
      </c>
      <c r="C1235" s="8">
        <v>45778</v>
      </c>
      <c r="D1235" s="4" t="s">
        <v>193</v>
      </c>
      <c r="E1235" s="14">
        <v>12.4642</v>
      </c>
      <c r="F1235" s="7">
        <v>7629</v>
      </c>
      <c r="G1235" s="14">
        <v>7.5700000000000003E-2</v>
      </c>
      <c r="H1235" s="7">
        <v>111</v>
      </c>
      <c r="I1235" s="14">
        <v>12.539899999999999</v>
      </c>
      <c r="J1235" s="7">
        <v>7740</v>
      </c>
    </row>
    <row r="1236" spans="1:10" x14ac:dyDescent="0.2">
      <c r="A1236" s="9">
        <v>45805</v>
      </c>
      <c r="B1236" s="4" t="s">
        <v>221</v>
      </c>
      <c r="C1236" s="8">
        <v>45778</v>
      </c>
      <c r="D1236" s="4" t="s">
        <v>193</v>
      </c>
      <c r="E1236" s="14">
        <v>2.0141</v>
      </c>
      <c r="F1236" s="7">
        <v>1235</v>
      </c>
      <c r="G1236" s="14">
        <v>3.7600000000000001E-2</v>
      </c>
      <c r="H1236" s="7">
        <v>55</v>
      </c>
      <c r="I1236" s="14">
        <v>2.0516999999999999</v>
      </c>
      <c r="J1236" s="7">
        <v>1290</v>
      </c>
    </row>
    <row r="1237" spans="1:10" x14ac:dyDescent="0.2">
      <c r="A1237" s="9">
        <v>45806</v>
      </c>
      <c r="B1237" s="4" t="s">
        <v>224</v>
      </c>
      <c r="C1237" s="8">
        <v>45778</v>
      </c>
      <c r="D1237" s="4" t="s">
        <v>193</v>
      </c>
      <c r="E1237" s="14">
        <v>3.0076000000000001</v>
      </c>
      <c r="F1237" s="7">
        <v>1843</v>
      </c>
      <c r="G1237" s="14">
        <v>4.5400000000000003E-2</v>
      </c>
      <c r="H1237" s="7">
        <v>69</v>
      </c>
      <c r="I1237" s="14">
        <v>3.0529999999999999</v>
      </c>
      <c r="J1237" s="7">
        <v>1912</v>
      </c>
    </row>
    <row r="1238" spans="1:10" x14ac:dyDescent="0.2">
      <c r="A1238" s="9">
        <v>45807</v>
      </c>
      <c r="B1238" s="4" t="s">
        <v>222</v>
      </c>
      <c r="C1238" s="8">
        <v>45778</v>
      </c>
      <c r="D1238" s="4" t="s">
        <v>193</v>
      </c>
      <c r="E1238" s="14">
        <v>1.9567000000000001</v>
      </c>
      <c r="F1238" s="7">
        <v>1199</v>
      </c>
      <c r="G1238" s="14">
        <v>5.0099999999999999E-2</v>
      </c>
      <c r="H1238" s="7">
        <v>78</v>
      </c>
      <c r="I1238" s="14">
        <v>2.0068000000000001</v>
      </c>
      <c r="J1238" s="7">
        <v>1277</v>
      </c>
    </row>
    <row r="1239" spans="1:10" x14ac:dyDescent="0.2">
      <c r="A1239" s="9">
        <v>45810</v>
      </c>
      <c r="B1239" s="4" t="s">
        <v>225</v>
      </c>
      <c r="C1239" s="8">
        <v>45809</v>
      </c>
      <c r="D1239" s="4" t="s">
        <v>193</v>
      </c>
      <c r="E1239" s="14">
        <v>6.8817000000000004</v>
      </c>
      <c r="F1239" s="7">
        <v>4243</v>
      </c>
      <c r="G1239" s="14">
        <v>4.1700000000000001E-2</v>
      </c>
      <c r="H1239" s="7">
        <v>63</v>
      </c>
      <c r="I1239" s="14">
        <v>6.9234</v>
      </c>
      <c r="J1239" s="7">
        <v>4306</v>
      </c>
    </row>
    <row r="1240" spans="1:10" x14ac:dyDescent="0.2">
      <c r="A1240" s="9">
        <v>45811</v>
      </c>
      <c r="B1240" s="4" t="s">
        <v>223</v>
      </c>
      <c r="C1240" s="8">
        <v>45809</v>
      </c>
      <c r="D1240" s="4" t="s">
        <v>193</v>
      </c>
      <c r="E1240" s="14">
        <v>15.154999999999999</v>
      </c>
      <c r="F1240" s="7">
        <v>9350</v>
      </c>
      <c r="G1240" s="14">
        <v>5.74E-2</v>
      </c>
      <c r="H1240" s="7">
        <v>81</v>
      </c>
      <c r="I1240" s="14">
        <v>15.212400000000001</v>
      </c>
      <c r="J1240" s="7">
        <v>9431</v>
      </c>
    </row>
    <row r="1241" spans="1:10" x14ac:dyDescent="0.2">
      <c r="A1241" s="9">
        <v>45812</v>
      </c>
      <c r="B1241" s="4" t="s">
        <v>221</v>
      </c>
      <c r="C1241" s="8">
        <v>45809</v>
      </c>
      <c r="D1241" s="4" t="s">
        <v>193</v>
      </c>
      <c r="E1241" s="14">
        <v>4.0686</v>
      </c>
      <c r="F1241" s="7">
        <v>2510</v>
      </c>
      <c r="G1241" s="14">
        <v>5.8799999999999998E-2</v>
      </c>
      <c r="H1241" s="7">
        <v>92</v>
      </c>
      <c r="I1241" s="14">
        <v>4.1273999999999997</v>
      </c>
      <c r="J1241" s="7">
        <v>2602</v>
      </c>
    </row>
    <row r="1242" spans="1:10" x14ac:dyDescent="0.2">
      <c r="A1242" s="9">
        <v>45813</v>
      </c>
      <c r="B1242" s="4" t="s">
        <v>224</v>
      </c>
      <c r="C1242" s="8">
        <v>45809</v>
      </c>
      <c r="D1242" s="4" t="s">
        <v>193</v>
      </c>
      <c r="E1242" s="14">
        <v>4.9566999999999997</v>
      </c>
      <c r="F1242" s="7">
        <v>3040</v>
      </c>
      <c r="G1242" s="14">
        <v>6.4299999999999996E-2</v>
      </c>
      <c r="H1242" s="7">
        <v>102</v>
      </c>
      <c r="I1242" s="14">
        <v>5.0209999999999999</v>
      </c>
      <c r="J1242" s="7">
        <v>3142</v>
      </c>
    </row>
    <row r="1243" spans="1:10" x14ac:dyDescent="0.2">
      <c r="A1243" s="9">
        <v>45814</v>
      </c>
      <c r="B1243" s="4" t="s">
        <v>222</v>
      </c>
      <c r="C1243" s="8">
        <v>45809</v>
      </c>
      <c r="D1243" s="4" t="s">
        <v>193</v>
      </c>
      <c r="E1243" s="14">
        <v>4.3185000000000002</v>
      </c>
      <c r="F1243" s="7">
        <v>2633</v>
      </c>
      <c r="G1243" s="14">
        <v>0.1512</v>
      </c>
      <c r="H1243" s="7">
        <v>236</v>
      </c>
      <c r="I1243" s="14">
        <v>4.4696999999999996</v>
      </c>
      <c r="J1243" s="7">
        <v>2869</v>
      </c>
    </row>
    <row r="1244" spans="1:10" x14ac:dyDescent="0.2">
      <c r="A1244" s="9">
        <v>45817</v>
      </c>
      <c r="B1244" s="4" t="s">
        <v>225</v>
      </c>
      <c r="C1244" s="8">
        <v>45809</v>
      </c>
      <c r="D1244" s="4" t="s">
        <v>193</v>
      </c>
      <c r="E1244" s="14">
        <v>1.8229</v>
      </c>
      <c r="F1244" s="7">
        <v>1103</v>
      </c>
      <c r="G1244" s="14">
        <v>6.3500000000000001E-2</v>
      </c>
      <c r="H1244" s="7">
        <v>96</v>
      </c>
      <c r="I1244" s="14">
        <v>1.8864000000000001</v>
      </c>
      <c r="J1244" s="7">
        <v>1199</v>
      </c>
    </row>
    <row r="1245" spans="1:10" x14ac:dyDescent="0.2">
      <c r="A1245" s="9">
        <v>45818</v>
      </c>
      <c r="B1245" s="4" t="s">
        <v>223</v>
      </c>
      <c r="C1245" s="8">
        <v>45809</v>
      </c>
      <c r="D1245" s="4" t="s">
        <v>193</v>
      </c>
      <c r="E1245" s="14">
        <v>4.2073</v>
      </c>
      <c r="F1245" s="7">
        <v>2550</v>
      </c>
      <c r="G1245" s="14">
        <v>5.9200000000000003E-2</v>
      </c>
      <c r="H1245" s="7">
        <v>86</v>
      </c>
      <c r="I1245" s="14">
        <v>4.2664999999999997</v>
      </c>
      <c r="J1245" s="7">
        <v>2636</v>
      </c>
    </row>
    <row r="1246" spans="1:10" x14ac:dyDescent="0.2">
      <c r="A1246" s="9">
        <v>45819</v>
      </c>
      <c r="B1246" s="4" t="s">
        <v>221</v>
      </c>
      <c r="C1246" s="8">
        <v>45809</v>
      </c>
      <c r="D1246" s="4" t="s">
        <v>193</v>
      </c>
      <c r="E1246" s="14">
        <v>1.9044000000000001</v>
      </c>
      <c r="F1246" s="7">
        <v>1151</v>
      </c>
      <c r="G1246" s="14">
        <v>5.45E-2</v>
      </c>
      <c r="H1246" s="7">
        <v>83</v>
      </c>
      <c r="I1246" s="14">
        <v>1.9589000000000001</v>
      </c>
      <c r="J1246" s="7">
        <v>1234</v>
      </c>
    </row>
    <row r="1247" spans="1:10" x14ac:dyDescent="0.2">
      <c r="A1247" s="9">
        <v>45820</v>
      </c>
      <c r="B1247" s="4" t="s">
        <v>224</v>
      </c>
      <c r="C1247" s="8">
        <v>45809</v>
      </c>
      <c r="D1247" s="4" t="s">
        <v>193</v>
      </c>
      <c r="E1247" s="14">
        <v>3.4005000000000001</v>
      </c>
      <c r="F1247" s="7">
        <v>2071</v>
      </c>
      <c r="G1247" s="14">
        <v>6.8099999999999994E-2</v>
      </c>
      <c r="H1247" s="7">
        <v>93</v>
      </c>
      <c r="I1247" s="14">
        <v>3.4685999999999999</v>
      </c>
      <c r="J1247" s="7">
        <v>2164</v>
      </c>
    </row>
    <row r="1248" spans="1:10" x14ac:dyDescent="0.2">
      <c r="A1248" s="9">
        <v>45821</v>
      </c>
      <c r="B1248" s="4" t="s">
        <v>222</v>
      </c>
      <c r="C1248" s="8">
        <v>45809</v>
      </c>
      <c r="D1248" s="4" t="s">
        <v>193</v>
      </c>
      <c r="E1248" s="14">
        <v>3.0909</v>
      </c>
      <c r="F1248" s="7">
        <v>1908</v>
      </c>
      <c r="G1248" s="14">
        <v>1.9E-3</v>
      </c>
      <c r="H1248" s="7">
        <v>3</v>
      </c>
      <c r="I1248" s="14">
        <v>3.0928</v>
      </c>
      <c r="J1248" s="7">
        <v>1911</v>
      </c>
    </row>
    <row r="1249" spans="1:10" x14ac:dyDescent="0.2">
      <c r="A1249" s="9">
        <v>45824</v>
      </c>
      <c r="B1249" s="4" t="s">
        <v>225</v>
      </c>
      <c r="C1249" s="8">
        <v>45809</v>
      </c>
      <c r="D1249" s="4" t="s">
        <v>193</v>
      </c>
      <c r="E1249" s="14">
        <v>3.8462000000000001</v>
      </c>
      <c r="F1249" s="7">
        <v>2355</v>
      </c>
      <c r="G1249" s="14">
        <v>7.7100000000000002E-2</v>
      </c>
      <c r="H1249" s="7">
        <v>125</v>
      </c>
      <c r="I1249" s="14">
        <v>3.9232999999999998</v>
      </c>
      <c r="J1249" s="7">
        <v>2480</v>
      </c>
    </row>
    <row r="1250" spans="1:10" x14ac:dyDescent="0.2">
      <c r="A1250" s="9">
        <v>45825</v>
      </c>
      <c r="B1250" s="4" t="s">
        <v>223</v>
      </c>
      <c r="C1250" s="8">
        <v>45809</v>
      </c>
      <c r="D1250" s="4" t="s">
        <v>193</v>
      </c>
      <c r="E1250" s="14">
        <v>5.0331999999999999</v>
      </c>
      <c r="F1250" s="7">
        <v>3083</v>
      </c>
      <c r="G1250" s="14">
        <v>5.74E-2</v>
      </c>
      <c r="H1250" s="7">
        <v>92</v>
      </c>
      <c r="I1250" s="14">
        <v>5.0906000000000002</v>
      </c>
      <c r="J1250" s="7">
        <v>3175</v>
      </c>
    </row>
    <row r="1251" spans="1:10" x14ac:dyDescent="0.2">
      <c r="A1251" s="9">
        <v>45826</v>
      </c>
      <c r="B1251" s="4" t="s">
        <v>221</v>
      </c>
      <c r="C1251" s="8">
        <v>45809</v>
      </c>
      <c r="D1251" s="4" t="s">
        <v>193</v>
      </c>
      <c r="E1251" s="14">
        <v>2.266</v>
      </c>
      <c r="F1251" s="7">
        <v>1387</v>
      </c>
      <c r="G1251" s="14">
        <v>5.16E-2</v>
      </c>
      <c r="H1251" s="7">
        <v>81</v>
      </c>
      <c r="I1251" s="14">
        <v>2.3176000000000001</v>
      </c>
      <c r="J1251" s="7">
        <v>1468</v>
      </c>
    </row>
    <row r="1252" spans="1:10" x14ac:dyDescent="0.2">
      <c r="A1252" s="9">
        <v>45827</v>
      </c>
      <c r="B1252" s="4" t="s">
        <v>224</v>
      </c>
      <c r="C1252" s="8">
        <v>45809</v>
      </c>
      <c r="D1252" s="4" t="s">
        <v>193</v>
      </c>
      <c r="E1252" s="14">
        <v>1.6811</v>
      </c>
      <c r="F1252" s="7">
        <v>1031</v>
      </c>
      <c r="G1252" s="14">
        <v>3.7600000000000001E-2</v>
      </c>
      <c r="H1252" s="7">
        <v>59</v>
      </c>
      <c r="I1252" s="14">
        <v>1.7186999999999999</v>
      </c>
      <c r="J1252" s="7">
        <v>1090</v>
      </c>
    </row>
    <row r="1253" spans="1:10" x14ac:dyDescent="0.2">
      <c r="A1253" s="9">
        <v>45828</v>
      </c>
      <c r="B1253" s="4" t="s">
        <v>222</v>
      </c>
      <c r="C1253" s="8">
        <v>45809</v>
      </c>
      <c r="D1253" s="4" t="s">
        <v>193</v>
      </c>
      <c r="E1253" s="14">
        <v>4.1860999999999997</v>
      </c>
      <c r="F1253" s="7">
        <v>2537</v>
      </c>
      <c r="G1253" s="14">
        <v>4.48E-2</v>
      </c>
      <c r="H1253" s="7">
        <v>66</v>
      </c>
      <c r="I1253" s="14">
        <v>4.2309000000000001</v>
      </c>
      <c r="J1253" s="7">
        <v>2603</v>
      </c>
    </row>
    <row r="1254" spans="1:10" x14ac:dyDescent="0.2">
      <c r="A1254" s="9">
        <v>45831</v>
      </c>
      <c r="B1254" s="4" t="s">
        <v>225</v>
      </c>
      <c r="C1254" s="8">
        <v>45809</v>
      </c>
      <c r="D1254" s="4" t="s">
        <v>193</v>
      </c>
      <c r="E1254" s="14">
        <v>3.9167000000000001</v>
      </c>
      <c r="F1254" s="7">
        <v>2382</v>
      </c>
      <c r="G1254" s="14">
        <v>2.9600000000000001E-2</v>
      </c>
      <c r="H1254" s="7">
        <v>48</v>
      </c>
      <c r="I1254" s="14">
        <v>3.9462999999999999</v>
      </c>
      <c r="J1254" s="7">
        <v>2430</v>
      </c>
    </row>
    <row r="1255" spans="1:10" x14ac:dyDescent="0.2">
      <c r="A1255" s="9">
        <v>45832</v>
      </c>
      <c r="B1255" s="4" t="s">
        <v>223</v>
      </c>
      <c r="C1255" s="8">
        <v>45809</v>
      </c>
      <c r="D1255" s="4" t="s">
        <v>193</v>
      </c>
      <c r="E1255" s="14">
        <v>10.3062</v>
      </c>
      <c r="F1255" s="7">
        <v>6242</v>
      </c>
      <c r="G1255" s="14">
        <v>4.7500000000000001E-2</v>
      </c>
      <c r="H1255" s="7">
        <v>68</v>
      </c>
      <c r="I1255" s="14">
        <v>10.3537</v>
      </c>
      <c r="J1255" s="7">
        <v>6310</v>
      </c>
    </row>
    <row r="1256" spans="1:10" x14ac:dyDescent="0.2">
      <c r="A1256" s="9">
        <v>45833</v>
      </c>
      <c r="B1256" s="4" t="s">
        <v>221</v>
      </c>
      <c r="C1256" s="8">
        <v>45809</v>
      </c>
      <c r="D1256" s="4" t="s">
        <v>193</v>
      </c>
      <c r="E1256" s="14">
        <v>2.1027</v>
      </c>
      <c r="F1256" s="7">
        <v>1271</v>
      </c>
      <c r="G1256" s="14">
        <v>3.6499999999999998E-2</v>
      </c>
      <c r="H1256" s="7">
        <v>54</v>
      </c>
      <c r="I1256" s="14">
        <v>2.1392000000000002</v>
      </c>
      <c r="J1256" s="7">
        <v>1325</v>
      </c>
    </row>
    <row r="1257" spans="1:10" x14ac:dyDescent="0.2">
      <c r="A1257" s="9">
        <v>45834</v>
      </c>
      <c r="B1257" s="4" t="s">
        <v>224</v>
      </c>
      <c r="C1257" s="8">
        <v>45809</v>
      </c>
      <c r="D1257" s="4" t="s">
        <v>193</v>
      </c>
      <c r="E1257" s="14">
        <v>3.7334999999999998</v>
      </c>
      <c r="F1257" s="7">
        <v>2238</v>
      </c>
      <c r="G1257" s="14">
        <v>4.5999999999999999E-2</v>
      </c>
      <c r="H1257" s="7">
        <v>65</v>
      </c>
      <c r="I1257" s="14">
        <v>3.7795000000000001</v>
      </c>
      <c r="J1257" s="7">
        <v>2303</v>
      </c>
    </row>
    <row r="1258" spans="1:10" x14ac:dyDescent="0.2">
      <c r="A1258" s="9">
        <v>45835</v>
      </c>
      <c r="B1258" s="4" t="s">
        <v>222</v>
      </c>
      <c r="C1258" s="8">
        <v>45809</v>
      </c>
      <c r="D1258" s="4" t="s">
        <v>193</v>
      </c>
      <c r="E1258" s="14">
        <v>3.1135000000000002</v>
      </c>
      <c r="F1258" s="7">
        <v>1854</v>
      </c>
      <c r="G1258" s="14">
        <v>1.4200000000000001E-2</v>
      </c>
      <c r="H1258" s="7">
        <v>23</v>
      </c>
      <c r="I1258" s="14">
        <v>3.1276999999999999</v>
      </c>
      <c r="J1258" s="7">
        <v>1877</v>
      </c>
    </row>
    <row r="1259" spans="1:10" x14ac:dyDescent="0.2">
      <c r="A1259" s="9">
        <v>45838</v>
      </c>
      <c r="B1259" s="4" t="s">
        <v>225</v>
      </c>
      <c r="C1259" s="8">
        <v>45809</v>
      </c>
      <c r="D1259" s="4" t="s">
        <v>193</v>
      </c>
      <c r="E1259" s="14">
        <v>4.0156999999999998</v>
      </c>
      <c r="F1259" s="7">
        <v>2393</v>
      </c>
      <c r="G1259" s="14">
        <v>3.6299999999999999E-2</v>
      </c>
      <c r="H1259" s="7">
        <v>51</v>
      </c>
      <c r="I1259" s="14">
        <v>4.0519999999999996</v>
      </c>
      <c r="J1259" s="7">
        <v>2444</v>
      </c>
    </row>
    <row r="1260" spans="1:10" x14ac:dyDescent="0.2">
      <c r="A1260" s="9">
        <v>45839</v>
      </c>
      <c r="B1260" s="4" t="s">
        <v>223</v>
      </c>
      <c r="C1260" s="8">
        <v>45839</v>
      </c>
      <c r="D1260" s="4" t="s">
        <v>194</v>
      </c>
      <c r="E1260" s="14">
        <v>4.1595000000000004</v>
      </c>
      <c r="F1260" s="7">
        <v>2483</v>
      </c>
      <c r="G1260" s="14">
        <v>4.8099999999999997E-2</v>
      </c>
      <c r="H1260" s="7">
        <v>68</v>
      </c>
      <c r="I1260" s="14">
        <v>4.2076000000000002</v>
      </c>
      <c r="J1260" s="7">
        <v>2551</v>
      </c>
    </row>
    <row r="1261" spans="1:10" x14ac:dyDescent="0.2">
      <c r="A1261" s="9">
        <v>45840</v>
      </c>
      <c r="B1261" s="4" t="s">
        <v>221</v>
      </c>
      <c r="C1261" s="8">
        <v>45839</v>
      </c>
      <c r="D1261" s="4" t="s">
        <v>194</v>
      </c>
      <c r="E1261" s="14">
        <v>2.0943000000000001</v>
      </c>
      <c r="F1261" s="7">
        <v>1252</v>
      </c>
      <c r="G1261" s="14">
        <v>3.1199999999999999E-2</v>
      </c>
      <c r="H1261" s="7">
        <v>48</v>
      </c>
      <c r="I1261" s="14">
        <v>2.1255000000000002</v>
      </c>
      <c r="J1261" s="7">
        <v>1300</v>
      </c>
    </row>
    <row r="1262" spans="1:10" x14ac:dyDescent="0.2">
      <c r="A1262" s="9">
        <v>45841</v>
      </c>
      <c r="B1262" s="4" t="s">
        <v>224</v>
      </c>
      <c r="C1262" s="8">
        <v>45839</v>
      </c>
      <c r="D1262" s="4" t="s">
        <v>194</v>
      </c>
      <c r="E1262" s="14">
        <v>2.5301999999999998</v>
      </c>
      <c r="F1262" s="7">
        <v>1512</v>
      </c>
      <c r="G1262" s="14">
        <v>3.1E-2</v>
      </c>
      <c r="H1262" s="7">
        <v>43</v>
      </c>
      <c r="I1262" s="14">
        <v>2.5611999999999999</v>
      </c>
      <c r="J1262" s="7">
        <v>1555</v>
      </c>
    </row>
    <row r="1263" spans="1:10" x14ac:dyDescent="0.2">
      <c r="A1263" s="9">
        <v>45842</v>
      </c>
      <c r="B1263" s="4" t="s">
        <v>222</v>
      </c>
      <c r="C1263" s="8">
        <v>45839</v>
      </c>
      <c r="D1263" s="4" t="s">
        <v>194</v>
      </c>
      <c r="E1263" s="14">
        <v>1.7759</v>
      </c>
      <c r="F1263" s="7">
        <v>1066</v>
      </c>
      <c r="G1263" s="14">
        <v>2.6200000000000001E-2</v>
      </c>
      <c r="H1263" s="7">
        <v>40</v>
      </c>
      <c r="I1263" s="14">
        <v>1.8021</v>
      </c>
      <c r="J1263" s="7">
        <v>1106</v>
      </c>
    </row>
    <row r="1264" spans="1:10" x14ac:dyDescent="0.2">
      <c r="A1264" s="9">
        <v>45845</v>
      </c>
      <c r="B1264" s="4" t="s">
        <v>225</v>
      </c>
      <c r="C1264" s="8">
        <v>45839</v>
      </c>
      <c r="D1264" s="4" t="s">
        <v>194</v>
      </c>
      <c r="E1264" s="14">
        <v>1.4601999999999999</v>
      </c>
      <c r="F1264" s="7">
        <v>875</v>
      </c>
      <c r="G1264" s="14">
        <v>1.17E-2</v>
      </c>
      <c r="H1264" s="7">
        <v>18</v>
      </c>
      <c r="I1264" s="14">
        <v>1.4719</v>
      </c>
      <c r="J1264" s="7">
        <v>893</v>
      </c>
    </row>
    <row r="1265" spans="1:10" x14ac:dyDescent="0.2">
      <c r="A1265" s="9">
        <v>45846</v>
      </c>
      <c r="B1265" s="4" t="s">
        <v>223</v>
      </c>
      <c r="C1265" s="8">
        <v>45839</v>
      </c>
      <c r="D1265" s="4" t="s">
        <v>194</v>
      </c>
      <c r="E1265" s="14">
        <v>3.6909999999999998</v>
      </c>
      <c r="F1265" s="7">
        <v>2208</v>
      </c>
      <c r="G1265" s="14">
        <v>1.8200000000000001E-2</v>
      </c>
      <c r="H1265" s="7">
        <v>26</v>
      </c>
      <c r="I1265" s="14">
        <v>3.7092000000000001</v>
      </c>
      <c r="J1265" s="7">
        <v>2234</v>
      </c>
    </row>
    <row r="1266" spans="1:10" x14ac:dyDescent="0.2">
      <c r="A1266" s="9">
        <v>45847</v>
      </c>
      <c r="B1266" s="4" t="s">
        <v>221</v>
      </c>
      <c r="C1266" s="8">
        <v>45839</v>
      </c>
      <c r="D1266" s="4" t="s">
        <v>194</v>
      </c>
      <c r="E1266" s="14">
        <v>1.2299</v>
      </c>
      <c r="F1266" s="7">
        <v>734</v>
      </c>
      <c r="G1266" s="14">
        <v>1.41E-2</v>
      </c>
      <c r="H1266" s="7">
        <v>20</v>
      </c>
      <c r="I1266" s="14">
        <v>1.244</v>
      </c>
      <c r="J1266" s="7">
        <v>754</v>
      </c>
    </row>
    <row r="1267" spans="1:10" x14ac:dyDescent="0.2">
      <c r="A1267" s="9">
        <v>45848</v>
      </c>
      <c r="B1267" s="4" t="s">
        <v>224</v>
      </c>
      <c r="C1267" s="8">
        <v>45839</v>
      </c>
      <c r="D1267" s="4" t="s">
        <v>194</v>
      </c>
      <c r="E1267" s="14">
        <v>1.5281</v>
      </c>
      <c r="F1267" s="7">
        <v>916</v>
      </c>
      <c r="G1267" s="14">
        <v>3.1600000000000003E-2</v>
      </c>
      <c r="H1267" s="7">
        <v>47</v>
      </c>
      <c r="I1267" s="14">
        <v>1.5597000000000001</v>
      </c>
      <c r="J1267" s="7">
        <v>963</v>
      </c>
    </row>
    <row r="1268" spans="1:10" x14ac:dyDescent="0.2">
      <c r="A1268" s="9">
        <v>45849</v>
      </c>
      <c r="B1268" s="4" t="s">
        <v>222</v>
      </c>
      <c r="C1268" s="8">
        <v>45839</v>
      </c>
      <c r="D1268" s="4" t="s">
        <v>194</v>
      </c>
      <c r="E1268" s="14">
        <v>2.8275999999999999</v>
      </c>
      <c r="F1268" s="7">
        <v>1707</v>
      </c>
      <c r="G1268" s="14">
        <v>8.0000000000000004E-4</v>
      </c>
      <c r="H1268" s="7">
        <v>1</v>
      </c>
      <c r="I1268" s="14">
        <v>2.8283999999999998</v>
      </c>
      <c r="J1268" s="7">
        <v>1708</v>
      </c>
    </row>
    <row r="1269" spans="1:10" x14ac:dyDescent="0.2">
      <c r="A1269" s="9">
        <v>45852</v>
      </c>
      <c r="B1269" s="4" t="s">
        <v>225</v>
      </c>
      <c r="C1269" s="8">
        <v>45839</v>
      </c>
      <c r="D1269" s="4" t="s">
        <v>194</v>
      </c>
      <c r="E1269" s="14">
        <v>2.1701999999999999</v>
      </c>
      <c r="F1269" s="7">
        <v>1318</v>
      </c>
      <c r="G1269" s="14">
        <v>1.3899999999999999E-2</v>
      </c>
      <c r="H1269" s="7">
        <v>20</v>
      </c>
      <c r="I1269" s="14">
        <v>2.1840999999999999</v>
      </c>
      <c r="J1269" s="7">
        <v>1338</v>
      </c>
    </row>
    <row r="1270" spans="1:10" x14ac:dyDescent="0.2">
      <c r="A1270" s="9">
        <v>45853</v>
      </c>
      <c r="B1270" s="4" t="s">
        <v>223</v>
      </c>
      <c r="C1270" s="8">
        <v>45839</v>
      </c>
      <c r="D1270" s="4" t="s">
        <v>194</v>
      </c>
      <c r="E1270" s="14">
        <v>3.9940000000000002</v>
      </c>
      <c r="F1270" s="7">
        <v>2418</v>
      </c>
      <c r="G1270" s="14">
        <v>2.2700000000000001E-2</v>
      </c>
      <c r="H1270" s="7">
        <v>35</v>
      </c>
      <c r="I1270" s="14">
        <v>4.0167000000000002</v>
      </c>
      <c r="J1270" s="7">
        <v>2453</v>
      </c>
    </row>
    <row r="1271" spans="1:10" x14ac:dyDescent="0.2">
      <c r="A1271" s="9">
        <v>45854</v>
      </c>
      <c r="B1271" s="4" t="s">
        <v>221</v>
      </c>
      <c r="C1271" s="8">
        <v>45839</v>
      </c>
      <c r="D1271" s="4" t="s">
        <v>194</v>
      </c>
      <c r="E1271" s="14">
        <v>1.32</v>
      </c>
      <c r="F1271" s="7">
        <v>799</v>
      </c>
      <c r="G1271" s="14">
        <v>3.09E-2</v>
      </c>
      <c r="H1271" s="7">
        <v>48</v>
      </c>
      <c r="I1271" s="14">
        <v>1.3509</v>
      </c>
      <c r="J1271" s="7">
        <v>847</v>
      </c>
    </row>
    <row r="1272" spans="1:10" x14ac:dyDescent="0.2">
      <c r="A1272" s="9">
        <v>45855</v>
      </c>
      <c r="B1272" s="4" t="s">
        <v>224</v>
      </c>
      <c r="C1272" s="8">
        <v>45839</v>
      </c>
      <c r="D1272" s="4" t="s">
        <v>194</v>
      </c>
      <c r="E1272" s="14">
        <v>1.6203000000000001</v>
      </c>
      <c r="F1272" s="7">
        <v>980</v>
      </c>
      <c r="G1272" s="14">
        <v>2.92E-2</v>
      </c>
      <c r="H1272" s="7">
        <v>45</v>
      </c>
      <c r="I1272" s="14">
        <v>1.6495</v>
      </c>
      <c r="J1272" s="7">
        <v>1025</v>
      </c>
    </row>
    <row r="1273" spans="1:10" x14ac:dyDescent="0.2">
      <c r="A1273" s="9">
        <v>45856</v>
      </c>
      <c r="B1273" s="4" t="s">
        <v>222</v>
      </c>
      <c r="C1273" s="8">
        <v>45839</v>
      </c>
      <c r="D1273" s="4" t="s">
        <v>194</v>
      </c>
      <c r="E1273" s="14">
        <v>2.1381999999999999</v>
      </c>
      <c r="F1273" s="7">
        <v>1303</v>
      </c>
      <c r="G1273" s="14">
        <v>1.6400000000000001E-2</v>
      </c>
      <c r="H1273" s="7">
        <v>22</v>
      </c>
      <c r="I1273" s="14">
        <v>2.1545999999999998</v>
      </c>
      <c r="J1273" s="7">
        <v>1325</v>
      </c>
    </row>
    <row r="1274" spans="1:10" x14ac:dyDescent="0.2">
      <c r="A1274" s="9">
        <v>45859</v>
      </c>
      <c r="B1274" s="4" t="s">
        <v>225</v>
      </c>
      <c r="C1274" s="8">
        <v>45839</v>
      </c>
      <c r="D1274" s="4" t="s">
        <v>194</v>
      </c>
      <c r="E1274" s="14">
        <v>2.6145999999999998</v>
      </c>
      <c r="F1274" s="7">
        <v>1587</v>
      </c>
      <c r="G1274" s="14">
        <v>2.7099999999999999E-2</v>
      </c>
      <c r="H1274" s="7">
        <v>40</v>
      </c>
      <c r="I1274" s="14">
        <v>2.6417000000000002</v>
      </c>
      <c r="J1274" s="7">
        <v>1627</v>
      </c>
    </row>
    <row r="1275" spans="1:10" x14ac:dyDescent="0.2">
      <c r="A1275" s="9">
        <v>45860</v>
      </c>
      <c r="B1275" s="4" t="s">
        <v>223</v>
      </c>
      <c r="C1275" s="8">
        <v>45839</v>
      </c>
      <c r="D1275" s="4" t="s">
        <v>194</v>
      </c>
      <c r="E1275" s="14">
        <v>3.8012999999999999</v>
      </c>
      <c r="F1275" s="7">
        <v>2308</v>
      </c>
      <c r="G1275" s="14">
        <v>3.1199999999999999E-2</v>
      </c>
      <c r="H1275" s="7">
        <v>49</v>
      </c>
      <c r="I1275" s="14">
        <v>3.8325</v>
      </c>
      <c r="J1275" s="7">
        <v>2357</v>
      </c>
    </row>
    <row r="1276" spans="1:10" x14ac:dyDescent="0.2">
      <c r="A1276" s="9">
        <v>45861</v>
      </c>
      <c r="B1276" s="4" t="s">
        <v>221</v>
      </c>
      <c r="C1276" s="8">
        <v>45839</v>
      </c>
      <c r="D1276" s="4" t="s">
        <v>194</v>
      </c>
      <c r="E1276" s="14">
        <v>2.1615000000000002</v>
      </c>
      <c r="F1276" s="7">
        <v>1299</v>
      </c>
      <c r="G1276" s="14">
        <v>3.9199999999999999E-2</v>
      </c>
      <c r="H1276" s="7">
        <v>63</v>
      </c>
      <c r="I1276" s="14">
        <v>2.2006999999999999</v>
      </c>
      <c r="J1276" s="7">
        <v>1362</v>
      </c>
    </row>
    <row r="1277" spans="1:10" x14ac:dyDescent="0.2">
      <c r="A1277" s="9">
        <v>45862</v>
      </c>
      <c r="B1277" s="4" t="s">
        <v>224</v>
      </c>
      <c r="C1277" s="8">
        <v>45839</v>
      </c>
      <c r="D1277" s="4" t="s">
        <v>194</v>
      </c>
      <c r="E1277" s="14">
        <v>1.7628999999999999</v>
      </c>
      <c r="F1277" s="7">
        <v>1054</v>
      </c>
      <c r="G1277" s="14">
        <v>3.5700000000000003E-2</v>
      </c>
      <c r="H1277" s="7">
        <v>55</v>
      </c>
      <c r="I1277" s="14">
        <v>1.7986</v>
      </c>
      <c r="J1277" s="7">
        <v>1109</v>
      </c>
    </row>
    <row r="1278" spans="1:10" x14ac:dyDescent="0.2">
      <c r="A1278" s="9">
        <v>45863</v>
      </c>
      <c r="B1278" s="4" t="s">
        <v>222</v>
      </c>
      <c r="C1278" s="8">
        <v>45839</v>
      </c>
      <c r="D1278" s="4" t="s">
        <v>194</v>
      </c>
      <c r="E1278" s="14">
        <v>2.6120000000000001</v>
      </c>
      <c r="F1278" s="7">
        <v>1580</v>
      </c>
      <c r="G1278" s="14">
        <v>4.4200000000000003E-2</v>
      </c>
      <c r="H1278" s="7">
        <v>70</v>
      </c>
      <c r="I1278" s="14">
        <v>2.6562000000000001</v>
      </c>
      <c r="J1278" s="7">
        <v>1650</v>
      </c>
    </row>
    <row r="1279" spans="1:10" x14ac:dyDescent="0.2">
      <c r="A1279" s="9">
        <v>45866</v>
      </c>
      <c r="B1279" s="4" t="s">
        <v>225</v>
      </c>
      <c r="C1279" s="8">
        <v>45839</v>
      </c>
      <c r="D1279" s="4" t="s">
        <v>194</v>
      </c>
      <c r="E1279" s="14">
        <v>2.9026000000000001</v>
      </c>
      <c r="F1279" s="7">
        <v>1785</v>
      </c>
      <c r="G1279" s="14">
        <v>3.4700000000000002E-2</v>
      </c>
      <c r="H1279" s="7">
        <v>56</v>
      </c>
      <c r="I1279" s="14">
        <v>2.9373</v>
      </c>
      <c r="J1279" s="7">
        <v>1841</v>
      </c>
    </row>
    <row r="1280" spans="1:10" x14ac:dyDescent="0.2">
      <c r="A1280" s="9">
        <v>45867</v>
      </c>
      <c r="B1280" s="4" t="s">
        <v>223</v>
      </c>
      <c r="C1280" s="8">
        <v>45839</v>
      </c>
      <c r="D1280" s="4" t="s">
        <v>194</v>
      </c>
      <c r="E1280" s="14">
        <v>5.0648999999999997</v>
      </c>
      <c r="F1280" s="7">
        <v>3118</v>
      </c>
      <c r="G1280" s="14">
        <v>3.3300000000000003E-2</v>
      </c>
      <c r="H1280" s="7">
        <v>51</v>
      </c>
      <c r="I1280" s="14">
        <v>5.0982000000000003</v>
      </c>
      <c r="J1280" s="7">
        <v>3169</v>
      </c>
    </row>
    <row r="1281" spans="1:10" x14ac:dyDescent="0.2">
      <c r="A1281" s="9">
        <v>45868</v>
      </c>
      <c r="B1281" s="4" t="s">
        <v>221</v>
      </c>
      <c r="C1281" s="8">
        <v>45839</v>
      </c>
      <c r="D1281" s="4" t="s">
        <v>194</v>
      </c>
      <c r="E1281" s="14">
        <v>1.1493</v>
      </c>
      <c r="F1281" s="7">
        <v>704</v>
      </c>
      <c r="G1281" s="14">
        <v>5.16E-2</v>
      </c>
      <c r="H1281" s="7">
        <v>80</v>
      </c>
      <c r="I1281" s="14">
        <v>1.2009000000000001</v>
      </c>
      <c r="J1281" s="7">
        <v>784</v>
      </c>
    </row>
    <row r="1282" spans="1:10" x14ac:dyDescent="0.2">
      <c r="A1282" s="9">
        <v>45869</v>
      </c>
      <c r="B1282" s="4" t="s">
        <v>224</v>
      </c>
      <c r="C1282" s="8">
        <v>45839</v>
      </c>
      <c r="D1282" s="4" t="s">
        <v>194</v>
      </c>
      <c r="E1282" s="14">
        <v>2.1608999999999998</v>
      </c>
      <c r="F1282" s="7">
        <v>1322</v>
      </c>
      <c r="G1282" s="14">
        <v>8.6400000000000005E-2</v>
      </c>
      <c r="H1282" s="7">
        <v>121</v>
      </c>
      <c r="I1282" s="14">
        <v>2.2473000000000001</v>
      </c>
      <c r="J1282" s="7">
        <v>1443</v>
      </c>
    </row>
    <row r="1283" spans="1:10" x14ac:dyDescent="0.2">
      <c r="A1283" s="9">
        <v>45870</v>
      </c>
      <c r="B1283" s="4" t="s">
        <v>222</v>
      </c>
      <c r="C1283" s="8">
        <v>45870</v>
      </c>
      <c r="D1283" s="4" t="s">
        <v>194</v>
      </c>
      <c r="E1283" s="14">
        <v>2.0409999999999999</v>
      </c>
      <c r="F1283" s="7">
        <v>1258</v>
      </c>
      <c r="G1283" s="14">
        <v>6.1600000000000002E-2</v>
      </c>
      <c r="H1283" s="7">
        <v>87</v>
      </c>
      <c r="I1283" s="14">
        <v>2.1025999999999998</v>
      </c>
      <c r="J1283" s="7">
        <v>1345</v>
      </c>
    </row>
    <row r="1284" spans="1:10" x14ac:dyDescent="0.2">
      <c r="A1284" s="9">
        <v>45873</v>
      </c>
      <c r="B1284" s="4" t="s">
        <v>225</v>
      </c>
      <c r="C1284" s="8">
        <v>45870</v>
      </c>
      <c r="D1284" s="4" t="s">
        <v>194</v>
      </c>
      <c r="E1284" s="14">
        <v>2.2690000000000001</v>
      </c>
      <c r="F1284" s="7">
        <v>1400</v>
      </c>
      <c r="G1284" s="14">
        <v>4.1399999999999999E-2</v>
      </c>
      <c r="H1284" s="7">
        <v>60</v>
      </c>
      <c r="I1284" s="14">
        <v>2.3104</v>
      </c>
      <c r="J1284" s="7">
        <v>1460</v>
      </c>
    </row>
    <row r="1285" spans="1:10" x14ac:dyDescent="0.2">
      <c r="A1285" s="9">
        <v>45874</v>
      </c>
      <c r="B1285" s="4" t="s">
        <v>223</v>
      </c>
      <c r="C1285" s="8">
        <v>45870</v>
      </c>
      <c r="D1285" s="4" t="s">
        <v>194</v>
      </c>
      <c r="E1285" s="14">
        <v>4.3196000000000003</v>
      </c>
      <c r="F1285" s="7">
        <v>2672</v>
      </c>
      <c r="G1285" s="14">
        <v>6.5500000000000003E-2</v>
      </c>
      <c r="H1285" s="7">
        <v>92</v>
      </c>
      <c r="I1285" s="14">
        <v>4.3851000000000004</v>
      </c>
      <c r="J1285" s="7">
        <v>2764</v>
      </c>
    </row>
    <row r="1286" spans="1:10" x14ac:dyDescent="0.2">
      <c r="A1286" s="9">
        <v>45875</v>
      </c>
      <c r="B1286" s="4" t="s">
        <v>221</v>
      </c>
      <c r="C1286" s="8">
        <v>45870</v>
      </c>
      <c r="D1286" s="4" t="s">
        <v>194</v>
      </c>
      <c r="E1286" s="14">
        <v>1.0891999999999999</v>
      </c>
      <c r="F1286" s="7">
        <v>673</v>
      </c>
      <c r="G1286" s="14">
        <v>2.3300000000000001E-2</v>
      </c>
      <c r="H1286" s="7">
        <v>34</v>
      </c>
      <c r="I1286" s="14">
        <v>1.1125</v>
      </c>
      <c r="J1286" s="7">
        <v>707</v>
      </c>
    </row>
    <row r="1287" spans="1:10" x14ac:dyDescent="0.2">
      <c r="A1287" s="9">
        <v>45876</v>
      </c>
      <c r="B1287" s="4" t="s">
        <v>224</v>
      </c>
      <c r="C1287" s="8">
        <v>45870</v>
      </c>
      <c r="D1287" s="4" t="s">
        <v>194</v>
      </c>
      <c r="E1287" s="14">
        <v>2.0318000000000001</v>
      </c>
      <c r="F1287" s="7">
        <v>1264</v>
      </c>
      <c r="G1287" s="14">
        <v>0.1104</v>
      </c>
      <c r="H1287" s="7">
        <v>166</v>
      </c>
      <c r="I1287" s="14">
        <v>2.1421999999999999</v>
      </c>
      <c r="J1287" s="7">
        <v>1430</v>
      </c>
    </row>
    <row r="1288" spans="1:10" x14ac:dyDescent="0.2">
      <c r="A1288" s="9">
        <v>45877</v>
      </c>
      <c r="B1288" s="4" t="s">
        <v>222</v>
      </c>
      <c r="C1288" s="8">
        <v>45870</v>
      </c>
      <c r="D1288" s="4" t="s">
        <v>194</v>
      </c>
      <c r="E1288" s="14">
        <v>1.8861000000000001</v>
      </c>
      <c r="F1288" s="7">
        <v>1172</v>
      </c>
      <c r="G1288" s="14">
        <v>8.09E-2</v>
      </c>
      <c r="H1288" s="7">
        <v>122</v>
      </c>
      <c r="I1288" s="14">
        <v>1.9670000000000001</v>
      </c>
      <c r="J1288" s="7">
        <v>1294</v>
      </c>
    </row>
    <row r="1289" spans="1:10" x14ac:dyDescent="0.2">
      <c r="A1289" s="9">
        <v>45880</v>
      </c>
      <c r="B1289" s="4" t="s">
        <v>225</v>
      </c>
      <c r="C1289" s="8">
        <v>45870</v>
      </c>
      <c r="D1289" s="4" t="s">
        <v>194</v>
      </c>
      <c r="E1289" s="14">
        <v>3.1057999999999999</v>
      </c>
      <c r="F1289" s="7">
        <v>1932</v>
      </c>
      <c r="G1289" s="14">
        <v>1.78E-2</v>
      </c>
      <c r="H1289" s="7">
        <v>25</v>
      </c>
      <c r="I1289" s="14">
        <v>3.1236000000000002</v>
      </c>
      <c r="J1289" s="7">
        <v>1957</v>
      </c>
    </row>
    <row r="1290" spans="1:10" x14ac:dyDescent="0.2">
      <c r="A1290" s="9">
        <v>45881</v>
      </c>
      <c r="B1290" s="4" t="s">
        <v>223</v>
      </c>
      <c r="C1290" s="8">
        <v>45870</v>
      </c>
      <c r="D1290" s="4" t="s">
        <v>194</v>
      </c>
      <c r="E1290" s="14">
        <v>6.8129</v>
      </c>
      <c r="F1290" s="7">
        <v>4221</v>
      </c>
      <c r="G1290" s="14">
        <v>6.2700000000000006E-2</v>
      </c>
      <c r="H1290" s="7">
        <v>91</v>
      </c>
      <c r="I1290" s="14">
        <v>6.8756000000000004</v>
      </c>
      <c r="J1290" s="7">
        <v>4312</v>
      </c>
    </row>
    <row r="1291" spans="1:10" x14ac:dyDescent="0.2">
      <c r="A1291" s="9">
        <v>45882</v>
      </c>
      <c r="B1291" s="4" t="s">
        <v>221</v>
      </c>
      <c r="C1291" s="8">
        <v>45870</v>
      </c>
      <c r="D1291" s="4" t="s">
        <v>194</v>
      </c>
      <c r="E1291" s="14">
        <v>1.6514</v>
      </c>
      <c r="F1291" s="7">
        <v>1022</v>
      </c>
      <c r="G1291" s="14">
        <v>2.2599999999999999E-2</v>
      </c>
      <c r="H1291" s="7">
        <v>31</v>
      </c>
      <c r="I1291" s="14">
        <v>1.6739999999999999</v>
      </c>
      <c r="J1291" s="7">
        <v>1053</v>
      </c>
    </row>
    <row r="1292" spans="1:10" x14ac:dyDescent="0.2">
      <c r="A1292" s="9">
        <v>45883</v>
      </c>
      <c r="B1292" s="4" t="s">
        <v>224</v>
      </c>
      <c r="C1292" s="8">
        <v>45870</v>
      </c>
      <c r="D1292" s="4" t="s">
        <v>194</v>
      </c>
      <c r="E1292" s="14">
        <v>0.91859999999999997</v>
      </c>
      <c r="F1292" s="7">
        <v>568</v>
      </c>
      <c r="G1292" s="14">
        <v>3.39E-2</v>
      </c>
      <c r="H1292" s="7">
        <v>52</v>
      </c>
      <c r="I1292" s="14">
        <v>0.95250000000000001</v>
      </c>
      <c r="J1292" s="7">
        <v>620</v>
      </c>
    </row>
    <row r="1293" spans="1:10" x14ac:dyDescent="0.2">
      <c r="A1293" s="9">
        <v>45887</v>
      </c>
      <c r="B1293" s="4" t="s">
        <v>225</v>
      </c>
      <c r="C1293" s="8">
        <v>45870</v>
      </c>
      <c r="D1293" s="4" t="s">
        <v>194</v>
      </c>
      <c r="E1293" s="14">
        <v>2.3380000000000001</v>
      </c>
      <c r="F1293" s="7">
        <v>1429</v>
      </c>
      <c r="G1293" s="14">
        <v>1.34E-2</v>
      </c>
      <c r="H1293" s="7">
        <v>19</v>
      </c>
      <c r="I1293" s="14">
        <v>2.3513999999999999</v>
      </c>
      <c r="J1293" s="7">
        <v>1448</v>
      </c>
    </row>
    <row r="1294" spans="1:10" x14ac:dyDescent="0.2">
      <c r="A1294" s="9">
        <v>45888</v>
      </c>
      <c r="B1294" s="4" t="s">
        <v>223</v>
      </c>
      <c r="C1294" s="8">
        <v>45870</v>
      </c>
      <c r="D1294" s="4" t="s">
        <v>194</v>
      </c>
      <c r="E1294" s="14">
        <v>2.1745999999999999</v>
      </c>
      <c r="F1294" s="7">
        <v>1328</v>
      </c>
      <c r="G1294" s="14">
        <v>2.0299999999999999E-2</v>
      </c>
      <c r="H1294" s="7">
        <v>31</v>
      </c>
      <c r="I1294" s="14">
        <v>2.1949000000000001</v>
      </c>
      <c r="J1294" s="7">
        <v>1359</v>
      </c>
    </row>
    <row r="1295" spans="1:10" x14ac:dyDescent="0.2">
      <c r="A1295" s="9">
        <v>45889</v>
      </c>
      <c r="B1295" s="4" t="s">
        <v>221</v>
      </c>
      <c r="C1295" s="8">
        <v>45870</v>
      </c>
      <c r="D1295" s="4" t="s">
        <v>194</v>
      </c>
      <c r="E1295" s="14">
        <v>1.6823999999999999</v>
      </c>
      <c r="F1295" s="7">
        <v>1027</v>
      </c>
      <c r="G1295" s="14">
        <v>7.1000000000000004E-3</v>
      </c>
      <c r="H1295" s="7">
        <v>11</v>
      </c>
      <c r="I1295" s="14">
        <v>1.6895</v>
      </c>
      <c r="J1295" s="7">
        <v>1038</v>
      </c>
    </row>
    <row r="1296" spans="1:10" x14ac:dyDescent="0.2">
      <c r="A1296" s="9">
        <v>45890</v>
      </c>
      <c r="B1296" s="4" t="s">
        <v>224</v>
      </c>
      <c r="C1296" s="8">
        <v>45870</v>
      </c>
      <c r="D1296" s="4" t="s">
        <v>194</v>
      </c>
      <c r="E1296" s="14">
        <v>1.7746999999999999</v>
      </c>
      <c r="F1296" s="7">
        <v>1079</v>
      </c>
      <c r="G1296" s="14">
        <v>4.1000000000000003E-3</v>
      </c>
      <c r="H1296" s="7">
        <v>7</v>
      </c>
      <c r="I1296" s="14">
        <v>1.7787999999999999</v>
      </c>
      <c r="J1296" s="7">
        <v>1086</v>
      </c>
    </row>
    <row r="1297" spans="1:10" x14ac:dyDescent="0.2">
      <c r="A1297" s="9">
        <v>45891</v>
      </c>
      <c r="B1297" s="4" t="s">
        <v>222</v>
      </c>
      <c r="C1297" s="8">
        <v>45870</v>
      </c>
      <c r="D1297" s="4" t="s">
        <v>194</v>
      </c>
      <c r="E1297" s="14">
        <v>2.2869999999999999</v>
      </c>
      <c r="F1297" s="7">
        <v>1400</v>
      </c>
      <c r="G1297" s="14">
        <v>3.8399999999999997E-2</v>
      </c>
      <c r="H1297" s="7">
        <v>63</v>
      </c>
      <c r="I1297" s="14">
        <v>2.3254000000000001</v>
      </c>
      <c r="J1297" s="7">
        <v>1463</v>
      </c>
    </row>
    <row r="1298" spans="1:10" x14ac:dyDescent="0.2">
      <c r="A1298" s="9">
        <v>45894</v>
      </c>
      <c r="B1298" s="4" t="s">
        <v>225</v>
      </c>
      <c r="C1298" s="8">
        <v>45870</v>
      </c>
      <c r="D1298" s="4" t="s">
        <v>194</v>
      </c>
      <c r="E1298" s="14">
        <v>2.3384999999999998</v>
      </c>
      <c r="F1298" s="7">
        <v>1430</v>
      </c>
      <c r="G1298" s="14">
        <v>3.2000000000000001E-2</v>
      </c>
      <c r="H1298" s="7">
        <v>50</v>
      </c>
      <c r="I1298" s="14">
        <v>2.3704999999999998</v>
      </c>
      <c r="J1298" s="7">
        <v>1480</v>
      </c>
    </row>
    <row r="1299" spans="1:10" x14ac:dyDescent="0.2">
      <c r="A1299" s="9">
        <v>45895</v>
      </c>
      <c r="B1299" s="4" t="s">
        <v>223</v>
      </c>
      <c r="C1299" s="8">
        <v>45870</v>
      </c>
      <c r="D1299" s="4" t="s">
        <v>194</v>
      </c>
      <c r="E1299" s="14">
        <v>5.5701999999999998</v>
      </c>
      <c r="F1299" s="7">
        <v>3426</v>
      </c>
      <c r="G1299" s="14">
        <v>5.7299999999999997E-2</v>
      </c>
      <c r="H1299" s="7">
        <v>87</v>
      </c>
      <c r="I1299" s="14">
        <v>5.6275000000000004</v>
      </c>
      <c r="J1299" s="7">
        <v>3513</v>
      </c>
    </row>
    <row r="1300" spans="1:10" x14ac:dyDescent="0.2">
      <c r="A1300" s="9">
        <v>45897</v>
      </c>
      <c r="B1300" s="4" t="s">
        <v>224</v>
      </c>
      <c r="C1300" s="8">
        <v>45870</v>
      </c>
      <c r="D1300" s="4" t="s">
        <v>194</v>
      </c>
      <c r="E1300" s="14">
        <v>1.7890999999999999</v>
      </c>
      <c r="F1300" s="7">
        <v>1106</v>
      </c>
      <c r="G1300" s="14">
        <v>4.6100000000000002E-2</v>
      </c>
      <c r="H1300" s="7">
        <v>67</v>
      </c>
      <c r="I1300" s="14">
        <v>1.8351999999999999</v>
      </c>
      <c r="J1300" s="7">
        <v>1173</v>
      </c>
    </row>
    <row r="1301" spans="1:10" x14ac:dyDescent="0.2">
      <c r="A1301" s="9">
        <v>45898</v>
      </c>
      <c r="B1301" s="4" t="s">
        <v>222</v>
      </c>
      <c r="C1301" s="8">
        <v>45870</v>
      </c>
      <c r="D1301" s="4" t="s">
        <v>194</v>
      </c>
      <c r="E1301" s="14">
        <v>1.5164</v>
      </c>
      <c r="F1301" s="7">
        <v>940</v>
      </c>
      <c r="G1301" s="14">
        <v>5.5100000000000003E-2</v>
      </c>
      <c r="H1301" s="7">
        <v>80</v>
      </c>
      <c r="I1301" s="14">
        <v>1.5714999999999999</v>
      </c>
      <c r="J1301" s="7">
        <v>1020</v>
      </c>
    </row>
    <row r="1302" spans="1:10" x14ac:dyDescent="0.2">
      <c r="A1302" s="9">
        <v>45901</v>
      </c>
      <c r="B1302" s="4" t="s">
        <v>225</v>
      </c>
      <c r="C1302" s="8">
        <v>45901</v>
      </c>
      <c r="D1302" s="4" t="s">
        <v>194</v>
      </c>
      <c r="E1302" s="14">
        <v>1.1981999999999999</v>
      </c>
      <c r="F1302" s="7">
        <v>742</v>
      </c>
      <c r="G1302" s="14">
        <v>2.0400000000000001E-2</v>
      </c>
      <c r="H1302" s="7">
        <v>30</v>
      </c>
      <c r="I1302" s="14">
        <v>1.2185999999999999</v>
      </c>
      <c r="J1302" s="7">
        <v>772</v>
      </c>
    </row>
    <row r="1303" spans="1:10" x14ac:dyDescent="0.2">
      <c r="A1303" s="9">
        <v>45902</v>
      </c>
      <c r="B1303" s="4" t="s">
        <v>223</v>
      </c>
      <c r="C1303" s="8">
        <v>45901</v>
      </c>
      <c r="D1303" s="4" t="s">
        <v>194</v>
      </c>
      <c r="E1303" s="14">
        <v>1.8764000000000001</v>
      </c>
      <c r="F1303" s="7">
        <v>1160</v>
      </c>
      <c r="G1303" s="14">
        <v>1.8100000000000002E-2</v>
      </c>
      <c r="H1303" s="7">
        <v>25</v>
      </c>
      <c r="I1303" s="14">
        <v>1.8945000000000001</v>
      </c>
      <c r="J1303" s="7">
        <v>1185</v>
      </c>
    </row>
    <row r="1304" spans="1:10" x14ac:dyDescent="0.2">
      <c r="A1304" s="9">
        <v>45903</v>
      </c>
      <c r="B1304" s="4" t="s">
        <v>221</v>
      </c>
      <c r="C1304" s="8">
        <v>45901</v>
      </c>
      <c r="D1304" s="4" t="s">
        <v>194</v>
      </c>
      <c r="E1304" s="14">
        <v>2.2115</v>
      </c>
      <c r="F1304" s="7">
        <v>1370</v>
      </c>
      <c r="G1304" s="14">
        <v>3.3799999999999997E-2</v>
      </c>
      <c r="H1304" s="7">
        <v>51</v>
      </c>
      <c r="I1304" s="14">
        <v>2.2452999999999999</v>
      </c>
      <c r="J1304" s="7">
        <v>1421</v>
      </c>
    </row>
    <row r="1305" spans="1:10" x14ac:dyDescent="0.2">
      <c r="A1305" s="9">
        <v>45904</v>
      </c>
      <c r="B1305" s="4" t="s">
        <v>224</v>
      </c>
      <c r="C1305" s="8">
        <v>45901</v>
      </c>
      <c r="D1305" s="4" t="s">
        <v>194</v>
      </c>
      <c r="E1305" s="14">
        <v>3.8538000000000001</v>
      </c>
      <c r="F1305" s="7">
        <v>2368</v>
      </c>
      <c r="G1305" s="14">
        <v>3.8300000000000001E-2</v>
      </c>
      <c r="H1305" s="7">
        <v>57</v>
      </c>
      <c r="I1305" s="14">
        <v>3.8921000000000001</v>
      </c>
      <c r="J1305" s="7">
        <v>2425</v>
      </c>
    </row>
    <row r="1306" spans="1:10" x14ac:dyDescent="0.2">
      <c r="A1306" s="9">
        <v>45905</v>
      </c>
      <c r="B1306" s="4" t="s">
        <v>222</v>
      </c>
      <c r="C1306" s="8">
        <v>45901</v>
      </c>
      <c r="D1306" s="4" t="s">
        <v>194</v>
      </c>
      <c r="E1306" s="14">
        <v>2.3347000000000002</v>
      </c>
      <c r="F1306" s="7">
        <v>1441</v>
      </c>
      <c r="G1306" s="14">
        <v>2.92E-2</v>
      </c>
      <c r="H1306" s="7">
        <v>45</v>
      </c>
      <c r="I1306" s="14">
        <v>2.3639000000000001</v>
      </c>
      <c r="J1306" s="7">
        <v>1486</v>
      </c>
    </row>
    <row r="1307" spans="1:10" x14ac:dyDescent="0.2">
      <c r="A1307" s="9">
        <v>45908</v>
      </c>
      <c r="B1307" s="4" t="s">
        <v>225</v>
      </c>
      <c r="C1307" s="8">
        <v>45901</v>
      </c>
      <c r="D1307" s="4" t="s">
        <v>194</v>
      </c>
      <c r="E1307" s="14">
        <v>1.5851999999999999</v>
      </c>
      <c r="F1307" s="7">
        <v>975</v>
      </c>
      <c r="G1307" s="14">
        <v>7.4000000000000003E-3</v>
      </c>
      <c r="H1307" s="7">
        <v>12</v>
      </c>
      <c r="I1307" s="14">
        <v>1.5926</v>
      </c>
      <c r="J1307" s="7">
        <v>987</v>
      </c>
    </row>
    <row r="1308" spans="1:10" x14ac:dyDescent="0.2">
      <c r="A1308" s="9">
        <v>45909</v>
      </c>
      <c r="B1308" s="4" t="s">
        <v>223</v>
      </c>
      <c r="C1308" s="8">
        <v>45901</v>
      </c>
      <c r="D1308" s="4" t="s">
        <v>194</v>
      </c>
      <c r="E1308" s="14">
        <v>1.123</v>
      </c>
      <c r="F1308" s="7">
        <v>690</v>
      </c>
      <c r="G1308" s="14">
        <v>2.86E-2</v>
      </c>
      <c r="H1308" s="7">
        <v>45</v>
      </c>
      <c r="I1308" s="14">
        <v>1.1516</v>
      </c>
      <c r="J1308" s="7">
        <v>735</v>
      </c>
    </row>
    <row r="1309" spans="1:10" x14ac:dyDescent="0.2">
      <c r="A1309" s="9">
        <v>45910</v>
      </c>
      <c r="B1309" s="4" t="s">
        <v>221</v>
      </c>
      <c r="C1309" s="8">
        <v>45901</v>
      </c>
      <c r="D1309" s="4" t="s">
        <v>194</v>
      </c>
      <c r="E1309" s="14">
        <v>2.0116999999999998</v>
      </c>
      <c r="F1309" s="7">
        <v>1230</v>
      </c>
      <c r="G1309" s="14">
        <v>2.9499999999999998E-2</v>
      </c>
      <c r="H1309" s="7">
        <v>48</v>
      </c>
      <c r="I1309" s="14">
        <v>2.0411999999999999</v>
      </c>
      <c r="J1309" s="7">
        <v>1278</v>
      </c>
    </row>
    <row r="1310" spans="1:10" x14ac:dyDescent="0.2">
      <c r="A1310" s="9">
        <v>45911</v>
      </c>
      <c r="B1310" s="4" t="s">
        <v>224</v>
      </c>
      <c r="C1310" s="8">
        <v>45901</v>
      </c>
      <c r="D1310" s="4" t="s">
        <v>194</v>
      </c>
      <c r="E1310" s="14">
        <v>2.5053000000000001</v>
      </c>
      <c r="F1310" s="7">
        <v>1531</v>
      </c>
      <c r="G1310" s="14">
        <v>2.46E-2</v>
      </c>
      <c r="H1310" s="7">
        <v>38</v>
      </c>
      <c r="I1310" s="14">
        <v>2.5299</v>
      </c>
      <c r="J1310" s="7">
        <v>1569</v>
      </c>
    </row>
    <row r="1311" spans="1:10" x14ac:dyDescent="0.2">
      <c r="A1311" s="9">
        <v>45912</v>
      </c>
      <c r="B1311" s="4" t="s">
        <v>222</v>
      </c>
      <c r="C1311" s="8">
        <v>45901</v>
      </c>
      <c r="D1311" s="4" t="s">
        <v>194</v>
      </c>
      <c r="E1311" s="14">
        <v>1.6257999999999999</v>
      </c>
      <c r="F1311" s="7">
        <v>988</v>
      </c>
      <c r="G1311" s="14">
        <v>2.8199999999999999E-2</v>
      </c>
      <c r="H1311" s="7">
        <v>44</v>
      </c>
      <c r="I1311" s="14">
        <v>1.6539999999999999</v>
      </c>
      <c r="J1311" s="7">
        <v>1032</v>
      </c>
    </row>
    <row r="1312" spans="1:10" x14ac:dyDescent="0.2">
      <c r="A1312" s="9">
        <v>45915</v>
      </c>
      <c r="B1312" s="4" t="s">
        <v>225</v>
      </c>
      <c r="C1312" s="8">
        <v>45901</v>
      </c>
      <c r="D1312" s="4" t="s">
        <v>194</v>
      </c>
      <c r="E1312" s="14">
        <v>1.1067</v>
      </c>
      <c r="F1312" s="7">
        <v>674</v>
      </c>
      <c r="G1312" s="14">
        <v>1.09E-2</v>
      </c>
      <c r="H1312" s="7">
        <v>18</v>
      </c>
      <c r="I1312" s="14">
        <v>1.1175999999999999</v>
      </c>
      <c r="J1312" s="7">
        <v>692</v>
      </c>
    </row>
    <row r="1313" spans="1:10" x14ac:dyDescent="0.2">
      <c r="A1313" s="9">
        <v>45916</v>
      </c>
      <c r="B1313" s="4" t="s">
        <v>223</v>
      </c>
      <c r="C1313" s="8">
        <v>45901</v>
      </c>
      <c r="D1313" s="4" t="s">
        <v>194</v>
      </c>
      <c r="E1313" s="14">
        <v>2.1739999999999999</v>
      </c>
      <c r="F1313" s="7">
        <v>1317</v>
      </c>
      <c r="G1313" s="14">
        <v>2.7E-2</v>
      </c>
      <c r="H1313" s="7">
        <v>41</v>
      </c>
      <c r="I1313" s="14">
        <v>2.2010000000000001</v>
      </c>
      <c r="J1313" s="7">
        <v>1358</v>
      </c>
    </row>
    <row r="1314" spans="1:10" x14ac:dyDescent="0.2">
      <c r="A1314" s="9">
        <v>45917</v>
      </c>
      <c r="B1314" s="4" t="s">
        <v>221</v>
      </c>
      <c r="C1314" s="8">
        <v>45901</v>
      </c>
      <c r="D1314" s="4" t="s">
        <v>194</v>
      </c>
      <c r="E1314" s="14">
        <v>2.2475999999999998</v>
      </c>
      <c r="F1314" s="7">
        <v>1353</v>
      </c>
      <c r="G1314" s="14">
        <v>4.7800000000000002E-2</v>
      </c>
      <c r="H1314" s="7">
        <v>61</v>
      </c>
      <c r="I1314" s="14">
        <v>2.2953999999999999</v>
      </c>
      <c r="J1314" s="7">
        <v>1414</v>
      </c>
    </row>
    <row r="1315" spans="1:10" x14ac:dyDescent="0.2">
      <c r="A1315" s="9">
        <v>45918</v>
      </c>
      <c r="B1315" s="4" t="s">
        <v>224</v>
      </c>
      <c r="C1315" s="8">
        <v>45901</v>
      </c>
      <c r="D1315" s="4" t="s">
        <v>194</v>
      </c>
      <c r="E1315" s="14">
        <v>3.4828999999999999</v>
      </c>
      <c r="F1315" s="7">
        <v>2087</v>
      </c>
      <c r="G1315" s="14">
        <v>2.5000000000000001E-2</v>
      </c>
      <c r="H1315" s="7">
        <v>38</v>
      </c>
      <c r="I1315" s="14">
        <v>3.5078999999999998</v>
      </c>
      <c r="J1315" s="7">
        <v>2125</v>
      </c>
    </row>
    <row r="1316" spans="1:10" x14ac:dyDescent="0.2">
      <c r="A1316" s="9">
        <v>45919</v>
      </c>
      <c r="B1316" s="4" t="s">
        <v>222</v>
      </c>
      <c r="C1316" s="8">
        <v>45901</v>
      </c>
      <c r="D1316" s="4" t="s">
        <v>194</v>
      </c>
      <c r="E1316" s="14">
        <v>2.3462999999999998</v>
      </c>
      <c r="F1316" s="7">
        <v>1412</v>
      </c>
      <c r="G1316" s="14">
        <v>3.04E-2</v>
      </c>
      <c r="H1316" s="7">
        <v>46</v>
      </c>
      <c r="I1316" s="14">
        <v>2.3767</v>
      </c>
      <c r="J1316" s="7">
        <v>1458</v>
      </c>
    </row>
    <row r="1317" spans="1:10" x14ac:dyDescent="0.2">
      <c r="A1317" s="9">
        <v>45922</v>
      </c>
      <c r="B1317" s="4" t="s">
        <v>225</v>
      </c>
      <c r="C1317" s="8">
        <v>45901</v>
      </c>
      <c r="D1317" s="4" t="s">
        <v>194</v>
      </c>
      <c r="E1317" s="14">
        <v>2.1943000000000001</v>
      </c>
      <c r="F1317" s="7">
        <v>1326</v>
      </c>
      <c r="G1317" s="14">
        <v>4.8399999999999999E-2</v>
      </c>
      <c r="H1317" s="7">
        <v>77</v>
      </c>
      <c r="I1317" s="14">
        <v>2.2427000000000001</v>
      </c>
      <c r="J1317" s="7">
        <v>1403</v>
      </c>
    </row>
    <row r="1318" spans="1:10" x14ac:dyDescent="0.2">
      <c r="A1318" s="9">
        <v>45923</v>
      </c>
      <c r="B1318" s="4" t="s">
        <v>223</v>
      </c>
      <c r="C1318" s="8">
        <v>45901</v>
      </c>
      <c r="D1318" s="4" t="s">
        <v>194</v>
      </c>
      <c r="E1318" s="14">
        <v>2.4397000000000002</v>
      </c>
      <c r="F1318" s="7">
        <v>1478</v>
      </c>
      <c r="G1318" s="14">
        <v>2.0899999999999998E-2</v>
      </c>
      <c r="H1318" s="7">
        <v>31</v>
      </c>
      <c r="I1318" s="14">
        <v>2.4605999999999999</v>
      </c>
      <c r="J1318" s="7">
        <v>1509</v>
      </c>
    </row>
    <row r="1319" spans="1:10" x14ac:dyDescent="0.2">
      <c r="A1319" s="9">
        <v>45924</v>
      </c>
      <c r="B1319" s="4" t="s">
        <v>221</v>
      </c>
      <c r="C1319" s="8">
        <v>45901</v>
      </c>
      <c r="D1319" s="4" t="s">
        <v>194</v>
      </c>
      <c r="E1319" s="14">
        <v>3.8487</v>
      </c>
      <c r="F1319" s="7">
        <v>2338</v>
      </c>
      <c r="G1319" s="14">
        <v>3.3500000000000002E-2</v>
      </c>
      <c r="H1319" s="7">
        <v>57</v>
      </c>
      <c r="I1319" s="14">
        <v>3.8822000000000001</v>
      </c>
      <c r="J1319" s="7">
        <v>2395</v>
      </c>
    </row>
    <row r="1320" spans="1:10" x14ac:dyDescent="0.2">
      <c r="A1320" s="9">
        <v>45925</v>
      </c>
      <c r="B1320" s="4" t="s">
        <v>224</v>
      </c>
      <c r="C1320" s="8">
        <v>45901</v>
      </c>
      <c r="D1320" s="4" t="s">
        <v>194</v>
      </c>
      <c r="E1320" s="14">
        <v>5.3913000000000002</v>
      </c>
      <c r="F1320" s="7">
        <v>3293</v>
      </c>
      <c r="G1320" s="14">
        <v>3.1600000000000003E-2</v>
      </c>
      <c r="H1320" s="7">
        <v>49</v>
      </c>
      <c r="I1320" s="14">
        <v>5.4229000000000003</v>
      </c>
      <c r="J1320" s="7">
        <v>3342</v>
      </c>
    </row>
    <row r="1321" spans="1:10" x14ac:dyDescent="0.2">
      <c r="A1321" s="9">
        <v>45926</v>
      </c>
      <c r="B1321" s="4" t="s">
        <v>222</v>
      </c>
      <c r="C1321" s="8">
        <v>45901</v>
      </c>
      <c r="D1321" s="4" t="s">
        <v>194</v>
      </c>
      <c r="E1321" s="14">
        <v>2.4304999999999999</v>
      </c>
      <c r="F1321" s="7">
        <v>1493</v>
      </c>
      <c r="G1321" s="14">
        <v>5.1999999999999998E-3</v>
      </c>
      <c r="H1321" s="7">
        <v>7</v>
      </c>
      <c r="I1321" s="14">
        <v>2.4357000000000002</v>
      </c>
      <c r="J1321" s="7">
        <v>1500</v>
      </c>
    </row>
    <row r="1322" spans="1:10" x14ac:dyDescent="0.2">
      <c r="A1322" s="9">
        <v>45929</v>
      </c>
      <c r="B1322" s="4" t="s">
        <v>225</v>
      </c>
      <c r="C1322" s="8">
        <v>45901</v>
      </c>
      <c r="D1322" s="4" t="s">
        <v>194</v>
      </c>
      <c r="E1322" s="14">
        <v>2.0941000000000001</v>
      </c>
      <c r="F1322" s="7">
        <v>1288</v>
      </c>
      <c r="G1322" s="14">
        <v>1.0500000000000001E-2</v>
      </c>
      <c r="H1322" s="7">
        <v>14</v>
      </c>
      <c r="I1322" s="14">
        <v>2.1046</v>
      </c>
      <c r="J1322" s="7">
        <v>1302</v>
      </c>
    </row>
    <row r="1323" spans="1:10" x14ac:dyDescent="0.2">
      <c r="A1323" s="9">
        <v>45930</v>
      </c>
      <c r="B1323" s="4" t="s">
        <v>223</v>
      </c>
      <c r="C1323" s="8">
        <v>45901</v>
      </c>
      <c r="D1323" s="4" t="s">
        <v>194</v>
      </c>
      <c r="E1323" s="14">
        <v>1.4608000000000001</v>
      </c>
      <c r="F1323" s="7">
        <v>901</v>
      </c>
      <c r="G1323" s="14">
        <v>1.38E-2</v>
      </c>
      <c r="H1323" s="7">
        <v>19</v>
      </c>
      <c r="I1323" s="14">
        <v>1.4745999999999999</v>
      </c>
      <c r="J1323" s="7">
        <v>920</v>
      </c>
    </row>
    <row r="1324" spans="1:10" x14ac:dyDescent="0.2">
      <c r="A1324" s="9">
        <v>45931</v>
      </c>
      <c r="B1324" s="4" t="s">
        <v>221</v>
      </c>
      <c r="C1324" s="8">
        <v>45931</v>
      </c>
      <c r="D1324" s="4" t="s">
        <v>195</v>
      </c>
      <c r="E1324" s="14">
        <v>2.8515999999999999</v>
      </c>
      <c r="F1324" s="7">
        <v>1753</v>
      </c>
      <c r="G1324" s="14">
        <v>1.46E-2</v>
      </c>
      <c r="H1324" s="7">
        <v>22</v>
      </c>
      <c r="I1324" s="14">
        <v>2.8662000000000001</v>
      </c>
      <c r="J1324" s="7">
        <v>1775</v>
      </c>
    </row>
    <row r="1325" spans="1:10" x14ac:dyDescent="0.2">
      <c r="A1325" s="9">
        <v>45933</v>
      </c>
      <c r="B1325" s="4" t="s">
        <v>222</v>
      </c>
      <c r="C1325" s="8">
        <v>45931</v>
      </c>
      <c r="D1325" s="4" t="s">
        <v>195</v>
      </c>
      <c r="E1325" s="14">
        <v>1.3371999999999999</v>
      </c>
      <c r="F1325" s="7">
        <v>820</v>
      </c>
      <c r="G1325" s="14">
        <v>3.5999999999999997E-2</v>
      </c>
      <c r="H1325" s="7">
        <v>53</v>
      </c>
      <c r="I1325" s="14">
        <v>1.3732</v>
      </c>
      <c r="J1325" s="7">
        <v>873</v>
      </c>
    </row>
    <row r="1326" spans="1:10" x14ac:dyDescent="0.2">
      <c r="A1326" s="9">
        <v>45936</v>
      </c>
      <c r="B1326" s="4" t="s">
        <v>225</v>
      </c>
      <c r="C1326" s="8">
        <v>45931</v>
      </c>
      <c r="D1326" s="4" t="s">
        <v>195</v>
      </c>
      <c r="E1326" s="14">
        <v>1.7729999999999999</v>
      </c>
      <c r="F1326" s="7">
        <v>1080</v>
      </c>
      <c r="G1326" s="14">
        <v>1.0800000000000001E-2</v>
      </c>
      <c r="H1326" s="7">
        <v>17</v>
      </c>
      <c r="I1326" s="14">
        <v>1.7838000000000001</v>
      </c>
      <c r="J1326" s="7">
        <v>1097</v>
      </c>
    </row>
    <row r="1327" spans="1:10" x14ac:dyDescent="0.2">
      <c r="A1327" s="9">
        <v>45937</v>
      </c>
      <c r="B1327" s="4" t="s">
        <v>223</v>
      </c>
      <c r="C1327" s="8">
        <v>45931</v>
      </c>
      <c r="D1327" s="4" t="s">
        <v>195</v>
      </c>
      <c r="E1327" s="14">
        <v>1.6289</v>
      </c>
      <c r="F1327" s="7">
        <v>987</v>
      </c>
      <c r="G1327" s="14">
        <v>3.4200000000000001E-2</v>
      </c>
      <c r="H1327" s="7">
        <v>38</v>
      </c>
      <c r="I1327" s="14">
        <v>1.6631</v>
      </c>
      <c r="J1327" s="7">
        <v>1025</v>
      </c>
    </row>
    <row r="1328" spans="1:10" x14ac:dyDescent="0.2">
      <c r="A1328" s="9">
        <v>45938</v>
      </c>
      <c r="B1328" s="4" t="s">
        <v>221</v>
      </c>
      <c r="C1328" s="8">
        <v>45931</v>
      </c>
      <c r="D1328" s="4" t="s">
        <v>195</v>
      </c>
      <c r="E1328" s="14">
        <v>2.0465</v>
      </c>
      <c r="F1328" s="7">
        <v>1243</v>
      </c>
      <c r="G1328" s="14">
        <v>5.4399999999999997E-2</v>
      </c>
      <c r="H1328" s="7">
        <v>65</v>
      </c>
      <c r="I1328" s="14">
        <v>2.1009000000000002</v>
      </c>
      <c r="J1328" s="7">
        <v>1308</v>
      </c>
    </row>
    <row r="1329" spans="1:10" x14ac:dyDescent="0.2">
      <c r="A1329" s="9">
        <v>45939</v>
      </c>
      <c r="B1329" s="4" t="s">
        <v>224</v>
      </c>
      <c r="C1329" s="8">
        <v>45931</v>
      </c>
      <c r="D1329" s="4" t="s">
        <v>195</v>
      </c>
      <c r="E1329" s="14">
        <v>1.8537999999999999</v>
      </c>
      <c r="F1329" s="7">
        <v>1125</v>
      </c>
      <c r="G1329" s="14">
        <v>6.3200000000000006E-2</v>
      </c>
      <c r="H1329" s="7">
        <v>77</v>
      </c>
      <c r="I1329" s="14">
        <v>1.917</v>
      </c>
      <c r="J1329" s="7">
        <v>1202</v>
      </c>
    </row>
    <row r="1330" spans="1:10" x14ac:dyDescent="0.2">
      <c r="A1330" s="9">
        <v>45940</v>
      </c>
      <c r="B1330" s="4" t="s">
        <v>222</v>
      </c>
      <c r="C1330" s="8">
        <v>45931</v>
      </c>
      <c r="D1330" s="4" t="s">
        <v>195</v>
      </c>
      <c r="E1330" s="14">
        <v>2.1606999999999998</v>
      </c>
      <c r="F1330" s="7">
        <v>1302</v>
      </c>
      <c r="G1330" s="14">
        <v>5.3800000000000001E-2</v>
      </c>
      <c r="H1330" s="7">
        <v>78</v>
      </c>
      <c r="I1330" s="14">
        <v>2.2145000000000001</v>
      </c>
      <c r="J1330" s="7">
        <v>1380</v>
      </c>
    </row>
    <row r="1331" spans="1:10" x14ac:dyDescent="0.2">
      <c r="A1331" s="9">
        <v>45943</v>
      </c>
      <c r="B1331" s="4" t="s">
        <v>225</v>
      </c>
      <c r="C1331" s="8">
        <v>45931</v>
      </c>
      <c r="D1331" s="4" t="s">
        <v>195</v>
      </c>
      <c r="E1331" s="14">
        <v>1.2865</v>
      </c>
      <c r="F1331" s="7">
        <v>778</v>
      </c>
      <c r="G1331" s="14">
        <v>7.7000000000000002E-3</v>
      </c>
      <c r="H1331" s="7">
        <v>12</v>
      </c>
      <c r="I1331" s="14">
        <v>1.2942</v>
      </c>
      <c r="J1331" s="7">
        <v>790</v>
      </c>
    </row>
    <row r="1332" spans="1:10" x14ac:dyDescent="0.2">
      <c r="A1332" s="9">
        <v>45944</v>
      </c>
      <c r="B1332" s="4" t="s">
        <v>223</v>
      </c>
      <c r="C1332" s="8">
        <v>45931</v>
      </c>
      <c r="D1332" s="4" t="s">
        <v>195</v>
      </c>
      <c r="E1332" s="14">
        <v>1.8373999999999999</v>
      </c>
      <c r="F1332" s="7">
        <v>1112</v>
      </c>
      <c r="G1332" s="14">
        <v>8.8999999999999999E-3</v>
      </c>
      <c r="H1332" s="7">
        <v>12</v>
      </c>
      <c r="I1332" s="14">
        <v>1.8463000000000001</v>
      </c>
      <c r="J1332" s="7">
        <v>1124</v>
      </c>
    </row>
    <row r="1333" spans="1:10" x14ac:dyDescent="0.2">
      <c r="A1333" s="9">
        <v>45945</v>
      </c>
      <c r="B1333" s="4" t="s">
        <v>221</v>
      </c>
      <c r="C1333" s="8">
        <v>45931</v>
      </c>
      <c r="D1333" s="4" t="s">
        <v>195</v>
      </c>
      <c r="E1333" s="14">
        <v>2.4727999999999999</v>
      </c>
      <c r="F1333" s="7">
        <v>1491</v>
      </c>
      <c r="G1333" s="14">
        <v>6.0000000000000001E-3</v>
      </c>
      <c r="H1333" s="7">
        <v>8</v>
      </c>
      <c r="I1333" s="14">
        <v>2.4788000000000001</v>
      </c>
      <c r="J1333" s="7">
        <v>1499</v>
      </c>
    </row>
    <row r="1334" spans="1:10" x14ac:dyDescent="0.2">
      <c r="A1334" s="9">
        <v>45946</v>
      </c>
      <c r="B1334" s="4" t="s">
        <v>224</v>
      </c>
      <c r="C1334" s="8">
        <v>45931</v>
      </c>
      <c r="D1334" s="4" t="s">
        <v>195</v>
      </c>
      <c r="E1334" s="14">
        <v>3.1046999999999998</v>
      </c>
      <c r="F1334" s="7">
        <v>1857</v>
      </c>
      <c r="G1334" s="14">
        <v>4.0899999999999999E-2</v>
      </c>
      <c r="H1334" s="7">
        <v>52</v>
      </c>
      <c r="I1334" s="14">
        <v>3.1456</v>
      </c>
      <c r="J1334" s="7">
        <v>1909</v>
      </c>
    </row>
    <row r="1335" spans="1:10" x14ac:dyDescent="0.2">
      <c r="A1335" s="9">
        <v>45947</v>
      </c>
      <c r="B1335" s="4" t="s">
        <v>222</v>
      </c>
      <c r="C1335" s="8">
        <v>45931</v>
      </c>
      <c r="D1335" s="4" t="s">
        <v>195</v>
      </c>
      <c r="E1335" s="14">
        <v>3.5459000000000001</v>
      </c>
      <c r="F1335" s="7">
        <v>2107</v>
      </c>
      <c r="G1335" s="14">
        <v>9.9000000000000008E-3</v>
      </c>
      <c r="H1335" s="7">
        <v>13</v>
      </c>
      <c r="I1335" s="14">
        <v>3.5558000000000001</v>
      </c>
      <c r="J1335" s="7">
        <v>2120</v>
      </c>
    </row>
    <row r="1336" spans="1:10" x14ac:dyDescent="0.2">
      <c r="A1336" s="9">
        <v>45950</v>
      </c>
      <c r="B1336" s="4" t="s">
        <v>225</v>
      </c>
      <c r="C1336" s="8">
        <v>45931</v>
      </c>
      <c r="D1336" s="4" t="s">
        <v>195</v>
      </c>
      <c r="E1336" s="14">
        <v>2.4159000000000002</v>
      </c>
      <c r="F1336" s="7">
        <v>1426</v>
      </c>
      <c r="G1336" s="14">
        <v>2.5999999999999999E-3</v>
      </c>
      <c r="H1336" s="7">
        <v>3</v>
      </c>
      <c r="I1336" s="14">
        <v>2.4184999999999999</v>
      </c>
      <c r="J1336" s="7">
        <v>1429</v>
      </c>
    </row>
    <row r="1337" spans="1:10" x14ac:dyDescent="0.2">
      <c r="A1337" s="9">
        <v>45951</v>
      </c>
      <c r="B1337" s="4" t="s">
        <v>223</v>
      </c>
      <c r="C1337" s="8">
        <v>45931</v>
      </c>
      <c r="D1337" s="4" t="s">
        <v>195</v>
      </c>
      <c r="E1337" s="14">
        <v>0.7268</v>
      </c>
      <c r="F1337" s="7">
        <v>429</v>
      </c>
      <c r="G1337" s="14">
        <v>0</v>
      </c>
      <c r="H1337" s="7">
        <v>0</v>
      </c>
      <c r="I1337" s="14">
        <v>0.7268</v>
      </c>
      <c r="J1337" s="7">
        <v>429</v>
      </c>
    </row>
    <row r="1338" spans="1:10" x14ac:dyDescent="0.2">
      <c r="A1338" s="9">
        <v>45953</v>
      </c>
      <c r="B1338" s="4" t="s">
        <v>224</v>
      </c>
      <c r="C1338" s="8">
        <v>45931</v>
      </c>
      <c r="D1338" s="4" t="s">
        <v>195</v>
      </c>
      <c r="E1338" s="14">
        <v>5.6375000000000002</v>
      </c>
      <c r="F1338" s="7">
        <v>3303</v>
      </c>
      <c r="G1338" s="14">
        <v>5.4100000000000002E-2</v>
      </c>
      <c r="H1338" s="7">
        <v>73</v>
      </c>
      <c r="I1338" s="14">
        <v>5.6916000000000002</v>
      </c>
      <c r="J1338" s="7">
        <v>3376</v>
      </c>
    </row>
    <row r="1339" spans="1:10" x14ac:dyDescent="0.2">
      <c r="A1339" s="9">
        <v>45954</v>
      </c>
      <c r="B1339" s="4" t="s">
        <v>222</v>
      </c>
      <c r="C1339" s="8">
        <v>45931</v>
      </c>
      <c r="D1339" s="4" t="s">
        <v>195</v>
      </c>
      <c r="E1339" s="14">
        <v>2.9491999999999998</v>
      </c>
      <c r="F1339" s="7">
        <v>1741</v>
      </c>
      <c r="G1339" s="14">
        <v>3.0800000000000001E-2</v>
      </c>
      <c r="H1339" s="7">
        <v>34</v>
      </c>
      <c r="I1339" s="14">
        <v>2.98</v>
      </c>
      <c r="J1339" s="7">
        <v>1775</v>
      </c>
    </row>
    <row r="1340" spans="1:10" x14ac:dyDescent="0.2">
      <c r="A1340" s="9">
        <v>45957</v>
      </c>
      <c r="B1340" s="4" t="s">
        <v>225</v>
      </c>
      <c r="C1340" s="8">
        <v>45931</v>
      </c>
      <c r="D1340" s="4" t="s">
        <v>195</v>
      </c>
      <c r="E1340" s="14">
        <v>2.4891999999999999</v>
      </c>
      <c r="F1340" s="7">
        <v>1460</v>
      </c>
      <c r="G1340" s="14">
        <v>6.9999999999999999E-4</v>
      </c>
      <c r="H1340" s="7">
        <v>1</v>
      </c>
      <c r="I1340" s="14">
        <v>2.4899</v>
      </c>
      <c r="J1340" s="7">
        <v>1461</v>
      </c>
    </row>
    <row r="1341" spans="1:10" x14ac:dyDescent="0.2">
      <c r="A1341" s="9">
        <v>45958</v>
      </c>
      <c r="B1341" s="4" t="s">
        <v>223</v>
      </c>
      <c r="C1341" s="8">
        <v>45931</v>
      </c>
      <c r="D1341" s="4" t="s">
        <v>195</v>
      </c>
      <c r="E1341" s="14">
        <v>2.17</v>
      </c>
      <c r="F1341" s="7">
        <v>1276</v>
      </c>
      <c r="G1341" s="14">
        <v>5.6399999999999999E-2</v>
      </c>
      <c r="H1341" s="7">
        <v>64</v>
      </c>
      <c r="I1341" s="14">
        <v>2.2263999999999999</v>
      </c>
      <c r="J1341" s="7">
        <v>1340</v>
      </c>
    </row>
    <row r="1342" spans="1:10" x14ac:dyDescent="0.2">
      <c r="A1342" s="9">
        <v>45959</v>
      </c>
      <c r="B1342" s="4" t="s">
        <v>221</v>
      </c>
      <c r="C1342" s="8">
        <v>45931</v>
      </c>
      <c r="D1342" s="4" t="s">
        <v>195</v>
      </c>
      <c r="E1342" s="14">
        <v>3.6351</v>
      </c>
      <c r="F1342" s="7">
        <v>2131</v>
      </c>
      <c r="G1342" s="14">
        <v>4.4200000000000003E-2</v>
      </c>
      <c r="H1342" s="7">
        <v>55</v>
      </c>
      <c r="I1342" s="14">
        <v>3.6793</v>
      </c>
      <c r="J1342" s="7">
        <v>2186</v>
      </c>
    </row>
    <row r="1343" spans="1:10" x14ac:dyDescent="0.2">
      <c r="A1343" s="9">
        <v>45960</v>
      </c>
      <c r="B1343" s="4" t="s">
        <v>224</v>
      </c>
      <c r="C1343" s="8">
        <v>45931</v>
      </c>
      <c r="D1343" s="4" t="s">
        <v>195</v>
      </c>
      <c r="E1343" s="14">
        <v>6.4894999999999996</v>
      </c>
      <c r="F1343" s="7">
        <v>3825</v>
      </c>
      <c r="G1343" s="14">
        <v>1.1900000000000001E-2</v>
      </c>
      <c r="H1343" s="7">
        <v>18</v>
      </c>
      <c r="I1343" s="14">
        <v>6.5014000000000003</v>
      </c>
      <c r="J1343" s="7">
        <v>3843</v>
      </c>
    </row>
    <row r="1344" spans="1:10" x14ac:dyDescent="0.2">
      <c r="A1344" s="9">
        <v>45961</v>
      </c>
      <c r="B1344" s="4" t="s">
        <v>222</v>
      </c>
      <c r="C1344" s="8">
        <v>45931</v>
      </c>
      <c r="D1344" s="4" t="s">
        <v>195</v>
      </c>
      <c r="E1344" s="14">
        <v>3.0464000000000002</v>
      </c>
      <c r="F1344" s="7">
        <v>1793</v>
      </c>
      <c r="G1344" s="14">
        <v>2.5000000000000001E-3</v>
      </c>
      <c r="H1344" s="7">
        <v>3</v>
      </c>
      <c r="I1344" s="14">
        <v>3.0489000000000002</v>
      </c>
      <c r="J1344" s="7">
        <v>1796</v>
      </c>
    </row>
    <row r="1345" spans="1:10" x14ac:dyDescent="0.2">
      <c r="A1345" s="9">
        <v>45964</v>
      </c>
      <c r="B1345" s="4" t="s">
        <v>225</v>
      </c>
      <c r="C1345" s="8">
        <v>45962</v>
      </c>
      <c r="D1345" s="4" t="s">
        <v>195</v>
      </c>
      <c r="E1345" s="14">
        <v>1.7088000000000001</v>
      </c>
      <c r="F1345" s="7">
        <v>1011</v>
      </c>
      <c r="G1345" s="14">
        <v>4.0399999999999998E-2</v>
      </c>
      <c r="H1345" s="7">
        <v>67</v>
      </c>
      <c r="I1345" s="14">
        <v>1.7492000000000001</v>
      </c>
      <c r="J1345" s="7">
        <v>1078</v>
      </c>
    </row>
    <row r="1346" spans="1:10" x14ac:dyDescent="0.2">
      <c r="A1346" s="9">
        <v>45965</v>
      </c>
      <c r="B1346" s="4" t="s">
        <v>223</v>
      </c>
      <c r="C1346" s="8">
        <v>45962</v>
      </c>
      <c r="D1346" s="4" t="s">
        <v>195</v>
      </c>
      <c r="E1346" s="14">
        <v>1.6556999999999999</v>
      </c>
      <c r="F1346" s="7">
        <v>983</v>
      </c>
      <c r="G1346" s="14">
        <v>8.4599999999999995E-2</v>
      </c>
      <c r="H1346" s="7">
        <v>128</v>
      </c>
      <c r="I1346" s="14">
        <v>1.7403</v>
      </c>
      <c r="J1346" s="7">
        <v>1111</v>
      </c>
    </row>
    <row r="1347" spans="1:10" x14ac:dyDescent="0.2">
      <c r="A1347" s="9">
        <v>45967</v>
      </c>
      <c r="B1347" s="4" t="s">
        <v>224</v>
      </c>
      <c r="C1347" s="8">
        <v>45962</v>
      </c>
      <c r="D1347" s="4" t="s">
        <v>195</v>
      </c>
      <c r="E1347" s="14">
        <v>3.6701999999999999</v>
      </c>
      <c r="F1347" s="7">
        <v>2186</v>
      </c>
      <c r="G1347" s="14">
        <v>2.8000000000000001E-2</v>
      </c>
      <c r="H1347" s="7">
        <v>44</v>
      </c>
      <c r="I1347" s="14">
        <v>3.6981999999999999</v>
      </c>
      <c r="J1347" s="7">
        <v>2230</v>
      </c>
    </row>
    <row r="1348" spans="1:10" x14ac:dyDescent="0.2">
      <c r="A1348" s="9">
        <v>45968</v>
      </c>
      <c r="B1348" s="4" t="s">
        <v>222</v>
      </c>
      <c r="C1348" s="8">
        <v>45962</v>
      </c>
      <c r="D1348" s="4" t="s">
        <v>195</v>
      </c>
      <c r="E1348" s="14">
        <v>2.9355000000000002</v>
      </c>
      <c r="F1348" s="7">
        <v>1759</v>
      </c>
      <c r="G1348" s="14">
        <v>6.0999999999999999E-2</v>
      </c>
      <c r="H1348" s="7">
        <v>102</v>
      </c>
      <c r="I1348" s="14">
        <v>2.9965000000000002</v>
      </c>
      <c r="J1348" s="7">
        <v>1861</v>
      </c>
    </row>
    <row r="1349" spans="1:10" x14ac:dyDescent="0.2">
      <c r="A1349" s="9">
        <v>45971</v>
      </c>
      <c r="B1349" s="4" t="s">
        <v>225</v>
      </c>
      <c r="C1349" s="8">
        <v>45962</v>
      </c>
      <c r="D1349" s="4" t="s">
        <v>195</v>
      </c>
      <c r="E1349" s="14">
        <v>1.899</v>
      </c>
      <c r="F1349" s="7">
        <v>1130</v>
      </c>
      <c r="G1349" s="14">
        <v>1.2E-2</v>
      </c>
      <c r="H1349" s="7">
        <v>21</v>
      </c>
      <c r="I1349" s="14">
        <v>1.911</v>
      </c>
      <c r="J1349" s="7">
        <v>1151</v>
      </c>
    </row>
    <row r="1350" spans="1:10" x14ac:dyDescent="0.2">
      <c r="A1350" s="9">
        <v>45972</v>
      </c>
      <c r="B1350" s="4" t="s">
        <v>223</v>
      </c>
      <c r="C1350" s="8">
        <v>45962</v>
      </c>
      <c r="D1350" s="4" t="s">
        <v>195</v>
      </c>
      <c r="E1350" s="14">
        <v>2.9676999999999998</v>
      </c>
      <c r="F1350" s="7">
        <v>1765</v>
      </c>
      <c r="G1350" s="14">
        <v>4.4999999999999998E-2</v>
      </c>
      <c r="H1350" s="7">
        <v>78</v>
      </c>
      <c r="I1350" s="14">
        <v>3.0127000000000002</v>
      </c>
      <c r="J1350" s="7">
        <v>1843</v>
      </c>
    </row>
    <row r="1351" spans="1:10" x14ac:dyDescent="0.2">
      <c r="A1351" s="9">
        <v>45973</v>
      </c>
      <c r="B1351" s="4" t="s">
        <v>221</v>
      </c>
      <c r="C1351" s="8">
        <v>45962</v>
      </c>
      <c r="D1351" s="4" t="s">
        <v>195</v>
      </c>
      <c r="E1351" s="14">
        <v>3.0933999999999999</v>
      </c>
      <c r="F1351" s="7">
        <v>1823</v>
      </c>
      <c r="G1351" s="14">
        <v>3.8399999999999997E-2</v>
      </c>
      <c r="H1351" s="7">
        <v>56</v>
      </c>
      <c r="I1351" s="14">
        <v>3.1318000000000001</v>
      </c>
      <c r="J1351" s="7">
        <v>1879</v>
      </c>
    </row>
    <row r="1352" spans="1:10" x14ac:dyDescent="0.2">
      <c r="A1352" s="9">
        <v>45974</v>
      </c>
      <c r="B1352" s="4" t="s">
        <v>224</v>
      </c>
      <c r="C1352" s="8">
        <v>45962</v>
      </c>
      <c r="D1352" s="4" t="s">
        <v>195</v>
      </c>
      <c r="E1352" s="14">
        <v>4.1087999999999996</v>
      </c>
      <c r="F1352" s="7">
        <v>2416</v>
      </c>
      <c r="G1352" s="14">
        <v>3.32E-2</v>
      </c>
      <c r="H1352" s="7">
        <v>64</v>
      </c>
      <c r="I1352" s="14">
        <v>4.1420000000000003</v>
      </c>
      <c r="J1352" s="7">
        <v>2480</v>
      </c>
    </row>
    <row r="1353" spans="1:10" x14ac:dyDescent="0.2">
      <c r="A1353" s="9">
        <v>45975</v>
      </c>
      <c r="B1353" s="4" t="s">
        <v>222</v>
      </c>
      <c r="C1353" s="8">
        <v>45962</v>
      </c>
      <c r="D1353" s="4" t="s">
        <v>195</v>
      </c>
      <c r="E1353" s="14">
        <v>3.0535000000000001</v>
      </c>
      <c r="F1353" s="7">
        <v>1802</v>
      </c>
      <c r="G1353" s="14">
        <v>2.7900000000000001E-2</v>
      </c>
      <c r="H1353" s="7">
        <v>53</v>
      </c>
      <c r="I1353" s="14">
        <v>3.0813999999999999</v>
      </c>
      <c r="J1353" s="7">
        <v>1855</v>
      </c>
    </row>
    <row r="1354" spans="1:10" x14ac:dyDescent="0.2">
      <c r="A1354" s="9">
        <v>45978</v>
      </c>
      <c r="B1354" s="4" t="s">
        <v>225</v>
      </c>
      <c r="C1354" s="8">
        <v>45962</v>
      </c>
      <c r="D1354" s="4" t="s">
        <v>195</v>
      </c>
      <c r="E1354" s="14">
        <v>1.5918000000000001</v>
      </c>
      <c r="F1354" s="7">
        <v>934</v>
      </c>
      <c r="G1354" s="14">
        <v>2.3099999999999999E-2</v>
      </c>
      <c r="H1354" s="7">
        <v>37</v>
      </c>
      <c r="I1354" s="14">
        <v>1.6149</v>
      </c>
      <c r="J1354" s="7">
        <v>971</v>
      </c>
    </row>
    <row r="1355" spans="1:10" x14ac:dyDescent="0.2">
      <c r="A1355" s="9">
        <v>45979</v>
      </c>
      <c r="B1355" s="4" t="s">
        <v>223</v>
      </c>
      <c r="C1355" s="8">
        <v>45962</v>
      </c>
      <c r="D1355" s="4" t="s">
        <v>195</v>
      </c>
      <c r="E1355" s="14">
        <v>1.6682999999999999</v>
      </c>
      <c r="F1355" s="7">
        <v>981</v>
      </c>
      <c r="G1355" s="14">
        <v>3.6299999999999999E-2</v>
      </c>
      <c r="H1355" s="7">
        <v>67</v>
      </c>
      <c r="I1355" s="14">
        <v>1.7045999999999999</v>
      </c>
      <c r="J1355" s="7">
        <v>1048</v>
      </c>
    </row>
    <row r="1356" spans="1:10" x14ac:dyDescent="0.2">
      <c r="A1356" s="9">
        <v>45980</v>
      </c>
      <c r="B1356" s="4" t="s">
        <v>221</v>
      </c>
      <c r="C1356" s="8">
        <v>45962</v>
      </c>
      <c r="D1356" s="4" t="s">
        <v>195</v>
      </c>
      <c r="E1356" s="14">
        <v>2.3260999999999998</v>
      </c>
      <c r="F1356" s="7">
        <v>1365</v>
      </c>
      <c r="G1356" s="14">
        <v>2.6599999999999999E-2</v>
      </c>
      <c r="H1356" s="7">
        <v>38</v>
      </c>
      <c r="I1356" s="14">
        <v>2.3527</v>
      </c>
      <c r="J1356" s="7">
        <v>1403</v>
      </c>
    </row>
    <row r="1357" spans="1:10" x14ac:dyDescent="0.2">
      <c r="A1357" s="9">
        <v>45981</v>
      </c>
      <c r="B1357" s="4" t="s">
        <v>224</v>
      </c>
      <c r="C1357" s="8">
        <v>45962</v>
      </c>
      <c r="D1357" s="4" t="s">
        <v>195</v>
      </c>
      <c r="E1357" s="14">
        <v>4.7838000000000003</v>
      </c>
      <c r="F1357" s="7">
        <v>2790</v>
      </c>
      <c r="G1357" s="14">
        <v>3.2899999999999999E-2</v>
      </c>
      <c r="H1357" s="7">
        <v>50</v>
      </c>
      <c r="I1357" s="14">
        <v>4.8167</v>
      </c>
      <c r="J1357" s="7">
        <v>2840</v>
      </c>
    </row>
    <row r="1358" spans="1:10" x14ac:dyDescent="0.2">
      <c r="A1358" s="9">
        <v>45982</v>
      </c>
      <c r="B1358" s="4" t="s">
        <v>222</v>
      </c>
      <c r="C1358" s="8">
        <v>45962</v>
      </c>
      <c r="D1358" s="4" t="s">
        <v>195</v>
      </c>
      <c r="E1358" s="14">
        <v>2.8959000000000001</v>
      </c>
      <c r="F1358" s="7">
        <v>1691</v>
      </c>
      <c r="G1358" s="14">
        <v>3.8300000000000001E-2</v>
      </c>
      <c r="H1358" s="7">
        <v>57</v>
      </c>
      <c r="I1358" s="14">
        <v>2.9342000000000001</v>
      </c>
      <c r="J1358" s="7">
        <v>1748</v>
      </c>
    </row>
    <row r="1359" spans="1:10" x14ac:dyDescent="0.2">
      <c r="A1359" s="9">
        <v>45985</v>
      </c>
      <c r="B1359" s="4" t="s">
        <v>225</v>
      </c>
      <c r="C1359" s="8">
        <v>45962</v>
      </c>
      <c r="D1359" s="4" t="s">
        <v>195</v>
      </c>
      <c r="E1359" s="14">
        <v>1.8391999999999999</v>
      </c>
      <c r="F1359" s="7">
        <v>1074</v>
      </c>
      <c r="G1359" s="14">
        <v>3.9E-2</v>
      </c>
      <c r="H1359" s="7">
        <v>74</v>
      </c>
      <c r="I1359" s="14">
        <v>1.8782000000000001</v>
      </c>
      <c r="J1359" s="7">
        <v>1148</v>
      </c>
    </row>
    <row r="1360" spans="1:10" x14ac:dyDescent="0.2">
      <c r="A1360" s="9">
        <v>45986</v>
      </c>
      <c r="B1360" s="4" t="s">
        <v>223</v>
      </c>
      <c r="C1360" s="8">
        <v>45962</v>
      </c>
      <c r="D1360" s="4" t="s">
        <v>195</v>
      </c>
      <c r="E1360" s="14">
        <v>5.2518000000000002</v>
      </c>
      <c r="F1360" s="7">
        <v>3075</v>
      </c>
      <c r="G1360" s="14">
        <v>1.6999999999999999E-3</v>
      </c>
      <c r="H1360" s="7">
        <v>2</v>
      </c>
      <c r="I1360" s="14">
        <v>5.2534999999999998</v>
      </c>
      <c r="J1360" s="7">
        <v>3077</v>
      </c>
    </row>
    <row r="1361" spans="1:10" x14ac:dyDescent="0.2">
      <c r="A1361" s="9">
        <v>45987</v>
      </c>
      <c r="B1361" s="4" t="s">
        <v>221</v>
      </c>
      <c r="C1361" s="8">
        <v>45962</v>
      </c>
      <c r="D1361" s="4" t="s">
        <v>195</v>
      </c>
      <c r="E1361" s="14">
        <v>4.8000999999999996</v>
      </c>
      <c r="F1361" s="7">
        <v>2802</v>
      </c>
      <c r="G1361" s="14">
        <v>4.8800000000000003E-2</v>
      </c>
      <c r="H1361" s="7">
        <v>71</v>
      </c>
      <c r="I1361" s="14">
        <v>4.8489000000000004</v>
      </c>
      <c r="J1361" s="7">
        <v>2873</v>
      </c>
    </row>
    <row r="1362" spans="1:10" x14ac:dyDescent="0.2">
      <c r="A1362" s="9">
        <v>45988</v>
      </c>
      <c r="B1362" s="4" t="s">
        <v>224</v>
      </c>
      <c r="C1362" s="8">
        <v>45962</v>
      </c>
      <c r="D1362" s="4" t="s">
        <v>195</v>
      </c>
      <c r="E1362" s="14">
        <v>5.8724999999999996</v>
      </c>
      <c r="F1362" s="7">
        <v>3412</v>
      </c>
      <c r="G1362" s="14">
        <v>1.6999999999999999E-3</v>
      </c>
      <c r="H1362" s="7">
        <v>2</v>
      </c>
      <c r="I1362" s="14">
        <v>5.8742000000000001</v>
      </c>
      <c r="J1362" s="7">
        <v>3414</v>
      </c>
    </row>
    <row r="1363" spans="1:10" x14ac:dyDescent="0.2">
      <c r="A1363" s="9">
        <v>45989</v>
      </c>
      <c r="B1363" s="4" t="s">
        <v>222</v>
      </c>
      <c r="C1363" s="8">
        <v>45962</v>
      </c>
      <c r="D1363" s="4" t="s">
        <v>195</v>
      </c>
      <c r="E1363" s="14">
        <v>1.3677999999999999</v>
      </c>
      <c r="F1363" s="7">
        <v>790</v>
      </c>
      <c r="G1363" s="14">
        <v>2.4899999999999999E-2</v>
      </c>
      <c r="H1363" s="7">
        <v>35</v>
      </c>
      <c r="I1363" s="14">
        <v>1.3927</v>
      </c>
      <c r="J1363" s="7">
        <v>825</v>
      </c>
    </row>
    <row r="1364" spans="1:10" x14ac:dyDescent="0.2">
      <c r="A1364" s="9">
        <v>45992</v>
      </c>
      <c r="B1364" s="4" t="s">
        <v>225</v>
      </c>
      <c r="C1364" s="8">
        <v>45992</v>
      </c>
      <c r="D1364" s="4" t="s">
        <v>195</v>
      </c>
      <c r="E1364" s="14">
        <v>2.0171000000000001</v>
      </c>
      <c r="F1364" s="7">
        <v>1167</v>
      </c>
      <c r="G1364" s="14">
        <v>5.1999999999999998E-3</v>
      </c>
      <c r="H1364" s="7">
        <v>7</v>
      </c>
      <c r="I1364" s="14">
        <v>2.0223</v>
      </c>
      <c r="J1364" s="7">
        <v>1174</v>
      </c>
    </row>
    <row r="1365" spans="1:10" x14ac:dyDescent="0.2">
      <c r="A1365" s="9">
        <v>45993</v>
      </c>
      <c r="B1365" s="4" t="s">
        <v>223</v>
      </c>
      <c r="C1365" s="8">
        <v>45992</v>
      </c>
      <c r="D1365" s="4" t="s">
        <v>195</v>
      </c>
      <c r="E1365" s="14">
        <v>2.0708000000000002</v>
      </c>
      <c r="F1365" s="7">
        <v>1204</v>
      </c>
      <c r="G1365" s="14">
        <v>9.1000000000000004E-3</v>
      </c>
      <c r="H1365" s="7">
        <v>13</v>
      </c>
      <c r="I1365" s="14">
        <v>2.0798999999999999</v>
      </c>
      <c r="J1365" s="7">
        <v>1217</v>
      </c>
    </row>
    <row r="1366" spans="1:10" x14ac:dyDescent="0.2">
      <c r="A1366" s="9">
        <v>45994</v>
      </c>
      <c r="B1366" s="4" t="s">
        <v>221</v>
      </c>
      <c r="C1366" s="8">
        <v>45992</v>
      </c>
      <c r="D1366" s="4" t="s">
        <v>195</v>
      </c>
      <c r="E1366" s="14">
        <v>2.2239</v>
      </c>
      <c r="F1366" s="7">
        <v>1300</v>
      </c>
      <c r="G1366" s="14">
        <v>5.9499999999999997E-2</v>
      </c>
      <c r="H1366" s="7">
        <v>93</v>
      </c>
      <c r="I1366" s="14">
        <v>2.2833999999999999</v>
      </c>
      <c r="J1366" s="7">
        <v>1393</v>
      </c>
    </row>
    <row r="1367" spans="1:10" x14ac:dyDescent="0.2">
      <c r="A1367" s="9">
        <v>45995</v>
      </c>
      <c r="B1367" s="4" t="s">
        <v>224</v>
      </c>
      <c r="C1367" s="8">
        <v>45992</v>
      </c>
      <c r="D1367" s="4" t="s">
        <v>195</v>
      </c>
      <c r="E1367" s="14">
        <v>3.3452000000000002</v>
      </c>
      <c r="F1367" s="7">
        <v>1950</v>
      </c>
      <c r="G1367" s="14">
        <v>2.9000000000000001E-2</v>
      </c>
      <c r="H1367" s="7">
        <v>41</v>
      </c>
      <c r="I1367" s="14">
        <v>3.3742000000000001</v>
      </c>
      <c r="J1367" s="7">
        <v>1991</v>
      </c>
    </row>
    <row r="1368" spans="1:10" x14ac:dyDescent="0.2">
      <c r="A1368" s="9">
        <v>45996</v>
      </c>
      <c r="B1368" s="4" t="s">
        <v>222</v>
      </c>
      <c r="C1368" s="8">
        <v>45992</v>
      </c>
      <c r="D1368" s="4" t="s">
        <v>195</v>
      </c>
      <c r="E1368" s="14">
        <v>2.4741</v>
      </c>
      <c r="F1368" s="7">
        <v>1436</v>
      </c>
      <c r="G1368" s="14">
        <v>5.7999999999999996E-3</v>
      </c>
      <c r="H1368" s="7">
        <v>9</v>
      </c>
      <c r="I1368" s="14">
        <v>2.4799000000000002</v>
      </c>
      <c r="J1368" s="7">
        <v>1445</v>
      </c>
    </row>
    <row r="1369" spans="1:10" x14ac:dyDescent="0.2">
      <c r="A1369" s="9">
        <v>45999</v>
      </c>
      <c r="B1369" s="4" t="s">
        <v>225</v>
      </c>
      <c r="C1369" s="8">
        <v>45992</v>
      </c>
      <c r="D1369" s="4" t="s">
        <v>195</v>
      </c>
      <c r="E1369" s="14">
        <v>1.8211999999999999</v>
      </c>
      <c r="F1369" s="7">
        <v>1054</v>
      </c>
      <c r="G1369" s="14">
        <v>4.41E-2</v>
      </c>
      <c r="H1369" s="7">
        <v>63</v>
      </c>
      <c r="I1369" s="14">
        <v>1.8653</v>
      </c>
      <c r="J1369" s="7">
        <v>1117</v>
      </c>
    </row>
    <row r="1370" spans="1:10" x14ac:dyDescent="0.2">
      <c r="A1370" s="9">
        <v>46000</v>
      </c>
      <c r="B1370" s="4" t="s">
        <v>223</v>
      </c>
      <c r="C1370" s="8">
        <v>45992</v>
      </c>
      <c r="D1370" s="4" t="s">
        <v>195</v>
      </c>
      <c r="E1370" s="14">
        <v>2.3140000000000001</v>
      </c>
      <c r="F1370" s="7">
        <v>1358</v>
      </c>
      <c r="G1370" s="14">
        <v>2.1299999999999999E-2</v>
      </c>
      <c r="H1370" s="7">
        <v>29</v>
      </c>
      <c r="I1370" s="14">
        <v>2.3353000000000002</v>
      </c>
      <c r="J1370" s="7">
        <v>1387</v>
      </c>
    </row>
    <row r="1371" spans="1:10" x14ac:dyDescent="0.2">
      <c r="A1371" s="9">
        <v>46001</v>
      </c>
      <c r="B1371" s="4" t="s">
        <v>221</v>
      </c>
      <c r="C1371" s="8">
        <v>45992</v>
      </c>
      <c r="D1371" s="4" t="s">
        <v>195</v>
      </c>
      <c r="E1371" s="14">
        <v>2.4922</v>
      </c>
      <c r="F1371" s="7">
        <v>1461</v>
      </c>
      <c r="G1371" s="14">
        <v>3.7900000000000003E-2</v>
      </c>
      <c r="H1371" s="7">
        <v>55</v>
      </c>
      <c r="I1371" s="14">
        <v>2.5301</v>
      </c>
      <c r="J1371" s="7">
        <v>1516</v>
      </c>
    </row>
    <row r="1372" spans="1:10" x14ac:dyDescent="0.2">
      <c r="A1372" s="9">
        <v>46002</v>
      </c>
      <c r="B1372" s="4" t="s">
        <v>224</v>
      </c>
      <c r="C1372" s="8">
        <v>45992</v>
      </c>
      <c r="D1372" s="4" t="s">
        <v>195</v>
      </c>
      <c r="E1372" s="14">
        <v>3.7029000000000001</v>
      </c>
      <c r="F1372" s="7">
        <v>2179</v>
      </c>
      <c r="G1372" s="14">
        <v>2.5100000000000001E-2</v>
      </c>
      <c r="H1372" s="7">
        <v>36</v>
      </c>
      <c r="I1372" s="14">
        <v>3.7280000000000002</v>
      </c>
      <c r="J1372" s="7">
        <v>2215</v>
      </c>
    </row>
    <row r="1373" spans="1:10" x14ac:dyDescent="0.2">
      <c r="A1373" s="9">
        <v>46003</v>
      </c>
      <c r="B1373" s="4" t="s">
        <v>222</v>
      </c>
      <c r="C1373" s="8">
        <v>45992</v>
      </c>
      <c r="D1373" s="4" t="s">
        <v>195</v>
      </c>
      <c r="E1373" s="14">
        <v>1.9476</v>
      </c>
      <c r="F1373" s="7">
        <v>1137</v>
      </c>
      <c r="G1373" s="14">
        <v>4.7899999999999998E-2</v>
      </c>
      <c r="H1373" s="7">
        <v>69</v>
      </c>
      <c r="I1373" s="14">
        <v>1.9955000000000001</v>
      </c>
      <c r="J1373" s="7">
        <v>1206</v>
      </c>
    </row>
    <row r="1374" spans="1:10" x14ac:dyDescent="0.2">
      <c r="A1374" s="9">
        <v>46006</v>
      </c>
      <c r="B1374" s="4" t="s">
        <v>225</v>
      </c>
      <c r="C1374" s="8">
        <v>45992</v>
      </c>
      <c r="D1374" s="4" t="s">
        <v>195</v>
      </c>
      <c r="E1374" s="14">
        <v>1.7035</v>
      </c>
      <c r="F1374" s="7">
        <v>997</v>
      </c>
      <c r="G1374" s="14">
        <v>7.9000000000000008E-3</v>
      </c>
      <c r="H1374" s="7">
        <v>12</v>
      </c>
      <c r="I1374" s="14">
        <v>1.7114</v>
      </c>
      <c r="J1374" s="7">
        <v>1009</v>
      </c>
    </row>
    <row r="1375" spans="1:10" x14ac:dyDescent="0.2">
      <c r="A1375" s="9">
        <v>46007</v>
      </c>
      <c r="B1375" s="4" t="s">
        <v>223</v>
      </c>
      <c r="C1375" s="8">
        <v>45992</v>
      </c>
      <c r="D1375" s="4" t="s">
        <v>195</v>
      </c>
      <c r="E1375" s="14">
        <v>1.5325</v>
      </c>
      <c r="F1375" s="7">
        <v>897</v>
      </c>
      <c r="G1375" s="14">
        <v>4.7699999999999999E-2</v>
      </c>
      <c r="H1375" s="7">
        <v>68</v>
      </c>
      <c r="I1375" s="14">
        <v>1.5802</v>
      </c>
      <c r="J1375" s="7">
        <v>965</v>
      </c>
    </row>
    <row r="1376" spans="1:10" x14ac:dyDescent="0.2">
      <c r="A1376" s="9">
        <v>46008</v>
      </c>
      <c r="B1376" s="4" t="s">
        <v>221</v>
      </c>
      <c r="C1376" s="8">
        <v>45992</v>
      </c>
      <c r="D1376" s="4" t="s">
        <v>195</v>
      </c>
      <c r="E1376" s="14">
        <v>1.6278999999999999</v>
      </c>
      <c r="F1376" s="7">
        <v>957</v>
      </c>
      <c r="G1376" s="14">
        <v>1.2699999999999999E-2</v>
      </c>
      <c r="H1376" s="7">
        <v>17</v>
      </c>
      <c r="I1376" s="14">
        <v>1.6406000000000001</v>
      </c>
      <c r="J1376" s="7">
        <v>974</v>
      </c>
    </row>
    <row r="1377" spans="1:10" x14ac:dyDescent="0.2">
      <c r="A1377" s="9">
        <v>46009</v>
      </c>
      <c r="B1377" s="4" t="s">
        <v>224</v>
      </c>
      <c r="C1377" s="8">
        <v>45992</v>
      </c>
      <c r="D1377" s="4" t="s">
        <v>195</v>
      </c>
      <c r="E1377" s="14">
        <v>3.0762</v>
      </c>
      <c r="F1377" s="7">
        <v>1814</v>
      </c>
      <c r="G1377" s="14">
        <v>4.1999999999999997E-3</v>
      </c>
      <c r="H1377" s="7">
        <v>6</v>
      </c>
      <c r="I1377" s="14">
        <v>3.0804</v>
      </c>
      <c r="J1377" s="7">
        <v>1820</v>
      </c>
    </row>
    <row r="1378" spans="1:10" x14ac:dyDescent="0.2">
      <c r="A1378" s="9">
        <v>46010</v>
      </c>
      <c r="B1378" s="4" t="s">
        <v>222</v>
      </c>
      <c r="C1378" s="8">
        <v>45992</v>
      </c>
      <c r="D1378" s="4" t="s">
        <v>195</v>
      </c>
      <c r="E1378" s="14">
        <v>1.6646000000000001</v>
      </c>
      <c r="F1378" s="7">
        <v>972</v>
      </c>
      <c r="G1378" s="14">
        <v>5.0700000000000002E-2</v>
      </c>
      <c r="H1378" s="7">
        <v>75</v>
      </c>
      <c r="I1378" s="14">
        <v>1.7153</v>
      </c>
      <c r="J1378" s="7">
        <v>1047</v>
      </c>
    </row>
    <row r="1379" spans="1:10" x14ac:dyDescent="0.2">
      <c r="A1379" s="9">
        <v>46013</v>
      </c>
      <c r="B1379" s="4" t="s">
        <v>225</v>
      </c>
      <c r="C1379" s="8">
        <v>45992</v>
      </c>
      <c r="D1379" s="4" t="s">
        <v>195</v>
      </c>
      <c r="E1379" s="14">
        <v>1.5935999999999999</v>
      </c>
      <c r="F1379" s="7">
        <v>925</v>
      </c>
      <c r="G1379" s="14">
        <v>4.0500000000000001E-2</v>
      </c>
      <c r="H1379" s="7">
        <v>58</v>
      </c>
      <c r="I1379" s="14">
        <v>1.6341000000000001</v>
      </c>
      <c r="J1379" s="7">
        <v>983</v>
      </c>
    </row>
    <row r="1380" spans="1:10" x14ac:dyDescent="0.2">
      <c r="A1380" s="9">
        <v>46014</v>
      </c>
      <c r="B1380" s="4" t="s">
        <v>223</v>
      </c>
      <c r="C1380" s="8">
        <v>45992</v>
      </c>
      <c r="D1380" s="4" t="s">
        <v>195</v>
      </c>
      <c r="E1380" s="14">
        <v>2.2033</v>
      </c>
      <c r="F1380" s="7">
        <v>1280</v>
      </c>
      <c r="G1380" s="14">
        <v>8.5000000000000006E-3</v>
      </c>
      <c r="H1380" s="7">
        <v>13</v>
      </c>
      <c r="I1380" s="14">
        <v>2.2118000000000002</v>
      </c>
      <c r="J1380" s="7">
        <v>1293</v>
      </c>
    </row>
    <row r="1381" spans="1:10" x14ac:dyDescent="0.2">
      <c r="A1381" s="9">
        <v>46015</v>
      </c>
      <c r="B1381" s="4" t="s">
        <v>221</v>
      </c>
      <c r="C1381" s="8">
        <v>45992</v>
      </c>
      <c r="D1381" s="4" t="s">
        <v>195</v>
      </c>
      <c r="E1381" s="14">
        <v>5.3361000000000001</v>
      </c>
      <c r="F1381" s="7">
        <v>3106</v>
      </c>
      <c r="G1381" s="14">
        <v>4.0000000000000001E-3</v>
      </c>
      <c r="H1381" s="7">
        <v>5</v>
      </c>
      <c r="I1381" s="14">
        <v>5.3400999999999996</v>
      </c>
      <c r="J1381" s="7">
        <v>3111</v>
      </c>
    </row>
    <row r="1382" spans="1:10" x14ac:dyDescent="0.2">
      <c r="A1382" s="9">
        <v>46017</v>
      </c>
      <c r="B1382" s="4" t="s">
        <v>222</v>
      </c>
      <c r="C1382" s="8">
        <v>45992</v>
      </c>
      <c r="D1382" s="4" t="s">
        <v>195</v>
      </c>
      <c r="E1382" s="14">
        <v>1.0351999999999999</v>
      </c>
      <c r="F1382" s="7">
        <v>602</v>
      </c>
      <c r="G1382" s="14">
        <v>2E-3</v>
      </c>
      <c r="H1382" s="7">
        <v>3</v>
      </c>
      <c r="I1382" s="14">
        <v>1.0371999999999999</v>
      </c>
      <c r="J1382" s="7">
        <v>605</v>
      </c>
    </row>
    <row r="1383" spans="1:10" x14ac:dyDescent="0.2">
      <c r="A1383" s="9">
        <v>46020</v>
      </c>
      <c r="B1383" s="4" t="s">
        <v>225</v>
      </c>
      <c r="C1383" s="8">
        <v>45992</v>
      </c>
      <c r="D1383" s="4" t="s">
        <v>195</v>
      </c>
      <c r="E1383" s="14">
        <v>1.4429000000000001</v>
      </c>
      <c r="F1383" s="7">
        <v>843</v>
      </c>
      <c r="G1383" s="14">
        <v>8.0000000000000004E-4</v>
      </c>
      <c r="H1383" s="7">
        <v>1</v>
      </c>
      <c r="I1383" s="14">
        <v>1.4437</v>
      </c>
      <c r="J1383" s="7">
        <v>844</v>
      </c>
    </row>
    <row r="1384" spans="1:10" x14ac:dyDescent="0.2">
      <c r="A1384" s="9">
        <v>46021</v>
      </c>
      <c r="B1384" s="4" t="s">
        <v>223</v>
      </c>
      <c r="C1384" s="8">
        <v>45992</v>
      </c>
      <c r="D1384" s="4" t="s">
        <v>195</v>
      </c>
      <c r="E1384" s="14">
        <v>1.5405</v>
      </c>
      <c r="F1384" s="7">
        <v>902</v>
      </c>
      <c r="G1384" s="14">
        <v>6.8999999999999999E-3</v>
      </c>
      <c r="H1384" s="7">
        <v>10</v>
      </c>
      <c r="I1384" s="14">
        <v>1.5474000000000001</v>
      </c>
      <c r="J1384" s="7">
        <v>912</v>
      </c>
    </row>
    <row r="1385" spans="1:10" x14ac:dyDescent="0.2">
      <c r="A1385" s="9">
        <v>46022</v>
      </c>
      <c r="B1385" s="4" t="s">
        <v>221</v>
      </c>
      <c r="C1385" s="8">
        <v>45992</v>
      </c>
      <c r="D1385" s="4" t="s">
        <v>195</v>
      </c>
      <c r="E1385" s="14">
        <v>2.5815999999999999</v>
      </c>
      <c r="F1385" s="7">
        <v>1505</v>
      </c>
      <c r="G1385" s="14">
        <v>6.1000000000000004E-3</v>
      </c>
      <c r="H1385" s="7">
        <v>9</v>
      </c>
      <c r="I1385" s="14">
        <v>2.5876999999999999</v>
      </c>
      <c r="J1385" s="7">
        <v>1514</v>
      </c>
    </row>
    <row r="1386" spans="1:10" x14ac:dyDescent="0.2">
      <c r="A1386" s="9">
        <v>46023</v>
      </c>
      <c r="B1386" s="4" t="s">
        <v>224</v>
      </c>
      <c r="C1386" s="8">
        <v>46023</v>
      </c>
      <c r="D1386" s="4" t="s">
        <v>196</v>
      </c>
      <c r="E1386" s="14">
        <v>1.4420999999999999</v>
      </c>
      <c r="F1386" s="7">
        <v>838</v>
      </c>
      <c r="G1386" s="14">
        <v>4.1000000000000003E-3</v>
      </c>
      <c r="H1386" s="7">
        <v>6</v>
      </c>
      <c r="I1386" s="14">
        <v>1.4461999999999999</v>
      </c>
      <c r="J1386" s="7">
        <v>844</v>
      </c>
    </row>
    <row r="1387" spans="1:10" x14ac:dyDescent="0.2">
      <c r="A1387" s="9">
        <v>46024</v>
      </c>
      <c r="B1387" s="4" t="s">
        <v>222</v>
      </c>
      <c r="C1387" s="8">
        <v>46023</v>
      </c>
      <c r="D1387" s="4" t="s">
        <v>196</v>
      </c>
      <c r="E1387" s="14">
        <v>1.4132</v>
      </c>
      <c r="F1387" s="7">
        <v>820</v>
      </c>
      <c r="G1387" s="14">
        <v>2.18E-2</v>
      </c>
      <c r="H1387" s="7">
        <v>31</v>
      </c>
      <c r="I1387" s="14">
        <v>1.4350000000000001</v>
      </c>
      <c r="J1387" s="7">
        <v>851</v>
      </c>
    </row>
    <row r="1388" spans="1:10" x14ac:dyDescent="0.2">
      <c r="A1388" s="9">
        <v>46027</v>
      </c>
      <c r="B1388" s="4" t="s">
        <v>225</v>
      </c>
      <c r="C1388" s="8">
        <v>46023</v>
      </c>
      <c r="D1388" s="4" t="s">
        <v>196</v>
      </c>
      <c r="E1388" s="14">
        <v>1.6711</v>
      </c>
      <c r="F1388" s="7">
        <v>969</v>
      </c>
      <c r="G1388" s="14">
        <v>5.1000000000000004E-3</v>
      </c>
      <c r="H1388" s="7">
        <v>8</v>
      </c>
      <c r="I1388" s="14">
        <v>1.6761999999999999</v>
      </c>
      <c r="J1388" s="7">
        <v>977</v>
      </c>
    </row>
    <row r="1389" spans="1:10" x14ac:dyDescent="0.2">
      <c r="A1389" s="9">
        <v>46028</v>
      </c>
      <c r="B1389" s="4" t="s">
        <v>223</v>
      </c>
      <c r="C1389" s="8">
        <v>46023</v>
      </c>
      <c r="D1389" s="4" t="s">
        <v>196</v>
      </c>
      <c r="E1389" s="14">
        <v>1.7741</v>
      </c>
      <c r="F1389" s="7">
        <v>1034</v>
      </c>
      <c r="G1389" s="14">
        <v>9.9000000000000008E-3</v>
      </c>
      <c r="H1389" s="7">
        <v>13</v>
      </c>
      <c r="I1389" s="14">
        <v>1.784</v>
      </c>
      <c r="J1389" s="7">
        <v>1047</v>
      </c>
    </row>
    <row r="1390" spans="1:10" x14ac:dyDescent="0.2">
      <c r="A1390" s="9">
        <v>46029</v>
      </c>
      <c r="B1390" s="4" t="s">
        <v>221</v>
      </c>
      <c r="C1390" s="8">
        <v>46023</v>
      </c>
      <c r="D1390" s="4" t="s">
        <v>196</v>
      </c>
      <c r="E1390" s="14">
        <v>2.0154999999999998</v>
      </c>
      <c r="F1390" s="7">
        <v>1179</v>
      </c>
      <c r="G1390" s="14">
        <v>5.0000000000000001E-4</v>
      </c>
      <c r="H1390" s="7">
        <v>1</v>
      </c>
      <c r="I1390" s="14">
        <v>2.016</v>
      </c>
      <c r="J1390" s="7">
        <v>1180</v>
      </c>
    </row>
    <row r="1391" spans="1:10" x14ac:dyDescent="0.2">
      <c r="A1391" s="9">
        <v>46030</v>
      </c>
      <c r="B1391" s="4" t="s">
        <v>224</v>
      </c>
      <c r="C1391" s="8">
        <v>46023</v>
      </c>
      <c r="D1391" s="4" t="s">
        <v>196</v>
      </c>
      <c r="E1391" s="14">
        <v>3.5638999999999998</v>
      </c>
      <c r="F1391" s="7">
        <v>2095</v>
      </c>
      <c r="G1391" s="14">
        <v>0</v>
      </c>
      <c r="H1391" s="7">
        <v>0</v>
      </c>
      <c r="I1391" s="14">
        <v>3.5638999999999998</v>
      </c>
      <c r="J1391" s="7">
        <v>2095</v>
      </c>
    </row>
    <row r="1392" spans="1:10" x14ac:dyDescent="0.2">
      <c r="A1392" s="9">
        <v>46031</v>
      </c>
      <c r="B1392" s="4" t="s">
        <v>222</v>
      </c>
      <c r="C1392" s="8">
        <v>46023</v>
      </c>
      <c r="D1392" s="4" t="s">
        <v>196</v>
      </c>
      <c r="E1392" s="14">
        <v>2.4369999999999998</v>
      </c>
      <c r="F1392" s="7">
        <v>1444</v>
      </c>
      <c r="G1392" s="14">
        <v>0</v>
      </c>
      <c r="H1392" s="7">
        <v>0</v>
      </c>
      <c r="I1392" s="14">
        <v>2.4369999999999998</v>
      </c>
      <c r="J1392" s="7">
        <v>1444</v>
      </c>
    </row>
    <row r="1393" spans="1:10" x14ac:dyDescent="0.2">
      <c r="A1393" s="9">
        <v>46034</v>
      </c>
      <c r="B1393" s="4" t="s">
        <v>225</v>
      </c>
      <c r="C1393" s="8">
        <v>46023</v>
      </c>
      <c r="D1393" s="4" t="s">
        <v>196</v>
      </c>
      <c r="E1393" s="14">
        <v>2.8121999999999998</v>
      </c>
      <c r="F1393" s="7">
        <v>1674</v>
      </c>
      <c r="G1393" s="14">
        <v>5.9999999999999995E-4</v>
      </c>
      <c r="H1393" s="7">
        <v>1</v>
      </c>
      <c r="I1393" s="14">
        <v>2.8128000000000002</v>
      </c>
      <c r="J1393" s="7">
        <v>1675</v>
      </c>
    </row>
    <row r="1394" spans="1:10" x14ac:dyDescent="0.2">
      <c r="A1394" s="9">
        <v>46035</v>
      </c>
      <c r="B1394" s="4" t="s">
        <v>223</v>
      </c>
      <c r="C1394" s="8">
        <v>46023</v>
      </c>
      <c r="D1394" s="4" t="s">
        <v>196</v>
      </c>
      <c r="E1394" s="14">
        <v>3.4820000000000002</v>
      </c>
      <c r="F1394" s="7">
        <v>2071</v>
      </c>
      <c r="G1394" s="14">
        <v>1.2999999999999999E-3</v>
      </c>
      <c r="H1394" s="7">
        <v>2</v>
      </c>
      <c r="I1394" s="14">
        <v>3.4832999999999998</v>
      </c>
      <c r="J1394" s="7">
        <v>2073</v>
      </c>
    </row>
    <row r="1395" spans="1:10" x14ac:dyDescent="0.2">
      <c r="A1395" s="9">
        <v>46036</v>
      </c>
      <c r="B1395" s="4" t="s">
        <v>221</v>
      </c>
      <c r="C1395" s="8">
        <v>46023</v>
      </c>
      <c r="D1395" s="4" t="s">
        <v>196</v>
      </c>
      <c r="E1395" s="14">
        <v>3.6680000000000001</v>
      </c>
      <c r="F1395" s="7">
        <v>2186</v>
      </c>
      <c r="G1395" s="14">
        <v>1.1999999999999999E-3</v>
      </c>
      <c r="H1395" s="7">
        <v>2</v>
      </c>
      <c r="I1395" s="14">
        <v>3.6692</v>
      </c>
      <c r="J1395" s="7">
        <v>2188</v>
      </c>
    </row>
    <row r="1396" spans="1:10" x14ac:dyDescent="0.2">
      <c r="A1396" s="9">
        <v>46038</v>
      </c>
      <c r="B1396" s="4" t="s">
        <v>222</v>
      </c>
      <c r="C1396" s="8">
        <v>46023</v>
      </c>
      <c r="D1396" s="4" t="s">
        <v>196</v>
      </c>
      <c r="E1396" s="14">
        <v>2.3696999999999999</v>
      </c>
      <c r="F1396" s="7">
        <v>1407</v>
      </c>
      <c r="G1396" s="14">
        <v>0</v>
      </c>
      <c r="H1396" s="7">
        <v>0</v>
      </c>
      <c r="I1396" s="14">
        <v>2.3696999999999999</v>
      </c>
      <c r="J1396" s="7">
        <v>1407</v>
      </c>
    </row>
    <row r="1397" spans="1:10" x14ac:dyDescent="0.2">
      <c r="A1397" s="9">
        <v>46041</v>
      </c>
      <c r="B1397" s="4" t="s">
        <v>225</v>
      </c>
      <c r="C1397" s="8">
        <v>46023</v>
      </c>
      <c r="D1397" s="4" t="s">
        <v>196</v>
      </c>
      <c r="E1397" s="14">
        <v>2.0579999999999998</v>
      </c>
      <c r="F1397" s="7">
        <v>1232</v>
      </c>
      <c r="G1397" s="14">
        <v>5.0000000000000001E-4</v>
      </c>
      <c r="H1397" s="7">
        <v>1</v>
      </c>
      <c r="I1397" s="14">
        <v>2.0585</v>
      </c>
      <c r="J1397" s="7">
        <v>1233</v>
      </c>
    </row>
    <row r="1398" spans="1:10" x14ac:dyDescent="0.2">
      <c r="A1398" s="9">
        <v>46042</v>
      </c>
      <c r="B1398" s="4" t="s">
        <v>223</v>
      </c>
      <c r="C1398" s="8">
        <v>46023</v>
      </c>
      <c r="D1398" s="4" t="s">
        <v>196</v>
      </c>
      <c r="E1398" s="14">
        <v>2.3925000000000001</v>
      </c>
      <c r="F1398" s="7">
        <v>1439</v>
      </c>
      <c r="G1398" s="14">
        <v>8.0000000000000004E-4</v>
      </c>
      <c r="H1398" s="7">
        <v>1</v>
      </c>
      <c r="I1398" s="14">
        <v>2.3933</v>
      </c>
      <c r="J1398" s="7">
        <v>1440</v>
      </c>
    </row>
    <row r="1399" spans="1:10" x14ac:dyDescent="0.2">
      <c r="A1399" s="9">
        <v>46043</v>
      </c>
      <c r="B1399" s="4" t="s">
        <v>221</v>
      </c>
      <c r="C1399" s="8">
        <v>46023</v>
      </c>
      <c r="D1399" s="4" t="s">
        <v>196</v>
      </c>
      <c r="E1399" s="14">
        <v>4.9355000000000002</v>
      </c>
      <c r="F1399" s="7">
        <v>2998</v>
      </c>
      <c r="G1399" s="14">
        <v>0</v>
      </c>
      <c r="H1399" s="7">
        <v>0</v>
      </c>
      <c r="I1399" s="14">
        <v>4.9355000000000002</v>
      </c>
      <c r="J1399" s="7">
        <v>2998</v>
      </c>
    </row>
    <row r="1400" spans="1:10" x14ac:dyDescent="0.2">
      <c r="A1400" s="9">
        <v>46044</v>
      </c>
      <c r="B1400" s="4" t="s">
        <v>224</v>
      </c>
      <c r="C1400" s="8">
        <v>46023</v>
      </c>
      <c r="D1400" s="4" t="s">
        <v>196</v>
      </c>
      <c r="E1400" s="14">
        <v>4.8489000000000004</v>
      </c>
      <c r="F1400" s="7">
        <v>2915</v>
      </c>
      <c r="G1400" s="14">
        <v>2.0999999999999999E-3</v>
      </c>
      <c r="H1400" s="7">
        <v>3</v>
      </c>
      <c r="I1400" s="14">
        <v>4.851</v>
      </c>
      <c r="J1400" s="7">
        <v>2918</v>
      </c>
    </row>
    <row r="1401" spans="1:10" x14ac:dyDescent="0.2">
      <c r="A1401" s="9">
        <v>46045</v>
      </c>
      <c r="B1401" s="4" t="s">
        <v>222</v>
      </c>
      <c r="C1401" s="8">
        <v>46023</v>
      </c>
      <c r="D1401" s="4" t="s">
        <v>196</v>
      </c>
      <c r="E1401" s="14">
        <v>3.0897999999999999</v>
      </c>
      <c r="F1401" s="7">
        <v>1869</v>
      </c>
      <c r="G1401" s="14">
        <v>6.3E-3</v>
      </c>
      <c r="H1401" s="7">
        <v>9</v>
      </c>
      <c r="I1401" s="14">
        <v>3.0960999999999999</v>
      </c>
      <c r="J1401" s="7">
        <v>1878</v>
      </c>
    </row>
    <row r="1402" spans="1:10" x14ac:dyDescent="0.2">
      <c r="A1402" s="9">
        <v>46049</v>
      </c>
      <c r="B1402" s="4" t="s">
        <v>223</v>
      </c>
      <c r="C1402" s="8">
        <v>46023</v>
      </c>
      <c r="D1402" s="4" t="s">
        <v>196</v>
      </c>
      <c r="E1402" s="14">
        <v>4.2968000000000002</v>
      </c>
      <c r="F1402" s="7">
        <v>2616</v>
      </c>
      <c r="G1402" s="14">
        <v>8.0000000000000004E-4</v>
      </c>
      <c r="H1402" s="7">
        <v>1</v>
      </c>
      <c r="I1402" s="14">
        <v>4.2976000000000001</v>
      </c>
      <c r="J1402" s="7">
        <v>2617</v>
      </c>
    </row>
    <row r="1403" spans="1:10" x14ac:dyDescent="0.2">
      <c r="A1403" s="9">
        <v>46050</v>
      </c>
      <c r="B1403" s="4" t="s">
        <v>221</v>
      </c>
      <c r="C1403" s="8">
        <v>46023</v>
      </c>
      <c r="D1403" s="4" t="s">
        <v>196</v>
      </c>
      <c r="E1403" s="14">
        <v>5.0834000000000001</v>
      </c>
      <c r="F1403" s="7">
        <v>3079</v>
      </c>
      <c r="G1403" s="14">
        <v>0</v>
      </c>
      <c r="H1403" s="7">
        <v>0</v>
      </c>
      <c r="I1403" s="14">
        <v>5.0834000000000001</v>
      </c>
      <c r="J1403" s="7">
        <v>3079</v>
      </c>
    </row>
    <row r="1404" spans="1:10" x14ac:dyDescent="0.2">
      <c r="A1404" s="9">
        <v>46051</v>
      </c>
      <c r="B1404" s="4" t="s">
        <v>224</v>
      </c>
      <c r="C1404" s="8">
        <v>46023</v>
      </c>
      <c r="D1404" s="4" t="s">
        <v>196</v>
      </c>
      <c r="E1404" s="14">
        <v>8.6401000000000003</v>
      </c>
      <c r="F1404" s="7">
        <v>5226</v>
      </c>
      <c r="G1404" s="14">
        <v>0</v>
      </c>
      <c r="H1404" s="7">
        <v>0</v>
      </c>
      <c r="I1404" s="14">
        <v>8.6401000000000003</v>
      </c>
      <c r="J1404" s="7">
        <v>5226</v>
      </c>
    </row>
    <row r="1405" spans="1:10" x14ac:dyDescent="0.2">
      <c r="A1405" s="9">
        <v>46052</v>
      </c>
      <c r="B1405" s="4" t="s">
        <v>222</v>
      </c>
      <c r="C1405" s="8">
        <v>46023</v>
      </c>
      <c r="D1405" s="4" t="s">
        <v>196</v>
      </c>
      <c r="E1405" s="14">
        <v>2.8616999999999999</v>
      </c>
      <c r="F1405" s="7">
        <v>1728</v>
      </c>
      <c r="G1405" s="14">
        <v>1.1000000000000001E-3</v>
      </c>
      <c r="H1405" s="7">
        <v>1</v>
      </c>
      <c r="I1405" s="14">
        <v>2.8628</v>
      </c>
      <c r="J1405" s="7">
        <v>1729</v>
      </c>
    </row>
    <row r="1406" spans="1:10" x14ac:dyDescent="0.2">
      <c r="A1406" s="9">
        <v>46054</v>
      </c>
      <c r="B1406" s="4" t="s">
        <v>227</v>
      </c>
      <c r="C1406" s="8">
        <v>46054</v>
      </c>
      <c r="D1406" s="4" t="s">
        <v>196</v>
      </c>
      <c r="E1406" s="14">
        <v>5.2145000000000001</v>
      </c>
      <c r="F1406" s="7">
        <v>3176</v>
      </c>
      <c r="G1406" s="14">
        <v>1.6999999999999999E-3</v>
      </c>
      <c r="H1406" s="7">
        <v>3</v>
      </c>
      <c r="I1406" s="14">
        <v>5.2161999999999997</v>
      </c>
      <c r="J1406" s="7">
        <v>3179</v>
      </c>
    </row>
    <row r="1407" spans="1:10" x14ac:dyDescent="0.2">
      <c r="A1407" s="9">
        <v>46055</v>
      </c>
      <c r="B1407" s="4" t="s">
        <v>225</v>
      </c>
      <c r="C1407" s="8">
        <v>46054</v>
      </c>
      <c r="D1407" s="4" t="s">
        <v>196</v>
      </c>
      <c r="E1407" s="14">
        <v>3.0259999999999998</v>
      </c>
      <c r="F1407" s="7">
        <v>1856</v>
      </c>
      <c r="G1407" s="14">
        <v>7.7000000000000002E-3</v>
      </c>
      <c r="H1407" s="7">
        <v>10</v>
      </c>
      <c r="I1407" s="14">
        <v>3.0337000000000001</v>
      </c>
      <c r="J1407" s="7">
        <v>1866</v>
      </c>
    </row>
    <row r="1408" spans="1:10" x14ac:dyDescent="0.2">
      <c r="A1408" s="9">
        <v>46056</v>
      </c>
      <c r="B1408" s="4" t="s">
        <v>223</v>
      </c>
      <c r="C1408" s="8">
        <v>46054</v>
      </c>
      <c r="D1408" s="4" t="s">
        <v>196</v>
      </c>
      <c r="E1408" s="14">
        <v>5.7766999999999999</v>
      </c>
      <c r="F1408" s="7">
        <v>3428</v>
      </c>
      <c r="G1408" s="14">
        <v>5.1000000000000004E-3</v>
      </c>
      <c r="H1408" s="7">
        <v>7</v>
      </c>
      <c r="I1408" s="14">
        <v>5.7817999999999996</v>
      </c>
      <c r="J1408" s="7">
        <v>3435</v>
      </c>
    </row>
    <row r="1409" spans="1:10" x14ac:dyDescent="0.2">
      <c r="A1409" s="9">
        <v>46057</v>
      </c>
      <c r="B1409" s="4" t="s">
        <v>221</v>
      </c>
      <c r="C1409" s="8">
        <v>46054</v>
      </c>
      <c r="D1409" s="4" t="s">
        <v>196</v>
      </c>
      <c r="E1409" s="14">
        <v>2.7709999999999999</v>
      </c>
      <c r="F1409" s="7">
        <v>1646</v>
      </c>
      <c r="G1409" s="14">
        <v>1.2999999999999999E-3</v>
      </c>
      <c r="H1409" s="7">
        <v>2</v>
      </c>
      <c r="I1409" s="14">
        <v>2.7723</v>
      </c>
      <c r="J1409" s="7">
        <v>1648</v>
      </c>
    </row>
    <row r="1410" spans="1:10" x14ac:dyDescent="0.2">
      <c r="A1410" s="9">
        <v>46058</v>
      </c>
      <c r="B1410" s="4" t="s">
        <v>224</v>
      </c>
      <c r="C1410" s="8">
        <v>46054</v>
      </c>
      <c r="D1410" s="4" t="s">
        <v>196</v>
      </c>
      <c r="E1410" s="14">
        <v>3.3348</v>
      </c>
      <c r="F1410" s="7">
        <v>1987</v>
      </c>
      <c r="G1410" s="14">
        <v>1.6999999999999999E-3</v>
      </c>
      <c r="H1410" s="7">
        <v>2</v>
      </c>
      <c r="I1410" s="14">
        <v>3.3365</v>
      </c>
      <c r="J1410" s="7">
        <v>1989</v>
      </c>
    </row>
    <row r="1411" spans="1:10" x14ac:dyDescent="0.2">
      <c r="A1411" s="9">
        <v>46059</v>
      </c>
      <c r="B1411" s="4" t="s">
        <v>222</v>
      </c>
      <c r="C1411" s="8">
        <v>46054</v>
      </c>
      <c r="D1411" s="4" t="s">
        <v>196</v>
      </c>
      <c r="E1411" s="14">
        <v>1.9317</v>
      </c>
      <c r="F1411" s="7">
        <v>1155</v>
      </c>
      <c r="G1411" s="14">
        <v>1.6000000000000001E-3</v>
      </c>
      <c r="H1411" s="7">
        <v>3</v>
      </c>
      <c r="I1411" s="14">
        <v>1.9333</v>
      </c>
      <c r="J1411" s="7">
        <v>1158</v>
      </c>
    </row>
    <row r="1412" spans="1:10" x14ac:dyDescent="0.2">
      <c r="A1412" s="9">
        <v>46062</v>
      </c>
      <c r="B1412" s="4" t="s">
        <v>225</v>
      </c>
      <c r="C1412" s="8">
        <v>46054</v>
      </c>
      <c r="D1412" s="4" t="s">
        <v>196</v>
      </c>
      <c r="E1412" s="14">
        <v>2.1755</v>
      </c>
      <c r="F1412" s="7">
        <v>1288</v>
      </c>
      <c r="G1412" s="14">
        <v>0</v>
      </c>
      <c r="H1412" s="7">
        <v>0</v>
      </c>
      <c r="I1412" s="14">
        <v>2.1755</v>
      </c>
      <c r="J1412" s="7">
        <v>1288</v>
      </c>
    </row>
    <row r="1413" spans="1:10" x14ac:dyDescent="0.2">
      <c r="A1413" s="9">
        <v>46063</v>
      </c>
      <c r="B1413" s="4" t="s">
        <v>223</v>
      </c>
      <c r="C1413" s="8">
        <v>46054</v>
      </c>
      <c r="D1413" s="4" t="s">
        <v>196</v>
      </c>
      <c r="E1413" s="14">
        <v>1.7823</v>
      </c>
      <c r="F1413" s="7">
        <v>1053</v>
      </c>
      <c r="G1413" s="14">
        <v>8.9999999999999998E-4</v>
      </c>
      <c r="H1413" s="7">
        <v>1</v>
      </c>
      <c r="I1413" s="14">
        <v>1.7831999999999999</v>
      </c>
      <c r="J1413" s="7">
        <v>1054</v>
      </c>
    </row>
    <row r="1414" spans="1:10" x14ac:dyDescent="0.2">
      <c r="A1414" s="9">
        <v>46064</v>
      </c>
      <c r="B1414" s="4" t="s">
        <v>221</v>
      </c>
      <c r="C1414" s="8">
        <v>46054</v>
      </c>
      <c r="D1414" s="4" t="s">
        <v>196</v>
      </c>
      <c r="E1414" s="14">
        <v>1.496</v>
      </c>
      <c r="F1414" s="7">
        <v>885</v>
      </c>
      <c r="G1414" s="14">
        <v>0</v>
      </c>
      <c r="H1414" s="7">
        <v>0</v>
      </c>
      <c r="I1414" s="14">
        <v>1.496</v>
      </c>
      <c r="J1414" s="7">
        <v>885</v>
      </c>
    </row>
    <row r="1415" spans="1:10" x14ac:dyDescent="0.2">
      <c r="A1415" s="9">
        <v>46065</v>
      </c>
      <c r="B1415" s="4" t="s">
        <v>224</v>
      </c>
      <c r="C1415" s="8">
        <v>46054</v>
      </c>
      <c r="D1415" s="4" t="s">
        <v>196</v>
      </c>
      <c r="E1415" s="14">
        <v>2.5373000000000001</v>
      </c>
      <c r="F1415" s="7">
        <v>1508</v>
      </c>
      <c r="G1415" s="14">
        <v>3.7000000000000002E-3</v>
      </c>
      <c r="H1415" s="7">
        <v>5</v>
      </c>
      <c r="I1415" s="14">
        <v>2.5409999999999999</v>
      </c>
      <c r="J1415" s="7">
        <v>1513</v>
      </c>
    </row>
    <row r="1416" spans="1:10" x14ac:dyDescent="0.2">
      <c r="A1416" s="9">
        <v>46066</v>
      </c>
      <c r="B1416" s="4" t="s">
        <v>222</v>
      </c>
      <c r="C1416" s="8">
        <v>46054</v>
      </c>
      <c r="D1416" s="4" t="s">
        <v>196</v>
      </c>
      <c r="E1416" s="14">
        <v>2.7480000000000002</v>
      </c>
      <c r="F1416" s="7">
        <v>1652</v>
      </c>
      <c r="G1416" s="14">
        <v>1.6000000000000001E-3</v>
      </c>
      <c r="H1416" s="7">
        <v>3</v>
      </c>
      <c r="I1416" s="14">
        <v>2.7496</v>
      </c>
      <c r="J1416" s="7">
        <v>1655</v>
      </c>
    </row>
    <row r="1417" spans="1:10" x14ac:dyDescent="0.2">
      <c r="A1417" s="9">
        <v>46069</v>
      </c>
      <c r="B1417" s="4" t="s">
        <v>225</v>
      </c>
      <c r="C1417" s="8">
        <v>46054</v>
      </c>
      <c r="D1417" s="4" t="s">
        <v>196</v>
      </c>
      <c r="E1417" s="14">
        <v>2.1779999999999999</v>
      </c>
      <c r="F1417" s="7">
        <v>1309</v>
      </c>
      <c r="G1417" s="14">
        <v>0</v>
      </c>
      <c r="H1417" s="7">
        <v>0</v>
      </c>
      <c r="I1417" s="14">
        <v>2.1779999999999999</v>
      </c>
      <c r="J1417" s="7">
        <v>1309</v>
      </c>
    </row>
    <row r="1418" spans="1:10" x14ac:dyDescent="0.2">
      <c r="A1418" s="9">
        <v>46070</v>
      </c>
      <c r="B1418" s="4" t="s">
        <v>223</v>
      </c>
      <c r="C1418" s="8">
        <v>46054</v>
      </c>
      <c r="D1418" s="4" t="s">
        <v>196</v>
      </c>
      <c r="E1418" s="14">
        <v>1.8634999999999999</v>
      </c>
      <c r="F1418" s="7">
        <v>1115</v>
      </c>
      <c r="G1418" s="14">
        <v>0</v>
      </c>
      <c r="H1418" s="7">
        <v>0</v>
      </c>
      <c r="I1418" s="14">
        <v>1.8634999999999999</v>
      </c>
      <c r="J1418" s="7">
        <v>1115</v>
      </c>
    </row>
    <row r="1419" spans="1:10" x14ac:dyDescent="0.2">
      <c r="A1419" s="9">
        <v>46071</v>
      </c>
      <c r="B1419" s="4" t="s">
        <v>221</v>
      </c>
      <c r="C1419" s="8">
        <v>46054</v>
      </c>
      <c r="D1419" s="4" t="s">
        <v>196</v>
      </c>
      <c r="E1419" s="14">
        <v>2.3041</v>
      </c>
      <c r="F1419" s="7">
        <v>1377</v>
      </c>
      <c r="G1419" s="14">
        <v>0</v>
      </c>
      <c r="H1419" s="7">
        <v>0</v>
      </c>
      <c r="I1419" s="14">
        <v>2.3041</v>
      </c>
      <c r="J1419" s="7">
        <v>1377</v>
      </c>
    </row>
    <row r="1420" spans="1:10" x14ac:dyDescent="0.2">
      <c r="A1420" s="9">
        <v>46072</v>
      </c>
      <c r="B1420" s="4" t="s">
        <v>224</v>
      </c>
      <c r="C1420" s="8">
        <v>46054</v>
      </c>
      <c r="D1420" s="4" t="s">
        <v>196</v>
      </c>
      <c r="E1420" s="14">
        <v>4.7007000000000003</v>
      </c>
      <c r="F1420" s="7">
        <v>2827</v>
      </c>
      <c r="G1420" s="14">
        <v>0</v>
      </c>
      <c r="H1420" s="7">
        <v>0</v>
      </c>
      <c r="I1420" s="14">
        <v>4.7007000000000003</v>
      </c>
      <c r="J1420" s="7">
        <v>2827</v>
      </c>
    </row>
    <row r="1421" spans="1:10" x14ac:dyDescent="0.2">
      <c r="A1421" s="9">
        <v>46073</v>
      </c>
      <c r="B1421" s="4" t="s">
        <v>222</v>
      </c>
      <c r="C1421" s="8">
        <v>46054</v>
      </c>
      <c r="D1421" s="4" t="s">
        <v>196</v>
      </c>
      <c r="E1421" s="14">
        <v>3.7522000000000002</v>
      </c>
      <c r="F1421" s="7">
        <v>2260</v>
      </c>
      <c r="G1421" s="14">
        <v>0</v>
      </c>
      <c r="H1421" s="7">
        <v>0</v>
      </c>
      <c r="I1421" s="14">
        <v>3.7522000000000002</v>
      </c>
      <c r="J1421" s="7">
        <v>2260</v>
      </c>
    </row>
    <row r="1422" spans="1:10" x14ac:dyDescent="0.2">
      <c r="A1422" s="9">
        <v>46076</v>
      </c>
      <c r="B1422" s="4" t="s">
        <v>225</v>
      </c>
      <c r="C1422" s="8">
        <v>46054</v>
      </c>
      <c r="D1422" s="4" t="s">
        <v>196</v>
      </c>
      <c r="E1422" s="14">
        <v>2.6019000000000001</v>
      </c>
      <c r="F1422" s="7">
        <v>1558</v>
      </c>
      <c r="G1422" s="14">
        <v>5.3E-3</v>
      </c>
      <c r="H1422" s="7">
        <v>8</v>
      </c>
      <c r="I1422" s="14">
        <v>2.6072000000000002</v>
      </c>
      <c r="J1422" s="7">
        <v>1566</v>
      </c>
    </row>
    <row r="1423" spans="1:10" x14ac:dyDescent="0.2">
      <c r="A1423" s="9">
        <v>46077</v>
      </c>
      <c r="B1423" s="4" t="s">
        <v>223</v>
      </c>
      <c r="C1423" s="8">
        <v>46054</v>
      </c>
      <c r="D1423" s="4" t="s">
        <v>196</v>
      </c>
      <c r="E1423" s="14">
        <v>4.7271999999999998</v>
      </c>
      <c r="F1423" s="7">
        <v>2854</v>
      </c>
      <c r="G1423" s="14">
        <v>5.0000000000000001E-4</v>
      </c>
      <c r="H1423" s="7">
        <v>1</v>
      </c>
      <c r="I1423" s="14">
        <v>4.7276999999999996</v>
      </c>
      <c r="J1423" s="7">
        <v>2855</v>
      </c>
    </row>
    <row r="1424" spans="1:10" x14ac:dyDescent="0.2">
      <c r="A1424" s="9">
        <v>46078</v>
      </c>
      <c r="B1424" s="4" t="s">
        <v>221</v>
      </c>
      <c r="C1424" s="8">
        <v>46054</v>
      </c>
      <c r="D1424" s="4" t="s">
        <v>196</v>
      </c>
      <c r="E1424" s="14">
        <v>5.8262999999999998</v>
      </c>
      <c r="F1424" s="7">
        <v>3520</v>
      </c>
      <c r="G1424" s="14">
        <v>1.8E-3</v>
      </c>
      <c r="H1424" s="7">
        <v>3</v>
      </c>
      <c r="I1424" s="14">
        <v>5.8281000000000001</v>
      </c>
      <c r="J1424" s="7">
        <v>3523</v>
      </c>
    </row>
    <row r="1425" spans="1:10" x14ac:dyDescent="0.2">
      <c r="A1425" s="9">
        <v>46079</v>
      </c>
      <c r="B1425" s="4" t="s">
        <v>224</v>
      </c>
      <c r="C1425" s="8">
        <v>46054</v>
      </c>
      <c r="D1425" s="4" t="s">
        <v>196</v>
      </c>
      <c r="E1425" s="14">
        <v>8.0704999999999991</v>
      </c>
      <c r="F1425" s="7">
        <v>4886</v>
      </c>
      <c r="G1425" s="14">
        <v>5.8999999999999999E-3</v>
      </c>
      <c r="H1425" s="7">
        <v>6</v>
      </c>
      <c r="I1425" s="14">
        <v>8.0763999999999996</v>
      </c>
      <c r="J1425" s="7">
        <v>4892</v>
      </c>
    </row>
    <row r="1426" spans="1:10" x14ac:dyDescent="0.2">
      <c r="A1426" s="9">
        <v>46080</v>
      </c>
      <c r="B1426" s="4" t="s">
        <v>222</v>
      </c>
      <c r="C1426" s="8">
        <v>46054</v>
      </c>
      <c r="D1426" s="4" t="s">
        <v>196</v>
      </c>
      <c r="E1426" s="14">
        <v>3.5217999999999998</v>
      </c>
      <c r="F1426" s="7">
        <v>2141</v>
      </c>
      <c r="G1426" s="14">
        <v>6.4000000000000003E-3</v>
      </c>
      <c r="H1426" s="7">
        <v>12</v>
      </c>
      <c r="I1426" s="14">
        <v>3.5282</v>
      </c>
      <c r="J1426" s="7">
        <v>2153</v>
      </c>
    </row>
    <row r="1427" spans="1:10" x14ac:dyDescent="0.2">
      <c r="A1427" s="9">
        <v>46083</v>
      </c>
      <c r="B1427" s="4" t="s">
        <v>225</v>
      </c>
      <c r="C1427" s="8">
        <v>46082</v>
      </c>
      <c r="D1427" s="4" t="s">
        <v>196</v>
      </c>
      <c r="E1427" s="14">
        <v>5.1462000000000003</v>
      </c>
      <c r="F1427" s="7">
        <v>3194</v>
      </c>
      <c r="G1427" s="14">
        <v>3.3999999999999998E-3</v>
      </c>
      <c r="H1427" s="7">
        <v>5</v>
      </c>
      <c r="I1427" s="14">
        <v>5.1496000000000004</v>
      </c>
      <c r="J1427" s="7">
        <v>3199</v>
      </c>
    </row>
    <row r="1428" spans="1:10" x14ac:dyDescent="0.2">
      <c r="A1428" s="9">
        <v>46085</v>
      </c>
      <c r="B1428" s="4" t="s">
        <v>221</v>
      </c>
      <c r="C1428" s="8">
        <v>46082</v>
      </c>
      <c r="D1428" s="4" t="s">
        <v>196</v>
      </c>
      <c r="E1428" s="14">
        <v>6.3752000000000004</v>
      </c>
      <c r="F1428" s="7">
        <v>4018</v>
      </c>
      <c r="G1428" s="14">
        <v>9.7000000000000003E-3</v>
      </c>
      <c r="H1428" s="7">
        <v>19</v>
      </c>
      <c r="I1428" s="14">
        <v>6.3849</v>
      </c>
      <c r="J1428" s="7">
        <v>4037</v>
      </c>
    </row>
    <row r="1429" spans="1:10" x14ac:dyDescent="0.2">
      <c r="A1429" s="9">
        <v>46086</v>
      </c>
      <c r="B1429" s="4" t="s">
        <v>224</v>
      </c>
      <c r="C1429" s="8">
        <v>46082</v>
      </c>
      <c r="D1429" s="4" t="s">
        <v>196</v>
      </c>
      <c r="E1429" s="14">
        <v>6.8478000000000003</v>
      </c>
      <c r="F1429" s="7">
        <v>4280</v>
      </c>
      <c r="G1429" s="14">
        <v>1.23E-2</v>
      </c>
      <c r="H1429" s="7">
        <v>20</v>
      </c>
      <c r="I1429" s="14">
        <v>6.8601000000000001</v>
      </c>
      <c r="J1429" s="7">
        <v>4300</v>
      </c>
    </row>
    <row r="1430" spans="1:10" x14ac:dyDescent="0.2">
      <c r="A1430" s="9">
        <v>46087</v>
      </c>
      <c r="B1430" s="4" t="s">
        <v>222</v>
      </c>
      <c r="C1430" s="8">
        <v>46082</v>
      </c>
      <c r="D1430" s="4" t="s">
        <v>196</v>
      </c>
      <c r="E1430" s="14">
        <v>3.2042000000000002</v>
      </c>
      <c r="F1430" s="7">
        <v>2009</v>
      </c>
      <c r="G1430" s="14">
        <v>2.92E-2</v>
      </c>
      <c r="H1430" s="7">
        <v>40</v>
      </c>
      <c r="I1430" s="14">
        <v>3.2334000000000001</v>
      </c>
      <c r="J1430" s="7">
        <v>2049</v>
      </c>
    </row>
    <row r="1431" spans="1:10" x14ac:dyDescent="0.2">
      <c r="A1431" s="9">
        <v>46090</v>
      </c>
      <c r="B1431" s="4" t="s">
        <v>225</v>
      </c>
      <c r="C1431" s="8">
        <v>46082</v>
      </c>
      <c r="D1431" s="4" t="s">
        <v>196</v>
      </c>
      <c r="E1431" s="14">
        <v>5.2290999999999999</v>
      </c>
      <c r="F1431" s="7">
        <v>3377</v>
      </c>
      <c r="G1431" s="14">
        <v>4.5999999999999999E-3</v>
      </c>
      <c r="H1431" s="7">
        <v>7</v>
      </c>
      <c r="I1431" s="14">
        <v>5.2336999999999998</v>
      </c>
      <c r="J1431" s="7">
        <v>3384</v>
      </c>
    </row>
    <row r="1432" spans="1:10" x14ac:dyDescent="0.2">
      <c r="A1432" s="9">
        <v>46091</v>
      </c>
      <c r="B1432" s="4" t="s">
        <v>223</v>
      </c>
      <c r="C1432" s="8">
        <v>46082</v>
      </c>
      <c r="D1432" s="4" t="s">
        <v>196</v>
      </c>
      <c r="E1432" s="14">
        <v>3.1074000000000002</v>
      </c>
      <c r="F1432" s="7">
        <v>1979</v>
      </c>
      <c r="G1432" s="14">
        <v>3.5999999999999999E-3</v>
      </c>
      <c r="H1432" s="7">
        <v>6</v>
      </c>
      <c r="I1432" s="14">
        <v>3.1110000000000002</v>
      </c>
      <c r="J1432" s="7">
        <v>1985</v>
      </c>
    </row>
    <row r="1433" spans="1:10" x14ac:dyDescent="0.2">
      <c r="A1433" s="9">
        <v>46092</v>
      </c>
      <c r="B1433" s="4" t="s">
        <v>221</v>
      </c>
      <c r="C1433" s="8">
        <v>46082</v>
      </c>
      <c r="D1433" s="4" t="s">
        <v>196</v>
      </c>
      <c r="E1433" s="14">
        <v>5.2977999999999996</v>
      </c>
      <c r="F1433" s="7">
        <v>3405</v>
      </c>
      <c r="G1433" s="14">
        <v>1.55E-2</v>
      </c>
      <c r="H1433" s="7">
        <v>24</v>
      </c>
      <c r="I1433" s="14">
        <v>5.3132999999999999</v>
      </c>
      <c r="J1433" s="7">
        <v>3429</v>
      </c>
    </row>
    <row r="1434" spans="1:10" x14ac:dyDescent="0.2">
      <c r="A1434" s="9">
        <v>46093</v>
      </c>
      <c r="B1434" s="4" t="s">
        <v>224</v>
      </c>
      <c r="C1434" s="8">
        <v>46082</v>
      </c>
      <c r="D1434" s="4" t="s">
        <v>196</v>
      </c>
      <c r="E1434" s="14">
        <v>6.1919000000000004</v>
      </c>
      <c r="F1434" s="7">
        <v>4039</v>
      </c>
      <c r="G1434" s="14">
        <v>8.8000000000000005E-3</v>
      </c>
      <c r="H1434" s="7">
        <v>15</v>
      </c>
      <c r="I1434" s="14">
        <v>6.2007000000000003</v>
      </c>
      <c r="J1434" s="7">
        <v>4054</v>
      </c>
    </row>
    <row r="1435" spans="1:10" x14ac:dyDescent="0.2">
      <c r="A1435" s="9">
        <v>46094</v>
      </c>
      <c r="B1435" s="4" t="s">
        <v>222</v>
      </c>
      <c r="C1435" s="8">
        <v>46082</v>
      </c>
      <c r="D1435" s="4" t="s">
        <v>196</v>
      </c>
      <c r="E1435" s="14">
        <v>5.6482999999999999</v>
      </c>
      <c r="F1435" s="7">
        <v>3744</v>
      </c>
      <c r="G1435" s="14">
        <v>1.9300000000000001E-2</v>
      </c>
      <c r="H1435" s="7">
        <v>38</v>
      </c>
      <c r="I1435" s="14">
        <v>5.6676000000000002</v>
      </c>
      <c r="J1435" s="7">
        <v>3782</v>
      </c>
    </row>
    <row r="1436" spans="1:10" x14ac:dyDescent="0.2">
      <c r="A1436" s="9">
        <v>46097</v>
      </c>
      <c r="B1436" s="4" t="s">
        <v>225</v>
      </c>
      <c r="C1436" s="8">
        <v>46082</v>
      </c>
      <c r="D1436" s="4" t="s">
        <v>196</v>
      </c>
      <c r="E1436" s="14">
        <v>5.9371999999999998</v>
      </c>
      <c r="F1436" s="7">
        <v>3948</v>
      </c>
      <c r="G1436" s="14">
        <v>1.04E-2</v>
      </c>
      <c r="H1436" s="7">
        <v>18</v>
      </c>
      <c r="I1436" s="14">
        <v>5.9476000000000004</v>
      </c>
      <c r="J1436" s="7">
        <v>3966</v>
      </c>
    </row>
    <row r="1437" spans="1:10" x14ac:dyDescent="0.2">
      <c r="A1437" s="9">
        <v>46098</v>
      </c>
      <c r="B1437" s="4" t="s">
        <v>223</v>
      </c>
      <c r="C1437" s="8">
        <v>46082</v>
      </c>
      <c r="D1437" s="4" t="s">
        <v>196</v>
      </c>
      <c r="E1437" s="14">
        <v>4.4564000000000004</v>
      </c>
      <c r="F1437" s="7">
        <v>2931</v>
      </c>
      <c r="G1437" s="14">
        <v>4.7999999999999996E-3</v>
      </c>
      <c r="H1437" s="7">
        <v>8</v>
      </c>
      <c r="I1437" s="14">
        <v>4.4611999999999998</v>
      </c>
      <c r="J1437" s="7">
        <v>2939</v>
      </c>
    </row>
    <row r="1438" spans="1:10" x14ac:dyDescent="0.2">
      <c r="A1438" s="9">
        <v>46099</v>
      </c>
      <c r="B1438" s="4" t="s">
        <v>221</v>
      </c>
      <c r="C1438" s="8">
        <v>46082</v>
      </c>
      <c r="D1438" s="4" t="s">
        <v>196</v>
      </c>
      <c r="E1438" s="14">
        <v>5.1821000000000002</v>
      </c>
      <c r="F1438" s="7">
        <v>3370</v>
      </c>
      <c r="G1438" s="14">
        <v>8.2000000000000007E-3</v>
      </c>
      <c r="H1438" s="7">
        <v>14</v>
      </c>
      <c r="I1438" s="14">
        <v>5.1902999999999997</v>
      </c>
      <c r="J1438" s="7">
        <v>3384</v>
      </c>
    </row>
    <row r="1439" spans="1:10" x14ac:dyDescent="0.2">
      <c r="A1439" s="9">
        <v>46100</v>
      </c>
      <c r="B1439" s="4" t="s">
        <v>224</v>
      </c>
      <c r="C1439" s="8">
        <v>46082</v>
      </c>
      <c r="D1439" s="4" t="s">
        <v>196</v>
      </c>
      <c r="E1439" s="14">
        <v>8.9649000000000001</v>
      </c>
      <c r="F1439" s="7">
        <v>5973</v>
      </c>
      <c r="G1439" s="14">
        <v>1.2999999999999999E-3</v>
      </c>
      <c r="H1439" s="7">
        <v>2</v>
      </c>
      <c r="I1439" s="14">
        <v>8.9662000000000006</v>
      </c>
      <c r="J1439" s="7">
        <v>5975</v>
      </c>
    </row>
    <row r="1440" spans="1:10" x14ac:dyDescent="0.2">
      <c r="A1440" s="9">
        <v>46101</v>
      </c>
      <c r="B1440" s="4" t="s">
        <v>222</v>
      </c>
      <c r="C1440" s="8">
        <v>46082</v>
      </c>
      <c r="D1440" s="4" t="s">
        <v>196</v>
      </c>
      <c r="E1440" s="14">
        <v>5.274</v>
      </c>
      <c r="F1440" s="7">
        <v>3511</v>
      </c>
      <c r="G1440" s="14">
        <v>1.4999999999999999E-2</v>
      </c>
      <c r="H1440" s="7">
        <v>23</v>
      </c>
      <c r="I1440" s="14">
        <v>5.2889999999999997</v>
      </c>
      <c r="J1440" s="7">
        <v>3534</v>
      </c>
    </row>
    <row r="1441" spans="1:10" x14ac:dyDescent="0.2">
      <c r="A1441" s="9">
        <v>46104</v>
      </c>
      <c r="B1441" s="4" t="s">
        <v>225</v>
      </c>
      <c r="C1441" s="8">
        <v>46082</v>
      </c>
      <c r="D1441" s="4" t="s">
        <v>196</v>
      </c>
      <c r="E1441" s="14">
        <v>5.9725999999999999</v>
      </c>
      <c r="F1441" s="7">
        <v>4084</v>
      </c>
      <c r="G1441" s="14">
        <v>2.3E-3</v>
      </c>
      <c r="H1441" s="7">
        <v>4</v>
      </c>
      <c r="I1441" s="14">
        <v>5.9748999999999999</v>
      </c>
      <c r="J1441" s="7">
        <v>4088</v>
      </c>
    </row>
    <row r="1442" spans="1:10" x14ac:dyDescent="0.2">
      <c r="A1442" s="9">
        <v>46105</v>
      </c>
      <c r="B1442" s="4" t="s">
        <v>223</v>
      </c>
      <c r="C1442" s="8">
        <v>46082</v>
      </c>
      <c r="D1442" s="4" t="s">
        <v>196</v>
      </c>
      <c r="E1442" s="14">
        <v>8.0371000000000006</v>
      </c>
      <c r="F1442" s="7">
        <v>5420</v>
      </c>
      <c r="G1442" s="14">
        <v>8.0999999999999996E-3</v>
      </c>
      <c r="H1442" s="7">
        <v>12</v>
      </c>
      <c r="I1442" s="14">
        <v>8.0451999999999995</v>
      </c>
      <c r="J1442" s="7">
        <v>5432</v>
      </c>
    </row>
    <row r="1443" spans="1:10" x14ac:dyDescent="0.2">
      <c r="A1443" s="9">
        <v>46106</v>
      </c>
      <c r="B1443" s="4" t="s">
        <v>221</v>
      </c>
      <c r="C1443" s="8">
        <v>46082</v>
      </c>
      <c r="D1443" s="4" t="s">
        <v>196</v>
      </c>
      <c r="E1443" s="14">
        <v>13.2378</v>
      </c>
      <c r="F1443" s="7">
        <v>8751</v>
      </c>
      <c r="G1443" s="14">
        <v>3.7000000000000002E-3</v>
      </c>
      <c r="H1443" s="7">
        <v>6</v>
      </c>
      <c r="I1443" s="14">
        <v>13.2415</v>
      </c>
      <c r="J1443" s="7">
        <v>8757</v>
      </c>
    </row>
    <row r="1444" spans="1:10" x14ac:dyDescent="0.2">
      <c r="A1444" s="9">
        <v>46108</v>
      </c>
      <c r="B1444" s="4" t="s">
        <v>222</v>
      </c>
      <c r="C1444" s="8">
        <v>46082</v>
      </c>
      <c r="D1444" s="4" t="s">
        <v>196</v>
      </c>
      <c r="E1444" s="14">
        <v>18.7377</v>
      </c>
      <c r="F1444" s="7">
        <v>12602</v>
      </c>
      <c r="G1444" s="14">
        <v>3.2000000000000002E-3</v>
      </c>
      <c r="H1444" s="7">
        <v>6</v>
      </c>
      <c r="I1444" s="14">
        <v>18.7409</v>
      </c>
      <c r="J1444" s="7">
        <v>12608</v>
      </c>
    </row>
    <row r="1445" spans="1:10" x14ac:dyDescent="0.2">
      <c r="A1445" s="9">
        <v>46111</v>
      </c>
      <c r="B1445" s="4" t="s">
        <v>225</v>
      </c>
      <c r="C1445" s="8">
        <v>46082</v>
      </c>
      <c r="D1445" s="4" t="s">
        <v>196</v>
      </c>
      <c r="E1445" s="14">
        <v>24.6952</v>
      </c>
      <c r="F1445" s="7">
        <v>16879</v>
      </c>
      <c r="G1445" s="14">
        <v>7.9000000000000008E-3</v>
      </c>
      <c r="H1445" s="7">
        <v>12</v>
      </c>
      <c r="I1445" s="14">
        <v>24.703099999999999</v>
      </c>
      <c r="J1445" s="7">
        <v>16891</v>
      </c>
    </row>
    <row r="1446" spans="1:10" x14ac:dyDescent="0.2">
      <c r="A1446" s="9">
        <v>46113</v>
      </c>
      <c r="B1446" s="4" t="s">
        <v>221</v>
      </c>
      <c r="C1446" s="8">
        <v>46113</v>
      </c>
      <c r="D1446" s="4" t="s">
        <v>197</v>
      </c>
      <c r="E1446" s="14">
        <v>9.9903999999999993</v>
      </c>
      <c r="F1446" s="7">
        <v>6755</v>
      </c>
      <c r="G1446" s="14">
        <v>1.6999999999999999E-3</v>
      </c>
      <c r="H1446" s="7">
        <v>3</v>
      </c>
      <c r="I1446" s="14">
        <v>9.9921000000000006</v>
      </c>
      <c r="J1446" s="7">
        <v>6758</v>
      </c>
    </row>
    <row r="1447" spans="1:10" x14ac:dyDescent="0.2">
      <c r="A1447" s="9">
        <v>46114</v>
      </c>
      <c r="B1447" s="4" t="s">
        <v>224</v>
      </c>
      <c r="C1447" s="8">
        <v>46113</v>
      </c>
      <c r="D1447" s="4" t="s">
        <v>197</v>
      </c>
      <c r="E1447" s="14">
        <v>15.9458</v>
      </c>
      <c r="F1447" s="7">
        <v>10833</v>
      </c>
      <c r="G1447" s="14">
        <v>6.9999999999999999E-4</v>
      </c>
      <c r="H1447" s="7">
        <v>1</v>
      </c>
      <c r="I1447" s="14">
        <v>15.9465</v>
      </c>
      <c r="J1447" s="7">
        <v>10834</v>
      </c>
    </row>
    <row r="1448" spans="1:10" x14ac:dyDescent="0.2">
      <c r="A1448" s="9">
        <v>46118</v>
      </c>
      <c r="B1448" s="4" t="s">
        <v>225</v>
      </c>
      <c r="C1448" s="8">
        <v>46113</v>
      </c>
      <c r="D1448" s="4" t="s">
        <v>197</v>
      </c>
      <c r="E1448" s="14">
        <v>3.5209000000000001</v>
      </c>
      <c r="F1448" s="7">
        <v>2382</v>
      </c>
      <c r="G1448" s="14">
        <v>1.5E-3</v>
      </c>
      <c r="H1448" s="7">
        <v>2</v>
      </c>
      <c r="I1448" s="14">
        <v>3.5224000000000002</v>
      </c>
      <c r="J1448" s="7">
        <v>2384</v>
      </c>
    </row>
    <row r="1449" spans="1:10" x14ac:dyDescent="0.2">
      <c r="A1449" s="9">
        <v>46119</v>
      </c>
      <c r="B1449" s="4" t="s">
        <v>223</v>
      </c>
      <c r="C1449" s="8">
        <v>46113</v>
      </c>
      <c r="D1449" s="4" t="s">
        <v>197</v>
      </c>
      <c r="E1449" s="14">
        <v>3.1419000000000001</v>
      </c>
      <c r="F1449" s="7">
        <v>2108</v>
      </c>
      <c r="G1449" s="14">
        <v>1.6000000000000001E-3</v>
      </c>
      <c r="H1449" s="7">
        <v>3</v>
      </c>
      <c r="I1449" s="14">
        <v>3.1435</v>
      </c>
      <c r="J1449" s="7">
        <v>2111</v>
      </c>
    </row>
    <row r="1450" spans="1:10" x14ac:dyDescent="0.2">
      <c r="A1450" s="9">
        <v>46120</v>
      </c>
      <c r="B1450" s="4" t="s">
        <v>221</v>
      </c>
      <c r="C1450" s="8">
        <v>46113</v>
      </c>
      <c r="D1450" s="4" t="s">
        <v>197</v>
      </c>
      <c r="E1450" s="14">
        <v>7.2133000000000003</v>
      </c>
      <c r="F1450" s="7">
        <v>4645</v>
      </c>
      <c r="G1450" s="14">
        <v>1.41E-2</v>
      </c>
      <c r="H1450" s="7">
        <v>21</v>
      </c>
      <c r="I1450" s="14">
        <v>7.2274000000000003</v>
      </c>
      <c r="J1450" s="7">
        <v>4666</v>
      </c>
    </row>
    <row r="1451" spans="1:10" x14ac:dyDescent="0.2">
      <c r="A1451" s="9">
        <v>46121</v>
      </c>
      <c r="B1451" s="4" t="s">
        <v>224</v>
      </c>
      <c r="C1451" s="8">
        <v>46113</v>
      </c>
      <c r="D1451" s="4" t="s">
        <v>197</v>
      </c>
      <c r="E1451" s="14">
        <v>5.1430999999999996</v>
      </c>
      <c r="F1451" s="7">
        <v>3327</v>
      </c>
      <c r="G1451" s="14">
        <v>1.5E-3</v>
      </c>
      <c r="H1451" s="7">
        <v>2</v>
      </c>
      <c r="I1451" s="14">
        <v>5.1445999999999996</v>
      </c>
      <c r="J1451" s="7">
        <v>3329</v>
      </c>
    </row>
    <row r="1452" spans="1:10" x14ac:dyDescent="0.2">
      <c r="A1452" s="9">
        <v>46122</v>
      </c>
      <c r="B1452" s="4" t="s">
        <v>222</v>
      </c>
      <c r="C1452" s="8">
        <v>46113</v>
      </c>
      <c r="D1452" s="4" t="s">
        <v>197</v>
      </c>
      <c r="E1452" s="14">
        <v>2.6949000000000001</v>
      </c>
      <c r="F1452" s="7">
        <v>1734</v>
      </c>
      <c r="G1452" s="14">
        <v>2E-3</v>
      </c>
      <c r="H1452" s="7">
        <v>3</v>
      </c>
      <c r="I1452" s="14">
        <v>2.6968999999999999</v>
      </c>
      <c r="J1452" s="7">
        <v>1737</v>
      </c>
    </row>
    <row r="1453" spans="1:10" x14ac:dyDescent="0.2">
      <c r="A1453" s="9">
        <v>46125</v>
      </c>
      <c r="B1453" s="4" t="s">
        <v>225</v>
      </c>
      <c r="C1453" s="8">
        <v>46113</v>
      </c>
      <c r="D1453" s="4" t="s">
        <v>197</v>
      </c>
      <c r="E1453" s="14">
        <v>3.7793000000000001</v>
      </c>
      <c r="F1453" s="7">
        <v>2459</v>
      </c>
      <c r="G1453" s="14">
        <v>4.5999999999999999E-3</v>
      </c>
      <c r="H1453" s="7">
        <v>7</v>
      </c>
      <c r="I1453" s="14">
        <v>3.7839</v>
      </c>
      <c r="J1453" s="7">
        <v>2466</v>
      </c>
    </row>
    <row r="1454" spans="1:10" x14ac:dyDescent="0.2">
      <c r="A1454" s="9">
        <v>46127</v>
      </c>
      <c r="B1454" s="4" t="s">
        <v>221</v>
      </c>
      <c r="C1454" s="8">
        <v>46113</v>
      </c>
      <c r="D1454" s="4" t="s">
        <v>197</v>
      </c>
      <c r="E1454" s="14">
        <v>3.7523</v>
      </c>
      <c r="F1454" s="7">
        <v>2393</v>
      </c>
      <c r="G1454" s="14">
        <v>2.7000000000000001E-3</v>
      </c>
      <c r="H1454" s="7">
        <v>4</v>
      </c>
      <c r="I1454" s="14">
        <v>3.7549999999999999</v>
      </c>
      <c r="J1454" s="7">
        <v>2397</v>
      </c>
    </row>
    <row r="1455" spans="1:10" x14ac:dyDescent="0.2">
      <c r="A1455" s="9">
        <v>46128</v>
      </c>
      <c r="B1455" s="4" t="s">
        <v>224</v>
      </c>
      <c r="C1455" s="8">
        <v>46113</v>
      </c>
      <c r="D1455" s="4" t="s">
        <v>197</v>
      </c>
      <c r="E1455" s="14">
        <v>6.5922000000000001</v>
      </c>
      <c r="F1455" s="7">
        <v>4209</v>
      </c>
      <c r="G1455" s="14">
        <v>8.0000000000000004E-4</v>
      </c>
      <c r="H1455" s="7">
        <v>1</v>
      </c>
      <c r="I1455" s="14">
        <v>6.593</v>
      </c>
      <c r="J1455" s="7">
        <v>4210</v>
      </c>
    </row>
    <row r="1456" spans="1:10" x14ac:dyDescent="0.2">
      <c r="A1456" s="9">
        <v>46129</v>
      </c>
      <c r="B1456" s="4" t="s">
        <v>222</v>
      </c>
      <c r="C1456" s="8">
        <v>46113</v>
      </c>
      <c r="D1456" s="4" t="s">
        <v>197</v>
      </c>
      <c r="E1456" s="14">
        <v>2.2635999999999998</v>
      </c>
      <c r="F1456" s="7">
        <v>1441</v>
      </c>
      <c r="G1456" s="14">
        <v>9.1999999999999998E-3</v>
      </c>
      <c r="H1456" s="7">
        <v>13</v>
      </c>
      <c r="I1456" s="14">
        <v>2.2728000000000002</v>
      </c>
      <c r="J1456" s="7">
        <v>1454</v>
      </c>
    </row>
    <row r="1457" spans="1:10" x14ac:dyDescent="0.2">
      <c r="A1457" s="9">
        <v>46132</v>
      </c>
      <c r="B1457" s="4" t="s">
        <v>225</v>
      </c>
      <c r="C1457" s="8">
        <v>46113</v>
      </c>
      <c r="D1457" s="4" t="s">
        <v>197</v>
      </c>
      <c r="E1457" s="14">
        <v>2.4971000000000001</v>
      </c>
      <c r="F1457" s="7">
        <v>1581</v>
      </c>
      <c r="G1457" s="14">
        <v>1.4E-3</v>
      </c>
      <c r="H1457" s="7">
        <v>2</v>
      </c>
      <c r="I1457" s="14">
        <v>2.4984999999999999</v>
      </c>
      <c r="J1457" s="7">
        <v>1583</v>
      </c>
    </row>
    <row r="1458" spans="1:10" x14ac:dyDescent="0.2">
      <c r="A1458" s="9">
        <v>46133</v>
      </c>
      <c r="B1458" s="4" t="s">
        <v>223</v>
      </c>
      <c r="C1458" s="8">
        <v>46113</v>
      </c>
      <c r="D1458" s="4" t="s">
        <v>197</v>
      </c>
      <c r="E1458" s="14">
        <v>2.8904000000000001</v>
      </c>
      <c r="F1458" s="7">
        <v>1822</v>
      </c>
      <c r="G1458" s="14">
        <v>2.5000000000000001E-3</v>
      </c>
      <c r="H1458" s="7">
        <v>3</v>
      </c>
      <c r="I1458" s="14">
        <v>2.8929</v>
      </c>
      <c r="J1458" s="7">
        <v>1825</v>
      </c>
    </row>
    <row r="1459" spans="1:10" x14ac:dyDescent="0.2">
      <c r="A1459" s="9">
        <v>46134</v>
      </c>
      <c r="B1459" s="4" t="s">
        <v>221</v>
      </c>
      <c r="C1459" s="8">
        <v>46113</v>
      </c>
      <c r="D1459" s="4" t="s">
        <v>197</v>
      </c>
      <c r="E1459" s="14">
        <v>3.5082</v>
      </c>
      <c r="F1459" s="7">
        <v>2224</v>
      </c>
      <c r="G1459" s="14">
        <v>5.1999999999999998E-3</v>
      </c>
      <c r="H1459" s="7">
        <v>6</v>
      </c>
      <c r="I1459" s="14">
        <v>3.5133999999999999</v>
      </c>
      <c r="J1459" s="7">
        <v>2230</v>
      </c>
    </row>
    <row r="1460" spans="1:10" x14ac:dyDescent="0.2">
      <c r="A1460" s="9">
        <v>46135</v>
      </c>
      <c r="B1460" s="4" t="s">
        <v>224</v>
      </c>
      <c r="C1460" s="8">
        <v>46113</v>
      </c>
      <c r="D1460" s="4" t="s">
        <v>197</v>
      </c>
      <c r="E1460" s="14">
        <v>7.0621999999999998</v>
      </c>
      <c r="F1460" s="7">
        <v>4525</v>
      </c>
      <c r="G1460" s="14">
        <v>1.26E-2</v>
      </c>
      <c r="H1460" s="7">
        <v>14</v>
      </c>
      <c r="I1460" s="14">
        <v>7.0747999999999998</v>
      </c>
      <c r="J1460" s="7">
        <v>4539</v>
      </c>
    </row>
    <row r="1461" spans="1:10" x14ac:dyDescent="0.2">
      <c r="A1461" s="9">
        <v>46136</v>
      </c>
      <c r="B1461" s="4" t="s">
        <v>222</v>
      </c>
      <c r="C1461" s="8">
        <v>46113</v>
      </c>
      <c r="D1461" s="4" t="s">
        <v>197</v>
      </c>
      <c r="E1461" s="14">
        <v>3.2197</v>
      </c>
      <c r="F1461" s="7">
        <v>2086</v>
      </c>
      <c r="G1461" s="14">
        <v>8.2000000000000007E-3</v>
      </c>
      <c r="H1461" s="7">
        <v>10</v>
      </c>
      <c r="I1461" s="14">
        <v>3.2279</v>
      </c>
      <c r="J1461" s="7">
        <v>2096</v>
      </c>
    </row>
    <row r="1462" spans="1:10" x14ac:dyDescent="0.2">
      <c r="A1462" s="9">
        <v>46139</v>
      </c>
      <c r="B1462" s="4" t="s">
        <v>225</v>
      </c>
      <c r="C1462" s="8">
        <v>46113</v>
      </c>
      <c r="D1462" s="4" t="s">
        <v>197</v>
      </c>
      <c r="E1462" s="14">
        <v>2.6722000000000001</v>
      </c>
      <c r="F1462" s="7">
        <v>1719</v>
      </c>
      <c r="G1462" s="14">
        <v>2.8999999999999998E-3</v>
      </c>
      <c r="H1462" s="7">
        <v>5</v>
      </c>
      <c r="I1462" s="14">
        <v>2.6751</v>
      </c>
      <c r="J1462" s="7">
        <v>1724</v>
      </c>
    </row>
    <row r="1463" spans="1:10" x14ac:dyDescent="0.2">
      <c r="A1463" s="9">
        <v>46140</v>
      </c>
      <c r="B1463" s="4" t="s">
        <v>223</v>
      </c>
      <c r="C1463" s="8">
        <v>46113</v>
      </c>
      <c r="D1463" s="4" t="s">
        <v>197</v>
      </c>
      <c r="E1463" s="14">
        <v>2.4590000000000001</v>
      </c>
      <c r="F1463" s="7">
        <v>1583</v>
      </c>
      <c r="G1463" s="14">
        <v>5.5999999999999999E-3</v>
      </c>
      <c r="H1463" s="7">
        <v>7</v>
      </c>
      <c r="I1463" s="14">
        <v>2.4645999999999999</v>
      </c>
      <c r="J1463" s="7">
        <v>1590</v>
      </c>
    </row>
    <row r="1464" spans="1:10" x14ac:dyDescent="0.2">
      <c r="A1464" s="9">
        <v>46141</v>
      </c>
      <c r="B1464" s="4" t="s">
        <v>221</v>
      </c>
      <c r="C1464" s="8">
        <v>46113</v>
      </c>
      <c r="D1464" s="4" t="s">
        <v>197</v>
      </c>
      <c r="E1464" s="14">
        <v>4.4775999999999998</v>
      </c>
      <c r="F1464" s="7">
        <v>2872</v>
      </c>
      <c r="G1464" s="14">
        <v>5.1999999999999998E-3</v>
      </c>
      <c r="H1464" s="7">
        <v>7</v>
      </c>
      <c r="I1464" s="14">
        <v>4.4828000000000001</v>
      </c>
      <c r="J1464" s="7">
        <v>2879</v>
      </c>
    </row>
    <row r="1465" spans="1:10" x14ac:dyDescent="0.2">
      <c r="A1465" s="9">
        <v>46142</v>
      </c>
      <c r="B1465" s="4" t="s">
        <v>224</v>
      </c>
      <c r="C1465" s="8">
        <v>46113</v>
      </c>
      <c r="D1465" s="4" t="s">
        <v>197</v>
      </c>
      <c r="E1465" s="14">
        <v>10.912100000000001</v>
      </c>
      <c r="F1465" s="7">
        <v>7074</v>
      </c>
      <c r="G1465" s="14">
        <v>6.9999999999999999E-4</v>
      </c>
      <c r="H1465" s="7">
        <v>1</v>
      </c>
      <c r="I1465" s="14">
        <v>10.912800000000001</v>
      </c>
      <c r="J1465" s="7">
        <v>7075</v>
      </c>
    </row>
    <row r="1466" spans="1:10" x14ac:dyDescent="0.2">
      <c r="A1466" s="9">
        <v>46146</v>
      </c>
      <c r="B1466" s="4" t="s">
        <v>225</v>
      </c>
      <c r="C1466" s="8">
        <v>46143</v>
      </c>
      <c r="D1466" s="4" t="s">
        <v>197</v>
      </c>
      <c r="E1466" s="14">
        <v>2.8205</v>
      </c>
      <c r="F1466" s="7">
        <v>1805</v>
      </c>
      <c r="G1466" s="14">
        <v>4.4999999999999997E-3</v>
      </c>
      <c r="H1466" s="7">
        <v>6</v>
      </c>
      <c r="I1466" s="14">
        <v>2.8250000000000002</v>
      </c>
      <c r="J1466" s="7">
        <v>1811</v>
      </c>
    </row>
    <row r="1467" spans="1:10" x14ac:dyDescent="0.2">
      <c r="A1467" s="9">
        <v>46147</v>
      </c>
      <c r="B1467" s="4" t="s">
        <v>223</v>
      </c>
      <c r="C1467" s="8">
        <v>46143</v>
      </c>
      <c r="D1467" s="4" t="s">
        <v>197</v>
      </c>
      <c r="E1467" s="14">
        <v>2.4710000000000001</v>
      </c>
      <c r="F1467" s="7">
        <v>1596</v>
      </c>
      <c r="G1467" s="14">
        <v>0</v>
      </c>
      <c r="H1467" s="7">
        <v>0</v>
      </c>
      <c r="I1467" s="14">
        <v>2.4710000000000001</v>
      </c>
      <c r="J1467" s="7">
        <v>1596</v>
      </c>
    </row>
    <row r="1468" spans="1:10" x14ac:dyDescent="0.2">
      <c r="A1468" s="9">
        <v>46148</v>
      </c>
      <c r="B1468" s="4" t="s">
        <v>221</v>
      </c>
      <c r="C1468" s="8">
        <v>46143</v>
      </c>
      <c r="D1468" s="4" t="s">
        <v>197</v>
      </c>
      <c r="E1468" s="14">
        <v>5.0723000000000003</v>
      </c>
      <c r="F1468" s="7">
        <v>3244</v>
      </c>
      <c r="G1468" s="14">
        <v>2.2000000000000001E-3</v>
      </c>
      <c r="H1468" s="7">
        <v>3</v>
      </c>
      <c r="I1468" s="14">
        <v>5.0744999999999996</v>
      </c>
      <c r="J1468" s="7">
        <v>3247</v>
      </c>
    </row>
    <row r="1469" spans="1:10" x14ac:dyDescent="0.2">
      <c r="A1469" s="9">
        <v>46149</v>
      </c>
      <c r="B1469" s="4" t="s">
        <v>224</v>
      </c>
      <c r="C1469" s="8">
        <v>46143</v>
      </c>
      <c r="D1469" s="4" t="s">
        <v>197</v>
      </c>
      <c r="E1469" s="14">
        <v>6.3516000000000004</v>
      </c>
      <c r="F1469" s="7">
        <v>4049</v>
      </c>
      <c r="G1469" s="14">
        <v>2.2000000000000001E-3</v>
      </c>
      <c r="H1469" s="7">
        <v>3</v>
      </c>
      <c r="I1469" s="14">
        <v>6.3537999999999997</v>
      </c>
      <c r="J1469" s="7">
        <v>4052</v>
      </c>
    </row>
    <row r="1470" spans="1:10" x14ac:dyDescent="0.2">
      <c r="A1470" s="9">
        <v>46150</v>
      </c>
      <c r="B1470" s="4" t="s">
        <v>222</v>
      </c>
      <c r="C1470" s="8">
        <v>46143</v>
      </c>
      <c r="D1470" s="4" t="s">
        <v>197</v>
      </c>
      <c r="E1470" s="14">
        <v>2.17</v>
      </c>
      <c r="F1470" s="7">
        <v>1394</v>
      </c>
      <c r="G1470" s="14">
        <v>2.2000000000000001E-3</v>
      </c>
      <c r="H1470" s="7">
        <v>3</v>
      </c>
      <c r="I1470" s="14">
        <v>2.1722000000000001</v>
      </c>
      <c r="J1470" s="7">
        <v>1397</v>
      </c>
    </row>
    <row r="1471" spans="1:10" x14ac:dyDescent="0.2">
      <c r="A1471" s="9">
        <v>46153</v>
      </c>
      <c r="B1471" s="4" t="s">
        <v>225</v>
      </c>
      <c r="C1471" s="8">
        <v>46143</v>
      </c>
      <c r="D1471" s="4" t="s">
        <v>197</v>
      </c>
      <c r="E1471" s="14">
        <v>2.9188000000000001</v>
      </c>
      <c r="F1471" s="7">
        <v>1899</v>
      </c>
      <c r="G1471" s="14">
        <v>5.0000000000000001E-4</v>
      </c>
      <c r="H1471" s="7">
        <v>1</v>
      </c>
      <c r="I1471" s="14">
        <v>2.9192999999999998</v>
      </c>
      <c r="J1471" s="7">
        <v>1900</v>
      </c>
    </row>
    <row r="1472" spans="1:10" x14ac:dyDescent="0.2">
      <c r="A1472" s="9">
        <v>46154</v>
      </c>
      <c r="B1472" s="4" t="s">
        <v>223</v>
      </c>
      <c r="C1472" s="8">
        <v>46143</v>
      </c>
      <c r="D1472" s="4" t="s">
        <v>197</v>
      </c>
      <c r="E1472" s="14">
        <v>4.3899999999999997</v>
      </c>
      <c r="F1472" s="7">
        <v>2910</v>
      </c>
      <c r="G1472" s="14">
        <v>1.5E-3</v>
      </c>
      <c r="H1472" s="7">
        <v>3</v>
      </c>
      <c r="I1472" s="14">
        <v>4.3914999999999997</v>
      </c>
      <c r="J1472" s="7">
        <v>2913</v>
      </c>
    </row>
    <row r="1473" spans="1:10" x14ac:dyDescent="0.2">
      <c r="A1473" s="9">
        <v>46155</v>
      </c>
      <c r="B1473" s="4" t="s">
        <v>221</v>
      </c>
      <c r="C1473" s="8">
        <v>46143</v>
      </c>
      <c r="D1473" s="4" t="s">
        <v>197</v>
      </c>
      <c r="E1473" s="14">
        <v>3.8338000000000001</v>
      </c>
      <c r="F1473" s="7">
        <v>2554</v>
      </c>
      <c r="G1473" s="14">
        <v>3.5000000000000001E-3</v>
      </c>
      <c r="H1473" s="7">
        <v>5</v>
      </c>
      <c r="I1473" s="14">
        <v>3.8372999999999999</v>
      </c>
      <c r="J1473" s="7">
        <v>2559</v>
      </c>
    </row>
    <row r="1474" spans="1:10" x14ac:dyDescent="0.2">
      <c r="A1474" s="9">
        <v>46156</v>
      </c>
      <c r="B1474" s="4" t="s">
        <v>224</v>
      </c>
      <c r="C1474" s="8">
        <v>46143</v>
      </c>
      <c r="D1474" s="4" t="s">
        <v>197</v>
      </c>
      <c r="E1474" s="14">
        <v>5.2979000000000003</v>
      </c>
      <c r="F1474" s="7">
        <v>3510</v>
      </c>
      <c r="G1474" s="14">
        <v>1.8E-3</v>
      </c>
      <c r="H1474" s="7">
        <v>3</v>
      </c>
      <c r="I1474" s="14">
        <v>5.2996999999999996</v>
      </c>
      <c r="J1474" s="7">
        <v>3513</v>
      </c>
    </row>
    <row r="1475" spans="1:10" x14ac:dyDescent="0.2">
      <c r="A1475" s="9">
        <v>46157</v>
      </c>
      <c r="B1475" s="4" t="s">
        <v>222</v>
      </c>
      <c r="C1475" s="8">
        <v>46143</v>
      </c>
      <c r="D1475" s="4" t="s">
        <v>197</v>
      </c>
      <c r="E1475" s="14">
        <v>2.1818</v>
      </c>
      <c r="F1475" s="7">
        <v>1441</v>
      </c>
      <c r="G1475" s="14">
        <v>3.2000000000000002E-3</v>
      </c>
      <c r="H1475" s="7">
        <v>5</v>
      </c>
      <c r="I1475" s="14">
        <v>2.1850000000000001</v>
      </c>
      <c r="J1475" s="7">
        <v>1446</v>
      </c>
    </row>
    <row r="1476" spans="1:10" x14ac:dyDescent="0.2">
      <c r="A1476" s="9">
        <v>46160</v>
      </c>
      <c r="B1476" s="4" t="s">
        <v>225</v>
      </c>
      <c r="C1476" s="8">
        <v>46143</v>
      </c>
      <c r="D1476" s="4" t="s">
        <v>197</v>
      </c>
      <c r="E1476" s="14">
        <v>3.0024999999999999</v>
      </c>
      <c r="F1476" s="7">
        <v>2001</v>
      </c>
      <c r="G1476" s="14">
        <v>6.9999999999999999E-4</v>
      </c>
      <c r="H1476" s="7">
        <v>1</v>
      </c>
      <c r="I1476" s="14">
        <v>3.0032000000000001</v>
      </c>
      <c r="J1476" s="7">
        <v>2002</v>
      </c>
    </row>
    <row r="1477" spans="1:10" x14ac:dyDescent="0.2">
      <c r="A1477" s="9">
        <v>46161</v>
      </c>
      <c r="B1477" s="4" t="s">
        <v>223</v>
      </c>
      <c r="C1477" s="8">
        <v>46143</v>
      </c>
      <c r="D1477" s="4" t="s">
        <v>197</v>
      </c>
      <c r="E1477" s="14">
        <v>2.3856999999999999</v>
      </c>
      <c r="F1477" s="7">
        <v>1573</v>
      </c>
      <c r="G1477" s="14">
        <v>0</v>
      </c>
      <c r="H1477" s="7">
        <v>0</v>
      </c>
      <c r="I1477" s="14">
        <v>2.3856999999999999</v>
      </c>
      <c r="J1477" s="7">
        <v>1573</v>
      </c>
    </row>
    <row r="1478" spans="1:10" x14ac:dyDescent="0.2">
      <c r="A1478" s="9">
        <v>46162</v>
      </c>
      <c r="B1478" s="4" t="s">
        <v>221</v>
      </c>
      <c r="C1478" s="8">
        <v>46143</v>
      </c>
      <c r="D1478" s="4" t="s">
        <v>197</v>
      </c>
      <c r="E1478" s="14">
        <v>2.9125999999999999</v>
      </c>
      <c r="F1478" s="7">
        <v>1935</v>
      </c>
      <c r="G1478" s="14">
        <v>0</v>
      </c>
      <c r="H1478" s="7">
        <v>0</v>
      </c>
      <c r="I1478" s="14">
        <v>2.9125999999999999</v>
      </c>
      <c r="J1478" s="7">
        <v>1935</v>
      </c>
    </row>
    <row r="1479" spans="1:10" x14ac:dyDescent="0.2">
      <c r="A1479" s="9">
        <v>46163</v>
      </c>
      <c r="B1479" s="4" t="s">
        <v>224</v>
      </c>
      <c r="C1479" s="8">
        <v>46143</v>
      </c>
      <c r="D1479" s="4" t="s">
        <v>197</v>
      </c>
      <c r="E1479" s="14">
        <v>4.5766999999999998</v>
      </c>
      <c r="F1479" s="7">
        <v>3031</v>
      </c>
      <c r="G1479" s="14">
        <v>0</v>
      </c>
      <c r="H1479" s="7">
        <v>0</v>
      </c>
      <c r="I1479" s="14">
        <v>4.5766999999999998</v>
      </c>
      <c r="J1479" s="7">
        <v>3031</v>
      </c>
    </row>
    <row r="1480" spans="1:10" x14ac:dyDescent="0.2">
      <c r="A1480" s="9">
        <v>46164</v>
      </c>
      <c r="B1480" s="4" t="s">
        <v>222</v>
      </c>
      <c r="C1480" s="8">
        <v>46143</v>
      </c>
      <c r="D1480" s="4" t="s">
        <v>197</v>
      </c>
      <c r="E1480" s="14">
        <v>3.4575</v>
      </c>
      <c r="F1480" s="7">
        <v>2280</v>
      </c>
      <c r="G1480" s="14">
        <v>1.84E-2</v>
      </c>
      <c r="H1480" s="7">
        <v>26</v>
      </c>
      <c r="I1480" s="14">
        <v>3.4759000000000002</v>
      </c>
      <c r="J1480" s="7">
        <v>2306</v>
      </c>
    </row>
    <row r="1481" spans="1:10" x14ac:dyDescent="0.2">
      <c r="A1481" s="9">
        <v>46167</v>
      </c>
      <c r="B1481" s="4" t="s">
        <v>225</v>
      </c>
      <c r="C1481" s="8">
        <v>46143</v>
      </c>
      <c r="D1481" s="4" t="s">
        <v>197</v>
      </c>
      <c r="E1481" s="14">
        <v>4.0987999999999998</v>
      </c>
      <c r="F1481" s="7">
        <v>2669</v>
      </c>
      <c r="G1481" s="14">
        <v>3.8999999999999998E-3</v>
      </c>
      <c r="H1481" s="7">
        <v>6</v>
      </c>
      <c r="I1481" s="14">
        <v>4.1026999999999996</v>
      </c>
      <c r="J1481" s="7">
        <v>2675</v>
      </c>
    </row>
    <row r="1482" spans="1:10" x14ac:dyDescent="0.2">
      <c r="A1482" s="9">
        <v>46168</v>
      </c>
      <c r="B1482" s="4" t="s">
        <v>223</v>
      </c>
      <c r="C1482" s="8">
        <v>46143</v>
      </c>
      <c r="D1482" s="4" t="s">
        <v>197</v>
      </c>
      <c r="E1482" s="14">
        <v>3.8803999999999998</v>
      </c>
      <c r="F1482" s="7">
        <v>2534</v>
      </c>
      <c r="G1482" s="14">
        <v>2.8999999999999998E-3</v>
      </c>
      <c r="H1482" s="7">
        <v>4</v>
      </c>
      <c r="I1482" s="14">
        <v>3.8833000000000002</v>
      </c>
      <c r="J1482" s="7">
        <v>2538</v>
      </c>
    </row>
    <row r="1483" spans="1:10" x14ac:dyDescent="0.2">
      <c r="A1483" s="9">
        <v>46169</v>
      </c>
      <c r="B1483" s="4" t="s">
        <v>221</v>
      </c>
      <c r="C1483" s="8">
        <v>46143</v>
      </c>
      <c r="D1483" s="4" t="s">
        <v>197</v>
      </c>
      <c r="E1483" s="14">
        <v>7.2285000000000004</v>
      </c>
      <c r="F1483" s="7">
        <v>4735</v>
      </c>
      <c r="G1483" s="14">
        <v>4.1999999999999997E-3</v>
      </c>
      <c r="H1483" s="7">
        <v>7</v>
      </c>
      <c r="I1483" s="14">
        <v>7.2327000000000004</v>
      </c>
      <c r="J1483" s="7">
        <v>4742</v>
      </c>
    </row>
    <row r="1484" spans="1:10" x14ac:dyDescent="0.2">
      <c r="A1484" s="9">
        <v>46171</v>
      </c>
      <c r="B1484" s="4" t="s">
        <v>222</v>
      </c>
      <c r="C1484" s="8">
        <v>46143</v>
      </c>
      <c r="D1484" s="4" t="s">
        <v>197</v>
      </c>
      <c r="E1484" s="14">
        <v>5.2671999999999999</v>
      </c>
      <c r="F1484" s="7">
        <v>3469</v>
      </c>
      <c r="G1484" s="14">
        <v>4.3E-3</v>
      </c>
      <c r="H1484" s="7">
        <v>7</v>
      </c>
      <c r="I1484" s="14">
        <v>5.2714999999999996</v>
      </c>
      <c r="J1484" s="7">
        <v>3476</v>
      </c>
    </row>
    <row r="1485" spans="1:10" x14ac:dyDescent="0.2">
      <c r="A1485" s="9">
        <v>46174</v>
      </c>
      <c r="B1485" s="4" t="s">
        <v>225</v>
      </c>
      <c r="C1485" s="8">
        <v>46174</v>
      </c>
      <c r="D1485" s="4" t="s">
        <v>197</v>
      </c>
      <c r="E1485" s="14">
        <v>3.4809999999999999</v>
      </c>
      <c r="F1485" s="7">
        <v>2308</v>
      </c>
      <c r="G1485" s="14">
        <v>5.1000000000000004E-3</v>
      </c>
      <c r="H1485" s="7">
        <v>9</v>
      </c>
      <c r="I1485" s="14">
        <v>3.4861</v>
      </c>
      <c r="J1485" s="7">
        <v>2317</v>
      </c>
    </row>
    <row r="1486" spans="1:10" x14ac:dyDescent="0.2">
      <c r="A1486" s="9">
        <v>46175</v>
      </c>
      <c r="B1486" s="4" t="s">
        <v>223</v>
      </c>
      <c r="C1486" s="8">
        <v>46174</v>
      </c>
      <c r="D1486" s="4" t="s">
        <v>197</v>
      </c>
      <c r="E1486" s="14">
        <v>2.9948999999999999</v>
      </c>
      <c r="F1486" s="7">
        <v>1985</v>
      </c>
      <c r="G1486" s="14">
        <v>8.8000000000000005E-3</v>
      </c>
      <c r="H1486" s="7">
        <v>16</v>
      </c>
      <c r="I1486" s="14">
        <v>3.0036999999999998</v>
      </c>
      <c r="J1486" s="7">
        <v>2001</v>
      </c>
    </row>
    <row r="1487" spans="1:10" x14ac:dyDescent="0.2">
      <c r="A1487" s="9">
        <v>46176</v>
      </c>
      <c r="B1487" s="4" t="s">
        <v>221</v>
      </c>
      <c r="C1487" s="8">
        <v>46174</v>
      </c>
      <c r="D1487" s="4" t="s">
        <v>197</v>
      </c>
      <c r="E1487" s="14">
        <v>5.8448000000000002</v>
      </c>
      <c r="F1487" s="7">
        <v>3907</v>
      </c>
      <c r="G1487" s="14">
        <v>2.5999999999999999E-3</v>
      </c>
      <c r="H1487" s="7">
        <v>6</v>
      </c>
      <c r="I1487" s="14">
        <v>5.8474000000000004</v>
      </c>
      <c r="J1487" s="7">
        <v>3913</v>
      </c>
    </row>
    <row r="1488" spans="1:10" x14ac:dyDescent="0.2">
      <c r="A1488" s="9">
        <v>46177</v>
      </c>
      <c r="B1488" s="4" t="s">
        <v>224</v>
      </c>
      <c r="C1488" s="8">
        <v>46174</v>
      </c>
      <c r="D1488" s="4" t="s">
        <v>197</v>
      </c>
      <c r="E1488" s="14">
        <v>6.1473000000000004</v>
      </c>
      <c r="F1488" s="7">
        <v>4116</v>
      </c>
      <c r="G1488" s="14">
        <v>4.7000000000000002E-3</v>
      </c>
      <c r="H1488" s="7">
        <v>9</v>
      </c>
      <c r="I1488" s="14">
        <v>6.1520000000000001</v>
      </c>
      <c r="J1488" s="7">
        <v>4125</v>
      </c>
    </row>
    <row r="1489" spans="1:10" x14ac:dyDescent="0.2">
      <c r="A1489" s="9">
        <v>46178</v>
      </c>
      <c r="B1489" s="4" t="s">
        <v>222</v>
      </c>
      <c r="C1489" s="8">
        <v>46174</v>
      </c>
      <c r="D1489" s="4" t="s">
        <v>197</v>
      </c>
      <c r="E1489" s="14">
        <v>2.7284000000000002</v>
      </c>
      <c r="F1489" s="7">
        <v>1823</v>
      </c>
      <c r="G1489" s="14">
        <v>9.2999999999999992E-3</v>
      </c>
      <c r="H1489" s="7">
        <v>16</v>
      </c>
      <c r="I1489" s="14">
        <v>2.7376999999999998</v>
      </c>
      <c r="J1489" s="7">
        <v>1839</v>
      </c>
    </row>
    <row r="1490" spans="1:10" x14ac:dyDescent="0.2">
      <c r="A1490" s="9">
        <v>46181</v>
      </c>
      <c r="B1490" s="4" t="s">
        <v>225</v>
      </c>
      <c r="C1490" s="8">
        <v>46174</v>
      </c>
      <c r="D1490" s="4" t="s">
        <v>197</v>
      </c>
      <c r="E1490" s="14">
        <v>1.9112</v>
      </c>
      <c r="F1490" s="7">
        <v>1290</v>
      </c>
      <c r="G1490" s="14">
        <v>9.1000000000000004E-3</v>
      </c>
      <c r="H1490" s="7">
        <v>12</v>
      </c>
      <c r="I1490" s="14">
        <v>1.9202999999999999</v>
      </c>
      <c r="J1490" s="7">
        <v>1302</v>
      </c>
    </row>
    <row r="1491" spans="1:10" x14ac:dyDescent="0.2">
      <c r="A1491" s="9">
        <v>46182</v>
      </c>
      <c r="B1491" s="4" t="s">
        <v>223</v>
      </c>
      <c r="C1491" s="8">
        <v>46174</v>
      </c>
      <c r="D1491" s="4" t="s">
        <v>197</v>
      </c>
      <c r="E1491" s="14">
        <v>1.8629</v>
      </c>
      <c r="F1491" s="7">
        <v>1257</v>
      </c>
      <c r="G1491" s="14">
        <v>7.1000000000000004E-3</v>
      </c>
      <c r="H1491" s="7">
        <v>10</v>
      </c>
      <c r="I1491" s="14">
        <v>1.87</v>
      </c>
      <c r="J1491" s="7">
        <v>1267</v>
      </c>
    </row>
    <row r="1492" spans="1:10" x14ac:dyDescent="0.2">
      <c r="A1492" s="9">
        <v>46183</v>
      </c>
      <c r="B1492" s="4" t="s">
        <v>221</v>
      </c>
      <c r="C1492" s="8">
        <v>46174</v>
      </c>
      <c r="D1492" s="4" t="s">
        <v>197</v>
      </c>
      <c r="E1492" s="14">
        <v>2.1896</v>
      </c>
      <c r="F1492" s="7">
        <v>1469</v>
      </c>
      <c r="G1492" s="14">
        <v>2.1000000000000001E-2</v>
      </c>
      <c r="H1492" s="7">
        <v>30</v>
      </c>
      <c r="I1492" s="14">
        <v>2.2105999999999999</v>
      </c>
      <c r="J1492" s="7">
        <v>1499</v>
      </c>
    </row>
    <row r="1493" spans="1:10" x14ac:dyDescent="0.2">
      <c r="A1493" s="9">
        <v>46184</v>
      </c>
      <c r="B1493" s="4" t="s">
        <v>224</v>
      </c>
      <c r="C1493" s="8">
        <v>46174</v>
      </c>
      <c r="D1493" s="4" t="s">
        <v>197</v>
      </c>
      <c r="E1493" s="14">
        <v>3.6566999999999998</v>
      </c>
      <c r="F1493" s="7">
        <v>2467</v>
      </c>
      <c r="G1493" s="14">
        <v>1.84E-2</v>
      </c>
      <c r="H1493" s="7">
        <v>30</v>
      </c>
      <c r="I1493" s="14">
        <v>3.6751</v>
      </c>
      <c r="J1493" s="7">
        <v>2497</v>
      </c>
    </row>
    <row r="1494" spans="1:10" x14ac:dyDescent="0.2">
      <c r="A1494" s="9">
        <v>46185</v>
      </c>
      <c r="B1494" s="4" t="s">
        <v>222</v>
      </c>
      <c r="C1494" s="8">
        <v>46174</v>
      </c>
      <c r="D1494" s="4" t="s">
        <v>197</v>
      </c>
      <c r="E1494" s="14">
        <v>4.8737000000000004</v>
      </c>
      <c r="F1494" s="7">
        <v>3239</v>
      </c>
      <c r="G1494" s="14">
        <v>1.0800000000000001E-2</v>
      </c>
      <c r="H1494" s="7">
        <v>16</v>
      </c>
      <c r="I1494" s="14">
        <v>4.8845000000000001</v>
      </c>
      <c r="J1494" s="7">
        <v>3255</v>
      </c>
    </row>
    <row r="1495" spans="1:10" x14ac:dyDescent="0.2">
      <c r="A1495" s="9">
        <v>46188</v>
      </c>
      <c r="B1495" s="4" t="s">
        <v>225</v>
      </c>
      <c r="C1495" s="8">
        <v>46174</v>
      </c>
      <c r="D1495" s="4" t="s">
        <v>197</v>
      </c>
      <c r="E1495" s="14">
        <v>3.5028000000000001</v>
      </c>
      <c r="F1495" s="7">
        <v>2283</v>
      </c>
      <c r="G1495" s="14">
        <v>5.1000000000000004E-3</v>
      </c>
      <c r="H1495" s="7">
        <v>7</v>
      </c>
      <c r="I1495" s="14">
        <v>3.5078999999999998</v>
      </c>
      <c r="J1495" s="7">
        <v>2290</v>
      </c>
    </row>
    <row r="1496" spans="1:10" x14ac:dyDescent="0.2">
      <c r="A1496" s="9">
        <v>46189</v>
      </c>
      <c r="B1496" s="4" t="s">
        <v>223</v>
      </c>
      <c r="C1496" s="8">
        <v>46174</v>
      </c>
      <c r="D1496" s="4" t="s">
        <v>197</v>
      </c>
      <c r="E1496" s="14">
        <v>1.8644000000000001</v>
      </c>
      <c r="F1496" s="7">
        <v>1213</v>
      </c>
      <c r="G1496" s="14">
        <v>1.32E-2</v>
      </c>
      <c r="H1496" s="7">
        <v>21</v>
      </c>
      <c r="I1496" s="14">
        <v>1.8775999999999999</v>
      </c>
      <c r="J1496" s="7">
        <v>1234</v>
      </c>
    </row>
    <row r="1497" spans="1:10" x14ac:dyDescent="0.2">
      <c r="A1497" s="9">
        <v>46190</v>
      </c>
      <c r="B1497" s="4" t="s">
        <v>221</v>
      </c>
      <c r="C1497" s="8">
        <v>46174</v>
      </c>
      <c r="D1497" s="4" t="s">
        <v>197</v>
      </c>
      <c r="E1497" s="14">
        <v>2.7806000000000002</v>
      </c>
      <c r="F1497" s="7">
        <v>1795</v>
      </c>
      <c r="G1497" s="14">
        <v>6.8999999999999999E-3</v>
      </c>
      <c r="H1497" s="7">
        <v>12</v>
      </c>
      <c r="I1497" s="14">
        <v>2.7875000000000001</v>
      </c>
      <c r="J1497" s="7">
        <v>1807</v>
      </c>
    </row>
    <row r="1498" spans="1:10" x14ac:dyDescent="0.2">
      <c r="A1498" s="9">
        <v>46191</v>
      </c>
      <c r="B1498" s="4" t="s">
        <v>224</v>
      </c>
      <c r="C1498" s="8">
        <v>46174</v>
      </c>
      <c r="D1498" s="4" t="s">
        <v>197</v>
      </c>
      <c r="E1498" s="14">
        <v>4.3150000000000004</v>
      </c>
      <c r="F1498" s="7">
        <v>2787</v>
      </c>
      <c r="G1498" s="14">
        <v>5.4999999999999997E-3</v>
      </c>
      <c r="H1498" s="7">
        <v>12</v>
      </c>
      <c r="I1498" s="14">
        <v>4.3205</v>
      </c>
      <c r="J1498" s="7">
        <v>2799</v>
      </c>
    </row>
    <row r="1499" spans="1:10" x14ac:dyDescent="0.2">
      <c r="A1499" s="9">
        <v>46192</v>
      </c>
      <c r="B1499" s="4" t="s">
        <v>222</v>
      </c>
      <c r="C1499" s="8">
        <v>46174</v>
      </c>
      <c r="D1499" s="4" t="s">
        <v>197</v>
      </c>
      <c r="E1499" s="14">
        <v>3.1762999999999999</v>
      </c>
      <c r="F1499" s="7">
        <v>2046</v>
      </c>
      <c r="G1499" s="14">
        <v>7.9000000000000008E-3</v>
      </c>
      <c r="H1499" s="7">
        <v>16</v>
      </c>
      <c r="I1499" s="14">
        <v>3.1842000000000001</v>
      </c>
      <c r="J1499" s="7">
        <v>2062</v>
      </c>
    </row>
    <row r="1500" spans="1:10" x14ac:dyDescent="0.2">
      <c r="A1500" s="9">
        <v>46195</v>
      </c>
      <c r="B1500" s="4" t="s">
        <v>225</v>
      </c>
      <c r="C1500" s="8">
        <v>46174</v>
      </c>
      <c r="D1500" s="4" t="s">
        <v>197</v>
      </c>
      <c r="E1500" s="14">
        <v>1.7757000000000001</v>
      </c>
      <c r="F1500" s="7">
        <v>1148</v>
      </c>
      <c r="G1500" s="14">
        <v>3.7000000000000002E-3</v>
      </c>
      <c r="H1500" s="7">
        <v>10</v>
      </c>
      <c r="I1500" s="14">
        <v>1.7794000000000001</v>
      </c>
      <c r="J1500" s="7">
        <v>1158</v>
      </c>
    </row>
    <row r="1501" spans="1:10" x14ac:dyDescent="0.2">
      <c r="A1501" s="9">
        <v>46196</v>
      </c>
      <c r="B1501" s="4" t="s">
        <v>223</v>
      </c>
      <c r="C1501" s="8">
        <v>46174</v>
      </c>
      <c r="D1501" s="4" t="s">
        <v>197</v>
      </c>
      <c r="E1501" s="14">
        <v>3.1667999999999998</v>
      </c>
      <c r="F1501" s="7">
        <v>2062</v>
      </c>
      <c r="G1501" s="14">
        <v>9.5999999999999992E-3</v>
      </c>
      <c r="H1501" s="7">
        <v>16</v>
      </c>
      <c r="I1501" s="14">
        <v>3.1764000000000001</v>
      </c>
      <c r="J1501" s="7">
        <v>2078</v>
      </c>
    </row>
    <row r="1502" spans="1:10" x14ac:dyDescent="0.2">
      <c r="A1502" s="9">
        <v>46197</v>
      </c>
      <c r="B1502" s="4" t="s">
        <v>221</v>
      </c>
      <c r="C1502" s="8">
        <v>46174</v>
      </c>
      <c r="D1502" s="4" t="s">
        <v>197</v>
      </c>
      <c r="E1502" s="14">
        <v>4.8045999999999998</v>
      </c>
      <c r="F1502" s="7">
        <v>3120</v>
      </c>
      <c r="G1502" s="14">
        <v>8.6999999999999994E-3</v>
      </c>
      <c r="H1502" s="7">
        <v>12</v>
      </c>
      <c r="I1502" s="14">
        <v>4.8132999999999999</v>
      </c>
      <c r="J1502" s="7">
        <v>3132</v>
      </c>
    </row>
    <row r="1503" spans="1:10" x14ac:dyDescent="0.2">
      <c r="A1503" s="9">
        <v>46198</v>
      </c>
      <c r="B1503" s="4" t="s">
        <v>224</v>
      </c>
      <c r="C1503" s="8">
        <v>46174</v>
      </c>
      <c r="D1503" s="4" t="s">
        <v>197</v>
      </c>
      <c r="E1503" s="14">
        <v>10.623200000000001</v>
      </c>
      <c r="F1503" s="7">
        <v>6845</v>
      </c>
      <c r="G1503" s="14">
        <v>5.7999999999999996E-3</v>
      </c>
      <c r="H1503" s="7">
        <v>10</v>
      </c>
      <c r="I1503" s="14">
        <v>10.629</v>
      </c>
      <c r="J1503" s="7">
        <v>6855</v>
      </c>
    </row>
    <row r="1504" spans="1:10" x14ac:dyDescent="0.2">
      <c r="A1504" s="9">
        <v>46202</v>
      </c>
      <c r="B1504" s="4" t="s">
        <v>225</v>
      </c>
      <c r="C1504" s="8">
        <v>46174</v>
      </c>
      <c r="D1504" s="4" t="s">
        <v>197</v>
      </c>
      <c r="E1504" s="14">
        <v>2.2383999999999999</v>
      </c>
      <c r="F1504" s="7">
        <v>1447</v>
      </c>
      <c r="G1504" s="14">
        <v>4.1000000000000003E-3</v>
      </c>
      <c r="H1504" s="7">
        <v>7</v>
      </c>
      <c r="I1504" s="14">
        <v>2.2425000000000002</v>
      </c>
      <c r="J1504" s="7">
        <v>1454</v>
      </c>
    </row>
    <row r="1505" spans="1:10" x14ac:dyDescent="0.2">
      <c r="A1505" s="9">
        <v>46203</v>
      </c>
      <c r="B1505" s="4" t="s">
        <v>223</v>
      </c>
      <c r="C1505" s="8">
        <v>46174</v>
      </c>
      <c r="D1505" s="4" t="s">
        <v>197</v>
      </c>
      <c r="E1505" s="14">
        <v>1.7093</v>
      </c>
      <c r="F1505" s="7">
        <v>1109</v>
      </c>
      <c r="G1505" s="14">
        <v>5.0000000000000001E-3</v>
      </c>
      <c r="H1505" s="7">
        <v>7</v>
      </c>
      <c r="I1505" s="14">
        <v>1.7142999999999999</v>
      </c>
      <c r="J1505" s="7">
        <v>1116</v>
      </c>
    </row>
    <row r="1506" spans="1:10" x14ac:dyDescent="0.2">
      <c r="A1506" s="9">
        <v>46204</v>
      </c>
      <c r="B1506" s="4" t="s">
        <v>221</v>
      </c>
      <c r="C1506" s="8">
        <v>46204</v>
      </c>
      <c r="D1506" s="4" t="s">
        <v>198</v>
      </c>
      <c r="E1506" s="14">
        <v>2.2888999999999999</v>
      </c>
      <c r="F1506" s="7">
        <v>1482</v>
      </c>
      <c r="G1506" s="14">
        <v>1.8E-3</v>
      </c>
      <c r="H1506" s="7">
        <v>3</v>
      </c>
      <c r="I1506" s="14">
        <v>2.2907000000000002</v>
      </c>
      <c r="J1506" s="7">
        <v>1485</v>
      </c>
    </row>
    <row r="1507" spans="1:10" x14ac:dyDescent="0.2">
      <c r="A1507" s="9">
        <v>46205</v>
      </c>
      <c r="B1507" s="4" t="s">
        <v>224</v>
      </c>
      <c r="C1507" s="8">
        <v>46204</v>
      </c>
      <c r="D1507" s="4" t="s">
        <v>198</v>
      </c>
      <c r="E1507" s="14">
        <v>3.0800999999999998</v>
      </c>
      <c r="F1507" s="7">
        <v>1983</v>
      </c>
      <c r="G1507" s="14">
        <v>1.2999999999999999E-3</v>
      </c>
      <c r="H1507" s="7">
        <v>2</v>
      </c>
      <c r="I1507" s="14">
        <v>3.0813999999999999</v>
      </c>
      <c r="J1507" s="7">
        <v>1985</v>
      </c>
    </row>
    <row r="1508" spans="1:10" x14ac:dyDescent="0.2">
      <c r="A1508" s="9">
        <v>46206</v>
      </c>
      <c r="B1508" s="4" t="s">
        <v>222</v>
      </c>
      <c r="C1508" s="8">
        <v>46204</v>
      </c>
      <c r="D1508" s="4" t="s">
        <v>198</v>
      </c>
      <c r="E1508" s="14">
        <v>2.4607999999999999</v>
      </c>
      <c r="F1508" s="7">
        <v>1573</v>
      </c>
      <c r="G1508" s="14">
        <v>2.8999999999999998E-3</v>
      </c>
      <c r="H1508" s="7">
        <v>5</v>
      </c>
      <c r="I1508" s="14">
        <v>2.4636999999999998</v>
      </c>
      <c r="J1508" s="7">
        <v>1578</v>
      </c>
    </row>
    <row r="1509" spans="1:10" x14ac:dyDescent="0.2">
      <c r="A1509" s="9">
        <v>46209</v>
      </c>
      <c r="B1509" s="4" t="s">
        <v>225</v>
      </c>
      <c r="C1509" s="8">
        <v>46204</v>
      </c>
      <c r="D1509" s="4" t="s">
        <v>198</v>
      </c>
      <c r="E1509" s="14">
        <v>1.0585</v>
      </c>
      <c r="F1509" s="7">
        <v>674</v>
      </c>
      <c r="G1509" s="14">
        <v>0</v>
      </c>
      <c r="H1509" s="7">
        <v>0</v>
      </c>
      <c r="I1509" s="14">
        <v>1.0585</v>
      </c>
      <c r="J1509" s="7">
        <v>674</v>
      </c>
    </row>
    <row r="1510" spans="1:10" x14ac:dyDescent="0.2">
      <c r="A1510" s="9">
        <v>46210</v>
      </c>
      <c r="B1510" s="4" t="s">
        <v>223</v>
      </c>
      <c r="C1510" s="8">
        <v>46204</v>
      </c>
      <c r="D1510" s="4" t="s">
        <v>198</v>
      </c>
      <c r="E1510" s="14">
        <v>1.5706</v>
      </c>
      <c r="F1510" s="7">
        <v>999</v>
      </c>
      <c r="G1510" s="14">
        <v>1.1999999999999999E-3</v>
      </c>
      <c r="H1510" s="7">
        <v>1</v>
      </c>
      <c r="I1510" s="14">
        <v>1.5718000000000001</v>
      </c>
      <c r="J1510" s="7">
        <v>1000</v>
      </c>
    </row>
    <row r="1511" spans="1:10" x14ac:dyDescent="0.2">
      <c r="A1511" s="9">
        <v>46211</v>
      </c>
      <c r="B1511" s="4" t="s">
        <v>221</v>
      </c>
      <c r="C1511" s="8">
        <v>46204</v>
      </c>
      <c r="D1511" s="4" t="s">
        <v>198</v>
      </c>
      <c r="E1511" s="14">
        <v>4.9176000000000002</v>
      </c>
      <c r="F1511" s="7">
        <v>3180</v>
      </c>
      <c r="G1511" s="14">
        <v>1E-3</v>
      </c>
      <c r="H1511" s="7">
        <v>1</v>
      </c>
      <c r="I1511" s="14">
        <v>4.9185999999999996</v>
      </c>
      <c r="J1511" s="7">
        <v>3181</v>
      </c>
    </row>
    <row r="1512" spans="1:10" x14ac:dyDescent="0.2">
      <c r="A1512" s="9">
        <v>46212</v>
      </c>
      <c r="B1512" s="4" t="s">
        <v>224</v>
      </c>
      <c r="C1512" s="8">
        <v>46204</v>
      </c>
      <c r="D1512" s="4" t="s">
        <v>198</v>
      </c>
      <c r="E1512" s="14">
        <v>3.8327</v>
      </c>
      <c r="F1512" s="7">
        <v>2481</v>
      </c>
      <c r="G1512" s="14">
        <v>0</v>
      </c>
      <c r="H1512" s="7">
        <v>0</v>
      </c>
      <c r="I1512" s="14">
        <v>3.8327</v>
      </c>
      <c r="J1512" s="7">
        <v>2481</v>
      </c>
    </row>
    <row r="1513" spans="1:10" x14ac:dyDescent="0.2">
      <c r="A1513" s="9">
        <v>46213</v>
      </c>
      <c r="B1513" s="4" t="s">
        <v>222</v>
      </c>
      <c r="C1513" s="8">
        <v>46204</v>
      </c>
      <c r="D1513" s="4" t="s">
        <v>198</v>
      </c>
      <c r="E1513" s="14">
        <v>1.8822000000000001</v>
      </c>
      <c r="F1513" s="7">
        <v>1210</v>
      </c>
      <c r="G1513" s="14">
        <v>5.0000000000000001E-4</v>
      </c>
      <c r="H1513" s="7">
        <v>1</v>
      </c>
      <c r="I1513" s="14">
        <v>1.8827</v>
      </c>
      <c r="J1513" s="7">
        <v>1211</v>
      </c>
    </row>
    <row r="1514" spans="1:10" x14ac:dyDescent="0.2">
      <c r="A1514" s="9">
        <v>46216</v>
      </c>
      <c r="B1514" s="4" t="s">
        <v>225</v>
      </c>
      <c r="C1514" s="8">
        <v>46204</v>
      </c>
      <c r="D1514" s="4" t="s">
        <v>198</v>
      </c>
      <c r="E1514" s="14">
        <v>1.8599000000000001</v>
      </c>
      <c r="F1514" s="7">
        <v>1198</v>
      </c>
      <c r="G1514" s="14">
        <v>2.0299999999999999E-2</v>
      </c>
      <c r="H1514" s="7">
        <v>34</v>
      </c>
      <c r="I1514" s="14">
        <v>1.8802000000000001</v>
      </c>
      <c r="J1514" s="7">
        <v>1232</v>
      </c>
    </row>
    <row r="1515" spans="1:10" x14ac:dyDescent="0.2">
      <c r="A1515" s="9">
        <v>46217</v>
      </c>
      <c r="B1515" s="4" t="s">
        <v>223</v>
      </c>
      <c r="C1515" s="8">
        <v>46204</v>
      </c>
      <c r="D1515" s="4" t="s">
        <v>198</v>
      </c>
      <c r="E1515" s="14">
        <v>1.9912000000000001</v>
      </c>
      <c r="F1515" s="7">
        <v>1286</v>
      </c>
      <c r="G1515" s="14">
        <v>5.9999999999999995E-4</v>
      </c>
      <c r="H1515" s="7">
        <v>1</v>
      </c>
      <c r="I1515" s="14">
        <v>1.9918</v>
      </c>
      <c r="J1515" s="7">
        <v>1287</v>
      </c>
    </row>
    <row r="1516" spans="1:10" x14ac:dyDescent="0.2">
      <c r="A1516" s="9">
        <v>46218</v>
      </c>
      <c r="B1516" s="4" t="s">
        <v>221</v>
      </c>
      <c r="C1516" s="8">
        <v>46204</v>
      </c>
      <c r="D1516" s="4" t="s">
        <v>198</v>
      </c>
      <c r="E1516" s="14">
        <v>3.3304</v>
      </c>
      <c r="F1516" s="7">
        <v>2147</v>
      </c>
      <c r="G1516" s="14">
        <v>2.5999999999999999E-3</v>
      </c>
      <c r="H1516" s="7">
        <v>4</v>
      </c>
      <c r="I1516" s="14">
        <v>3.3330000000000002</v>
      </c>
      <c r="J1516" s="7">
        <v>2151</v>
      </c>
    </row>
    <row r="1517" spans="1:10" x14ac:dyDescent="0.2">
      <c r="A1517" s="9">
        <v>46219</v>
      </c>
      <c r="B1517" s="4" t="s">
        <v>224</v>
      </c>
      <c r="C1517" s="8">
        <v>46204</v>
      </c>
      <c r="D1517" s="4" t="s">
        <v>198</v>
      </c>
      <c r="E1517" s="14">
        <v>2.8658000000000001</v>
      </c>
      <c r="F1517" s="7">
        <v>1848</v>
      </c>
      <c r="G1517" s="14">
        <v>2E-3</v>
      </c>
      <c r="H1517" s="7">
        <v>3</v>
      </c>
      <c r="I1517" s="14">
        <v>2.8677999999999999</v>
      </c>
      <c r="J1517" s="7">
        <v>1851</v>
      </c>
    </row>
    <row r="1518" spans="1:10" x14ac:dyDescent="0.2">
      <c r="A1518" s="9">
        <v>46220</v>
      </c>
      <c r="B1518" s="4" t="s">
        <v>222</v>
      </c>
      <c r="C1518" s="8">
        <v>46204</v>
      </c>
      <c r="D1518" s="4" t="s">
        <v>198</v>
      </c>
      <c r="E1518" s="14">
        <v>2.9504000000000001</v>
      </c>
      <c r="F1518" s="7">
        <v>1891</v>
      </c>
      <c r="G1518" s="14">
        <v>1.9E-3</v>
      </c>
      <c r="H1518" s="7">
        <v>3</v>
      </c>
      <c r="I1518" s="14">
        <v>2.9523000000000001</v>
      </c>
      <c r="J1518" s="7">
        <v>1894</v>
      </c>
    </row>
    <row r="1519" spans="1:10" x14ac:dyDescent="0.2">
      <c r="A1519" s="9">
        <v>46223</v>
      </c>
      <c r="B1519" s="4" t="s">
        <v>225</v>
      </c>
      <c r="C1519" s="8">
        <v>46204</v>
      </c>
      <c r="D1519" s="4" t="s">
        <v>198</v>
      </c>
      <c r="E1519" s="14">
        <v>2.3506999999999998</v>
      </c>
      <c r="F1519" s="7">
        <v>1511</v>
      </c>
      <c r="G1519" s="14">
        <v>6.1000000000000004E-3</v>
      </c>
      <c r="H1519" s="7">
        <v>6</v>
      </c>
      <c r="I1519" s="14">
        <v>2.3567999999999998</v>
      </c>
      <c r="J1519" s="7">
        <v>1517</v>
      </c>
    </row>
    <row r="1520" spans="1:10" x14ac:dyDescent="0.2">
      <c r="A1520" s="9">
        <v>46224</v>
      </c>
      <c r="B1520" s="4" t="s">
        <v>223</v>
      </c>
      <c r="C1520" s="8">
        <v>46204</v>
      </c>
      <c r="D1520" s="4" t="s">
        <v>198</v>
      </c>
      <c r="E1520" s="14">
        <v>1.2179</v>
      </c>
      <c r="F1520" s="7">
        <v>784</v>
      </c>
      <c r="G1520" s="14">
        <v>5.0000000000000001E-4</v>
      </c>
      <c r="H1520" s="7">
        <v>1</v>
      </c>
      <c r="I1520" s="14">
        <v>1.2183999999999999</v>
      </c>
      <c r="J1520" s="7">
        <v>785</v>
      </c>
    </row>
    <row r="1521" spans="1:10" x14ac:dyDescent="0.2">
      <c r="A1521" s="9">
        <v>46225</v>
      </c>
      <c r="B1521" s="4" t="s">
        <v>221</v>
      </c>
      <c r="C1521" s="8">
        <v>46204</v>
      </c>
      <c r="D1521" s="4" t="s">
        <v>198</v>
      </c>
      <c r="E1521" s="14">
        <v>2.5621</v>
      </c>
      <c r="F1521" s="7">
        <v>1661</v>
      </c>
      <c r="G1521" s="14">
        <v>1.6000000000000001E-3</v>
      </c>
      <c r="H1521" s="7">
        <v>2</v>
      </c>
      <c r="I1521" s="14">
        <v>2.5636999999999999</v>
      </c>
      <c r="J1521" s="7">
        <v>1663</v>
      </c>
    </row>
    <row r="1522" spans="1:10" x14ac:dyDescent="0.2">
      <c r="A1522" s="9">
        <v>46226</v>
      </c>
      <c r="B1522" s="4" t="s">
        <v>224</v>
      </c>
      <c r="C1522" s="8">
        <v>46204</v>
      </c>
      <c r="D1522" s="4" t="s">
        <v>198</v>
      </c>
      <c r="E1522" s="14">
        <v>2.6444000000000001</v>
      </c>
      <c r="F1522" s="7">
        <v>1720</v>
      </c>
      <c r="G1522" s="14">
        <v>1.4E-3</v>
      </c>
      <c r="H1522" s="7">
        <v>3</v>
      </c>
      <c r="I1522" s="14">
        <v>2.6457999999999999</v>
      </c>
      <c r="J1522" s="7">
        <v>1723</v>
      </c>
    </row>
    <row r="1523" spans="1:10" x14ac:dyDescent="0.2">
      <c r="A1523" s="9">
        <v>46227</v>
      </c>
      <c r="B1523" s="4" t="s">
        <v>222</v>
      </c>
      <c r="C1523" s="8">
        <v>46204</v>
      </c>
      <c r="D1523" s="4" t="s">
        <v>198</v>
      </c>
      <c r="E1523" s="14">
        <v>2.9428000000000001</v>
      </c>
      <c r="F1523" s="7">
        <v>1916</v>
      </c>
      <c r="G1523" s="14">
        <v>8.0000000000000004E-4</v>
      </c>
      <c r="H1523" s="7">
        <v>1</v>
      </c>
      <c r="I1523" s="14">
        <v>2.9436</v>
      </c>
      <c r="J1523" s="7">
        <v>1917</v>
      </c>
    </row>
    <row r="1524" spans="1:10" x14ac:dyDescent="0.2">
      <c r="A1524" s="9">
        <v>46230</v>
      </c>
      <c r="B1524" s="4" t="s">
        <v>225</v>
      </c>
      <c r="C1524" s="8">
        <v>46204</v>
      </c>
      <c r="D1524" s="4" t="s">
        <v>198</v>
      </c>
      <c r="E1524" s="14">
        <v>1.8664000000000001</v>
      </c>
      <c r="F1524" s="7">
        <v>1203</v>
      </c>
      <c r="G1524" s="14">
        <v>4.0000000000000002E-4</v>
      </c>
      <c r="H1524" s="7">
        <v>1</v>
      </c>
      <c r="I1524" s="14">
        <v>1.8668</v>
      </c>
      <c r="J1524" s="7">
        <v>1204</v>
      </c>
    </row>
    <row r="1525" spans="1:10" x14ac:dyDescent="0.2">
      <c r="A1525" s="9">
        <v>46231</v>
      </c>
      <c r="B1525" s="4" t="s">
        <v>223</v>
      </c>
      <c r="C1525" s="8">
        <v>46204</v>
      </c>
      <c r="D1525" s="4" t="s">
        <v>198</v>
      </c>
      <c r="E1525" s="14">
        <v>1.5057</v>
      </c>
      <c r="F1525" s="7">
        <v>973</v>
      </c>
      <c r="G1525" s="14">
        <v>5.5999999999999999E-3</v>
      </c>
      <c r="H1525" s="7">
        <v>8</v>
      </c>
      <c r="I1525" s="14">
        <v>1.5113000000000001</v>
      </c>
      <c r="J1525" s="7">
        <v>981</v>
      </c>
    </row>
    <row r="1526" spans="1:10" x14ac:dyDescent="0.2">
      <c r="A1526" s="9">
        <v>46232</v>
      </c>
      <c r="B1526" s="4" t="s">
        <v>221</v>
      </c>
      <c r="C1526" s="8">
        <v>46204</v>
      </c>
      <c r="D1526" s="4" t="s">
        <v>198</v>
      </c>
      <c r="E1526" s="14">
        <v>3.9672999999999998</v>
      </c>
      <c r="F1526" s="7">
        <v>2544</v>
      </c>
      <c r="G1526" s="14">
        <v>2.2000000000000001E-3</v>
      </c>
      <c r="H1526" s="7">
        <v>4</v>
      </c>
      <c r="I1526" s="14">
        <v>3.9695</v>
      </c>
      <c r="J1526" s="7">
        <v>2548</v>
      </c>
    </row>
    <row r="1527" spans="1:10" x14ac:dyDescent="0.2">
      <c r="A1527" s="9">
        <v>46233</v>
      </c>
      <c r="B1527" s="4" t="s">
        <v>224</v>
      </c>
      <c r="C1527" s="8">
        <v>46204</v>
      </c>
      <c r="D1527" s="4" t="s">
        <v>198</v>
      </c>
      <c r="E1527" s="14">
        <v>3.5183</v>
      </c>
      <c r="F1527" s="7">
        <v>2242</v>
      </c>
      <c r="G1527" s="14">
        <v>0</v>
      </c>
      <c r="H1527" s="7">
        <v>0</v>
      </c>
      <c r="I1527" s="14">
        <v>3.5183</v>
      </c>
      <c r="J1527" s="7">
        <v>2242</v>
      </c>
    </row>
    <row r="1528" spans="1:10" x14ac:dyDescent="0.2">
      <c r="A1528" s="9">
        <v>46234</v>
      </c>
      <c r="B1528" s="4" t="s">
        <v>222</v>
      </c>
      <c r="C1528" s="8">
        <v>46204</v>
      </c>
      <c r="D1528" s="4" t="s">
        <v>198</v>
      </c>
      <c r="E1528" s="14">
        <v>1.4756</v>
      </c>
      <c r="F1528" s="7">
        <v>940</v>
      </c>
      <c r="G1528" s="14">
        <v>0</v>
      </c>
      <c r="H1528" s="7">
        <v>0</v>
      </c>
      <c r="I1528" s="14">
        <v>1.4756</v>
      </c>
      <c r="J1528" s="7">
        <v>940</v>
      </c>
    </row>
    <row r="1529" spans="1:10" x14ac:dyDescent="0.2">
      <c r="A1529" s="9">
        <v>46237</v>
      </c>
      <c r="B1529" s="4" t="s">
        <v>225</v>
      </c>
      <c r="C1529" s="8">
        <v>46235</v>
      </c>
      <c r="D1529" s="4" t="s">
        <v>198</v>
      </c>
      <c r="E1529" s="14">
        <v>1.4436</v>
      </c>
      <c r="F1529" s="7">
        <v>913</v>
      </c>
      <c r="G1529" s="14">
        <v>1.6999999999999999E-3</v>
      </c>
      <c r="H1529" s="7">
        <v>3</v>
      </c>
      <c r="I1529" s="14">
        <v>1.4453</v>
      </c>
      <c r="J1529" s="7">
        <v>916</v>
      </c>
    </row>
    <row r="1530" spans="1:10" x14ac:dyDescent="0.2">
      <c r="A1530" s="9">
        <v>46238</v>
      </c>
      <c r="B1530" s="4" t="s">
        <v>223</v>
      </c>
      <c r="C1530" s="8">
        <v>46235</v>
      </c>
      <c r="D1530" s="4" t="s">
        <v>198</v>
      </c>
      <c r="E1530" s="14">
        <v>1.5980000000000001</v>
      </c>
      <c r="F1530" s="7">
        <v>1013</v>
      </c>
      <c r="G1530" s="14">
        <v>0</v>
      </c>
      <c r="H1530" s="7">
        <v>0</v>
      </c>
      <c r="I1530" s="14">
        <v>1.5980000000000001</v>
      </c>
      <c r="J1530" s="7">
        <v>1013</v>
      </c>
    </row>
    <row r="1531" spans="1:10" x14ac:dyDescent="0.2">
      <c r="A1531" s="9">
        <v>46239</v>
      </c>
      <c r="B1531" s="4" t="s">
        <v>221</v>
      </c>
      <c r="C1531" s="8">
        <v>46235</v>
      </c>
      <c r="D1531" s="4" t="s">
        <v>198</v>
      </c>
      <c r="E1531" s="14">
        <v>2.1583999999999999</v>
      </c>
      <c r="F1531" s="7">
        <v>1366</v>
      </c>
      <c r="G1531" s="14">
        <v>5.0000000000000001E-4</v>
      </c>
      <c r="H1531" s="7">
        <v>1</v>
      </c>
      <c r="I1531" s="14">
        <v>2.1589</v>
      </c>
      <c r="J1531" s="7">
        <v>1367</v>
      </c>
    </row>
    <row r="1532" spans="1:10" x14ac:dyDescent="0.2">
      <c r="A1532" s="9">
        <v>46240</v>
      </c>
      <c r="B1532" s="4" t="s">
        <v>224</v>
      </c>
      <c r="C1532" s="8">
        <v>46235</v>
      </c>
      <c r="D1532" s="4" t="s">
        <v>198</v>
      </c>
      <c r="E1532" s="14">
        <v>2.3458000000000001</v>
      </c>
      <c r="F1532" s="7">
        <v>1481</v>
      </c>
      <c r="G1532" s="14">
        <v>0</v>
      </c>
      <c r="H1532" s="7">
        <v>0</v>
      </c>
      <c r="I1532" s="14">
        <v>2.3458000000000001</v>
      </c>
      <c r="J1532" s="7">
        <v>1481</v>
      </c>
    </row>
    <row r="1533" spans="1:10" x14ac:dyDescent="0.2">
      <c r="A1533" s="9">
        <v>46241</v>
      </c>
      <c r="B1533" s="4" t="s">
        <v>222</v>
      </c>
      <c r="C1533" s="8">
        <v>46235</v>
      </c>
      <c r="D1533" s="4" t="s">
        <v>198</v>
      </c>
      <c r="E1533" s="14">
        <v>1.9115</v>
      </c>
      <c r="F1533" s="7">
        <v>1210</v>
      </c>
      <c r="G1533" s="14">
        <v>3.5999999999999999E-3</v>
      </c>
      <c r="H1533" s="7">
        <v>7</v>
      </c>
      <c r="I1533" s="14">
        <v>1.9151</v>
      </c>
      <c r="J1533" s="7">
        <v>1217</v>
      </c>
    </row>
    <row r="1534" spans="1:10" x14ac:dyDescent="0.2">
      <c r="A1534" s="9">
        <v>46244</v>
      </c>
      <c r="B1534" s="4" t="s">
        <v>225</v>
      </c>
      <c r="C1534" s="8">
        <v>46235</v>
      </c>
      <c r="D1534" s="4" t="s">
        <v>198</v>
      </c>
      <c r="E1534" s="14">
        <v>0.9204</v>
      </c>
      <c r="F1534" s="7">
        <v>583</v>
      </c>
      <c r="G1534" s="14">
        <v>0</v>
      </c>
      <c r="H1534" s="7">
        <v>0</v>
      </c>
      <c r="I1534" s="14">
        <v>0.9204</v>
      </c>
      <c r="J1534" s="7">
        <v>583</v>
      </c>
    </row>
    <row r="1535" spans="1:10" x14ac:dyDescent="0.2">
      <c r="A1535" s="9">
        <v>46245</v>
      </c>
      <c r="B1535" s="4" t="s">
        <v>223</v>
      </c>
      <c r="C1535" s="8">
        <v>46235</v>
      </c>
      <c r="D1535" s="4" t="s">
        <v>198</v>
      </c>
      <c r="E1535" s="14">
        <v>1.5185999999999999</v>
      </c>
      <c r="F1535" s="7">
        <v>965</v>
      </c>
      <c r="G1535" s="14">
        <v>1.8E-3</v>
      </c>
      <c r="H1535" s="7">
        <v>3</v>
      </c>
      <c r="I1535" s="14">
        <v>1.5204</v>
      </c>
      <c r="J1535" s="7">
        <v>968</v>
      </c>
    </row>
    <row r="1536" spans="1:10" x14ac:dyDescent="0.2">
      <c r="A1536" s="9">
        <v>46246</v>
      </c>
      <c r="B1536" s="4" t="s">
        <v>221</v>
      </c>
      <c r="C1536" s="8">
        <v>46235</v>
      </c>
      <c r="D1536" s="4" t="s">
        <v>198</v>
      </c>
      <c r="E1536" s="14">
        <v>2.8216999999999999</v>
      </c>
      <c r="F1536" s="7">
        <v>1803</v>
      </c>
      <c r="G1536" s="14">
        <v>1.1000000000000001E-3</v>
      </c>
      <c r="H1536" s="7">
        <v>2</v>
      </c>
      <c r="I1536" s="14">
        <v>2.8228</v>
      </c>
      <c r="J1536" s="7">
        <v>1805</v>
      </c>
    </row>
    <row r="1537" spans="1:10" x14ac:dyDescent="0.2">
      <c r="A1537" s="9">
        <v>46247</v>
      </c>
      <c r="B1537" s="4" t="s">
        <v>224</v>
      </c>
      <c r="C1537" s="8">
        <v>46235</v>
      </c>
      <c r="D1537" s="4" t="s">
        <v>198</v>
      </c>
      <c r="E1537" s="14">
        <v>4.9924999999999997</v>
      </c>
      <c r="F1537" s="7">
        <v>3189</v>
      </c>
      <c r="G1537" s="14">
        <v>5.0000000000000001E-4</v>
      </c>
      <c r="H1537" s="7">
        <v>1</v>
      </c>
      <c r="I1537" s="14">
        <v>4.9930000000000003</v>
      </c>
      <c r="J1537" s="7">
        <v>3190</v>
      </c>
    </row>
    <row r="1538" spans="1:10" x14ac:dyDescent="0.2">
      <c r="A1538" s="9">
        <v>46248</v>
      </c>
      <c r="B1538" s="4" t="s">
        <v>222</v>
      </c>
      <c r="C1538" s="8">
        <v>46235</v>
      </c>
      <c r="D1538" s="4" t="s">
        <v>198</v>
      </c>
      <c r="E1538" s="14">
        <v>0.79379999999999995</v>
      </c>
      <c r="F1538" s="7">
        <v>507</v>
      </c>
      <c r="G1538" s="14">
        <v>5.7000000000000002E-3</v>
      </c>
      <c r="H1538" s="7">
        <v>7</v>
      </c>
      <c r="I1538" s="14">
        <v>0.79949999999999999</v>
      </c>
      <c r="J1538" s="7">
        <v>514</v>
      </c>
    </row>
    <row r="1539" spans="1:10" x14ac:dyDescent="0.2">
      <c r="A1539" s="9">
        <v>46251</v>
      </c>
      <c r="B1539" s="4" t="s">
        <v>225</v>
      </c>
      <c r="C1539" s="8">
        <v>46235</v>
      </c>
      <c r="D1539" s="4" t="s">
        <v>198</v>
      </c>
      <c r="E1539" s="14">
        <v>1.3796999999999999</v>
      </c>
      <c r="F1539" s="7">
        <v>883</v>
      </c>
      <c r="G1539" s="14">
        <v>3.3999999999999998E-3</v>
      </c>
      <c r="H1539" s="7">
        <v>5</v>
      </c>
      <c r="I1539" s="14">
        <v>1.3831</v>
      </c>
      <c r="J1539" s="7">
        <v>888</v>
      </c>
    </row>
    <row r="1540" spans="1:10" x14ac:dyDescent="0.2">
      <c r="A1540" s="9">
        <v>46252</v>
      </c>
      <c r="B1540" s="4" t="s">
        <v>223</v>
      </c>
      <c r="C1540" s="8">
        <v>46235</v>
      </c>
      <c r="D1540" s="4" t="s">
        <v>198</v>
      </c>
      <c r="E1540" s="14">
        <v>1.2588999999999999</v>
      </c>
      <c r="F1540" s="7">
        <v>809</v>
      </c>
      <c r="G1540" s="14">
        <v>1.6999999999999999E-3</v>
      </c>
      <c r="H1540" s="7">
        <v>3</v>
      </c>
      <c r="I1540" s="14">
        <v>1.2605999999999999</v>
      </c>
      <c r="J1540" s="7">
        <v>812</v>
      </c>
    </row>
    <row r="1541" spans="1:10" x14ac:dyDescent="0.2">
      <c r="A1541" s="9">
        <v>46253</v>
      </c>
      <c r="B1541" s="4" t="s">
        <v>221</v>
      </c>
      <c r="C1541" s="8">
        <v>46235</v>
      </c>
      <c r="D1541" s="4" t="s">
        <v>198</v>
      </c>
      <c r="E1541" s="14">
        <v>2.0297999999999998</v>
      </c>
      <c r="F1541" s="7">
        <v>1310</v>
      </c>
      <c r="G1541" s="14">
        <v>2.8999999999999998E-3</v>
      </c>
      <c r="H1541" s="7">
        <v>4</v>
      </c>
      <c r="I1541" s="14">
        <v>2.0327000000000002</v>
      </c>
      <c r="J1541" s="7">
        <v>1314</v>
      </c>
    </row>
    <row r="1542" spans="1:10" x14ac:dyDescent="0.2">
      <c r="A1542" s="9">
        <v>46254</v>
      </c>
      <c r="B1542" s="4" t="s">
        <v>224</v>
      </c>
      <c r="C1542" s="8">
        <v>46235</v>
      </c>
      <c r="D1542" s="4" t="s">
        <v>198</v>
      </c>
      <c r="E1542" s="14">
        <v>2.1215000000000002</v>
      </c>
      <c r="F1542" s="7">
        <v>1362</v>
      </c>
      <c r="G1542" s="14">
        <v>4.7000000000000002E-3</v>
      </c>
      <c r="H1542" s="7">
        <v>8</v>
      </c>
      <c r="I1542" s="14">
        <v>2.1261999999999999</v>
      </c>
      <c r="J1542" s="7">
        <v>1370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Quality Check</vt:lpstr>
      <vt:lpstr>Year Equity Futures Mkt Share</vt:lpstr>
      <vt:lpstr>Qrtr Equity Futures Mkt Share</vt:lpstr>
      <vt:lpstr>Mth Equity Futures Mkt Share</vt:lpstr>
      <vt:lpstr>Day Equity Futures Mkt Share</vt:lpstr>
      <vt:lpstr>Year NSE Equity Futures</vt:lpstr>
      <vt:lpstr>Monthly NSE Equity Futures</vt:lpstr>
      <vt:lpstr>Daily NSE Equity Futures</vt:lpstr>
      <vt:lpstr>Year BSE Equity Futures</vt:lpstr>
      <vt:lpstr>Monthly BSE Equity Futures</vt:lpstr>
      <vt:lpstr>Daily BSE Equity Futures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Samidha Sangai</cp:lastModifiedBy>
  <dcterms:created xsi:type="dcterms:W3CDTF">2026-08-21T10:07:11Z</dcterms:created>
  <dcterms:modified xsi:type="dcterms:W3CDTF">2026-08-21T10:09:40Z</dcterms:modified>
</cp:coreProperties>
</file>